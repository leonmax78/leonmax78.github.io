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tables/table2.xml" ContentType="application/vnd.openxmlformats-officedocument.spreadsheetml.table+xml"/>
  <Override PartName="/xl/workbook.xml" ContentType="application/vnd.ms-excel.sheet.macroEnabled.main+xml"/>
  <Override PartName="/xl/vbaProject.bin" ContentType="application/vnd.ms-office.vbaProject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1baad16b90d142af" /></Relationships>
</file>

<file path=xl/workbook.xml><?xml version="1.0" encoding="utf-8"?>
<x:workbook xmlns:x="http://schemas.openxmlformats.org/spreadsheetml/2006/main">
  <x:workbookPr codeName="ThisWorkbook"/>
  <x:sheets>
    <x:sheet xmlns:r="http://schemas.openxmlformats.org/officeDocument/2006/relationships" name="武防" sheetId="1" r:id="Rdd89966cc51b4201"/>
    <x:sheet xmlns:r="http://schemas.openxmlformats.org/officeDocument/2006/relationships" name="配方" sheetId="2" r:id="R25b12e34fd934a85"/>
    <x:sheet xmlns:r="http://schemas.openxmlformats.org/officeDocument/2006/relationships" name="法器" sheetId="3" r:id="R3b4919bc68244106"/>
    <x:sheet xmlns:r="http://schemas.openxmlformats.org/officeDocument/2006/relationships" name="封獸" sheetId="4" r:id="R3779ef1d708544e5"/>
    <x:sheet xmlns:r="http://schemas.openxmlformats.org/officeDocument/2006/relationships" name="武防、配方、法器出處" sheetId="5" r:id="R715fd2879b0741ea"/>
    <x:sheet xmlns:r="http://schemas.openxmlformats.org/officeDocument/2006/relationships" name="封獸出處" sheetId="6" r:id="Rc2c9294eb4094162"/>
  </x:sheets>
</x: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10">
    <x:numFmt numFmtId="200" formatCode="#,##0"/>
    <x:numFmt numFmtId="201" formatCode="0.0%"/>
    <x:numFmt numFmtId="202" formatCode="&quot;已收錄 &quot;#,##0"/>
    <x:numFmt numFmtId="203" formatCode="&quot;得分 &quot;#,##0"/>
    <x:numFmt numFmtId="204" formatCode="&quot;總分 &quot;#,##0"/>
    <x:numFmt numFmtId="205" formatCode="&quot;完成 &quot;0.0%"/>
    <x:numFmt numFmtId="206" formatCode="&quot;武防總分 &quot;#,##0"/>
    <x:numFmt numFmtId="207" formatCode="&quot;配方總分 &quot;#,##0"/>
    <x:numFmt numFmtId="208" formatCode="&quot;法器總分 &quot;#,##0"/>
    <x:numFmt numFmtId="209" formatCode="&quot;封獸總分 &quot;#,##0"/>
  </x:numFmts>
  <x:fonts count="15">
    <x:font>
      <x:sz val="11"/>
      <x:name val="Carlito"/>
    </x:font>
    <x:font>
      <x:b/>
      <x:sz val="11"/>
      <x:color rgb="FFFFFFFF"/>
      <x:name val="Carlito"/>
    </x:font>
    <x:font>
      <x:b/>
      <x:sz val="11"/>
      <x:color rgb="FF315A79"/>
      <x:name val="Carlito"/>
    </x:font>
    <x:font>
      <x:sz val="11"/>
      <x:color rgb="FF263440"/>
      <x:name val="Microsoft JhengHei"/>
    </x:font>
    <x:font>
      <x:b/>
      <x:sz val="11"/>
      <x:color rgb="FF263440"/>
      <x:name val="Microsoft JhengHei"/>
    </x:font>
    <x:font>
      <x:b/>
      <x:sz val="13"/>
      <x:color rgb="FFFFFFFF"/>
      <x:name val="Microsoft JhengHei"/>
    </x:font>
    <x:font>
      <x:b/>
      <x:sz val="16"/>
      <x:color rgb="FF315A79"/>
      <x:name val="Microsoft JhengHei"/>
    </x:font>
    <x:font>
      <x:sz val="10"/>
      <x:color rgb="FF5B6570"/>
      <x:name val="Microsoft JhengHei"/>
    </x:font>
    <x:font>
      <x:sz val="11"/>
      <x:color rgb="FF176683"/>
      <x:name val="Carlito"/>
    </x:font>
    <x:font>
      <x:sz val="11"/>
      <x:color rgb="FF176683"/>
      <x:name val="Microsoft JhengHei"/>
    </x:font>
    <x:font>
      <x:b/>
      <x:sz val="16"/>
      <x:color rgb="FF526B45"/>
      <x:name val="Microsoft JhengHei"/>
    </x:font>
    <x:font>
      <x:b/>
      <x:sz val="16"/>
      <x:color rgb="FF795E43"/>
      <x:name val="Microsoft JhengHei"/>
    </x:font>
    <x:font>
      <x:b/>
      <x:sz val="16"/>
      <x:color rgb="FF665577"/>
      <x:name val="Microsoft JhengHei"/>
    </x:font>
    <x:font>
      <x:b/>
      <x:sz val="17"/>
      <x:color rgb="FF315A79"/>
      <x:name val="Microsoft JhengHei"/>
    </x:font>
    <x:font>
      <x:b/>
      <x:sz val="11"/>
      <x:color rgb="FFFFFFFF"/>
      <x:name val="Microsoft JhengHei"/>
    </x:font>
  </x:fonts>
  <x:fills count="10">
    <x:fill>
      <x:patternFill patternType="none"/>
    </x:fill>
    <x:fill>
      <x:patternFill patternType="gray125"/>
    </x:fill>
    <x:fill>
      <x:patternFill patternType="solid">
        <x:fgColor rgb="FF315A79"/>
      </x:patternFill>
    </x:fill>
    <x:fill>
      <x:patternFill patternType="solid">
        <x:fgColor rgb="FFDCE8F0"/>
      </x:patternFill>
    </x:fill>
    <x:fill>
      <x:patternFill patternType="solid">
        <x:fgColor rgb="FFF0F4F6"/>
      </x:patternFill>
    </x:fill>
    <x:fill>
      <x:patternFill patternType="solid">
        <x:fgColor rgb="FFFFFFFF"/>
      </x:patternFill>
    </x:fill>
    <x:fill>
      <x:patternFill patternType="solid">
        <x:fgColor rgb="FFE8EEF2"/>
      </x:patternFill>
    </x:fill>
    <x:fill>
      <x:patternFill patternType="solid">
        <x:fgColor rgb="FF526B45"/>
      </x:patternFill>
    </x:fill>
    <x:fill>
      <x:patternFill patternType="solid">
        <x:fgColor rgb="FF795E43"/>
      </x:patternFill>
    </x:fill>
    <x:fill>
      <x:patternFill patternType="solid">
        <x:fgColor rgb="FF665577"/>
      </x:patternFill>
    </x:fill>
  </x:fills>
  <x:borders count="1">
    <x:border/>
  </x:borders>
  <x:cellStyleXfs count="1">
    <x:xf numFmtId="0" fontId="0" fillId="0" borderId="0"/>
  </x:cellStyleXfs>
  <x:cellXfs count="75">
    <x:xf numFmtId="0" fontId="0" fillId="0" borderId="0" xfId="0"/>
    <x:xf numFmtId="0" fontId="0" fillId="2" borderId="0" xfId="0" applyNumberFormat="1" applyFont="1" applyFill="1" applyBorder="1"/>
    <x:xf numFmtId="0" fontId="1" fillId="2" borderId="0" xfId="0" applyNumberFormat="1" applyFont="1" applyFill="1" applyBorder="1"/>
    <x:xf numFmtId="0" fontId="0" fillId="3" borderId="0" xfId="0" applyNumberFormat="1" applyFont="1" applyFill="1" applyBorder="1"/>
    <x:xf numFmtId="0" fontId="2" fillId="3" borderId="0" xfId="0" applyNumberFormat="1" applyFont="1" applyFill="1" applyBorder="1"/>
    <x:xf numFmtId="0" fontId="0" fillId="4" borderId="0" xfId="0" applyNumberFormat="1" applyFont="1" applyFill="1" applyBorder="1"/>
    <x:xf numFmtId="0" fontId="0" fillId="4" borderId="0" xfId="0" applyNumberFormat="1" applyFont="1" applyFill="1" applyBorder="1" applyAlignment="1">
      <x:alignment wrapText="1"/>
    </x:xf>
    <x:xf numFmtId="0" fontId="0" fillId="5" borderId="0" xfId="0" applyNumberFormat="1" applyFont="1" applyFill="1" applyBorder="1"/>
    <x:xf numFmtId="0" fontId="0" fillId="5" borderId="0" xfId="0" applyNumberFormat="1" applyFont="1" applyFill="1" applyBorder="1" applyAlignment="1">
      <x:alignment wrapText="1"/>
    </x:xf>
    <x:xf numFmtId="0" fontId="3" fillId="0" borderId="0" xfId="0" applyNumberFormat="1" applyFont="1" applyFill="1" applyBorder="1"/>
    <x:xf numFmtId="0" fontId="4" fillId="2" borderId="0" xfId="0" applyNumberFormat="1" applyFont="1" applyFill="1" applyBorder="1"/>
    <x:xf numFmtId="0" fontId="4" fillId="3" borderId="0" xfId="0" applyNumberFormat="1" applyFont="1" applyFill="1" applyBorder="1"/>
    <x:xf numFmtId="0" fontId="3" fillId="4" borderId="0" xfId="0" applyNumberFormat="1" applyFont="1" applyFill="1" applyBorder="1" applyAlignment="1">
      <x:alignment wrapText="1"/>
    </x:xf>
    <x:xf numFmtId="0" fontId="3" fillId="5" borderId="0" xfId="0" applyNumberFormat="1" applyFont="1" applyFill="1" applyBorder="1" applyAlignment="1">
      <x:alignment wrapText="1"/>
    </x:xf>
    <x:xf numFmtId="0" fontId="3" fillId="0" borderId="0" xfId="0" applyNumberFormat="1" applyFont="1" applyFill="1" applyBorder="1" applyAlignment="1">
      <x:alignment vertical="center"/>
    </x:xf>
    <x:xf numFmtId="0" fontId="4" fillId="2" borderId="0" xfId="0" applyNumberFormat="1" applyFont="1" applyFill="1" applyBorder="1" applyAlignment="1">
      <x:alignment vertical="center"/>
    </x:xf>
    <x:xf numFmtId="0" fontId="4" fillId="3" borderId="0" xfId="0" applyNumberFormat="1" applyFont="1" applyFill="1" applyBorder="1" applyAlignment="1">
      <x:alignment vertical="center"/>
    </x:xf>
    <x:xf numFmtId="0" fontId="3" fillId="4" borderId="0" xfId="0" applyNumberFormat="1" applyFont="1" applyFill="1" applyBorder="1" applyAlignment="1">
      <x:alignment vertical="center" wrapText="1"/>
    </x:xf>
    <x:xf numFmtId="0" fontId="3" fillId="5" borderId="0" xfId="0" applyNumberFormat="1" applyFont="1" applyFill="1" applyBorder="1" applyAlignment="1">
      <x:alignment vertical="center" wrapText="1"/>
    </x:xf>
    <x:xf numFmtId="0" fontId="5" fillId="2" borderId="0" xfId="0" applyNumberFormat="1" applyFont="1" applyFill="1" applyBorder="1" applyAlignment="1">
      <x:alignment vertical="center"/>
    </x:xf>
    <x:xf numFmtId="0" fontId="6" fillId="0" borderId="0" xfId="0" applyNumberFormat="1" applyFont="1" applyFill="1" applyBorder="1" applyAlignment="1">
      <x:alignment vertical="center"/>
    </x:xf>
    <x:xf numFmtId="0" fontId="3" fillId="6" borderId="0" xfId="0" applyNumberFormat="1" applyFont="1" applyFill="1" applyBorder="1" applyAlignment="1">
      <x:alignment vertical="center"/>
    </x:xf>
    <x:xf numFmtId="0" fontId="4" fillId="6" borderId="0" xfId="0" applyNumberFormat="1" applyFont="1" applyFill="1" applyBorder="1" applyAlignment="1">
      <x:alignment vertical="center"/>
    </x:xf>
    <x:xf numFmtId="200" fontId="3" fillId="0" borderId="0" xfId="0" applyNumberFormat="1" applyFont="1" applyFill="1" applyBorder="1" applyAlignment="1">
      <x:alignment vertical="center"/>
    </x:xf>
    <x:xf numFmtId="201" fontId="3" fillId="0" borderId="0" xfId="0" applyNumberFormat="1" applyFont="1" applyFill="1" applyBorder="1" applyAlignment="1">
      <x:alignment vertical="center"/>
    </x:xf>
    <x:xf numFmtId="0" fontId="7" fillId="0" borderId="0" xfId="0" applyNumberFormat="1" applyFont="1" applyFill="1" applyBorder="1" applyAlignment="1">
      <x:alignment vertical="center"/>
    </x:xf>
    <x:xf numFmtId="0" fontId="8" fillId="0" borderId="0" xfId="0" applyNumberFormat="1" applyFont="1" applyFill="1" applyBorder="1"/>
    <x:xf numFmtId="0" fontId="9" fillId="0" borderId="0" xfId="0" applyNumberFormat="1" applyFont="1" applyFill="1" applyBorder="1" applyAlignment="1">
      <x:alignment vertical="center"/>
    </x:xf>
    <x:xf numFmtId="202" fontId="3" fillId="0" borderId="0" xfId="0" applyNumberFormat="1" applyFont="1" applyFill="1" applyBorder="1" applyAlignment="1">
      <x:alignment vertical="center"/>
    </x:xf>
    <x:xf numFmtId="203" fontId="3" fillId="0" borderId="0" xfId="0" applyNumberFormat="1" applyFont="1" applyFill="1" applyBorder="1" applyAlignment="1">
      <x:alignment vertical="center"/>
    </x:xf>
    <x:xf numFmtId="204" fontId="3" fillId="0" borderId="0" xfId="0" applyNumberFormat="1" applyFont="1" applyFill="1" applyBorder="1" applyAlignment="1">
      <x:alignment vertical="center"/>
    </x:xf>
    <x:xf numFmtId="205" fontId="3" fillId="0" borderId="0" xfId="0" applyNumberFormat="1" applyFont="1" applyFill="1" applyBorder="1" applyAlignment="1">
      <x:alignment vertical="center"/>
    </x:xf>
    <x:xf numFmtId="0" fontId="0" fillId="7" borderId="0" xfId="0" applyNumberFormat="1" applyFont="1" applyFill="1" applyBorder="1"/>
    <x:xf numFmtId="0" fontId="1" fillId="7" borderId="0" xfId="0" applyNumberFormat="1" applyFont="1" applyFill="1" applyBorder="1"/>
    <x:xf numFmtId="0" fontId="4" fillId="7" borderId="0" xfId="0" applyNumberFormat="1" applyFont="1" applyFill="1" applyBorder="1"/>
    <x:xf numFmtId="0" fontId="4" fillId="7" borderId="0" xfId="0" applyNumberFormat="1" applyFont="1" applyFill="1" applyBorder="1" applyAlignment="1">
      <x:alignment vertical="center"/>
    </x:xf>
    <x:xf numFmtId="0" fontId="5" fillId="7" borderId="0" xfId="0" applyNumberFormat="1" applyFont="1" applyFill="1" applyBorder="1" applyAlignment="1">
      <x:alignment vertical="center"/>
    </x:xf>
    <x:xf numFmtId="0" fontId="10" fillId="0" borderId="0" xfId="0" applyNumberFormat="1" applyFont="1" applyFill="1" applyBorder="1" applyAlignment="1">
      <x:alignment vertical="center"/>
    </x:xf>
    <x:xf numFmtId="0" fontId="0" fillId="8" borderId="0" xfId="0" applyNumberFormat="1" applyFont="1" applyFill="1" applyBorder="1"/>
    <x:xf numFmtId="0" fontId="1" fillId="8" borderId="0" xfId="0" applyNumberFormat="1" applyFont="1" applyFill="1" applyBorder="1"/>
    <x:xf numFmtId="0" fontId="4" fillId="8" borderId="0" xfId="0" applyNumberFormat="1" applyFont="1" applyFill="1" applyBorder="1"/>
    <x:xf numFmtId="0" fontId="4" fillId="8" borderId="0" xfId="0" applyNumberFormat="1" applyFont="1" applyFill="1" applyBorder="1" applyAlignment="1">
      <x:alignment vertical="center"/>
    </x:xf>
    <x:xf numFmtId="0" fontId="5" fillId="8" borderId="0" xfId="0" applyNumberFormat="1" applyFont="1" applyFill="1" applyBorder="1" applyAlignment="1">
      <x:alignment vertical="center"/>
    </x:xf>
    <x:xf numFmtId="0" fontId="11" fillId="0" borderId="0" xfId="0" applyNumberFormat="1" applyFont="1" applyFill="1" applyBorder="1" applyAlignment="1">
      <x:alignment vertical="center"/>
    </x:xf>
    <x:xf numFmtId="0" fontId="0" fillId="9" borderId="0" xfId="0" applyNumberFormat="1" applyFont="1" applyFill="1" applyBorder="1"/>
    <x:xf numFmtId="0" fontId="1" fillId="9" borderId="0" xfId="0" applyNumberFormat="1" applyFont="1" applyFill="1" applyBorder="1"/>
    <x:xf numFmtId="0" fontId="4" fillId="9" borderId="0" xfId="0" applyNumberFormat="1" applyFont="1" applyFill="1" applyBorder="1"/>
    <x:xf numFmtId="0" fontId="4" fillId="9" borderId="0" xfId="0" applyNumberFormat="1" applyFont="1" applyFill="1" applyBorder="1" applyAlignment="1">
      <x:alignment vertical="center"/>
    </x:xf>
    <x:xf numFmtId="0" fontId="5" fillId="9" borderId="0" xfId="0" applyNumberFormat="1" applyFont="1" applyFill="1" applyBorder="1" applyAlignment="1">
      <x:alignment vertical="center"/>
    </x:xf>
    <x:xf numFmtId="0" fontId="12" fillId="0" borderId="0" xfId="0" applyNumberFormat="1" applyFont="1" applyFill="1" applyBorder="1" applyAlignment="1">
      <x:alignment vertical="center"/>
    </x:xf>
    <x:xf numFmtId="0" fontId="3" fillId="0" borderId="0" xfId="0" applyNumberFormat="1" applyFont="1" applyFill="1" applyBorder="1" applyAlignment="1">
      <x:alignment vertical="top"/>
    </x:xf>
    <x:xf numFmtId="0" fontId="13" fillId="0" borderId="0" xfId="0" applyNumberFormat="1" applyFont="1" applyFill="1" applyBorder="1" applyAlignment="1">
      <x:alignment vertical="top"/>
    </x:xf>
    <x:xf numFmtId="0" fontId="7" fillId="0" borderId="0" xfId="0" applyNumberFormat="1" applyFont="1" applyFill="1" applyBorder="1" applyAlignment="1">
      <x:alignment vertical="top"/>
    </x:xf>
    <x:xf numFmtId="0" fontId="3" fillId="2" borderId="0" xfId="0" applyNumberFormat="1" applyFont="1" applyFill="1" applyBorder="1" applyAlignment="1">
      <x:alignment vertical="top"/>
    </x:xf>
    <x:xf numFmtId="0" fontId="14" fillId="2" borderId="0" xfId="0" applyNumberFormat="1" applyFont="1" applyFill="1" applyBorder="1" applyAlignment="1">
      <x:alignment vertical="top"/>
    </x:xf>
    <x:xf numFmtId="0" fontId="3" fillId="0" borderId="0" xfId="0" applyNumberFormat="1" applyFont="1" applyFill="1" applyBorder="1" applyAlignment="1">
      <x:alignment vertical="top" wrapText="1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6" fontId="3" fillId="0" borderId="0" xfId="0" applyNumberFormat="1" applyFont="1" applyFill="1" applyBorder="1" applyAlignment="1">
      <x:alignment vertical="center"/>
    </x:xf>
    <x:xf numFmtId="207" fontId="3" fillId="0" borderId="0" xfId="0" applyNumberFormat="1" applyFont="1" applyFill="1" applyBorder="1" applyAlignment="1">
      <x:alignment vertical="center"/>
    </x:xf>
    <x:xf numFmtId="208" fontId="3" fillId="0" borderId="0" xfId="0" applyNumberFormat="1" applyFont="1" applyFill="1" applyBorder="1" applyAlignment="1">
      <x:alignment vertical="center"/>
    </x:xf>
    <x:xf numFmtId="209" fontId="3" fillId="0" borderId="0" xfId="0" applyNumberFormat="1" applyFont="1" applyFill="1" applyBorder="1" applyAlignment="1">
      <x:alignment vertical="center"/>
    </x:xf>
  </x:cellXfs>
  <x:cellStyles count="1">
    <x:cellStyle name="Normal" xfId="0"/>
  </x:cellStyles>
  <x:dxfs count="76"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  <x:dxf>
      <x:font>
        <x:b/>
        <x:color rgb="FF28592D"/>
      </x:font>
      <x:fill>
        <x:patternFill patternType="solid">
          <x:bgColor rgb="FFDDEED8"/>
        </x:patternFill>
      </x:fill>
    </x:dxf>
  </x:dxfs>
</x: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styles" Target="/xl/styles.xml" Id="R48636c14b14a49c3"/><Relationship Type="http://schemas.openxmlformats.org/officeDocument/2006/relationships/theme" Target="/xl/theme/theme1.xml" Id="Rc3ddbbbdefe84f3b"/><Relationship Type="http://schemas.openxmlformats.org/officeDocument/2006/relationships/sharedStrings" Target="/xl/sharedStrings.xml" Id="Rd4a609ef0b27424e"/><Relationship Type="http://schemas.openxmlformats.org/officeDocument/2006/relationships/worksheet" Target="/xl/worksheets/sheet1.xml" Id="Rdd89966cc51b4201"/><Relationship Type="http://schemas.openxmlformats.org/officeDocument/2006/relationships/worksheet" Target="/xl/worksheets/sheet2.xml" Id="R25b12e34fd934a85"/><Relationship Type="http://schemas.openxmlformats.org/officeDocument/2006/relationships/worksheet" Target="/xl/worksheets/sheet3.xml" Id="R3b4919bc68244106"/><Relationship Type="http://schemas.openxmlformats.org/officeDocument/2006/relationships/worksheet" Target="/xl/worksheets/sheet4.xml" Id="R3779ef1d708544e5"/><Relationship Type="http://schemas.openxmlformats.org/officeDocument/2006/relationships/worksheet" Target="/xl/worksheets/sheet5.xml" Id="R715fd2879b0741ea"/><Relationship Type="http://schemas.openxmlformats.org/officeDocument/2006/relationships/worksheet" Target="/xl/worksheets/sheet6.xml" Id="Rc2c9294eb4094162"/><Relationship Id="rIdVbaCollect" Type="http://schemas.microsoft.com/office/2006/relationships/vbaProject" Target="vbaProject.bin"/></Relationships>
</file>

<file path=xl/tables/table1.xml><?xml version="1.0" encoding="utf-8"?>
<x:table xmlns:x="http://schemas.openxmlformats.org/spreadsheetml/2006/main" id="1" name="Sources4" displayName="Sources4" ref="A7:E4741" headerRowCount="1" totalsRowCount="0" totalsRowShown="0">
  <x:autoFilter ref="A7:E4741">
    <x:filterColumn colId="0" showButton="1" hiddenButton="0"/>
    <x:filterColumn colId="1" showButton="1" hiddenButton="0"/>
    <x:filterColumn colId="2" showButton="1" hiddenButton="0"/>
    <x:filterColumn colId="3" showButton="1" hiddenButton="0"/>
    <x:filterColumn colId="4" showButton="1" hiddenButton="0"/>
  </x:autoFilter>
  <x:tableColumns count="5">
    <x:tableColumn id="1" name="名稱"/>
    <x:tableColumn id="2" name="任務"/>
    <x:tableColumn id="3" name="商店"/>
    <x:tableColumn id="4" name="配方製作"/>
    <x:tableColumn id="5" name="怪物掉落(依掉落率排序)"/>
  </x:tableColumns>
  <x:tableStyleInfo name="TableStyleMedium2" showFirstColumn="0" showLastColumn="0" showRowStripes="1" showColumnStripes="0"/>
</x:table>
</file>

<file path=xl/tables/table2.xml><?xml version="1.0" encoding="utf-8"?>
<x:table xmlns:x="http://schemas.openxmlformats.org/spreadsheetml/2006/main" id="2" name="Sources5" displayName="Sources5" ref="A7:E271" headerRowCount="1" totalsRowCount="0" totalsRowShown="0">
  <x:autoFilter ref="A7:E271">
    <x:filterColumn colId="0" showButton="1" hiddenButton="0"/>
    <x:filterColumn colId="1" showButton="1" hiddenButton="0"/>
    <x:filterColumn colId="2" showButton="1" hiddenButton="0"/>
    <x:filterColumn colId="3" showButton="1" hiddenButton="0"/>
    <x:filterColumn colId="4" showButton="1" hiddenButton="0"/>
  </x:autoFilter>
  <x:tableColumns count="5">
    <x:tableColumn id="1" name="名稱"/>
    <x:tableColumn id="2" name="星等"/>
    <x:tableColumn id="3" name="捕捉技能"/>
    <x:tableColumn id="4" name="捕捉位置"/>
    <x:tableColumn id="5" name="取得補充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1.xml" Id="Rce472a8d983a4a10" /></Relationships>
</file>

<file path=xl/worksheets/_rels/sheet6.xml.rels>&#65279;<?xml version="1.0" encoding="utf-8"?><Relationships xmlns="http://schemas.openxmlformats.org/package/2006/relationships"><Relationship Type="http://schemas.openxmlformats.org/officeDocument/2006/relationships/table" Target="/xl/tables/table2.xml" Id="R1d7d34220ad04743" /></Relationships>
</file>

<file path=xl/worksheets/sheet1.xml><?xml version="1.0" encoding="utf-8"?>
<x:worksheet xmlns:x="http://schemas.openxmlformats.org/spreadsheetml/2006/main">
  <x:sheetPr codeName="Sheet1">
    <x:tabColor rgb="FF315A79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5" max="5" width="2.5" hidden="0" customWidth="1"/>
    <x:col min="6" max="6" width="23.75" hidden="0" customWidth="1"/>
    <x:col min="7" max="7" width="23.75" hidden="0" customWidth="1"/>
    <x:col min="8" max="8" width="23.75" hidden="0" customWidth="1"/>
    <x:col min="9" max="9" width="23.75" hidden="0" customWidth="1"/>
    <x:col min="10" max="10" width="2.5" hidden="0" customWidth="1"/>
    <x:col min="11" max="11" width="23.75" hidden="0" customWidth="1"/>
    <x:col min="12" max="12" width="23.75" hidden="0" customWidth="1"/>
    <x:col min="13" max="13" width="23.75" hidden="0" customWidth="1"/>
    <x:col min="14" max="14" width="23.75" hidden="0" customWidth="1"/>
    <x:col min="15" max="15" width="2.5" hidden="0" customWidth="1"/>
    <x:col min="16" max="16" width="23.75" hidden="0" customWidth="1"/>
    <x:col min="17" max="17" width="23.75" hidden="0" customWidth="1"/>
    <x:col min="18" max="18" width="23.75" hidden="0" customWidth="1"/>
    <x:col min="19" max="19" width="23.75" hidden="0" customWidth="1"/>
    <x:col min="20" max="20" width="2.5" hidden="0" customWidth="1"/>
    <x:col min="21" max="21" width="23.75" hidden="0" customWidth="1"/>
    <x:col min="22" max="22" width="23.75" hidden="0" customWidth="1"/>
    <x:col min="23" max="23" width="23.75" hidden="0" customWidth="1"/>
    <x:col min="24" max="24" width="23.75" hidden="0" customWidth="1"/>
    <x:col min="25" max="25" width="2.5" hidden="0" customWidth="1"/>
    <x:col min="26" max="26" width="23.75" hidden="0" customWidth="1"/>
    <x:col min="27" max="27" width="23.75" hidden="0" customWidth="1"/>
    <x:col min="28" max="28" width="23.75" hidden="0" customWidth="1"/>
    <x:col min="29" max="29" width="23.75" hidden="0" customWidth="1"/>
    <x:col min="30" max="30" width="2.5" hidden="0" customWidth="1"/>
    <x:col min="31" max="31" width="23.75" hidden="0" customWidth="1"/>
    <x:col min="32" max="32" width="23.75" hidden="0" customWidth="1"/>
    <x:col min="33" max="33" width="23.75" hidden="0" customWidth="1"/>
    <x:col min="34" max="34" width="23.75" hidden="0" customWidth="1"/>
    <x:col min="35" max="35" width="2.5" hidden="0" customWidth="1"/>
    <x:col min="36" max="36" width="23.75" hidden="0" customWidth="1"/>
    <x:col min="37" max="37" width="23.75" hidden="0" customWidth="1"/>
    <x:col min="38" max="38" width="23.75" hidden="0" customWidth="1"/>
    <x:col min="39" max="39" width="23.75" hidden="0" customWidth="1"/>
    <x:col min="40" max="40" width="2.5" hidden="0" customWidth="1"/>
    <x:col min="41" max="41" width="23.75" hidden="0" customWidth="1"/>
    <x:col min="42" max="42" width="23.75" hidden="0" customWidth="1"/>
    <x:col min="43" max="43" width="23.75" hidden="0" customWidth="1"/>
    <x:col min="44" max="44" width="23.75" hidden="0" customWidth="1"/>
    <x:col min="45" max="45" width="2.5" hidden="0" customWidth="1"/>
    <x:col min="46" max="46" width="23.75" hidden="0" customWidth="1"/>
    <x:col min="47" max="47" width="23.75" hidden="0" customWidth="1"/>
    <x:col min="48" max="48" width="23.75" hidden="0" customWidth="1"/>
    <x:col min="49" max="49" width="23.75" hidden="0" customWidth="1"/>
    <x:col min="50" max="50" width="2.5" hidden="0" customWidth="1"/>
    <x:col min="51" max="51" width="23.75" hidden="0" customWidth="1"/>
    <x:col min="52" max="52" width="23.75" hidden="0" customWidth="1"/>
    <x:col min="53" max="53" width="23.75" hidden="0" customWidth="1"/>
    <x:col min="54" max="54" width="23.75" hidden="0" customWidth="1"/>
    <x:col min="55" max="55" width="2.5" hidden="0" customWidth="1"/>
    <x:col min="56" max="56" width="23.75" hidden="0" customWidth="1"/>
    <x:col min="57" max="57" width="23.75" hidden="0" customWidth="1"/>
    <x:col min="58" max="58" width="23.75" hidden="0" customWidth="1"/>
    <x:col min="59" max="59" width="23.75" hidden="0" customWidth="1"/>
    <x:col min="60" max="60" width="2.5" hidden="0" customWidth="1"/>
    <x:col min="61" max="61" width="23.75" hidden="0" customWidth="1"/>
    <x:col min="62" max="62" width="23.75" hidden="0" customWidth="1"/>
    <x:col min="63" max="63" width="23.75" hidden="0" customWidth="1"/>
    <x:col min="64" max="64" width="23.75" hidden="0" customWidth="1"/>
    <x:col min="65" max="65" width="2.5" hidden="0" customWidth="1"/>
    <x:col min="66" max="66" width="23.75" hidden="0" customWidth="1"/>
    <x:col min="67" max="67" width="23.75" hidden="0" customWidth="1"/>
    <x:col min="68" max="68" width="23.75" hidden="0" customWidth="1"/>
    <x:col min="69" max="69" width="23.75" hidden="0" customWidth="1"/>
    <x:col min="70" max="70" width="2.5" hidden="0" customWidth="1"/>
    <x:col min="71" max="71" width="23.75" hidden="0" customWidth="1"/>
    <x:col min="72" max="72" width="23.75" hidden="0" customWidth="1"/>
    <x:col min="73" max="73" width="23.75" hidden="0" customWidth="1"/>
    <x:col min="74" max="74" width="23.75" hidden="0" customWidth="1"/>
    <x:col min="75" max="75" width="2.5" hidden="0" customWidth="1"/>
    <x:col min="76" max="76" width="23.75" hidden="0" customWidth="1"/>
    <x:col min="77" max="77" width="23.75" hidden="0" customWidth="1"/>
    <x:col min="78" max="78" width="23.75" hidden="0" customWidth="1"/>
    <x:col min="79" max="79" width="23.75" hidden="0" customWidth="1"/>
    <x:col min="80" max="80" width="2.5" hidden="0" customWidth="1"/>
    <x:col min="81" max="528" hidden="1" width="12" customWidth="1"/>
  </x:cols>
  <x:sheetData>
    <x:row r="1" hidden="1">
      <x:c r="A1" s="14" t="n">
        <x:v>81</x:v>
      </x:c>
      <x:c r="B1" s="14" t="n">
        <x:v>88</x:v>
      </x:c>
      <x:c r="C1" s="14" t="n">
        <x:v>95</x:v>
      </x:c>
      <x:c r="D1" s="14" t="n">
        <x:v>102</x:v>
      </x:c>
      <x:c r="E1" s="14"/>
      <x:c r="F1" s="14" t="n">
        <x:v>109</x:v>
      </x:c>
      <x:c r="G1" s="14" t="n">
        <x:v>116</x:v>
      </x:c>
      <x:c r="H1" s="14" t="n">
        <x:v>123</x:v>
      </x:c>
      <x:c r="I1" s="14" t="n">
        <x:v>130</x:v>
      </x:c>
      <x:c r="J1" s="14"/>
      <x:c r="K1" s="14" t="n">
        <x:v>137</x:v>
      </x:c>
      <x:c r="L1" s="14" t="n">
        <x:v>144</x:v>
      </x:c>
      <x:c r="M1" s="14" t="n">
        <x:v>151</x:v>
      </x:c>
      <x:c r="N1" s="14" t="n">
        <x:v>158</x:v>
      </x:c>
      <x:c r="O1" s="14"/>
      <x:c r="P1" s="14" t="n">
        <x:v>165</x:v>
      </x:c>
      <x:c r="Q1" s="14" t="n">
        <x:v>172</x:v>
      </x:c>
      <x:c r="R1" s="14" t="n">
        <x:v>179</x:v>
      </x:c>
      <x:c r="S1" s="14" t="n">
        <x:v>186</x:v>
      </x:c>
      <x:c r="T1" s="14"/>
      <x:c r="U1" s="14" t="n">
        <x:v>193</x:v>
      </x:c>
      <x:c r="V1" s="14" t="n">
        <x:v>200</x:v>
      </x:c>
      <x:c r="W1" s="14" t="n">
        <x:v>207</x:v>
      </x:c>
      <x:c r="X1" s="14" t="n">
        <x:v>214</x:v>
      </x:c>
      <x:c r="Y1" s="14"/>
      <x:c r="Z1" s="14" t="n">
        <x:v>221</x:v>
      </x:c>
      <x:c r="AA1" s="14" t="n">
        <x:v>228</x:v>
      </x:c>
      <x:c r="AB1" s="14" t="n">
        <x:v>235</x:v>
      </x:c>
      <x:c r="AC1" s="14" t="n">
        <x:v>242</x:v>
      </x:c>
      <x:c r="AD1" s="14"/>
      <x:c r="AE1" s="14" t="n">
        <x:v>249</x:v>
      </x:c>
      <x:c r="AF1" s="14" t="n">
        <x:v>256</x:v>
      </x:c>
      <x:c r="AG1" s="14" t="n">
        <x:v>263</x:v>
      </x:c>
      <x:c r="AH1" s="14" t="n">
        <x:v>270</x:v>
      </x:c>
      <x:c r="AI1" s="14"/>
      <x:c r="AJ1" s="14" t="n">
        <x:v>277</x:v>
      </x:c>
      <x:c r="AK1" s="14" t="n">
        <x:v>284</x:v>
      </x:c>
      <x:c r="AL1" s="14" t="n">
        <x:v>291</x:v>
      </x:c>
      <x:c r="AM1" s="14" t="n">
        <x:v>298</x:v>
      </x:c>
      <x:c r="AN1" s="14"/>
      <x:c r="AO1" s="14" t="n">
        <x:v>305</x:v>
      </x:c>
      <x:c r="AP1" s="14" t="n">
        <x:v>312</x:v>
      </x:c>
      <x:c r="AQ1" s="14" t="n">
        <x:v>319</x:v>
      </x:c>
      <x:c r="AR1" s="14" t="n">
        <x:v>326</x:v>
      </x:c>
      <x:c r="AS1" s="14"/>
      <x:c r="AT1" s="14" t="n">
        <x:v>333</x:v>
      </x:c>
      <x:c r="AU1" s="14" t="n">
        <x:v>340</x:v>
      </x:c>
      <x:c r="AV1" s="14" t="n">
        <x:v>347</x:v>
      </x:c>
      <x:c r="AW1" s="14" t="n">
        <x:v>354</x:v>
      </x:c>
      <x:c r="AX1" s="14"/>
      <x:c r="AY1" s="14" t="n">
        <x:v>361</x:v>
      </x:c>
      <x:c r="AZ1" s="14" t="n">
        <x:v>368</x:v>
      </x:c>
      <x:c r="BA1" s="14" t="n">
        <x:v>375</x:v>
      </x:c>
      <x:c r="BB1" s="14" t="n">
        <x:v>382</x:v>
      </x:c>
      <x:c r="BC1" s="14"/>
      <x:c r="BD1" s="14" t="n">
        <x:v>389</x:v>
      </x:c>
      <x:c r="BE1" s="14" t="n">
        <x:v>396</x:v>
      </x:c>
      <x:c r="BF1" s="14" t="n">
        <x:v>403</x:v>
      </x:c>
      <x:c r="BG1" s="14" t="n">
        <x:v>410</x:v>
      </x:c>
      <x:c r="BH1" s="14"/>
      <x:c r="BI1" s="14" t="n">
        <x:v>417</x:v>
      </x:c>
      <x:c r="BJ1" s="14" t="n">
        <x:v>424</x:v>
      </x:c>
      <x:c r="BK1" s="14" t="n">
        <x:v>431</x:v>
      </x:c>
      <x:c r="BL1" s="14" t="n">
        <x:v>438</x:v>
      </x:c>
      <x:c r="BM1" s="14"/>
      <x:c r="BN1" s="14" t="n">
        <x:v>445</x:v>
      </x:c>
      <x:c r="BO1" s="14" t="n">
        <x:v>452</x:v>
      </x:c>
      <x:c r="BP1" s="14" t="n">
        <x:v>459</x:v>
      </x:c>
      <x:c r="BQ1" s="14" t="n">
        <x:v>466</x:v>
      </x:c>
      <x:c r="BR1" s="14"/>
      <x:c r="BS1" s="14" t="n">
        <x:v>473</x:v>
      </x:c>
      <x:c r="BT1" s="14" t="n">
        <x:v>480</x:v>
      </x:c>
      <x:c r="BU1" s="14" t="n">
        <x:v>487</x:v>
      </x:c>
      <x:c r="BV1" s="14" t="n">
        <x:v>494</x:v>
      </x:c>
      <x:c r="BW1" s="14"/>
      <x:c r="BX1" s="14" t="n">
        <x:v>501</x:v>
      </x:c>
      <x:c r="BY1" s="14" t="n">
        <x:v>508</x:v>
      </x:c>
      <x:c r="BZ1" s="14" t="n">
        <x:v>515</x:v>
      </x:c>
      <x:c r="CA1" s="14" t="n">
        <x:v>522</x:v>
      </x:c>
      <x:c r="CB1" s="14"/>
      <x:c r="CC1" s="14"/>
      <x:c r="CD1" s="14"/>
      <x:c r="CE1" s="14"/>
      <x:c r="CF1" s="14"/>
      <x:c r="CG1" s="14"/>
      <x:c r="CH1" s="14"/>
      <x:c r="CI1" s="14"/>
      <x:c r="CJ1" s="14"/>
      <x:c r="CK1" s="14"/>
      <x:c r="CL1" s="14"/>
      <x:c r="CM1" s="14"/>
      <x:c r="CN1" s="14"/>
      <x:c r="CO1" s="14"/>
      <x:c r="CP1" s="14"/>
      <x:c r="CQ1" s="14"/>
      <x:c r="CR1" s="14"/>
      <x:c r="CS1" s="14"/>
      <x:c r="CT1" s="14"/>
      <x:c r="CU1" s="14"/>
      <x:c r="CV1" s="14"/>
      <x:c r="CW1" s="14"/>
      <x:c r="CX1" s="14"/>
      <x:c r="CY1" s="14"/>
      <x:c r="CZ1" s="14"/>
      <x:c r="DA1" s="14"/>
      <x:c r="DB1" s="14"/>
      <x:c r="DC1" s="14"/>
      <x:c r="DD1" s="14"/>
      <x:c r="DE1" s="14"/>
      <x:c r="DF1" s="14"/>
      <x:c r="DG1" s="14"/>
      <x:c r="DH1" s="14"/>
      <x:c r="DI1" s="14"/>
      <x:c r="DJ1" s="14"/>
      <x:c r="DK1" s="14"/>
      <x:c r="DL1" s="14"/>
      <x:c r="DM1" s="14"/>
      <x:c r="DN1" s="14"/>
      <x:c r="DO1" s="14"/>
      <x:c r="DP1" s="14"/>
      <x:c r="DQ1" s="14"/>
      <x:c r="DR1" s="14"/>
      <x:c r="DS1" s="14"/>
      <x:c r="DT1" s="14"/>
      <x:c r="DU1" s="14"/>
      <x:c r="DV1" s="14"/>
      <x:c r="DW1" s="14"/>
      <x:c r="DX1" s="14"/>
      <x:c r="DY1" s="14"/>
      <x:c r="DZ1" s="14"/>
      <x:c r="EA1" s="14"/>
      <x:c r="EB1" s="14"/>
      <x:c r="EC1" s="14"/>
      <x:c r="ED1" s="14"/>
      <x:c r="EE1" s="14"/>
      <x:c r="EF1" s="14"/>
      <x:c r="EG1" s="14"/>
      <x:c r="EH1" s="14"/>
      <x:c r="EI1" s="14"/>
      <x:c r="EJ1" s="14"/>
      <x:c r="EK1" s="14"/>
      <x:c r="EL1" s="14"/>
      <x:c r="EM1" s="14"/>
      <x:c r="EN1" s="14"/>
      <x:c r="EO1" s="14"/>
      <x:c r="EP1" s="14"/>
      <x:c r="EQ1" s="14"/>
      <x:c r="ER1" s="14"/>
      <x:c r="ES1" s="14"/>
      <x:c r="ET1" s="14"/>
      <x:c r="EU1" s="14"/>
      <x:c r="EV1" s="14"/>
      <x:c r="EW1" s="14"/>
      <x:c r="EX1" s="14"/>
      <x:c r="EY1" s="14"/>
      <x:c r="EZ1" s="14"/>
      <x:c r="FA1" s="14"/>
      <x:c r="FB1" s="14"/>
      <x:c r="FC1" s="14"/>
      <x:c r="FD1" s="14"/>
      <x:c r="FE1" s="14"/>
      <x:c r="FF1" s="14"/>
      <x:c r="FG1" s="14"/>
      <x:c r="FH1" s="14"/>
      <x:c r="FI1" s="14"/>
      <x:c r="FJ1" s="14"/>
      <x:c r="FK1" s="14"/>
      <x:c r="FL1" s="14"/>
      <x:c r="FM1" s="14"/>
      <x:c r="FN1" s="14"/>
      <x:c r="FO1" s="14"/>
      <x:c r="FP1" s="14"/>
      <x:c r="FQ1" s="14"/>
      <x:c r="FR1" s="14"/>
      <x:c r="FS1" s="14"/>
      <x:c r="FT1" s="14"/>
      <x:c r="FU1" s="14"/>
      <x:c r="FV1" s="14"/>
      <x:c r="FW1" s="14"/>
      <x:c r="FX1" s="14"/>
      <x:c r="FY1" s="14"/>
      <x:c r="FZ1" s="14"/>
      <x:c r="GA1" s="14"/>
      <x:c r="GB1" s="14"/>
      <x:c r="GC1" s="14"/>
      <x:c r="GD1" s="14"/>
      <x:c r="GE1" s="14"/>
      <x:c r="GF1" s="14"/>
      <x:c r="GG1" s="14"/>
      <x:c r="GH1" s="14"/>
      <x:c r="GI1" s="14"/>
      <x:c r="GJ1" s="14"/>
      <x:c r="GK1" s="14"/>
      <x:c r="GL1" s="14"/>
      <x:c r="GM1" s="14"/>
      <x:c r="GN1" s="14"/>
      <x:c r="GO1" s="14"/>
      <x:c r="GP1" s="14"/>
      <x:c r="GQ1" s="14"/>
      <x:c r="GR1" s="14"/>
      <x:c r="GS1" s="14"/>
      <x:c r="GT1" s="14"/>
      <x:c r="GU1" s="14"/>
      <x:c r="GV1" s="14"/>
      <x:c r="GW1" s="14"/>
      <x:c r="GX1" s="14"/>
      <x:c r="GY1" s="14"/>
      <x:c r="GZ1" s="14"/>
      <x:c r="HA1" s="14"/>
      <x:c r="HB1" s="14"/>
      <x:c r="HC1" s="14"/>
      <x:c r="HD1" s="14"/>
      <x:c r="HE1" s="14"/>
      <x:c r="HF1" s="14"/>
      <x:c r="HG1" s="14"/>
      <x:c r="HH1" s="14"/>
      <x:c r="HI1" s="14"/>
      <x:c r="HJ1" s="14"/>
      <x:c r="HK1" s="14"/>
      <x:c r="HL1" s="14"/>
      <x:c r="HM1" s="14"/>
      <x:c r="HN1" s="14"/>
      <x:c r="HO1" s="14"/>
      <x:c r="HP1" s="14"/>
      <x:c r="HQ1" s="14"/>
      <x:c r="HR1" s="14"/>
      <x:c r="HS1" s="14"/>
      <x:c r="HT1" s="14"/>
      <x:c r="HU1" s="14"/>
      <x:c r="HV1" s="14"/>
      <x:c r="HW1" s="14"/>
      <x:c r="HX1" s="14"/>
      <x:c r="HY1" s="14"/>
      <x:c r="HZ1" s="14"/>
      <x:c r="IA1" s="14"/>
      <x:c r="IB1" s="14"/>
      <x:c r="IC1" s="14"/>
      <x:c r="ID1" s="14"/>
      <x:c r="IE1" s="14"/>
      <x:c r="IF1" s="14"/>
      <x:c r="IG1" s="14"/>
      <x:c r="IH1" s="14"/>
      <x:c r="II1" s="14"/>
      <x:c r="IJ1" s="14"/>
      <x:c r="IK1" s="14"/>
      <x:c r="IL1" s="14"/>
      <x:c r="IM1" s="14"/>
      <x:c r="IN1" s="14"/>
      <x:c r="IO1" s="14"/>
      <x:c r="IP1" s="14"/>
      <x:c r="IQ1" s="14"/>
      <x:c r="IR1" s="14"/>
      <x:c r="IS1" s="14"/>
      <x:c r="IT1" s="14"/>
      <x:c r="IU1" s="14"/>
      <x:c r="IV1" s="14"/>
      <x:c r="IW1" s="14"/>
      <x:c r="IX1" s="14"/>
      <x:c r="IY1" s="14"/>
      <x:c r="IZ1" s="14"/>
      <x:c r="JA1" s="14"/>
      <x:c r="JB1" s="14"/>
      <x:c r="JC1" s="14"/>
      <x:c r="JD1" s="14"/>
      <x:c r="JE1" s="14"/>
      <x:c r="JF1" s="14"/>
      <x:c r="JG1" s="14"/>
      <x:c r="JH1" s="14"/>
      <x:c r="JI1" s="14"/>
      <x:c r="JJ1" s="14"/>
      <x:c r="JK1" s="14"/>
      <x:c r="JL1" s="14"/>
      <x:c r="JM1" s="14"/>
      <x:c r="JN1" s="14"/>
      <x:c r="JO1" s="14"/>
      <x:c r="JP1" s="14"/>
      <x:c r="JQ1" s="14"/>
      <x:c r="JR1" s="14"/>
      <x:c r="JS1" s="14"/>
      <x:c r="JT1" s="14"/>
      <x:c r="JU1" s="14"/>
      <x:c r="JV1" s="14"/>
      <x:c r="JW1" s="14"/>
      <x:c r="JX1" s="14"/>
      <x:c r="JY1" s="14"/>
      <x:c r="JZ1" s="14"/>
      <x:c r="KA1" s="14"/>
      <x:c r="KB1" s="14"/>
      <x:c r="KC1" s="14"/>
      <x:c r="KD1" s="14"/>
      <x:c r="KE1" s="14"/>
      <x:c r="KF1" s="14"/>
      <x:c r="KG1" s="14"/>
      <x:c r="KH1" s="14"/>
      <x:c r="KI1" s="14"/>
      <x:c r="KJ1" s="14"/>
      <x:c r="KK1" s="14"/>
      <x:c r="KL1" s="14"/>
      <x:c r="KM1" s="14"/>
      <x:c r="KN1" s="14"/>
      <x:c r="KO1" s="14"/>
      <x:c r="KP1" s="14"/>
      <x:c r="KQ1" s="14"/>
      <x:c r="KR1" s="14"/>
      <x:c r="KS1" s="14"/>
      <x:c r="KT1" s="14"/>
      <x:c r="KU1" s="14"/>
      <x:c r="KV1" s="14"/>
      <x:c r="KW1" s="14"/>
      <x:c r="KX1" s="14"/>
      <x:c r="KY1" s="14"/>
      <x:c r="KZ1" s="14"/>
      <x:c r="LA1" s="14"/>
      <x:c r="LB1" s="14"/>
      <x:c r="LC1" s="14"/>
      <x:c r="LD1" s="14"/>
      <x:c r="LE1" s="14"/>
      <x:c r="LF1" s="14"/>
      <x:c r="LG1" s="14"/>
      <x:c r="LH1" s="14"/>
      <x:c r="LI1" s="14"/>
      <x:c r="LJ1" s="14"/>
      <x:c r="LK1" s="14"/>
      <x:c r="LL1" s="14"/>
      <x:c r="LM1" s="14"/>
      <x:c r="LN1" s="14"/>
      <x:c r="LO1" s="14"/>
      <x:c r="LP1" s="14"/>
      <x:c r="LQ1" s="14"/>
      <x:c r="LR1" s="14"/>
      <x:c r="LS1" s="14"/>
      <x:c r="LT1" s="14"/>
      <x:c r="LU1" s="14"/>
      <x:c r="LV1" s="14"/>
      <x:c r="LW1" s="14"/>
      <x:c r="LX1" s="14"/>
      <x:c r="LY1" s="14"/>
      <x:c r="LZ1" s="14"/>
      <x:c r="MA1" s="14"/>
      <x:c r="MB1" s="14"/>
      <x:c r="MC1" s="14"/>
      <x:c r="MD1" s="14"/>
      <x:c r="ME1" s="14"/>
      <x:c r="MF1" s="14"/>
      <x:c r="MG1" s="14"/>
      <x:c r="MH1" s="14"/>
      <x:c r="MI1" s="14"/>
      <x:c r="MJ1" s="14"/>
      <x:c r="MK1" s="14"/>
      <x:c r="ML1" s="14"/>
      <x:c r="MM1" s="14"/>
      <x:c r="MN1" s="14"/>
      <x:c r="MO1" s="14"/>
      <x:c r="MP1" s="14"/>
      <x:c r="MQ1" s="14"/>
      <x:c r="MR1" s="14"/>
      <x:c r="MS1" s="14"/>
      <x:c r="MT1" s="14"/>
      <x:c r="MU1" s="14"/>
      <x:c r="MV1" s="14"/>
      <x:c r="MW1" s="14"/>
      <x:c r="MX1" s="14"/>
      <x:c r="MY1" s="14"/>
      <x:c r="MZ1" s="14"/>
      <x:c r="NA1" s="14"/>
      <x:c r="NB1" s="14"/>
      <x:c r="NC1" s="14"/>
      <x:c r="ND1" s="14"/>
      <x:c r="NE1" s="14"/>
      <x:c r="NF1" s="14"/>
      <x:c r="NG1" s="14"/>
      <x:c r="NH1" s="14"/>
      <x:c r="NI1" s="14"/>
      <x:c r="NJ1" s="14"/>
      <x:c r="NK1" s="14"/>
      <x:c r="NL1" s="14"/>
      <x:c r="NM1" s="14"/>
      <x:c r="NN1" s="14"/>
      <x:c r="NO1" s="14"/>
      <x:c r="NP1" s="14"/>
      <x:c r="NQ1" s="14"/>
      <x:c r="NR1" s="14"/>
      <x:c r="NS1" s="14"/>
      <x:c r="NT1" s="14"/>
      <x:c r="NU1" s="14"/>
      <x:c r="NV1" s="14"/>
      <x:c r="NW1" s="14"/>
      <x:c r="NX1" s="14"/>
      <x:c r="NY1" s="14"/>
      <x:c r="NZ1" s="14"/>
      <x:c r="OA1" s="14"/>
      <x:c r="OB1" s="14"/>
      <x:c r="OC1" s="14"/>
      <x:c r="OD1" s="14"/>
      <x:c r="OE1" s="14"/>
      <x:c r="OF1" s="14"/>
      <x:c r="OG1" s="14"/>
      <x:c r="OH1" s="14"/>
      <x:c r="OI1" s="14"/>
      <x:c r="OJ1" s="14"/>
      <x:c r="OK1" s="14"/>
      <x:c r="OL1" s="14"/>
      <x:c r="OM1" s="14"/>
      <x:c r="ON1" s="14"/>
      <x:c r="OO1" s="14"/>
      <x:c r="OP1" s="14"/>
      <x:c r="OQ1" s="14"/>
      <x:c r="OR1" s="14"/>
      <x:c r="OS1" s="14"/>
      <x:c r="OT1" s="14"/>
      <x:c r="OU1" s="14"/>
      <x:c r="OV1" s="14"/>
      <x:c r="OW1" s="14"/>
      <x:c r="OX1" s="14"/>
      <x:c r="OY1" s="14"/>
      <x:c r="OZ1" s="14"/>
      <x:c r="PA1" s="14"/>
      <x:c r="PB1" s="14"/>
      <x:c r="PC1" s="14"/>
      <x:c r="PD1" s="14"/>
      <x:c r="PE1" s="14"/>
      <x:c r="PF1" s="14"/>
      <x:c r="PG1" s="14"/>
      <x:c r="PH1" s="14"/>
      <x:c r="PI1" s="14"/>
      <x:c r="PJ1" s="14"/>
      <x:c r="PK1" s="14"/>
      <x:c r="PL1" s="14"/>
      <x:c r="PM1" s="14"/>
      <x:c r="PN1" s="14"/>
      <x:c r="PO1" s="14"/>
      <x:c r="PP1" s="14"/>
      <x:c r="PQ1" s="14"/>
      <x:c r="PR1" s="14"/>
      <x:c r="PS1" s="14"/>
      <x:c r="PT1" s="14"/>
      <x:c r="PU1" s="14"/>
      <x:c r="PV1" s="14"/>
      <x:c r="PW1" s="14"/>
      <x:c r="PX1" s="14"/>
      <x:c r="PY1" s="14"/>
      <x:c r="PZ1" s="14"/>
      <x:c r="QA1" s="14"/>
      <x:c r="QB1" s="14"/>
      <x:c r="QC1" s="14"/>
      <x:c r="QD1" s="14"/>
      <x:c r="QE1" s="14"/>
      <x:c r="QF1" s="14"/>
      <x:c r="QG1" s="14"/>
      <x:c r="QH1" s="14"/>
      <x:c r="QI1" s="14"/>
      <x:c r="QJ1" s="14"/>
      <x:c r="QK1" s="14"/>
      <x:c r="QL1" s="14"/>
      <x:c r="QM1" s="14"/>
      <x:c r="QN1" s="14"/>
      <x:c r="QO1" s="14"/>
      <x:c r="QP1" s="14"/>
      <x:c r="QQ1" s="14"/>
      <x:c r="QR1" s="14"/>
      <x:c r="QS1" s="14"/>
      <x:c r="QT1" s="14"/>
      <x:c r="QU1" s="14"/>
      <x:c r="QV1" s="14"/>
      <x:c r="QW1" s="14"/>
      <x:c r="QX1" s="14"/>
      <x:c r="QY1" s="14"/>
      <x:c r="QZ1" s="14"/>
      <x:c r="RA1" s="14"/>
      <x:c r="RB1" s="14"/>
      <x:c r="RC1" s="14"/>
      <x:c r="RD1" s="14"/>
      <x:c r="RE1" s="14"/>
      <x:c r="RF1" s="14"/>
      <x:c r="RG1" s="14"/>
      <x:c r="RH1" s="14"/>
      <x:c r="RI1" s="14"/>
      <x:c r="RJ1" s="14"/>
      <x:c r="RK1" s="14"/>
      <x:c r="RL1" s="14"/>
      <x:c r="RM1" s="14"/>
      <x:c r="RN1" s="14"/>
      <x:c r="RO1" s="14"/>
      <x:c r="RP1" s="14"/>
      <x:c r="RQ1" s="14"/>
      <x:c r="RR1" s="14"/>
      <x:c r="RS1" s="14"/>
      <x:c r="RT1" s="14"/>
      <x:c r="RU1" s="14"/>
      <x:c r="RV1" s="14"/>
      <x:c r="RW1" s="14"/>
      <x:c r="RX1" s="14"/>
      <x:c r="RY1" s="14"/>
      <x:c r="RZ1" s="14"/>
      <x:c r="SA1" s="14"/>
      <x:c r="SB1" s="14"/>
      <x:c r="SC1" s="14"/>
      <x:c r="SD1" s="14"/>
      <x:c r="SE1" s="14"/>
      <x:c r="SF1" s="14"/>
      <x:c r="SG1" s="14"/>
      <x:c r="SH1" s="14"/>
      <x:c r="SI1" s="14"/>
      <x:c r="SJ1" s="14"/>
      <x:c r="SK1" s="14"/>
      <x:c r="SL1" s="14"/>
      <x:c r="SM1" s="14"/>
      <x:c r="SN1" s="14"/>
      <x:c r="SO1" s="14"/>
      <x:c r="SP1" s="14"/>
      <x:c r="SQ1" s="14"/>
      <x:c r="SR1" s="14"/>
      <x:c r="SS1" s="14"/>
      <x:c r="ST1" s="14"/>
      <x:c r="SU1" s="14"/>
      <x:c r="SV1" s="14"/>
      <x:c r="SW1" s="14"/>
      <x:c r="SX1" s="14"/>
      <x:c r="SY1" s="14"/>
      <x:c r="SZ1" s="14"/>
      <x:c r="TA1" s="14"/>
      <x:c r="TB1" s="14"/>
      <x:c r="TC1" s="14"/>
      <x:c r="TD1" s="14"/>
      <x:c r="TE1" s="14"/>
      <x:c r="TF1" s="14"/>
      <x:c r="TG1" s="14"/>
      <x:c r="TH1" s="14"/>
    </x:row>
    <x:row r="2" ht="24" customHeight="1">
      <x:c r="A2" s="20" t="str">
        <x:v>武防／劍類　〔分類目錄〕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20" t="str">
        <x:v>武防／刀類　〔分類目錄〕</x:v>
      </x:c>
      <x:c r="G2" s="14"/>
      <x:c r="H2" s="14" t="str">
        <x:v>四類已得分</x:v>
      </x:c>
      <x:c r="I2" s="14" t="n">
        <x:f>SUM('武防'!B5,'配方'!B5,'法器'!B5,'封獸'!B5)</x:f>
        <x:v>0</x:v>
      </x:c>
      <x:c r="J2" s="14"/>
      <x:c r="K2" s="20" t="str">
        <x:v>武防／暗器類　〔分類目錄〕</x:v>
      </x:c>
      <x:c r="L2" s="14"/>
      <x:c r="M2" s="14" t="str">
        <x:v>四類已得分</x:v>
      </x:c>
      <x:c r="N2" s="14" t="n">
        <x:f>SUM('武防'!B5,'配方'!B5,'法器'!B5,'封獸'!B5)</x:f>
        <x:v>0</x:v>
      </x:c>
      <x:c r="O2" s="14"/>
      <x:c r="P2" s="20" t="str">
        <x:v>武防／拂塵類　〔分類目錄〕</x:v>
      </x:c>
      <x:c r="Q2" s="14"/>
      <x:c r="R2" s="14" t="str">
        <x:v>四類已得分</x:v>
      </x:c>
      <x:c r="S2" s="14" t="n">
        <x:f>SUM('武防'!B5,'配方'!B5,'法器'!B5,'封獸'!B5)</x:f>
        <x:v>0</x:v>
      </x:c>
      <x:c r="T2" s="14"/>
      <x:c r="U2" s="20" t="str">
        <x:v>武防／杖類　〔分類目錄〕</x:v>
      </x:c>
      <x:c r="V2" s="14"/>
      <x:c r="W2" s="14" t="str">
        <x:v>四類已得分</x:v>
      </x:c>
      <x:c r="X2" s="14" t="n">
        <x:f>SUM('武防'!B5,'配方'!B5,'法器'!B5,'封獸'!B5)</x:f>
        <x:v>0</x:v>
      </x:c>
      <x:c r="Y2" s="14"/>
      <x:c r="Z2" s="20" t="str">
        <x:v>武防／槍類　〔分類目錄〕</x:v>
      </x:c>
      <x:c r="AA2" s="14"/>
      <x:c r="AB2" s="14" t="str">
        <x:v>四類已得分</x:v>
      </x:c>
      <x:c r="AC2" s="14" t="n">
        <x:f>SUM('武防'!B5,'配方'!B5,'法器'!B5,'封獸'!B5)</x:f>
        <x:v>0</x:v>
      </x:c>
      <x:c r="AD2" s="14"/>
      <x:c r="AE2" s="20" t="str">
        <x:v>武防／棍類　〔分類目錄〕</x:v>
      </x:c>
      <x:c r="AF2" s="14"/>
      <x:c r="AG2" s="14" t="str">
        <x:v>四類已得分</x:v>
      </x:c>
      <x:c r="AH2" s="14" t="n">
        <x:f>SUM('武防'!B5,'配方'!B5,'法器'!B5,'封獸'!B5)</x:f>
        <x:v>0</x:v>
      </x:c>
      <x:c r="AI2" s="14"/>
      <x:c r="AJ2" s="20" t="str">
        <x:v>武防／錘類　〔分類目錄〕</x:v>
      </x:c>
      <x:c r="AK2" s="14"/>
      <x:c r="AL2" s="14" t="str">
        <x:v>四類已得分</x:v>
      </x:c>
      <x:c r="AM2" s="14" t="n">
        <x:f>SUM('武防'!B5,'配方'!B5,'法器'!B5,'封獸'!B5)</x:f>
        <x:v>0</x:v>
      </x:c>
      <x:c r="AN2" s="14"/>
      <x:c r="AO2" s="20" t="str">
        <x:v>武防／斧類　〔分類目錄〕</x:v>
      </x:c>
      <x:c r="AP2" s="14"/>
      <x:c r="AQ2" s="14" t="str">
        <x:v>四類已得分</x:v>
      </x:c>
      <x:c r="AR2" s="14" t="n">
        <x:f>SUM('武防'!B5,'配方'!B5,'法器'!B5,'封獸'!B5)</x:f>
        <x:v>0</x:v>
      </x:c>
      <x:c r="AS2" s="14"/>
      <x:c r="AT2" s="20" t="str">
        <x:v>武防／盾類　〔分類目錄〕</x:v>
      </x:c>
      <x:c r="AU2" s="14"/>
      <x:c r="AV2" s="14" t="str">
        <x:v>四類已得分</x:v>
      </x:c>
      <x:c r="AW2" s="14" t="n">
        <x:f>SUM('武防'!B5,'配方'!B5,'法器'!B5,'封獸'!B5)</x:f>
        <x:v>0</x:v>
      </x:c>
      <x:c r="AX2" s="14"/>
      <x:c r="AY2" s="20" t="str">
        <x:v>武防／帽子類　〔分類目錄〕</x:v>
      </x:c>
      <x:c r="AZ2" s="14"/>
      <x:c r="BA2" s="14" t="str">
        <x:v>四類已得分</x:v>
      </x:c>
      <x:c r="BB2" s="14" t="n">
        <x:f>SUM('武防'!B5,'配方'!B5,'法器'!B5,'封獸'!B5)</x:f>
        <x:v>0</x:v>
      </x:c>
      <x:c r="BC2" s="14"/>
      <x:c r="BD2" s="20" t="str">
        <x:v>武防／衣服類　〔分類目錄〕</x:v>
      </x:c>
      <x:c r="BE2" s="14"/>
      <x:c r="BF2" s="14" t="str">
        <x:v>四類已得分</x:v>
      </x:c>
      <x:c r="BG2" s="14" t="n">
        <x:f>SUM('武防'!B5,'配方'!B5,'法器'!B5,'封獸'!B5)</x:f>
        <x:v>0</x:v>
      </x:c>
      <x:c r="BH2" s="14"/>
      <x:c r="BI2" s="20" t="str">
        <x:v>武防／護腕類　〔分類目錄〕</x:v>
      </x:c>
      <x:c r="BJ2" s="14"/>
      <x:c r="BK2" s="14" t="str">
        <x:v>四類已得分</x:v>
      </x:c>
      <x:c r="BL2" s="14" t="n">
        <x:f>SUM('武防'!B5,'配方'!B5,'法器'!B5,'封獸'!B5)</x:f>
        <x:v>0</x:v>
      </x:c>
      <x:c r="BM2" s="14"/>
      <x:c r="BN2" s="20" t="str">
        <x:v>武防／鞋子類　〔分類目錄〕</x:v>
      </x:c>
      <x:c r="BO2" s="14"/>
      <x:c r="BP2" s="14" t="str">
        <x:v>四類已得分</x:v>
      </x:c>
      <x:c r="BQ2" s="14" t="n">
        <x:f>SUM('武防'!B5,'配方'!B5,'法器'!B5,'封獸'!B5)</x:f>
        <x:v>0</x:v>
      </x:c>
      <x:c r="BR2" s="14"/>
      <x:c r="BS2" s="20" t="str">
        <x:v>武防／飾品類　〔分類目錄〕</x:v>
      </x:c>
      <x:c r="BT2" s="14"/>
      <x:c r="BU2" s="14" t="str">
        <x:v>四類已得分</x:v>
      </x:c>
      <x:c r="BV2" s="14" t="n">
        <x:f>SUM('武防'!B5,'配方'!B5,'法器'!B5,'封獸'!B5)</x:f>
        <x:v>0</x:v>
      </x:c>
      <x:c r="BW2" s="14"/>
      <x:c r="BX2" s="20" t="str">
        <x:v>武防／仙器類　〔分類目錄〕</x:v>
      </x:c>
      <x:c r="BY2" s="14"/>
      <x:c r="BZ2" s="14" t="str">
        <x:v>四類已得分</x:v>
      </x:c>
      <x:c r="CA2" s="14" t="n">
        <x:f>SUM('武防'!B5,'配方'!B5,'法器'!B5,'封獸'!B5)</x:f>
        <x:v>0</x:v>
      </x:c>
      <x:c r="CB2" s="14"/>
      <x:c r="CC2" s="14"/>
      <x:c r="CD2" s="14"/>
      <x:c r="CE2" s="14"/>
      <x:c r="CF2" s="14"/>
      <x:c r="CG2" s="14"/>
      <x:c r="CH2" s="14"/>
      <x:c r="CI2" s="14"/>
      <x:c r="CJ2" s="14"/>
      <x:c r="CK2" s="14"/>
      <x:c r="CL2" s="14"/>
      <x:c r="CM2" s="14"/>
      <x:c r="CN2" s="14"/>
      <x:c r="CO2" s="14"/>
      <x:c r="CP2" s="14"/>
      <x:c r="CQ2" s="14"/>
      <x:c r="CR2" s="14"/>
      <x:c r="CS2" s="14"/>
      <x:c r="CT2" s="14"/>
      <x:c r="CU2" s="14"/>
      <x:c r="CV2" s="14"/>
      <x:c r="CW2" s="14"/>
      <x:c r="CX2" s="14"/>
      <x:c r="CY2" s="14"/>
      <x:c r="CZ2" s="14"/>
      <x:c r="DA2" s="14"/>
      <x:c r="DB2" s="14"/>
      <x:c r="DC2" s="14"/>
      <x:c r="DD2" s="14"/>
      <x:c r="DE2" s="14"/>
      <x:c r="DF2" s="14"/>
      <x:c r="DG2" s="14"/>
      <x:c r="DH2" s="14"/>
      <x:c r="DI2" s="14"/>
      <x:c r="DJ2" s="14"/>
      <x:c r="DK2" s="14"/>
      <x:c r="DL2" s="14"/>
      <x:c r="DM2" s="14"/>
      <x:c r="DN2" s="14"/>
      <x:c r="DO2" s="14"/>
      <x:c r="DP2" s="14"/>
      <x:c r="DQ2" s="14"/>
      <x:c r="DR2" s="14"/>
      <x:c r="DS2" s="14"/>
      <x:c r="DT2" s="14"/>
      <x:c r="DU2" s="14"/>
      <x:c r="DV2" s="14"/>
      <x:c r="DW2" s="14"/>
      <x:c r="DX2" s="14"/>
      <x:c r="DY2" s="14"/>
      <x:c r="DZ2" s="14"/>
      <x:c r="EA2" s="14"/>
      <x:c r="EB2" s="14"/>
      <x:c r="EC2" s="14"/>
      <x:c r="ED2" s="14"/>
      <x:c r="EE2" s="14"/>
      <x:c r="EF2" s="14"/>
      <x:c r="EG2" s="14"/>
      <x:c r="EH2" s="14"/>
      <x:c r="EI2" s="14"/>
      <x:c r="EJ2" s="14"/>
      <x:c r="EK2" s="14"/>
      <x:c r="EL2" s="14"/>
      <x:c r="EM2" s="14"/>
      <x:c r="EN2" s="14"/>
      <x:c r="EO2" s="14"/>
      <x:c r="EP2" s="14"/>
      <x:c r="EQ2" s="14"/>
      <x:c r="ER2" s="14"/>
      <x:c r="ES2" s="14"/>
      <x:c r="ET2" s="14"/>
      <x:c r="EU2" s="14"/>
      <x:c r="EV2" s="14"/>
      <x:c r="EW2" s="14"/>
      <x:c r="EX2" s="14"/>
      <x:c r="EY2" s="14"/>
      <x:c r="EZ2" s="14"/>
      <x:c r="FA2" s="14"/>
      <x:c r="FB2" s="14"/>
      <x:c r="FC2" s="14"/>
      <x:c r="FD2" s="14"/>
      <x:c r="FE2" s="14"/>
      <x:c r="FF2" s="14"/>
      <x:c r="FG2" s="14"/>
      <x:c r="FH2" s="14"/>
      <x:c r="FI2" s="14"/>
      <x:c r="FJ2" s="14"/>
      <x:c r="FK2" s="14"/>
      <x:c r="FL2" s="14"/>
      <x:c r="FM2" s="14"/>
      <x:c r="FN2" s="14"/>
      <x:c r="FO2" s="14"/>
      <x:c r="FP2" s="14"/>
      <x:c r="FQ2" s="14"/>
      <x:c r="FR2" s="14"/>
      <x:c r="FS2" s="14"/>
      <x:c r="FT2" s="14"/>
      <x:c r="FU2" s="14"/>
      <x:c r="FV2" s="14"/>
      <x:c r="FW2" s="14"/>
      <x:c r="FX2" s="14"/>
      <x:c r="FY2" s="14"/>
      <x:c r="FZ2" s="14"/>
      <x:c r="GA2" s="14"/>
      <x:c r="GB2" s="14"/>
      <x:c r="GC2" s="14"/>
      <x:c r="GD2" s="14"/>
      <x:c r="GE2" s="14"/>
      <x:c r="GF2" s="14"/>
      <x:c r="GG2" s="14"/>
      <x:c r="GH2" s="14"/>
      <x:c r="GI2" s="14"/>
      <x:c r="GJ2" s="14"/>
      <x:c r="GK2" s="14"/>
      <x:c r="GL2" s="14"/>
      <x:c r="GM2" s="14"/>
      <x:c r="GN2" s="14"/>
      <x:c r="GO2" s="14"/>
      <x:c r="GP2" s="14"/>
      <x:c r="GQ2" s="14"/>
      <x:c r="GR2" s="14"/>
      <x:c r="GS2" s="14"/>
      <x:c r="GT2" s="14"/>
      <x:c r="GU2" s="14"/>
      <x:c r="GV2" s="14"/>
      <x:c r="GW2" s="14"/>
      <x:c r="GX2" s="14"/>
      <x:c r="GY2" s="14"/>
      <x:c r="GZ2" s="14"/>
      <x:c r="HA2" s="14"/>
      <x:c r="HB2" s="14"/>
      <x:c r="HC2" s="14"/>
      <x:c r="HD2" s="14"/>
      <x:c r="HE2" s="14"/>
      <x:c r="HF2" s="14"/>
      <x:c r="HG2" s="14"/>
      <x:c r="HH2" s="14"/>
      <x:c r="HI2" s="14"/>
      <x:c r="HJ2" s="14"/>
      <x:c r="HK2" s="14"/>
      <x:c r="HL2" s="14"/>
      <x:c r="HM2" s="14"/>
      <x:c r="HN2" s="14"/>
      <x:c r="HO2" s="14"/>
      <x:c r="HP2" s="14"/>
      <x:c r="HQ2" s="14"/>
      <x:c r="HR2" s="14"/>
      <x:c r="HS2" s="14"/>
      <x:c r="HT2" s="14"/>
      <x:c r="HU2" s="14"/>
      <x:c r="HV2" s="14"/>
      <x:c r="HW2" s="14"/>
      <x:c r="HX2" s="14"/>
      <x:c r="HY2" s="14"/>
      <x:c r="HZ2" s="14"/>
      <x:c r="IA2" s="14"/>
      <x:c r="IB2" s="14"/>
      <x:c r="IC2" s="14"/>
      <x:c r="ID2" s="14"/>
      <x:c r="IE2" s="14"/>
      <x:c r="IF2" s="14"/>
      <x:c r="IG2" s="14"/>
      <x:c r="IH2" s="14"/>
      <x:c r="II2" s="14"/>
      <x:c r="IJ2" s="14"/>
      <x:c r="IK2" s="14"/>
      <x:c r="IL2" s="14"/>
      <x:c r="IM2" s="14"/>
      <x:c r="IN2" s="14"/>
      <x:c r="IO2" s="14"/>
      <x:c r="IP2" s="14"/>
      <x:c r="IQ2" s="14"/>
      <x:c r="IR2" s="14"/>
      <x:c r="IS2" s="14"/>
      <x:c r="IT2" s="14"/>
      <x:c r="IU2" s="14"/>
      <x:c r="IV2" s="14"/>
      <x:c r="IW2" s="14"/>
      <x:c r="IX2" s="14"/>
      <x:c r="IY2" s="14"/>
      <x:c r="IZ2" s="14"/>
      <x:c r="JA2" s="14"/>
      <x:c r="JB2" s="14"/>
      <x:c r="JC2" s="14"/>
      <x:c r="JD2" s="14"/>
      <x:c r="JE2" s="14"/>
      <x:c r="JF2" s="14"/>
      <x:c r="JG2" s="14"/>
      <x:c r="JH2" s="14"/>
      <x:c r="JI2" s="14"/>
      <x:c r="JJ2" s="14"/>
      <x:c r="JK2" s="14"/>
      <x:c r="JL2" s="14"/>
      <x:c r="JM2" s="14"/>
      <x:c r="JN2" s="14"/>
      <x:c r="JO2" s="14"/>
      <x:c r="JP2" s="14"/>
      <x:c r="JQ2" s="14"/>
      <x:c r="JR2" s="14"/>
      <x:c r="JS2" s="14"/>
      <x:c r="JT2" s="14"/>
      <x:c r="JU2" s="14"/>
      <x:c r="JV2" s="14"/>
      <x:c r="JW2" s="14"/>
      <x:c r="JX2" s="14"/>
      <x:c r="JY2" s="14"/>
      <x:c r="JZ2" s="14"/>
      <x:c r="KA2" s="14"/>
      <x:c r="KB2" s="14"/>
      <x:c r="KC2" s="14"/>
      <x:c r="KD2" s="14"/>
      <x:c r="KE2" s="14"/>
      <x:c r="KF2" s="14"/>
      <x:c r="KG2" s="14"/>
      <x:c r="KH2" s="14"/>
      <x:c r="KI2" s="14"/>
      <x:c r="KJ2" s="14"/>
      <x:c r="KK2" s="14"/>
      <x:c r="KL2" s="14"/>
      <x:c r="KM2" s="14"/>
      <x:c r="KN2" s="14"/>
      <x:c r="KO2" s="14"/>
      <x:c r="KP2" s="14"/>
      <x:c r="KQ2" s="14"/>
      <x:c r="KR2" s="14"/>
      <x:c r="KS2" s="14"/>
      <x:c r="KT2" s="14"/>
      <x:c r="KU2" s="14"/>
      <x:c r="KV2" s="14"/>
      <x:c r="KW2" s="14"/>
      <x:c r="KX2" s="14"/>
      <x:c r="KY2" s="14"/>
      <x:c r="KZ2" s="14"/>
      <x:c r="LA2" s="14"/>
      <x:c r="LB2" s="14"/>
      <x:c r="LC2" s="14"/>
      <x:c r="LD2" s="14"/>
      <x:c r="LE2" s="14"/>
      <x:c r="LF2" s="14"/>
      <x:c r="LG2" s="14"/>
      <x:c r="LH2" s="14"/>
      <x:c r="LI2" s="14"/>
      <x:c r="LJ2" s="14"/>
      <x:c r="LK2" s="14"/>
      <x:c r="LL2" s="14"/>
      <x:c r="LM2" s="14"/>
      <x:c r="LN2" s="14"/>
      <x:c r="LO2" s="14"/>
      <x:c r="LP2" s="14"/>
      <x:c r="LQ2" s="14"/>
      <x:c r="LR2" s="14"/>
      <x:c r="LS2" s="14"/>
      <x:c r="LT2" s="14"/>
      <x:c r="LU2" s="14"/>
      <x:c r="LV2" s="14"/>
      <x:c r="LW2" s="14"/>
      <x:c r="LX2" s="14"/>
      <x:c r="LY2" s="14"/>
      <x:c r="LZ2" s="14"/>
      <x:c r="MA2" s="14"/>
      <x:c r="MB2" s="14"/>
      <x:c r="MC2" s="14"/>
      <x:c r="MD2" s="14"/>
      <x:c r="ME2" s="14"/>
      <x:c r="MF2" s="14"/>
      <x:c r="MG2" s="14"/>
      <x:c r="MH2" s="14"/>
      <x:c r="MI2" s="14"/>
      <x:c r="MJ2" s="14"/>
      <x:c r="MK2" s="14"/>
      <x:c r="ML2" s="14"/>
      <x:c r="MM2" s="14"/>
      <x:c r="MN2" s="14"/>
      <x:c r="MO2" s="14"/>
      <x:c r="MP2" s="14"/>
      <x:c r="MQ2" s="14"/>
      <x:c r="MR2" s="14"/>
      <x:c r="MS2" s="14"/>
      <x:c r="MT2" s="14"/>
      <x:c r="MU2" s="14"/>
      <x:c r="MV2" s="14"/>
      <x:c r="MW2" s="14"/>
      <x:c r="MX2" s="14"/>
      <x:c r="MY2" s="14"/>
      <x:c r="MZ2" s="14"/>
      <x:c r="NA2" s="14"/>
      <x:c r="NB2" s="14"/>
      <x:c r="NC2" s="14"/>
      <x:c r="ND2" s="14"/>
      <x:c r="NE2" s="14"/>
      <x:c r="NF2" s="14"/>
      <x:c r="NG2" s="14"/>
      <x:c r="NH2" s="14"/>
      <x:c r="NI2" s="14"/>
      <x:c r="NJ2" s="14"/>
      <x:c r="NK2" s="14"/>
      <x:c r="NL2" s="14"/>
      <x:c r="NM2" s="14"/>
      <x:c r="NN2" s="14"/>
      <x:c r="NO2" s="14"/>
      <x:c r="NP2" s="14"/>
      <x:c r="NQ2" s="14"/>
      <x:c r="NR2" s="14"/>
      <x:c r="NS2" s="14"/>
      <x:c r="NT2" s="14"/>
      <x:c r="NU2" s="14"/>
      <x:c r="NV2" s="14"/>
      <x:c r="NW2" s="14"/>
      <x:c r="NX2" s="14"/>
      <x:c r="NY2" s="14"/>
      <x:c r="NZ2" s="14"/>
      <x:c r="OA2" s="14"/>
      <x:c r="OB2" s="14"/>
      <x:c r="OC2" s="14"/>
      <x:c r="OD2" s="14"/>
      <x:c r="OE2" s="14"/>
      <x:c r="OF2" s="14"/>
      <x:c r="OG2" s="14"/>
      <x:c r="OH2" s="14"/>
      <x:c r="OI2" s="14"/>
      <x:c r="OJ2" s="14"/>
      <x:c r="OK2" s="14"/>
      <x:c r="OL2" s="14"/>
      <x:c r="OM2" s="14"/>
      <x:c r="ON2" s="14"/>
      <x:c r="OO2" s="14"/>
      <x:c r="OP2" s="14"/>
      <x:c r="OQ2" s="14"/>
      <x:c r="OR2" s="14"/>
      <x:c r="OS2" s="14"/>
      <x:c r="OT2" s="14"/>
      <x:c r="OU2" s="14"/>
      <x:c r="OV2" s="14"/>
      <x:c r="OW2" s="14"/>
      <x:c r="OX2" s="14"/>
      <x:c r="OY2" s="14"/>
      <x:c r="OZ2" s="14"/>
      <x:c r="PA2" s="14"/>
      <x:c r="PB2" s="14"/>
      <x:c r="PC2" s="14"/>
      <x:c r="PD2" s="14"/>
      <x:c r="PE2" s="14"/>
      <x:c r="PF2" s="14"/>
      <x:c r="PG2" s="14"/>
      <x:c r="PH2" s="14"/>
      <x:c r="PI2" s="14"/>
      <x:c r="PJ2" s="14"/>
      <x:c r="PK2" s="14"/>
      <x:c r="PL2" s="14"/>
      <x:c r="PM2" s="14"/>
      <x:c r="PN2" s="14"/>
      <x:c r="PO2" s="14"/>
      <x:c r="PP2" s="14"/>
      <x:c r="PQ2" s="14"/>
      <x:c r="PR2" s="14"/>
      <x:c r="PS2" s="14"/>
      <x:c r="PT2" s="14"/>
      <x:c r="PU2" s="14"/>
      <x:c r="PV2" s="14"/>
      <x:c r="PW2" s="14"/>
      <x:c r="PX2" s="14"/>
      <x:c r="PY2" s="14"/>
      <x:c r="PZ2" s="14"/>
      <x:c r="QA2" s="14"/>
      <x:c r="QB2" s="14"/>
      <x:c r="QC2" s="14"/>
      <x:c r="QD2" s="14"/>
      <x:c r="QE2" s="14"/>
      <x:c r="QF2" s="14"/>
      <x:c r="QG2" s="14"/>
      <x:c r="QH2" s="14"/>
      <x:c r="QI2" s="14"/>
      <x:c r="QJ2" s="14"/>
      <x:c r="QK2" s="14"/>
      <x:c r="QL2" s="14"/>
      <x:c r="QM2" s="14"/>
      <x:c r="QN2" s="14"/>
      <x:c r="QO2" s="14"/>
      <x:c r="QP2" s="14"/>
      <x:c r="QQ2" s="14"/>
      <x:c r="QR2" s="14"/>
      <x:c r="QS2" s="14"/>
      <x:c r="QT2" s="14"/>
      <x:c r="QU2" s="14"/>
      <x:c r="QV2" s="14"/>
      <x:c r="QW2" s="14"/>
      <x:c r="QX2" s="14"/>
      <x:c r="QY2" s="14"/>
      <x:c r="QZ2" s="14"/>
      <x:c r="RA2" s="14"/>
      <x:c r="RB2" s="14"/>
      <x:c r="RC2" s="14"/>
      <x:c r="RD2" s="14"/>
      <x:c r="RE2" s="14"/>
      <x:c r="RF2" s="14"/>
      <x:c r="RG2" s="14"/>
      <x:c r="RH2" s="14"/>
      <x:c r="RI2" s="14"/>
      <x:c r="RJ2" s="14"/>
      <x:c r="RK2" s="14"/>
      <x:c r="RL2" s="14"/>
      <x:c r="RM2" s="14"/>
      <x:c r="RN2" s="14"/>
      <x:c r="RO2" s="14"/>
      <x:c r="RP2" s="14"/>
      <x:c r="RQ2" s="14"/>
      <x:c r="RR2" s="14"/>
      <x:c r="RS2" s="14"/>
      <x:c r="RT2" s="14"/>
      <x:c r="RU2" s="14"/>
      <x:c r="RV2" s="14"/>
      <x:c r="RW2" s="14"/>
      <x:c r="RX2" s="14"/>
      <x:c r="RY2" s="14"/>
      <x:c r="RZ2" s="14"/>
      <x:c r="SA2" s="14"/>
      <x:c r="SB2" s="14"/>
      <x:c r="SC2" s="14"/>
      <x:c r="SD2" s="14"/>
      <x:c r="SE2" s="14"/>
      <x:c r="SF2" s="14"/>
      <x:c r="SG2" s="14"/>
      <x:c r="SH2" s="14"/>
      <x:c r="SI2" s="14"/>
      <x:c r="SJ2" s="14"/>
      <x:c r="SK2" s="14"/>
      <x:c r="SL2" s="14"/>
      <x:c r="SM2" s="14"/>
      <x:c r="SN2" s="14"/>
      <x:c r="SO2" s="14"/>
      <x:c r="SP2" s="14"/>
      <x:c r="SQ2" s="14"/>
      <x:c r="SR2" s="14"/>
      <x:c r="SS2" s="14"/>
      <x:c r="ST2" s="14"/>
      <x:c r="SU2" s="14"/>
      <x:c r="SV2" s="14"/>
      <x:c r="SW2" s="14"/>
      <x:c r="SX2" s="14"/>
      <x:c r="SY2" s="14"/>
      <x:c r="SZ2" s="14"/>
      <x:c r="TA2" s="14"/>
      <x:c r="TB2" s="14"/>
      <x:c r="TC2" s="14"/>
      <x:c r="TD2" s="14"/>
      <x:c r="TE2" s="14"/>
      <x:c r="TF2" s="14"/>
      <x:c r="TG2" s="14"/>
      <x:c r="TH2" s="14"/>
    </x:row>
    <x:row r="3" ht="19" customHeight="1">
      <x:c r="A3" s="27" t="str">
        <x:v>上一類</x:v>
      </x:c>
      <x:c r="B3" s="27" t="str">
        <x:v>下一類</x:v>
      </x:c>
      <x:c r="C3" s="14" t="str">
        <x:v>四類總分</x:v>
      </x:c>
      <x:c r="D3" s="14" t="n">
        <x:f>SUM('武防'!C5,'配方'!C5,'法器'!C5,'封獸'!C5)</x:f>
        <x:v>35704</x:v>
      </x:c>
      <x:c r="E3" s="14"/>
      <x:c r="F3" s="27" t="str">
        <x:v>上一類</x:v>
      </x:c>
      <x:c r="G3" s="27" t="str">
        <x:v>下一類</x:v>
      </x:c>
      <x:c r="H3" s="14" t="str">
        <x:v>四類總分</x:v>
      </x:c>
      <x:c r="I3" s="14" t="n">
        <x:f>SUM('武防'!C5,'配方'!C5,'法器'!C5,'封獸'!C5)</x:f>
        <x:v>35704</x:v>
      </x:c>
      <x:c r="J3" s="14"/>
      <x:c r="K3" s="27" t="str">
        <x:v>上一類</x:v>
      </x:c>
      <x:c r="L3" s="27" t="str">
        <x:v>下一類</x:v>
      </x:c>
      <x:c r="M3" s="14" t="str">
        <x:v>四類總分</x:v>
      </x:c>
      <x:c r="N3" s="14" t="n">
        <x:f>SUM('武防'!C5,'配方'!C5,'法器'!C5,'封獸'!C5)</x:f>
        <x:v>35704</x:v>
      </x:c>
      <x:c r="O3" s="14"/>
      <x:c r="P3" s="27" t="str">
        <x:v>上一類</x:v>
      </x:c>
      <x:c r="Q3" s="27" t="str">
        <x:v>下一類</x:v>
      </x:c>
      <x:c r="R3" s="14" t="str">
        <x:v>四類總分</x:v>
      </x:c>
      <x:c r="S3" s="14" t="n">
        <x:f>SUM('武防'!C5,'配方'!C5,'法器'!C5,'封獸'!C5)</x:f>
        <x:v>35704</x:v>
      </x:c>
      <x:c r="T3" s="14"/>
      <x:c r="U3" s="27" t="str">
        <x:v>上一類</x:v>
      </x:c>
      <x:c r="V3" s="27" t="str">
        <x:v>下一類</x:v>
      </x:c>
      <x:c r="W3" s="14" t="str">
        <x:v>四類總分</x:v>
      </x:c>
      <x:c r="X3" s="14" t="n">
        <x:f>SUM('武防'!C5,'配方'!C5,'法器'!C5,'封獸'!C5)</x:f>
        <x:v>35704</x:v>
      </x:c>
      <x:c r="Y3" s="14"/>
      <x:c r="Z3" s="27" t="str">
        <x:v>上一類</x:v>
      </x:c>
      <x:c r="AA3" s="27" t="str">
        <x:v>下一類</x:v>
      </x:c>
      <x:c r="AB3" s="14" t="str">
        <x:v>四類總分</x:v>
      </x:c>
      <x:c r="AC3" s="14" t="n">
        <x:f>SUM('武防'!C5,'配方'!C5,'法器'!C5,'封獸'!C5)</x:f>
        <x:v>35704</x:v>
      </x:c>
      <x:c r="AD3" s="14"/>
      <x:c r="AE3" s="27" t="str">
        <x:v>上一類</x:v>
      </x:c>
      <x:c r="AF3" s="27" t="str">
        <x:v>下一類</x:v>
      </x:c>
      <x:c r="AG3" s="14" t="str">
        <x:v>四類總分</x:v>
      </x:c>
      <x:c r="AH3" s="14" t="n">
        <x:f>SUM('武防'!C5,'配方'!C5,'法器'!C5,'封獸'!C5)</x:f>
        <x:v>35704</x:v>
      </x:c>
      <x:c r="AI3" s="14"/>
      <x:c r="AJ3" s="27" t="str">
        <x:v>上一類</x:v>
      </x:c>
      <x:c r="AK3" s="27" t="str">
        <x:v>下一類</x:v>
      </x:c>
      <x:c r="AL3" s="14" t="str">
        <x:v>四類總分</x:v>
      </x:c>
      <x:c r="AM3" s="14" t="n">
        <x:f>SUM('武防'!C5,'配方'!C5,'法器'!C5,'封獸'!C5)</x:f>
        <x:v>35704</x:v>
      </x:c>
      <x:c r="AN3" s="14"/>
      <x:c r="AO3" s="27" t="str">
        <x:v>上一類</x:v>
      </x:c>
      <x:c r="AP3" s="27" t="str">
        <x:v>下一類</x:v>
      </x:c>
      <x:c r="AQ3" s="14" t="str">
        <x:v>四類總分</x:v>
      </x:c>
      <x:c r="AR3" s="14" t="n">
        <x:f>SUM('武防'!C5,'配方'!C5,'法器'!C5,'封獸'!C5)</x:f>
        <x:v>35704</x:v>
      </x:c>
      <x:c r="AS3" s="14"/>
      <x:c r="AT3" s="27" t="str">
        <x:v>上一類</x:v>
      </x:c>
      <x:c r="AU3" s="27" t="str">
        <x:v>下一類</x:v>
      </x:c>
      <x:c r="AV3" s="14" t="str">
        <x:v>四類總分</x:v>
      </x:c>
      <x:c r="AW3" s="14" t="n">
        <x:f>SUM('武防'!C5,'配方'!C5,'法器'!C5,'封獸'!C5)</x:f>
        <x:v>35704</x:v>
      </x:c>
      <x:c r="AX3" s="14"/>
      <x:c r="AY3" s="27" t="str">
        <x:v>上一類</x:v>
      </x:c>
      <x:c r="AZ3" s="27" t="str">
        <x:v>下一類</x:v>
      </x:c>
      <x:c r="BA3" s="14" t="str">
        <x:v>四類總分</x:v>
      </x:c>
      <x:c r="BB3" s="14" t="n">
        <x:f>SUM('武防'!C5,'配方'!C5,'法器'!C5,'封獸'!C5)</x:f>
        <x:v>35704</x:v>
      </x:c>
      <x:c r="BC3" s="14"/>
      <x:c r="BD3" s="27" t="str">
        <x:v>上一類</x:v>
      </x:c>
      <x:c r="BE3" s="27" t="str">
        <x:v>下一類</x:v>
      </x:c>
      <x:c r="BF3" s="14" t="str">
        <x:v>四類總分</x:v>
      </x:c>
      <x:c r="BG3" s="14" t="n">
        <x:f>SUM('武防'!C5,'配方'!C5,'法器'!C5,'封獸'!C5)</x:f>
        <x:v>35704</x:v>
      </x:c>
      <x:c r="BH3" s="14"/>
      <x:c r="BI3" s="27" t="str">
        <x:v>上一類</x:v>
      </x:c>
      <x:c r="BJ3" s="27" t="str">
        <x:v>下一類</x:v>
      </x:c>
      <x:c r="BK3" s="14" t="str">
        <x:v>四類總分</x:v>
      </x:c>
      <x:c r="BL3" s="14" t="n">
        <x:f>SUM('武防'!C5,'配方'!C5,'法器'!C5,'封獸'!C5)</x:f>
        <x:v>35704</x:v>
      </x:c>
      <x:c r="BM3" s="14"/>
      <x:c r="BN3" s="27" t="str">
        <x:v>上一類</x:v>
      </x:c>
      <x:c r="BO3" s="27" t="str">
        <x:v>下一類</x:v>
      </x:c>
      <x:c r="BP3" s="14" t="str">
        <x:v>四類總分</x:v>
      </x:c>
      <x:c r="BQ3" s="14" t="n">
        <x:f>SUM('武防'!C5,'配方'!C5,'法器'!C5,'封獸'!C5)</x:f>
        <x:v>35704</x:v>
      </x:c>
      <x:c r="BR3" s="14"/>
      <x:c r="BS3" s="27" t="str">
        <x:v>上一類</x:v>
      </x:c>
      <x:c r="BT3" s="27" t="str">
        <x:v>下一類</x:v>
      </x:c>
      <x:c r="BU3" s="14" t="str">
        <x:v>四類總分</x:v>
      </x:c>
      <x:c r="BV3" s="14" t="n">
        <x:f>SUM('武防'!C5,'配方'!C5,'法器'!C5,'封獸'!C5)</x:f>
        <x:v>35704</x:v>
      </x:c>
      <x:c r="BW3" s="14"/>
      <x:c r="BX3" s="27" t="str">
        <x:v>上一類</x:v>
      </x:c>
      <x:c r="BY3" s="27" t="str">
        <x:v>下一類</x:v>
      </x:c>
      <x:c r="BZ3" s="14" t="str">
        <x:v>四類總分</x:v>
      </x:c>
      <x:c r="CA3" s="14" t="n">
        <x:f>SUM('武防'!C5,'配方'!C5,'法器'!C5,'封獸'!C5)</x:f>
        <x:v>35704</x:v>
      </x:c>
      <x:c r="CB3" s="14"/>
      <x:c r="CC3" s="14"/>
      <x:c r="CD3" s="14"/>
      <x:c r="CE3" s="14"/>
      <x:c r="CF3" s="14"/>
      <x:c r="CG3" s="14"/>
      <x:c r="CH3" s="14"/>
      <x:c r="CI3" s="14"/>
      <x:c r="CJ3" s="14"/>
      <x:c r="CK3" s="14"/>
      <x:c r="CL3" s="14"/>
      <x:c r="CM3" s="14"/>
      <x:c r="CN3" s="14"/>
      <x:c r="CO3" s="14"/>
      <x:c r="CP3" s="14"/>
      <x:c r="CQ3" s="14"/>
      <x:c r="CR3" s="14"/>
      <x:c r="CS3" s="14"/>
      <x:c r="CT3" s="14"/>
      <x:c r="CU3" s="14"/>
      <x:c r="CV3" s="14"/>
      <x:c r="CW3" s="14"/>
      <x:c r="CX3" s="14"/>
      <x:c r="CY3" s="14"/>
      <x:c r="CZ3" s="14"/>
      <x:c r="DA3" s="14"/>
      <x:c r="DB3" s="14"/>
      <x:c r="DC3" s="14"/>
      <x:c r="DD3" s="14"/>
      <x:c r="DE3" s="14"/>
      <x:c r="DF3" s="14"/>
      <x:c r="DG3" s="14"/>
      <x:c r="DH3" s="14"/>
      <x:c r="DI3" s="14"/>
      <x:c r="DJ3" s="14"/>
      <x:c r="DK3" s="14"/>
      <x:c r="DL3" s="14"/>
      <x:c r="DM3" s="14"/>
      <x:c r="DN3" s="14"/>
      <x:c r="DO3" s="14"/>
      <x:c r="DP3" s="14"/>
      <x:c r="DQ3" s="14"/>
      <x:c r="DR3" s="14"/>
      <x:c r="DS3" s="14"/>
      <x:c r="DT3" s="14"/>
      <x:c r="DU3" s="14"/>
      <x:c r="DV3" s="14"/>
      <x:c r="DW3" s="14"/>
      <x:c r="DX3" s="14"/>
      <x:c r="DY3" s="14"/>
      <x:c r="DZ3" s="14"/>
      <x:c r="EA3" s="14"/>
      <x:c r="EB3" s="14"/>
      <x:c r="EC3" s="14"/>
      <x:c r="ED3" s="14"/>
      <x:c r="EE3" s="14"/>
      <x:c r="EF3" s="14"/>
      <x:c r="EG3" s="14"/>
      <x:c r="EH3" s="14"/>
      <x:c r="EI3" s="14"/>
      <x:c r="EJ3" s="14"/>
      <x:c r="EK3" s="14"/>
      <x:c r="EL3" s="14"/>
      <x:c r="EM3" s="14"/>
      <x:c r="EN3" s="14"/>
      <x:c r="EO3" s="14"/>
      <x:c r="EP3" s="14"/>
      <x:c r="EQ3" s="14"/>
      <x:c r="ER3" s="14"/>
      <x:c r="ES3" s="14"/>
      <x:c r="ET3" s="14"/>
      <x:c r="EU3" s="14"/>
      <x:c r="EV3" s="14"/>
      <x:c r="EW3" s="14"/>
      <x:c r="EX3" s="14"/>
      <x:c r="EY3" s="14"/>
      <x:c r="EZ3" s="14"/>
      <x:c r="FA3" s="14"/>
      <x:c r="FB3" s="14"/>
      <x:c r="FC3" s="14"/>
      <x:c r="FD3" s="14"/>
      <x:c r="FE3" s="14"/>
      <x:c r="FF3" s="14"/>
      <x:c r="FG3" s="14"/>
      <x:c r="FH3" s="14"/>
      <x:c r="FI3" s="14"/>
      <x:c r="FJ3" s="14"/>
      <x:c r="FK3" s="14"/>
      <x:c r="FL3" s="14"/>
      <x:c r="FM3" s="14"/>
      <x:c r="FN3" s="14"/>
      <x:c r="FO3" s="14"/>
      <x:c r="FP3" s="14"/>
      <x:c r="FQ3" s="14"/>
      <x:c r="FR3" s="14"/>
      <x:c r="FS3" s="14"/>
      <x:c r="FT3" s="14"/>
      <x:c r="FU3" s="14"/>
      <x:c r="FV3" s="14"/>
      <x:c r="FW3" s="14"/>
      <x:c r="FX3" s="14"/>
      <x:c r="FY3" s="14"/>
      <x:c r="FZ3" s="14"/>
      <x:c r="GA3" s="14"/>
      <x:c r="GB3" s="14"/>
      <x:c r="GC3" s="14"/>
      <x:c r="GD3" s="14"/>
      <x:c r="GE3" s="14"/>
      <x:c r="GF3" s="14"/>
      <x:c r="GG3" s="14"/>
      <x:c r="GH3" s="14"/>
      <x:c r="GI3" s="14"/>
      <x:c r="GJ3" s="14"/>
      <x:c r="GK3" s="14"/>
      <x:c r="GL3" s="14"/>
      <x:c r="GM3" s="14"/>
      <x:c r="GN3" s="14"/>
      <x:c r="GO3" s="14"/>
      <x:c r="GP3" s="14"/>
      <x:c r="GQ3" s="14"/>
      <x:c r="GR3" s="14"/>
      <x:c r="GS3" s="14"/>
      <x:c r="GT3" s="14"/>
      <x:c r="GU3" s="14"/>
      <x:c r="GV3" s="14"/>
      <x:c r="GW3" s="14"/>
      <x:c r="GX3" s="14"/>
      <x:c r="GY3" s="14"/>
      <x:c r="GZ3" s="14"/>
      <x:c r="HA3" s="14"/>
      <x:c r="HB3" s="14"/>
      <x:c r="HC3" s="14"/>
      <x:c r="HD3" s="14"/>
      <x:c r="HE3" s="14"/>
      <x:c r="HF3" s="14"/>
      <x:c r="HG3" s="14"/>
      <x:c r="HH3" s="14"/>
      <x:c r="HI3" s="14"/>
      <x:c r="HJ3" s="14"/>
      <x:c r="HK3" s="14"/>
      <x:c r="HL3" s="14"/>
      <x:c r="HM3" s="14"/>
      <x:c r="HN3" s="14"/>
      <x:c r="HO3" s="14"/>
      <x:c r="HP3" s="14"/>
      <x:c r="HQ3" s="14"/>
      <x:c r="HR3" s="14"/>
      <x:c r="HS3" s="14"/>
      <x:c r="HT3" s="14"/>
      <x:c r="HU3" s="14"/>
      <x:c r="HV3" s="14"/>
      <x:c r="HW3" s="14"/>
      <x:c r="HX3" s="14"/>
      <x:c r="HY3" s="14"/>
      <x:c r="HZ3" s="14"/>
      <x:c r="IA3" s="14"/>
      <x:c r="IB3" s="14"/>
      <x:c r="IC3" s="14"/>
      <x:c r="ID3" s="14"/>
      <x:c r="IE3" s="14"/>
      <x:c r="IF3" s="14"/>
      <x:c r="IG3" s="14"/>
      <x:c r="IH3" s="14"/>
      <x:c r="II3" s="14"/>
      <x:c r="IJ3" s="14"/>
      <x:c r="IK3" s="14"/>
      <x:c r="IL3" s="14"/>
      <x:c r="IM3" s="14"/>
      <x:c r="IN3" s="14"/>
      <x:c r="IO3" s="14"/>
      <x:c r="IP3" s="14"/>
      <x:c r="IQ3" s="14"/>
      <x:c r="IR3" s="14"/>
      <x:c r="IS3" s="14"/>
      <x:c r="IT3" s="14"/>
      <x:c r="IU3" s="14"/>
      <x:c r="IV3" s="14"/>
      <x:c r="IW3" s="14"/>
      <x:c r="IX3" s="14"/>
      <x:c r="IY3" s="14"/>
      <x:c r="IZ3" s="14"/>
      <x:c r="JA3" s="14"/>
      <x:c r="JB3" s="14"/>
      <x:c r="JC3" s="14"/>
      <x:c r="JD3" s="14"/>
      <x:c r="JE3" s="14"/>
      <x:c r="JF3" s="14"/>
      <x:c r="JG3" s="14"/>
      <x:c r="JH3" s="14"/>
      <x:c r="JI3" s="14"/>
      <x:c r="JJ3" s="14"/>
      <x:c r="JK3" s="14"/>
      <x:c r="JL3" s="14"/>
      <x:c r="JM3" s="14"/>
      <x:c r="JN3" s="14"/>
      <x:c r="JO3" s="14"/>
      <x:c r="JP3" s="14"/>
      <x:c r="JQ3" s="14"/>
      <x:c r="JR3" s="14"/>
      <x:c r="JS3" s="14"/>
      <x:c r="JT3" s="14"/>
      <x:c r="JU3" s="14"/>
      <x:c r="JV3" s="14"/>
      <x:c r="JW3" s="14"/>
      <x:c r="JX3" s="14"/>
      <x:c r="JY3" s="14"/>
      <x:c r="JZ3" s="14"/>
      <x:c r="KA3" s="14"/>
      <x:c r="KB3" s="14"/>
      <x:c r="KC3" s="14"/>
      <x:c r="KD3" s="14"/>
      <x:c r="KE3" s="14"/>
      <x:c r="KF3" s="14"/>
      <x:c r="KG3" s="14"/>
      <x:c r="KH3" s="14"/>
      <x:c r="KI3" s="14"/>
      <x:c r="KJ3" s="14"/>
      <x:c r="KK3" s="14"/>
      <x:c r="KL3" s="14"/>
      <x:c r="KM3" s="14"/>
      <x:c r="KN3" s="14"/>
      <x:c r="KO3" s="14"/>
      <x:c r="KP3" s="14"/>
      <x:c r="KQ3" s="14"/>
      <x:c r="KR3" s="14"/>
      <x:c r="KS3" s="14"/>
      <x:c r="KT3" s="14"/>
      <x:c r="KU3" s="14"/>
      <x:c r="KV3" s="14"/>
      <x:c r="KW3" s="14"/>
      <x:c r="KX3" s="14"/>
      <x:c r="KY3" s="14"/>
      <x:c r="KZ3" s="14"/>
      <x:c r="LA3" s="14"/>
      <x:c r="LB3" s="14"/>
      <x:c r="LC3" s="14"/>
      <x:c r="LD3" s="14"/>
      <x:c r="LE3" s="14"/>
      <x:c r="LF3" s="14"/>
      <x:c r="LG3" s="14"/>
      <x:c r="LH3" s="14"/>
      <x:c r="LI3" s="14"/>
      <x:c r="LJ3" s="14"/>
      <x:c r="LK3" s="14"/>
      <x:c r="LL3" s="14"/>
      <x:c r="LM3" s="14"/>
      <x:c r="LN3" s="14"/>
      <x:c r="LO3" s="14"/>
      <x:c r="LP3" s="14"/>
      <x:c r="LQ3" s="14"/>
      <x:c r="LR3" s="14"/>
      <x:c r="LS3" s="14"/>
      <x:c r="LT3" s="14"/>
      <x:c r="LU3" s="14"/>
      <x:c r="LV3" s="14"/>
      <x:c r="LW3" s="14"/>
      <x:c r="LX3" s="14"/>
      <x:c r="LY3" s="14"/>
      <x:c r="LZ3" s="14"/>
      <x:c r="MA3" s="14"/>
      <x:c r="MB3" s="14"/>
      <x:c r="MC3" s="14"/>
      <x:c r="MD3" s="14"/>
      <x:c r="ME3" s="14"/>
      <x:c r="MF3" s="14"/>
      <x:c r="MG3" s="14"/>
      <x:c r="MH3" s="14"/>
      <x:c r="MI3" s="14"/>
      <x:c r="MJ3" s="14"/>
      <x:c r="MK3" s="14"/>
      <x:c r="ML3" s="14"/>
      <x:c r="MM3" s="14"/>
      <x:c r="MN3" s="14"/>
      <x:c r="MO3" s="14"/>
      <x:c r="MP3" s="14"/>
      <x:c r="MQ3" s="14"/>
      <x:c r="MR3" s="14"/>
      <x:c r="MS3" s="14"/>
      <x:c r="MT3" s="14"/>
      <x:c r="MU3" s="14"/>
      <x:c r="MV3" s="14"/>
      <x:c r="MW3" s="14"/>
      <x:c r="MX3" s="14"/>
      <x:c r="MY3" s="14"/>
      <x:c r="MZ3" s="14"/>
      <x:c r="NA3" s="14"/>
      <x:c r="NB3" s="14"/>
      <x:c r="NC3" s="14"/>
      <x:c r="ND3" s="14"/>
      <x:c r="NE3" s="14"/>
      <x:c r="NF3" s="14"/>
      <x:c r="NG3" s="14"/>
      <x:c r="NH3" s="14"/>
      <x:c r="NI3" s="14"/>
      <x:c r="NJ3" s="14"/>
      <x:c r="NK3" s="14"/>
      <x:c r="NL3" s="14"/>
      <x:c r="NM3" s="14"/>
      <x:c r="NN3" s="14"/>
      <x:c r="NO3" s="14"/>
      <x:c r="NP3" s="14"/>
      <x:c r="NQ3" s="14"/>
      <x:c r="NR3" s="14"/>
      <x:c r="NS3" s="14"/>
      <x:c r="NT3" s="14"/>
      <x:c r="NU3" s="14"/>
      <x:c r="NV3" s="14"/>
      <x:c r="NW3" s="14"/>
      <x:c r="NX3" s="14"/>
      <x:c r="NY3" s="14"/>
      <x:c r="NZ3" s="14"/>
      <x:c r="OA3" s="14"/>
      <x:c r="OB3" s="14"/>
      <x:c r="OC3" s="14"/>
      <x:c r="OD3" s="14"/>
      <x:c r="OE3" s="14"/>
      <x:c r="OF3" s="14"/>
      <x:c r="OG3" s="14"/>
      <x:c r="OH3" s="14"/>
      <x:c r="OI3" s="14"/>
      <x:c r="OJ3" s="14"/>
      <x:c r="OK3" s="14"/>
      <x:c r="OL3" s="14"/>
      <x:c r="OM3" s="14"/>
      <x:c r="ON3" s="14"/>
      <x:c r="OO3" s="14"/>
      <x:c r="OP3" s="14"/>
      <x:c r="OQ3" s="14"/>
      <x:c r="OR3" s="14"/>
      <x:c r="OS3" s="14"/>
      <x:c r="OT3" s="14"/>
      <x:c r="OU3" s="14"/>
      <x:c r="OV3" s="14"/>
      <x:c r="OW3" s="14"/>
      <x:c r="OX3" s="14"/>
      <x:c r="OY3" s="14"/>
      <x:c r="OZ3" s="14"/>
      <x:c r="PA3" s="14"/>
      <x:c r="PB3" s="14"/>
      <x:c r="PC3" s="14"/>
      <x:c r="PD3" s="14"/>
      <x:c r="PE3" s="14"/>
      <x:c r="PF3" s="14"/>
      <x:c r="PG3" s="14"/>
      <x:c r="PH3" s="14"/>
      <x:c r="PI3" s="14"/>
      <x:c r="PJ3" s="14"/>
      <x:c r="PK3" s="14"/>
      <x:c r="PL3" s="14"/>
      <x:c r="PM3" s="14"/>
      <x:c r="PN3" s="14"/>
      <x:c r="PO3" s="14"/>
      <x:c r="PP3" s="14"/>
      <x:c r="PQ3" s="14"/>
      <x:c r="PR3" s="14"/>
      <x:c r="PS3" s="14"/>
      <x:c r="PT3" s="14"/>
      <x:c r="PU3" s="14"/>
      <x:c r="PV3" s="14"/>
      <x:c r="PW3" s="14"/>
      <x:c r="PX3" s="14"/>
      <x:c r="PY3" s="14"/>
      <x:c r="PZ3" s="14"/>
      <x:c r="QA3" s="14"/>
      <x:c r="QB3" s="14"/>
      <x:c r="QC3" s="14"/>
      <x:c r="QD3" s="14"/>
      <x:c r="QE3" s="14"/>
      <x:c r="QF3" s="14"/>
      <x:c r="QG3" s="14"/>
      <x:c r="QH3" s="14"/>
      <x:c r="QI3" s="14"/>
      <x:c r="QJ3" s="14"/>
      <x:c r="QK3" s="14"/>
      <x:c r="QL3" s="14"/>
      <x:c r="QM3" s="14"/>
      <x:c r="QN3" s="14"/>
      <x:c r="QO3" s="14"/>
      <x:c r="QP3" s="14"/>
      <x:c r="QQ3" s="14"/>
      <x:c r="QR3" s="14"/>
      <x:c r="QS3" s="14"/>
      <x:c r="QT3" s="14"/>
      <x:c r="QU3" s="14"/>
      <x:c r="QV3" s="14"/>
      <x:c r="QW3" s="14"/>
      <x:c r="QX3" s="14"/>
      <x:c r="QY3" s="14"/>
      <x:c r="QZ3" s="14"/>
      <x:c r="RA3" s="14"/>
      <x:c r="RB3" s="14"/>
      <x:c r="RC3" s="14"/>
      <x:c r="RD3" s="14"/>
      <x:c r="RE3" s="14"/>
      <x:c r="RF3" s="14"/>
      <x:c r="RG3" s="14"/>
      <x:c r="RH3" s="14"/>
      <x:c r="RI3" s="14"/>
      <x:c r="RJ3" s="14"/>
      <x:c r="RK3" s="14"/>
      <x:c r="RL3" s="14"/>
      <x:c r="RM3" s="14"/>
      <x:c r="RN3" s="14"/>
      <x:c r="RO3" s="14"/>
      <x:c r="RP3" s="14"/>
      <x:c r="RQ3" s="14"/>
      <x:c r="RR3" s="14"/>
      <x:c r="RS3" s="14"/>
      <x:c r="RT3" s="14"/>
      <x:c r="RU3" s="14"/>
      <x:c r="RV3" s="14"/>
      <x:c r="RW3" s="14"/>
      <x:c r="RX3" s="14"/>
      <x:c r="RY3" s="14"/>
      <x:c r="RZ3" s="14"/>
      <x:c r="SA3" s="14"/>
      <x:c r="SB3" s="14"/>
      <x:c r="SC3" s="14"/>
      <x:c r="SD3" s="14"/>
      <x:c r="SE3" s="14"/>
      <x:c r="SF3" s="14"/>
      <x:c r="SG3" s="14"/>
      <x:c r="SH3" s="14"/>
      <x:c r="SI3" s="14"/>
      <x:c r="SJ3" s="14"/>
      <x:c r="SK3" s="14"/>
      <x:c r="SL3" s="14"/>
      <x:c r="SM3" s="14"/>
      <x:c r="SN3" s="14"/>
      <x:c r="SO3" s="14"/>
      <x:c r="SP3" s="14"/>
      <x:c r="SQ3" s="14"/>
      <x:c r="SR3" s="14"/>
      <x:c r="SS3" s="14"/>
      <x:c r="ST3" s="14"/>
      <x:c r="SU3" s="14"/>
      <x:c r="SV3" s="14"/>
      <x:c r="SW3" s="14"/>
      <x:c r="SX3" s="14"/>
      <x:c r="SY3" s="14"/>
      <x:c r="SZ3" s="14"/>
      <x:c r="TA3" s="14"/>
      <x:c r="TB3" s="14"/>
      <x:c r="TC3" s="14"/>
      <x:c r="TD3" s="14"/>
      <x:c r="TE3" s="14"/>
      <x:c r="TF3" s="14"/>
      <x:c r="TG3" s="14"/>
      <x:c r="TH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武防總分</x:t>
        </x:is>
      </x:c>
      <x:c r="D4" s="22" t="str">
        <x:v>本頁收藏率</x:v>
      </x:c>
      <x:c r="E4" s="14"/>
      <x:c r="F4" s="22" t="str">
        <x:v>本頁已收錄</x:v>
      </x:c>
      <x:c r="G4" s="22" t="str">
        <x:v>本頁已得分</x:v>
      </x:c>
      <x:c r="H4" s="22" t="inlineStr">
        <x:is>
          <x:t>武防總分</x:t>
        </x:is>
      </x:c>
      <x:c r="I4" s="22" t="str">
        <x:v>本頁收藏率</x:v>
      </x:c>
      <x:c r="J4" s="14"/>
      <x:c r="K4" s="22" t="str">
        <x:v>本頁已收錄</x:v>
      </x:c>
      <x:c r="L4" s="22" t="str">
        <x:v>本頁已得分</x:v>
      </x:c>
      <x:c r="M4" s="22" t="inlineStr">
        <x:is>
          <x:t>武防總分</x:t>
        </x:is>
      </x:c>
      <x:c r="N4" s="22" t="str">
        <x:v>本頁收藏率</x:v>
      </x:c>
      <x:c r="O4" s="14"/>
      <x:c r="P4" s="22" t="str">
        <x:v>本頁已收錄</x:v>
      </x:c>
      <x:c r="Q4" s="22" t="str">
        <x:v>本頁已得分</x:v>
      </x:c>
      <x:c r="R4" s="22" t="inlineStr">
        <x:is>
          <x:t>武防總分</x:t>
        </x:is>
      </x:c>
      <x:c r="S4" s="22" t="str">
        <x:v>本頁收藏率</x:v>
      </x:c>
      <x:c r="T4" s="14"/>
      <x:c r="U4" s="22" t="str">
        <x:v>本頁已收錄</x:v>
      </x:c>
      <x:c r="V4" s="22" t="str">
        <x:v>本頁已得分</x:v>
      </x:c>
      <x:c r="W4" s="22" t="inlineStr">
        <x:is>
          <x:t>武防總分</x:t>
        </x:is>
      </x:c>
      <x:c r="X4" s="22" t="str">
        <x:v>本頁收藏率</x:v>
      </x:c>
      <x:c r="Y4" s="14"/>
      <x:c r="Z4" s="22" t="str">
        <x:v>本頁已收錄</x:v>
      </x:c>
      <x:c r="AA4" s="22" t="str">
        <x:v>本頁已得分</x:v>
      </x:c>
      <x:c r="AB4" s="22" t="inlineStr">
        <x:is>
          <x:t>武防總分</x:t>
        </x:is>
      </x:c>
      <x:c r="AC4" s="22" t="str">
        <x:v>本頁收藏率</x:v>
      </x:c>
      <x:c r="AD4" s="14"/>
      <x:c r="AE4" s="22" t="str">
        <x:v>本頁已收錄</x:v>
      </x:c>
      <x:c r="AF4" s="22" t="str">
        <x:v>本頁已得分</x:v>
      </x:c>
      <x:c r="AG4" s="22" t="inlineStr">
        <x:is>
          <x:t>武防總分</x:t>
        </x:is>
      </x:c>
      <x:c r="AH4" s="22" t="str">
        <x:v>本頁收藏率</x:v>
      </x:c>
      <x:c r="AI4" s="14"/>
      <x:c r="AJ4" s="22" t="str">
        <x:v>本頁已收錄</x:v>
      </x:c>
      <x:c r="AK4" s="22" t="str">
        <x:v>本頁已得分</x:v>
      </x:c>
      <x:c r="AL4" s="22" t="inlineStr">
        <x:is>
          <x:t>武防總分</x:t>
        </x:is>
      </x:c>
      <x:c r="AM4" s="22" t="str">
        <x:v>本頁收藏率</x:v>
      </x:c>
      <x:c r="AN4" s="14"/>
      <x:c r="AO4" s="22" t="str">
        <x:v>本頁已收錄</x:v>
      </x:c>
      <x:c r="AP4" s="22" t="str">
        <x:v>本頁已得分</x:v>
      </x:c>
      <x:c r="AQ4" s="22" t="inlineStr">
        <x:is>
          <x:t>武防總分</x:t>
        </x:is>
      </x:c>
      <x:c r="AR4" s="22" t="str">
        <x:v>本頁收藏率</x:v>
      </x:c>
      <x:c r="AS4" s="14"/>
      <x:c r="AT4" s="22" t="str">
        <x:v>本頁已收錄</x:v>
      </x:c>
      <x:c r="AU4" s="22" t="str">
        <x:v>本頁已得分</x:v>
      </x:c>
      <x:c r="AV4" s="22" t="inlineStr">
        <x:is>
          <x:t>武防總分</x:t>
        </x:is>
      </x:c>
      <x:c r="AW4" s="22" t="str">
        <x:v>本頁收藏率</x:v>
      </x:c>
      <x:c r="AX4" s="14"/>
      <x:c r="AY4" s="22" t="str">
        <x:v>本頁已收錄</x:v>
      </x:c>
      <x:c r="AZ4" s="22" t="str">
        <x:v>本頁已得分</x:v>
      </x:c>
      <x:c r="BA4" s="22" t="inlineStr">
        <x:is>
          <x:t>武防總分</x:t>
        </x:is>
      </x:c>
      <x:c r="BB4" s="22" t="str">
        <x:v>本頁收藏率</x:v>
      </x:c>
      <x:c r="BC4" s="14"/>
      <x:c r="BD4" s="22" t="str">
        <x:v>本頁已收錄</x:v>
      </x:c>
      <x:c r="BE4" s="22" t="str">
        <x:v>本頁已得分</x:v>
      </x:c>
      <x:c r="BF4" s="22" t="inlineStr">
        <x:is>
          <x:t>武防總分</x:t>
        </x:is>
      </x:c>
      <x:c r="BG4" s="22" t="str">
        <x:v>本頁收藏率</x:v>
      </x:c>
      <x:c r="BH4" s="14"/>
      <x:c r="BI4" s="22" t="str">
        <x:v>本頁已收錄</x:v>
      </x:c>
      <x:c r="BJ4" s="22" t="str">
        <x:v>本頁已得分</x:v>
      </x:c>
      <x:c r="BK4" s="22" t="inlineStr">
        <x:is>
          <x:t>武防總分</x:t>
        </x:is>
      </x:c>
      <x:c r="BL4" s="22" t="str">
        <x:v>本頁收藏率</x:v>
      </x:c>
      <x:c r="BM4" s="14"/>
      <x:c r="BN4" s="22" t="str">
        <x:v>本頁已收錄</x:v>
      </x:c>
      <x:c r="BO4" s="22" t="str">
        <x:v>本頁已得分</x:v>
      </x:c>
      <x:c r="BP4" s="22" t="inlineStr">
        <x:is>
          <x:t>武防總分</x:t>
        </x:is>
      </x:c>
      <x:c r="BQ4" s="22" t="str">
        <x:v>本頁收藏率</x:v>
      </x:c>
      <x:c r="BR4" s="14"/>
      <x:c r="BS4" s="22" t="str">
        <x:v>本頁已收錄</x:v>
      </x:c>
      <x:c r="BT4" s="22" t="str">
        <x:v>本頁已得分</x:v>
      </x:c>
      <x:c r="BU4" s="22" t="inlineStr">
        <x:is>
          <x:t>武防總分</x:t>
        </x:is>
      </x:c>
      <x:c r="BV4" s="22" t="str">
        <x:v>本頁收藏率</x:v>
      </x:c>
      <x:c r="BW4" s="14"/>
      <x:c r="BX4" s="22" t="str">
        <x:v>本頁已收錄</x:v>
      </x:c>
      <x:c r="BY4" s="22" t="str">
        <x:v>本頁已得分</x:v>
      </x:c>
      <x:c r="BZ4" s="22" t="inlineStr">
        <x:is>
          <x:t>武防總分</x:t>
        </x:is>
      </x:c>
      <x:c r="CA4" s="22" t="str">
        <x:v>本頁收藏率</x:v>
      </x:c>
      <x:c r="CB4" s="14"/>
      <x:c r="CC4" s="14"/>
      <x:c r="CD4" s="14"/>
      <x:c r="CE4" s="14"/>
      <x:c r="CF4" s="14"/>
      <x:c r="CG4" s="14"/>
      <x:c r="CH4" s="14"/>
      <x:c r="CI4" s="14"/>
      <x:c r="CJ4" s="14"/>
      <x:c r="CK4" s="14"/>
      <x:c r="CL4" s="14"/>
      <x:c r="CM4" s="14"/>
      <x:c r="CN4" s="14"/>
      <x:c r="CO4" s="14"/>
      <x:c r="CP4" s="14"/>
      <x:c r="CQ4" s="14"/>
      <x:c r="CR4" s="14"/>
      <x:c r="CS4" s="14"/>
      <x:c r="CT4" s="14"/>
      <x:c r="CU4" s="14"/>
      <x:c r="CV4" s="14"/>
      <x:c r="CW4" s="14"/>
      <x:c r="CX4" s="14"/>
      <x:c r="CY4" s="14"/>
      <x:c r="CZ4" s="14"/>
      <x:c r="DA4" s="14"/>
      <x:c r="DB4" s="14"/>
      <x:c r="DC4" s="14"/>
      <x:c r="DD4" s="14"/>
      <x:c r="DE4" s="14"/>
      <x:c r="DF4" s="14"/>
      <x:c r="DG4" s="14"/>
      <x:c r="DH4" s="14"/>
      <x:c r="DI4" s="14"/>
      <x:c r="DJ4" s="14"/>
      <x:c r="DK4" s="14"/>
      <x:c r="DL4" s="14"/>
      <x:c r="DM4" s="14"/>
      <x:c r="DN4" s="14"/>
      <x:c r="DO4" s="14"/>
      <x:c r="DP4" s="14"/>
      <x:c r="DQ4" s="14"/>
      <x:c r="DR4" s="14"/>
      <x:c r="DS4" s="14"/>
      <x:c r="DT4" s="14"/>
      <x:c r="DU4" s="14"/>
      <x:c r="DV4" s="14"/>
      <x:c r="DW4" s="14"/>
      <x:c r="DX4" s="14"/>
      <x:c r="DY4" s="14"/>
      <x:c r="DZ4" s="14"/>
      <x:c r="EA4" s="14"/>
      <x:c r="EB4" s="14"/>
      <x:c r="EC4" s="14"/>
      <x:c r="ED4" s="14"/>
      <x:c r="EE4" s="14"/>
      <x:c r="EF4" s="14"/>
      <x:c r="EG4" s="14"/>
      <x:c r="EH4" s="14"/>
      <x:c r="EI4" s="14"/>
      <x:c r="EJ4" s="14"/>
      <x:c r="EK4" s="14"/>
      <x:c r="EL4" s="14"/>
      <x:c r="EM4" s="14"/>
      <x:c r="EN4" s="14"/>
      <x:c r="EO4" s="14"/>
      <x:c r="EP4" s="14"/>
      <x:c r="EQ4" s="14"/>
      <x:c r="ER4" s="14"/>
      <x:c r="ES4" s="14"/>
      <x:c r="ET4" s="14"/>
      <x:c r="EU4" s="14"/>
      <x:c r="EV4" s="14"/>
      <x:c r="EW4" s="14"/>
      <x:c r="EX4" s="14"/>
      <x:c r="EY4" s="14"/>
      <x:c r="EZ4" s="14"/>
      <x:c r="FA4" s="14"/>
      <x:c r="FB4" s="14"/>
      <x:c r="FC4" s="14"/>
      <x:c r="FD4" s="14"/>
      <x:c r="FE4" s="14"/>
      <x:c r="FF4" s="14"/>
      <x:c r="FG4" s="14"/>
      <x:c r="FH4" s="14"/>
      <x:c r="FI4" s="14"/>
      <x:c r="FJ4" s="14"/>
      <x:c r="FK4" s="14"/>
      <x:c r="FL4" s="14"/>
      <x:c r="FM4" s="14"/>
      <x:c r="FN4" s="14"/>
      <x:c r="FO4" s="14"/>
      <x:c r="FP4" s="14"/>
      <x:c r="FQ4" s="14"/>
      <x:c r="FR4" s="14"/>
      <x:c r="FS4" s="14"/>
      <x:c r="FT4" s="14"/>
      <x:c r="FU4" s="14"/>
      <x:c r="FV4" s="14"/>
      <x:c r="FW4" s="14"/>
      <x:c r="FX4" s="14"/>
      <x:c r="FY4" s="14"/>
      <x:c r="FZ4" s="14"/>
      <x:c r="GA4" s="14"/>
      <x:c r="GB4" s="14"/>
      <x:c r="GC4" s="14"/>
      <x:c r="GD4" s="14"/>
      <x:c r="GE4" s="14"/>
      <x:c r="GF4" s="14"/>
      <x:c r="GG4" s="14"/>
      <x:c r="GH4" s="14"/>
      <x:c r="GI4" s="14"/>
      <x:c r="GJ4" s="14"/>
      <x:c r="GK4" s="14"/>
      <x:c r="GL4" s="14"/>
      <x:c r="GM4" s="14"/>
      <x:c r="GN4" s="14"/>
      <x:c r="GO4" s="14"/>
      <x:c r="GP4" s="14"/>
      <x:c r="GQ4" s="14"/>
      <x:c r="GR4" s="14"/>
      <x:c r="GS4" s="14"/>
      <x:c r="GT4" s="14"/>
      <x:c r="GU4" s="14"/>
      <x:c r="GV4" s="14"/>
      <x:c r="GW4" s="14"/>
      <x:c r="GX4" s="14"/>
      <x:c r="GY4" s="14"/>
      <x:c r="GZ4" s="14"/>
      <x:c r="HA4" s="14"/>
      <x:c r="HB4" s="14"/>
      <x:c r="HC4" s="14"/>
      <x:c r="HD4" s="14"/>
      <x:c r="HE4" s="14"/>
      <x:c r="HF4" s="14"/>
      <x:c r="HG4" s="14"/>
      <x:c r="HH4" s="14"/>
      <x:c r="HI4" s="14"/>
      <x:c r="HJ4" s="14"/>
      <x:c r="HK4" s="14"/>
      <x:c r="HL4" s="14"/>
      <x:c r="HM4" s="14"/>
      <x:c r="HN4" s="14"/>
      <x:c r="HO4" s="14"/>
      <x:c r="HP4" s="14"/>
      <x:c r="HQ4" s="14"/>
      <x:c r="HR4" s="14"/>
      <x:c r="HS4" s="14"/>
      <x:c r="HT4" s="14"/>
      <x:c r="HU4" s="14"/>
      <x:c r="HV4" s="14"/>
      <x:c r="HW4" s="14"/>
      <x:c r="HX4" s="14"/>
      <x:c r="HY4" s="14"/>
      <x:c r="HZ4" s="14"/>
      <x:c r="IA4" s="14"/>
      <x:c r="IB4" s="14"/>
      <x:c r="IC4" s="14"/>
      <x:c r="ID4" s="14"/>
      <x:c r="IE4" s="14"/>
      <x:c r="IF4" s="14"/>
      <x:c r="IG4" s="14"/>
      <x:c r="IH4" s="14"/>
      <x:c r="II4" s="14"/>
      <x:c r="IJ4" s="14"/>
      <x:c r="IK4" s="14"/>
      <x:c r="IL4" s="14"/>
      <x:c r="IM4" s="14"/>
      <x:c r="IN4" s="14"/>
      <x:c r="IO4" s="14"/>
      <x:c r="IP4" s="14"/>
      <x:c r="IQ4" s="14"/>
      <x:c r="IR4" s="14"/>
      <x:c r="IS4" s="14"/>
      <x:c r="IT4" s="14"/>
      <x:c r="IU4" s="14"/>
      <x:c r="IV4" s="14"/>
      <x:c r="IW4" s="14"/>
      <x:c r="IX4" s="14"/>
      <x:c r="IY4" s="14"/>
      <x:c r="IZ4" s="14"/>
      <x:c r="JA4" s="14"/>
      <x:c r="JB4" s="14"/>
      <x:c r="JC4" s="14"/>
      <x:c r="JD4" s="14"/>
      <x:c r="JE4" s="14"/>
      <x:c r="JF4" s="14"/>
      <x:c r="JG4" s="14"/>
      <x:c r="JH4" s="14"/>
      <x:c r="JI4" s="14"/>
      <x:c r="JJ4" s="14"/>
      <x:c r="JK4" s="14"/>
      <x:c r="JL4" s="14"/>
      <x:c r="JM4" s="14"/>
      <x:c r="JN4" s="14"/>
      <x:c r="JO4" s="14"/>
      <x:c r="JP4" s="14"/>
      <x:c r="JQ4" s="14"/>
      <x:c r="JR4" s="14"/>
      <x:c r="JS4" s="14"/>
      <x:c r="JT4" s="14"/>
      <x:c r="JU4" s="14"/>
      <x:c r="JV4" s="14"/>
      <x:c r="JW4" s="14"/>
      <x:c r="JX4" s="14"/>
      <x:c r="JY4" s="14"/>
      <x:c r="JZ4" s="14"/>
      <x:c r="KA4" s="14"/>
      <x:c r="KB4" s="14"/>
      <x:c r="KC4" s="14"/>
      <x:c r="KD4" s="14"/>
      <x:c r="KE4" s="14"/>
      <x:c r="KF4" s="14"/>
      <x:c r="KG4" s="14"/>
      <x:c r="KH4" s="14"/>
      <x:c r="KI4" s="14"/>
      <x:c r="KJ4" s="14"/>
      <x:c r="KK4" s="14"/>
      <x:c r="KL4" s="14"/>
      <x:c r="KM4" s="14"/>
      <x:c r="KN4" s="14"/>
      <x:c r="KO4" s="14"/>
      <x:c r="KP4" s="14"/>
      <x:c r="KQ4" s="14"/>
      <x:c r="KR4" s="14"/>
      <x:c r="KS4" s="14"/>
      <x:c r="KT4" s="14"/>
      <x:c r="KU4" s="14"/>
      <x:c r="KV4" s="14"/>
      <x:c r="KW4" s="14"/>
      <x:c r="KX4" s="14"/>
      <x:c r="KY4" s="14"/>
      <x:c r="KZ4" s="14"/>
      <x:c r="LA4" s="14"/>
      <x:c r="LB4" s="14"/>
      <x:c r="LC4" s="14"/>
      <x:c r="LD4" s="14"/>
      <x:c r="LE4" s="14"/>
      <x:c r="LF4" s="14"/>
      <x:c r="LG4" s="14"/>
      <x:c r="LH4" s="14"/>
      <x:c r="LI4" s="14"/>
      <x:c r="LJ4" s="14"/>
      <x:c r="LK4" s="14"/>
      <x:c r="LL4" s="14"/>
      <x:c r="LM4" s="14"/>
      <x:c r="LN4" s="14"/>
      <x:c r="LO4" s="14"/>
      <x:c r="LP4" s="14"/>
      <x:c r="LQ4" s="14"/>
      <x:c r="LR4" s="14"/>
      <x:c r="LS4" s="14"/>
      <x:c r="LT4" s="14"/>
      <x:c r="LU4" s="14"/>
      <x:c r="LV4" s="14"/>
      <x:c r="LW4" s="14"/>
      <x:c r="LX4" s="14"/>
      <x:c r="LY4" s="14"/>
      <x:c r="LZ4" s="14"/>
      <x:c r="MA4" s="14"/>
      <x:c r="MB4" s="14"/>
      <x:c r="MC4" s="14"/>
      <x:c r="MD4" s="14"/>
      <x:c r="ME4" s="14"/>
      <x:c r="MF4" s="14"/>
      <x:c r="MG4" s="14"/>
      <x:c r="MH4" s="14"/>
      <x:c r="MI4" s="14"/>
      <x:c r="MJ4" s="14"/>
      <x:c r="MK4" s="14"/>
      <x:c r="ML4" s="14"/>
      <x:c r="MM4" s="14"/>
      <x:c r="MN4" s="14"/>
      <x:c r="MO4" s="14"/>
      <x:c r="MP4" s="14"/>
      <x:c r="MQ4" s="14"/>
      <x:c r="MR4" s="14"/>
      <x:c r="MS4" s="14"/>
      <x:c r="MT4" s="14"/>
      <x:c r="MU4" s="14"/>
      <x:c r="MV4" s="14"/>
      <x:c r="MW4" s="14"/>
      <x:c r="MX4" s="14"/>
      <x:c r="MY4" s="14"/>
      <x:c r="MZ4" s="14"/>
      <x:c r="NA4" s="14"/>
      <x:c r="NB4" s="14"/>
      <x:c r="NC4" s="14"/>
      <x:c r="ND4" s="14"/>
      <x:c r="NE4" s="14"/>
      <x:c r="NF4" s="14"/>
      <x:c r="NG4" s="14"/>
      <x:c r="NH4" s="14"/>
      <x:c r="NI4" s="14"/>
      <x:c r="NJ4" s="14"/>
      <x:c r="NK4" s="14"/>
      <x:c r="NL4" s="14"/>
      <x:c r="NM4" s="14"/>
      <x:c r="NN4" s="14"/>
      <x:c r="NO4" s="14"/>
      <x:c r="NP4" s="14"/>
      <x:c r="NQ4" s="14"/>
      <x:c r="NR4" s="14"/>
      <x:c r="NS4" s="14"/>
      <x:c r="NT4" s="14"/>
      <x:c r="NU4" s="14"/>
      <x:c r="NV4" s="14"/>
      <x:c r="NW4" s="14"/>
      <x:c r="NX4" s="14"/>
      <x:c r="NY4" s="14"/>
      <x:c r="NZ4" s="14"/>
      <x:c r="OA4" s="14"/>
      <x:c r="OB4" s="14"/>
      <x:c r="OC4" s="14"/>
      <x:c r="OD4" s="14"/>
      <x:c r="OE4" s="14"/>
      <x:c r="OF4" s="14"/>
      <x:c r="OG4" s="14"/>
      <x:c r="OH4" s="14"/>
      <x:c r="OI4" s="14"/>
      <x:c r="OJ4" s="14"/>
      <x:c r="OK4" s="14"/>
      <x:c r="OL4" s="14"/>
      <x:c r="OM4" s="14"/>
      <x:c r="ON4" s="14"/>
      <x:c r="OO4" s="14"/>
      <x:c r="OP4" s="14"/>
      <x:c r="OQ4" s="14"/>
      <x:c r="OR4" s="14"/>
      <x:c r="OS4" s="14"/>
      <x:c r="OT4" s="14"/>
      <x:c r="OU4" s="14"/>
      <x:c r="OV4" s="14"/>
      <x:c r="OW4" s="14"/>
      <x:c r="OX4" s="14"/>
      <x:c r="OY4" s="14"/>
      <x:c r="OZ4" s="14"/>
      <x:c r="PA4" s="14"/>
      <x:c r="PB4" s="14"/>
      <x:c r="PC4" s="14"/>
      <x:c r="PD4" s="14"/>
      <x:c r="PE4" s="14"/>
      <x:c r="PF4" s="14"/>
      <x:c r="PG4" s="14"/>
      <x:c r="PH4" s="14"/>
      <x:c r="PI4" s="14"/>
      <x:c r="PJ4" s="14"/>
      <x:c r="PK4" s="14"/>
      <x:c r="PL4" s="14"/>
      <x:c r="PM4" s="14"/>
      <x:c r="PN4" s="14"/>
      <x:c r="PO4" s="14"/>
      <x:c r="PP4" s="14"/>
      <x:c r="PQ4" s="14"/>
      <x:c r="PR4" s="14"/>
      <x:c r="PS4" s="14"/>
      <x:c r="PT4" s="14"/>
      <x:c r="PU4" s="14"/>
      <x:c r="PV4" s="14"/>
      <x:c r="PW4" s="14"/>
      <x:c r="PX4" s="14"/>
      <x:c r="PY4" s="14"/>
      <x:c r="PZ4" s="14"/>
      <x:c r="QA4" s="14"/>
      <x:c r="QB4" s="14"/>
      <x:c r="QC4" s="14"/>
      <x:c r="QD4" s="14"/>
      <x:c r="QE4" s="14"/>
      <x:c r="QF4" s="14"/>
      <x:c r="QG4" s="14"/>
      <x:c r="QH4" s="14"/>
      <x:c r="QI4" s="14"/>
      <x:c r="QJ4" s="14"/>
      <x:c r="QK4" s="14"/>
      <x:c r="QL4" s="14"/>
      <x:c r="QM4" s="14"/>
      <x:c r="QN4" s="14"/>
      <x:c r="QO4" s="14"/>
      <x:c r="QP4" s="14"/>
      <x:c r="QQ4" s="14"/>
      <x:c r="QR4" s="14"/>
      <x:c r="QS4" s="14"/>
      <x:c r="QT4" s="14"/>
      <x:c r="QU4" s="14"/>
      <x:c r="QV4" s="14"/>
      <x:c r="QW4" s="14"/>
      <x:c r="QX4" s="14"/>
      <x:c r="QY4" s="14"/>
      <x:c r="QZ4" s="14"/>
      <x:c r="RA4" s="14"/>
      <x:c r="RB4" s="14"/>
      <x:c r="RC4" s="14"/>
      <x:c r="RD4" s="14"/>
      <x:c r="RE4" s="14"/>
      <x:c r="RF4" s="14"/>
      <x:c r="RG4" s="14"/>
      <x:c r="RH4" s="14"/>
      <x:c r="RI4" s="14"/>
      <x:c r="RJ4" s="14"/>
      <x:c r="RK4" s="14"/>
      <x:c r="RL4" s="14"/>
      <x:c r="RM4" s="14"/>
      <x:c r="RN4" s="14"/>
      <x:c r="RO4" s="14"/>
      <x:c r="RP4" s="14"/>
      <x:c r="RQ4" s="14"/>
      <x:c r="RR4" s="14"/>
      <x:c r="RS4" s="14"/>
      <x:c r="RT4" s="14"/>
      <x:c r="RU4" s="14"/>
      <x:c r="RV4" s="14"/>
      <x:c r="RW4" s="14"/>
      <x:c r="RX4" s="14"/>
      <x:c r="RY4" s="14"/>
      <x:c r="RZ4" s="14"/>
      <x:c r="SA4" s="14"/>
      <x:c r="SB4" s="14"/>
      <x:c r="SC4" s="14"/>
      <x:c r="SD4" s="14"/>
      <x:c r="SE4" s="14"/>
      <x:c r="SF4" s="14"/>
      <x:c r="SG4" s="14"/>
      <x:c r="SH4" s="14"/>
      <x:c r="SI4" s="14"/>
      <x:c r="SJ4" s="14"/>
      <x:c r="SK4" s="14"/>
      <x:c r="SL4" s="14"/>
      <x:c r="SM4" s="14"/>
      <x:c r="SN4" s="14"/>
      <x:c r="SO4" s="14"/>
      <x:c r="SP4" s="14"/>
      <x:c r="SQ4" s="14"/>
      <x:c r="SR4" s="14"/>
      <x:c r="SS4" s="14"/>
      <x:c r="ST4" s="14"/>
      <x:c r="SU4" s="14"/>
      <x:c r="SV4" s="14"/>
      <x:c r="SW4" s="14"/>
      <x:c r="SX4" s="14"/>
      <x:c r="SY4" s="14"/>
      <x:c r="SZ4" s="14"/>
      <x:c r="TA4" s="14"/>
      <x:c r="TB4" s="14"/>
      <x:c r="TC4" s="14"/>
      <x:c r="TD4" s="14"/>
      <x:c r="TE4" s="14"/>
      <x:c r="TF4" s="14"/>
      <x:c r="TG4" s="14"/>
      <x:c r="TH4" s="14"/>
    </x:row>
    <x:row r="5" ht="21" customHeight="1">
      <x:c r="A5" s="28" t="n">
        <x:f>COUNTIF(CI9:CI162,"已收錄")+COUNTIF(CP9:CP162,"已收錄")+COUNTIF(CW9:CW162,"已收錄")+COUNTIF(DD9:DD162,"已收錄")+COUNTIF(DK9:DK162,"已收錄")+COUNTIF(DR9:DR162,"已收錄")+COUNTIF(DY9:DY162,"已收錄")+COUNTIF(EF9:EF162,"已收錄")+COUNTIF(EM9:EM162,"已收錄")+COUNTIF(ET9:ET162,"已收錄")+COUNTIF(FA9:FA162,"已收錄")+COUNTIF(FH9:FH162,"已收錄")+COUNTIF(FO9:FO162,"已收錄")+COUNTIF(FV9:FV162,"已收錄")+COUNTIF(GC9:GC162,"已收錄")+COUNTIF(GJ9:GJ162,"已收錄")+COUNTIF(GQ9:GQ162,"已收錄")+COUNTIF(GX9:GX162,"已收錄")+COUNTIF(HE9:HE162,"已收錄")+COUNTIF(HL9:HL162,"已收錄")+COUNTIF(HS9:HS162,"已收錄")+COUNTIF(HZ9:HZ162,"已收錄")+COUNTIF(IG9:IG162,"已收錄")+COUNTIF(IN9:IN162,"已收錄")+COUNTIF(IU9:IU162,"已收錄")+COUNTIF(JB9:JB162,"已收錄")+COUNTIF(JI9:JI162,"已收錄")+COUNTIF(JP9:JP162,"已收錄")+COUNTIF(JW9:JW162,"已收錄")+COUNTIF(KD9:KD162,"已收錄")+COUNTIF(KK9:KK162,"已收錄")+COUNTIF(KR9:KR162,"已收錄")+COUNTIF(KY9:KY162,"已收錄")+COUNTIF(LF9:LF162,"已收錄")+COUNTIF(LM9:LM162,"已收錄")+COUNTIF(LT9:LT162,"已收錄")+COUNTIF(MA9:MA162,"已收錄")+COUNTIF(MH9:MH162,"已收錄")+COUNTIF(MO9:MO162,"已收錄")+COUNTIF(MV9:MV162,"已收錄")+COUNTIF(NC9:NC162,"已收錄")+COUNTIF(NJ9:NJ162,"已收錄")+COUNTIF(NQ9:NQ162,"已收錄")+COUNTIF(NX9:NX162,"已收錄")+COUNTIF(OE9:OE162,"已收錄")+COUNTIF(OL9:OL162,"已收錄")+COUNTIF(OS9:OS162,"已收錄")+COUNTIF(OZ9:OZ162,"已收錄")+COUNTIF(PG9:PG162,"已收錄")+COUNTIF(PN9:PN162,"已收錄")+COUNTIF(PU9:PU162,"已收錄")+COUNTIF(QB9:QB162,"已收錄")+COUNTIF(QI9:QI162,"已收錄")+COUNTIF(QP9:QP162,"已收錄")+COUNTIF(QW9:QW162,"已收錄")+COUNTIF(RD9:RD162,"已收錄")+COUNTIF(RK9:RK162,"已收錄")+COUNTIF(RR9:RR162,"已收錄")+COUNTIF(RY9:RY162,"已收錄")+COUNTIF(SF9:SF162,"已收錄")+COUNTIF(SM9:SM162,"已收錄")+COUNTIF(ST9:ST162,"已收錄")+COUNTIF(TA9:TA162,"已收錄")+COUNTIF(TH9:TH162,"已收錄")</x:f>
        <x:v>0</x:v>
      </x:c>
      <x:c r="B5" s="29" t="n">
        <x:f>SUMIF(CI9:CI162,"已收錄",CD9:CD162)+SUMIF(CP9:CP162,"已收錄",CK9:CK162)+SUMIF(CW9:CW162,"已收錄",CR9:CR162)+SUMIF(DD9:DD162,"已收錄",CY9:CY162)+SUMIF(DK9:DK162,"已收錄",DF9:DF162)+SUMIF(DR9:DR162,"已收錄",DM9:DM162)+SUMIF(DY9:DY162,"已收錄",DT9:DT162)+SUMIF(EF9:EF162,"已收錄",EA9:EA162)+SUMIF(EM9:EM162,"已收錄",EH9:EH162)+SUMIF(ET9:ET162,"已收錄",EO9:EO162)+SUMIF(FA9:FA162,"已收錄",EV9:EV162)+SUMIF(FH9:FH162,"已收錄",FC9:FC162)+SUMIF(FO9:FO162,"已收錄",FJ9:FJ162)+SUMIF(FV9:FV162,"已收錄",FQ9:FQ162)+SUMIF(GC9:GC162,"已收錄",FX9:FX162)+SUMIF(GJ9:GJ162,"已收錄",GE9:GE162)+SUMIF(GQ9:GQ162,"已收錄",GL9:GL162)+SUMIF(GX9:GX162,"已收錄",GS9:GS162)+SUMIF(HE9:HE162,"已收錄",GZ9:GZ162)+SUMIF(HL9:HL162,"已收錄",HG9:HG162)+SUMIF(HS9:HS162,"已收錄",HN9:HN162)+SUMIF(HZ9:HZ162,"已收錄",HU9:HU162)+SUMIF(IG9:IG162,"已收錄",IB9:IB162)+SUMIF(IN9:IN162,"已收錄",II9:II162)+SUMIF(IU9:IU162,"已收錄",IP9:IP162)+SUMIF(JB9:JB162,"已收錄",IW9:IW162)+SUMIF(JI9:JI162,"已收錄",JD9:JD162)+SUMIF(JP9:JP162,"已收錄",JK9:JK162)+SUMIF(JW9:JW162,"已收錄",JR9:JR162)+SUMIF(KD9:KD162,"已收錄",JY9:JY162)+SUMIF(KK9:KK162,"已收錄",KF9:KF162)+SUMIF(KR9:KR162,"已收錄",KM9:KM162)+SUMIF(KY9:KY162,"已收錄",KT9:KT162)+SUMIF(LF9:LF162,"已收錄",LA9:LA162)+SUMIF(LM9:LM162,"已收錄",LH9:LH162)+SUMIF(LT9:LT162,"已收錄",LO9:LO162)+SUMIF(MA9:MA162,"已收錄",LV9:LV162)+SUMIF(MH9:MH162,"已收錄",MC9:MC162)+SUMIF(MO9:MO162,"已收錄",MJ9:MJ162)+SUMIF(MV9:MV162,"已收錄",MQ9:MQ162)+SUMIF(NC9:NC162,"已收錄",MX9:MX162)+SUMIF(NJ9:NJ162,"已收錄",NE9:NE162)+SUMIF(NQ9:NQ162,"已收錄",NL9:NL162)+SUMIF(NX9:NX162,"已收錄",NS9:NS162)+SUMIF(OE9:OE162,"已收錄",NZ9:NZ162)+SUMIF(OL9:OL162,"已收錄",OG9:OG162)+SUMIF(OS9:OS162,"已收錄",ON9:ON162)+SUMIF(OZ9:OZ162,"已收錄",OU9:OU162)+SUMIF(PG9:PG162,"已收錄",PB9:PB162)+SUMIF(PN9:PN162,"已收錄",PI9:PI162)+SUMIF(PU9:PU162,"已收錄",PP9:PP162)+SUMIF(QB9:QB162,"已收錄",PW9:PW162)+SUMIF(QI9:QI162,"已收錄",QD9:QD162)+SUMIF(QP9:QP162,"已收錄",QK9:QK162)+SUMIF(QW9:QW162,"已收錄",QR9:QR162)+SUMIF(RD9:RD162,"已收錄",QY9:QY162)+SUMIF(RK9:RK162,"已收錄",RF9:RF162)+SUMIF(RR9:RR162,"已收錄",RM9:RM162)+SUMIF(RY9:RY162,"已收錄",RT9:RT162)+SUMIF(SF9:SF162,"已收錄",SA9:SA162)+SUMIF(SM9:SM162,"已收錄",SH9:SH162)+SUMIF(ST9:ST162,"已收錄",SO9:SO162)+SUMIF(TA9:TA162,"已收錄",SV9:SV162)+SUMIF(TH9:TH162,"已收錄",TC9:TC162)</x:f>
        <x:v>0</x:v>
      </x:c>
      <x:c r="C5" s="56" t="n">
        <x:f>SUM(CD9:CD162)+SUM(CK9:CK162)+SUM(CR9:CR162)+SUM(CY9:CY162)+SUM(DF9:DF162)+SUM(DM9:DM162)+SUM(DT9:DT162)+SUM(EA9:EA162)+SUM(EH9:EH162)+SUM(EO9:EO162)+SUM(EV9:EV162)+SUM(FC9:FC162)+SUM(FJ9:FJ162)+SUM(FQ9:FQ162)+SUM(FX9:FX162)+SUM(GE9:GE162)+SUM(GL9:GL162)+SUM(GS9:GS162)+SUM(GZ9:GZ162)+SUM(HG9:HG162)+SUM(HN9:HN162)+SUM(HU9:HU162)+SUM(IB9:IB162)+SUM(II9:II162)+SUM(IP9:IP162)+SUM(IW9:IW162)+SUM(JD9:JD162)+SUM(JK9:JK162)+SUM(JR9:JR162)+SUM(JY9:JY162)+SUM(KF9:KF162)+SUM(KM9:KM162)+SUM(KT9:KT162)+SUM(LA9:LA162)+SUM(LH9:LH162)+SUM(LO9:LO162)+SUM(LV9:LV162)+SUM(MC9:MC162)+SUM(MJ9:MJ162)+SUM(MQ9:MQ162)+SUM(MX9:MX162)+SUM(NE9:NE162)+SUM(NL9:NL162)+SUM(NS9:NS162)+SUM(NZ9:NZ162)+SUM(OG9:OG162)+SUM(ON9:ON162)+SUM(OU9:OU162)+SUM(PB9:PB162)+SUM(PI9:PI162)+SUM(PP9:PP162)+SUM(PW9:PW162)+SUM(QD9:QD162)+SUM(QK9:QK162)+SUM(QR9:QR162)+SUM(QY9:QY162)+SUM(RF9:RF162)+SUM(RM9:RM162)+SUM(RT9:RT162)+SUM(SA9:SA162)+SUM(SH9:SH162)+SUM(SO9:SO162)+SUM(SV9:SV162)+SUM(TC9:TC162)</x:f>
        <x:v>28189</x:v>
      </x:c>
      <x:c r="D5" s="31" t="n">
        <x:f>A5/4055</x:f>
        <x:v>0</x:v>
      </x:c>
      <x:c r="E5" s="14"/>
      <x:c r="F5" s="28" t="n">
        <x:f>A5</x:f>
        <x:v>0</x:v>
      </x:c>
      <x:c r="G5" s="29" t="n">
        <x:f>B5</x:f>
        <x:v>0</x:v>
      </x:c>
      <x:c r="H5" s="57" t="n">
        <x:f>C5</x:f>
        <x:v>28189</x:v>
      </x:c>
      <x:c r="I5" s="31" t="n">
        <x:f>D5</x:f>
        <x:v>0</x:v>
      </x:c>
      <x:c r="J5" s="14"/>
      <x:c r="K5" s="28" t="n">
        <x:f>A5</x:f>
        <x:v>0</x:v>
      </x:c>
      <x:c r="L5" s="29" t="n">
        <x:f>B5</x:f>
        <x:v>0</x:v>
      </x:c>
      <x:c r="M5" s="58" t="n">
        <x:f>C5</x:f>
        <x:v>28189</x:v>
      </x:c>
      <x:c r="N5" s="31" t="n">
        <x:f>D5</x:f>
        <x:v>0</x:v>
      </x:c>
      <x:c r="O5" s="14"/>
      <x:c r="P5" s="28" t="n">
        <x:f>A5</x:f>
        <x:v>0</x:v>
      </x:c>
      <x:c r="Q5" s="29" t="n">
        <x:f>B5</x:f>
        <x:v>0</x:v>
      </x:c>
      <x:c r="R5" s="59" t="n">
        <x:f>C5</x:f>
        <x:v>28189</x:v>
      </x:c>
      <x:c r="S5" s="31" t="n">
        <x:f>D5</x:f>
        <x:v>0</x:v>
      </x:c>
      <x:c r="T5" s="14"/>
      <x:c r="U5" s="28" t="n">
        <x:f>A5</x:f>
        <x:v>0</x:v>
      </x:c>
      <x:c r="V5" s="29" t="n">
        <x:f>B5</x:f>
        <x:v>0</x:v>
      </x:c>
      <x:c r="W5" s="60" t="n">
        <x:f>C5</x:f>
        <x:v>28189</x:v>
      </x:c>
      <x:c r="X5" s="31" t="n">
        <x:f>D5</x:f>
        <x:v>0</x:v>
      </x:c>
      <x:c r="Y5" s="14"/>
      <x:c r="Z5" s="28" t="n">
        <x:f>A5</x:f>
        <x:v>0</x:v>
      </x:c>
      <x:c r="AA5" s="29" t="n">
        <x:f>B5</x:f>
        <x:v>0</x:v>
      </x:c>
      <x:c r="AB5" s="61" t="n">
        <x:f>C5</x:f>
        <x:v>28189</x:v>
      </x:c>
      <x:c r="AC5" s="31" t="n">
        <x:f>D5</x:f>
        <x:v>0</x:v>
      </x:c>
      <x:c r="AD5" s="14"/>
      <x:c r="AE5" s="28" t="n">
        <x:f>A5</x:f>
        <x:v>0</x:v>
      </x:c>
      <x:c r="AF5" s="29" t="n">
        <x:f>B5</x:f>
        <x:v>0</x:v>
      </x:c>
      <x:c r="AG5" s="62" t="n">
        <x:f>C5</x:f>
        <x:v>28189</x:v>
      </x:c>
      <x:c r="AH5" s="31" t="n">
        <x:f>D5</x:f>
        <x:v>0</x:v>
      </x:c>
      <x:c r="AI5" s="14"/>
      <x:c r="AJ5" s="28" t="n">
        <x:f>A5</x:f>
        <x:v>0</x:v>
      </x:c>
      <x:c r="AK5" s="29" t="n">
        <x:f>B5</x:f>
        <x:v>0</x:v>
      </x:c>
      <x:c r="AL5" s="63" t="n">
        <x:f>C5</x:f>
        <x:v>28189</x:v>
      </x:c>
      <x:c r="AM5" s="31" t="n">
        <x:f>D5</x:f>
        <x:v>0</x:v>
      </x:c>
      <x:c r="AN5" s="14"/>
      <x:c r="AO5" s="28" t="n">
        <x:f>A5</x:f>
        <x:v>0</x:v>
      </x:c>
      <x:c r="AP5" s="29" t="n">
        <x:f>B5</x:f>
        <x:v>0</x:v>
      </x:c>
      <x:c r="AQ5" s="64" t="n">
        <x:f>C5</x:f>
        <x:v>28189</x:v>
      </x:c>
      <x:c r="AR5" s="31" t="n">
        <x:f>D5</x:f>
        <x:v>0</x:v>
      </x:c>
      <x:c r="AS5" s="14"/>
      <x:c r="AT5" s="28" t="n">
        <x:f>A5</x:f>
        <x:v>0</x:v>
      </x:c>
      <x:c r="AU5" s="29" t="n">
        <x:f>B5</x:f>
        <x:v>0</x:v>
      </x:c>
      <x:c r="AV5" s="65" t="n">
        <x:f>C5</x:f>
        <x:v>28189</x:v>
      </x:c>
      <x:c r="AW5" s="31" t="n">
        <x:f>D5</x:f>
        <x:v>0</x:v>
      </x:c>
      <x:c r="AX5" s="14"/>
      <x:c r="AY5" s="28" t="n">
        <x:f>A5</x:f>
        <x:v>0</x:v>
      </x:c>
      <x:c r="AZ5" s="29" t="n">
        <x:f>B5</x:f>
        <x:v>0</x:v>
      </x:c>
      <x:c r="BA5" s="66" t="n">
        <x:f>C5</x:f>
        <x:v>28189</x:v>
      </x:c>
      <x:c r="BB5" s="31" t="n">
        <x:f>D5</x:f>
        <x:v>0</x:v>
      </x:c>
      <x:c r="BC5" s="14"/>
      <x:c r="BD5" s="28" t="n">
        <x:f>A5</x:f>
        <x:v>0</x:v>
      </x:c>
      <x:c r="BE5" s="29" t="n">
        <x:f>B5</x:f>
        <x:v>0</x:v>
      </x:c>
      <x:c r="BF5" s="67" t="n">
        <x:f>C5</x:f>
        <x:v>28189</x:v>
      </x:c>
      <x:c r="BG5" s="31" t="n">
        <x:f>D5</x:f>
        <x:v>0</x:v>
      </x:c>
      <x:c r="BH5" s="14"/>
      <x:c r="BI5" s="28" t="n">
        <x:f>A5</x:f>
        <x:v>0</x:v>
      </x:c>
      <x:c r="BJ5" s="29" t="n">
        <x:f>B5</x:f>
        <x:v>0</x:v>
      </x:c>
      <x:c r="BK5" s="68" t="n">
        <x:f>C5</x:f>
        <x:v>28189</x:v>
      </x:c>
      <x:c r="BL5" s="31" t="n">
        <x:f>D5</x:f>
        <x:v>0</x:v>
      </x:c>
      <x:c r="BM5" s="14"/>
      <x:c r="BN5" s="28" t="n">
        <x:f>A5</x:f>
        <x:v>0</x:v>
      </x:c>
      <x:c r="BO5" s="29" t="n">
        <x:f>B5</x:f>
        <x:v>0</x:v>
      </x:c>
      <x:c r="BP5" s="69" t="n">
        <x:f>C5</x:f>
        <x:v>28189</x:v>
      </x:c>
      <x:c r="BQ5" s="31" t="n">
        <x:f>D5</x:f>
        <x:v>0</x:v>
      </x:c>
      <x:c r="BR5" s="14"/>
      <x:c r="BS5" s="28" t="n">
        <x:f>A5</x:f>
        <x:v>0</x:v>
      </x:c>
      <x:c r="BT5" s="29" t="n">
        <x:f>B5</x:f>
        <x:v>0</x:v>
      </x:c>
      <x:c r="BU5" s="70" t="n">
        <x:f>C5</x:f>
        <x:v>28189</x:v>
      </x:c>
      <x:c r="BV5" s="31" t="n">
        <x:f>D5</x:f>
        <x:v>0</x:v>
      </x:c>
      <x:c r="BW5" s="14"/>
      <x:c r="BX5" s="28" t="n">
        <x:f>A5</x:f>
        <x:v>0</x:v>
      </x:c>
      <x:c r="BY5" s="29" t="n">
        <x:f>B5</x:f>
        <x:v>0</x:v>
      </x:c>
      <x:c r="BZ5" s="71" t="n">
        <x:f>C5</x:f>
        <x:v>28189</x:v>
      </x:c>
      <x:c r="CA5" s="31" t="n">
        <x:f>D5</x:f>
        <x:v>0</x:v>
      </x:c>
      <x:c r="CB5" s="14"/>
      <x:c r="CC5" s="14"/>
      <x:c r="CD5" s="14"/>
      <x:c r="CE5" s="14"/>
      <x:c r="CF5" s="14"/>
      <x:c r="CG5" s="14"/>
      <x:c r="CH5" s="14"/>
      <x:c r="CI5" s="14"/>
      <x:c r="CJ5" s="14"/>
      <x:c r="CK5" s="14"/>
      <x:c r="CL5" s="14"/>
      <x:c r="CM5" s="14"/>
      <x:c r="CN5" s="14"/>
      <x:c r="CO5" s="14"/>
      <x:c r="CP5" s="14"/>
      <x:c r="CQ5" s="14"/>
      <x:c r="CR5" s="14"/>
      <x:c r="CS5" s="14"/>
      <x:c r="CT5" s="14"/>
      <x:c r="CU5" s="14"/>
      <x:c r="CV5" s="14"/>
      <x:c r="CW5" s="14"/>
      <x:c r="CX5" s="14"/>
      <x:c r="CY5" s="14"/>
      <x:c r="CZ5" s="14"/>
      <x:c r="DA5" s="14"/>
      <x:c r="DB5" s="14"/>
      <x:c r="DC5" s="14"/>
      <x:c r="DD5" s="14"/>
      <x:c r="DE5" s="14"/>
      <x:c r="DF5" s="14"/>
      <x:c r="DG5" s="14"/>
      <x:c r="DH5" s="14"/>
      <x:c r="DI5" s="14"/>
      <x:c r="DJ5" s="14"/>
      <x:c r="DK5" s="14"/>
      <x:c r="DL5" s="14"/>
      <x:c r="DM5" s="14"/>
      <x:c r="DN5" s="14"/>
      <x:c r="DO5" s="14"/>
      <x:c r="DP5" s="14"/>
      <x:c r="DQ5" s="14"/>
      <x:c r="DR5" s="14"/>
      <x:c r="DS5" s="14"/>
      <x:c r="DT5" s="14"/>
      <x:c r="DU5" s="14"/>
      <x:c r="DV5" s="14"/>
      <x:c r="DW5" s="14"/>
      <x:c r="DX5" s="14"/>
      <x:c r="DY5" s="14"/>
      <x:c r="DZ5" s="14"/>
      <x:c r="EA5" s="14"/>
      <x:c r="EB5" s="14"/>
      <x:c r="EC5" s="14"/>
      <x:c r="ED5" s="14"/>
      <x:c r="EE5" s="14"/>
      <x:c r="EF5" s="14"/>
      <x:c r="EG5" s="14"/>
      <x:c r="EH5" s="14"/>
      <x:c r="EI5" s="14"/>
      <x:c r="EJ5" s="14"/>
      <x:c r="EK5" s="14"/>
      <x:c r="EL5" s="14"/>
      <x:c r="EM5" s="14"/>
      <x:c r="EN5" s="14"/>
      <x:c r="EO5" s="14"/>
      <x:c r="EP5" s="14"/>
      <x:c r="EQ5" s="14"/>
      <x:c r="ER5" s="14"/>
      <x:c r="ES5" s="14"/>
      <x:c r="ET5" s="14"/>
      <x:c r="EU5" s="14"/>
      <x:c r="EV5" s="14"/>
      <x:c r="EW5" s="14"/>
      <x:c r="EX5" s="14"/>
      <x:c r="EY5" s="14"/>
      <x:c r="EZ5" s="14"/>
      <x:c r="FA5" s="14"/>
      <x:c r="FB5" s="14"/>
      <x:c r="FC5" s="14"/>
      <x:c r="FD5" s="14"/>
      <x:c r="FE5" s="14"/>
      <x:c r="FF5" s="14"/>
      <x:c r="FG5" s="14"/>
      <x:c r="FH5" s="14"/>
      <x:c r="FI5" s="14"/>
      <x:c r="FJ5" s="14"/>
      <x:c r="FK5" s="14"/>
      <x:c r="FL5" s="14"/>
      <x:c r="FM5" s="14"/>
      <x:c r="FN5" s="14"/>
      <x:c r="FO5" s="14"/>
      <x:c r="FP5" s="14"/>
      <x:c r="FQ5" s="14"/>
      <x:c r="FR5" s="14"/>
      <x:c r="FS5" s="14"/>
      <x:c r="FT5" s="14"/>
      <x:c r="FU5" s="14"/>
      <x:c r="FV5" s="14"/>
      <x:c r="FW5" s="14"/>
      <x:c r="FX5" s="14"/>
      <x:c r="FY5" s="14"/>
      <x:c r="FZ5" s="14"/>
      <x:c r="GA5" s="14"/>
      <x:c r="GB5" s="14"/>
      <x:c r="GC5" s="14"/>
      <x:c r="GD5" s="14"/>
      <x:c r="GE5" s="14"/>
      <x:c r="GF5" s="14"/>
      <x:c r="GG5" s="14"/>
      <x:c r="GH5" s="14"/>
      <x:c r="GI5" s="14"/>
      <x:c r="GJ5" s="14"/>
      <x:c r="GK5" s="14"/>
      <x:c r="GL5" s="14"/>
      <x:c r="GM5" s="14"/>
      <x:c r="GN5" s="14"/>
      <x:c r="GO5" s="14"/>
      <x:c r="GP5" s="14"/>
      <x:c r="GQ5" s="14"/>
      <x:c r="GR5" s="14"/>
      <x:c r="GS5" s="14"/>
      <x:c r="GT5" s="14"/>
      <x:c r="GU5" s="14"/>
      <x:c r="GV5" s="14"/>
      <x:c r="GW5" s="14"/>
      <x:c r="GX5" s="14"/>
      <x:c r="GY5" s="14"/>
      <x:c r="GZ5" s="14"/>
      <x:c r="HA5" s="14"/>
      <x:c r="HB5" s="14"/>
      <x:c r="HC5" s="14"/>
      <x:c r="HD5" s="14"/>
      <x:c r="HE5" s="14"/>
      <x:c r="HF5" s="14"/>
      <x:c r="HG5" s="14"/>
      <x:c r="HH5" s="14"/>
      <x:c r="HI5" s="14"/>
      <x:c r="HJ5" s="14"/>
      <x:c r="HK5" s="14"/>
      <x:c r="HL5" s="14"/>
      <x:c r="HM5" s="14"/>
      <x:c r="HN5" s="14"/>
      <x:c r="HO5" s="14"/>
      <x:c r="HP5" s="14"/>
      <x:c r="HQ5" s="14"/>
      <x:c r="HR5" s="14"/>
      <x:c r="HS5" s="14"/>
      <x:c r="HT5" s="14"/>
      <x:c r="HU5" s="14"/>
      <x:c r="HV5" s="14"/>
      <x:c r="HW5" s="14"/>
      <x:c r="HX5" s="14"/>
      <x:c r="HY5" s="14"/>
      <x:c r="HZ5" s="14"/>
      <x:c r="IA5" s="14"/>
      <x:c r="IB5" s="14"/>
      <x:c r="IC5" s="14"/>
      <x:c r="ID5" s="14"/>
      <x:c r="IE5" s="14"/>
      <x:c r="IF5" s="14"/>
      <x:c r="IG5" s="14"/>
      <x:c r="IH5" s="14"/>
      <x:c r="II5" s="14"/>
      <x:c r="IJ5" s="14"/>
      <x:c r="IK5" s="14"/>
      <x:c r="IL5" s="14"/>
      <x:c r="IM5" s="14"/>
      <x:c r="IN5" s="14"/>
      <x:c r="IO5" s="14"/>
      <x:c r="IP5" s="14"/>
      <x:c r="IQ5" s="14"/>
      <x:c r="IR5" s="14"/>
      <x:c r="IS5" s="14"/>
      <x:c r="IT5" s="14"/>
      <x:c r="IU5" s="14"/>
      <x:c r="IV5" s="14"/>
      <x:c r="IW5" s="14"/>
      <x:c r="IX5" s="14"/>
      <x:c r="IY5" s="14"/>
      <x:c r="IZ5" s="14"/>
      <x:c r="JA5" s="14"/>
      <x:c r="JB5" s="14"/>
      <x:c r="JC5" s="14"/>
      <x:c r="JD5" s="14"/>
      <x:c r="JE5" s="14"/>
      <x:c r="JF5" s="14"/>
      <x:c r="JG5" s="14"/>
      <x:c r="JH5" s="14"/>
      <x:c r="JI5" s="14"/>
      <x:c r="JJ5" s="14"/>
      <x:c r="JK5" s="14"/>
      <x:c r="JL5" s="14"/>
      <x:c r="JM5" s="14"/>
      <x:c r="JN5" s="14"/>
      <x:c r="JO5" s="14"/>
      <x:c r="JP5" s="14"/>
      <x:c r="JQ5" s="14"/>
      <x:c r="JR5" s="14"/>
      <x:c r="JS5" s="14"/>
      <x:c r="JT5" s="14"/>
      <x:c r="JU5" s="14"/>
      <x:c r="JV5" s="14"/>
      <x:c r="JW5" s="14"/>
      <x:c r="JX5" s="14"/>
      <x:c r="JY5" s="14"/>
      <x:c r="JZ5" s="14"/>
      <x:c r="KA5" s="14"/>
      <x:c r="KB5" s="14"/>
      <x:c r="KC5" s="14"/>
      <x:c r="KD5" s="14"/>
      <x:c r="KE5" s="14"/>
      <x:c r="KF5" s="14"/>
      <x:c r="KG5" s="14"/>
      <x:c r="KH5" s="14"/>
      <x:c r="KI5" s="14"/>
      <x:c r="KJ5" s="14"/>
      <x:c r="KK5" s="14"/>
      <x:c r="KL5" s="14"/>
      <x:c r="KM5" s="14"/>
      <x:c r="KN5" s="14"/>
      <x:c r="KO5" s="14"/>
      <x:c r="KP5" s="14"/>
      <x:c r="KQ5" s="14"/>
      <x:c r="KR5" s="14"/>
      <x:c r="KS5" s="14"/>
      <x:c r="KT5" s="14"/>
      <x:c r="KU5" s="14"/>
      <x:c r="KV5" s="14"/>
      <x:c r="KW5" s="14"/>
      <x:c r="KX5" s="14"/>
      <x:c r="KY5" s="14"/>
      <x:c r="KZ5" s="14"/>
      <x:c r="LA5" s="14"/>
      <x:c r="LB5" s="14"/>
      <x:c r="LC5" s="14"/>
      <x:c r="LD5" s="14"/>
      <x:c r="LE5" s="14"/>
      <x:c r="LF5" s="14"/>
      <x:c r="LG5" s="14"/>
      <x:c r="LH5" s="14"/>
      <x:c r="LI5" s="14"/>
      <x:c r="LJ5" s="14"/>
      <x:c r="LK5" s="14"/>
      <x:c r="LL5" s="14"/>
      <x:c r="LM5" s="14"/>
      <x:c r="LN5" s="14"/>
      <x:c r="LO5" s="14"/>
      <x:c r="LP5" s="14"/>
      <x:c r="LQ5" s="14"/>
      <x:c r="LR5" s="14"/>
      <x:c r="LS5" s="14"/>
      <x:c r="LT5" s="14"/>
      <x:c r="LU5" s="14"/>
      <x:c r="LV5" s="14"/>
      <x:c r="LW5" s="14"/>
      <x:c r="LX5" s="14"/>
      <x:c r="LY5" s="14"/>
      <x:c r="LZ5" s="14"/>
      <x:c r="MA5" s="14"/>
      <x:c r="MB5" s="14"/>
      <x:c r="MC5" s="14"/>
      <x:c r="MD5" s="14"/>
      <x:c r="ME5" s="14"/>
      <x:c r="MF5" s="14"/>
      <x:c r="MG5" s="14"/>
      <x:c r="MH5" s="14"/>
      <x:c r="MI5" s="14"/>
      <x:c r="MJ5" s="14"/>
      <x:c r="MK5" s="14"/>
      <x:c r="ML5" s="14"/>
      <x:c r="MM5" s="14"/>
      <x:c r="MN5" s="14"/>
      <x:c r="MO5" s="14"/>
      <x:c r="MP5" s="14"/>
      <x:c r="MQ5" s="14"/>
      <x:c r="MR5" s="14"/>
      <x:c r="MS5" s="14"/>
      <x:c r="MT5" s="14"/>
      <x:c r="MU5" s="14"/>
      <x:c r="MV5" s="14"/>
      <x:c r="MW5" s="14"/>
      <x:c r="MX5" s="14"/>
      <x:c r="MY5" s="14"/>
      <x:c r="MZ5" s="14"/>
      <x:c r="NA5" s="14"/>
      <x:c r="NB5" s="14"/>
      <x:c r="NC5" s="14"/>
      <x:c r="ND5" s="14"/>
      <x:c r="NE5" s="14"/>
      <x:c r="NF5" s="14"/>
      <x:c r="NG5" s="14"/>
      <x:c r="NH5" s="14"/>
      <x:c r="NI5" s="14"/>
      <x:c r="NJ5" s="14"/>
      <x:c r="NK5" s="14"/>
      <x:c r="NL5" s="14"/>
      <x:c r="NM5" s="14"/>
      <x:c r="NN5" s="14"/>
      <x:c r="NO5" s="14"/>
      <x:c r="NP5" s="14"/>
      <x:c r="NQ5" s="14"/>
      <x:c r="NR5" s="14"/>
      <x:c r="NS5" s="14"/>
      <x:c r="NT5" s="14"/>
      <x:c r="NU5" s="14"/>
      <x:c r="NV5" s="14"/>
      <x:c r="NW5" s="14"/>
      <x:c r="NX5" s="14"/>
      <x:c r="NY5" s="14"/>
      <x:c r="NZ5" s="14"/>
      <x:c r="OA5" s="14"/>
      <x:c r="OB5" s="14"/>
      <x:c r="OC5" s="14"/>
      <x:c r="OD5" s="14"/>
      <x:c r="OE5" s="14"/>
      <x:c r="OF5" s="14"/>
      <x:c r="OG5" s="14"/>
      <x:c r="OH5" s="14"/>
      <x:c r="OI5" s="14"/>
      <x:c r="OJ5" s="14"/>
      <x:c r="OK5" s="14"/>
      <x:c r="OL5" s="14"/>
      <x:c r="OM5" s="14"/>
      <x:c r="ON5" s="14"/>
      <x:c r="OO5" s="14"/>
      <x:c r="OP5" s="14"/>
      <x:c r="OQ5" s="14"/>
      <x:c r="OR5" s="14"/>
      <x:c r="OS5" s="14"/>
      <x:c r="OT5" s="14"/>
      <x:c r="OU5" s="14"/>
      <x:c r="OV5" s="14"/>
      <x:c r="OW5" s="14"/>
      <x:c r="OX5" s="14"/>
      <x:c r="OY5" s="14"/>
      <x:c r="OZ5" s="14"/>
      <x:c r="PA5" s="14"/>
      <x:c r="PB5" s="14"/>
      <x:c r="PC5" s="14"/>
      <x:c r="PD5" s="14"/>
      <x:c r="PE5" s="14"/>
      <x:c r="PF5" s="14"/>
      <x:c r="PG5" s="14"/>
      <x:c r="PH5" s="14"/>
      <x:c r="PI5" s="14"/>
      <x:c r="PJ5" s="14"/>
      <x:c r="PK5" s="14"/>
      <x:c r="PL5" s="14"/>
      <x:c r="PM5" s="14"/>
      <x:c r="PN5" s="14"/>
      <x:c r="PO5" s="14"/>
      <x:c r="PP5" s="14"/>
      <x:c r="PQ5" s="14"/>
      <x:c r="PR5" s="14"/>
      <x:c r="PS5" s="14"/>
      <x:c r="PT5" s="14"/>
      <x:c r="PU5" s="14"/>
      <x:c r="PV5" s="14"/>
      <x:c r="PW5" s="14"/>
      <x:c r="PX5" s="14"/>
      <x:c r="PY5" s="14"/>
      <x:c r="PZ5" s="14"/>
      <x:c r="QA5" s="14"/>
      <x:c r="QB5" s="14"/>
      <x:c r="QC5" s="14"/>
      <x:c r="QD5" s="14"/>
      <x:c r="QE5" s="14"/>
      <x:c r="QF5" s="14"/>
      <x:c r="QG5" s="14"/>
      <x:c r="QH5" s="14"/>
      <x:c r="QI5" s="14"/>
      <x:c r="QJ5" s="14"/>
      <x:c r="QK5" s="14"/>
      <x:c r="QL5" s="14"/>
      <x:c r="QM5" s="14"/>
      <x:c r="QN5" s="14"/>
      <x:c r="QO5" s="14"/>
      <x:c r="QP5" s="14"/>
      <x:c r="QQ5" s="14"/>
      <x:c r="QR5" s="14"/>
      <x:c r="QS5" s="14"/>
      <x:c r="QT5" s="14"/>
      <x:c r="QU5" s="14"/>
      <x:c r="QV5" s="14"/>
      <x:c r="QW5" s="14"/>
      <x:c r="QX5" s="14"/>
      <x:c r="QY5" s="14"/>
      <x:c r="QZ5" s="14"/>
      <x:c r="RA5" s="14"/>
      <x:c r="RB5" s="14"/>
      <x:c r="RC5" s="14"/>
      <x:c r="RD5" s="14"/>
      <x:c r="RE5" s="14"/>
      <x:c r="RF5" s="14"/>
      <x:c r="RG5" s="14"/>
      <x:c r="RH5" s="14"/>
      <x:c r="RI5" s="14"/>
      <x:c r="RJ5" s="14"/>
      <x:c r="RK5" s="14"/>
      <x:c r="RL5" s="14"/>
      <x:c r="RM5" s="14"/>
      <x:c r="RN5" s="14"/>
      <x:c r="RO5" s="14"/>
      <x:c r="RP5" s="14"/>
      <x:c r="RQ5" s="14"/>
      <x:c r="RR5" s="14"/>
      <x:c r="RS5" s="14"/>
      <x:c r="RT5" s="14"/>
      <x:c r="RU5" s="14"/>
      <x:c r="RV5" s="14"/>
      <x:c r="RW5" s="14"/>
      <x:c r="RX5" s="14"/>
      <x:c r="RY5" s="14"/>
      <x:c r="RZ5" s="14"/>
      <x:c r="SA5" s="14"/>
      <x:c r="SB5" s="14"/>
      <x:c r="SC5" s="14"/>
      <x:c r="SD5" s="14"/>
      <x:c r="SE5" s="14"/>
      <x:c r="SF5" s="14"/>
      <x:c r="SG5" s="14"/>
      <x:c r="SH5" s="14"/>
      <x:c r="SI5" s="14"/>
      <x:c r="SJ5" s="14"/>
      <x:c r="SK5" s="14"/>
      <x:c r="SL5" s="14"/>
      <x:c r="SM5" s="14"/>
      <x:c r="SN5" s="14"/>
      <x:c r="SO5" s="14"/>
      <x:c r="SP5" s="14"/>
      <x:c r="SQ5" s="14"/>
      <x:c r="SR5" s="14"/>
      <x:c r="SS5" s="14"/>
      <x:c r="ST5" s="14"/>
      <x:c r="SU5" s="14"/>
      <x:c r="SV5" s="14"/>
      <x:c r="SW5" s="14"/>
      <x:c r="SX5" s="14"/>
      <x:c r="SY5" s="14"/>
      <x:c r="SZ5" s="14"/>
      <x:c r="TA5" s="14"/>
      <x:c r="TB5" s="14"/>
      <x:c r="TC5" s="14"/>
      <x:c r="TD5" s="14"/>
      <x:c r="TE5" s="14"/>
      <x:c r="TF5" s="14"/>
      <x:c r="TG5" s="14"/>
      <x:c r="TH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25" t="str">
        <x:v>雙擊道具名稱切換收錄；綠色為已收錄。請啟用巨集。</x:v>
      </x:c>
      <x:c r="G6" s="25"/>
      <x:c r="H6" s="25"/>
      <x:c r="I6" s="25"/>
      <x:c r="J6" s="14"/>
      <x:c r="K6" s="25" t="str">
        <x:v>雙擊道具名稱切換收錄；綠色為已收錄。請啟用巨集。</x:v>
      </x:c>
      <x:c r="L6" s="25"/>
      <x:c r="M6" s="25"/>
      <x:c r="N6" s="25"/>
      <x:c r="O6" s="14"/>
      <x:c r="P6" s="25" t="str">
        <x:v>雙擊道具名稱切換收錄；綠色為已收錄。請啟用巨集。</x:v>
      </x:c>
      <x:c r="Q6" s="25"/>
      <x:c r="R6" s="25"/>
      <x:c r="S6" s="25"/>
      <x:c r="T6" s="14"/>
      <x:c r="U6" s="25" t="str">
        <x:v>雙擊道具名稱切換收錄；綠色為已收錄。請啟用巨集。</x:v>
      </x:c>
      <x:c r="V6" s="25"/>
      <x:c r="W6" s="25"/>
      <x:c r="X6" s="25"/>
      <x:c r="Y6" s="14"/>
      <x:c r="Z6" s="25" t="str">
        <x:v>雙擊道具名稱切換收錄；綠色為已收錄。請啟用巨集。</x:v>
      </x:c>
      <x:c r="AA6" s="25"/>
      <x:c r="AB6" s="25"/>
      <x:c r="AC6" s="25"/>
      <x:c r="AD6" s="14"/>
      <x:c r="AE6" s="25" t="str">
        <x:v>雙擊道具名稱切換收錄；綠色為已收錄。請啟用巨集。</x:v>
      </x:c>
      <x:c r="AF6" s="25"/>
      <x:c r="AG6" s="25"/>
      <x:c r="AH6" s="25"/>
      <x:c r="AI6" s="14"/>
      <x:c r="AJ6" s="25" t="str">
        <x:v>雙擊道具名稱切換收錄；綠色為已收錄。請啟用巨集。</x:v>
      </x:c>
      <x:c r="AK6" s="25"/>
      <x:c r="AL6" s="25"/>
      <x:c r="AM6" s="25"/>
      <x:c r="AN6" s="14"/>
      <x:c r="AO6" s="25" t="str">
        <x:v>雙擊道具名稱切換收錄；綠色為已收錄。請啟用巨集。</x:v>
      </x:c>
      <x:c r="AP6" s="25"/>
      <x:c r="AQ6" s="25"/>
      <x:c r="AR6" s="25"/>
      <x:c r="AS6" s="14"/>
      <x:c r="AT6" s="25" t="str">
        <x:v>雙擊道具名稱切換收錄；綠色為已收錄。請啟用巨集。</x:v>
      </x:c>
      <x:c r="AU6" s="25"/>
      <x:c r="AV6" s="25"/>
      <x:c r="AW6" s="25"/>
      <x:c r="AX6" s="14"/>
      <x:c r="AY6" s="25" t="str">
        <x:v>雙擊道具名稱切換收錄；綠色為已收錄。請啟用巨集。</x:v>
      </x:c>
      <x:c r="AZ6" s="25"/>
      <x:c r="BA6" s="25"/>
      <x:c r="BB6" s="25"/>
      <x:c r="BC6" s="14"/>
      <x:c r="BD6" s="25" t="str">
        <x:v>雙擊道具名稱切換收錄；綠色為已收錄。請啟用巨集。</x:v>
      </x:c>
      <x:c r="BE6" s="25"/>
      <x:c r="BF6" s="25"/>
      <x:c r="BG6" s="25"/>
      <x:c r="BH6" s="14"/>
      <x:c r="BI6" s="25" t="str">
        <x:v>雙擊道具名稱切換收錄；綠色為已收錄。請啟用巨集。</x:v>
      </x:c>
      <x:c r="BJ6" s="25"/>
      <x:c r="BK6" s="25"/>
      <x:c r="BL6" s="25"/>
      <x:c r="BM6" s="14"/>
      <x:c r="BN6" s="25" t="str">
        <x:v>雙擊道具名稱切換收錄；綠色為已收錄。請啟用巨集。</x:v>
      </x:c>
      <x:c r="BO6" s="25"/>
      <x:c r="BP6" s="25"/>
      <x:c r="BQ6" s="25"/>
      <x:c r="BR6" s="14"/>
      <x:c r="BS6" s="25" t="str">
        <x:v>雙擊道具名稱切換收錄；綠色為已收錄。請啟用巨集。</x:v>
      </x:c>
      <x:c r="BT6" s="25"/>
      <x:c r="BU6" s="25"/>
      <x:c r="BV6" s="25"/>
      <x:c r="BW6" s="14"/>
      <x:c r="BX6" s="25" t="str">
        <x:v>雙擊道具名稱切換收錄；綠色為已收錄。請啟用巨集。</x:v>
      </x:c>
      <x:c r="BY6" s="25"/>
      <x:c r="BZ6" s="25"/>
      <x:c r="CA6" s="25"/>
      <x:c r="CB6" s="14"/>
      <x:c r="CC6" s="14"/>
      <x:c r="CD6" s="14"/>
      <x:c r="CE6" s="14"/>
      <x:c r="CF6" s="14"/>
      <x:c r="CG6" s="14"/>
      <x:c r="CH6" s="14"/>
      <x:c r="CI6" s="14"/>
      <x:c r="CJ6" s="14"/>
      <x:c r="CK6" s="14"/>
      <x:c r="CL6" s="14"/>
      <x:c r="CM6" s="14"/>
      <x:c r="CN6" s="14"/>
      <x:c r="CO6" s="14"/>
      <x:c r="CP6" s="14"/>
      <x:c r="CQ6" s="14"/>
      <x:c r="CR6" s="14"/>
      <x:c r="CS6" s="14"/>
      <x:c r="CT6" s="14"/>
      <x:c r="CU6" s="14"/>
      <x:c r="CV6" s="14"/>
      <x:c r="CW6" s="14"/>
      <x:c r="CX6" s="14"/>
      <x:c r="CY6" s="14"/>
      <x:c r="CZ6" s="14"/>
      <x:c r="DA6" s="14"/>
      <x:c r="DB6" s="14"/>
      <x:c r="DC6" s="14"/>
      <x:c r="DD6" s="14"/>
      <x:c r="DE6" s="14"/>
      <x:c r="DF6" s="14"/>
      <x:c r="DG6" s="14"/>
      <x:c r="DH6" s="14"/>
      <x:c r="DI6" s="14"/>
      <x:c r="DJ6" s="14"/>
      <x:c r="DK6" s="14"/>
      <x:c r="DL6" s="14"/>
      <x:c r="DM6" s="14"/>
      <x:c r="DN6" s="14"/>
      <x:c r="DO6" s="14"/>
      <x:c r="DP6" s="14"/>
      <x:c r="DQ6" s="14"/>
      <x:c r="DR6" s="14"/>
      <x:c r="DS6" s="14"/>
      <x:c r="DT6" s="14"/>
      <x:c r="DU6" s="14"/>
      <x:c r="DV6" s="14"/>
      <x:c r="DW6" s="14"/>
      <x:c r="DX6" s="14"/>
      <x:c r="DY6" s="14"/>
      <x:c r="DZ6" s="14"/>
      <x:c r="EA6" s="14"/>
      <x:c r="EB6" s="14"/>
      <x:c r="EC6" s="14"/>
      <x:c r="ED6" s="14"/>
      <x:c r="EE6" s="14"/>
      <x:c r="EF6" s="14"/>
      <x:c r="EG6" s="14"/>
      <x:c r="EH6" s="14"/>
      <x:c r="EI6" s="14"/>
      <x:c r="EJ6" s="14"/>
      <x:c r="EK6" s="14"/>
      <x:c r="EL6" s="14"/>
      <x:c r="EM6" s="14"/>
      <x:c r="EN6" s="14"/>
      <x:c r="EO6" s="14"/>
      <x:c r="EP6" s="14"/>
      <x:c r="EQ6" s="14"/>
      <x:c r="ER6" s="14"/>
      <x:c r="ES6" s="14"/>
      <x:c r="ET6" s="14"/>
      <x:c r="EU6" s="14"/>
      <x:c r="EV6" s="14"/>
      <x:c r="EW6" s="14"/>
      <x:c r="EX6" s="14"/>
      <x:c r="EY6" s="14"/>
      <x:c r="EZ6" s="14"/>
      <x:c r="FA6" s="14"/>
      <x:c r="FB6" s="14"/>
      <x:c r="FC6" s="14"/>
      <x:c r="FD6" s="14"/>
      <x:c r="FE6" s="14"/>
      <x:c r="FF6" s="14"/>
      <x:c r="FG6" s="14"/>
      <x:c r="FH6" s="14"/>
      <x:c r="FI6" s="14"/>
      <x:c r="FJ6" s="14"/>
      <x:c r="FK6" s="14"/>
      <x:c r="FL6" s="14"/>
      <x:c r="FM6" s="14"/>
      <x:c r="FN6" s="14"/>
      <x:c r="FO6" s="14"/>
      <x:c r="FP6" s="14"/>
      <x:c r="FQ6" s="14"/>
      <x:c r="FR6" s="14"/>
      <x:c r="FS6" s="14"/>
      <x:c r="FT6" s="14"/>
      <x:c r="FU6" s="14"/>
      <x:c r="FV6" s="14"/>
      <x:c r="FW6" s="14"/>
      <x:c r="FX6" s="14"/>
      <x:c r="FY6" s="14"/>
      <x:c r="FZ6" s="14"/>
      <x:c r="GA6" s="14"/>
      <x:c r="GB6" s="14"/>
      <x:c r="GC6" s="14"/>
      <x:c r="GD6" s="14"/>
      <x:c r="GE6" s="14"/>
      <x:c r="GF6" s="14"/>
      <x:c r="GG6" s="14"/>
      <x:c r="GH6" s="14"/>
      <x:c r="GI6" s="14"/>
      <x:c r="GJ6" s="14"/>
      <x:c r="GK6" s="14"/>
      <x:c r="GL6" s="14"/>
      <x:c r="GM6" s="14"/>
      <x:c r="GN6" s="14"/>
      <x:c r="GO6" s="14"/>
      <x:c r="GP6" s="14"/>
      <x:c r="GQ6" s="14"/>
      <x:c r="GR6" s="14"/>
      <x:c r="GS6" s="14"/>
      <x:c r="GT6" s="14"/>
      <x:c r="GU6" s="14"/>
      <x:c r="GV6" s="14"/>
      <x:c r="GW6" s="14"/>
      <x:c r="GX6" s="14"/>
      <x:c r="GY6" s="14"/>
      <x:c r="GZ6" s="14"/>
      <x:c r="HA6" s="14"/>
      <x:c r="HB6" s="14"/>
      <x:c r="HC6" s="14"/>
      <x:c r="HD6" s="14"/>
      <x:c r="HE6" s="14"/>
      <x:c r="HF6" s="14"/>
      <x:c r="HG6" s="14"/>
      <x:c r="HH6" s="14"/>
      <x:c r="HI6" s="14"/>
      <x:c r="HJ6" s="14"/>
      <x:c r="HK6" s="14"/>
      <x:c r="HL6" s="14"/>
      <x:c r="HM6" s="14"/>
      <x:c r="HN6" s="14"/>
      <x:c r="HO6" s="14"/>
      <x:c r="HP6" s="14"/>
      <x:c r="HQ6" s="14"/>
      <x:c r="HR6" s="14"/>
      <x:c r="HS6" s="14"/>
      <x:c r="HT6" s="14"/>
      <x:c r="HU6" s="14"/>
      <x:c r="HV6" s="14"/>
      <x:c r="HW6" s="14"/>
      <x:c r="HX6" s="14"/>
      <x:c r="HY6" s="14"/>
      <x:c r="HZ6" s="14"/>
      <x:c r="IA6" s="14"/>
      <x:c r="IB6" s="14"/>
      <x:c r="IC6" s="14"/>
      <x:c r="ID6" s="14"/>
      <x:c r="IE6" s="14"/>
      <x:c r="IF6" s="14"/>
      <x:c r="IG6" s="14"/>
      <x:c r="IH6" s="14"/>
      <x:c r="II6" s="14"/>
      <x:c r="IJ6" s="14"/>
      <x:c r="IK6" s="14"/>
      <x:c r="IL6" s="14"/>
      <x:c r="IM6" s="14"/>
      <x:c r="IN6" s="14"/>
      <x:c r="IO6" s="14"/>
      <x:c r="IP6" s="14"/>
      <x:c r="IQ6" s="14"/>
      <x:c r="IR6" s="14"/>
      <x:c r="IS6" s="14"/>
      <x:c r="IT6" s="14"/>
      <x:c r="IU6" s="14"/>
      <x:c r="IV6" s="14"/>
      <x:c r="IW6" s="14"/>
      <x:c r="IX6" s="14"/>
      <x:c r="IY6" s="14"/>
      <x:c r="IZ6" s="14"/>
      <x:c r="JA6" s="14"/>
      <x:c r="JB6" s="14"/>
      <x:c r="JC6" s="14"/>
      <x:c r="JD6" s="14"/>
      <x:c r="JE6" s="14"/>
      <x:c r="JF6" s="14"/>
      <x:c r="JG6" s="14"/>
      <x:c r="JH6" s="14"/>
      <x:c r="JI6" s="14"/>
      <x:c r="JJ6" s="14"/>
      <x:c r="JK6" s="14"/>
      <x:c r="JL6" s="14"/>
      <x:c r="JM6" s="14"/>
      <x:c r="JN6" s="14"/>
      <x:c r="JO6" s="14"/>
      <x:c r="JP6" s="14"/>
      <x:c r="JQ6" s="14"/>
      <x:c r="JR6" s="14"/>
      <x:c r="JS6" s="14"/>
      <x:c r="JT6" s="14"/>
      <x:c r="JU6" s="14"/>
      <x:c r="JV6" s="14"/>
      <x:c r="JW6" s="14"/>
      <x:c r="JX6" s="14"/>
      <x:c r="JY6" s="14"/>
      <x:c r="JZ6" s="14"/>
      <x:c r="KA6" s="14"/>
      <x:c r="KB6" s="14"/>
      <x:c r="KC6" s="14"/>
      <x:c r="KD6" s="14"/>
      <x:c r="KE6" s="14"/>
      <x:c r="KF6" s="14"/>
      <x:c r="KG6" s="14"/>
      <x:c r="KH6" s="14"/>
      <x:c r="KI6" s="14"/>
      <x:c r="KJ6" s="14"/>
      <x:c r="KK6" s="14"/>
      <x:c r="KL6" s="14"/>
      <x:c r="KM6" s="14"/>
      <x:c r="KN6" s="14"/>
      <x:c r="KO6" s="14"/>
      <x:c r="KP6" s="14"/>
      <x:c r="KQ6" s="14"/>
      <x:c r="KR6" s="14"/>
      <x:c r="KS6" s="14"/>
      <x:c r="KT6" s="14"/>
      <x:c r="KU6" s="14"/>
      <x:c r="KV6" s="14"/>
      <x:c r="KW6" s="14"/>
      <x:c r="KX6" s="14"/>
      <x:c r="KY6" s="14"/>
      <x:c r="KZ6" s="14"/>
      <x:c r="LA6" s="14"/>
      <x:c r="LB6" s="14"/>
      <x:c r="LC6" s="14"/>
      <x:c r="LD6" s="14"/>
      <x:c r="LE6" s="14"/>
      <x:c r="LF6" s="14"/>
      <x:c r="LG6" s="14"/>
      <x:c r="LH6" s="14"/>
      <x:c r="LI6" s="14"/>
      <x:c r="LJ6" s="14"/>
      <x:c r="LK6" s="14"/>
      <x:c r="LL6" s="14"/>
      <x:c r="LM6" s="14"/>
      <x:c r="LN6" s="14"/>
      <x:c r="LO6" s="14"/>
      <x:c r="LP6" s="14"/>
      <x:c r="LQ6" s="14"/>
      <x:c r="LR6" s="14"/>
      <x:c r="LS6" s="14"/>
      <x:c r="LT6" s="14"/>
      <x:c r="LU6" s="14"/>
      <x:c r="LV6" s="14"/>
      <x:c r="LW6" s="14"/>
      <x:c r="LX6" s="14"/>
      <x:c r="LY6" s="14"/>
      <x:c r="LZ6" s="14"/>
      <x:c r="MA6" s="14"/>
      <x:c r="MB6" s="14"/>
      <x:c r="MC6" s="14"/>
      <x:c r="MD6" s="14"/>
      <x:c r="ME6" s="14"/>
      <x:c r="MF6" s="14"/>
      <x:c r="MG6" s="14"/>
      <x:c r="MH6" s="14"/>
      <x:c r="MI6" s="14"/>
      <x:c r="MJ6" s="14"/>
      <x:c r="MK6" s="14"/>
      <x:c r="ML6" s="14"/>
      <x:c r="MM6" s="14"/>
      <x:c r="MN6" s="14"/>
      <x:c r="MO6" s="14"/>
      <x:c r="MP6" s="14"/>
      <x:c r="MQ6" s="14"/>
      <x:c r="MR6" s="14"/>
      <x:c r="MS6" s="14"/>
      <x:c r="MT6" s="14"/>
      <x:c r="MU6" s="14"/>
      <x:c r="MV6" s="14"/>
      <x:c r="MW6" s="14"/>
      <x:c r="MX6" s="14"/>
      <x:c r="MY6" s="14"/>
      <x:c r="MZ6" s="14"/>
      <x:c r="NA6" s="14"/>
      <x:c r="NB6" s="14"/>
      <x:c r="NC6" s="14"/>
      <x:c r="ND6" s="14"/>
      <x:c r="NE6" s="14"/>
      <x:c r="NF6" s="14"/>
      <x:c r="NG6" s="14"/>
      <x:c r="NH6" s="14"/>
      <x:c r="NI6" s="14"/>
      <x:c r="NJ6" s="14"/>
      <x:c r="NK6" s="14"/>
      <x:c r="NL6" s="14"/>
      <x:c r="NM6" s="14"/>
      <x:c r="NN6" s="14"/>
      <x:c r="NO6" s="14"/>
      <x:c r="NP6" s="14"/>
      <x:c r="NQ6" s="14"/>
      <x:c r="NR6" s="14"/>
      <x:c r="NS6" s="14"/>
      <x:c r="NT6" s="14"/>
      <x:c r="NU6" s="14"/>
      <x:c r="NV6" s="14"/>
      <x:c r="NW6" s="14"/>
      <x:c r="NX6" s="14"/>
      <x:c r="NY6" s="14"/>
      <x:c r="NZ6" s="14"/>
      <x:c r="OA6" s="14"/>
      <x:c r="OB6" s="14"/>
      <x:c r="OC6" s="14"/>
      <x:c r="OD6" s="14"/>
      <x:c r="OE6" s="14"/>
      <x:c r="OF6" s="14"/>
      <x:c r="OG6" s="14"/>
      <x:c r="OH6" s="14"/>
      <x:c r="OI6" s="14"/>
      <x:c r="OJ6" s="14"/>
      <x:c r="OK6" s="14"/>
      <x:c r="OL6" s="14"/>
      <x:c r="OM6" s="14"/>
      <x:c r="ON6" s="14"/>
      <x:c r="OO6" s="14"/>
      <x:c r="OP6" s="14"/>
      <x:c r="OQ6" s="14"/>
      <x:c r="OR6" s="14"/>
      <x:c r="OS6" s="14"/>
      <x:c r="OT6" s="14"/>
      <x:c r="OU6" s="14"/>
      <x:c r="OV6" s="14"/>
      <x:c r="OW6" s="14"/>
      <x:c r="OX6" s="14"/>
      <x:c r="OY6" s="14"/>
      <x:c r="OZ6" s="14"/>
      <x:c r="PA6" s="14"/>
      <x:c r="PB6" s="14"/>
      <x:c r="PC6" s="14"/>
      <x:c r="PD6" s="14"/>
      <x:c r="PE6" s="14"/>
      <x:c r="PF6" s="14"/>
      <x:c r="PG6" s="14"/>
      <x:c r="PH6" s="14"/>
      <x:c r="PI6" s="14"/>
      <x:c r="PJ6" s="14"/>
      <x:c r="PK6" s="14"/>
      <x:c r="PL6" s="14"/>
      <x:c r="PM6" s="14"/>
      <x:c r="PN6" s="14"/>
      <x:c r="PO6" s="14"/>
      <x:c r="PP6" s="14"/>
      <x:c r="PQ6" s="14"/>
      <x:c r="PR6" s="14"/>
      <x:c r="PS6" s="14"/>
      <x:c r="PT6" s="14"/>
      <x:c r="PU6" s="14"/>
      <x:c r="PV6" s="14"/>
      <x:c r="PW6" s="14"/>
      <x:c r="PX6" s="14"/>
      <x:c r="PY6" s="14"/>
      <x:c r="PZ6" s="14"/>
      <x:c r="QA6" s="14"/>
      <x:c r="QB6" s="14"/>
      <x:c r="QC6" s="14"/>
      <x:c r="QD6" s="14"/>
      <x:c r="QE6" s="14"/>
      <x:c r="QF6" s="14"/>
      <x:c r="QG6" s="14"/>
      <x:c r="QH6" s="14"/>
      <x:c r="QI6" s="14"/>
      <x:c r="QJ6" s="14"/>
      <x:c r="QK6" s="14"/>
      <x:c r="QL6" s="14"/>
      <x:c r="QM6" s="14"/>
      <x:c r="QN6" s="14"/>
      <x:c r="QO6" s="14"/>
      <x:c r="QP6" s="14"/>
      <x:c r="QQ6" s="14"/>
      <x:c r="QR6" s="14"/>
      <x:c r="QS6" s="14"/>
      <x:c r="QT6" s="14"/>
      <x:c r="QU6" s="14"/>
      <x:c r="QV6" s="14"/>
      <x:c r="QW6" s="14"/>
      <x:c r="QX6" s="14"/>
      <x:c r="QY6" s="14"/>
      <x:c r="QZ6" s="14"/>
      <x:c r="RA6" s="14"/>
      <x:c r="RB6" s="14"/>
      <x:c r="RC6" s="14"/>
      <x:c r="RD6" s="14"/>
      <x:c r="RE6" s="14"/>
      <x:c r="RF6" s="14"/>
      <x:c r="RG6" s="14"/>
      <x:c r="RH6" s="14"/>
      <x:c r="RI6" s="14"/>
      <x:c r="RJ6" s="14"/>
      <x:c r="RK6" s="14"/>
      <x:c r="RL6" s="14"/>
      <x:c r="RM6" s="14"/>
      <x:c r="RN6" s="14"/>
      <x:c r="RO6" s="14"/>
      <x:c r="RP6" s="14"/>
      <x:c r="RQ6" s="14"/>
      <x:c r="RR6" s="14"/>
      <x:c r="RS6" s="14"/>
      <x:c r="RT6" s="14"/>
      <x:c r="RU6" s="14"/>
      <x:c r="RV6" s="14"/>
      <x:c r="RW6" s="14"/>
      <x:c r="RX6" s="14"/>
      <x:c r="RY6" s="14"/>
      <x:c r="RZ6" s="14"/>
      <x:c r="SA6" s="14"/>
      <x:c r="SB6" s="14"/>
      <x:c r="SC6" s="14"/>
      <x:c r="SD6" s="14"/>
      <x:c r="SE6" s="14"/>
      <x:c r="SF6" s="14"/>
      <x:c r="SG6" s="14"/>
      <x:c r="SH6" s="14"/>
      <x:c r="SI6" s="14"/>
      <x:c r="SJ6" s="14"/>
      <x:c r="SK6" s="14"/>
      <x:c r="SL6" s="14"/>
      <x:c r="SM6" s="14"/>
      <x:c r="SN6" s="14"/>
      <x:c r="SO6" s="14"/>
      <x:c r="SP6" s="14"/>
      <x:c r="SQ6" s="14"/>
      <x:c r="SR6" s="14"/>
      <x:c r="SS6" s="14"/>
      <x:c r="ST6" s="14"/>
      <x:c r="SU6" s="14"/>
      <x:c r="SV6" s="14"/>
      <x:c r="SW6" s="14"/>
      <x:c r="SX6" s="14"/>
      <x:c r="SY6" s="14"/>
      <x:c r="SZ6" s="14"/>
      <x:c r="TA6" s="14"/>
      <x:c r="TB6" s="14"/>
      <x:c r="TC6" s="14"/>
      <x:c r="TD6" s="14"/>
      <x:c r="TE6" s="14"/>
      <x:c r="TF6" s="14"/>
      <x:c r="TG6" s="14"/>
      <x:c r="TH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  <x:c r="AH7" s="14"/>
      <x:c r="AI7" s="14"/>
      <x:c r="AJ7" s="14"/>
      <x:c r="AK7" s="14"/>
      <x:c r="AL7" s="14"/>
      <x:c r="AM7" s="14"/>
      <x:c r="AN7" s="14"/>
      <x:c r="AO7" s="14"/>
      <x:c r="AP7" s="14"/>
      <x:c r="AQ7" s="14"/>
      <x:c r="AR7" s="14"/>
      <x:c r="AS7" s="14"/>
      <x:c r="AT7" s="14"/>
      <x:c r="AU7" s="14"/>
      <x:c r="AV7" s="14"/>
      <x:c r="AW7" s="14"/>
      <x:c r="AX7" s="14"/>
      <x:c r="AY7" s="14"/>
      <x:c r="AZ7" s="14"/>
      <x:c r="BA7" s="14"/>
      <x:c r="BB7" s="14"/>
      <x:c r="BC7" s="14"/>
      <x:c r="BD7" s="14"/>
      <x:c r="BE7" s="14"/>
      <x:c r="BF7" s="14"/>
      <x:c r="BG7" s="14"/>
      <x:c r="BH7" s="14"/>
      <x:c r="BI7" s="14"/>
      <x:c r="BJ7" s="14"/>
      <x:c r="BK7" s="14"/>
      <x:c r="BL7" s="14"/>
      <x:c r="BM7" s="14"/>
      <x:c r="BN7" s="14"/>
      <x:c r="BO7" s="14"/>
      <x:c r="BP7" s="14"/>
      <x:c r="BQ7" s="14"/>
      <x:c r="BR7" s="14"/>
      <x:c r="BS7" s="14"/>
      <x:c r="BT7" s="14"/>
      <x:c r="BU7" s="14"/>
      <x:c r="BV7" s="14"/>
      <x:c r="BW7" s="14"/>
      <x:c r="BX7" s="14"/>
      <x:c r="BY7" s="14"/>
      <x:c r="BZ7" s="14"/>
      <x:c r="CA7" s="14"/>
      <x:c r="CB7" s="14"/>
      <x:c r="CC7" s="14"/>
      <x:c r="CD7" s="14"/>
      <x:c r="CE7" s="14"/>
      <x:c r="CF7" s="14"/>
      <x:c r="CG7" s="14"/>
      <x:c r="CH7" s="14"/>
      <x:c r="CI7" s="14"/>
      <x:c r="CJ7" s="14"/>
      <x:c r="CK7" s="14"/>
      <x:c r="CL7" s="14"/>
      <x:c r="CM7" s="14"/>
      <x:c r="CN7" s="14"/>
      <x:c r="CO7" s="14"/>
      <x:c r="CP7" s="14"/>
      <x:c r="CQ7" s="14"/>
      <x:c r="CR7" s="14"/>
      <x:c r="CS7" s="14"/>
      <x:c r="CT7" s="14"/>
      <x:c r="CU7" s="14"/>
      <x:c r="CV7" s="14"/>
      <x:c r="CW7" s="14"/>
      <x:c r="CX7" s="14"/>
      <x:c r="CY7" s="14"/>
      <x:c r="CZ7" s="14"/>
      <x:c r="DA7" s="14"/>
      <x:c r="DB7" s="14"/>
      <x:c r="DC7" s="14"/>
      <x:c r="DD7" s="14"/>
      <x:c r="DE7" s="14"/>
      <x:c r="DF7" s="14"/>
      <x:c r="DG7" s="14"/>
      <x:c r="DH7" s="14"/>
      <x:c r="DI7" s="14"/>
      <x:c r="DJ7" s="14"/>
      <x:c r="DK7" s="14"/>
      <x:c r="DL7" s="14"/>
      <x:c r="DM7" s="14"/>
      <x:c r="DN7" s="14"/>
      <x:c r="DO7" s="14"/>
      <x:c r="DP7" s="14"/>
      <x:c r="DQ7" s="14"/>
      <x:c r="DR7" s="14"/>
      <x:c r="DS7" s="14"/>
      <x:c r="DT7" s="14"/>
      <x:c r="DU7" s="14"/>
      <x:c r="DV7" s="14"/>
      <x:c r="DW7" s="14"/>
      <x:c r="DX7" s="14"/>
      <x:c r="DY7" s="14"/>
      <x:c r="DZ7" s="14"/>
      <x:c r="EA7" s="14"/>
      <x:c r="EB7" s="14"/>
      <x:c r="EC7" s="14"/>
      <x:c r="ED7" s="14"/>
      <x:c r="EE7" s="14"/>
      <x:c r="EF7" s="14"/>
      <x:c r="EG7" s="14"/>
      <x:c r="EH7" s="14"/>
      <x:c r="EI7" s="14"/>
      <x:c r="EJ7" s="14"/>
      <x:c r="EK7" s="14"/>
      <x:c r="EL7" s="14"/>
      <x:c r="EM7" s="14"/>
      <x:c r="EN7" s="14"/>
      <x:c r="EO7" s="14"/>
      <x:c r="EP7" s="14"/>
      <x:c r="EQ7" s="14"/>
      <x:c r="ER7" s="14"/>
      <x:c r="ES7" s="14"/>
      <x:c r="ET7" s="14"/>
      <x:c r="EU7" s="14"/>
      <x:c r="EV7" s="14"/>
      <x:c r="EW7" s="14"/>
      <x:c r="EX7" s="14"/>
      <x:c r="EY7" s="14"/>
      <x:c r="EZ7" s="14"/>
      <x:c r="FA7" s="14"/>
      <x:c r="FB7" s="14"/>
      <x:c r="FC7" s="14"/>
      <x:c r="FD7" s="14"/>
      <x:c r="FE7" s="14"/>
      <x:c r="FF7" s="14"/>
      <x:c r="FG7" s="14"/>
      <x:c r="FH7" s="14"/>
      <x:c r="FI7" s="14"/>
      <x:c r="FJ7" s="14"/>
      <x:c r="FK7" s="14"/>
      <x:c r="FL7" s="14"/>
      <x:c r="FM7" s="14"/>
      <x:c r="FN7" s="14"/>
      <x:c r="FO7" s="14"/>
      <x:c r="FP7" s="14"/>
      <x:c r="FQ7" s="14"/>
      <x:c r="FR7" s="14"/>
      <x:c r="FS7" s="14"/>
      <x:c r="FT7" s="14"/>
      <x:c r="FU7" s="14"/>
      <x:c r="FV7" s="14"/>
      <x:c r="FW7" s="14"/>
      <x:c r="FX7" s="14"/>
      <x:c r="FY7" s="14"/>
      <x:c r="FZ7" s="14"/>
      <x:c r="GA7" s="14"/>
      <x:c r="GB7" s="14"/>
      <x:c r="GC7" s="14"/>
      <x:c r="GD7" s="14"/>
      <x:c r="GE7" s="14"/>
      <x:c r="GF7" s="14"/>
      <x:c r="GG7" s="14"/>
      <x:c r="GH7" s="14"/>
      <x:c r="GI7" s="14"/>
      <x:c r="GJ7" s="14"/>
      <x:c r="GK7" s="14"/>
      <x:c r="GL7" s="14"/>
      <x:c r="GM7" s="14"/>
      <x:c r="GN7" s="14"/>
      <x:c r="GO7" s="14"/>
      <x:c r="GP7" s="14"/>
      <x:c r="GQ7" s="14"/>
      <x:c r="GR7" s="14"/>
      <x:c r="GS7" s="14"/>
      <x:c r="GT7" s="14"/>
      <x:c r="GU7" s="14"/>
      <x:c r="GV7" s="14"/>
      <x:c r="GW7" s="14"/>
      <x:c r="GX7" s="14"/>
      <x:c r="GY7" s="14"/>
      <x:c r="GZ7" s="14"/>
      <x:c r="HA7" s="14"/>
      <x:c r="HB7" s="14"/>
      <x:c r="HC7" s="14"/>
      <x:c r="HD7" s="14"/>
      <x:c r="HE7" s="14"/>
      <x:c r="HF7" s="14"/>
      <x:c r="HG7" s="14"/>
      <x:c r="HH7" s="14"/>
      <x:c r="HI7" s="14"/>
      <x:c r="HJ7" s="14"/>
      <x:c r="HK7" s="14"/>
      <x:c r="HL7" s="14"/>
      <x:c r="HM7" s="14"/>
      <x:c r="HN7" s="14"/>
      <x:c r="HO7" s="14"/>
      <x:c r="HP7" s="14"/>
      <x:c r="HQ7" s="14"/>
      <x:c r="HR7" s="14"/>
      <x:c r="HS7" s="14"/>
      <x:c r="HT7" s="14"/>
      <x:c r="HU7" s="14"/>
      <x:c r="HV7" s="14"/>
      <x:c r="HW7" s="14"/>
      <x:c r="HX7" s="14"/>
      <x:c r="HY7" s="14"/>
      <x:c r="HZ7" s="14"/>
      <x:c r="IA7" s="14"/>
      <x:c r="IB7" s="14"/>
      <x:c r="IC7" s="14"/>
      <x:c r="ID7" s="14"/>
      <x:c r="IE7" s="14"/>
      <x:c r="IF7" s="14"/>
      <x:c r="IG7" s="14"/>
      <x:c r="IH7" s="14"/>
      <x:c r="II7" s="14"/>
      <x:c r="IJ7" s="14"/>
      <x:c r="IK7" s="14"/>
      <x:c r="IL7" s="14"/>
      <x:c r="IM7" s="14"/>
      <x:c r="IN7" s="14"/>
      <x:c r="IO7" s="14"/>
      <x:c r="IP7" s="14"/>
      <x:c r="IQ7" s="14"/>
      <x:c r="IR7" s="14"/>
      <x:c r="IS7" s="14"/>
      <x:c r="IT7" s="14"/>
      <x:c r="IU7" s="14"/>
      <x:c r="IV7" s="14"/>
      <x:c r="IW7" s="14"/>
      <x:c r="IX7" s="14"/>
      <x:c r="IY7" s="14"/>
      <x:c r="IZ7" s="14"/>
      <x:c r="JA7" s="14"/>
      <x:c r="JB7" s="14"/>
      <x:c r="JC7" s="14"/>
      <x:c r="JD7" s="14"/>
      <x:c r="JE7" s="14"/>
      <x:c r="JF7" s="14"/>
      <x:c r="JG7" s="14"/>
      <x:c r="JH7" s="14"/>
      <x:c r="JI7" s="14"/>
      <x:c r="JJ7" s="14"/>
      <x:c r="JK7" s="14"/>
      <x:c r="JL7" s="14"/>
      <x:c r="JM7" s="14"/>
      <x:c r="JN7" s="14"/>
      <x:c r="JO7" s="14"/>
      <x:c r="JP7" s="14"/>
      <x:c r="JQ7" s="14"/>
      <x:c r="JR7" s="14"/>
      <x:c r="JS7" s="14"/>
      <x:c r="JT7" s="14"/>
      <x:c r="JU7" s="14"/>
      <x:c r="JV7" s="14"/>
      <x:c r="JW7" s="14"/>
      <x:c r="JX7" s="14"/>
      <x:c r="JY7" s="14"/>
      <x:c r="JZ7" s="14"/>
      <x:c r="KA7" s="14"/>
      <x:c r="KB7" s="14"/>
      <x:c r="KC7" s="14"/>
      <x:c r="KD7" s="14"/>
      <x:c r="KE7" s="14"/>
      <x:c r="KF7" s="14"/>
      <x:c r="KG7" s="14"/>
      <x:c r="KH7" s="14"/>
      <x:c r="KI7" s="14"/>
      <x:c r="KJ7" s="14"/>
      <x:c r="KK7" s="14"/>
      <x:c r="KL7" s="14"/>
      <x:c r="KM7" s="14"/>
      <x:c r="KN7" s="14"/>
      <x:c r="KO7" s="14"/>
      <x:c r="KP7" s="14"/>
      <x:c r="KQ7" s="14"/>
      <x:c r="KR7" s="14"/>
      <x:c r="KS7" s="14"/>
      <x:c r="KT7" s="14"/>
      <x:c r="KU7" s="14"/>
      <x:c r="KV7" s="14"/>
      <x:c r="KW7" s="14"/>
      <x:c r="KX7" s="14"/>
      <x:c r="KY7" s="14"/>
      <x:c r="KZ7" s="14"/>
      <x:c r="LA7" s="14"/>
      <x:c r="LB7" s="14"/>
      <x:c r="LC7" s="14"/>
      <x:c r="LD7" s="14"/>
      <x:c r="LE7" s="14"/>
      <x:c r="LF7" s="14"/>
      <x:c r="LG7" s="14"/>
      <x:c r="LH7" s="14"/>
      <x:c r="LI7" s="14"/>
      <x:c r="LJ7" s="14"/>
      <x:c r="LK7" s="14"/>
      <x:c r="LL7" s="14"/>
      <x:c r="LM7" s="14"/>
      <x:c r="LN7" s="14"/>
      <x:c r="LO7" s="14"/>
      <x:c r="LP7" s="14"/>
      <x:c r="LQ7" s="14"/>
      <x:c r="LR7" s="14"/>
      <x:c r="LS7" s="14"/>
      <x:c r="LT7" s="14"/>
      <x:c r="LU7" s="14"/>
      <x:c r="LV7" s="14"/>
      <x:c r="LW7" s="14"/>
      <x:c r="LX7" s="14"/>
      <x:c r="LY7" s="14"/>
      <x:c r="LZ7" s="14"/>
      <x:c r="MA7" s="14"/>
      <x:c r="MB7" s="14"/>
      <x:c r="MC7" s="14"/>
      <x:c r="MD7" s="14"/>
      <x:c r="ME7" s="14"/>
      <x:c r="MF7" s="14"/>
      <x:c r="MG7" s="14"/>
      <x:c r="MH7" s="14"/>
      <x:c r="MI7" s="14"/>
      <x:c r="MJ7" s="14"/>
      <x:c r="MK7" s="14"/>
      <x:c r="ML7" s="14"/>
      <x:c r="MM7" s="14"/>
      <x:c r="MN7" s="14"/>
      <x:c r="MO7" s="14"/>
      <x:c r="MP7" s="14"/>
      <x:c r="MQ7" s="14"/>
      <x:c r="MR7" s="14"/>
      <x:c r="MS7" s="14"/>
      <x:c r="MT7" s="14"/>
      <x:c r="MU7" s="14"/>
      <x:c r="MV7" s="14"/>
      <x:c r="MW7" s="14"/>
      <x:c r="MX7" s="14"/>
      <x:c r="MY7" s="14"/>
      <x:c r="MZ7" s="14"/>
      <x:c r="NA7" s="14"/>
      <x:c r="NB7" s="14"/>
      <x:c r="NC7" s="14"/>
      <x:c r="ND7" s="14"/>
      <x:c r="NE7" s="14"/>
      <x:c r="NF7" s="14"/>
      <x:c r="NG7" s="14"/>
      <x:c r="NH7" s="14"/>
      <x:c r="NI7" s="14"/>
      <x:c r="NJ7" s="14"/>
      <x:c r="NK7" s="14"/>
      <x:c r="NL7" s="14"/>
      <x:c r="NM7" s="14"/>
      <x:c r="NN7" s="14"/>
      <x:c r="NO7" s="14"/>
      <x:c r="NP7" s="14"/>
      <x:c r="NQ7" s="14"/>
      <x:c r="NR7" s="14"/>
      <x:c r="NS7" s="14"/>
      <x:c r="NT7" s="14"/>
      <x:c r="NU7" s="14"/>
      <x:c r="NV7" s="14"/>
      <x:c r="NW7" s="14"/>
      <x:c r="NX7" s="14"/>
      <x:c r="NY7" s="14"/>
      <x:c r="NZ7" s="14"/>
      <x:c r="OA7" s="14"/>
      <x:c r="OB7" s="14"/>
      <x:c r="OC7" s="14"/>
      <x:c r="OD7" s="14"/>
      <x:c r="OE7" s="14"/>
      <x:c r="OF7" s="14"/>
      <x:c r="OG7" s="14"/>
      <x:c r="OH7" s="14"/>
      <x:c r="OI7" s="14"/>
      <x:c r="OJ7" s="14"/>
      <x:c r="OK7" s="14"/>
      <x:c r="OL7" s="14"/>
      <x:c r="OM7" s="14"/>
      <x:c r="ON7" s="14"/>
      <x:c r="OO7" s="14"/>
      <x:c r="OP7" s="14"/>
      <x:c r="OQ7" s="14"/>
      <x:c r="OR7" s="14"/>
      <x:c r="OS7" s="14"/>
      <x:c r="OT7" s="14"/>
      <x:c r="OU7" s="14"/>
      <x:c r="OV7" s="14"/>
      <x:c r="OW7" s="14"/>
      <x:c r="OX7" s="14"/>
      <x:c r="OY7" s="14"/>
      <x:c r="OZ7" s="14"/>
      <x:c r="PA7" s="14"/>
      <x:c r="PB7" s="14"/>
      <x:c r="PC7" s="14"/>
      <x:c r="PD7" s="14"/>
      <x:c r="PE7" s="14"/>
      <x:c r="PF7" s="14"/>
      <x:c r="PG7" s="14"/>
      <x:c r="PH7" s="14"/>
      <x:c r="PI7" s="14"/>
      <x:c r="PJ7" s="14"/>
      <x:c r="PK7" s="14"/>
      <x:c r="PL7" s="14"/>
      <x:c r="PM7" s="14"/>
      <x:c r="PN7" s="14"/>
      <x:c r="PO7" s="14"/>
      <x:c r="PP7" s="14"/>
      <x:c r="PQ7" s="14"/>
      <x:c r="PR7" s="14"/>
      <x:c r="PS7" s="14"/>
      <x:c r="PT7" s="14"/>
      <x:c r="PU7" s="14"/>
      <x:c r="PV7" s="14"/>
      <x:c r="PW7" s="14"/>
      <x:c r="PX7" s="14"/>
      <x:c r="PY7" s="14"/>
      <x:c r="PZ7" s="14"/>
      <x:c r="QA7" s="14"/>
      <x:c r="QB7" s="14"/>
      <x:c r="QC7" s="14"/>
      <x:c r="QD7" s="14"/>
      <x:c r="QE7" s="14"/>
      <x:c r="QF7" s="14"/>
      <x:c r="QG7" s="14"/>
      <x:c r="QH7" s="14"/>
      <x:c r="QI7" s="14"/>
      <x:c r="QJ7" s="14"/>
      <x:c r="QK7" s="14"/>
      <x:c r="QL7" s="14"/>
      <x:c r="QM7" s="14"/>
      <x:c r="QN7" s="14"/>
      <x:c r="QO7" s="14"/>
      <x:c r="QP7" s="14"/>
      <x:c r="QQ7" s="14"/>
      <x:c r="QR7" s="14"/>
      <x:c r="QS7" s="14"/>
      <x:c r="QT7" s="14"/>
      <x:c r="QU7" s="14"/>
      <x:c r="QV7" s="14"/>
      <x:c r="QW7" s="14"/>
      <x:c r="QX7" s="14"/>
      <x:c r="QY7" s="14"/>
      <x:c r="QZ7" s="14"/>
      <x:c r="RA7" s="14"/>
      <x:c r="RB7" s="14"/>
      <x:c r="RC7" s="14"/>
      <x:c r="RD7" s="14"/>
      <x:c r="RE7" s="14"/>
      <x:c r="RF7" s="14"/>
      <x:c r="RG7" s="14"/>
      <x:c r="RH7" s="14"/>
      <x:c r="RI7" s="14"/>
      <x:c r="RJ7" s="14"/>
      <x:c r="RK7" s="14"/>
      <x:c r="RL7" s="14"/>
      <x:c r="RM7" s="14"/>
      <x:c r="RN7" s="14"/>
      <x:c r="RO7" s="14"/>
      <x:c r="RP7" s="14"/>
      <x:c r="RQ7" s="14"/>
      <x:c r="RR7" s="14"/>
      <x:c r="RS7" s="14"/>
      <x:c r="RT7" s="14"/>
      <x:c r="RU7" s="14"/>
      <x:c r="RV7" s="14"/>
      <x:c r="RW7" s="14"/>
      <x:c r="RX7" s="14"/>
      <x:c r="RY7" s="14"/>
      <x:c r="RZ7" s="14"/>
      <x:c r="SA7" s="14"/>
      <x:c r="SB7" s="14"/>
      <x:c r="SC7" s="14"/>
      <x:c r="SD7" s="14"/>
      <x:c r="SE7" s="14"/>
      <x:c r="SF7" s="14"/>
      <x:c r="SG7" s="14"/>
      <x:c r="SH7" s="14"/>
      <x:c r="SI7" s="14"/>
      <x:c r="SJ7" s="14"/>
      <x:c r="SK7" s="14"/>
      <x:c r="SL7" s="14"/>
      <x:c r="SM7" s="14"/>
      <x:c r="SN7" s="14"/>
      <x:c r="SO7" s="14"/>
      <x:c r="SP7" s="14"/>
      <x:c r="SQ7" s="14"/>
      <x:c r="SR7" s="14"/>
      <x:c r="SS7" s="14"/>
      <x:c r="ST7" s="14"/>
      <x:c r="SU7" s="14"/>
      <x:c r="SV7" s="14"/>
      <x:c r="SW7" s="14"/>
      <x:c r="SX7" s="14"/>
      <x:c r="SY7" s="14"/>
      <x:c r="SZ7" s="14"/>
      <x:c r="TA7" s="14"/>
      <x:c r="TB7" s="14"/>
      <x:c r="TC7" s="14"/>
      <x:c r="TD7" s="14"/>
      <x:c r="TE7" s="14"/>
      <x:c r="TF7" s="14"/>
      <x:c r="TG7" s="14"/>
      <x:c r="TH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  <x:c r="AH8" s="14"/>
      <x:c r="AI8" s="14"/>
      <x:c r="AJ8" s="14"/>
      <x:c r="AK8" s="14"/>
      <x:c r="AL8" s="14"/>
      <x:c r="AM8" s="14"/>
      <x:c r="AN8" s="14"/>
      <x:c r="AO8" s="14"/>
      <x:c r="AP8" s="14"/>
      <x:c r="AQ8" s="14"/>
      <x:c r="AR8" s="14"/>
      <x:c r="AS8" s="14"/>
      <x:c r="AT8" s="14"/>
      <x:c r="AU8" s="14"/>
      <x:c r="AV8" s="14"/>
      <x:c r="AW8" s="14"/>
      <x:c r="AX8" s="14"/>
      <x:c r="AY8" s="14"/>
      <x:c r="AZ8" s="14"/>
      <x:c r="BA8" s="14"/>
      <x:c r="BB8" s="14"/>
      <x:c r="BC8" s="14"/>
      <x:c r="BD8" s="14"/>
      <x:c r="BE8" s="14"/>
      <x:c r="BF8" s="14"/>
      <x:c r="BG8" s="14"/>
      <x:c r="BH8" s="14"/>
      <x:c r="BI8" s="14"/>
      <x:c r="BJ8" s="14"/>
      <x:c r="BK8" s="14"/>
      <x:c r="BL8" s="14"/>
      <x:c r="BM8" s="14"/>
      <x:c r="BN8" s="14"/>
      <x:c r="BO8" s="14"/>
      <x:c r="BP8" s="14"/>
      <x:c r="BQ8" s="14"/>
      <x:c r="BR8" s="14"/>
      <x:c r="BS8" s="14"/>
      <x:c r="BT8" s="14"/>
      <x:c r="BU8" s="14"/>
      <x:c r="BV8" s="14"/>
      <x:c r="BW8" s="14"/>
      <x:c r="BX8" s="14"/>
      <x:c r="BY8" s="14"/>
      <x:c r="BZ8" s="14"/>
      <x:c r="CA8" s="14"/>
      <x:c r="CB8" s="14"/>
      <x:c r="CC8" s="14"/>
      <x:c r="CD8" s="14"/>
      <x:c r="CE8" s="14"/>
      <x:c r="CF8" s="14"/>
      <x:c r="CG8" s="14"/>
      <x:c r="CH8" s="14"/>
      <x:c r="CI8" s="14"/>
      <x:c r="CJ8" s="14"/>
      <x:c r="CK8" s="14"/>
      <x:c r="CL8" s="14"/>
      <x:c r="CM8" s="14"/>
      <x:c r="CN8" s="14"/>
      <x:c r="CO8" s="14"/>
      <x:c r="CP8" s="14"/>
      <x:c r="CQ8" s="14"/>
      <x:c r="CR8" s="14"/>
      <x:c r="CS8" s="14"/>
      <x:c r="CT8" s="14"/>
      <x:c r="CU8" s="14"/>
      <x:c r="CV8" s="14"/>
      <x:c r="CW8" s="14"/>
      <x:c r="CX8" s="14"/>
      <x:c r="CY8" s="14"/>
      <x:c r="CZ8" s="14"/>
      <x:c r="DA8" s="14"/>
      <x:c r="DB8" s="14"/>
      <x:c r="DC8" s="14"/>
      <x:c r="DD8" s="14"/>
      <x:c r="DE8" s="14"/>
      <x:c r="DF8" s="14"/>
      <x:c r="DG8" s="14"/>
      <x:c r="DH8" s="14"/>
      <x:c r="DI8" s="14"/>
      <x:c r="DJ8" s="14"/>
      <x:c r="DK8" s="14"/>
      <x:c r="DL8" s="14"/>
      <x:c r="DM8" s="14"/>
      <x:c r="DN8" s="14"/>
      <x:c r="DO8" s="14"/>
      <x:c r="DP8" s="14"/>
      <x:c r="DQ8" s="14"/>
      <x:c r="DR8" s="14"/>
      <x:c r="DS8" s="14"/>
      <x:c r="DT8" s="14"/>
      <x:c r="DU8" s="14"/>
      <x:c r="DV8" s="14"/>
      <x:c r="DW8" s="14"/>
      <x:c r="DX8" s="14"/>
      <x:c r="DY8" s="14"/>
      <x:c r="DZ8" s="14"/>
      <x:c r="EA8" s="14"/>
      <x:c r="EB8" s="14"/>
      <x:c r="EC8" s="14"/>
      <x:c r="ED8" s="14"/>
      <x:c r="EE8" s="14"/>
      <x:c r="EF8" s="14"/>
      <x:c r="EG8" s="14"/>
      <x:c r="EH8" s="14"/>
      <x:c r="EI8" s="14"/>
      <x:c r="EJ8" s="14"/>
      <x:c r="EK8" s="14"/>
      <x:c r="EL8" s="14"/>
      <x:c r="EM8" s="14"/>
      <x:c r="EN8" s="14"/>
      <x:c r="EO8" s="14"/>
      <x:c r="EP8" s="14"/>
      <x:c r="EQ8" s="14"/>
      <x:c r="ER8" s="14"/>
      <x:c r="ES8" s="14"/>
      <x:c r="ET8" s="14"/>
      <x:c r="EU8" s="14"/>
      <x:c r="EV8" s="14"/>
      <x:c r="EW8" s="14"/>
      <x:c r="EX8" s="14"/>
      <x:c r="EY8" s="14"/>
      <x:c r="EZ8" s="14"/>
      <x:c r="FA8" s="14"/>
      <x:c r="FB8" s="14"/>
      <x:c r="FC8" s="14"/>
      <x:c r="FD8" s="14"/>
      <x:c r="FE8" s="14"/>
      <x:c r="FF8" s="14"/>
      <x:c r="FG8" s="14"/>
      <x:c r="FH8" s="14"/>
      <x:c r="FI8" s="14"/>
      <x:c r="FJ8" s="14"/>
      <x:c r="FK8" s="14"/>
      <x:c r="FL8" s="14"/>
      <x:c r="FM8" s="14"/>
      <x:c r="FN8" s="14"/>
      <x:c r="FO8" s="14"/>
      <x:c r="FP8" s="14"/>
      <x:c r="FQ8" s="14"/>
      <x:c r="FR8" s="14"/>
      <x:c r="FS8" s="14"/>
      <x:c r="FT8" s="14"/>
      <x:c r="FU8" s="14"/>
      <x:c r="FV8" s="14"/>
      <x:c r="FW8" s="14"/>
      <x:c r="FX8" s="14"/>
      <x:c r="FY8" s="14"/>
      <x:c r="FZ8" s="14"/>
      <x:c r="GA8" s="14"/>
      <x:c r="GB8" s="14"/>
      <x:c r="GC8" s="14"/>
      <x:c r="GD8" s="14"/>
      <x:c r="GE8" s="14"/>
      <x:c r="GF8" s="14"/>
      <x:c r="GG8" s="14"/>
      <x:c r="GH8" s="14"/>
      <x:c r="GI8" s="14"/>
      <x:c r="GJ8" s="14"/>
      <x:c r="GK8" s="14"/>
      <x:c r="GL8" s="14"/>
      <x:c r="GM8" s="14"/>
      <x:c r="GN8" s="14"/>
      <x:c r="GO8" s="14"/>
      <x:c r="GP8" s="14"/>
      <x:c r="GQ8" s="14"/>
      <x:c r="GR8" s="14"/>
      <x:c r="GS8" s="14"/>
      <x:c r="GT8" s="14"/>
      <x:c r="GU8" s="14"/>
      <x:c r="GV8" s="14"/>
      <x:c r="GW8" s="14"/>
      <x:c r="GX8" s="14"/>
      <x:c r="GY8" s="14"/>
      <x:c r="GZ8" s="14"/>
      <x:c r="HA8" s="14"/>
      <x:c r="HB8" s="14"/>
      <x:c r="HC8" s="14"/>
      <x:c r="HD8" s="14"/>
      <x:c r="HE8" s="14"/>
      <x:c r="HF8" s="14"/>
      <x:c r="HG8" s="14"/>
      <x:c r="HH8" s="14"/>
      <x:c r="HI8" s="14"/>
      <x:c r="HJ8" s="14"/>
      <x:c r="HK8" s="14"/>
      <x:c r="HL8" s="14"/>
      <x:c r="HM8" s="14"/>
      <x:c r="HN8" s="14"/>
      <x:c r="HO8" s="14"/>
      <x:c r="HP8" s="14"/>
      <x:c r="HQ8" s="14"/>
      <x:c r="HR8" s="14"/>
      <x:c r="HS8" s="14"/>
      <x:c r="HT8" s="14"/>
      <x:c r="HU8" s="14"/>
      <x:c r="HV8" s="14"/>
      <x:c r="HW8" s="14"/>
      <x:c r="HX8" s="14"/>
      <x:c r="HY8" s="14"/>
      <x:c r="HZ8" s="14"/>
      <x:c r="IA8" s="14"/>
      <x:c r="IB8" s="14"/>
      <x:c r="IC8" s="14"/>
      <x:c r="ID8" s="14"/>
      <x:c r="IE8" s="14"/>
      <x:c r="IF8" s="14"/>
      <x:c r="IG8" s="14"/>
      <x:c r="IH8" s="14"/>
      <x:c r="II8" s="14"/>
      <x:c r="IJ8" s="14"/>
      <x:c r="IK8" s="14"/>
      <x:c r="IL8" s="14"/>
      <x:c r="IM8" s="14"/>
      <x:c r="IN8" s="14"/>
      <x:c r="IO8" s="14"/>
      <x:c r="IP8" s="14"/>
      <x:c r="IQ8" s="14"/>
      <x:c r="IR8" s="14"/>
      <x:c r="IS8" s="14"/>
      <x:c r="IT8" s="14"/>
      <x:c r="IU8" s="14"/>
      <x:c r="IV8" s="14"/>
      <x:c r="IW8" s="14"/>
      <x:c r="IX8" s="14"/>
      <x:c r="IY8" s="14"/>
      <x:c r="IZ8" s="14"/>
      <x:c r="JA8" s="14"/>
      <x:c r="JB8" s="14"/>
      <x:c r="JC8" s="14"/>
      <x:c r="JD8" s="14"/>
      <x:c r="JE8" s="14"/>
      <x:c r="JF8" s="14"/>
      <x:c r="JG8" s="14"/>
      <x:c r="JH8" s="14"/>
      <x:c r="JI8" s="14"/>
      <x:c r="JJ8" s="14"/>
      <x:c r="JK8" s="14"/>
      <x:c r="JL8" s="14"/>
      <x:c r="JM8" s="14"/>
      <x:c r="JN8" s="14"/>
      <x:c r="JO8" s="14"/>
      <x:c r="JP8" s="14"/>
      <x:c r="JQ8" s="14"/>
      <x:c r="JR8" s="14"/>
      <x:c r="JS8" s="14"/>
      <x:c r="JT8" s="14"/>
      <x:c r="JU8" s="14"/>
      <x:c r="JV8" s="14"/>
      <x:c r="JW8" s="14"/>
      <x:c r="JX8" s="14"/>
      <x:c r="JY8" s="14"/>
      <x:c r="JZ8" s="14"/>
      <x:c r="KA8" s="14"/>
      <x:c r="KB8" s="14"/>
      <x:c r="KC8" s="14"/>
      <x:c r="KD8" s="14"/>
      <x:c r="KE8" s="14"/>
      <x:c r="KF8" s="14"/>
      <x:c r="KG8" s="14"/>
      <x:c r="KH8" s="14"/>
      <x:c r="KI8" s="14"/>
      <x:c r="KJ8" s="14"/>
      <x:c r="KK8" s="14"/>
      <x:c r="KL8" s="14"/>
      <x:c r="KM8" s="14"/>
      <x:c r="KN8" s="14"/>
      <x:c r="KO8" s="14"/>
      <x:c r="KP8" s="14"/>
      <x:c r="KQ8" s="14"/>
      <x:c r="KR8" s="14"/>
      <x:c r="KS8" s="14"/>
      <x:c r="KT8" s="14"/>
      <x:c r="KU8" s="14"/>
      <x:c r="KV8" s="14"/>
      <x:c r="KW8" s="14"/>
      <x:c r="KX8" s="14"/>
      <x:c r="KY8" s="14"/>
      <x:c r="KZ8" s="14"/>
      <x:c r="LA8" s="14"/>
      <x:c r="LB8" s="14"/>
      <x:c r="LC8" s="14"/>
      <x:c r="LD8" s="14"/>
      <x:c r="LE8" s="14"/>
      <x:c r="LF8" s="14"/>
      <x:c r="LG8" s="14"/>
      <x:c r="LH8" s="14"/>
      <x:c r="LI8" s="14"/>
      <x:c r="LJ8" s="14"/>
      <x:c r="LK8" s="14"/>
      <x:c r="LL8" s="14"/>
      <x:c r="LM8" s="14"/>
      <x:c r="LN8" s="14"/>
      <x:c r="LO8" s="14"/>
      <x:c r="LP8" s="14"/>
      <x:c r="LQ8" s="14"/>
      <x:c r="LR8" s="14"/>
      <x:c r="LS8" s="14"/>
      <x:c r="LT8" s="14"/>
      <x:c r="LU8" s="14"/>
      <x:c r="LV8" s="14"/>
      <x:c r="LW8" s="14"/>
      <x:c r="LX8" s="14"/>
      <x:c r="LY8" s="14"/>
      <x:c r="LZ8" s="14"/>
      <x:c r="MA8" s="14"/>
      <x:c r="MB8" s="14"/>
      <x:c r="MC8" s="14"/>
      <x:c r="MD8" s="14"/>
      <x:c r="ME8" s="14"/>
      <x:c r="MF8" s="14"/>
      <x:c r="MG8" s="14"/>
      <x:c r="MH8" s="14"/>
      <x:c r="MI8" s="14"/>
      <x:c r="MJ8" s="14"/>
      <x:c r="MK8" s="14"/>
      <x:c r="ML8" s="14"/>
      <x:c r="MM8" s="14"/>
      <x:c r="MN8" s="14"/>
      <x:c r="MO8" s="14"/>
      <x:c r="MP8" s="14"/>
      <x:c r="MQ8" s="14"/>
      <x:c r="MR8" s="14"/>
      <x:c r="MS8" s="14"/>
      <x:c r="MT8" s="14"/>
      <x:c r="MU8" s="14"/>
      <x:c r="MV8" s="14"/>
      <x:c r="MW8" s="14"/>
      <x:c r="MX8" s="14"/>
      <x:c r="MY8" s="14"/>
      <x:c r="MZ8" s="14"/>
      <x:c r="NA8" s="14"/>
      <x:c r="NB8" s="14"/>
      <x:c r="NC8" s="14"/>
      <x:c r="ND8" s="14"/>
      <x:c r="NE8" s="14"/>
      <x:c r="NF8" s="14"/>
      <x:c r="NG8" s="14"/>
      <x:c r="NH8" s="14"/>
      <x:c r="NI8" s="14"/>
      <x:c r="NJ8" s="14"/>
      <x:c r="NK8" s="14"/>
      <x:c r="NL8" s="14"/>
      <x:c r="NM8" s="14"/>
      <x:c r="NN8" s="14"/>
      <x:c r="NO8" s="14"/>
      <x:c r="NP8" s="14"/>
      <x:c r="NQ8" s="14"/>
      <x:c r="NR8" s="14"/>
      <x:c r="NS8" s="14"/>
      <x:c r="NT8" s="14"/>
      <x:c r="NU8" s="14"/>
      <x:c r="NV8" s="14"/>
      <x:c r="NW8" s="14"/>
      <x:c r="NX8" s="14"/>
      <x:c r="NY8" s="14"/>
      <x:c r="NZ8" s="14"/>
      <x:c r="OA8" s="14"/>
      <x:c r="OB8" s="14"/>
      <x:c r="OC8" s="14"/>
      <x:c r="OD8" s="14"/>
      <x:c r="OE8" s="14"/>
      <x:c r="OF8" s="14"/>
      <x:c r="OG8" s="14"/>
      <x:c r="OH8" s="14"/>
      <x:c r="OI8" s="14"/>
      <x:c r="OJ8" s="14"/>
      <x:c r="OK8" s="14"/>
      <x:c r="OL8" s="14"/>
      <x:c r="OM8" s="14"/>
      <x:c r="ON8" s="14"/>
      <x:c r="OO8" s="14"/>
      <x:c r="OP8" s="14"/>
      <x:c r="OQ8" s="14"/>
      <x:c r="OR8" s="14"/>
      <x:c r="OS8" s="14"/>
      <x:c r="OT8" s="14"/>
      <x:c r="OU8" s="14"/>
      <x:c r="OV8" s="14"/>
      <x:c r="OW8" s="14"/>
      <x:c r="OX8" s="14"/>
      <x:c r="OY8" s="14"/>
      <x:c r="OZ8" s="14"/>
      <x:c r="PA8" s="14"/>
      <x:c r="PB8" s="14"/>
      <x:c r="PC8" s="14"/>
      <x:c r="PD8" s="14"/>
      <x:c r="PE8" s="14"/>
      <x:c r="PF8" s="14"/>
      <x:c r="PG8" s="14"/>
      <x:c r="PH8" s="14"/>
      <x:c r="PI8" s="14"/>
      <x:c r="PJ8" s="14"/>
      <x:c r="PK8" s="14"/>
      <x:c r="PL8" s="14"/>
      <x:c r="PM8" s="14"/>
      <x:c r="PN8" s="14"/>
      <x:c r="PO8" s="14"/>
      <x:c r="PP8" s="14"/>
      <x:c r="PQ8" s="14"/>
      <x:c r="PR8" s="14"/>
      <x:c r="PS8" s="14"/>
      <x:c r="PT8" s="14"/>
      <x:c r="PU8" s="14"/>
      <x:c r="PV8" s="14"/>
      <x:c r="PW8" s="14"/>
      <x:c r="PX8" s="14"/>
      <x:c r="PY8" s="14"/>
      <x:c r="PZ8" s="14"/>
      <x:c r="QA8" s="14"/>
      <x:c r="QB8" s="14"/>
      <x:c r="QC8" s="14"/>
      <x:c r="QD8" s="14"/>
      <x:c r="QE8" s="14"/>
      <x:c r="QF8" s="14"/>
      <x:c r="QG8" s="14"/>
      <x:c r="QH8" s="14"/>
      <x:c r="QI8" s="14"/>
      <x:c r="QJ8" s="14"/>
      <x:c r="QK8" s="14"/>
      <x:c r="QL8" s="14"/>
      <x:c r="QM8" s="14"/>
      <x:c r="QN8" s="14"/>
      <x:c r="QO8" s="14"/>
      <x:c r="QP8" s="14"/>
      <x:c r="QQ8" s="14"/>
      <x:c r="QR8" s="14"/>
      <x:c r="QS8" s="14"/>
      <x:c r="QT8" s="14"/>
      <x:c r="QU8" s="14"/>
      <x:c r="QV8" s="14"/>
      <x:c r="QW8" s="14"/>
      <x:c r="QX8" s="14"/>
      <x:c r="QY8" s="14"/>
      <x:c r="QZ8" s="14"/>
      <x:c r="RA8" s="14"/>
      <x:c r="RB8" s="14"/>
      <x:c r="RC8" s="14"/>
      <x:c r="RD8" s="14"/>
      <x:c r="RE8" s="14"/>
      <x:c r="RF8" s="14"/>
      <x:c r="RG8" s="14"/>
      <x:c r="RH8" s="14"/>
      <x:c r="RI8" s="14"/>
      <x:c r="RJ8" s="14"/>
      <x:c r="RK8" s="14"/>
      <x:c r="RL8" s="14"/>
      <x:c r="RM8" s="14"/>
      <x:c r="RN8" s="14"/>
      <x:c r="RO8" s="14"/>
      <x:c r="RP8" s="14"/>
      <x:c r="RQ8" s="14"/>
      <x:c r="RR8" s="14"/>
      <x:c r="RS8" s="14"/>
      <x:c r="RT8" s="14"/>
      <x:c r="RU8" s="14"/>
      <x:c r="RV8" s="14"/>
      <x:c r="RW8" s="14"/>
      <x:c r="RX8" s="14"/>
      <x:c r="RY8" s="14"/>
      <x:c r="RZ8" s="14"/>
      <x:c r="SA8" s="14"/>
      <x:c r="SB8" s="14"/>
      <x:c r="SC8" s="14"/>
      <x:c r="SD8" s="14"/>
      <x:c r="SE8" s="14"/>
      <x:c r="SF8" s="14"/>
      <x:c r="SG8" s="14"/>
      <x:c r="SH8" s="14"/>
      <x:c r="SI8" s="14"/>
      <x:c r="SJ8" s="14"/>
      <x:c r="SK8" s="14"/>
      <x:c r="SL8" s="14"/>
      <x:c r="SM8" s="14"/>
      <x:c r="SN8" s="14"/>
      <x:c r="SO8" s="14"/>
      <x:c r="SP8" s="14"/>
      <x:c r="SQ8" s="14"/>
      <x:c r="SR8" s="14"/>
      <x:c r="SS8" s="14"/>
      <x:c r="ST8" s="14"/>
      <x:c r="SU8" s="14"/>
      <x:c r="SV8" s="14"/>
      <x:c r="SW8" s="14"/>
      <x:c r="SX8" s="14"/>
      <x:c r="SY8" s="14"/>
      <x:c r="SZ8" s="14"/>
      <x:c r="TA8" s="14"/>
      <x:c r="TB8" s="14"/>
      <x:c r="TC8" s="14"/>
      <x:c r="TD8" s="14"/>
      <x:c r="TE8" s="14"/>
      <x:c r="TF8" s="14"/>
      <x:c r="TG8" s="14"/>
      <x:c r="TH8" s="14"/>
    </x:row>
    <x:row r="9" hidden="1">
      <x:c r="A9" s="14"/>
      <x:c r="B9" s="14"/>
      <x:c r="C9" s="14"/>
      <x:c r="D9" s="14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  <x:c r="AH9" s="14"/>
      <x:c r="AI9" s="14"/>
      <x:c r="AJ9" s="14"/>
      <x:c r="AK9" s="14"/>
      <x:c r="AL9" s="14"/>
      <x:c r="AM9" s="14"/>
      <x:c r="AN9" s="14"/>
      <x:c r="AO9" s="14"/>
      <x:c r="AP9" s="14"/>
      <x:c r="AQ9" s="14"/>
      <x:c r="AR9" s="14"/>
      <x:c r="AS9" s="14"/>
      <x:c r="AT9" s="14"/>
      <x:c r="AU9" s="14"/>
      <x:c r="AV9" s="14"/>
      <x:c r="AW9" s="14"/>
      <x:c r="AX9" s="14"/>
      <x:c r="AY9" s="14"/>
      <x:c r="AZ9" s="14"/>
      <x:c r="BA9" s="14"/>
      <x:c r="BB9" s="14"/>
      <x:c r="BC9" s="14"/>
      <x:c r="BD9" s="14"/>
      <x:c r="BE9" s="14"/>
      <x:c r="BF9" s="14"/>
      <x:c r="BG9" s="14"/>
      <x:c r="BH9" s="14"/>
      <x:c r="BI9" s="14"/>
      <x:c r="BJ9" s="14"/>
      <x:c r="BK9" s="14"/>
      <x:c r="BL9" s="14"/>
      <x:c r="BM9" s="14"/>
      <x:c r="BN9" s="14"/>
      <x:c r="BO9" s="14"/>
      <x:c r="BP9" s="14"/>
      <x:c r="BQ9" s="14"/>
      <x:c r="BR9" s="14"/>
      <x:c r="BS9" s="14"/>
      <x:c r="BT9" s="14"/>
      <x:c r="BU9" s="14"/>
      <x:c r="BV9" s="14"/>
      <x:c r="BW9" s="14"/>
      <x:c r="BX9" s="14"/>
      <x:c r="BY9" s="14"/>
      <x:c r="BZ9" s="14"/>
      <x:c r="CA9" s="14"/>
      <x:c r="CB9" s="14"/>
      <x:c r="CC9" s="14"/>
      <x:c r="CD9" s="14"/>
      <x:c r="CE9" s="14"/>
      <x:c r="CF9" s="14"/>
      <x:c r="CG9" s="14"/>
      <x:c r="CH9" s="14"/>
      <x:c r="CI9" s="14"/>
      <x:c r="CJ9" s="14"/>
      <x:c r="CK9" s="14"/>
      <x:c r="CL9" s="14"/>
      <x:c r="CM9" s="14"/>
      <x:c r="CN9" s="14"/>
      <x:c r="CO9" s="14"/>
      <x:c r="CP9" s="14"/>
      <x:c r="CQ9" s="14"/>
      <x:c r="CR9" s="14"/>
      <x:c r="CS9" s="14"/>
      <x:c r="CT9" s="14"/>
      <x:c r="CU9" s="14"/>
      <x:c r="CV9" s="14"/>
      <x:c r="CW9" s="14"/>
      <x:c r="CX9" s="14"/>
      <x:c r="CY9" s="14"/>
      <x:c r="CZ9" s="14"/>
      <x:c r="DA9" s="14"/>
      <x:c r="DB9" s="14"/>
      <x:c r="DC9" s="14"/>
      <x:c r="DD9" s="14"/>
      <x:c r="DE9" s="14"/>
      <x:c r="DF9" s="14"/>
      <x:c r="DG9" s="14"/>
      <x:c r="DH9" s="14"/>
      <x:c r="DI9" s="14"/>
      <x:c r="DJ9" s="14"/>
      <x:c r="DK9" s="14"/>
      <x:c r="DL9" s="14"/>
      <x:c r="DM9" s="14"/>
      <x:c r="DN9" s="14"/>
      <x:c r="DO9" s="14"/>
      <x:c r="DP9" s="14"/>
      <x:c r="DQ9" s="14"/>
      <x:c r="DR9" s="14"/>
      <x:c r="DS9" s="14"/>
      <x:c r="DT9" s="14"/>
      <x:c r="DU9" s="14"/>
      <x:c r="DV9" s="14"/>
      <x:c r="DW9" s="14"/>
      <x:c r="DX9" s="14"/>
      <x:c r="DY9" s="14"/>
      <x:c r="DZ9" s="14"/>
      <x:c r="EA9" s="14"/>
      <x:c r="EB9" s="14"/>
      <x:c r="EC9" s="14"/>
      <x:c r="ED9" s="14"/>
      <x:c r="EE9" s="14"/>
      <x:c r="EF9" s="14"/>
      <x:c r="EG9" s="14"/>
      <x:c r="EH9" s="14"/>
      <x:c r="EI9" s="14"/>
      <x:c r="EJ9" s="14"/>
      <x:c r="EK9" s="14"/>
      <x:c r="EL9" s="14"/>
      <x:c r="EM9" s="14"/>
      <x:c r="EN9" s="14"/>
      <x:c r="EO9" s="14"/>
      <x:c r="EP9" s="14"/>
      <x:c r="EQ9" s="14"/>
      <x:c r="ER9" s="14"/>
      <x:c r="ES9" s="14"/>
      <x:c r="ET9" s="14"/>
      <x:c r="EU9" s="14"/>
      <x:c r="EV9" s="14"/>
      <x:c r="EW9" s="14"/>
      <x:c r="EX9" s="14"/>
      <x:c r="EY9" s="14"/>
      <x:c r="EZ9" s="14"/>
      <x:c r="FA9" s="14"/>
      <x:c r="FB9" s="14"/>
      <x:c r="FC9" s="14"/>
      <x:c r="FD9" s="14"/>
      <x:c r="FE9" s="14"/>
      <x:c r="FF9" s="14"/>
      <x:c r="FG9" s="14"/>
      <x:c r="FH9" s="14"/>
      <x:c r="FI9" s="14"/>
      <x:c r="FJ9" s="14"/>
      <x:c r="FK9" s="14"/>
      <x:c r="FL9" s="14"/>
      <x:c r="FM9" s="14"/>
      <x:c r="FN9" s="14"/>
      <x:c r="FO9" s="14"/>
      <x:c r="FP9" s="14"/>
      <x:c r="FQ9" s="14"/>
      <x:c r="FR9" s="14"/>
      <x:c r="FS9" s="14"/>
      <x:c r="FT9" s="14"/>
      <x:c r="FU9" s="14"/>
      <x:c r="FV9" s="14"/>
      <x:c r="FW9" s="14"/>
      <x:c r="FX9" s="14"/>
      <x:c r="FY9" s="14"/>
      <x:c r="FZ9" s="14"/>
      <x:c r="GA9" s="14"/>
      <x:c r="GB9" s="14"/>
      <x:c r="GC9" s="14"/>
      <x:c r="GD9" s="14"/>
      <x:c r="GE9" s="14"/>
      <x:c r="GF9" s="14"/>
      <x:c r="GG9" s="14"/>
      <x:c r="GH9" s="14"/>
      <x:c r="GI9" s="14"/>
      <x:c r="GJ9" s="14"/>
      <x:c r="GK9" s="14"/>
      <x:c r="GL9" s="14"/>
      <x:c r="GM9" s="14"/>
      <x:c r="GN9" s="14"/>
      <x:c r="GO9" s="14"/>
      <x:c r="GP9" s="14"/>
      <x:c r="GQ9" s="14"/>
      <x:c r="GR9" s="14"/>
      <x:c r="GS9" s="14"/>
      <x:c r="GT9" s="14"/>
      <x:c r="GU9" s="14"/>
      <x:c r="GV9" s="14"/>
      <x:c r="GW9" s="14"/>
      <x:c r="GX9" s="14"/>
      <x:c r="GY9" s="14"/>
      <x:c r="GZ9" s="14"/>
      <x:c r="HA9" s="14"/>
      <x:c r="HB9" s="14"/>
      <x:c r="HC9" s="14"/>
      <x:c r="HD9" s="14"/>
      <x:c r="HE9" s="14"/>
      <x:c r="HF9" s="14"/>
      <x:c r="HG9" s="14"/>
      <x:c r="HH9" s="14"/>
      <x:c r="HI9" s="14"/>
      <x:c r="HJ9" s="14"/>
      <x:c r="HK9" s="14"/>
      <x:c r="HL9" s="14"/>
      <x:c r="HM9" s="14"/>
      <x:c r="HN9" s="14"/>
      <x:c r="HO9" s="14"/>
      <x:c r="HP9" s="14"/>
      <x:c r="HQ9" s="14"/>
      <x:c r="HR9" s="14"/>
      <x:c r="HS9" s="14"/>
      <x:c r="HT9" s="14"/>
      <x:c r="HU9" s="14"/>
      <x:c r="HV9" s="14"/>
      <x:c r="HW9" s="14"/>
      <x:c r="HX9" s="14"/>
      <x:c r="HY9" s="14"/>
      <x:c r="HZ9" s="14"/>
      <x:c r="IA9" s="14"/>
      <x:c r="IB9" s="14"/>
      <x:c r="IC9" s="14"/>
      <x:c r="ID9" s="14"/>
      <x:c r="IE9" s="14"/>
      <x:c r="IF9" s="14"/>
      <x:c r="IG9" s="14"/>
      <x:c r="IH9" s="14"/>
      <x:c r="II9" s="14"/>
      <x:c r="IJ9" s="14"/>
      <x:c r="IK9" s="14"/>
      <x:c r="IL9" s="14"/>
      <x:c r="IM9" s="14"/>
      <x:c r="IN9" s="14"/>
      <x:c r="IO9" s="14"/>
      <x:c r="IP9" s="14"/>
      <x:c r="IQ9" s="14"/>
      <x:c r="IR9" s="14"/>
      <x:c r="IS9" s="14"/>
      <x:c r="IT9" s="14"/>
      <x:c r="IU9" s="14"/>
      <x:c r="IV9" s="14"/>
      <x:c r="IW9" s="14"/>
      <x:c r="IX9" s="14"/>
      <x:c r="IY9" s="14"/>
      <x:c r="IZ9" s="14"/>
      <x:c r="JA9" s="14"/>
      <x:c r="JB9" s="14"/>
      <x:c r="JC9" s="14"/>
      <x:c r="JD9" s="14"/>
      <x:c r="JE9" s="14"/>
      <x:c r="JF9" s="14"/>
      <x:c r="JG9" s="14"/>
      <x:c r="JH9" s="14"/>
      <x:c r="JI9" s="14"/>
      <x:c r="JJ9" s="14"/>
      <x:c r="JK9" s="14"/>
      <x:c r="JL9" s="14"/>
      <x:c r="JM9" s="14"/>
      <x:c r="JN9" s="14"/>
      <x:c r="JO9" s="14"/>
      <x:c r="JP9" s="14"/>
      <x:c r="JQ9" s="14"/>
      <x:c r="JR9" s="14"/>
      <x:c r="JS9" s="14"/>
      <x:c r="JT9" s="14"/>
      <x:c r="JU9" s="14"/>
      <x:c r="JV9" s="14"/>
      <x:c r="JW9" s="14"/>
      <x:c r="JX9" s="14"/>
      <x:c r="JY9" s="14"/>
      <x:c r="JZ9" s="14"/>
      <x:c r="KA9" s="14"/>
      <x:c r="KB9" s="14"/>
      <x:c r="KC9" s="14"/>
      <x:c r="KD9" s="14"/>
      <x:c r="KE9" s="14"/>
      <x:c r="KF9" s="14"/>
      <x:c r="KG9" s="14"/>
      <x:c r="KH9" s="14"/>
      <x:c r="KI9" s="14"/>
      <x:c r="KJ9" s="14"/>
      <x:c r="KK9" s="14"/>
      <x:c r="KL9" s="14"/>
      <x:c r="KM9" s="14"/>
      <x:c r="KN9" s="14"/>
      <x:c r="KO9" s="14"/>
      <x:c r="KP9" s="14"/>
      <x:c r="KQ9" s="14"/>
      <x:c r="KR9" s="14"/>
      <x:c r="KS9" s="14"/>
      <x:c r="KT9" s="14"/>
      <x:c r="KU9" s="14"/>
      <x:c r="KV9" s="14"/>
      <x:c r="KW9" s="14"/>
      <x:c r="KX9" s="14"/>
      <x:c r="KY9" s="14"/>
      <x:c r="KZ9" s="14"/>
      <x:c r="LA9" s="14"/>
      <x:c r="LB9" s="14"/>
      <x:c r="LC9" s="14"/>
      <x:c r="LD9" s="14"/>
      <x:c r="LE9" s="14"/>
      <x:c r="LF9" s="14"/>
      <x:c r="LG9" s="14"/>
      <x:c r="LH9" s="14"/>
      <x:c r="LI9" s="14"/>
      <x:c r="LJ9" s="14"/>
      <x:c r="LK9" s="14"/>
      <x:c r="LL9" s="14"/>
      <x:c r="LM9" s="14"/>
      <x:c r="LN9" s="14"/>
      <x:c r="LO9" s="14"/>
      <x:c r="LP9" s="14"/>
      <x:c r="LQ9" s="14"/>
      <x:c r="LR9" s="14"/>
      <x:c r="LS9" s="14"/>
      <x:c r="LT9" s="14"/>
      <x:c r="LU9" s="14"/>
      <x:c r="LV9" s="14"/>
      <x:c r="LW9" s="14"/>
      <x:c r="LX9" s="14"/>
      <x:c r="LY9" s="14"/>
      <x:c r="LZ9" s="14"/>
      <x:c r="MA9" s="14"/>
      <x:c r="MB9" s="14"/>
      <x:c r="MC9" s="14"/>
      <x:c r="MD9" s="14"/>
      <x:c r="ME9" s="14"/>
      <x:c r="MF9" s="14"/>
      <x:c r="MG9" s="14"/>
      <x:c r="MH9" s="14"/>
      <x:c r="MI9" s="14"/>
      <x:c r="MJ9" s="14"/>
      <x:c r="MK9" s="14"/>
      <x:c r="ML9" s="14"/>
      <x:c r="MM9" s="14"/>
      <x:c r="MN9" s="14"/>
      <x:c r="MO9" s="14"/>
      <x:c r="MP9" s="14"/>
      <x:c r="MQ9" s="14"/>
      <x:c r="MR9" s="14"/>
      <x:c r="MS9" s="14"/>
      <x:c r="MT9" s="14"/>
      <x:c r="MU9" s="14"/>
      <x:c r="MV9" s="14"/>
      <x:c r="MW9" s="14"/>
      <x:c r="MX9" s="14"/>
      <x:c r="MY9" s="14"/>
      <x:c r="MZ9" s="14"/>
      <x:c r="NA9" s="14"/>
      <x:c r="NB9" s="14"/>
      <x:c r="NC9" s="14"/>
      <x:c r="ND9" s="14"/>
      <x:c r="NE9" s="14"/>
      <x:c r="NF9" s="14"/>
      <x:c r="NG9" s="14"/>
      <x:c r="NH9" s="14"/>
      <x:c r="NI9" s="14"/>
      <x:c r="NJ9" s="14"/>
      <x:c r="NK9" s="14"/>
      <x:c r="NL9" s="14"/>
      <x:c r="NM9" s="14"/>
      <x:c r="NN9" s="14"/>
      <x:c r="NO9" s="14"/>
      <x:c r="NP9" s="14"/>
      <x:c r="NQ9" s="14"/>
      <x:c r="NR9" s="14"/>
      <x:c r="NS9" s="14"/>
      <x:c r="NT9" s="14"/>
      <x:c r="NU9" s="14"/>
      <x:c r="NV9" s="14"/>
      <x:c r="NW9" s="14"/>
      <x:c r="NX9" s="14"/>
      <x:c r="NY9" s="14"/>
      <x:c r="NZ9" s="14"/>
      <x:c r="OA9" s="14"/>
      <x:c r="OB9" s="14"/>
      <x:c r="OC9" s="14"/>
      <x:c r="OD9" s="14"/>
      <x:c r="OE9" s="14"/>
      <x:c r="OF9" s="14"/>
      <x:c r="OG9" s="14"/>
      <x:c r="OH9" s="14"/>
      <x:c r="OI9" s="14"/>
      <x:c r="OJ9" s="14"/>
      <x:c r="OK9" s="14"/>
      <x:c r="OL9" s="14"/>
      <x:c r="OM9" s="14"/>
      <x:c r="ON9" s="14"/>
      <x:c r="OO9" s="14"/>
      <x:c r="OP9" s="14"/>
      <x:c r="OQ9" s="14"/>
      <x:c r="OR9" s="14"/>
      <x:c r="OS9" s="14"/>
      <x:c r="OT9" s="14"/>
      <x:c r="OU9" s="14"/>
      <x:c r="OV9" s="14"/>
      <x:c r="OW9" s="14"/>
      <x:c r="OX9" s="14"/>
      <x:c r="OY9" s="14"/>
      <x:c r="OZ9" s="14"/>
      <x:c r="PA9" s="14"/>
      <x:c r="PB9" s="14"/>
      <x:c r="PC9" s="14"/>
      <x:c r="PD9" s="14"/>
      <x:c r="PE9" s="14"/>
      <x:c r="PF9" s="14"/>
      <x:c r="PG9" s="14"/>
      <x:c r="PH9" s="14"/>
      <x:c r="PI9" s="14"/>
      <x:c r="PJ9" s="14"/>
      <x:c r="PK9" s="14"/>
      <x:c r="PL9" s="14"/>
      <x:c r="PM9" s="14"/>
      <x:c r="PN9" s="14"/>
      <x:c r="PO9" s="14"/>
      <x:c r="PP9" s="14"/>
      <x:c r="PQ9" s="14"/>
      <x:c r="PR9" s="14"/>
      <x:c r="PS9" s="14"/>
      <x:c r="PT9" s="14"/>
      <x:c r="PU9" s="14"/>
      <x:c r="PV9" s="14"/>
      <x:c r="PW9" s="14"/>
      <x:c r="PX9" s="14"/>
      <x:c r="PY9" s="14"/>
      <x:c r="PZ9" s="14"/>
      <x:c r="QA9" s="14"/>
      <x:c r="QB9" s="14"/>
      <x:c r="QC9" s="14"/>
      <x:c r="QD9" s="14"/>
      <x:c r="QE9" s="14"/>
      <x:c r="QF9" s="14"/>
      <x:c r="QG9" s="14"/>
      <x:c r="QH9" s="14"/>
      <x:c r="QI9" s="14"/>
      <x:c r="QJ9" s="14"/>
      <x:c r="QK9" s="14"/>
      <x:c r="QL9" s="14"/>
      <x:c r="QM9" s="14"/>
      <x:c r="QN9" s="14"/>
      <x:c r="QO9" s="14"/>
      <x:c r="QP9" s="14"/>
      <x:c r="QQ9" s="14"/>
      <x:c r="QR9" s="14"/>
      <x:c r="QS9" s="14"/>
      <x:c r="QT9" s="14"/>
      <x:c r="QU9" s="14"/>
      <x:c r="QV9" s="14"/>
      <x:c r="QW9" s="14"/>
      <x:c r="QX9" s="14"/>
      <x:c r="QY9" s="14"/>
      <x:c r="QZ9" s="14"/>
      <x:c r="RA9" s="14"/>
      <x:c r="RB9" s="14"/>
      <x:c r="RC9" s="14"/>
      <x:c r="RD9" s="14"/>
      <x:c r="RE9" s="14"/>
      <x:c r="RF9" s="14"/>
      <x:c r="RG9" s="14"/>
      <x:c r="RH9" s="14"/>
      <x:c r="RI9" s="14"/>
      <x:c r="RJ9" s="14"/>
      <x:c r="RK9" s="14"/>
      <x:c r="RL9" s="14"/>
      <x:c r="RM9" s="14"/>
      <x:c r="RN9" s="14"/>
      <x:c r="RO9" s="14"/>
      <x:c r="RP9" s="14"/>
      <x:c r="RQ9" s="14"/>
      <x:c r="RR9" s="14"/>
      <x:c r="RS9" s="14"/>
      <x:c r="RT9" s="14"/>
      <x:c r="RU9" s="14"/>
      <x:c r="RV9" s="14"/>
      <x:c r="RW9" s="14"/>
      <x:c r="RX9" s="14"/>
      <x:c r="RY9" s="14"/>
      <x:c r="RZ9" s="14"/>
      <x:c r="SA9" s="14"/>
      <x:c r="SB9" s="14"/>
      <x:c r="SC9" s="14"/>
      <x:c r="SD9" s="14"/>
      <x:c r="SE9" s="14"/>
      <x:c r="SF9" s="14"/>
      <x:c r="SG9" s="14"/>
      <x:c r="SH9" s="14"/>
      <x:c r="SI9" s="14"/>
      <x:c r="SJ9" s="14"/>
      <x:c r="SK9" s="14"/>
      <x:c r="SL9" s="14"/>
      <x:c r="SM9" s="14"/>
      <x:c r="SN9" s="14"/>
      <x:c r="SO9" s="14"/>
      <x:c r="SP9" s="14"/>
      <x:c r="SQ9" s="14"/>
      <x:c r="SR9" s="14"/>
      <x:c r="SS9" s="14"/>
      <x:c r="ST9" s="14"/>
      <x:c r="SU9" s="14"/>
      <x:c r="SV9" s="14"/>
      <x:c r="SW9" s="14"/>
      <x:c r="SX9" s="14"/>
      <x:c r="SY9" s="14"/>
      <x:c r="SZ9" s="14"/>
      <x:c r="TA9" s="14"/>
      <x:c r="TB9" s="14"/>
      <x:c r="TC9" s="14"/>
      <x:c r="TD9" s="14"/>
      <x:c r="TE9" s="14"/>
      <x:c r="TF9" s="14"/>
      <x:c r="TG9" s="14"/>
      <x:c r="TH9" s="14"/>
    </x:row>
    <x:row r="10" hidden="1">
      <x:c r="A10" s="14"/>
      <x:c r="B10" s="14"/>
      <x:c r="C10" s="14"/>
      <x:c r="D10" s="14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  <x:c r="AH10" s="14"/>
      <x:c r="AI10" s="14"/>
      <x:c r="AJ10" s="14"/>
      <x:c r="AK10" s="14"/>
      <x:c r="AL10" s="14"/>
      <x:c r="AM10" s="14"/>
      <x:c r="AN10" s="14"/>
      <x:c r="AO10" s="14"/>
      <x:c r="AP10" s="14"/>
      <x:c r="AQ10" s="14"/>
      <x:c r="AR10" s="14"/>
      <x:c r="AS10" s="14"/>
      <x:c r="AT10" s="14"/>
      <x:c r="AU10" s="14"/>
      <x:c r="AV10" s="14"/>
      <x:c r="AW10" s="14"/>
      <x:c r="AX10" s="14"/>
      <x:c r="AY10" s="14"/>
      <x:c r="AZ10" s="14"/>
      <x:c r="BA10" s="14"/>
      <x:c r="BB10" s="14"/>
      <x:c r="BC10" s="14"/>
      <x:c r="BD10" s="14"/>
      <x:c r="BE10" s="14"/>
      <x:c r="BF10" s="14"/>
      <x:c r="BG10" s="14"/>
      <x:c r="BH10" s="14"/>
      <x:c r="BI10" s="14"/>
      <x:c r="BJ10" s="14"/>
      <x:c r="BK10" s="14"/>
      <x:c r="BL10" s="14"/>
      <x:c r="BM10" s="14"/>
      <x:c r="BN10" s="14"/>
      <x:c r="BO10" s="14"/>
      <x:c r="BP10" s="14"/>
      <x:c r="BQ10" s="14"/>
      <x:c r="BR10" s="14"/>
      <x:c r="BS10" s="14"/>
      <x:c r="BT10" s="14"/>
      <x:c r="BU10" s="14"/>
      <x:c r="BV10" s="14"/>
      <x:c r="BW10" s="14"/>
      <x:c r="BX10" s="14"/>
      <x:c r="BY10" s="14"/>
      <x:c r="BZ10" s="14"/>
      <x:c r="CA10" s="14"/>
      <x:c r="CB10" s="14"/>
      <x:c r="CC10" s="14"/>
      <x:c r="CD10" s="14"/>
      <x:c r="CE10" s="14"/>
      <x:c r="CF10" s="14"/>
      <x:c r="CG10" s="14"/>
      <x:c r="CH10" s="14"/>
      <x:c r="CI10" s="14"/>
      <x:c r="CJ10" s="14"/>
      <x:c r="CK10" s="14"/>
      <x:c r="CL10" s="14"/>
      <x:c r="CM10" s="14"/>
      <x:c r="CN10" s="14"/>
      <x:c r="CO10" s="14"/>
      <x:c r="CP10" s="14"/>
      <x:c r="CQ10" s="14"/>
      <x:c r="CR10" s="14"/>
      <x:c r="CS10" s="14"/>
      <x:c r="CT10" s="14"/>
      <x:c r="CU10" s="14"/>
      <x:c r="CV10" s="14"/>
      <x:c r="CW10" s="14"/>
      <x:c r="CX10" s="14"/>
      <x:c r="CY10" s="14"/>
      <x:c r="CZ10" s="14"/>
      <x:c r="DA10" s="14"/>
      <x:c r="DB10" s="14"/>
      <x:c r="DC10" s="14"/>
      <x:c r="DD10" s="14"/>
      <x:c r="DE10" s="14"/>
      <x:c r="DF10" s="14"/>
      <x:c r="DG10" s="14"/>
      <x:c r="DH10" s="14"/>
      <x:c r="DI10" s="14"/>
      <x:c r="DJ10" s="14"/>
      <x:c r="DK10" s="14"/>
      <x:c r="DL10" s="14"/>
      <x:c r="DM10" s="14"/>
      <x:c r="DN10" s="14"/>
      <x:c r="DO10" s="14"/>
      <x:c r="DP10" s="14"/>
      <x:c r="DQ10" s="14"/>
      <x:c r="DR10" s="14"/>
      <x:c r="DS10" s="14"/>
      <x:c r="DT10" s="14"/>
      <x:c r="DU10" s="14"/>
      <x:c r="DV10" s="14"/>
      <x:c r="DW10" s="14"/>
      <x:c r="DX10" s="14"/>
      <x:c r="DY10" s="14"/>
      <x:c r="DZ10" s="14"/>
      <x:c r="EA10" s="14"/>
      <x:c r="EB10" s="14"/>
      <x:c r="EC10" s="14"/>
      <x:c r="ED10" s="14"/>
      <x:c r="EE10" s="14"/>
      <x:c r="EF10" s="14"/>
      <x:c r="EG10" s="14"/>
      <x:c r="EH10" s="14"/>
      <x:c r="EI10" s="14"/>
      <x:c r="EJ10" s="14"/>
      <x:c r="EK10" s="14"/>
      <x:c r="EL10" s="14"/>
      <x:c r="EM10" s="14"/>
      <x:c r="EN10" s="14"/>
      <x:c r="EO10" s="14"/>
      <x:c r="EP10" s="14"/>
      <x:c r="EQ10" s="14"/>
      <x:c r="ER10" s="14"/>
      <x:c r="ES10" s="14"/>
      <x:c r="ET10" s="14"/>
      <x:c r="EU10" s="14"/>
      <x:c r="EV10" s="14"/>
      <x:c r="EW10" s="14"/>
      <x:c r="EX10" s="14"/>
      <x:c r="EY10" s="14"/>
      <x:c r="EZ10" s="14"/>
      <x:c r="FA10" s="14"/>
      <x:c r="FB10" s="14"/>
      <x:c r="FC10" s="14"/>
      <x:c r="FD10" s="14"/>
      <x:c r="FE10" s="14"/>
      <x:c r="FF10" s="14"/>
      <x:c r="FG10" s="14"/>
      <x:c r="FH10" s="14"/>
      <x:c r="FI10" s="14"/>
      <x:c r="FJ10" s="14"/>
      <x:c r="FK10" s="14"/>
      <x:c r="FL10" s="14"/>
      <x:c r="FM10" s="14"/>
      <x:c r="FN10" s="14"/>
      <x:c r="FO10" s="14"/>
      <x:c r="FP10" s="14"/>
      <x:c r="FQ10" s="14"/>
      <x:c r="FR10" s="14"/>
      <x:c r="FS10" s="14"/>
      <x:c r="FT10" s="14"/>
      <x:c r="FU10" s="14"/>
      <x:c r="FV10" s="14"/>
      <x:c r="FW10" s="14"/>
      <x:c r="FX10" s="14"/>
      <x:c r="FY10" s="14"/>
      <x:c r="FZ10" s="14"/>
      <x:c r="GA10" s="14"/>
      <x:c r="GB10" s="14"/>
      <x:c r="GC10" s="14"/>
      <x:c r="GD10" s="14"/>
      <x:c r="GE10" s="14"/>
      <x:c r="GF10" s="14"/>
      <x:c r="GG10" s="14"/>
      <x:c r="GH10" s="14"/>
      <x:c r="GI10" s="14"/>
      <x:c r="GJ10" s="14"/>
      <x:c r="GK10" s="14"/>
      <x:c r="GL10" s="14"/>
      <x:c r="GM10" s="14"/>
      <x:c r="GN10" s="14"/>
      <x:c r="GO10" s="14"/>
      <x:c r="GP10" s="14"/>
      <x:c r="GQ10" s="14"/>
      <x:c r="GR10" s="14"/>
      <x:c r="GS10" s="14"/>
      <x:c r="GT10" s="14"/>
      <x:c r="GU10" s="14"/>
      <x:c r="GV10" s="14"/>
      <x:c r="GW10" s="14"/>
      <x:c r="GX10" s="14"/>
      <x:c r="GY10" s="14"/>
      <x:c r="GZ10" s="14"/>
      <x:c r="HA10" s="14"/>
      <x:c r="HB10" s="14"/>
      <x:c r="HC10" s="14"/>
      <x:c r="HD10" s="14"/>
      <x:c r="HE10" s="14"/>
      <x:c r="HF10" s="14"/>
      <x:c r="HG10" s="14"/>
      <x:c r="HH10" s="14"/>
      <x:c r="HI10" s="14"/>
      <x:c r="HJ10" s="14"/>
      <x:c r="HK10" s="14"/>
      <x:c r="HL10" s="14"/>
      <x:c r="HM10" s="14"/>
      <x:c r="HN10" s="14"/>
      <x:c r="HO10" s="14"/>
      <x:c r="HP10" s="14"/>
      <x:c r="HQ10" s="14"/>
      <x:c r="HR10" s="14"/>
      <x:c r="HS10" s="14"/>
      <x:c r="HT10" s="14"/>
      <x:c r="HU10" s="14"/>
      <x:c r="HV10" s="14"/>
      <x:c r="HW10" s="14"/>
      <x:c r="HX10" s="14"/>
      <x:c r="HY10" s="14"/>
      <x:c r="HZ10" s="14"/>
      <x:c r="IA10" s="14"/>
      <x:c r="IB10" s="14"/>
      <x:c r="IC10" s="14"/>
      <x:c r="ID10" s="14"/>
      <x:c r="IE10" s="14"/>
      <x:c r="IF10" s="14"/>
      <x:c r="IG10" s="14"/>
      <x:c r="IH10" s="14"/>
      <x:c r="II10" s="14"/>
      <x:c r="IJ10" s="14"/>
      <x:c r="IK10" s="14"/>
      <x:c r="IL10" s="14"/>
      <x:c r="IM10" s="14"/>
      <x:c r="IN10" s="14"/>
      <x:c r="IO10" s="14"/>
      <x:c r="IP10" s="14"/>
      <x:c r="IQ10" s="14"/>
      <x:c r="IR10" s="14"/>
      <x:c r="IS10" s="14"/>
      <x:c r="IT10" s="14"/>
      <x:c r="IU10" s="14"/>
      <x:c r="IV10" s="14"/>
      <x:c r="IW10" s="14"/>
      <x:c r="IX10" s="14"/>
      <x:c r="IY10" s="14"/>
      <x:c r="IZ10" s="14"/>
      <x:c r="JA10" s="14"/>
      <x:c r="JB10" s="14"/>
      <x:c r="JC10" s="14"/>
      <x:c r="JD10" s="14"/>
      <x:c r="JE10" s="14"/>
      <x:c r="JF10" s="14"/>
      <x:c r="JG10" s="14"/>
      <x:c r="JH10" s="14"/>
      <x:c r="JI10" s="14"/>
      <x:c r="JJ10" s="14"/>
      <x:c r="JK10" s="14"/>
      <x:c r="JL10" s="14"/>
      <x:c r="JM10" s="14"/>
      <x:c r="JN10" s="14"/>
      <x:c r="JO10" s="14"/>
      <x:c r="JP10" s="14"/>
      <x:c r="JQ10" s="14"/>
      <x:c r="JR10" s="14"/>
      <x:c r="JS10" s="14"/>
      <x:c r="JT10" s="14"/>
      <x:c r="JU10" s="14"/>
      <x:c r="JV10" s="14"/>
      <x:c r="JW10" s="14"/>
      <x:c r="JX10" s="14"/>
      <x:c r="JY10" s="14"/>
      <x:c r="JZ10" s="14"/>
      <x:c r="KA10" s="14"/>
      <x:c r="KB10" s="14"/>
      <x:c r="KC10" s="14"/>
      <x:c r="KD10" s="14"/>
      <x:c r="KE10" s="14"/>
      <x:c r="KF10" s="14"/>
      <x:c r="KG10" s="14"/>
      <x:c r="KH10" s="14"/>
      <x:c r="KI10" s="14"/>
      <x:c r="KJ10" s="14"/>
      <x:c r="KK10" s="14"/>
      <x:c r="KL10" s="14"/>
      <x:c r="KM10" s="14"/>
      <x:c r="KN10" s="14"/>
      <x:c r="KO10" s="14"/>
      <x:c r="KP10" s="14"/>
      <x:c r="KQ10" s="14"/>
      <x:c r="KR10" s="14"/>
      <x:c r="KS10" s="14"/>
      <x:c r="KT10" s="14"/>
      <x:c r="KU10" s="14"/>
      <x:c r="KV10" s="14"/>
      <x:c r="KW10" s="14"/>
      <x:c r="KX10" s="14"/>
      <x:c r="KY10" s="14"/>
      <x:c r="KZ10" s="14"/>
      <x:c r="LA10" s="14"/>
      <x:c r="LB10" s="14"/>
      <x:c r="LC10" s="14"/>
      <x:c r="LD10" s="14"/>
      <x:c r="LE10" s="14"/>
      <x:c r="LF10" s="14"/>
      <x:c r="LG10" s="14"/>
      <x:c r="LH10" s="14"/>
      <x:c r="LI10" s="14"/>
      <x:c r="LJ10" s="14"/>
      <x:c r="LK10" s="14"/>
      <x:c r="LL10" s="14"/>
      <x:c r="LM10" s="14"/>
      <x:c r="LN10" s="14"/>
      <x:c r="LO10" s="14"/>
      <x:c r="LP10" s="14"/>
      <x:c r="LQ10" s="14"/>
      <x:c r="LR10" s="14"/>
      <x:c r="LS10" s="14"/>
      <x:c r="LT10" s="14"/>
      <x:c r="LU10" s="14"/>
      <x:c r="LV10" s="14"/>
      <x:c r="LW10" s="14"/>
      <x:c r="LX10" s="14"/>
      <x:c r="LY10" s="14"/>
      <x:c r="LZ10" s="14"/>
      <x:c r="MA10" s="14"/>
      <x:c r="MB10" s="14"/>
      <x:c r="MC10" s="14"/>
      <x:c r="MD10" s="14"/>
      <x:c r="ME10" s="14"/>
      <x:c r="MF10" s="14"/>
      <x:c r="MG10" s="14"/>
      <x:c r="MH10" s="14"/>
      <x:c r="MI10" s="14"/>
      <x:c r="MJ10" s="14"/>
      <x:c r="MK10" s="14"/>
      <x:c r="ML10" s="14"/>
      <x:c r="MM10" s="14"/>
      <x:c r="MN10" s="14"/>
      <x:c r="MO10" s="14"/>
      <x:c r="MP10" s="14"/>
      <x:c r="MQ10" s="14"/>
      <x:c r="MR10" s="14"/>
      <x:c r="MS10" s="14"/>
      <x:c r="MT10" s="14"/>
      <x:c r="MU10" s="14"/>
      <x:c r="MV10" s="14"/>
      <x:c r="MW10" s="14"/>
      <x:c r="MX10" s="14"/>
      <x:c r="MY10" s="14"/>
      <x:c r="MZ10" s="14"/>
      <x:c r="NA10" s="14"/>
      <x:c r="NB10" s="14"/>
      <x:c r="NC10" s="14"/>
      <x:c r="ND10" s="14"/>
      <x:c r="NE10" s="14"/>
      <x:c r="NF10" s="14"/>
      <x:c r="NG10" s="14"/>
      <x:c r="NH10" s="14"/>
      <x:c r="NI10" s="14"/>
      <x:c r="NJ10" s="14"/>
      <x:c r="NK10" s="14"/>
      <x:c r="NL10" s="14"/>
      <x:c r="NM10" s="14"/>
      <x:c r="NN10" s="14"/>
      <x:c r="NO10" s="14"/>
      <x:c r="NP10" s="14"/>
      <x:c r="NQ10" s="14"/>
      <x:c r="NR10" s="14"/>
      <x:c r="NS10" s="14"/>
      <x:c r="NT10" s="14"/>
      <x:c r="NU10" s="14"/>
      <x:c r="NV10" s="14"/>
      <x:c r="NW10" s="14"/>
      <x:c r="NX10" s="14"/>
      <x:c r="NY10" s="14"/>
      <x:c r="NZ10" s="14"/>
      <x:c r="OA10" s="14"/>
      <x:c r="OB10" s="14"/>
      <x:c r="OC10" s="14"/>
      <x:c r="OD10" s="14"/>
      <x:c r="OE10" s="14"/>
      <x:c r="OF10" s="14"/>
      <x:c r="OG10" s="14"/>
      <x:c r="OH10" s="14"/>
      <x:c r="OI10" s="14"/>
      <x:c r="OJ10" s="14"/>
      <x:c r="OK10" s="14"/>
      <x:c r="OL10" s="14"/>
      <x:c r="OM10" s="14"/>
      <x:c r="ON10" s="14"/>
      <x:c r="OO10" s="14"/>
      <x:c r="OP10" s="14"/>
      <x:c r="OQ10" s="14"/>
      <x:c r="OR10" s="14"/>
      <x:c r="OS10" s="14"/>
      <x:c r="OT10" s="14"/>
      <x:c r="OU10" s="14"/>
      <x:c r="OV10" s="14"/>
      <x:c r="OW10" s="14"/>
      <x:c r="OX10" s="14"/>
      <x:c r="OY10" s="14"/>
      <x:c r="OZ10" s="14"/>
      <x:c r="PA10" s="14"/>
      <x:c r="PB10" s="14"/>
      <x:c r="PC10" s="14"/>
      <x:c r="PD10" s="14"/>
      <x:c r="PE10" s="14"/>
      <x:c r="PF10" s="14"/>
      <x:c r="PG10" s="14"/>
      <x:c r="PH10" s="14"/>
      <x:c r="PI10" s="14"/>
      <x:c r="PJ10" s="14"/>
      <x:c r="PK10" s="14"/>
      <x:c r="PL10" s="14"/>
      <x:c r="PM10" s="14"/>
      <x:c r="PN10" s="14"/>
      <x:c r="PO10" s="14"/>
      <x:c r="PP10" s="14"/>
      <x:c r="PQ10" s="14"/>
      <x:c r="PR10" s="14"/>
      <x:c r="PS10" s="14"/>
      <x:c r="PT10" s="14"/>
      <x:c r="PU10" s="14"/>
      <x:c r="PV10" s="14"/>
      <x:c r="PW10" s="14"/>
      <x:c r="PX10" s="14"/>
      <x:c r="PY10" s="14"/>
      <x:c r="PZ10" s="14"/>
      <x:c r="QA10" s="14"/>
      <x:c r="QB10" s="14"/>
      <x:c r="QC10" s="14"/>
      <x:c r="QD10" s="14"/>
      <x:c r="QE10" s="14"/>
      <x:c r="QF10" s="14"/>
      <x:c r="QG10" s="14"/>
      <x:c r="QH10" s="14"/>
      <x:c r="QI10" s="14"/>
      <x:c r="QJ10" s="14"/>
      <x:c r="QK10" s="14"/>
      <x:c r="QL10" s="14"/>
      <x:c r="QM10" s="14"/>
      <x:c r="QN10" s="14"/>
      <x:c r="QO10" s="14"/>
      <x:c r="QP10" s="14"/>
      <x:c r="QQ10" s="14"/>
      <x:c r="QR10" s="14"/>
      <x:c r="QS10" s="14"/>
      <x:c r="QT10" s="14"/>
      <x:c r="QU10" s="14"/>
      <x:c r="QV10" s="14"/>
      <x:c r="QW10" s="14"/>
      <x:c r="QX10" s="14"/>
      <x:c r="QY10" s="14"/>
      <x:c r="QZ10" s="14"/>
      <x:c r="RA10" s="14"/>
      <x:c r="RB10" s="14"/>
      <x:c r="RC10" s="14"/>
      <x:c r="RD10" s="14"/>
      <x:c r="RE10" s="14"/>
      <x:c r="RF10" s="14"/>
      <x:c r="RG10" s="14"/>
      <x:c r="RH10" s="14"/>
      <x:c r="RI10" s="14"/>
      <x:c r="RJ10" s="14"/>
      <x:c r="RK10" s="14"/>
      <x:c r="RL10" s="14"/>
      <x:c r="RM10" s="14"/>
      <x:c r="RN10" s="14"/>
      <x:c r="RO10" s="14"/>
      <x:c r="RP10" s="14"/>
      <x:c r="RQ10" s="14"/>
      <x:c r="RR10" s="14"/>
      <x:c r="RS10" s="14"/>
      <x:c r="RT10" s="14"/>
      <x:c r="RU10" s="14"/>
      <x:c r="RV10" s="14"/>
      <x:c r="RW10" s="14"/>
      <x:c r="RX10" s="14"/>
      <x:c r="RY10" s="14"/>
      <x:c r="RZ10" s="14"/>
      <x:c r="SA10" s="14"/>
      <x:c r="SB10" s="14"/>
      <x:c r="SC10" s="14"/>
      <x:c r="SD10" s="14"/>
      <x:c r="SE10" s="14"/>
      <x:c r="SF10" s="14"/>
      <x:c r="SG10" s="14"/>
      <x:c r="SH10" s="14"/>
      <x:c r="SI10" s="14"/>
      <x:c r="SJ10" s="14"/>
      <x:c r="SK10" s="14"/>
      <x:c r="SL10" s="14"/>
      <x:c r="SM10" s="14"/>
      <x:c r="SN10" s="14"/>
      <x:c r="SO10" s="14"/>
      <x:c r="SP10" s="14"/>
      <x:c r="SQ10" s="14"/>
      <x:c r="SR10" s="14"/>
      <x:c r="SS10" s="14"/>
      <x:c r="ST10" s="14"/>
      <x:c r="SU10" s="14"/>
      <x:c r="SV10" s="14"/>
      <x:c r="SW10" s="14"/>
      <x:c r="SX10" s="14"/>
      <x:c r="SY10" s="14"/>
      <x:c r="SZ10" s="14"/>
      <x:c r="TA10" s="14"/>
      <x:c r="TB10" s="14"/>
      <x:c r="TC10" s="14"/>
      <x:c r="TD10" s="14"/>
      <x:c r="TE10" s="14"/>
      <x:c r="TF10" s="14"/>
      <x:c r="TG10" s="14"/>
      <x:c r="TH10" s="14"/>
    </x:row>
    <x:row r="11" hidden="1">
      <x:c r="A11" s="14"/>
      <x:c r="B11" s="14"/>
      <x:c r="C11" s="14"/>
      <x:c r="D11" s="14"/>
      <x:c r="E11" s="14"/>
      <x:c r="F11" s="14"/>
      <x:c r="G11" s="14"/>
      <x:c r="H11" s="14"/>
      <x:c r="I11" s="14"/>
      <x:c r="J11" s="14"/>
      <x:c r="K11" s="14"/>
      <x:c r="L11" s="14"/>
      <x:c r="M11" s="14"/>
      <x:c r="N11" s="14"/>
      <x:c r="O11" s="14"/>
      <x:c r="P11" s="14"/>
      <x:c r="Q11" s="14"/>
      <x:c r="R11" s="14"/>
      <x:c r="S11" s="14"/>
      <x:c r="T11" s="14"/>
      <x:c r="U11" s="14"/>
      <x:c r="V11" s="14"/>
      <x:c r="W11" s="14"/>
      <x:c r="X11" s="14"/>
      <x:c r="Y11" s="14"/>
      <x:c r="Z11" s="14"/>
      <x:c r="AA11" s="14"/>
      <x:c r="AB11" s="14"/>
      <x:c r="AC11" s="14"/>
      <x:c r="AD11" s="14"/>
      <x:c r="AE11" s="14"/>
      <x:c r="AF11" s="14"/>
      <x:c r="AG11" s="14"/>
      <x:c r="AH11" s="14"/>
      <x:c r="AI11" s="14"/>
      <x:c r="AJ11" s="14"/>
      <x:c r="AK11" s="14"/>
      <x:c r="AL11" s="14"/>
      <x:c r="AM11" s="14"/>
      <x:c r="AN11" s="14"/>
      <x:c r="AO11" s="14"/>
      <x:c r="AP11" s="14"/>
      <x:c r="AQ11" s="14"/>
      <x:c r="AR11" s="14"/>
      <x:c r="AS11" s="14"/>
      <x:c r="AT11" s="14"/>
      <x:c r="AU11" s="14"/>
      <x:c r="AV11" s="14"/>
      <x:c r="AW11" s="14"/>
      <x:c r="AX11" s="14"/>
      <x:c r="AY11" s="14"/>
      <x:c r="AZ11" s="14"/>
      <x:c r="BA11" s="14"/>
      <x:c r="BB11" s="14"/>
      <x:c r="BC11" s="14"/>
      <x:c r="BD11" s="14"/>
      <x:c r="BE11" s="14"/>
      <x:c r="BF11" s="14"/>
      <x:c r="BG11" s="14"/>
      <x:c r="BH11" s="14"/>
      <x:c r="BI11" s="14"/>
      <x:c r="BJ11" s="14"/>
      <x:c r="BK11" s="14"/>
      <x:c r="BL11" s="14"/>
      <x:c r="BM11" s="14"/>
      <x:c r="BN11" s="14"/>
      <x:c r="BO11" s="14"/>
      <x:c r="BP11" s="14"/>
      <x:c r="BQ11" s="14"/>
      <x:c r="BR11" s="14"/>
      <x:c r="BS11" s="14"/>
      <x:c r="BT11" s="14"/>
      <x:c r="BU11" s="14"/>
      <x:c r="BV11" s="14"/>
      <x:c r="BW11" s="14"/>
      <x:c r="BX11" s="14"/>
      <x:c r="BY11" s="14"/>
      <x:c r="BZ11" s="14"/>
      <x:c r="CA11" s="14"/>
      <x:c r="CB11" s="14"/>
      <x:c r="CC11" s="14"/>
      <x:c r="CD11" s="14"/>
      <x:c r="CE11" s="14"/>
      <x:c r="CF11" s="14"/>
      <x:c r="CG11" s="14"/>
      <x:c r="CH11" s="14"/>
      <x:c r="CI11" s="14"/>
      <x:c r="CJ11" s="14"/>
      <x:c r="CK11" s="14"/>
      <x:c r="CL11" s="14"/>
      <x:c r="CM11" s="14"/>
      <x:c r="CN11" s="14"/>
      <x:c r="CO11" s="14"/>
      <x:c r="CP11" s="14"/>
      <x:c r="CQ11" s="14"/>
      <x:c r="CR11" s="14"/>
      <x:c r="CS11" s="14"/>
      <x:c r="CT11" s="14"/>
      <x:c r="CU11" s="14"/>
      <x:c r="CV11" s="14"/>
      <x:c r="CW11" s="14"/>
      <x:c r="CX11" s="14"/>
      <x:c r="CY11" s="14"/>
      <x:c r="CZ11" s="14"/>
      <x:c r="DA11" s="14"/>
      <x:c r="DB11" s="14"/>
      <x:c r="DC11" s="14"/>
      <x:c r="DD11" s="14"/>
      <x:c r="DE11" s="14"/>
      <x:c r="DF11" s="14"/>
      <x:c r="DG11" s="14"/>
      <x:c r="DH11" s="14"/>
      <x:c r="DI11" s="14"/>
      <x:c r="DJ11" s="14"/>
      <x:c r="DK11" s="14"/>
      <x:c r="DL11" s="14"/>
      <x:c r="DM11" s="14"/>
      <x:c r="DN11" s="14"/>
      <x:c r="DO11" s="14"/>
      <x:c r="DP11" s="14"/>
      <x:c r="DQ11" s="14"/>
      <x:c r="DR11" s="14"/>
      <x:c r="DS11" s="14"/>
      <x:c r="DT11" s="14"/>
      <x:c r="DU11" s="14"/>
      <x:c r="DV11" s="14"/>
      <x:c r="DW11" s="14"/>
      <x:c r="DX11" s="14"/>
      <x:c r="DY11" s="14"/>
      <x:c r="DZ11" s="14"/>
      <x:c r="EA11" s="14"/>
      <x:c r="EB11" s="14"/>
      <x:c r="EC11" s="14"/>
      <x:c r="ED11" s="14"/>
      <x:c r="EE11" s="14"/>
      <x:c r="EF11" s="14"/>
      <x:c r="EG11" s="14"/>
      <x:c r="EH11" s="14"/>
      <x:c r="EI11" s="14"/>
      <x:c r="EJ11" s="14"/>
      <x:c r="EK11" s="14"/>
      <x:c r="EL11" s="14"/>
      <x:c r="EM11" s="14"/>
      <x:c r="EN11" s="14"/>
      <x:c r="EO11" s="14"/>
      <x:c r="EP11" s="14"/>
      <x:c r="EQ11" s="14"/>
      <x:c r="ER11" s="14"/>
      <x:c r="ES11" s="14"/>
      <x:c r="ET11" s="14"/>
      <x:c r="EU11" s="14"/>
      <x:c r="EV11" s="14"/>
      <x:c r="EW11" s="14"/>
      <x:c r="EX11" s="14"/>
      <x:c r="EY11" s="14"/>
      <x:c r="EZ11" s="14"/>
      <x:c r="FA11" s="14"/>
      <x:c r="FB11" s="14"/>
      <x:c r="FC11" s="14"/>
      <x:c r="FD11" s="14"/>
      <x:c r="FE11" s="14"/>
      <x:c r="FF11" s="14"/>
      <x:c r="FG11" s="14"/>
      <x:c r="FH11" s="14"/>
      <x:c r="FI11" s="14"/>
      <x:c r="FJ11" s="14"/>
      <x:c r="FK11" s="14"/>
      <x:c r="FL11" s="14"/>
      <x:c r="FM11" s="14"/>
      <x:c r="FN11" s="14"/>
      <x:c r="FO11" s="14"/>
      <x:c r="FP11" s="14"/>
      <x:c r="FQ11" s="14"/>
      <x:c r="FR11" s="14"/>
      <x:c r="FS11" s="14"/>
      <x:c r="FT11" s="14"/>
      <x:c r="FU11" s="14"/>
      <x:c r="FV11" s="14"/>
      <x:c r="FW11" s="14"/>
      <x:c r="FX11" s="14"/>
      <x:c r="FY11" s="14"/>
      <x:c r="FZ11" s="14"/>
      <x:c r="GA11" s="14"/>
      <x:c r="GB11" s="14"/>
      <x:c r="GC11" s="14"/>
      <x:c r="GD11" s="14"/>
      <x:c r="GE11" s="14"/>
      <x:c r="GF11" s="14"/>
      <x:c r="GG11" s="14"/>
      <x:c r="GH11" s="14"/>
      <x:c r="GI11" s="14"/>
      <x:c r="GJ11" s="14"/>
      <x:c r="GK11" s="14"/>
      <x:c r="GL11" s="14"/>
      <x:c r="GM11" s="14"/>
      <x:c r="GN11" s="14"/>
      <x:c r="GO11" s="14"/>
      <x:c r="GP11" s="14"/>
      <x:c r="GQ11" s="14"/>
      <x:c r="GR11" s="14"/>
      <x:c r="GS11" s="14"/>
      <x:c r="GT11" s="14"/>
      <x:c r="GU11" s="14"/>
      <x:c r="GV11" s="14"/>
      <x:c r="GW11" s="14"/>
      <x:c r="GX11" s="14"/>
      <x:c r="GY11" s="14"/>
      <x:c r="GZ11" s="14"/>
      <x:c r="HA11" s="14"/>
      <x:c r="HB11" s="14"/>
      <x:c r="HC11" s="14"/>
      <x:c r="HD11" s="14"/>
      <x:c r="HE11" s="14"/>
      <x:c r="HF11" s="14"/>
      <x:c r="HG11" s="14"/>
      <x:c r="HH11" s="14"/>
      <x:c r="HI11" s="14"/>
      <x:c r="HJ11" s="14"/>
      <x:c r="HK11" s="14"/>
      <x:c r="HL11" s="14"/>
      <x:c r="HM11" s="14"/>
      <x:c r="HN11" s="14"/>
      <x:c r="HO11" s="14"/>
      <x:c r="HP11" s="14"/>
      <x:c r="HQ11" s="14"/>
      <x:c r="HR11" s="14"/>
      <x:c r="HS11" s="14"/>
      <x:c r="HT11" s="14"/>
      <x:c r="HU11" s="14"/>
      <x:c r="HV11" s="14"/>
      <x:c r="HW11" s="14"/>
      <x:c r="HX11" s="14"/>
      <x:c r="HY11" s="14"/>
      <x:c r="HZ11" s="14"/>
      <x:c r="IA11" s="14"/>
      <x:c r="IB11" s="14"/>
      <x:c r="IC11" s="14"/>
      <x:c r="ID11" s="14"/>
      <x:c r="IE11" s="14"/>
      <x:c r="IF11" s="14"/>
      <x:c r="IG11" s="14"/>
      <x:c r="IH11" s="14"/>
      <x:c r="II11" s="14"/>
      <x:c r="IJ11" s="14"/>
      <x:c r="IK11" s="14"/>
      <x:c r="IL11" s="14"/>
      <x:c r="IM11" s="14"/>
      <x:c r="IN11" s="14"/>
      <x:c r="IO11" s="14"/>
      <x:c r="IP11" s="14"/>
      <x:c r="IQ11" s="14"/>
      <x:c r="IR11" s="14"/>
      <x:c r="IS11" s="14"/>
      <x:c r="IT11" s="14"/>
      <x:c r="IU11" s="14"/>
      <x:c r="IV11" s="14"/>
      <x:c r="IW11" s="14"/>
      <x:c r="IX11" s="14"/>
      <x:c r="IY11" s="14"/>
      <x:c r="IZ11" s="14"/>
      <x:c r="JA11" s="14"/>
      <x:c r="JB11" s="14"/>
      <x:c r="JC11" s="14"/>
      <x:c r="JD11" s="14"/>
      <x:c r="JE11" s="14"/>
      <x:c r="JF11" s="14"/>
      <x:c r="JG11" s="14"/>
      <x:c r="JH11" s="14"/>
      <x:c r="JI11" s="14"/>
      <x:c r="JJ11" s="14"/>
      <x:c r="JK11" s="14"/>
      <x:c r="JL11" s="14"/>
      <x:c r="JM11" s="14"/>
      <x:c r="JN11" s="14"/>
      <x:c r="JO11" s="14"/>
      <x:c r="JP11" s="14"/>
      <x:c r="JQ11" s="14"/>
      <x:c r="JR11" s="14"/>
      <x:c r="JS11" s="14"/>
      <x:c r="JT11" s="14"/>
      <x:c r="JU11" s="14"/>
      <x:c r="JV11" s="14"/>
      <x:c r="JW11" s="14"/>
      <x:c r="JX11" s="14"/>
      <x:c r="JY11" s="14"/>
      <x:c r="JZ11" s="14"/>
      <x:c r="KA11" s="14"/>
      <x:c r="KB11" s="14"/>
      <x:c r="KC11" s="14"/>
      <x:c r="KD11" s="14"/>
      <x:c r="KE11" s="14"/>
      <x:c r="KF11" s="14"/>
      <x:c r="KG11" s="14"/>
      <x:c r="KH11" s="14"/>
      <x:c r="KI11" s="14"/>
      <x:c r="KJ11" s="14"/>
      <x:c r="KK11" s="14"/>
      <x:c r="KL11" s="14"/>
      <x:c r="KM11" s="14"/>
      <x:c r="KN11" s="14"/>
      <x:c r="KO11" s="14"/>
      <x:c r="KP11" s="14"/>
      <x:c r="KQ11" s="14"/>
      <x:c r="KR11" s="14"/>
      <x:c r="KS11" s="14"/>
      <x:c r="KT11" s="14"/>
      <x:c r="KU11" s="14"/>
      <x:c r="KV11" s="14"/>
      <x:c r="KW11" s="14"/>
      <x:c r="KX11" s="14"/>
      <x:c r="KY11" s="14"/>
      <x:c r="KZ11" s="14"/>
      <x:c r="LA11" s="14"/>
      <x:c r="LB11" s="14"/>
      <x:c r="LC11" s="14"/>
      <x:c r="LD11" s="14"/>
      <x:c r="LE11" s="14"/>
      <x:c r="LF11" s="14"/>
      <x:c r="LG11" s="14"/>
      <x:c r="LH11" s="14"/>
      <x:c r="LI11" s="14"/>
      <x:c r="LJ11" s="14"/>
      <x:c r="LK11" s="14"/>
      <x:c r="LL11" s="14"/>
      <x:c r="LM11" s="14"/>
      <x:c r="LN11" s="14"/>
      <x:c r="LO11" s="14"/>
      <x:c r="LP11" s="14"/>
      <x:c r="LQ11" s="14"/>
      <x:c r="LR11" s="14"/>
      <x:c r="LS11" s="14"/>
      <x:c r="LT11" s="14"/>
      <x:c r="LU11" s="14"/>
      <x:c r="LV11" s="14"/>
      <x:c r="LW11" s="14"/>
      <x:c r="LX11" s="14"/>
      <x:c r="LY11" s="14"/>
      <x:c r="LZ11" s="14"/>
      <x:c r="MA11" s="14"/>
      <x:c r="MB11" s="14"/>
      <x:c r="MC11" s="14"/>
      <x:c r="MD11" s="14"/>
      <x:c r="ME11" s="14"/>
      <x:c r="MF11" s="14"/>
      <x:c r="MG11" s="14"/>
      <x:c r="MH11" s="14"/>
      <x:c r="MI11" s="14"/>
      <x:c r="MJ11" s="14"/>
      <x:c r="MK11" s="14"/>
      <x:c r="ML11" s="14"/>
      <x:c r="MM11" s="14"/>
      <x:c r="MN11" s="14"/>
      <x:c r="MO11" s="14"/>
      <x:c r="MP11" s="14"/>
      <x:c r="MQ11" s="14"/>
      <x:c r="MR11" s="14"/>
      <x:c r="MS11" s="14"/>
      <x:c r="MT11" s="14"/>
      <x:c r="MU11" s="14"/>
      <x:c r="MV11" s="14"/>
      <x:c r="MW11" s="14"/>
      <x:c r="MX11" s="14"/>
      <x:c r="MY11" s="14"/>
      <x:c r="MZ11" s="14"/>
      <x:c r="NA11" s="14"/>
      <x:c r="NB11" s="14"/>
      <x:c r="NC11" s="14"/>
      <x:c r="ND11" s="14"/>
      <x:c r="NE11" s="14"/>
      <x:c r="NF11" s="14"/>
      <x:c r="NG11" s="14"/>
      <x:c r="NH11" s="14"/>
      <x:c r="NI11" s="14"/>
      <x:c r="NJ11" s="14"/>
      <x:c r="NK11" s="14"/>
      <x:c r="NL11" s="14"/>
      <x:c r="NM11" s="14"/>
      <x:c r="NN11" s="14"/>
      <x:c r="NO11" s="14"/>
      <x:c r="NP11" s="14"/>
      <x:c r="NQ11" s="14"/>
      <x:c r="NR11" s="14"/>
      <x:c r="NS11" s="14"/>
      <x:c r="NT11" s="14"/>
      <x:c r="NU11" s="14"/>
      <x:c r="NV11" s="14"/>
      <x:c r="NW11" s="14"/>
      <x:c r="NX11" s="14"/>
      <x:c r="NY11" s="14"/>
      <x:c r="NZ11" s="14"/>
      <x:c r="OA11" s="14"/>
      <x:c r="OB11" s="14"/>
      <x:c r="OC11" s="14"/>
      <x:c r="OD11" s="14"/>
      <x:c r="OE11" s="14"/>
      <x:c r="OF11" s="14"/>
      <x:c r="OG11" s="14"/>
      <x:c r="OH11" s="14"/>
      <x:c r="OI11" s="14"/>
      <x:c r="OJ11" s="14"/>
      <x:c r="OK11" s="14"/>
      <x:c r="OL11" s="14"/>
      <x:c r="OM11" s="14"/>
      <x:c r="ON11" s="14"/>
      <x:c r="OO11" s="14"/>
      <x:c r="OP11" s="14"/>
      <x:c r="OQ11" s="14"/>
      <x:c r="OR11" s="14"/>
      <x:c r="OS11" s="14"/>
      <x:c r="OT11" s="14"/>
      <x:c r="OU11" s="14"/>
      <x:c r="OV11" s="14"/>
      <x:c r="OW11" s="14"/>
      <x:c r="OX11" s="14"/>
      <x:c r="OY11" s="14"/>
      <x:c r="OZ11" s="14"/>
      <x:c r="PA11" s="14"/>
      <x:c r="PB11" s="14"/>
      <x:c r="PC11" s="14"/>
      <x:c r="PD11" s="14"/>
      <x:c r="PE11" s="14"/>
      <x:c r="PF11" s="14"/>
      <x:c r="PG11" s="14"/>
      <x:c r="PH11" s="14"/>
      <x:c r="PI11" s="14"/>
      <x:c r="PJ11" s="14"/>
      <x:c r="PK11" s="14"/>
      <x:c r="PL11" s="14"/>
      <x:c r="PM11" s="14"/>
      <x:c r="PN11" s="14"/>
      <x:c r="PO11" s="14"/>
      <x:c r="PP11" s="14"/>
      <x:c r="PQ11" s="14"/>
      <x:c r="PR11" s="14"/>
      <x:c r="PS11" s="14"/>
      <x:c r="PT11" s="14"/>
      <x:c r="PU11" s="14"/>
      <x:c r="PV11" s="14"/>
      <x:c r="PW11" s="14"/>
      <x:c r="PX11" s="14"/>
      <x:c r="PY11" s="14"/>
      <x:c r="PZ11" s="14"/>
      <x:c r="QA11" s="14"/>
      <x:c r="QB11" s="14"/>
      <x:c r="QC11" s="14"/>
      <x:c r="QD11" s="14"/>
      <x:c r="QE11" s="14"/>
      <x:c r="QF11" s="14"/>
      <x:c r="QG11" s="14"/>
      <x:c r="QH11" s="14"/>
      <x:c r="QI11" s="14"/>
      <x:c r="QJ11" s="14"/>
      <x:c r="QK11" s="14"/>
      <x:c r="QL11" s="14"/>
      <x:c r="QM11" s="14"/>
      <x:c r="QN11" s="14"/>
      <x:c r="QO11" s="14"/>
      <x:c r="QP11" s="14"/>
      <x:c r="QQ11" s="14"/>
      <x:c r="QR11" s="14"/>
      <x:c r="QS11" s="14"/>
      <x:c r="QT11" s="14"/>
      <x:c r="QU11" s="14"/>
      <x:c r="QV11" s="14"/>
      <x:c r="QW11" s="14"/>
      <x:c r="QX11" s="14"/>
      <x:c r="QY11" s="14"/>
      <x:c r="QZ11" s="14"/>
      <x:c r="RA11" s="14"/>
      <x:c r="RB11" s="14"/>
      <x:c r="RC11" s="14"/>
      <x:c r="RD11" s="14"/>
      <x:c r="RE11" s="14"/>
      <x:c r="RF11" s="14"/>
      <x:c r="RG11" s="14"/>
      <x:c r="RH11" s="14"/>
      <x:c r="RI11" s="14"/>
      <x:c r="RJ11" s="14"/>
      <x:c r="RK11" s="14"/>
      <x:c r="RL11" s="14"/>
      <x:c r="RM11" s="14"/>
      <x:c r="RN11" s="14"/>
      <x:c r="RO11" s="14"/>
      <x:c r="RP11" s="14"/>
      <x:c r="RQ11" s="14"/>
      <x:c r="RR11" s="14"/>
      <x:c r="RS11" s="14"/>
      <x:c r="RT11" s="14"/>
      <x:c r="RU11" s="14"/>
      <x:c r="RV11" s="14"/>
      <x:c r="RW11" s="14"/>
      <x:c r="RX11" s="14"/>
      <x:c r="RY11" s="14"/>
      <x:c r="RZ11" s="14"/>
      <x:c r="SA11" s="14"/>
      <x:c r="SB11" s="14"/>
      <x:c r="SC11" s="14"/>
      <x:c r="SD11" s="14"/>
      <x:c r="SE11" s="14"/>
      <x:c r="SF11" s="14"/>
      <x:c r="SG11" s="14"/>
      <x:c r="SH11" s="14"/>
      <x:c r="SI11" s="14"/>
      <x:c r="SJ11" s="14"/>
      <x:c r="SK11" s="14"/>
      <x:c r="SL11" s="14"/>
      <x:c r="SM11" s="14"/>
      <x:c r="SN11" s="14"/>
      <x:c r="SO11" s="14"/>
      <x:c r="SP11" s="14"/>
      <x:c r="SQ11" s="14"/>
      <x:c r="SR11" s="14"/>
      <x:c r="SS11" s="14"/>
      <x:c r="ST11" s="14"/>
      <x:c r="SU11" s="14"/>
      <x:c r="SV11" s="14"/>
      <x:c r="SW11" s="14"/>
      <x:c r="SX11" s="14"/>
      <x:c r="SY11" s="14"/>
      <x:c r="SZ11" s="14"/>
      <x:c r="TA11" s="14"/>
      <x:c r="TB11" s="14"/>
      <x:c r="TC11" s="14"/>
      <x:c r="TD11" s="14"/>
      <x:c r="TE11" s="14"/>
      <x:c r="TF11" s="14"/>
      <x:c r="TG11" s="14"/>
      <x:c r="TH11" s="14"/>
    </x:row>
    <x:row r="12" hidden="1">
      <x:c r="A12" s="14"/>
      <x:c r="B12" s="14"/>
      <x:c r="C12" s="14"/>
      <x:c r="D12" s="14"/>
      <x:c r="E12" s="14"/>
      <x:c r="F12" s="14"/>
      <x:c r="G12" s="14"/>
      <x:c r="H12" s="14"/>
      <x:c r="I12" s="14"/>
      <x:c r="J12" s="14"/>
      <x:c r="K12" s="14"/>
      <x:c r="L12" s="14"/>
      <x:c r="M12" s="14"/>
      <x:c r="N12" s="14"/>
      <x:c r="O12" s="14"/>
      <x:c r="P12" s="14"/>
      <x:c r="Q12" s="14"/>
      <x:c r="R12" s="14"/>
      <x:c r="S12" s="14"/>
      <x:c r="T12" s="14"/>
      <x:c r="U12" s="14"/>
      <x:c r="V12" s="14"/>
      <x:c r="W12" s="14"/>
      <x:c r="X12" s="14"/>
      <x:c r="Y12" s="14"/>
      <x:c r="Z12" s="14"/>
      <x:c r="AA12" s="14"/>
      <x:c r="AB12" s="14"/>
      <x:c r="AC12" s="14"/>
      <x:c r="AD12" s="14"/>
      <x:c r="AE12" s="14"/>
      <x:c r="AF12" s="14"/>
      <x:c r="AG12" s="14"/>
      <x:c r="AH12" s="14"/>
      <x:c r="AI12" s="14"/>
      <x:c r="AJ12" s="14"/>
      <x:c r="AK12" s="14"/>
      <x:c r="AL12" s="14"/>
      <x:c r="AM12" s="14"/>
      <x:c r="AN12" s="14"/>
      <x:c r="AO12" s="14"/>
      <x:c r="AP12" s="14"/>
      <x:c r="AQ12" s="14"/>
      <x:c r="AR12" s="14"/>
      <x:c r="AS12" s="14"/>
      <x:c r="AT12" s="14"/>
      <x:c r="AU12" s="14"/>
      <x:c r="AV12" s="14"/>
      <x:c r="AW12" s="14"/>
      <x:c r="AX12" s="14"/>
      <x:c r="AY12" s="14"/>
      <x:c r="AZ12" s="14"/>
      <x:c r="BA12" s="14"/>
      <x:c r="BB12" s="14"/>
      <x:c r="BC12" s="14"/>
      <x:c r="BD12" s="14"/>
      <x:c r="BE12" s="14"/>
      <x:c r="BF12" s="14"/>
      <x:c r="BG12" s="14"/>
      <x:c r="BH12" s="14"/>
      <x:c r="BI12" s="14"/>
      <x:c r="BJ12" s="14"/>
      <x:c r="BK12" s="14"/>
      <x:c r="BL12" s="14"/>
      <x:c r="BM12" s="14"/>
      <x:c r="BN12" s="14"/>
      <x:c r="BO12" s="14"/>
      <x:c r="BP12" s="14"/>
      <x:c r="BQ12" s="14"/>
      <x:c r="BR12" s="14"/>
      <x:c r="BS12" s="14"/>
      <x:c r="BT12" s="14"/>
      <x:c r="BU12" s="14"/>
      <x:c r="BV12" s="14"/>
      <x:c r="BW12" s="14"/>
      <x:c r="BX12" s="14"/>
      <x:c r="BY12" s="14"/>
      <x:c r="BZ12" s="14"/>
      <x:c r="CA12" s="14"/>
      <x:c r="CB12" s="14"/>
      <x:c r="CC12" s="14"/>
      <x:c r="CD12" s="14"/>
      <x:c r="CE12" s="14"/>
      <x:c r="CF12" s="14"/>
      <x:c r="CG12" s="14"/>
      <x:c r="CH12" s="14"/>
      <x:c r="CI12" s="14"/>
      <x:c r="CJ12" s="14"/>
      <x:c r="CK12" s="14"/>
      <x:c r="CL12" s="14"/>
      <x:c r="CM12" s="14"/>
      <x:c r="CN12" s="14"/>
      <x:c r="CO12" s="14"/>
      <x:c r="CP12" s="14"/>
      <x:c r="CQ12" s="14"/>
      <x:c r="CR12" s="14"/>
      <x:c r="CS12" s="14"/>
      <x:c r="CT12" s="14"/>
      <x:c r="CU12" s="14"/>
      <x:c r="CV12" s="14"/>
      <x:c r="CW12" s="14"/>
      <x:c r="CX12" s="14"/>
      <x:c r="CY12" s="14"/>
      <x:c r="CZ12" s="14"/>
      <x:c r="DA12" s="14"/>
      <x:c r="DB12" s="14"/>
      <x:c r="DC12" s="14"/>
      <x:c r="DD12" s="14"/>
      <x:c r="DE12" s="14"/>
      <x:c r="DF12" s="14"/>
      <x:c r="DG12" s="14"/>
      <x:c r="DH12" s="14"/>
      <x:c r="DI12" s="14"/>
      <x:c r="DJ12" s="14"/>
      <x:c r="DK12" s="14"/>
      <x:c r="DL12" s="14"/>
      <x:c r="DM12" s="14"/>
      <x:c r="DN12" s="14"/>
      <x:c r="DO12" s="14"/>
      <x:c r="DP12" s="14"/>
      <x:c r="DQ12" s="14"/>
      <x:c r="DR12" s="14"/>
      <x:c r="DS12" s="14"/>
      <x:c r="DT12" s="14"/>
      <x:c r="DU12" s="14"/>
      <x:c r="DV12" s="14"/>
      <x:c r="DW12" s="14"/>
      <x:c r="DX12" s="14"/>
      <x:c r="DY12" s="14"/>
      <x:c r="DZ12" s="14"/>
      <x:c r="EA12" s="14"/>
      <x:c r="EB12" s="14"/>
      <x:c r="EC12" s="14"/>
      <x:c r="ED12" s="14"/>
      <x:c r="EE12" s="14"/>
      <x:c r="EF12" s="14"/>
      <x:c r="EG12" s="14"/>
      <x:c r="EH12" s="14"/>
      <x:c r="EI12" s="14"/>
      <x:c r="EJ12" s="14"/>
      <x:c r="EK12" s="14"/>
      <x:c r="EL12" s="14"/>
      <x:c r="EM12" s="14"/>
      <x:c r="EN12" s="14"/>
      <x:c r="EO12" s="14"/>
      <x:c r="EP12" s="14"/>
      <x:c r="EQ12" s="14"/>
      <x:c r="ER12" s="14"/>
      <x:c r="ES12" s="14"/>
      <x:c r="ET12" s="14"/>
      <x:c r="EU12" s="14"/>
      <x:c r="EV12" s="14"/>
      <x:c r="EW12" s="14"/>
      <x:c r="EX12" s="14"/>
      <x:c r="EY12" s="14"/>
      <x:c r="EZ12" s="14"/>
      <x:c r="FA12" s="14"/>
      <x:c r="FB12" s="14"/>
      <x:c r="FC12" s="14"/>
      <x:c r="FD12" s="14"/>
      <x:c r="FE12" s="14"/>
      <x:c r="FF12" s="14"/>
      <x:c r="FG12" s="14"/>
      <x:c r="FH12" s="14"/>
      <x:c r="FI12" s="14"/>
      <x:c r="FJ12" s="14"/>
      <x:c r="FK12" s="14"/>
      <x:c r="FL12" s="14"/>
      <x:c r="FM12" s="14"/>
      <x:c r="FN12" s="14"/>
      <x:c r="FO12" s="14"/>
      <x:c r="FP12" s="14"/>
      <x:c r="FQ12" s="14"/>
      <x:c r="FR12" s="14"/>
      <x:c r="FS12" s="14"/>
      <x:c r="FT12" s="14"/>
      <x:c r="FU12" s="14"/>
      <x:c r="FV12" s="14"/>
      <x:c r="FW12" s="14"/>
      <x:c r="FX12" s="14"/>
      <x:c r="FY12" s="14"/>
      <x:c r="FZ12" s="14"/>
      <x:c r="GA12" s="14"/>
      <x:c r="GB12" s="14"/>
      <x:c r="GC12" s="14"/>
      <x:c r="GD12" s="14"/>
      <x:c r="GE12" s="14"/>
      <x:c r="GF12" s="14"/>
      <x:c r="GG12" s="14"/>
      <x:c r="GH12" s="14"/>
      <x:c r="GI12" s="14"/>
      <x:c r="GJ12" s="14"/>
      <x:c r="GK12" s="14"/>
      <x:c r="GL12" s="14"/>
      <x:c r="GM12" s="14"/>
      <x:c r="GN12" s="14"/>
      <x:c r="GO12" s="14"/>
      <x:c r="GP12" s="14"/>
      <x:c r="GQ12" s="14"/>
      <x:c r="GR12" s="14"/>
      <x:c r="GS12" s="14"/>
      <x:c r="GT12" s="14"/>
      <x:c r="GU12" s="14"/>
      <x:c r="GV12" s="14"/>
      <x:c r="GW12" s="14"/>
      <x:c r="GX12" s="14"/>
      <x:c r="GY12" s="14"/>
      <x:c r="GZ12" s="14"/>
      <x:c r="HA12" s="14"/>
      <x:c r="HB12" s="14"/>
      <x:c r="HC12" s="14"/>
      <x:c r="HD12" s="14"/>
      <x:c r="HE12" s="14"/>
      <x:c r="HF12" s="14"/>
      <x:c r="HG12" s="14"/>
      <x:c r="HH12" s="14"/>
      <x:c r="HI12" s="14"/>
      <x:c r="HJ12" s="14"/>
      <x:c r="HK12" s="14"/>
      <x:c r="HL12" s="14"/>
      <x:c r="HM12" s="14"/>
      <x:c r="HN12" s="14"/>
      <x:c r="HO12" s="14"/>
      <x:c r="HP12" s="14"/>
      <x:c r="HQ12" s="14"/>
      <x:c r="HR12" s="14"/>
      <x:c r="HS12" s="14"/>
      <x:c r="HT12" s="14"/>
      <x:c r="HU12" s="14"/>
      <x:c r="HV12" s="14"/>
      <x:c r="HW12" s="14"/>
      <x:c r="HX12" s="14"/>
      <x:c r="HY12" s="14"/>
      <x:c r="HZ12" s="14"/>
      <x:c r="IA12" s="14"/>
      <x:c r="IB12" s="14"/>
      <x:c r="IC12" s="14"/>
      <x:c r="ID12" s="14"/>
      <x:c r="IE12" s="14"/>
      <x:c r="IF12" s="14"/>
      <x:c r="IG12" s="14"/>
      <x:c r="IH12" s="14"/>
      <x:c r="II12" s="14"/>
      <x:c r="IJ12" s="14"/>
      <x:c r="IK12" s="14"/>
      <x:c r="IL12" s="14"/>
      <x:c r="IM12" s="14"/>
      <x:c r="IN12" s="14"/>
      <x:c r="IO12" s="14"/>
      <x:c r="IP12" s="14"/>
      <x:c r="IQ12" s="14"/>
      <x:c r="IR12" s="14"/>
      <x:c r="IS12" s="14"/>
      <x:c r="IT12" s="14"/>
      <x:c r="IU12" s="14"/>
      <x:c r="IV12" s="14"/>
      <x:c r="IW12" s="14"/>
      <x:c r="IX12" s="14"/>
      <x:c r="IY12" s="14"/>
      <x:c r="IZ12" s="14"/>
      <x:c r="JA12" s="14"/>
      <x:c r="JB12" s="14"/>
      <x:c r="JC12" s="14"/>
      <x:c r="JD12" s="14"/>
      <x:c r="JE12" s="14"/>
      <x:c r="JF12" s="14"/>
      <x:c r="JG12" s="14"/>
      <x:c r="JH12" s="14"/>
      <x:c r="JI12" s="14"/>
      <x:c r="JJ12" s="14"/>
      <x:c r="JK12" s="14"/>
      <x:c r="JL12" s="14"/>
      <x:c r="JM12" s="14"/>
      <x:c r="JN12" s="14"/>
      <x:c r="JO12" s="14"/>
      <x:c r="JP12" s="14"/>
      <x:c r="JQ12" s="14"/>
      <x:c r="JR12" s="14"/>
      <x:c r="JS12" s="14"/>
      <x:c r="JT12" s="14"/>
      <x:c r="JU12" s="14"/>
      <x:c r="JV12" s="14"/>
      <x:c r="JW12" s="14"/>
      <x:c r="JX12" s="14"/>
      <x:c r="JY12" s="14"/>
      <x:c r="JZ12" s="14"/>
      <x:c r="KA12" s="14"/>
      <x:c r="KB12" s="14"/>
      <x:c r="KC12" s="14"/>
      <x:c r="KD12" s="14"/>
      <x:c r="KE12" s="14"/>
      <x:c r="KF12" s="14"/>
      <x:c r="KG12" s="14"/>
      <x:c r="KH12" s="14"/>
      <x:c r="KI12" s="14"/>
      <x:c r="KJ12" s="14"/>
      <x:c r="KK12" s="14"/>
      <x:c r="KL12" s="14"/>
      <x:c r="KM12" s="14"/>
      <x:c r="KN12" s="14"/>
      <x:c r="KO12" s="14"/>
      <x:c r="KP12" s="14"/>
      <x:c r="KQ12" s="14"/>
      <x:c r="KR12" s="14"/>
      <x:c r="KS12" s="14"/>
      <x:c r="KT12" s="14"/>
      <x:c r="KU12" s="14"/>
      <x:c r="KV12" s="14"/>
      <x:c r="KW12" s="14"/>
      <x:c r="KX12" s="14"/>
      <x:c r="KY12" s="14"/>
      <x:c r="KZ12" s="14"/>
      <x:c r="LA12" s="14"/>
      <x:c r="LB12" s="14"/>
      <x:c r="LC12" s="14"/>
      <x:c r="LD12" s="14"/>
      <x:c r="LE12" s="14"/>
      <x:c r="LF12" s="14"/>
      <x:c r="LG12" s="14"/>
      <x:c r="LH12" s="14"/>
      <x:c r="LI12" s="14"/>
      <x:c r="LJ12" s="14"/>
      <x:c r="LK12" s="14"/>
      <x:c r="LL12" s="14"/>
      <x:c r="LM12" s="14"/>
      <x:c r="LN12" s="14"/>
      <x:c r="LO12" s="14"/>
      <x:c r="LP12" s="14"/>
      <x:c r="LQ12" s="14"/>
      <x:c r="LR12" s="14"/>
      <x:c r="LS12" s="14"/>
      <x:c r="LT12" s="14"/>
      <x:c r="LU12" s="14"/>
      <x:c r="LV12" s="14"/>
      <x:c r="LW12" s="14"/>
      <x:c r="LX12" s="14"/>
      <x:c r="LY12" s="14"/>
      <x:c r="LZ12" s="14"/>
      <x:c r="MA12" s="14"/>
      <x:c r="MB12" s="14"/>
      <x:c r="MC12" s="14"/>
      <x:c r="MD12" s="14"/>
      <x:c r="ME12" s="14"/>
      <x:c r="MF12" s="14"/>
      <x:c r="MG12" s="14"/>
      <x:c r="MH12" s="14"/>
      <x:c r="MI12" s="14"/>
      <x:c r="MJ12" s="14"/>
      <x:c r="MK12" s="14"/>
      <x:c r="ML12" s="14"/>
      <x:c r="MM12" s="14"/>
      <x:c r="MN12" s="14"/>
      <x:c r="MO12" s="14"/>
      <x:c r="MP12" s="14"/>
      <x:c r="MQ12" s="14"/>
      <x:c r="MR12" s="14"/>
      <x:c r="MS12" s="14"/>
      <x:c r="MT12" s="14"/>
      <x:c r="MU12" s="14"/>
      <x:c r="MV12" s="14"/>
      <x:c r="MW12" s="14"/>
      <x:c r="MX12" s="14"/>
      <x:c r="MY12" s="14"/>
      <x:c r="MZ12" s="14"/>
      <x:c r="NA12" s="14"/>
      <x:c r="NB12" s="14"/>
      <x:c r="NC12" s="14"/>
      <x:c r="ND12" s="14"/>
      <x:c r="NE12" s="14"/>
      <x:c r="NF12" s="14"/>
      <x:c r="NG12" s="14"/>
      <x:c r="NH12" s="14"/>
      <x:c r="NI12" s="14"/>
      <x:c r="NJ12" s="14"/>
      <x:c r="NK12" s="14"/>
      <x:c r="NL12" s="14"/>
      <x:c r="NM12" s="14"/>
      <x:c r="NN12" s="14"/>
      <x:c r="NO12" s="14"/>
      <x:c r="NP12" s="14"/>
      <x:c r="NQ12" s="14"/>
      <x:c r="NR12" s="14"/>
      <x:c r="NS12" s="14"/>
      <x:c r="NT12" s="14"/>
      <x:c r="NU12" s="14"/>
      <x:c r="NV12" s="14"/>
      <x:c r="NW12" s="14"/>
      <x:c r="NX12" s="14"/>
      <x:c r="NY12" s="14"/>
      <x:c r="NZ12" s="14"/>
      <x:c r="OA12" s="14"/>
      <x:c r="OB12" s="14"/>
      <x:c r="OC12" s="14"/>
      <x:c r="OD12" s="14"/>
      <x:c r="OE12" s="14"/>
      <x:c r="OF12" s="14"/>
      <x:c r="OG12" s="14"/>
      <x:c r="OH12" s="14"/>
      <x:c r="OI12" s="14"/>
      <x:c r="OJ12" s="14"/>
      <x:c r="OK12" s="14"/>
      <x:c r="OL12" s="14"/>
      <x:c r="OM12" s="14"/>
      <x:c r="ON12" s="14"/>
      <x:c r="OO12" s="14"/>
      <x:c r="OP12" s="14"/>
      <x:c r="OQ12" s="14"/>
      <x:c r="OR12" s="14"/>
      <x:c r="OS12" s="14"/>
      <x:c r="OT12" s="14"/>
      <x:c r="OU12" s="14"/>
      <x:c r="OV12" s="14"/>
      <x:c r="OW12" s="14"/>
      <x:c r="OX12" s="14"/>
      <x:c r="OY12" s="14"/>
      <x:c r="OZ12" s="14"/>
      <x:c r="PA12" s="14"/>
      <x:c r="PB12" s="14"/>
      <x:c r="PC12" s="14"/>
      <x:c r="PD12" s="14"/>
      <x:c r="PE12" s="14"/>
      <x:c r="PF12" s="14"/>
      <x:c r="PG12" s="14"/>
      <x:c r="PH12" s="14"/>
      <x:c r="PI12" s="14"/>
      <x:c r="PJ12" s="14"/>
      <x:c r="PK12" s="14"/>
      <x:c r="PL12" s="14"/>
      <x:c r="PM12" s="14"/>
      <x:c r="PN12" s="14"/>
      <x:c r="PO12" s="14"/>
      <x:c r="PP12" s="14"/>
      <x:c r="PQ12" s="14"/>
      <x:c r="PR12" s="14"/>
      <x:c r="PS12" s="14"/>
      <x:c r="PT12" s="14"/>
      <x:c r="PU12" s="14"/>
      <x:c r="PV12" s="14"/>
      <x:c r="PW12" s="14"/>
      <x:c r="PX12" s="14"/>
      <x:c r="PY12" s="14"/>
      <x:c r="PZ12" s="14"/>
      <x:c r="QA12" s="14"/>
      <x:c r="QB12" s="14"/>
      <x:c r="QC12" s="14"/>
      <x:c r="QD12" s="14"/>
      <x:c r="QE12" s="14"/>
      <x:c r="QF12" s="14"/>
      <x:c r="QG12" s="14"/>
      <x:c r="QH12" s="14"/>
      <x:c r="QI12" s="14"/>
      <x:c r="QJ12" s="14"/>
      <x:c r="QK12" s="14"/>
      <x:c r="QL12" s="14"/>
      <x:c r="QM12" s="14"/>
      <x:c r="QN12" s="14"/>
      <x:c r="QO12" s="14"/>
      <x:c r="QP12" s="14"/>
      <x:c r="QQ12" s="14"/>
      <x:c r="QR12" s="14"/>
      <x:c r="QS12" s="14"/>
      <x:c r="QT12" s="14"/>
      <x:c r="QU12" s="14"/>
      <x:c r="QV12" s="14"/>
      <x:c r="QW12" s="14"/>
      <x:c r="QX12" s="14"/>
      <x:c r="QY12" s="14"/>
      <x:c r="QZ12" s="14"/>
      <x:c r="RA12" s="14"/>
      <x:c r="RB12" s="14"/>
      <x:c r="RC12" s="14"/>
      <x:c r="RD12" s="14"/>
      <x:c r="RE12" s="14"/>
      <x:c r="RF12" s="14"/>
      <x:c r="RG12" s="14"/>
      <x:c r="RH12" s="14"/>
      <x:c r="RI12" s="14"/>
      <x:c r="RJ12" s="14"/>
      <x:c r="RK12" s="14"/>
      <x:c r="RL12" s="14"/>
      <x:c r="RM12" s="14"/>
      <x:c r="RN12" s="14"/>
      <x:c r="RO12" s="14"/>
      <x:c r="RP12" s="14"/>
      <x:c r="RQ12" s="14"/>
      <x:c r="RR12" s="14"/>
      <x:c r="RS12" s="14"/>
      <x:c r="RT12" s="14"/>
      <x:c r="RU12" s="14"/>
      <x:c r="RV12" s="14"/>
      <x:c r="RW12" s="14"/>
      <x:c r="RX12" s="14"/>
      <x:c r="RY12" s="14"/>
      <x:c r="RZ12" s="14"/>
      <x:c r="SA12" s="14"/>
      <x:c r="SB12" s="14"/>
      <x:c r="SC12" s="14"/>
      <x:c r="SD12" s="14"/>
      <x:c r="SE12" s="14"/>
      <x:c r="SF12" s="14"/>
      <x:c r="SG12" s="14"/>
      <x:c r="SH12" s="14"/>
      <x:c r="SI12" s="14"/>
      <x:c r="SJ12" s="14"/>
      <x:c r="SK12" s="14"/>
      <x:c r="SL12" s="14"/>
      <x:c r="SM12" s="14"/>
      <x:c r="SN12" s="14"/>
      <x:c r="SO12" s="14"/>
      <x:c r="SP12" s="14"/>
      <x:c r="SQ12" s="14"/>
      <x:c r="SR12" s="14"/>
      <x:c r="SS12" s="14"/>
      <x:c r="ST12" s="14"/>
      <x:c r="SU12" s="14"/>
      <x:c r="SV12" s="14"/>
      <x:c r="SW12" s="14"/>
      <x:c r="SX12" s="14"/>
      <x:c r="SY12" s="14"/>
      <x:c r="SZ12" s="14"/>
      <x:c r="TA12" s="14"/>
      <x:c r="TB12" s="14"/>
      <x:c r="TC12" s="14"/>
      <x:c r="TD12" s="14"/>
      <x:c r="TE12" s="14"/>
      <x:c r="TF12" s="14"/>
      <x:c r="TG12" s="14"/>
      <x:c r="TH12" s="14"/>
    </x:row>
    <x:row r="13" ht="25" customHeight="1">
      <x:c r="A13" s="19" t="str">
        <x:v>劍類</x:v>
      </x:c>
      <x:c r="B13" s="19"/>
      <x:c r="C13" s="19"/>
      <x:c r="D13" s="19"/>
      <x:c r="E13" s="14"/>
      <x:c r="F13" s="19" t="str">
        <x:v>刀類</x:v>
      </x:c>
      <x:c r="G13" s="19"/>
      <x:c r="H13" s="19"/>
      <x:c r="I13" s="19"/>
      <x:c r="J13" s="14"/>
      <x:c r="K13" s="19" t="str">
        <x:v>暗器類</x:v>
      </x:c>
      <x:c r="L13" s="19"/>
      <x:c r="M13" s="19"/>
      <x:c r="N13" s="19"/>
      <x:c r="O13" s="14"/>
      <x:c r="P13" s="19" t="str">
        <x:v>拂塵類</x:v>
      </x:c>
      <x:c r="Q13" s="19"/>
      <x:c r="R13" s="19"/>
      <x:c r="S13" s="19"/>
      <x:c r="T13" s="14"/>
      <x:c r="U13" s="19" t="str">
        <x:v>杖類</x:v>
      </x:c>
      <x:c r="V13" s="19"/>
      <x:c r="W13" s="19"/>
      <x:c r="X13" s="19"/>
      <x:c r="Y13" s="14"/>
      <x:c r="Z13" s="19" t="str">
        <x:v>槍類</x:v>
      </x:c>
      <x:c r="AA13" s="19"/>
      <x:c r="AB13" s="19"/>
      <x:c r="AC13" s="19"/>
      <x:c r="AD13" s="14"/>
      <x:c r="AE13" s="19" t="str">
        <x:v>棍類</x:v>
      </x:c>
      <x:c r="AF13" s="19"/>
      <x:c r="AG13" s="19"/>
      <x:c r="AH13" s="19"/>
      <x:c r="AI13" s="14"/>
      <x:c r="AJ13" s="19" t="str">
        <x:v>錘類</x:v>
      </x:c>
      <x:c r="AK13" s="19"/>
      <x:c r="AL13" s="19"/>
      <x:c r="AM13" s="19"/>
      <x:c r="AN13" s="14"/>
      <x:c r="AO13" s="19" t="str">
        <x:v>斧類</x:v>
      </x:c>
      <x:c r="AP13" s="19"/>
      <x:c r="AQ13" s="19"/>
      <x:c r="AR13" s="19"/>
      <x:c r="AS13" s="14"/>
      <x:c r="AT13" s="19" t="str">
        <x:v>盾類</x:v>
      </x:c>
      <x:c r="AU13" s="19"/>
      <x:c r="AV13" s="19"/>
      <x:c r="AW13" s="19"/>
      <x:c r="AX13" s="14"/>
      <x:c r="AY13" s="19" t="str">
        <x:v>帽子類</x:v>
      </x:c>
      <x:c r="AZ13" s="19"/>
      <x:c r="BA13" s="19"/>
      <x:c r="BB13" s="19"/>
      <x:c r="BC13" s="14"/>
      <x:c r="BD13" s="19" t="str">
        <x:v>衣服類</x:v>
      </x:c>
      <x:c r="BE13" s="19"/>
      <x:c r="BF13" s="19"/>
      <x:c r="BG13" s="19"/>
      <x:c r="BH13" s="14"/>
      <x:c r="BI13" s="19" t="str">
        <x:v>護腕類</x:v>
      </x:c>
      <x:c r="BJ13" s="19"/>
      <x:c r="BK13" s="19"/>
      <x:c r="BL13" s="19"/>
      <x:c r="BM13" s="14"/>
      <x:c r="BN13" s="19" t="str">
        <x:v>鞋子類</x:v>
      </x:c>
      <x:c r="BO13" s="19"/>
      <x:c r="BP13" s="19"/>
      <x:c r="BQ13" s="19"/>
      <x:c r="BR13" s="14"/>
      <x:c r="BS13" s="19" t="str">
        <x:v>飾品類</x:v>
      </x:c>
      <x:c r="BT13" s="19"/>
      <x:c r="BU13" s="19"/>
      <x:c r="BV13" s="19"/>
      <x:c r="BW13" s="14"/>
      <x:c r="BX13" s="19" t="str">
        <x:v>仙器類</x:v>
      </x:c>
      <x:c r="BY13" s="19"/>
      <x:c r="BZ13" s="19"/>
      <x:c r="CA13" s="19"/>
      <x:c r="CB13" s="14"/>
      <x:c r="CC13" s="14"/>
      <x:c r="CD13" s="14"/>
      <x:c r="CE13" s="14"/>
      <x:c r="CF13" s="14"/>
      <x:c r="CG13" s="14"/>
      <x:c r="CH13" s="14"/>
      <x:c r="CI13" s="14"/>
      <x:c r="CJ13" s="14"/>
      <x:c r="CK13" s="14"/>
      <x:c r="CL13" s="14"/>
      <x:c r="CM13" s="14"/>
      <x:c r="CN13" s="14"/>
      <x:c r="CO13" s="14"/>
      <x:c r="CP13" s="14"/>
      <x:c r="CQ13" s="14"/>
      <x:c r="CR13" s="14"/>
      <x:c r="CS13" s="14"/>
      <x:c r="CT13" s="14"/>
      <x:c r="CU13" s="14"/>
      <x:c r="CV13" s="14"/>
      <x:c r="CW13" s="14"/>
      <x:c r="CX13" s="14"/>
      <x:c r="CY13" s="14"/>
      <x:c r="CZ13" s="14"/>
      <x:c r="DA13" s="14"/>
      <x:c r="DB13" s="14"/>
      <x:c r="DC13" s="14"/>
      <x:c r="DD13" s="14"/>
      <x:c r="DE13" s="14"/>
      <x:c r="DF13" s="14"/>
      <x:c r="DG13" s="14"/>
      <x:c r="DH13" s="14"/>
      <x:c r="DI13" s="14"/>
      <x:c r="DJ13" s="14"/>
      <x:c r="DK13" s="14"/>
      <x:c r="DL13" s="14"/>
      <x:c r="DM13" s="14"/>
      <x:c r="DN13" s="14"/>
      <x:c r="DO13" s="14"/>
      <x:c r="DP13" s="14"/>
      <x:c r="DQ13" s="14"/>
      <x:c r="DR13" s="14"/>
      <x:c r="DS13" s="14"/>
      <x:c r="DT13" s="14"/>
      <x:c r="DU13" s="14"/>
      <x:c r="DV13" s="14"/>
      <x:c r="DW13" s="14"/>
      <x:c r="DX13" s="14"/>
      <x:c r="DY13" s="14"/>
      <x:c r="DZ13" s="14"/>
      <x:c r="EA13" s="14"/>
      <x:c r="EB13" s="14"/>
      <x:c r="EC13" s="14"/>
      <x:c r="ED13" s="14"/>
      <x:c r="EE13" s="14"/>
      <x:c r="EF13" s="14"/>
      <x:c r="EG13" s="14"/>
      <x:c r="EH13" s="14"/>
      <x:c r="EI13" s="14"/>
      <x:c r="EJ13" s="14"/>
      <x:c r="EK13" s="14"/>
      <x:c r="EL13" s="14"/>
      <x:c r="EM13" s="14"/>
      <x:c r="EN13" s="14"/>
      <x:c r="EO13" s="14"/>
      <x:c r="EP13" s="14"/>
      <x:c r="EQ13" s="14"/>
      <x:c r="ER13" s="14"/>
      <x:c r="ES13" s="14"/>
      <x:c r="ET13" s="14"/>
      <x:c r="EU13" s="14"/>
      <x:c r="EV13" s="14"/>
      <x:c r="EW13" s="14"/>
      <x:c r="EX13" s="14"/>
      <x:c r="EY13" s="14"/>
      <x:c r="EZ13" s="14"/>
      <x:c r="FA13" s="14"/>
      <x:c r="FB13" s="14"/>
      <x:c r="FC13" s="14"/>
      <x:c r="FD13" s="14"/>
      <x:c r="FE13" s="14"/>
      <x:c r="FF13" s="14"/>
      <x:c r="FG13" s="14"/>
      <x:c r="FH13" s="14"/>
      <x:c r="FI13" s="14"/>
      <x:c r="FJ13" s="14"/>
      <x:c r="FK13" s="14"/>
      <x:c r="FL13" s="14"/>
      <x:c r="FM13" s="14"/>
      <x:c r="FN13" s="14"/>
      <x:c r="FO13" s="14"/>
      <x:c r="FP13" s="14"/>
      <x:c r="FQ13" s="14"/>
      <x:c r="FR13" s="14"/>
      <x:c r="FS13" s="14"/>
      <x:c r="FT13" s="14"/>
      <x:c r="FU13" s="14"/>
      <x:c r="FV13" s="14"/>
      <x:c r="FW13" s="14"/>
      <x:c r="FX13" s="14"/>
      <x:c r="FY13" s="14"/>
      <x:c r="FZ13" s="14"/>
      <x:c r="GA13" s="14"/>
      <x:c r="GB13" s="14"/>
      <x:c r="GC13" s="14"/>
      <x:c r="GD13" s="14"/>
      <x:c r="GE13" s="14"/>
      <x:c r="GF13" s="14"/>
      <x:c r="GG13" s="14"/>
      <x:c r="GH13" s="14"/>
      <x:c r="GI13" s="14"/>
      <x:c r="GJ13" s="14"/>
      <x:c r="GK13" s="14"/>
      <x:c r="GL13" s="14"/>
      <x:c r="GM13" s="14"/>
      <x:c r="GN13" s="14"/>
      <x:c r="GO13" s="14"/>
      <x:c r="GP13" s="14"/>
      <x:c r="GQ13" s="14"/>
      <x:c r="GR13" s="14"/>
      <x:c r="GS13" s="14"/>
      <x:c r="GT13" s="14"/>
      <x:c r="GU13" s="14"/>
      <x:c r="GV13" s="14"/>
      <x:c r="GW13" s="14"/>
      <x:c r="GX13" s="14"/>
      <x:c r="GY13" s="14"/>
      <x:c r="GZ13" s="14"/>
      <x:c r="HA13" s="14"/>
      <x:c r="HB13" s="14"/>
      <x:c r="HC13" s="14"/>
      <x:c r="HD13" s="14"/>
      <x:c r="HE13" s="14"/>
      <x:c r="HF13" s="14"/>
      <x:c r="HG13" s="14"/>
      <x:c r="HH13" s="14"/>
      <x:c r="HI13" s="14"/>
      <x:c r="HJ13" s="14"/>
      <x:c r="HK13" s="14"/>
      <x:c r="HL13" s="14"/>
      <x:c r="HM13" s="14"/>
      <x:c r="HN13" s="14"/>
      <x:c r="HO13" s="14"/>
      <x:c r="HP13" s="14"/>
      <x:c r="HQ13" s="14"/>
      <x:c r="HR13" s="14"/>
      <x:c r="HS13" s="14"/>
      <x:c r="HT13" s="14"/>
      <x:c r="HU13" s="14"/>
      <x:c r="HV13" s="14"/>
      <x:c r="HW13" s="14"/>
      <x:c r="HX13" s="14"/>
      <x:c r="HY13" s="14"/>
      <x:c r="HZ13" s="14"/>
      <x:c r="IA13" s="14"/>
      <x:c r="IB13" s="14"/>
      <x:c r="IC13" s="14"/>
      <x:c r="ID13" s="14"/>
      <x:c r="IE13" s="14"/>
      <x:c r="IF13" s="14"/>
      <x:c r="IG13" s="14"/>
      <x:c r="IH13" s="14"/>
      <x:c r="II13" s="14"/>
      <x:c r="IJ13" s="14"/>
      <x:c r="IK13" s="14"/>
      <x:c r="IL13" s="14"/>
      <x:c r="IM13" s="14"/>
      <x:c r="IN13" s="14"/>
      <x:c r="IO13" s="14"/>
      <x:c r="IP13" s="14"/>
      <x:c r="IQ13" s="14"/>
      <x:c r="IR13" s="14"/>
      <x:c r="IS13" s="14"/>
      <x:c r="IT13" s="14"/>
      <x:c r="IU13" s="14"/>
      <x:c r="IV13" s="14"/>
      <x:c r="IW13" s="14"/>
      <x:c r="IX13" s="14"/>
      <x:c r="IY13" s="14"/>
      <x:c r="IZ13" s="14"/>
      <x:c r="JA13" s="14"/>
      <x:c r="JB13" s="14"/>
      <x:c r="JC13" s="14"/>
      <x:c r="JD13" s="14"/>
      <x:c r="JE13" s="14"/>
      <x:c r="JF13" s="14"/>
      <x:c r="JG13" s="14"/>
      <x:c r="JH13" s="14"/>
      <x:c r="JI13" s="14"/>
      <x:c r="JJ13" s="14"/>
      <x:c r="JK13" s="14"/>
      <x:c r="JL13" s="14"/>
      <x:c r="JM13" s="14"/>
      <x:c r="JN13" s="14"/>
      <x:c r="JO13" s="14"/>
      <x:c r="JP13" s="14"/>
      <x:c r="JQ13" s="14"/>
      <x:c r="JR13" s="14"/>
      <x:c r="JS13" s="14"/>
      <x:c r="JT13" s="14"/>
      <x:c r="JU13" s="14"/>
      <x:c r="JV13" s="14"/>
      <x:c r="JW13" s="14"/>
      <x:c r="JX13" s="14"/>
      <x:c r="JY13" s="14"/>
      <x:c r="JZ13" s="14"/>
      <x:c r="KA13" s="14"/>
      <x:c r="KB13" s="14"/>
      <x:c r="KC13" s="14"/>
      <x:c r="KD13" s="14"/>
      <x:c r="KE13" s="14"/>
      <x:c r="KF13" s="14"/>
      <x:c r="KG13" s="14"/>
      <x:c r="KH13" s="14"/>
      <x:c r="KI13" s="14"/>
      <x:c r="KJ13" s="14"/>
      <x:c r="KK13" s="14"/>
      <x:c r="KL13" s="14"/>
      <x:c r="KM13" s="14"/>
      <x:c r="KN13" s="14"/>
      <x:c r="KO13" s="14"/>
      <x:c r="KP13" s="14"/>
      <x:c r="KQ13" s="14"/>
      <x:c r="KR13" s="14"/>
      <x:c r="KS13" s="14"/>
      <x:c r="KT13" s="14"/>
      <x:c r="KU13" s="14"/>
      <x:c r="KV13" s="14"/>
      <x:c r="KW13" s="14"/>
      <x:c r="KX13" s="14"/>
      <x:c r="KY13" s="14"/>
      <x:c r="KZ13" s="14"/>
      <x:c r="LA13" s="14"/>
      <x:c r="LB13" s="14"/>
      <x:c r="LC13" s="14"/>
      <x:c r="LD13" s="14"/>
      <x:c r="LE13" s="14"/>
      <x:c r="LF13" s="14"/>
      <x:c r="LG13" s="14"/>
      <x:c r="LH13" s="14"/>
      <x:c r="LI13" s="14"/>
      <x:c r="LJ13" s="14"/>
      <x:c r="LK13" s="14"/>
      <x:c r="LL13" s="14"/>
      <x:c r="LM13" s="14"/>
      <x:c r="LN13" s="14"/>
      <x:c r="LO13" s="14"/>
      <x:c r="LP13" s="14"/>
      <x:c r="LQ13" s="14"/>
      <x:c r="LR13" s="14"/>
      <x:c r="LS13" s="14"/>
      <x:c r="LT13" s="14"/>
      <x:c r="LU13" s="14"/>
      <x:c r="LV13" s="14"/>
      <x:c r="LW13" s="14"/>
      <x:c r="LX13" s="14"/>
      <x:c r="LY13" s="14"/>
      <x:c r="LZ13" s="14"/>
      <x:c r="MA13" s="14"/>
      <x:c r="MB13" s="14"/>
      <x:c r="MC13" s="14"/>
      <x:c r="MD13" s="14"/>
      <x:c r="ME13" s="14"/>
      <x:c r="MF13" s="14"/>
      <x:c r="MG13" s="14"/>
      <x:c r="MH13" s="14"/>
      <x:c r="MI13" s="14"/>
      <x:c r="MJ13" s="14"/>
      <x:c r="MK13" s="14"/>
      <x:c r="ML13" s="14"/>
      <x:c r="MM13" s="14"/>
      <x:c r="MN13" s="14"/>
      <x:c r="MO13" s="14"/>
      <x:c r="MP13" s="14"/>
      <x:c r="MQ13" s="14"/>
      <x:c r="MR13" s="14"/>
      <x:c r="MS13" s="14"/>
      <x:c r="MT13" s="14"/>
      <x:c r="MU13" s="14"/>
      <x:c r="MV13" s="14"/>
      <x:c r="MW13" s="14"/>
      <x:c r="MX13" s="14"/>
      <x:c r="MY13" s="14"/>
      <x:c r="MZ13" s="14"/>
      <x:c r="NA13" s="14"/>
      <x:c r="NB13" s="14"/>
      <x:c r="NC13" s="14"/>
      <x:c r="ND13" s="14"/>
      <x:c r="NE13" s="14"/>
      <x:c r="NF13" s="14"/>
      <x:c r="NG13" s="14"/>
      <x:c r="NH13" s="14"/>
      <x:c r="NI13" s="14"/>
      <x:c r="NJ13" s="14"/>
      <x:c r="NK13" s="14"/>
      <x:c r="NL13" s="14"/>
      <x:c r="NM13" s="14"/>
      <x:c r="NN13" s="14"/>
      <x:c r="NO13" s="14"/>
      <x:c r="NP13" s="14"/>
      <x:c r="NQ13" s="14"/>
      <x:c r="NR13" s="14"/>
      <x:c r="NS13" s="14"/>
      <x:c r="NT13" s="14"/>
      <x:c r="NU13" s="14"/>
      <x:c r="NV13" s="14"/>
      <x:c r="NW13" s="14"/>
      <x:c r="NX13" s="14"/>
      <x:c r="NY13" s="14"/>
      <x:c r="NZ13" s="14"/>
      <x:c r="OA13" s="14"/>
      <x:c r="OB13" s="14"/>
      <x:c r="OC13" s="14"/>
      <x:c r="OD13" s="14"/>
      <x:c r="OE13" s="14"/>
      <x:c r="OF13" s="14"/>
      <x:c r="OG13" s="14"/>
      <x:c r="OH13" s="14"/>
      <x:c r="OI13" s="14"/>
      <x:c r="OJ13" s="14"/>
      <x:c r="OK13" s="14"/>
      <x:c r="OL13" s="14"/>
      <x:c r="OM13" s="14"/>
      <x:c r="ON13" s="14"/>
      <x:c r="OO13" s="14"/>
      <x:c r="OP13" s="14"/>
      <x:c r="OQ13" s="14"/>
      <x:c r="OR13" s="14"/>
      <x:c r="OS13" s="14"/>
      <x:c r="OT13" s="14"/>
      <x:c r="OU13" s="14"/>
      <x:c r="OV13" s="14"/>
      <x:c r="OW13" s="14"/>
      <x:c r="OX13" s="14"/>
      <x:c r="OY13" s="14"/>
      <x:c r="OZ13" s="14"/>
      <x:c r="PA13" s="14"/>
      <x:c r="PB13" s="14"/>
      <x:c r="PC13" s="14"/>
      <x:c r="PD13" s="14"/>
      <x:c r="PE13" s="14"/>
      <x:c r="PF13" s="14"/>
      <x:c r="PG13" s="14"/>
      <x:c r="PH13" s="14"/>
      <x:c r="PI13" s="14"/>
      <x:c r="PJ13" s="14"/>
      <x:c r="PK13" s="14"/>
      <x:c r="PL13" s="14"/>
      <x:c r="PM13" s="14"/>
      <x:c r="PN13" s="14"/>
      <x:c r="PO13" s="14"/>
      <x:c r="PP13" s="14"/>
      <x:c r="PQ13" s="14"/>
      <x:c r="PR13" s="14"/>
      <x:c r="PS13" s="14"/>
      <x:c r="PT13" s="14"/>
      <x:c r="PU13" s="14"/>
      <x:c r="PV13" s="14"/>
      <x:c r="PW13" s="14"/>
      <x:c r="PX13" s="14"/>
      <x:c r="PY13" s="14"/>
      <x:c r="PZ13" s="14"/>
      <x:c r="QA13" s="14"/>
      <x:c r="QB13" s="14"/>
      <x:c r="QC13" s="14"/>
      <x:c r="QD13" s="14"/>
      <x:c r="QE13" s="14"/>
      <x:c r="QF13" s="14"/>
      <x:c r="QG13" s="14"/>
      <x:c r="QH13" s="14"/>
      <x:c r="QI13" s="14"/>
      <x:c r="QJ13" s="14"/>
      <x:c r="QK13" s="14"/>
      <x:c r="QL13" s="14"/>
      <x:c r="QM13" s="14"/>
      <x:c r="QN13" s="14"/>
      <x:c r="QO13" s="14"/>
      <x:c r="QP13" s="14"/>
      <x:c r="QQ13" s="14"/>
      <x:c r="QR13" s="14"/>
      <x:c r="QS13" s="14"/>
      <x:c r="QT13" s="14"/>
      <x:c r="QU13" s="14"/>
      <x:c r="QV13" s="14"/>
      <x:c r="QW13" s="14"/>
      <x:c r="QX13" s="14"/>
      <x:c r="QY13" s="14"/>
      <x:c r="QZ13" s="14"/>
      <x:c r="RA13" s="14"/>
      <x:c r="RB13" s="14"/>
      <x:c r="RC13" s="14"/>
      <x:c r="RD13" s="14"/>
      <x:c r="RE13" s="14"/>
      <x:c r="RF13" s="14"/>
      <x:c r="RG13" s="14"/>
      <x:c r="RH13" s="14"/>
      <x:c r="RI13" s="14"/>
      <x:c r="RJ13" s="14"/>
      <x:c r="RK13" s="14"/>
      <x:c r="RL13" s="14"/>
      <x:c r="RM13" s="14"/>
      <x:c r="RN13" s="14"/>
      <x:c r="RO13" s="14"/>
      <x:c r="RP13" s="14"/>
      <x:c r="RQ13" s="14"/>
      <x:c r="RR13" s="14"/>
      <x:c r="RS13" s="14"/>
      <x:c r="RT13" s="14"/>
      <x:c r="RU13" s="14"/>
      <x:c r="RV13" s="14"/>
      <x:c r="RW13" s="14"/>
      <x:c r="RX13" s="14"/>
      <x:c r="RY13" s="14"/>
      <x:c r="RZ13" s="14"/>
      <x:c r="SA13" s="14"/>
      <x:c r="SB13" s="14"/>
      <x:c r="SC13" s="14"/>
      <x:c r="SD13" s="14"/>
      <x:c r="SE13" s="14"/>
      <x:c r="SF13" s="14"/>
      <x:c r="SG13" s="14"/>
      <x:c r="SH13" s="14"/>
      <x:c r="SI13" s="14"/>
      <x:c r="SJ13" s="14"/>
      <x:c r="SK13" s="14"/>
      <x:c r="SL13" s="14"/>
      <x:c r="SM13" s="14"/>
      <x:c r="SN13" s="14"/>
      <x:c r="SO13" s="14"/>
      <x:c r="SP13" s="14"/>
      <x:c r="SQ13" s="14"/>
      <x:c r="SR13" s="14"/>
      <x:c r="SS13" s="14"/>
      <x:c r="ST13" s="14"/>
      <x:c r="SU13" s="14"/>
      <x:c r="SV13" s="14"/>
      <x:c r="SW13" s="14"/>
      <x:c r="SX13" s="14"/>
      <x:c r="SY13" s="14"/>
      <x:c r="SZ13" s="14"/>
      <x:c r="TA13" s="14"/>
      <x:c r="TB13" s="14"/>
      <x:c r="TC13" s="14"/>
      <x:c r="TD13" s="14"/>
      <x:c r="TE13" s="14"/>
      <x:c r="TF13" s="14"/>
      <x:c r="TG13" s="14"/>
      <x:c r="TH13" s="14"/>
    </x:row>
    <x:row r="14" ht="25" customHeight="1">
      <x:c r="A14" s="16" t="str">
        <x:v>劍類1　／　96 筆</x:v>
      </x:c>
      <x:c r="B14" s="16"/>
      <x:c r="C14" s="16"/>
      <x:c r="D14" s="16"/>
      <x:c r="E14" s="14"/>
      <x:c r="F14" s="16" t="str">
        <x:v>刀類1　／　96 筆</x:v>
      </x:c>
      <x:c r="G14" s="16"/>
      <x:c r="H14" s="16"/>
      <x:c r="I14" s="16"/>
      <x:c r="J14" s="14"/>
      <x:c r="K14" s="16" t="str">
        <x:v>暗器類1　／　96 筆</x:v>
      </x:c>
      <x:c r="L14" s="16"/>
      <x:c r="M14" s="16"/>
      <x:c r="N14" s="16"/>
      <x:c r="O14" s="14"/>
      <x:c r="P14" s="16" t="str">
        <x:v>拂塵類1　／　96 筆</x:v>
      </x:c>
      <x:c r="Q14" s="16"/>
      <x:c r="R14" s="16"/>
      <x:c r="S14" s="16"/>
      <x:c r="T14" s="14"/>
      <x:c r="U14" s="16" t="str">
        <x:v>杖類1　／　96 筆</x:v>
      </x:c>
      <x:c r="V14" s="16"/>
      <x:c r="W14" s="16"/>
      <x:c r="X14" s="16"/>
      <x:c r="Y14" s="14"/>
      <x:c r="Z14" s="16" t="str">
        <x:v>槍類1　／　96 筆</x:v>
      </x:c>
      <x:c r="AA14" s="16"/>
      <x:c r="AB14" s="16"/>
      <x:c r="AC14" s="16"/>
      <x:c r="AD14" s="14"/>
      <x:c r="AE14" s="16" t="str">
        <x:v>棍類1　／　96 筆</x:v>
      </x:c>
      <x:c r="AF14" s="16"/>
      <x:c r="AG14" s="16"/>
      <x:c r="AH14" s="16"/>
      <x:c r="AI14" s="14"/>
      <x:c r="AJ14" s="16" t="str">
        <x:v>錘類1　／　96 筆</x:v>
      </x:c>
      <x:c r="AK14" s="16"/>
      <x:c r="AL14" s="16"/>
      <x:c r="AM14" s="16"/>
      <x:c r="AN14" s="14"/>
      <x:c r="AO14" s="16" t="str">
        <x:v>斧類1　／　96 筆</x:v>
      </x:c>
      <x:c r="AP14" s="16"/>
      <x:c r="AQ14" s="16"/>
      <x:c r="AR14" s="16"/>
      <x:c r="AS14" s="14"/>
      <x:c r="AT14" s="16" t="str">
        <x:v>盾類1　／　96 筆</x:v>
      </x:c>
      <x:c r="AU14" s="16"/>
      <x:c r="AV14" s="16"/>
      <x:c r="AW14" s="16"/>
      <x:c r="AX14" s="14"/>
      <x:c r="AY14" s="16" t="str">
        <x:v>帽子類1　／　96 筆</x:v>
      </x:c>
      <x:c r="AZ14" s="16"/>
      <x:c r="BA14" s="16"/>
      <x:c r="BB14" s="16"/>
      <x:c r="BC14" s="14"/>
      <x:c r="BD14" s="16" t="str">
        <x:v>衣服類1　／　96 筆</x:v>
      </x:c>
      <x:c r="BE14" s="16"/>
      <x:c r="BF14" s="16"/>
      <x:c r="BG14" s="16"/>
      <x:c r="BH14" s="14"/>
      <x:c r="BI14" s="16" t="str">
        <x:v>護腕類1　／　96 筆</x:v>
      </x:c>
      <x:c r="BJ14" s="16"/>
      <x:c r="BK14" s="16"/>
      <x:c r="BL14" s="16"/>
      <x:c r="BM14" s="14"/>
      <x:c r="BN14" s="16" t="str">
        <x:v>鞋子類1　／　96 筆</x:v>
      </x:c>
      <x:c r="BO14" s="16"/>
      <x:c r="BP14" s="16"/>
      <x:c r="BQ14" s="16"/>
      <x:c r="BR14" s="14"/>
      <x:c r="BS14" s="16" t="str">
        <x:v>飾品類1　／　96 筆</x:v>
      </x:c>
      <x:c r="BT14" s="16"/>
      <x:c r="BU14" s="16"/>
      <x:c r="BV14" s="16"/>
      <x:c r="BW14" s="14"/>
      <x:c r="BX14" s="16" t="str">
        <x:v>仙器類1　／　86 筆</x:v>
      </x:c>
      <x:c r="BY14" s="16"/>
      <x:c r="BZ14" s="16"/>
      <x:c r="CA14" s="16"/>
      <x:c r="CB14" s="14"/>
      <x:c r="CC14" s="14"/>
      <x:c r="CD14" s="14"/>
      <x:c r="CE14" s="14"/>
      <x:c r="CF14" s="14"/>
      <x:c r="CG14" s="14"/>
      <x:c r="CH14" s="14"/>
      <x:c r="CI14" s="14"/>
      <x:c r="CJ14" s="14"/>
      <x:c r="CK14" s="14"/>
      <x:c r="CL14" s="14"/>
      <x:c r="CM14" s="14"/>
      <x:c r="CN14" s="14"/>
      <x:c r="CO14" s="14"/>
      <x:c r="CP14" s="14"/>
      <x:c r="CQ14" s="14"/>
      <x:c r="CR14" s="14"/>
      <x:c r="CS14" s="14"/>
      <x:c r="CT14" s="14"/>
      <x:c r="CU14" s="14"/>
      <x:c r="CV14" s="14"/>
      <x:c r="CW14" s="14"/>
      <x:c r="CX14" s="14"/>
      <x:c r="CY14" s="14"/>
      <x:c r="CZ14" s="14"/>
      <x:c r="DA14" s="14"/>
      <x:c r="DB14" s="14"/>
      <x:c r="DC14" s="14"/>
      <x:c r="DD14" s="14"/>
      <x:c r="DE14" s="14"/>
      <x:c r="DF14" s="14"/>
      <x:c r="DG14" s="14"/>
      <x:c r="DH14" s="14"/>
      <x:c r="DI14" s="14"/>
      <x:c r="DJ14" s="14"/>
      <x:c r="DK14" s="14"/>
      <x:c r="DL14" s="14"/>
      <x:c r="DM14" s="14"/>
      <x:c r="DN14" s="14"/>
      <x:c r="DO14" s="14"/>
      <x:c r="DP14" s="14"/>
      <x:c r="DQ14" s="14"/>
      <x:c r="DR14" s="14"/>
      <x:c r="DS14" s="14"/>
      <x:c r="DT14" s="14"/>
      <x:c r="DU14" s="14"/>
      <x:c r="DV14" s="14"/>
      <x:c r="DW14" s="14"/>
      <x:c r="DX14" s="14"/>
      <x:c r="DY14" s="14"/>
      <x:c r="DZ14" s="14"/>
      <x:c r="EA14" s="14"/>
      <x:c r="EB14" s="14"/>
      <x:c r="EC14" s="14"/>
      <x:c r="ED14" s="14"/>
      <x:c r="EE14" s="14"/>
      <x:c r="EF14" s="14"/>
      <x:c r="EG14" s="14"/>
      <x:c r="EH14" s="14"/>
      <x:c r="EI14" s="14"/>
      <x:c r="EJ14" s="14"/>
      <x:c r="EK14" s="14"/>
      <x:c r="EL14" s="14"/>
      <x:c r="EM14" s="14"/>
      <x:c r="EN14" s="14"/>
      <x:c r="EO14" s="14"/>
      <x:c r="EP14" s="14"/>
      <x:c r="EQ14" s="14"/>
      <x:c r="ER14" s="14"/>
      <x:c r="ES14" s="14"/>
      <x:c r="ET14" s="14"/>
      <x:c r="EU14" s="14"/>
      <x:c r="EV14" s="14"/>
      <x:c r="EW14" s="14"/>
      <x:c r="EX14" s="14"/>
      <x:c r="EY14" s="14"/>
      <x:c r="EZ14" s="14"/>
      <x:c r="FA14" s="14"/>
      <x:c r="FB14" s="14"/>
      <x:c r="FC14" s="14"/>
      <x:c r="FD14" s="14"/>
      <x:c r="FE14" s="14"/>
      <x:c r="FF14" s="14"/>
      <x:c r="FG14" s="14"/>
      <x:c r="FH14" s="14"/>
      <x:c r="FI14" s="14"/>
      <x:c r="FJ14" s="14"/>
      <x:c r="FK14" s="14"/>
      <x:c r="FL14" s="14"/>
      <x:c r="FM14" s="14"/>
      <x:c r="FN14" s="14"/>
      <x:c r="FO14" s="14"/>
      <x:c r="FP14" s="14"/>
      <x:c r="FQ14" s="14"/>
      <x:c r="FR14" s="14"/>
      <x:c r="FS14" s="14"/>
      <x:c r="FT14" s="14"/>
      <x:c r="FU14" s="14"/>
      <x:c r="FV14" s="14"/>
      <x:c r="FW14" s="14"/>
      <x:c r="FX14" s="14"/>
      <x:c r="FY14" s="14"/>
      <x:c r="FZ14" s="14"/>
      <x:c r="GA14" s="14"/>
      <x:c r="GB14" s="14"/>
      <x:c r="GC14" s="14"/>
      <x:c r="GD14" s="14"/>
      <x:c r="GE14" s="14"/>
      <x:c r="GF14" s="14"/>
      <x:c r="GG14" s="14"/>
      <x:c r="GH14" s="14"/>
      <x:c r="GI14" s="14"/>
      <x:c r="GJ14" s="14"/>
      <x:c r="GK14" s="14"/>
      <x:c r="GL14" s="14"/>
      <x:c r="GM14" s="14"/>
      <x:c r="GN14" s="14"/>
      <x:c r="GO14" s="14"/>
      <x:c r="GP14" s="14"/>
      <x:c r="GQ14" s="14"/>
      <x:c r="GR14" s="14"/>
      <x:c r="GS14" s="14"/>
      <x:c r="GT14" s="14"/>
      <x:c r="GU14" s="14"/>
      <x:c r="GV14" s="14"/>
      <x:c r="GW14" s="14"/>
      <x:c r="GX14" s="14"/>
      <x:c r="GY14" s="14"/>
      <x:c r="GZ14" s="14"/>
      <x:c r="HA14" s="14"/>
      <x:c r="HB14" s="14"/>
      <x:c r="HC14" s="14"/>
      <x:c r="HD14" s="14"/>
      <x:c r="HE14" s="14"/>
      <x:c r="HF14" s="14"/>
      <x:c r="HG14" s="14"/>
      <x:c r="HH14" s="14"/>
      <x:c r="HI14" s="14"/>
      <x:c r="HJ14" s="14"/>
      <x:c r="HK14" s="14"/>
      <x:c r="HL14" s="14"/>
      <x:c r="HM14" s="14"/>
      <x:c r="HN14" s="14"/>
      <x:c r="HO14" s="14"/>
      <x:c r="HP14" s="14"/>
      <x:c r="HQ14" s="14"/>
      <x:c r="HR14" s="14"/>
      <x:c r="HS14" s="14"/>
      <x:c r="HT14" s="14"/>
      <x:c r="HU14" s="14"/>
      <x:c r="HV14" s="14"/>
      <x:c r="HW14" s="14"/>
      <x:c r="HX14" s="14"/>
      <x:c r="HY14" s="14"/>
      <x:c r="HZ14" s="14"/>
      <x:c r="IA14" s="14"/>
      <x:c r="IB14" s="14"/>
      <x:c r="IC14" s="14"/>
      <x:c r="ID14" s="14"/>
      <x:c r="IE14" s="14"/>
      <x:c r="IF14" s="14"/>
      <x:c r="IG14" s="14"/>
      <x:c r="IH14" s="14"/>
      <x:c r="II14" s="14"/>
      <x:c r="IJ14" s="14"/>
      <x:c r="IK14" s="14"/>
      <x:c r="IL14" s="14"/>
      <x:c r="IM14" s="14"/>
      <x:c r="IN14" s="14"/>
      <x:c r="IO14" s="14"/>
      <x:c r="IP14" s="14"/>
      <x:c r="IQ14" s="14"/>
      <x:c r="IR14" s="14"/>
      <x:c r="IS14" s="14"/>
      <x:c r="IT14" s="14"/>
      <x:c r="IU14" s="14"/>
      <x:c r="IV14" s="14"/>
      <x:c r="IW14" s="14"/>
      <x:c r="IX14" s="14"/>
      <x:c r="IY14" s="14"/>
      <x:c r="IZ14" s="14"/>
      <x:c r="JA14" s="14"/>
      <x:c r="JB14" s="14"/>
      <x:c r="JC14" s="14"/>
      <x:c r="JD14" s="14"/>
      <x:c r="JE14" s="14"/>
      <x:c r="JF14" s="14"/>
      <x:c r="JG14" s="14"/>
      <x:c r="JH14" s="14"/>
      <x:c r="JI14" s="14"/>
      <x:c r="JJ14" s="14"/>
      <x:c r="JK14" s="14"/>
      <x:c r="JL14" s="14"/>
      <x:c r="JM14" s="14"/>
      <x:c r="JN14" s="14"/>
      <x:c r="JO14" s="14"/>
      <x:c r="JP14" s="14"/>
      <x:c r="JQ14" s="14"/>
      <x:c r="JR14" s="14"/>
      <x:c r="JS14" s="14"/>
      <x:c r="JT14" s="14"/>
      <x:c r="JU14" s="14"/>
      <x:c r="JV14" s="14"/>
      <x:c r="JW14" s="14"/>
      <x:c r="JX14" s="14"/>
      <x:c r="JY14" s="14"/>
      <x:c r="JZ14" s="14"/>
      <x:c r="KA14" s="14"/>
      <x:c r="KB14" s="14"/>
      <x:c r="KC14" s="14"/>
      <x:c r="KD14" s="14"/>
      <x:c r="KE14" s="14"/>
      <x:c r="KF14" s="14"/>
      <x:c r="KG14" s="14"/>
      <x:c r="KH14" s="14"/>
      <x:c r="KI14" s="14"/>
      <x:c r="KJ14" s="14"/>
      <x:c r="KK14" s="14"/>
      <x:c r="KL14" s="14"/>
      <x:c r="KM14" s="14"/>
      <x:c r="KN14" s="14"/>
      <x:c r="KO14" s="14"/>
      <x:c r="KP14" s="14"/>
      <x:c r="KQ14" s="14"/>
      <x:c r="KR14" s="14"/>
      <x:c r="KS14" s="14"/>
      <x:c r="KT14" s="14"/>
      <x:c r="KU14" s="14"/>
      <x:c r="KV14" s="14"/>
      <x:c r="KW14" s="14"/>
      <x:c r="KX14" s="14"/>
      <x:c r="KY14" s="14"/>
      <x:c r="KZ14" s="14"/>
      <x:c r="LA14" s="14"/>
      <x:c r="LB14" s="14"/>
      <x:c r="LC14" s="14"/>
      <x:c r="LD14" s="14"/>
      <x:c r="LE14" s="14"/>
      <x:c r="LF14" s="14"/>
      <x:c r="LG14" s="14"/>
      <x:c r="LH14" s="14"/>
      <x:c r="LI14" s="14"/>
      <x:c r="LJ14" s="14"/>
      <x:c r="LK14" s="14"/>
      <x:c r="LL14" s="14"/>
      <x:c r="LM14" s="14"/>
      <x:c r="LN14" s="14"/>
      <x:c r="LO14" s="14"/>
      <x:c r="LP14" s="14"/>
      <x:c r="LQ14" s="14"/>
      <x:c r="LR14" s="14"/>
      <x:c r="LS14" s="14"/>
      <x:c r="LT14" s="14"/>
      <x:c r="LU14" s="14"/>
      <x:c r="LV14" s="14"/>
      <x:c r="LW14" s="14"/>
      <x:c r="LX14" s="14"/>
      <x:c r="LY14" s="14"/>
      <x:c r="LZ14" s="14"/>
      <x:c r="MA14" s="14"/>
      <x:c r="MB14" s="14"/>
      <x:c r="MC14" s="14"/>
      <x:c r="MD14" s="14"/>
      <x:c r="ME14" s="14"/>
      <x:c r="MF14" s="14"/>
      <x:c r="MG14" s="14"/>
      <x:c r="MH14" s="14"/>
      <x:c r="MI14" s="14"/>
      <x:c r="MJ14" s="14"/>
      <x:c r="MK14" s="14"/>
      <x:c r="ML14" s="14"/>
      <x:c r="MM14" s="14"/>
      <x:c r="MN14" s="14"/>
      <x:c r="MO14" s="14"/>
      <x:c r="MP14" s="14"/>
      <x:c r="MQ14" s="14"/>
      <x:c r="MR14" s="14"/>
      <x:c r="MS14" s="14"/>
      <x:c r="MT14" s="14"/>
      <x:c r="MU14" s="14"/>
      <x:c r="MV14" s="14"/>
      <x:c r="MW14" s="14"/>
      <x:c r="MX14" s="14"/>
      <x:c r="MY14" s="14"/>
      <x:c r="MZ14" s="14"/>
      <x:c r="NA14" s="14"/>
      <x:c r="NB14" s="14"/>
      <x:c r="NC14" s="14"/>
      <x:c r="ND14" s="14"/>
      <x:c r="NE14" s="14"/>
      <x:c r="NF14" s="14"/>
      <x:c r="NG14" s="14"/>
      <x:c r="NH14" s="14"/>
      <x:c r="NI14" s="14"/>
      <x:c r="NJ14" s="14"/>
      <x:c r="NK14" s="14"/>
      <x:c r="NL14" s="14"/>
      <x:c r="NM14" s="14"/>
      <x:c r="NN14" s="14"/>
      <x:c r="NO14" s="14"/>
      <x:c r="NP14" s="14"/>
      <x:c r="NQ14" s="14"/>
      <x:c r="NR14" s="14"/>
      <x:c r="NS14" s="14"/>
      <x:c r="NT14" s="14"/>
      <x:c r="NU14" s="14"/>
      <x:c r="NV14" s="14"/>
      <x:c r="NW14" s="14"/>
      <x:c r="NX14" s="14"/>
      <x:c r="NY14" s="14"/>
      <x:c r="NZ14" s="14"/>
      <x:c r="OA14" s="14"/>
      <x:c r="OB14" s="14"/>
      <x:c r="OC14" s="14"/>
      <x:c r="OD14" s="14"/>
      <x:c r="OE14" s="14"/>
      <x:c r="OF14" s="14"/>
      <x:c r="OG14" s="14"/>
      <x:c r="OH14" s="14"/>
      <x:c r="OI14" s="14"/>
      <x:c r="OJ14" s="14"/>
      <x:c r="OK14" s="14"/>
      <x:c r="OL14" s="14"/>
      <x:c r="OM14" s="14"/>
      <x:c r="ON14" s="14"/>
      <x:c r="OO14" s="14"/>
      <x:c r="OP14" s="14"/>
      <x:c r="OQ14" s="14"/>
      <x:c r="OR14" s="14"/>
      <x:c r="OS14" s="14"/>
      <x:c r="OT14" s="14"/>
      <x:c r="OU14" s="14"/>
      <x:c r="OV14" s="14"/>
      <x:c r="OW14" s="14"/>
      <x:c r="OX14" s="14"/>
      <x:c r="OY14" s="14"/>
      <x:c r="OZ14" s="14"/>
      <x:c r="PA14" s="14"/>
      <x:c r="PB14" s="14"/>
      <x:c r="PC14" s="14"/>
      <x:c r="PD14" s="14"/>
      <x:c r="PE14" s="14"/>
      <x:c r="PF14" s="14"/>
      <x:c r="PG14" s="14"/>
      <x:c r="PH14" s="14"/>
      <x:c r="PI14" s="14"/>
      <x:c r="PJ14" s="14"/>
      <x:c r="PK14" s="14"/>
      <x:c r="PL14" s="14"/>
      <x:c r="PM14" s="14"/>
      <x:c r="PN14" s="14"/>
      <x:c r="PO14" s="14"/>
      <x:c r="PP14" s="14"/>
      <x:c r="PQ14" s="14"/>
      <x:c r="PR14" s="14"/>
      <x:c r="PS14" s="14"/>
      <x:c r="PT14" s="14"/>
      <x:c r="PU14" s="14"/>
      <x:c r="PV14" s="14"/>
      <x:c r="PW14" s="14"/>
      <x:c r="PX14" s="14"/>
      <x:c r="PY14" s="14"/>
      <x:c r="PZ14" s="14"/>
      <x:c r="QA14" s="14"/>
      <x:c r="QB14" s="14"/>
      <x:c r="QC14" s="14"/>
      <x:c r="QD14" s="14"/>
      <x:c r="QE14" s="14"/>
      <x:c r="QF14" s="14"/>
      <x:c r="QG14" s="14"/>
      <x:c r="QH14" s="14"/>
      <x:c r="QI14" s="14"/>
      <x:c r="QJ14" s="14"/>
      <x:c r="QK14" s="14"/>
      <x:c r="QL14" s="14"/>
      <x:c r="QM14" s="14"/>
      <x:c r="QN14" s="14"/>
      <x:c r="QO14" s="14"/>
      <x:c r="QP14" s="14"/>
      <x:c r="QQ14" s="14"/>
      <x:c r="QR14" s="14"/>
      <x:c r="QS14" s="14"/>
      <x:c r="QT14" s="14"/>
      <x:c r="QU14" s="14"/>
      <x:c r="QV14" s="14"/>
      <x:c r="QW14" s="14"/>
      <x:c r="QX14" s="14"/>
      <x:c r="QY14" s="14"/>
      <x:c r="QZ14" s="14"/>
      <x:c r="RA14" s="14"/>
      <x:c r="RB14" s="14"/>
      <x:c r="RC14" s="14"/>
      <x:c r="RD14" s="14"/>
      <x:c r="RE14" s="14"/>
      <x:c r="RF14" s="14"/>
      <x:c r="RG14" s="14"/>
      <x:c r="RH14" s="14"/>
      <x:c r="RI14" s="14"/>
      <x:c r="RJ14" s="14"/>
      <x:c r="RK14" s="14"/>
      <x:c r="RL14" s="14"/>
      <x:c r="RM14" s="14"/>
      <x:c r="RN14" s="14"/>
      <x:c r="RO14" s="14"/>
      <x:c r="RP14" s="14"/>
      <x:c r="RQ14" s="14"/>
      <x:c r="RR14" s="14"/>
      <x:c r="RS14" s="14"/>
      <x:c r="RT14" s="14"/>
      <x:c r="RU14" s="14"/>
      <x:c r="RV14" s="14"/>
      <x:c r="RW14" s="14"/>
      <x:c r="RX14" s="14"/>
      <x:c r="RY14" s="14"/>
      <x:c r="RZ14" s="14"/>
      <x:c r="SA14" s="14"/>
      <x:c r="SB14" s="14"/>
      <x:c r="SC14" s="14"/>
      <x:c r="SD14" s="14"/>
      <x:c r="SE14" s="14"/>
      <x:c r="SF14" s="14"/>
      <x:c r="SG14" s="14"/>
      <x:c r="SH14" s="14"/>
      <x:c r="SI14" s="14"/>
      <x:c r="SJ14" s="14"/>
      <x:c r="SK14" s="14"/>
      <x:c r="SL14" s="14"/>
      <x:c r="SM14" s="14"/>
      <x:c r="SN14" s="14"/>
      <x:c r="SO14" s="14"/>
      <x:c r="SP14" s="14"/>
      <x:c r="SQ14" s="14"/>
      <x:c r="SR14" s="14"/>
      <x:c r="SS14" s="14"/>
      <x:c r="ST14" s="14"/>
      <x:c r="SU14" s="14"/>
      <x:c r="SV14" s="14"/>
      <x:c r="SW14" s="14"/>
      <x:c r="SX14" s="14"/>
      <x:c r="SY14" s="14"/>
      <x:c r="SZ14" s="14"/>
      <x:c r="TA14" s="14"/>
      <x:c r="TB14" s="14"/>
      <x:c r="TC14" s="14"/>
      <x:c r="TD14" s="14"/>
      <x:c r="TE14" s="14"/>
      <x:c r="TF14" s="14"/>
      <x:c r="TG14" s="14"/>
      <x:c r="TH14" s="14"/>
    </x:row>
    <x:row r="15" ht="15" customHeight="1">
      <x:c r="A15" s="17" t="str">
        <x:v>短劍</x:v>
      </x:c>
      <x:c r="B15" s="17" t="str">
        <x:v>毒匕首</x:v>
      </x:c>
      <x:c r="C15" s="17" t="str">
        <x:v>烈毒匕首</x:v>
      </x:c>
      <x:c r="D15" s="17" t="str">
        <x:v>劇毒匕首</x:v>
      </x:c>
      <x:c r="E15" s="14"/>
      <x:c r="F15" s="17" t="str">
        <x:v>短刀</x:v>
      </x:c>
      <x:c r="G15" s="17" t="str">
        <x:v>殺豬短刀</x:v>
      </x:c>
      <x:c r="H15" s="17" t="str">
        <x:v>大刀</x:v>
      </x:c>
      <x:c r="I15" s="17" t="str">
        <x:v>斬妖刀</x:v>
      </x:c>
      <x:c r="J15" s="14"/>
      <x:c r="K15" s="17" t="str">
        <x:v>旋月刃</x:v>
      </x:c>
      <x:c r="L15" s="17" t="str">
        <x:v>月牙刃</x:v>
      </x:c>
      <x:c r="M15" s="17" t="str">
        <x:v>彈指神通</x:v>
      </x:c>
      <x:c r="N15" s="17" t="str">
        <x:v>絕世彈指神通</x:v>
      </x:c>
      <x:c r="O15" s="14"/>
      <x:c r="P15" s="17" t="str">
        <x:v>拂塵</x:v>
      </x:c>
      <x:c r="Q15" s="17" t="str">
        <x:v>紫霞拂塵</x:v>
      </x:c>
      <x:c r="R15" s="17" t="str">
        <x:v>仙靈拂塵</x:v>
      </x:c>
      <x:c r="S15" s="17" t="str">
        <x:v>寒冰拂塵</x:v>
      </x:c>
      <x:c r="T15" s="14"/>
      <x:c r="U15" s="17" t="str">
        <x:v>禪杖</x:v>
      </x:c>
      <x:c r="V15" s="17" t="str">
        <x:v>護法禪杖</x:v>
      </x:c>
      <x:c r="W15" s="17" t="str">
        <x:v>羅漢法杖</x:v>
      </x:c>
      <x:c r="X15" s="17" t="str">
        <x:v>鎮邪法杖</x:v>
      </x:c>
      <x:c r="Y15" s="14"/>
      <x:c r="Z15" s="17" t="str">
        <x:v>長槍</x:v>
      </x:c>
      <x:c r="AA15" s="17" t="str">
        <x:v>蛇矛</x:v>
      </x:c>
      <x:c r="AB15" s="17" t="str">
        <x:v>精鋼蛇矛</x:v>
      </x:c>
      <x:c r="AC15" s="17" t="str">
        <x:v>長戟</x:v>
      </x:c>
      <x:c r="AD15" s="14"/>
      <x:c r="AE15" s="17" t="str">
        <x:v>齊眉棍</x:v>
      </x:c>
      <x:c r="AF15" s="17" t="str">
        <x:v>打狗棒</x:v>
      </x:c>
      <x:c r="AG15" s="17" t="str">
        <x:v>靈木棍</x:v>
      </x:c>
      <x:c r="AH15" s="17" t="str">
        <x:v>渾鐵棍</x:v>
      </x:c>
      <x:c r="AI15" s="14"/>
      <x:c r="AJ15" s="17" t="str">
        <x:v>圓鐵錘</x:v>
      </x:c>
      <x:c r="AK15" s="17" t="str">
        <x:v>破岩錘</x:v>
      </x:c>
      <x:c r="AL15" s="17" t="str">
        <x:v>蒜頭錘</x:v>
      </x:c>
      <x:c r="AM15" s="17" t="str">
        <x:v>精鋼錘</x:v>
      </x:c>
      <x:c r="AN15" s="14"/>
      <x:c r="AO15" s="17" t="str">
        <x:v>手斧</x:v>
      </x:c>
      <x:c r="AP15" s="17" t="str">
        <x:v>滅魔斧</x:v>
      </x:c>
      <x:c r="AQ15" s="17" t="str">
        <x:v>大斧</x:v>
      </x:c>
      <x:c r="AR15" s="17" t="str">
        <x:v>精鋼斧</x:v>
      </x:c>
      <x:c r="AS15" s="14"/>
      <x:c r="AT15" s="17" t="str">
        <x:v>圓盾</x:v>
      </x:c>
      <x:c r="AU15" s="17" t="str">
        <x:v>藤盾</x:v>
      </x:c>
      <x:c r="AV15" s="17" t="str">
        <x:v>燕尾盾</x:v>
      </x:c>
      <x:c r="AW15" s="17" t="str">
        <x:v>長牌盾</x:v>
      </x:c>
      <x:c r="AX15" s="14"/>
      <x:c r="AY15" s="17" t="str">
        <x:v>道冠</x:v>
      </x:c>
      <x:c r="AZ15" s="17" t="str">
        <x:v>僧帽</x:v>
      </x:c>
      <x:c r="BA15" s="17" t="str">
        <x:v>頭箍</x:v>
      </x:c>
      <x:c r="BB15" s="17" t="str">
        <x:v>皮帽</x:v>
      </x:c>
      <x:c r="BC15" s="14"/>
      <x:c r="BD15" s="17" t="str">
        <x:v>道袍</x:v>
      </x:c>
      <x:c r="BE15" s="17" t="str">
        <x:v>僧衣</x:v>
      </x:c>
      <x:c r="BF15" s="17" t="str">
        <x:v>粗製皮衣</x:v>
      </x:c>
      <x:c r="BG15" s="17" t="str">
        <x:v>絹甲</x:v>
      </x:c>
      <x:c r="BH15" s="14"/>
      <x:c r="BI15" s="17" t="str">
        <x:v>纏布綁手</x:v>
      </x:c>
      <x:c r="BJ15" s="17" t="str">
        <x:v>麻護腕</x:v>
      </x:c>
      <x:c r="BK15" s="17" t="str">
        <x:v>布護腕</x:v>
      </x:c>
      <x:c r="BL15" s="17" t="str">
        <x:v>絹甲護腕</x:v>
      </x:c>
      <x:c r="BM15" s="14"/>
      <x:c r="BN15" s="17" t="str">
        <x:v>麻鞋</x:v>
      </x:c>
      <x:c r="BO15" s="17" t="str">
        <x:v>布鞋</x:v>
      </x:c>
      <x:c r="BP15" s="17" t="str">
        <x:v>布靴</x:v>
      </x:c>
      <x:c r="BQ15" s="17" t="str">
        <x:v>皮靴</x:v>
      </x:c>
      <x:c r="BR15" s="14"/>
      <x:c r="BS15" s="17" t="str">
        <x:v>護身符</x:v>
      </x:c>
      <x:c r="BT15" s="17" t="str">
        <x:v>佛珠</x:v>
      </x:c>
      <x:c r="BU15" s="17" t="str">
        <x:v>翡翠玉鐲</x:v>
      </x:c>
      <x:c r="BV15" s="17" t="str">
        <x:v>翡翠玉珮</x:v>
      </x:c>
      <x:c r="BW15" s="14"/>
      <x:c r="BX15" s="17" t="str">
        <x:v>玄武仙鎖</x:v>
      </x:c>
      <x:c r="BY15" s="17" t="str">
        <x:v>白虎仙鎖</x:v>
      </x:c>
      <x:c r="BZ15" s="17" t="str">
        <x:v>青龍仙鎖</x:v>
      </x:c>
      <x:c r="CA15" s="17" t="str">
        <x:v>朱雀仙鎖</x:v>
      </x:c>
      <x:c r="CB15" s="14"/>
      <x:c r="CC15" s="14" t="str">
        <x:v>20039</x:v>
      </x:c>
      <x:c r="CD15" s="14" t="n">
        <x:v>1</x:v>
      </x:c>
      <x:c r="CE15" s="14" t="n">
        <x:v>1</x:v>
      </x:c>
      <x:c r="CF15" s="14" t="n">
        <x:v>1</x:v>
      </x:c>
      <x:c r="CG15" s="14" t="n">
        <x:v>1</x:v>
      </x:c>
      <x:c r="CH15" s="14" t="n">
        <x:v>1</x:v>
      </x:c>
      <x:c r="CI15" s="14" t="str">
        <x:v>未收錄</x:v>
      </x:c>
      <x:c r="CJ15" s="14" t="str">
        <x:v>20469</x:v>
      </x:c>
      <x:c r="CK15" s="14" t="n">
        <x:v>1</x:v>
      </x:c>
      <x:c r="CL15" s="14" t="n">
        <x:v>2</x:v>
      </x:c>
      <x:c r="CM15" s="14" t="n">
        <x:v>2</x:v>
      </x:c>
      <x:c r="CN15" s="14" t="n">
        <x:v>1</x:v>
      </x:c>
      <x:c r="CO15" s="14" t="n">
        <x:v>2</x:v>
      </x:c>
      <x:c r="CP15" s="14" t="str">
        <x:v>未收錄</x:v>
      </x:c>
      <x:c r="CQ15" s="14" t="str">
        <x:v>20470</x:v>
      </x:c>
      <x:c r="CR15" s="14" t="n">
        <x:v>1</x:v>
      </x:c>
      <x:c r="CS15" s="14" t="n">
        <x:v>3</x:v>
      </x:c>
      <x:c r="CT15" s="14" t="n">
        <x:v>3</x:v>
      </x:c>
      <x:c r="CU15" s="14" t="n">
        <x:v>1</x:v>
      </x:c>
      <x:c r="CV15" s="14" t="n">
        <x:v>3</x:v>
      </x:c>
      <x:c r="CW15" s="14" t="str">
        <x:v>未收錄</x:v>
      </x:c>
      <x:c r="CX15" s="14" t="str">
        <x:v>20471</x:v>
      </x:c>
      <x:c r="CY15" s="14" t="n">
        <x:v>1</x:v>
      </x:c>
      <x:c r="CZ15" s="14" t="n">
        <x:v>4</x:v>
      </x:c>
      <x:c r="DA15" s="14" t="n">
        <x:v>4</x:v>
      </x:c>
      <x:c r="DB15" s="14" t="n">
        <x:v>1</x:v>
      </x:c>
      <x:c r="DC15" s="14" t="n">
        <x:v>4</x:v>
      </x:c>
      <x:c r="DD15" s="14" t="str">
        <x:v>未收錄</x:v>
      </x:c>
      <x:c r="DE15" s="14" t="str">
        <x:v>20043</x:v>
      </x:c>
      <x:c r="DF15" s="14" t="n">
        <x:v>1</x:v>
      </x:c>
      <x:c r="DG15" s="14" t="n">
        <x:v>246</x:v>
      </x:c>
      <x:c r="DH15" s="14" t="n">
        <x:v>1</x:v>
      </x:c>
      <x:c r="DI15" s="14" t="n">
        <x:v>1</x:v>
      </x:c>
      <x:c r="DJ15" s="14" t="n">
        <x:v>1</x:v>
      </x:c>
      <x:c r="DK15" s="14" t="str">
        <x:v>未收錄</x:v>
      </x:c>
      <x:c r="DL15" s="14" t="str">
        <x:v>20460</x:v>
      </x:c>
      <x:c r="DM15" s="14" t="n">
        <x:v>1</x:v>
      </x:c>
      <x:c r="DN15" s="14" t="n">
        <x:v>247</x:v>
      </x:c>
      <x:c r="DO15" s="14" t="n">
        <x:v>2</x:v>
      </x:c>
      <x:c r="DP15" s="14" t="n">
        <x:v>1</x:v>
      </x:c>
      <x:c r="DQ15" s="14" t="n">
        <x:v>2</x:v>
      </x:c>
      <x:c r="DR15" s="14" t="str">
        <x:v>未收錄</x:v>
      </x:c>
      <x:c r="DS15" s="14" t="str">
        <x:v>20044</x:v>
      </x:c>
      <x:c r="DT15" s="14" t="n">
        <x:v>1</x:v>
      </x:c>
      <x:c r="DU15" s="14" t="n">
        <x:v>248</x:v>
      </x:c>
      <x:c r="DV15" s="14" t="n">
        <x:v>3</x:v>
      </x:c>
      <x:c r="DW15" s="14" t="n">
        <x:v>1</x:v>
      </x:c>
      <x:c r="DX15" s="14" t="n">
        <x:v>3</x:v>
      </x:c>
      <x:c r="DY15" s="14" t="str">
        <x:v>未收錄</x:v>
      </x:c>
      <x:c r="DZ15" s="14" t="str">
        <x:v>20383</x:v>
      </x:c>
      <x:c r="EA15" s="14" t="n">
        <x:v>1</x:v>
      </x:c>
      <x:c r="EB15" s="14" t="n">
        <x:v>249</x:v>
      </x:c>
      <x:c r="EC15" s="14" t="n">
        <x:v>4</x:v>
      </x:c>
      <x:c r="ED15" s="14" t="n">
        <x:v>1</x:v>
      </x:c>
      <x:c r="EE15" s="14" t="n">
        <x:v>4</x:v>
      </x:c>
      <x:c r="EF15" s="14" t="str">
        <x:v>未收錄</x:v>
      </x:c>
      <x:c r="EG15" s="14" t="str">
        <x:v>20963</x:v>
      </x:c>
      <x:c r="EH15" s="14" t="n">
        <x:v>3</x:v>
      </x:c>
      <x:c r="EI15" s="14" t="n">
        <x:v>482</x:v>
      </x:c>
      <x:c r="EJ15" s="14" t="n">
        <x:v>1</x:v>
      </x:c>
      <x:c r="EK15" s="14" t="n">
        <x:v>1</x:v>
      </x:c>
      <x:c r="EL15" s="14" t="n">
        <x:v>1</x:v>
      </x:c>
      <x:c r="EM15" s="14" t="str">
        <x:v>未收錄</x:v>
      </x:c>
      <x:c r="EN15" s="14" t="str">
        <x:v>21027</x:v>
      </x:c>
      <x:c r="EO15" s="14" t="n">
        <x:v>2</x:v>
      </x:c>
      <x:c r="EP15" s="14" t="n">
        <x:v>483</x:v>
      </x:c>
      <x:c r="EQ15" s="14" t="n">
        <x:v>2</x:v>
      </x:c>
      <x:c r="ER15" s="14" t="n">
        <x:v>1</x:v>
      </x:c>
      <x:c r="ES15" s="14" t="n">
        <x:v>2</x:v>
      </x:c>
      <x:c r="ET15" s="14" t="str">
        <x:v>未收錄</x:v>
      </x:c>
      <x:c r="EU15" s="14" t="str">
        <x:v>21437</x:v>
      </x:c>
      <x:c r="EV15" s="14" t="n">
        <x:v>8</x:v>
      </x:c>
      <x:c r="EW15" s="14" t="n">
        <x:v>484</x:v>
      </x:c>
      <x:c r="EX15" s="14" t="n">
        <x:v>3</x:v>
      </x:c>
      <x:c r="EY15" s="14" t="n">
        <x:v>1</x:v>
      </x:c>
      <x:c r="EZ15" s="14" t="n">
        <x:v>3</x:v>
      </x:c>
      <x:c r="FA15" s="14" t="str">
        <x:v>未收錄</x:v>
      </x:c>
      <x:c r="FB15" s="14" t="str">
        <x:v>22382</x:v>
      </x:c>
      <x:c r="FC15" s="14" t="n">
        <x:v>8</x:v>
      </x:c>
      <x:c r="FD15" s="14" t="n">
        <x:v>485</x:v>
      </x:c>
      <x:c r="FE15" s="14" t="n">
        <x:v>4</x:v>
      </x:c>
      <x:c r="FF15" s="14" t="n">
        <x:v>1</x:v>
      </x:c>
      <x:c r="FG15" s="14" t="n">
        <x:v>4</x:v>
      </x:c>
      <x:c r="FH15" s="14" t="str">
        <x:v>未收錄</x:v>
      </x:c>
      <x:c r="FI15" s="14" t="str">
        <x:v>20059</x:v>
      </x:c>
      <x:c r="FJ15" s="14" t="n">
        <x:v>1</x:v>
      </x:c>
      <x:c r="FK15" s="14" t="n">
        <x:v>632</x:v>
      </x:c>
      <x:c r="FL15" s="14" t="n">
        <x:v>1</x:v>
      </x:c>
      <x:c r="FM15" s="14" t="n">
        <x:v>1</x:v>
      </x:c>
      <x:c r="FN15" s="14" t="n">
        <x:v>1</x:v>
      </x:c>
      <x:c r="FO15" s="14" t="str">
        <x:v>未收錄</x:v>
      </x:c>
      <x:c r="FP15" s="14" t="str">
        <x:v>20698</x:v>
      </x:c>
      <x:c r="FQ15" s="14" t="n">
        <x:v>1</x:v>
      </x:c>
      <x:c r="FR15" s="14" t="n">
        <x:v>633</x:v>
      </x:c>
      <x:c r="FS15" s="14" t="n">
        <x:v>2</x:v>
      </x:c>
      <x:c r="FT15" s="14" t="n">
        <x:v>1</x:v>
      </x:c>
      <x:c r="FU15" s="14" t="n">
        <x:v>2</x:v>
      </x:c>
      <x:c r="FV15" s="14" t="str">
        <x:v>未收錄</x:v>
      </x:c>
      <x:c r="FW15" s="14" t="str">
        <x:v>20699</x:v>
      </x:c>
      <x:c r="FX15" s="14" t="n">
        <x:v>1</x:v>
      </x:c>
      <x:c r="FY15" s="14" t="n">
        <x:v>634</x:v>
      </x:c>
      <x:c r="FZ15" s="14" t="n">
        <x:v>3</x:v>
      </x:c>
      <x:c r="GA15" s="14" t="n">
        <x:v>1</x:v>
      </x:c>
      <x:c r="GB15" s="14" t="n">
        <x:v>3</x:v>
      </x:c>
      <x:c r="GC15" s="14" t="str">
        <x:v>未收錄</x:v>
      </x:c>
      <x:c r="GD15" s="14" t="str">
        <x:v>20398</x:v>
      </x:c>
      <x:c r="GE15" s="14" t="n">
        <x:v>1</x:v>
      </x:c>
      <x:c r="GF15" s="14" t="n">
        <x:v>635</x:v>
      </x:c>
      <x:c r="GG15" s="14" t="n">
        <x:v>4</x:v>
      </x:c>
      <x:c r="GH15" s="14" t="n">
        <x:v>1</x:v>
      </x:c>
      <x:c r="GI15" s="14" t="n">
        <x:v>4</x:v>
      </x:c>
      <x:c r="GJ15" s="14" t="str">
        <x:v>未收錄</x:v>
      </x:c>
      <x:c r="GK15" s="14" t="str">
        <x:v>20060</x:v>
      </x:c>
      <x:c r="GL15" s="14" t="n">
        <x:v>1</x:v>
      </x:c>
      <x:c r="GM15" s="14" t="n">
        <x:v>804</x:v>
      </x:c>
      <x:c r="GN15" s="14" t="n">
        <x:v>1</x:v>
      </x:c>
      <x:c r="GO15" s="14" t="n">
        <x:v>1</x:v>
      </x:c>
      <x:c r="GP15" s="14" t="n">
        <x:v>1</x:v>
      </x:c>
      <x:c r="GQ15" s="14" t="str">
        <x:v>未收錄</x:v>
      </x:c>
      <x:c r="GR15" s="14" t="str">
        <x:v>20700</x:v>
      </x:c>
      <x:c r="GS15" s="14" t="n">
        <x:v>1</x:v>
      </x:c>
      <x:c r="GT15" s="14" t="n">
        <x:v>805</x:v>
      </x:c>
      <x:c r="GU15" s="14" t="n">
        <x:v>2</x:v>
      </x:c>
      <x:c r="GV15" s="14" t="n">
        <x:v>1</x:v>
      </x:c>
      <x:c r="GW15" s="14" t="n">
        <x:v>2</x:v>
      </x:c>
      <x:c r="GX15" s="14" t="str">
        <x:v>未收錄</x:v>
      </x:c>
      <x:c r="GY15" s="14" t="str">
        <x:v>20701</x:v>
      </x:c>
      <x:c r="GZ15" s="14" t="n">
        <x:v>1</x:v>
      </x:c>
      <x:c r="HA15" s="14" t="n">
        <x:v>806</x:v>
      </x:c>
      <x:c r="HB15" s="14" t="n">
        <x:v>3</x:v>
      </x:c>
      <x:c r="HC15" s="14" t="n">
        <x:v>1</x:v>
      </x:c>
      <x:c r="HD15" s="14" t="n">
        <x:v>3</x:v>
      </x:c>
      <x:c r="HE15" s="14" t="str">
        <x:v>未收錄</x:v>
      </x:c>
      <x:c r="HF15" s="14" t="str">
        <x:v>20401</x:v>
      </x:c>
      <x:c r="HG15" s="14" t="n">
        <x:v>1</x:v>
      </x:c>
      <x:c r="HH15" s="14" t="n">
        <x:v>807</x:v>
      </x:c>
      <x:c r="HI15" s="14" t="n">
        <x:v>4</x:v>
      </x:c>
      <x:c r="HJ15" s="14" t="n">
        <x:v>1</x:v>
      </x:c>
      <x:c r="HK15" s="14" t="n">
        <x:v>4</x:v>
      </x:c>
      <x:c r="HL15" s="14" t="str">
        <x:v>未收錄</x:v>
      </x:c>
      <x:c r="HM15" s="14" t="str">
        <x:v>20053</x:v>
      </x:c>
      <x:c r="HN15" s="14" t="n">
        <x:v>1</x:v>
      </x:c>
      <x:c r="HO15" s="14" t="n">
        <x:v>977</x:v>
      </x:c>
      <x:c r="HP15" s="14" t="n">
        <x:v>1</x:v>
      </x:c>
      <x:c r="HQ15" s="14" t="n">
        <x:v>1</x:v>
      </x:c>
      <x:c r="HR15" s="14" t="n">
        <x:v>1</x:v>
      </x:c>
      <x:c r="HS15" s="14" t="str">
        <x:v>未收錄</x:v>
      </x:c>
      <x:c r="HT15" s="14" t="str">
        <x:v>20054</x:v>
      </x:c>
      <x:c r="HU15" s="14" t="n">
        <x:v>1</x:v>
      </x:c>
      <x:c r="HV15" s="14" t="n">
        <x:v>978</x:v>
      </x:c>
      <x:c r="HW15" s="14" t="n">
        <x:v>2</x:v>
      </x:c>
      <x:c r="HX15" s="14" t="n">
        <x:v>1</x:v>
      </x:c>
      <x:c r="HY15" s="14" t="n">
        <x:v>2</x:v>
      </x:c>
      <x:c r="HZ15" s="14" t="str">
        <x:v>未收錄</x:v>
      </x:c>
      <x:c r="IA15" s="14" t="str">
        <x:v>20695</x:v>
      </x:c>
      <x:c r="IB15" s="14" t="n">
        <x:v>1</x:v>
      </x:c>
      <x:c r="IC15" s="14" t="n">
        <x:v>979</x:v>
      </x:c>
      <x:c r="ID15" s="14" t="n">
        <x:v>3</x:v>
      </x:c>
      <x:c r="IE15" s="14" t="n">
        <x:v>1</x:v>
      </x:c>
      <x:c r="IF15" s="14" t="n">
        <x:v>3</x:v>
      </x:c>
      <x:c r="IG15" s="14" t="str">
        <x:v>未收錄</x:v>
      </x:c>
      <x:c r="IH15" s="14" t="str">
        <x:v>20055</x:v>
      </x:c>
      <x:c r="II15" s="14" t="n">
        <x:v>1</x:v>
      </x:c>
      <x:c r="IJ15" s="14" t="n">
        <x:v>980</x:v>
      </x:c>
      <x:c r="IK15" s="14" t="n">
        <x:v>4</x:v>
      </x:c>
      <x:c r="IL15" s="14" t="n">
        <x:v>1</x:v>
      </x:c>
      <x:c r="IM15" s="14" t="n">
        <x:v>4</x:v>
      </x:c>
      <x:c r="IN15" s="14" t="str">
        <x:v>未收錄</x:v>
      </x:c>
      <x:c r="IO15" s="14" t="str">
        <x:v>20056</x:v>
      </x:c>
      <x:c r="IP15" s="14" t="n">
        <x:v>1</x:v>
      </x:c>
      <x:c r="IQ15" s="14" t="n">
        <x:v>1145</x:v>
      </x:c>
      <x:c r="IR15" s="14" t="n">
        <x:v>1</x:v>
      </x:c>
      <x:c r="IS15" s="14" t="n">
        <x:v>1</x:v>
      </x:c>
      <x:c r="IT15" s="14" t="n">
        <x:v>1</x:v>
      </x:c>
      <x:c r="IU15" s="14" t="str">
        <x:v>未收錄</x:v>
      </x:c>
      <x:c r="IV15" s="14" t="str">
        <x:v>20459</x:v>
      </x:c>
      <x:c r="IW15" s="14" t="n">
        <x:v>1</x:v>
      </x:c>
      <x:c r="IX15" s="14" t="n">
        <x:v>1146</x:v>
      </x:c>
      <x:c r="IY15" s="14" t="n">
        <x:v>2</x:v>
      </x:c>
      <x:c r="IZ15" s="14" t="n">
        <x:v>1</x:v>
      </x:c>
      <x:c r="JA15" s="14" t="n">
        <x:v>2</x:v>
      </x:c>
      <x:c r="JB15" s="14" t="str">
        <x:v>未收錄</x:v>
      </x:c>
      <x:c r="JC15" s="14" t="str">
        <x:v>20473</x:v>
      </x:c>
      <x:c r="JD15" s="14" t="n">
        <x:v>1</x:v>
      </x:c>
      <x:c r="JE15" s="14" t="n">
        <x:v>1147</x:v>
      </x:c>
      <x:c r="JF15" s="14" t="n">
        <x:v>3</x:v>
      </x:c>
      <x:c r="JG15" s="14" t="n">
        <x:v>1</x:v>
      </x:c>
      <x:c r="JH15" s="14" t="n">
        <x:v>3</x:v>
      </x:c>
      <x:c r="JI15" s="14" t="str">
        <x:v>未收錄</x:v>
      </x:c>
      <x:c r="JJ15" s="14" t="str">
        <x:v>20057</x:v>
      </x:c>
      <x:c r="JK15" s="14" t="n">
        <x:v>1</x:v>
      </x:c>
      <x:c r="JL15" s="14" t="n">
        <x:v>1148</x:v>
      </x:c>
      <x:c r="JM15" s="14" t="n">
        <x:v>4</x:v>
      </x:c>
      <x:c r="JN15" s="14" t="n">
        <x:v>1</x:v>
      </x:c>
      <x:c r="JO15" s="14" t="n">
        <x:v>4</x:v>
      </x:c>
      <x:c r="JP15" s="14" t="str">
        <x:v>未收錄</x:v>
      </x:c>
      <x:c r="JQ15" s="14" t="str">
        <x:v>20050</x:v>
      </x:c>
      <x:c r="JR15" s="14" t="n">
        <x:v>1</x:v>
      </x:c>
      <x:c r="JS15" s="14" t="n">
        <x:v>1312</x:v>
      </x:c>
      <x:c r="JT15" s="14" t="n">
        <x:v>1</x:v>
      </x:c>
      <x:c r="JU15" s="14" t="n">
        <x:v>1</x:v>
      </x:c>
      <x:c r="JV15" s="14" t="n">
        <x:v>1</x:v>
      </x:c>
      <x:c r="JW15" s="14" t="str">
        <x:v>未收錄</x:v>
      </x:c>
      <x:c r="JX15" s="14" t="str">
        <x:v>20386</x:v>
      </x:c>
      <x:c r="JY15" s="14" t="n">
        <x:v>1</x:v>
      </x:c>
      <x:c r="JZ15" s="14" t="n">
        <x:v>1313</x:v>
      </x:c>
      <x:c r="KA15" s="14" t="n">
        <x:v>2</x:v>
      </x:c>
      <x:c r="KB15" s="14" t="n">
        <x:v>1</x:v>
      </x:c>
      <x:c r="KC15" s="14" t="n">
        <x:v>2</x:v>
      </x:c>
      <x:c r="KD15" s="14" t="str">
        <x:v>未收錄</x:v>
      </x:c>
      <x:c r="KE15" s="14" t="str">
        <x:v>20051</x:v>
      </x:c>
      <x:c r="KF15" s="14" t="n">
        <x:v>1</x:v>
      </x:c>
      <x:c r="KG15" s="14" t="n">
        <x:v>1314</x:v>
      </x:c>
      <x:c r="KH15" s="14" t="n">
        <x:v>3</x:v>
      </x:c>
      <x:c r="KI15" s="14" t="n">
        <x:v>1</x:v>
      </x:c>
      <x:c r="KJ15" s="14" t="n">
        <x:v>3</x:v>
      </x:c>
      <x:c r="KK15" s="14" t="str">
        <x:v>未收錄</x:v>
      </x:c>
      <x:c r="KL15" s="14" t="str">
        <x:v>20693</x:v>
      </x:c>
      <x:c r="KM15" s="14" t="n">
        <x:v>1</x:v>
      </x:c>
      <x:c r="KN15" s="14" t="n">
        <x:v>1315</x:v>
      </x:c>
      <x:c r="KO15" s="14" t="n">
        <x:v>4</x:v>
      </x:c>
      <x:c r="KP15" s="14" t="n">
        <x:v>1</x:v>
      </x:c>
      <x:c r="KQ15" s="14" t="n">
        <x:v>4</x:v>
      </x:c>
      <x:c r="KR15" s="14" t="str">
        <x:v>未收錄</x:v>
      </x:c>
      <x:c r="KS15" s="14" t="str">
        <x:v>20047</x:v>
      </x:c>
      <x:c r="KT15" s="14" t="n">
        <x:v>1</x:v>
      </x:c>
      <x:c r="KU15" s="14" t="n">
        <x:v>1427</x:v>
      </x:c>
      <x:c r="KV15" s="14" t="n">
        <x:v>1</x:v>
      </x:c>
      <x:c r="KW15" s="14" t="n">
        <x:v>1</x:v>
      </x:c>
      <x:c r="KX15" s="14" t="n">
        <x:v>1</x:v>
      </x:c>
      <x:c r="KY15" s="14" t="str">
        <x:v>未收錄</x:v>
      </x:c>
      <x:c r="KZ15" s="14" t="str">
        <x:v>20385</x:v>
      </x:c>
      <x:c r="LA15" s="14" t="n">
        <x:v>1</x:v>
      </x:c>
      <x:c r="LB15" s="14" t="n">
        <x:v>1428</x:v>
      </x:c>
      <x:c r="LC15" s="14" t="n">
        <x:v>2</x:v>
      </x:c>
      <x:c r="LD15" s="14" t="n">
        <x:v>1</x:v>
      </x:c>
      <x:c r="LE15" s="14" t="n">
        <x:v>2</x:v>
      </x:c>
      <x:c r="LF15" s="14" t="str">
        <x:v>未收錄</x:v>
      </x:c>
      <x:c r="LG15" s="14" t="str">
        <x:v>20048</x:v>
      </x:c>
      <x:c r="LH15" s="14" t="n">
        <x:v>1</x:v>
      </x:c>
      <x:c r="LI15" s="14" t="n">
        <x:v>1429</x:v>
      </x:c>
      <x:c r="LJ15" s="14" t="n">
        <x:v>3</x:v>
      </x:c>
      <x:c r="LK15" s="14" t="n">
        <x:v>1</x:v>
      </x:c>
      <x:c r="LL15" s="14" t="n">
        <x:v>3</x:v>
      </x:c>
      <x:c r="LM15" s="14" t="str">
        <x:v>未收錄</x:v>
      </x:c>
      <x:c r="LN15" s="14" t="str">
        <x:v>20691</x:v>
      </x:c>
      <x:c r="LO15" s="14" t="n">
        <x:v>1</x:v>
      </x:c>
      <x:c r="LP15" s="14" t="n">
        <x:v>1430</x:v>
      </x:c>
      <x:c r="LQ15" s="14" t="n">
        <x:v>4</x:v>
      </x:c>
      <x:c r="LR15" s="14" t="n">
        <x:v>1</x:v>
      </x:c>
      <x:c r="LS15" s="14" t="n">
        <x:v>4</x:v>
      </x:c>
      <x:c r="LT15" s="14" t="str">
        <x:v>未收錄</x:v>
      </x:c>
      <x:c r="LU15" s="14" t="str">
        <x:v>20065</x:v>
      </x:c>
      <x:c r="LV15" s="14" t="n">
        <x:v>1</x:v>
      </x:c>
      <x:c r="LW15" s="14" t="n">
        <x:v>1540</x:v>
      </x:c>
      <x:c r="LX15" s="14" t="n">
        <x:v>1</x:v>
      </x:c>
      <x:c r="LY15" s="14" t="n">
        <x:v>1</x:v>
      </x:c>
      <x:c r="LZ15" s="14" t="n">
        <x:v>1</x:v>
      </x:c>
      <x:c r="MA15" s="14" t="str">
        <x:v>未收錄</x:v>
      </x:c>
      <x:c r="MB15" s="14" t="str">
        <x:v>20066</x:v>
      </x:c>
      <x:c r="MC15" s="14" t="n">
        <x:v>1</x:v>
      </x:c>
      <x:c r="MD15" s="14" t="n">
        <x:v>1541</x:v>
      </x:c>
      <x:c r="ME15" s="14" t="n">
        <x:v>2</x:v>
      </x:c>
      <x:c r="MF15" s="14" t="n">
        <x:v>1</x:v>
      </x:c>
      <x:c r="MG15" s="14" t="n">
        <x:v>2</x:v>
      </x:c>
      <x:c r="MH15" s="14" t="str">
        <x:v>未收錄</x:v>
      </x:c>
      <x:c r="MI15" s="14" t="str">
        <x:v>20067</x:v>
      </x:c>
      <x:c r="MJ15" s="14" t="n">
        <x:v>1</x:v>
      </x:c>
      <x:c r="MK15" s="14" t="n">
        <x:v>1542</x:v>
      </x:c>
      <x:c r="ML15" s="14" t="n">
        <x:v>3</x:v>
      </x:c>
      <x:c r="MM15" s="14" t="n">
        <x:v>1</x:v>
      </x:c>
      <x:c r="MN15" s="14" t="n">
        <x:v>3</x:v>
      </x:c>
      <x:c r="MO15" s="14" t="str">
        <x:v>未收錄</x:v>
      </x:c>
      <x:c r="MP15" s="14" t="str">
        <x:v>20068</x:v>
      </x:c>
      <x:c r="MQ15" s="14" t="n">
        <x:v>1</x:v>
      </x:c>
      <x:c r="MR15" s="14" t="n">
        <x:v>1543</x:v>
      </x:c>
      <x:c r="MS15" s="14" t="n">
        <x:v>4</x:v>
      </x:c>
      <x:c r="MT15" s="14" t="n">
        <x:v>1</x:v>
      </x:c>
      <x:c r="MU15" s="14" t="n">
        <x:v>4</x:v>
      </x:c>
      <x:c r="MV15" s="14" t="str">
        <x:v>未收錄</x:v>
      </x:c>
      <x:c r="MW15" s="14" t="str">
        <x:v>20002</x:v>
      </x:c>
      <x:c r="MX15" s="14" t="n">
        <x:v>1</x:v>
      </x:c>
      <x:c r="MY15" s="14" t="n">
        <x:v>1649</x:v>
      </x:c>
      <x:c r="MZ15" s="14" t="n">
        <x:v>1</x:v>
      </x:c>
      <x:c r="NA15" s="14" t="n">
        <x:v>1</x:v>
      </x:c>
      <x:c r="NB15" s="14" t="n">
        <x:v>1</x:v>
      </x:c>
      <x:c r="NC15" s="14" t="str">
        <x:v>未收錄</x:v>
      </x:c>
      <x:c r="ND15" s="14" t="str">
        <x:v>20003</x:v>
      </x:c>
      <x:c r="NE15" s="14" t="n">
        <x:v>1</x:v>
      </x:c>
      <x:c r="NF15" s="14" t="n">
        <x:v>1650</x:v>
      </x:c>
      <x:c r="NG15" s="14" t="n">
        <x:v>2</x:v>
      </x:c>
      <x:c r="NH15" s="14" t="n">
        <x:v>1</x:v>
      </x:c>
      <x:c r="NI15" s="14" t="n">
        <x:v>2</x:v>
      </x:c>
      <x:c r="NJ15" s="14" t="str">
        <x:v>未收錄</x:v>
      </x:c>
      <x:c r="NK15" s="14" t="str">
        <x:v>20004</x:v>
      </x:c>
      <x:c r="NL15" s="14" t="n">
        <x:v>1</x:v>
      </x:c>
      <x:c r="NM15" s="14" t="n">
        <x:v>1651</x:v>
      </x:c>
      <x:c r="NN15" s="14" t="n">
        <x:v>3</x:v>
      </x:c>
      <x:c r="NO15" s="14" t="n">
        <x:v>1</x:v>
      </x:c>
      <x:c r="NP15" s="14" t="n">
        <x:v>3</x:v>
      </x:c>
      <x:c r="NQ15" s="14" t="str">
        <x:v>未收錄</x:v>
      </x:c>
      <x:c r="NR15" s="14" t="str">
        <x:v>20005</x:v>
      </x:c>
      <x:c r="NS15" s="14" t="n">
        <x:v>1</x:v>
      </x:c>
      <x:c r="NT15" s="14" t="n">
        <x:v>1652</x:v>
      </x:c>
      <x:c r="NU15" s="14" t="n">
        <x:v>4</x:v>
      </x:c>
      <x:c r="NV15" s="14" t="n">
        <x:v>1</x:v>
      </x:c>
      <x:c r="NW15" s="14" t="n">
        <x:v>4</x:v>
      </x:c>
      <x:c r="NX15" s="14" t="str">
        <x:v>未收錄</x:v>
      </x:c>
      <x:c r="NY15" s="14" t="str">
        <x:v>20011</x:v>
      </x:c>
      <x:c r="NZ15" s="14" t="n">
        <x:v>1</x:v>
      </x:c>
      <x:c r="OA15" s="14" t="n">
        <x:v>2102</x:v>
      </x:c>
      <x:c r="OB15" s="14" t="n">
        <x:v>1</x:v>
      </x:c>
      <x:c r="OC15" s="14" t="n">
        <x:v>1</x:v>
      </x:c>
      <x:c r="OD15" s="14" t="n">
        <x:v>1</x:v>
      </x:c>
      <x:c r="OE15" s="14" t="str">
        <x:v>未收錄</x:v>
      </x:c>
      <x:c r="OF15" s="14" t="str">
        <x:v>20012</x:v>
      </x:c>
      <x:c r="OG15" s="14" t="n">
        <x:v>1</x:v>
      </x:c>
      <x:c r="OH15" s="14" t="n">
        <x:v>2103</x:v>
      </x:c>
      <x:c r="OI15" s="14" t="n">
        <x:v>2</x:v>
      </x:c>
      <x:c r="OJ15" s="14" t="n">
        <x:v>1</x:v>
      </x:c>
      <x:c r="OK15" s="14" t="n">
        <x:v>2</x:v>
      </x:c>
      <x:c r="OL15" s="14" t="str">
        <x:v>未收錄</x:v>
      </x:c>
      <x:c r="OM15" s="14" t="str">
        <x:v>20910</x:v>
      </x:c>
      <x:c r="ON15" s="14" t="n">
        <x:v>1</x:v>
      </x:c>
      <x:c r="OO15" s="14" t="n">
        <x:v>2104</x:v>
      </x:c>
      <x:c r="OP15" s="14" t="n">
        <x:v>3</x:v>
      </x:c>
      <x:c r="OQ15" s="14" t="n">
        <x:v>1</x:v>
      </x:c>
      <x:c r="OR15" s="14" t="n">
        <x:v>3</x:v>
      </x:c>
      <x:c r="OS15" s="14" t="str">
        <x:v>未收錄</x:v>
      </x:c>
      <x:c r="OT15" s="14" t="str">
        <x:v>20014</x:v>
      </x:c>
      <x:c r="OU15" s="14" t="n">
        <x:v>1</x:v>
      </x:c>
      <x:c r="OV15" s="14" t="n">
        <x:v>2105</x:v>
      </x:c>
      <x:c r="OW15" s="14" t="n">
        <x:v>4</x:v>
      </x:c>
      <x:c r="OX15" s="14" t="n">
        <x:v>1</x:v>
      </x:c>
      <x:c r="OY15" s="14" t="n">
        <x:v>4</x:v>
      </x:c>
      <x:c r="OZ15" s="14" t="str">
        <x:v>未收錄</x:v>
      </x:c>
      <x:c r="PA15" s="14" t="str">
        <x:v>20028</x:v>
      </x:c>
      <x:c r="PB15" s="14" t="n">
        <x:v>1</x:v>
      </x:c>
      <x:c r="PC15" s="14" t="n">
        <x:v>2648</x:v>
      </x:c>
      <x:c r="PD15" s="14" t="n">
        <x:v>1</x:v>
      </x:c>
      <x:c r="PE15" s="14" t="n">
        <x:v>1</x:v>
      </x:c>
      <x:c r="PF15" s="14" t="n">
        <x:v>1</x:v>
      </x:c>
      <x:c r="PG15" s="14" t="str">
        <x:v>未收錄</x:v>
      </x:c>
      <x:c r="PH15" s="14" t="str">
        <x:v>20493</x:v>
      </x:c>
      <x:c r="PI15" s="14" t="n">
        <x:v>1</x:v>
      </x:c>
      <x:c r="PJ15" s="14" t="n">
        <x:v>2649</x:v>
      </x:c>
      <x:c r="PK15" s="14" t="n">
        <x:v>2</x:v>
      </x:c>
      <x:c r="PL15" s="14" t="n">
        <x:v>1</x:v>
      </x:c>
      <x:c r="PM15" s="14" t="n">
        <x:v>2</x:v>
      </x:c>
      <x:c r="PN15" s="14" t="str">
        <x:v>未收錄</x:v>
      </x:c>
      <x:c r="PO15" s="14" t="str">
        <x:v>20029</x:v>
      </x:c>
      <x:c r="PP15" s="14" t="n">
        <x:v>1</x:v>
      </x:c>
      <x:c r="PQ15" s="14" t="n">
        <x:v>2650</x:v>
      </x:c>
      <x:c r="PR15" s="14" t="n">
        <x:v>3</x:v>
      </x:c>
      <x:c r="PS15" s="14" t="n">
        <x:v>1</x:v>
      </x:c>
      <x:c r="PT15" s="14" t="n">
        <x:v>3</x:v>
      </x:c>
      <x:c r="PU15" s="14" t="str">
        <x:v>未收錄</x:v>
      </x:c>
      <x:c r="PV15" s="14" t="str">
        <x:v>20494</x:v>
      </x:c>
      <x:c r="PW15" s="14" t="n">
        <x:v>1</x:v>
      </x:c>
      <x:c r="PX15" s="14" t="n">
        <x:v>2651</x:v>
      </x:c>
      <x:c r="PY15" s="14" t="n">
        <x:v>4</x:v>
      </x:c>
      <x:c r="PZ15" s="14" t="n">
        <x:v>1</x:v>
      </x:c>
      <x:c r="QA15" s="14" t="n">
        <x:v>4</x:v>
      </x:c>
      <x:c r="QB15" s="14" t="str">
        <x:v>未收錄</x:v>
      </x:c>
      <x:c r="QC15" s="14" t="str">
        <x:v>20034</x:v>
      </x:c>
      <x:c r="QD15" s="14" t="n">
        <x:v>1</x:v>
      </x:c>
      <x:c r="QE15" s="14" t="n">
        <x:v>3085</x:v>
      </x:c>
      <x:c r="QF15" s="14" t="n">
        <x:v>1</x:v>
      </x:c>
      <x:c r="QG15" s="14" t="n">
        <x:v>1</x:v>
      </x:c>
      <x:c r="QH15" s="14" t="n">
        <x:v>1</x:v>
      </x:c>
      <x:c r="QI15" s="14" t="str">
        <x:v>未收錄</x:v>
      </x:c>
      <x:c r="QJ15" s="14" t="str">
        <x:v>20035</x:v>
      </x:c>
      <x:c r="QK15" s="14" t="n">
        <x:v>1</x:v>
      </x:c>
      <x:c r="QL15" s="14" t="n">
        <x:v>3086</x:v>
      </x:c>
      <x:c r="QM15" s="14" t="n">
        <x:v>2</x:v>
      </x:c>
      <x:c r="QN15" s="14" t="n">
        <x:v>1</x:v>
      </x:c>
      <x:c r="QO15" s="14" t="n">
        <x:v>2</x:v>
      </x:c>
      <x:c r="QP15" s="14" t="str">
        <x:v>未收錄</x:v>
      </x:c>
      <x:c r="QQ15" s="14" t="str">
        <x:v>20500</x:v>
      </x:c>
      <x:c r="QR15" s="14" t="n">
        <x:v>1</x:v>
      </x:c>
      <x:c r="QS15" s="14" t="n">
        <x:v>3087</x:v>
      </x:c>
      <x:c r="QT15" s="14" t="n">
        <x:v>3</x:v>
      </x:c>
      <x:c r="QU15" s="14" t="n">
        <x:v>1</x:v>
      </x:c>
      <x:c r="QV15" s="14" t="n">
        <x:v>3</x:v>
      </x:c>
      <x:c r="QW15" s="14" t="str">
        <x:v>未收錄</x:v>
      </x:c>
      <x:c r="QX15" s="14" t="str">
        <x:v>20036</x:v>
      </x:c>
      <x:c r="QY15" s="14" t="n">
        <x:v>1</x:v>
      </x:c>
      <x:c r="QZ15" s="14" t="n">
        <x:v>3088</x:v>
      </x:c>
      <x:c r="RA15" s="14" t="n">
        <x:v>4</x:v>
      </x:c>
      <x:c r="RB15" s="14" t="n">
        <x:v>1</x:v>
      </x:c>
      <x:c r="RC15" s="14" t="n">
        <x:v>4</x:v>
      </x:c>
      <x:c r="RD15" s="14" t="str">
        <x:v>未收錄</x:v>
      </x:c>
      <x:c r="RE15" s="14" t="str">
        <x:v>20254</x:v>
      </x:c>
      <x:c r="RF15" s="14" t="n">
        <x:v>1</x:v>
      </x:c>
      <x:c r="RG15" s="14" t="n">
        <x:v>3546</x:v>
      </x:c>
      <x:c r="RH15" s="14" t="n">
        <x:v>1</x:v>
      </x:c>
      <x:c r="RI15" s="14" t="n">
        <x:v>1</x:v>
      </x:c>
      <x:c r="RJ15" s="14" t="n">
        <x:v>1</x:v>
      </x:c>
      <x:c r="RK15" s="14" t="str">
        <x:v>未收錄</x:v>
      </x:c>
      <x:c r="RL15" s="14" t="str">
        <x:v>20255</x:v>
      </x:c>
      <x:c r="RM15" s="14" t="n">
        <x:v>1</x:v>
      </x:c>
      <x:c r="RN15" s="14" t="n">
        <x:v>3547</x:v>
      </x:c>
      <x:c r="RO15" s="14" t="n">
        <x:v>2</x:v>
      </x:c>
      <x:c r="RP15" s="14" t="n">
        <x:v>1</x:v>
      </x:c>
      <x:c r="RQ15" s="14" t="n">
        <x:v>2</x:v>
      </x:c>
      <x:c r="RR15" s="14" t="str">
        <x:v>未收錄</x:v>
      </x:c>
      <x:c r="RS15" s="14" t="str">
        <x:v>20259</x:v>
      </x:c>
      <x:c r="RT15" s="14" t="n">
        <x:v>1</x:v>
      </x:c>
      <x:c r="RU15" s="14" t="n">
        <x:v>3548</x:v>
      </x:c>
      <x:c r="RV15" s="14" t="n">
        <x:v>3</x:v>
      </x:c>
      <x:c r="RW15" s="14" t="n">
        <x:v>1</x:v>
      </x:c>
      <x:c r="RX15" s="14" t="n">
        <x:v>3</x:v>
      </x:c>
      <x:c r="RY15" s="14" t="str">
        <x:v>未收錄</x:v>
      </x:c>
      <x:c r="RZ15" s="14" t="str">
        <x:v>20256</x:v>
      </x:c>
      <x:c r="SA15" s="14" t="n">
        <x:v>1</x:v>
      </x:c>
      <x:c r="SB15" s="14" t="n">
        <x:v>3549</x:v>
      </x:c>
      <x:c r="SC15" s="14" t="n">
        <x:v>4</x:v>
      </x:c>
      <x:c r="SD15" s="14" t="n">
        <x:v>1</x:v>
      </x:c>
      <x:c r="SE15" s="14" t="n">
        <x:v>4</x:v>
      </x:c>
      <x:c r="SF15" s="14" t="str">
        <x:v>未收錄</x:v>
      </x:c>
      <x:c r="SG15" s="14" t="str">
        <x:v>29248</x:v>
      </x:c>
      <x:c r="SH15" s="14" t="n">
        <x:v>2</x:v>
      </x:c>
      <x:c r="SI15" s="14" t="n">
        <x:v>3970</x:v>
      </x:c>
      <x:c r="SJ15" s="14" t="n">
        <x:v>1</x:v>
      </x:c>
      <x:c r="SK15" s="14" t="n">
        <x:v>1</x:v>
      </x:c>
      <x:c r="SL15" s="14" t="n">
        <x:v>1</x:v>
      </x:c>
      <x:c r="SM15" s="14" t="str">
        <x:v>未收錄</x:v>
      </x:c>
      <x:c r="SN15" s="14" t="str">
        <x:v>29249</x:v>
      </x:c>
      <x:c r="SO15" s="14" t="n">
        <x:v>2</x:v>
      </x:c>
      <x:c r="SP15" s="14" t="n">
        <x:v>3971</x:v>
      </x:c>
      <x:c r="SQ15" s="14" t="n">
        <x:v>2</x:v>
      </x:c>
      <x:c r="SR15" s="14" t="n">
        <x:v>1</x:v>
      </x:c>
      <x:c r="SS15" s="14" t="n">
        <x:v>2</x:v>
      </x:c>
      <x:c r="ST15" s="14" t="str">
        <x:v>未收錄</x:v>
      </x:c>
      <x:c r="SU15" s="14" t="str">
        <x:v>29250</x:v>
      </x:c>
      <x:c r="SV15" s="14" t="n">
        <x:v>2</x:v>
      </x:c>
      <x:c r="SW15" s="14" t="n">
        <x:v>3972</x:v>
      </x:c>
      <x:c r="SX15" s="14" t="n">
        <x:v>3</x:v>
      </x:c>
      <x:c r="SY15" s="14" t="n">
        <x:v>1</x:v>
      </x:c>
      <x:c r="SZ15" s="14" t="n">
        <x:v>3</x:v>
      </x:c>
      <x:c r="TA15" s="14" t="str">
        <x:v>未收錄</x:v>
      </x:c>
      <x:c r="TB15" s="14" t="str">
        <x:v>29251</x:v>
      </x:c>
      <x:c r="TC15" s="14" t="n">
        <x:v>2</x:v>
      </x:c>
      <x:c r="TD15" s="14" t="n">
        <x:v>3973</x:v>
      </x:c>
      <x:c r="TE15" s="14" t="n">
        <x:v>4</x:v>
      </x:c>
      <x:c r="TF15" s="14" t="n">
        <x:v>1</x:v>
      </x:c>
      <x:c r="TG15" s="14" t="n">
        <x:v>4</x:v>
      </x:c>
      <x:c r="TH15" s="14" t="str">
        <x:v>未收錄</x:v>
      </x:c>
    </x:row>
    <x:row r="16" ht="15" customHeight="1">
      <x:c r="A16" s="18" t="str">
        <x:v>蠱毒匕首</x:v>
      </x:c>
      <x:c r="B16" s="18" t="str">
        <x:v>長劍</x:v>
      </x:c>
      <x:c r="C16" s="18" t="str">
        <x:v>誅鬼劍</x:v>
      </x:c>
      <x:c r="D16" s="18" t="str">
        <x:v>闊劍</x:v>
      </x:c>
      <x:c r="E16" s="14"/>
      <x:c r="F16" s="18" t="str">
        <x:v>彎刀</x:v>
      </x:c>
      <x:c r="G16" s="18" t="str">
        <x:v>精鋼彎刀</x:v>
      </x:c>
      <x:c r="H16" s="18" t="str">
        <x:v>孽魂刃</x:v>
      </x:c>
      <x:c r="I16" s="18" t="str">
        <x:v>天魂刃</x:v>
      </x:c>
      <x:c r="J16" s="14"/>
      <x:c r="K16" s="18" t="str">
        <x:v>如意袖圈</x:v>
      </x:c>
      <x:c r="L16" s="18" t="str">
        <x:v>百鎖連環</x:v>
      </x:c>
      <x:c r="M16" s="18" t="str">
        <x:v>鬼魅無影</x:v>
      </x:c>
      <x:c r="N16" s="18" t="str">
        <x:v>七煞天羅</x:v>
      </x:c>
      <x:c r="O16" s="14"/>
      <x:c r="P16" s="18" t="str">
        <x:v>烈火拂塵</x:v>
      </x:c>
      <x:c r="Q16" s="18" t="str">
        <x:v>風雷拂塵</x:v>
      </x:c>
      <x:c r="R16" s="18" t="str">
        <x:v>朝天拂塵</x:v>
      </x:c>
      <x:c r="S16" s="18" t="str">
        <x:v>潮洋扇</x:v>
      </x:c>
      <x:c r="T16" s="14"/>
      <x:c r="U16" s="18" t="str">
        <x:v>佛光法杖</x:v>
      </x:c>
      <x:c r="V16" s="18" t="str">
        <x:v>慈悲法杖</x:v>
      </x:c>
      <x:c r="W16" s="18" t="str">
        <x:v>白銀禪杖</x:v>
      </x:c>
      <x:c r="X16" s="18" t="str">
        <x:v>水輪法杖</x:v>
      </x:c>
      <x:c r="Y16" s="14"/>
      <x:c r="Z16" s="18" t="str">
        <x:v>精鋼戰戟</x:v>
      </x:c>
      <x:c r="AA16" s="18" t="str">
        <x:v>方天畫戟</x:v>
      </x:c>
      <x:c r="AB16" s="18" t="str">
        <x:v>冰牙戰戟</x:v>
      </x:c>
      <x:c r="AC16" s="18" t="str">
        <x:v>火牙戰戟</x:v>
      </x:c>
      <x:c r="AD16" s="14"/>
      <x:c r="AE16" s="18" t="str">
        <x:v>狼牙棒</x:v>
      </x:c>
      <x:c r="AF16" s="18" t="str">
        <x:v>天狼棒</x:v>
      </x:c>
      <x:c r="AG16" s="18" t="str">
        <x:v>寒鐵棍</x:v>
      </x:c>
      <x:c r="AH16" s="18" t="str">
        <x:v>冰環鋼棍</x:v>
      </x:c>
      <x:c r="AI16" s="14"/>
      <x:c r="AJ16" s="18" t="str">
        <x:v>菱角錘</x:v>
      </x:c>
      <x:c r="AK16" s="18" t="str">
        <x:v>精鋼戰錘</x:v>
      </x:c>
      <x:c r="AL16" s="18" t="str">
        <x:v>碎骨釘錘</x:v>
      </x:c>
      <x:c r="AM16" s="18" t="str">
        <x:v>冰石釘錘</x:v>
      </x:c>
      <x:c r="AN16" s="14"/>
      <x:c r="AO16" s="18" t="str">
        <x:v>戰斧</x:v>
      </x:c>
      <x:c r="AP16" s="18" t="str">
        <x:v>精鋼戰斧</x:v>
      </x:c>
      <x:c r="AQ16" s="18" t="str">
        <x:v>冰刃鋼斧</x:v>
      </x:c>
      <x:c r="AR16" s="18" t="str">
        <x:v>火刃鋼斧</x:v>
      </x:c>
      <x:c r="AS16" s="14"/>
      <x:c r="AT16" s="18" t="str">
        <x:v>驅邪盾</x:v>
      </x:c>
      <x:c r="AU16" s="18" t="str">
        <x:v>闢邪盾</x:v>
      </x:c>
      <x:c r="AV16" s="18" t="str">
        <x:v>鎮邪盾</x:v>
      </x:c>
      <x:c r="AW16" s="18" t="str">
        <x:v>鬼王石牌</x:v>
      </x:c>
      <x:c r="AX16" s="14"/>
      <x:c r="AY16" s="18" t="str">
        <x:v>硬皮盔</x:v>
      </x:c>
      <x:c r="AZ16" s="18" t="str">
        <x:v>獸骨盔</x:v>
      </x:c>
      <x:c r="BA16" s="18" t="str">
        <x:v>抗毒骨盔</x:v>
      </x:c>
      <x:c r="BB16" s="18" t="str">
        <x:v>附靈骨盔</x:v>
      </x:c>
      <x:c r="BC16" s="14"/>
      <x:c r="BD16" s="18" t="str">
        <x:v>長絹甲</x:v>
      </x:c>
      <x:c r="BE16" s="18" t="str">
        <x:v>短皮甲</x:v>
      </x:c>
      <x:c r="BF16" s="18" t="str">
        <x:v>皮甲</x:v>
      </x:c>
      <x:c r="BG16" s="18" t="str">
        <x:v>重皮甲</x:v>
      </x:c>
      <x:c r="BH16" s="14"/>
      <x:c r="BI16" s="18" t="str">
        <x:v>藤護腕</x:v>
      </x:c>
      <x:c r="BJ16" s="18" t="str">
        <x:v>皮護腕</x:v>
      </x:c>
      <x:c r="BK16" s="18" t="str">
        <x:v>鱷皮護腕</x:v>
      </x:c>
      <x:c r="BL16" s="18" t="str">
        <x:v>巨犀護腕</x:v>
      </x:c>
      <x:c r="BM16" s="14"/>
      <x:c r="BN16" s="18" t="str">
        <x:v>鱷皮靴</x:v>
      </x:c>
      <x:c r="BO16" s="18" t="str">
        <x:v>巨犀皮靴</x:v>
      </x:c>
      <x:c r="BP16" s="18" t="str">
        <x:v>鐵鎖戰靴</x:v>
      </x:c>
      <x:c r="BQ16" s="18" t="str">
        <x:v>精鋼戰靴</x:v>
      </x:c>
      <x:c r="BR16" s="14"/>
      <x:c r="BS16" s="18" t="str">
        <x:v>辟邪佛珠</x:v>
      </x:c>
      <x:c r="BT16" s="18" t="str">
        <x:v>定情玉鐲</x:v>
      </x:c>
      <x:c r="BU16" s="18" t="str">
        <x:v>翡翠冷玉</x:v>
      </x:c>
      <x:c r="BV16" s="18" t="str">
        <x:v>辟邪明珠</x:v>
      </x:c>
      <x:c r="BW16" s="14"/>
      <x:c r="BX16" s="18" t="str">
        <x:v>麒麟仙鎖</x:v>
      </x:c>
      <x:c r="BY16" s="18" t="str">
        <x:v>玄蛇仙戒</x:v>
      </x:c>
      <x:c r="BZ16" s="18" t="str">
        <x:v>白蛇仙戒</x:v>
      </x:c>
      <x:c r="CA16" s="18" t="str">
        <x:v>青蛇仙戒</x:v>
      </x:c>
      <x:c r="CB16" s="14"/>
      <x:c r="CC16" s="14" t="str">
        <x:v>20472</x:v>
      </x:c>
      <x:c r="CD16" s="14" t="n">
        <x:v>1</x:v>
      </x:c>
      <x:c r="CE16" s="14" t="n">
        <x:v>5</x:v>
      </x:c>
      <x:c r="CF16" s="14" t="n">
        <x:v>5</x:v>
      </x:c>
      <x:c r="CG16" s="14" t="n">
        <x:v>2</x:v>
      </x:c>
      <x:c r="CH16" s="14" t="n">
        <x:v>1</x:v>
      </x:c>
      <x:c r="CI16" s="14" t="str">
        <x:v>未收錄</x:v>
      </x:c>
      <x:c r="CJ16" s="14" t="str">
        <x:v>20040</x:v>
      </x:c>
      <x:c r="CK16" s="14" t="n">
        <x:v>1</x:v>
      </x:c>
      <x:c r="CL16" s="14" t="n">
        <x:v>6</x:v>
      </x:c>
      <x:c r="CM16" s="14" t="n">
        <x:v>6</x:v>
      </x:c>
      <x:c r="CN16" s="14" t="n">
        <x:v>2</x:v>
      </x:c>
      <x:c r="CO16" s="14" t="n">
        <x:v>2</x:v>
      </x:c>
      <x:c r="CP16" s="14" t="str">
        <x:v>未收錄</x:v>
      </x:c>
      <x:c r="CQ16" s="14" t="str">
        <x:v>20384</x:v>
      </x:c>
      <x:c r="CR16" s="14" t="n">
        <x:v>1</x:v>
      </x:c>
      <x:c r="CS16" s="14" t="n">
        <x:v>7</x:v>
      </x:c>
      <x:c r="CT16" s="14" t="n">
        <x:v>7</x:v>
      </x:c>
      <x:c r="CU16" s="14" t="n">
        <x:v>2</x:v>
      </x:c>
      <x:c r="CV16" s="14" t="n">
        <x:v>3</x:v>
      </x:c>
      <x:c r="CW16" s="14" t="str">
        <x:v>未收錄</x:v>
      </x:c>
      <x:c r="CX16" s="14" t="str">
        <x:v>20041</x:v>
      </x:c>
      <x:c r="CY16" s="14" t="n">
        <x:v>1</x:v>
      </x:c>
      <x:c r="CZ16" s="14" t="n">
        <x:v>8</x:v>
      </x:c>
      <x:c r="DA16" s="14" t="n">
        <x:v>8</x:v>
      </x:c>
      <x:c r="DB16" s="14" t="n">
        <x:v>2</x:v>
      </x:c>
      <x:c r="DC16" s="14" t="n">
        <x:v>4</x:v>
      </x:c>
      <x:c r="DD16" s="14" t="str">
        <x:v>未收錄</x:v>
      </x:c>
      <x:c r="DE16" s="14" t="str">
        <x:v>20045</x:v>
      </x:c>
      <x:c r="DF16" s="14" t="n">
        <x:v>1</x:v>
      </x:c>
      <x:c r="DG16" s="14" t="n">
        <x:v>250</x:v>
      </x:c>
      <x:c r="DH16" s="14" t="n">
        <x:v>5</x:v>
      </x:c>
      <x:c r="DI16" s="14" t="n">
        <x:v>2</x:v>
      </x:c>
      <x:c r="DJ16" s="14" t="n">
        <x:v>1</x:v>
      </x:c>
      <x:c r="DK16" s="14" t="str">
        <x:v>未收錄</x:v>
      </x:c>
      <x:c r="DL16" s="14" t="str">
        <x:v>20689</x:v>
      </x:c>
      <x:c r="DM16" s="14" t="n">
        <x:v>1</x:v>
      </x:c>
      <x:c r="DN16" s="14" t="n">
        <x:v>251</x:v>
      </x:c>
      <x:c r="DO16" s="14" t="n">
        <x:v>6</x:v>
      </x:c>
      <x:c r="DP16" s="14" t="n">
        <x:v>2</x:v>
      </x:c>
      <x:c r="DQ16" s="14" t="n">
        <x:v>2</x:v>
      </x:c>
      <x:c r="DR16" s="14" t="str">
        <x:v>未收錄</x:v>
      </x:c>
      <x:c r="DS16" s="14" t="str">
        <x:v>20474</x:v>
      </x:c>
      <x:c r="DT16" s="14" t="n">
        <x:v>1</x:v>
      </x:c>
      <x:c r="DU16" s="14" t="n">
        <x:v>252</x:v>
      </x:c>
      <x:c r="DV16" s="14" t="n">
        <x:v>7</x:v>
      </x:c>
      <x:c r="DW16" s="14" t="n">
        <x:v>2</x:v>
      </x:c>
      <x:c r="DX16" s="14" t="n">
        <x:v>3</x:v>
      </x:c>
      <x:c r="DY16" s="14" t="str">
        <x:v>未收錄</x:v>
      </x:c>
      <x:c r="DZ16" s="14" t="str">
        <x:v>20685</x:v>
      </x:c>
      <x:c r="EA16" s="14" t="n">
        <x:v>1</x:v>
      </x:c>
      <x:c r="EB16" s="14" t="n">
        <x:v>253</x:v>
      </x:c>
      <x:c r="EC16" s="14" t="n">
        <x:v>8</x:v>
      </x:c>
      <x:c r="ED16" s="14" t="n">
        <x:v>2</x:v>
      </x:c>
      <x:c r="EE16" s="14" t="n">
        <x:v>4</x:v>
      </x:c>
      <x:c r="EF16" s="14" t="str">
        <x:v>未收錄</x:v>
      </x:c>
      <x:c r="EG16" s="14" t="str">
        <x:v>21447</x:v>
      </x:c>
      <x:c r="EH16" s="14" t="n">
        <x:v>8</x:v>
      </x:c>
      <x:c r="EI16" s="14" t="n">
        <x:v>486</x:v>
      </x:c>
      <x:c r="EJ16" s="14" t="n">
        <x:v>5</x:v>
      </x:c>
      <x:c r="EK16" s="14" t="n">
        <x:v>2</x:v>
      </x:c>
      <x:c r="EL16" s="14" t="n">
        <x:v>1</x:v>
      </x:c>
      <x:c r="EM16" s="14" t="str">
        <x:v>未收錄</x:v>
      </x:c>
      <x:c r="EN16" s="14" t="str">
        <x:v>21456</x:v>
      </x:c>
      <x:c r="EO16" s="14" t="n">
        <x:v>8</x:v>
      </x:c>
      <x:c r="EP16" s="14" t="n">
        <x:v>487</x:v>
      </x:c>
      <x:c r="EQ16" s="14" t="n">
        <x:v>6</x:v>
      </x:c>
      <x:c r="ER16" s="14" t="n">
        <x:v>2</x:v>
      </x:c>
      <x:c r="ES16" s="14" t="n">
        <x:v>2</x:v>
      </x:c>
      <x:c r="ET16" s="14" t="str">
        <x:v>未收錄</x:v>
      </x:c>
      <x:c r="EU16" s="14" t="str">
        <x:v>21457</x:v>
      </x:c>
      <x:c r="EV16" s="14" t="n">
        <x:v>8</x:v>
      </x:c>
      <x:c r="EW16" s="14" t="n">
        <x:v>488</x:v>
      </x:c>
      <x:c r="EX16" s="14" t="n">
        <x:v>7</x:v>
      </x:c>
      <x:c r="EY16" s="14" t="n">
        <x:v>2</x:v>
      </x:c>
      <x:c r="EZ16" s="14" t="n">
        <x:v>3</x:v>
      </x:c>
      <x:c r="FA16" s="14" t="str">
        <x:v>未收錄</x:v>
      </x:c>
      <x:c r="FB16" s="14" t="str">
        <x:v>21554</x:v>
      </x:c>
      <x:c r="FC16" s="14" t="n">
        <x:v>8</x:v>
      </x:c>
      <x:c r="FD16" s="14" t="n">
        <x:v>489</x:v>
      </x:c>
      <x:c r="FE16" s="14" t="n">
        <x:v>8</x:v>
      </x:c>
      <x:c r="FF16" s="14" t="n">
        <x:v>2</x:v>
      </x:c>
      <x:c r="FG16" s="14" t="n">
        <x:v>4</x:v>
      </x:c>
      <x:c r="FH16" s="14" t="str">
        <x:v>未收錄</x:v>
      </x:c>
      <x:c r="FI16" s="14" t="str">
        <x:v>20399</x:v>
      </x:c>
      <x:c r="FJ16" s="14" t="n">
        <x:v>1</x:v>
      </x:c>
      <x:c r="FK16" s="14" t="n">
        <x:v>636</x:v>
      </x:c>
      <x:c r="FL16" s="14" t="n">
        <x:v>5</x:v>
      </x:c>
      <x:c r="FM16" s="14" t="n">
        <x:v>2</x:v>
      </x:c>
      <x:c r="FN16" s="14" t="n">
        <x:v>1</x:v>
      </x:c>
      <x:c r="FO16" s="14" t="str">
        <x:v>未收錄</x:v>
      </x:c>
      <x:c r="FP16" s="14" t="str">
        <x:v>20400</x:v>
      </x:c>
      <x:c r="FQ16" s="14" t="n">
        <x:v>1</x:v>
      </x:c>
      <x:c r="FR16" s="14" t="n">
        <x:v>637</x:v>
      </x:c>
      <x:c r="FS16" s="14" t="n">
        <x:v>6</x:v>
      </x:c>
      <x:c r="FT16" s="14" t="n">
        <x:v>2</x:v>
      </x:c>
      <x:c r="FU16" s="14" t="n">
        <x:v>2</x:v>
      </x:c>
      <x:c r="FV16" s="14" t="str">
        <x:v>未收錄</x:v>
      </x:c>
      <x:c r="FW16" s="14" t="str">
        <x:v>26168</x:v>
      </x:c>
      <x:c r="FX16" s="14" t="n">
        <x:v>1</x:v>
      </x:c>
      <x:c r="FY16" s="14" t="n">
        <x:v>638</x:v>
      </x:c>
      <x:c r="FZ16" s="14" t="n">
        <x:v>7</x:v>
      </x:c>
      <x:c r="GA16" s="14" t="n">
        <x:v>2</x:v>
      </x:c>
      <x:c r="GB16" s="14" t="n">
        <x:v>3</x:v>
      </x:c>
      <x:c r="GC16" s="14" t="str">
        <x:v>未收錄</x:v>
      </x:c>
      <x:c r="GD16" s="14" t="str">
        <x:v>26176</x:v>
      </x:c>
      <x:c r="GE16" s="14" t="n">
        <x:v>1</x:v>
      </x:c>
      <x:c r="GF16" s="14" t="n">
        <x:v>639</x:v>
      </x:c>
      <x:c r="GG16" s="14" t="n">
        <x:v>8</x:v>
      </x:c>
      <x:c r="GH16" s="14" t="n">
        <x:v>2</x:v>
      </x:c>
      <x:c r="GI16" s="14" t="n">
        <x:v>4</x:v>
      </x:c>
      <x:c r="GJ16" s="14" t="str">
        <x:v>未收錄</x:v>
      </x:c>
      <x:c r="GK16" s="14" t="str">
        <x:v>20402</x:v>
      </x:c>
      <x:c r="GL16" s="14" t="n">
        <x:v>1</x:v>
      </x:c>
      <x:c r="GM16" s="14" t="n">
        <x:v>808</x:v>
      </x:c>
      <x:c r="GN16" s="14" t="n">
        <x:v>5</x:v>
      </x:c>
      <x:c r="GO16" s="14" t="n">
        <x:v>2</x:v>
      </x:c>
      <x:c r="GP16" s="14" t="n">
        <x:v>1</x:v>
      </x:c>
      <x:c r="GQ16" s="14" t="str">
        <x:v>未收錄</x:v>
      </x:c>
      <x:c r="GR16" s="14" t="str">
        <x:v>20403</x:v>
      </x:c>
      <x:c r="GS16" s="14" t="n">
        <x:v>1</x:v>
      </x:c>
      <x:c r="GT16" s="14" t="n">
        <x:v>809</x:v>
      </x:c>
      <x:c r="GU16" s="14" t="n">
        <x:v>6</x:v>
      </x:c>
      <x:c r="GV16" s="14" t="n">
        <x:v>2</x:v>
      </x:c>
      <x:c r="GW16" s="14" t="n">
        <x:v>2</x:v>
      </x:c>
      <x:c r="GX16" s="14" t="str">
        <x:v>未收錄</x:v>
      </x:c>
      <x:c r="GY16" s="14" t="str">
        <x:v>20819</x:v>
      </x:c>
      <x:c r="GZ16" s="14" t="n">
        <x:v>1</x:v>
      </x:c>
      <x:c r="HA16" s="14" t="n">
        <x:v>810</x:v>
      </x:c>
      <x:c r="HB16" s="14" t="n">
        <x:v>7</x:v>
      </x:c>
      <x:c r="HC16" s="14" t="n">
        <x:v>2</x:v>
      </x:c>
      <x:c r="HD16" s="14" t="n">
        <x:v>3</x:v>
      </x:c>
      <x:c r="HE16" s="14" t="str">
        <x:v>未收錄</x:v>
      </x:c>
      <x:c r="HF16" s="14" t="str">
        <x:v>20820</x:v>
      </x:c>
      <x:c r="HG16" s="14" t="n">
        <x:v>1</x:v>
      </x:c>
      <x:c r="HH16" s="14" t="n">
        <x:v>811</x:v>
      </x:c>
      <x:c r="HI16" s="14" t="n">
        <x:v>8</x:v>
      </x:c>
      <x:c r="HJ16" s="14" t="n">
        <x:v>2</x:v>
      </x:c>
      <x:c r="HK16" s="14" t="n">
        <x:v>4</x:v>
      </x:c>
      <x:c r="HL16" s="14" t="str">
        <x:v>未收錄</x:v>
      </x:c>
      <x:c r="HM16" s="14" t="str">
        <x:v>20696</x:v>
      </x:c>
      <x:c r="HN16" s="14" t="n">
        <x:v>1</x:v>
      </x:c>
      <x:c r="HO16" s="14" t="n">
        <x:v>981</x:v>
      </x:c>
      <x:c r="HP16" s="14" t="n">
        <x:v>5</x:v>
      </x:c>
      <x:c r="HQ16" s="14" t="n">
        <x:v>2</x:v>
      </x:c>
      <x:c r="HR16" s="14" t="n">
        <x:v>1</x:v>
      </x:c>
      <x:c r="HS16" s="14" t="str">
        <x:v>未收錄</x:v>
      </x:c>
      <x:c r="HT16" s="14" t="str">
        <x:v>20799</x:v>
      </x:c>
      <x:c r="HU16" s="14" t="n">
        <x:v>1</x:v>
      </x:c>
      <x:c r="HV16" s="14" t="n">
        <x:v>982</x:v>
      </x:c>
      <x:c r="HW16" s="14" t="n">
        <x:v>6</x:v>
      </x:c>
      <x:c r="HX16" s="14" t="n">
        <x:v>2</x:v>
      </x:c>
      <x:c r="HY16" s="14" t="n">
        <x:v>2</x:v>
      </x:c>
      <x:c r="HZ16" s="14" t="str">
        <x:v>未收錄</x:v>
      </x:c>
      <x:c r="IA16" s="14" t="str">
        <x:v>20800</x:v>
      </x:c>
      <x:c r="IB16" s="14" t="n">
        <x:v>1</x:v>
      </x:c>
      <x:c r="IC16" s="14" t="n">
        <x:v>983</x:v>
      </x:c>
      <x:c r="ID16" s="14" t="n">
        <x:v>7</x:v>
      </x:c>
      <x:c r="IE16" s="14" t="n">
        <x:v>2</x:v>
      </x:c>
      <x:c r="IF16" s="14" t="n">
        <x:v>3</x:v>
      </x:c>
      <x:c r="IG16" s="14" t="str">
        <x:v>未收錄</x:v>
      </x:c>
      <x:c r="IH16" s="14" t="str">
        <x:v>20801</x:v>
      </x:c>
      <x:c r="II16" s="14" t="n">
        <x:v>1</x:v>
      </x:c>
      <x:c r="IJ16" s="14" t="n">
        <x:v>984</x:v>
      </x:c>
      <x:c r="IK16" s="14" t="n">
        <x:v>8</x:v>
      </x:c>
      <x:c r="IL16" s="14" t="n">
        <x:v>2</x:v>
      </x:c>
      <x:c r="IM16" s="14" t="n">
        <x:v>4</x:v>
      </x:c>
      <x:c r="IN16" s="14" t="str">
        <x:v>未收錄</x:v>
      </x:c>
      <x:c r="IO16" s="14" t="str">
        <x:v>20058</x:v>
      </x:c>
      <x:c r="IP16" s="14" t="n">
        <x:v>1</x:v>
      </x:c>
      <x:c r="IQ16" s="14" t="n">
        <x:v>1149</x:v>
      </x:c>
      <x:c r="IR16" s="14" t="n">
        <x:v>5</x:v>
      </x:c>
      <x:c r="IS16" s="14" t="n">
        <x:v>2</x:v>
      </x:c>
      <x:c r="IT16" s="14" t="n">
        <x:v>1</x:v>
      </x:c>
      <x:c r="IU16" s="14" t="str">
        <x:v>未收錄</x:v>
      </x:c>
      <x:c r="IV16" s="14" t="str">
        <x:v>20697</x:v>
      </x:c>
      <x:c r="IW16" s="14" t="n">
        <x:v>1</x:v>
      </x:c>
      <x:c r="IX16" s="14" t="n">
        <x:v>1150</x:v>
      </x:c>
      <x:c r="IY16" s="14" t="n">
        <x:v>6</x:v>
      </x:c>
      <x:c r="IZ16" s="14" t="n">
        <x:v>2</x:v>
      </x:c>
      <x:c r="JA16" s="14" t="n">
        <x:v>2</x:v>
      </x:c>
      <x:c r="JB16" s="14" t="str">
        <x:v>未收錄</x:v>
      </x:c>
      <x:c r="JC16" s="14" t="str">
        <x:v>20784</x:v>
      </x:c>
      <x:c r="JD16" s="14" t="n">
        <x:v>1</x:v>
      </x:c>
      <x:c r="JE16" s="14" t="n">
        <x:v>1151</x:v>
      </x:c>
      <x:c r="JF16" s="14" t="n">
        <x:v>7</x:v>
      </x:c>
      <x:c r="JG16" s="14" t="n">
        <x:v>2</x:v>
      </x:c>
      <x:c r="JH16" s="14" t="n">
        <x:v>3</x:v>
      </x:c>
      <x:c r="JI16" s="14" t="str">
        <x:v>未收錄</x:v>
      </x:c>
      <x:c r="JJ16" s="14" t="str">
        <x:v>20785</x:v>
      </x:c>
      <x:c r="JK16" s="14" t="n">
        <x:v>1</x:v>
      </x:c>
      <x:c r="JL16" s="14" t="n">
        <x:v>1152</x:v>
      </x:c>
      <x:c r="JM16" s="14" t="n">
        <x:v>8</x:v>
      </x:c>
      <x:c r="JN16" s="14" t="n">
        <x:v>2</x:v>
      </x:c>
      <x:c r="JO16" s="14" t="n">
        <x:v>4</x:v>
      </x:c>
      <x:c r="JP16" s="14" t="str">
        <x:v>未收錄</x:v>
      </x:c>
      <x:c r="JQ16" s="14" t="str">
        <x:v>20052</x:v>
      </x:c>
      <x:c r="JR16" s="14" t="n">
        <x:v>1</x:v>
      </x:c>
      <x:c r="JS16" s="14" t="n">
        <x:v>1316</x:v>
      </x:c>
      <x:c r="JT16" s="14" t="n">
        <x:v>5</x:v>
      </x:c>
      <x:c r="JU16" s="14" t="n">
        <x:v>2</x:v>
      </x:c>
      <x:c r="JV16" s="14" t="n">
        <x:v>1</x:v>
      </x:c>
      <x:c r="JW16" s="14" t="str">
        <x:v>未收錄</x:v>
      </x:c>
      <x:c r="JX16" s="14" t="str">
        <x:v>20694</x:v>
      </x:c>
      <x:c r="JY16" s="14" t="n">
        <x:v>1</x:v>
      </x:c>
      <x:c r="JZ16" s="14" t="n">
        <x:v>1317</x:v>
      </x:c>
      <x:c r="KA16" s="14" t="n">
        <x:v>6</x:v>
      </x:c>
      <x:c r="KB16" s="14" t="n">
        <x:v>2</x:v>
      </x:c>
      <x:c r="KC16" s="14" t="n">
        <x:v>2</x:v>
      </x:c>
      <x:c r="KD16" s="14" t="str">
        <x:v>未收錄</x:v>
      </x:c>
      <x:c r="KE16" s="14" t="str">
        <x:v>20809</x:v>
      </x:c>
      <x:c r="KF16" s="14" t="n">
        <x:v>1</x:v>
      </x:c>
      <x:c r="KG16" s="14" t="n">
        <x:v>1318</x:v>
      </x:c>
      <x:c r="KH16" s="14" t="n">
        <x:v>7</x:v>
      </x:c>
      <x:c r="KI16" s="14" t="n">
        <x:v>2</x:v>
      </x:c>
      <x:c r="KJ16" s="14" t="n">
        <x:v>3</x:v>
      </x:c>
      <x:c r="KK16" s="14" t="str">
        <x:v>未收錄</x:v>
      </x:c>
      <x:c r="KL16" s="14" t="str">
        <x:v>20810</x:v>
      </x:c>
      <x:c r="KM16" s="14" t="n">
        <x:v>1</x:v>
      </x:c>
      <x:c r="KN16" s="14" t="n">
        <x:v>1319</x:v>
      </x:c>
      <x:c r="KO16" s="14" t="n">
        <x:v>8</x:v>
      </x:c>
      <x:c r="KP16" s="14" t="n">
        <x:v>2</x:v>
      </x:c>
      <x:c r="KQ16" s="14" t="n">
        <x:v>4</x:v>
      </x:c>
      <x:c r="KR16" s="14" t="str">
        <x:v>未收錄</x:v>
      </x:c>
      <x:c r="KS16" s="14" t="str">
        <x:v>20049</x:v>
      </x:c>
      <x:c r="KT16" s="14" t="n">
        <x:v>1</x:v>
      </x:c>
      <x:c r="KU16" s="14" t="n">
        <x:v>1431</x:v>
      </x:c>
      <x:c r="KV16" s="14" t="n">
        <x:v>5</x:v>
      </x:c>
      <x:c r="KW16" s="14" t="n">
        <x:v>2</x:v>
      </x:c>
      <x:c r="KX16" s="14" t="n">
        <x:v>1</x:v>
      </x:c>
      <x:c r="KY16" s="14" t="str">
        <x:v>未收錄</x:v>
      </x:c>
      <x:c r="KZ16" s="14" t="str">
        <x:v>20692</x:v>
      </x:c>
      <x:c r="LA16" s="14" t="n">
        <x:v>1</x:v>
      </x:c>
      <x:c r="LB16" s="14" t="n">
        <x:v>1432</x:v>
      </x:c>
      <x:c r="LC16" s="14" t="n">
        <x:v>6</x:v>
      </x:c>
      <x:c r="LD16" s="14" t="n">
        <x:v>2</x:v>
      </x:c>
      <x:c r="LE16" s="14" t="n">
        <x:v>2</x:v>
      </x:c>
      <x:c r="LF16" s="14" t="str">
        <x:v>未收錄</x:v>
      </x:c>
      <x:c r="LG16" s="14" t="str">
        <x:v>20805</x:v>
      </x:c>
      <x:c r="LH16" s="14" t="n">
        <x:v>1</x:v>
      </x:c>
      <x:c r="LI16" s="14" t="n">
        <x:v>1433</x:v>
      </x:c>
      <x:c r="LJ16" s="14" t="n">
        <x:v>7</x:v>
      </x:c>
      <x:c r="LK16" s="14" t="n">
        <x:v>2</x:v>
      </x:c>
      <x:c r="LL16" s="14" t="n">
        <x:v>3</x:v>
      </x:c>
      <x:c r="LM16" s="14" t="str">
        <x:v>未收錄</x:v>
      </x:c>
      <x:c r="LN16" s="14" t="str">
        <x:v>20806</x:v>
      </x:c>
      <x:c r="LO16" s="14" t="n">
        <x:v>1</x:v>
      </x:c>
      <x:c r="LP16" s="14" t="n">
        <x:v>1434</x:v>
      </x:c>
      <x:c r="LQ16" s="14" t="n">
        <x:v>8</x:v>
      </x:c>
      <x:c r="LR16" s="14" t="n">
        <x:v>2</x:v>
      </x:c>
      <x:c r="LS16" s="14" t="n">
        <x:v>4</x:v>
      </x:c>
      <x:c r="LT16" s="14" t="str">
        <x:v>未收錄</x:v>
      </x:c>
      <x:c r="LU16" s="14" t="str">
        <x:v>20702</x:v>
      </x:c>
      <x:c r="LV16" s="14" t="n">
        <x:v>1</x:v>
      </x:c>
      <x:c r="LW16" s="14" t="n">
        <x:v>1544</x:v>
      </x:c>
      <x:c r="LX16" s="14" t="n">
        <x:v>5</x:v>
      </x:c>
      <x:c r="LY16" s="14" t="n">
        <x:v>2</x:v>
      </x:c>
      <x:c r="LZ16" s="14" t="n">
        <x:v>1</x:v>
      </x:c>
      <x:c r="MA16" s="14" t="str">
        <x:v>未收錄</x:v>
      </x:c>
      <x:c r="MB16" s="14" t="str">
        <x:v>20703</x:v>
      </x:c>
      <x:c r="MC16" s="14" t="n">
        <x:v>1</x:v>
      </x:c>
      <x:c r="MD16" s="14" t="n">
        <x:v>1545</x:v>
      </x:c>
      <x:c r="ME16" s="14" t="n">
        <x:v>6</x:v>
      </x:c>
      <x:c r="MF16" s="14" t="n">
        <x:v>2</x:v>
      </x:c>
      <x:c r="MG16" s="14" t="n">
        <x:v>2</x:v>
      </x:c>
      <x:c r="MH16" s="14" t="str">
        <x:v>未收錄</x:v>
      </x:c>
      <x:c r="MI16" s="14" t="str">
        <x:v>20704</x:v>
      </x:c>
      <x:c r="MJ16" s="14" t="n">
        <x:v>1</x:v>
      </x:c>
      <x:c r="MK16" s="14" t="n">
        <x:v>1546</x:v>
      </x:c>
      <x:c r="ML16" s="14" t="n">
        <x:v>7</x:v>
      </x:c>
      <x:c r="MM16" s="14" t="n">
        <x:v>2</x:v>
      </x:c>
      <x:c r="MN16" s="14" t="n">
        <x:v>3</x:v>
      </x:c>
      <x:c r="MO16" s="14" t="str">
        <x:v>未收錄</x:v>
      </x:c>
      <x:c r="MP16" s="14" t="str">
        <x:v>20942</x:v>
      </x:c>
      <x:c r="MQ16" s="14" t="n">
        <x:v>1</x:v>
      </x:c>
      <x:c r="MR16" s="14" t="n">
        <x:v>1547</x:v>
      </x:c>
      <x:c r="MS16" s="14" t="n">
        <x:v>8</x:v>
      </x:c>
      <x:c r="MT16" s="14" t="n">
        <x:v>2</x:v>
      </x:c>
      <x:c r="MU16" s="14" t="n">
        <x:v>4</x:v>
      </x:c>
      <x:c r="MV16" s="14" t="str">
        <x:v>未收錄</x:v>
      </x:c>
      <x:c r="MW16" s="14" t="str">
        <x:v>20441</x:v>
      </x:c>
      <x:c r="MX16" s="14" t="n">
        <x:v>1</x:v>
      </x:c>
      <x:c r="MY16" s="14" t="n">
        <x:v>1653</x:v>
      </x:c>
      <x:c r="MZ16" s="14" t="n">
        <x:v>5</x:v>
      </x:c>
      <x:c r="NA16" s="14" t="n">
        <x:v>2</x:v>
      </x:c>
      <x:c r="NB16" s="14" t="n">
        <x:v>1</x:v>
      </x:c>
      <x:c r="NC16" s="14" t="str">
        <x:v>未收錄</x:v>
      </x:c>
      <x:c r="ND16" s="14" t="str">
        <x:v>20007</x:v>
      </x:c>
      <x:c r="NE16" s="14" t="n">
        <x:v>1</x:v>
      </x:c>
      <x:c r="NF16" s="14" t="n">
        <x:v>1654</x:v>
      </x:c>
      <x:c r="NG16" s="14" t="n">
        <x:v>6</x:v>
      </x:c>
      <x:c r="NH16" s="14" t="n">
        <x:v>2</x:v>
      </x:c>
      <x:c r="NI16" s="14" t="n">
        <x:v>2</x:v>
      </x:c>
      <x:c r="NJ16" s="14" t="str">
        <x:v>未收錄</x:v>
      </x:c>
      <x:c r="NK16" s="14" t="str">
        <x:v>20457</x:v>
      </x:c>
      <x:c r="NL16" s="14" t="n">
        <x:v>1</x:v>
      </x:c>
      <x:c r="NM16" s="14" t="n">
        <x:v>1655</x:v>
      </x:c>
      <x:c r="NN16" s="14" t="n">
        <x:v>7</x:v>
      </x:c>
      <x:c r="NO16" s="14" t="n">
        <x:v>2</x:v>
      </x:c>
      <x:c r="NP16" s="14" t="n">
        <x:v>3</x:v>
      </x:c>
      <x:c r="NQ16" s="14" t="str">
        <x:v>未收錄</x:v>
      </x:c>
      <x:c r="NR16" s="14" t="str">
        <x:v>20458</x:v>
      </x:c>
      <x:c r="NS16" s="14" t="n">
        <x:v>1</x:v>
      </x:c>
      <x:c r="NT16" s="14" t="n">
        <x:v>1656</x:v>
      </x:c>
      <x:c r="NU16" s="14" t="n">
        <x:v>8</x:v>
      </x:c>
      <x:c r="NV16" s="14" t="n">
        <x:v>2</x:v>
      </x:c>
      <x:c r="NW16" s="14" t="n">
        <x:v>4</x:v>
      </x:c>
      <x:c r="NX16" s="14" t="str">
        <x:v>未收錄</x:v>
      </x:c>
      <x:c r="NY16" s="14" t="str">
        <x:v>20015</x:v>
      </x:c>
      <x:c r="NZ16" s="14" t="n">
        <x:v>1</x:v>
      </x:c>
      <x:c r="OA16" s="14" t="n">
        <x:v>2106</x:v>
      </x:c>
      <x:c r="OB16" s="14" t="n">
        <x:v>5</x:v>
      </x:c>
      <x:c r="OC16" s="14" t="n">
        <x:v>2</x:v>
      </x:c>
      <x:c r="OD16" s="14" t="n">
        <x:v>1</x:v>
      </x:c>
      <x:c r="OE16" s="14" t="str">
        <x:v>未收錄</x:v>
      </x:c>
      <x:c r="OF16" s="14" t="str">
        <x:v>20016</x:v>
      </x:c>
      <x:c r="OG16" s="14" t="n">
        <x:v>1</x:v>
      </x:c>
      <x:c r="OH16" s="14" t="n">
        <x:v>2107</x:v>
      </x:c>
      <x:c r="OI16" s="14" t="n">
        <x:v>6</x:v>
      </x:c>
      <x:c r="OJ16" s="14" t="n">
        <x:v>2</x:v>
      </x:c>
      <x:c r="OK16" s="14" t="n">
        <x:v>2</x:v>
      </x:c>
      <x:c r="OL16" s="14" t="str">
        <x:v>未收錄</x:v>
      </x:c>
      <x:c r="OM16" s="14" t="str">
        <x:v>20017</x:v>
      </x:c>
      <x:c r="ON16" s="14" t="n">
        <x:v>1</x:v>
      </x:c>
      <x:c r="OO16" s="14" t="n">
        <x:v>2108</x:v>
      </x:c>
      <x:c r="OP16" s="14" t="n">
        <x:v>7</x:v>
      </x:c>
      <x:c r="OQ16" s="14" t="n">
        <x:v>2</x:v>
      </x:c>
      <x:c r="OR16" s="14" t="n">
        <x:v>3</x:v>
      </x:c>
      <x:c r="OS16" s="14" t="str">
        <x:v>未收錄</x:v>
      </x:c>
      <x:c r="OT16" s="14" t="str">
        <x:v>20018</x:v>
      </x:c>
      <x:c r="OU16" s="14" t="n">
        <x:v>1</x:v>
      </x:c>
      <x:c r="OV16" s="14" t="n">
        <x:v>2109</x:v>
      </x:c>
      <x:c r="OW16" s="14" t="n">
        <x:v>8</x:v>
      </x:c>
      <x:c r="OX16" s="14" t="n">
        <x:v>2</x:v>
      </x:c>
      <x:c r="OY16" s="14" t="n">
        <x:v>4</x:v>
      </x:c>
      <x:c r="OZ16" s="14" t="str">
        <x:v>未收錄</x:v>
      </x:c>
      <x:c r="PA16" s="14" t="str">
        <x:v>20001</x:v>
      </x:c>
      <x:c r="PB16" s="14" t="n">
        <x:v>1</x:v>
      </x:c>
      <x:c r="PC16" s="14" t="n">
        <x:v>2652</x:v>
      </x:c>
      <x:c r="PD16" s="14" t="n">
        <x:v>5</x:v>
      </x:c>
      <x:c r="PE16" s="14" t="n">
        <x:v>2</x:v>
      </x:c>
      <x:c r="PF16" s="14" t="n">
        <x:v>1</x:v>
      </x:c>
      <x:c r="PG16" s="14" t="str">
        <x:v>未收錄</x:v>
      </x:c>
      <x:c r="PH16" s="14" t="str">
        <x:v>20495</x:v>
      </x:c>
      <x:c r="PI16" s="14" t="n">
        <x:v>1</x:v>
      </x:c>
      <x:c r="PJ16" s="14" t="n">
        <x:v>2653</x:v>
      </x:c>
      <x:c r="PK16" s="14" t="n">
        <x:v>6</x:v>
      </x:c>
      <x:c r="PL16" s="14" t="n">
        <x:v>2</x:v>
      </x:c>
      <x:c r="PM16" s="14" t="n">
        <x:v>2</x:v>
      </x:c>
      <x:c r="PN16" s="14" t="str">
        <x:v>未收錄</x:v>
      </x:c>
      <x:c r="PO16" s="14" t="str">
        <x:v>20030</x:v>
      </x:c>
      <x:c r="PP16" s="14" t="n">
        <x:v>1</x:v>
      </x:c>
      <x:c r="PQ16" s="14" t="n">
        <x:v>2654</x:v>
      </x:c>
      <x:c r="PR16" s="14" t="n">
        <x:v>7</x:v>
      </x:c>
      <x:c r="PS16" s="14" t="n">
        <x:v>2</x:v>
      </x:c>
      <x:c r="PT16" s="14" t="n">
        <x:v>3</x:v>
      </x:c>
      <x:c r="PU16" s="14" t="str">
        <x:v>未收錄</x:v>
      </x:c>
      <x:c r="PV16" s="14" t="str">
        <x:v>20031</x:v>
      </x:c>
      <x:c r="PW16" s="14" t="n">
        <x:v>1</x:v>
      </x:c>
      <x:c r="PX16" s="14" t="n">
        <x:v>2655</x:v>
      </x:c>
      <x:c r="PY16" s="14" t="n">
        <x:v>8</x:v>
      </x:c>
      <x:c r="PZ16" s="14" t="n">
        <x:v>2</x:v>
      </x:c>
      <x:c r="QA16" s="14" t="n">
        <x:v>4</x:v>
      </x:c>
      <x:c r="QB16" s="14" t="str">
        <x:v>未收錄</x:v>
      </x:c>
      <x:c r="QC16" s="14" t="str">
        <x:v>20502</x:v>
      </x:c>
      <x:c r="QD16" s="14" t="n">
        <x:v>1</x:v>
      </x:c>
      <x:c r="QE16" s="14" t="n">
        <x:v>3089</x:v>
      </x:c>
      <x:c r="QF16" s="14" t="n">
        <x:v>5</x:v>
      </x:c>
      <x:c r="QG16" s="14" t="n">
        <x:v>2</x:v>
      </x:c>
      <x:c r="QH16" s="14" t="n">
        <x:v>1</x:v>
      </x:c>
      <x:c r="QI16" s="14" t="str">
        <x:v>未收錄</x:v>
      </x:c>
      <x:c r="QJ16" s="14" t="str">
        <x:v>20037</x:v>
      </x:c>
      <x:c r="QK16" s="14" t="n">
        <x:v>1</x:v>
      </x:c>
      <x:c r="QL16" s="14" t="n">
        <x:v>3090</x:v>
      </x:c>
      <x:c r="QM16" s="14" t="n">
        <x:v>6</x:v>
      </x:c>
      <x:c r="QN16" s="14" t="n">
        <x:v>2</x:v>
      </x:c>
      <x:c r="QO16" s="14" t="n">
        <x:v>2</x:v>
      </x:c>
      <x:c r="QP16" s="14" t="str">
        <x:v>未收錄</x:v>
      </x:c>
      <x:c r="QQ16" s="14" t="str">
        <x:v>20505</x:v>
      </x:c>
      <x:c r="QR16" s="14" t="n">
        <x:v>1</x:v>
      </x:c>
      <x:c r="QS16" s="14" t="n">
        <x:v>3091</x:v>
      </x:c>
      <x:c r="QT16" s="14" t="n">
        <x:v>7</x:v>
      </x:c>
      <x:c r="QU16" s="14" t="n">
        <x:v>2</x:v>
      </x:c>
      <x:c r="QV16" s="14" t="n">
        <x:v>3</x:v>
      </x:c>
      <x:c r="QW16" s="14" t="str">
        <x:v>未收錄</x:v>
      </x:c>
      <x:c r="QX16" s="14" t="str">
        <x:v>20506</x:v>
      </x:c>
      <x:c r="QY16" s="14" t="n">
        <x:v>1</x:v>
      </x:c>
      <x:c r="QZ16" s="14" t="n">
        <x:v>3092</x:v>
      </x:c>
      <x:c r="RA16" s="14" t="n">
        <x:v>8</x:v>
      </x:c>
      <x:c r="RB16" s="14" t="n">
        <x:v>2</x:v>
      </x:c>
      <x:c r="RC16" s="14" t="n">
        <x:v>4</x:v>
      </x:c>
      <x:c r="RD16" s="14" t="str">
        <x:v>未收錄</x:v>
      </x:c>
      <x:c r="RE16" s="14" t="str">
        <x:v>20286</x:v>
      </x:c>
      <x:c r="RF16" s="14" t="n">
        <x:v>2</x:v>
      </x:c>
      <x:c r="RG16" s="14" t="n">
        <x:v>3550</x:v>
      </x:c>
      <x:c r="RH16" s="14" t="n">
        <x:v>5</x:v>
      </x:c>
      <x:c r="RI16" s="14" t="n">
        <x:v>2</x:v>
      </x:c>
      <x:c r="RJ16" s="14" t="n">
        <x:v>1</x:v>
      </x:c>
      <x:c r="RK16" s="14" t="str">
        <x:v>未收錄</x:v>
      </x:c>
      <x:c r="RL16" s="14" t="str">
        <x:v>20501</x:v>
      </x:c>
      <x:c r="RM16" s="14" t="n">
        <x:v>2</x:v>
      </x:c>
      <x:c r="RN16" s="14" t="n">
        <x:v>3551</x:v>
      </x:c>
      <x:c r="RO16" s="14" t="n">
        <x:v>6</x:v>
      </x:c>
      <x:c r="RP16" s="14" t="n">
        <x:v>2</x:v>
      </x:c>
      <x:c r="RQ16" s="14" t="n">
        <x:v>2</x:v>
      </x:c>
      <x:c r="RR16" s="14" t="str">
        <x:v>未收錄</x:v>
      </x:c>
      <x:c r="RS16" s="14" t="str">
        <x:v>20582</x:v>
      </x:c>
      <x:c r="RT16" s="14" t="n">
        <x:v>2</x:v>
      </x:c>
      <x:c r="RU16" s="14" t="n">
        <x:v>3552</x:v>
      </x:c>
      <x:c r="RV16" s="14" t="n">
        <x:v>7</x:v>
      </x:c>
      <x:c r="RW16" s="14" t="n">
        <x:v>2</x:v>
      </x:c>
      <x:c r="RX16" s="14" t="n">
        <x:v>3</x:v>
      </x:c>
      <x:c r="RY16" s="14" t="str">
        <x:v>未收錄</x:v>
      </x:c>
      <x:c r="RZ16" s="14" t="str">
        <x:v>20617</x:v>
      </x:c>
      <x:c r="SA16" s="14" t="n">
        <x:v>2</x:v>
      </x:c>
      <x:c r="SB16" s="14" t="n">
        <x:v>3553</x:v>
      </x:c>
      <x:c r="SC16" s="14" t="n">
        <x:v>8</x:v>
      </x:c>
      <x:c r="SD16" s="14" t="n">
        <x:v>2</x:v>
      </x:c>
      <x:c r="SE16" s="14" t="n">
        <x:v>4</x:v>
      </x:c>
      <x:c r="SF16" s="14" t="str">
        <x:v>未收錄</x:v>
      </x:c>
      <x:c r="SG16" s="14" t="str">
        <x:v>29252</x:v>
      </x:c>
      <x:c r="SH16" s="14" t="n">
        <x:v>2</x:v>
      </x:c>
      <x:c r="SI16" s="14" t="n">
        <x:v>3974</x:v>
      </x:c>
      <x:c r="SJ16" s="14" t="n">
        <x:v>5</x:v>
      </x:c>
      <x:c r="SK16" s="14" t="n">
        <x:v>2</x:v>
      </x:c>
      <x:c r="SL16" s="14" t="n">
        <x:v>1</x:v>
      </x:c>
      <x:c r="SM16" s="14" t="str">
        <x:v>未收錄</x:v>
      </x:c>
      <x:c r="SN16" s="14" t="str">
        <x:v>29253</x:v>
      </x:c>
      <x:c r="SO16" s="14" t="n">
        <x:v>5</x:v>
      </x:c>
      <x:c r="SP16" s="14" t="n">
        <x:v>3975</x:v>
      </x:c>
      <x:c r="SQ16" s="14" t="n">
        <x:v>6</x:v>
      </x:c>
      <x:c r="SR16" s="14" t="n">
        <x:v>2</x:v>
      </x:c>
      <x:c r="SS16" s="14" t="n">
        <x:v>2</x:v>
      </x:c>
      <x:c r="ST16" s="14" t="str">
        <x:v>未收錄</x:v>
      </x:c>
      <x:c r="SU16" s="14" t="str">
        <x:v>29254</x:v>
      </x:c>
      <x:c r="SV16" s="14" t="n">
        <x:v>5</x:v>
      </x:c>
      <x:c r="SW16" s="14" t="n">
        <x:v>3976</x:v>
      </x:c>
      <x:c r="SX16" s="14" t="n">
        <x:v>7</x:v>
      </x:c>
      <x:c r="SY16" s="14" t="n">
        <x:v>2</x:v>
      </x:c>
      <x:c r="SZ16" s="14" t="n">
        <x:v>3</x:v>
      </x:c>
      <x:c r="TA16" s="14" t="str">
        <x:v>未收錄</x:v>
      </x:c>
      <x:c r="TB16" s="14" t="str">
        <x:v>29255</x:v>
      </x:c>
      <x:c r="TC16" s="14" t="n">
        <x:v>5</x:v>
      </x:c>
      <x:c r="TD16" s="14" t="n">
        <x:v>3977</x:v>
      </x:c>
      <x:c r="TE16" s="14" t="n">
        <x:v>8</x:v>
      </x:c>
      <x:c r="TF16" s="14" t="n">
        <x:v>2</x:v>
      </x:c>
      <x:c r="TG16" s="14" t="n">
        <x:v>4</x:v>
      </x:c>
      <x:c r="TH16" s="14" t="str">
        <x:v>未收錄</x:v>
      </x:c>
    </x:row>
    <x:row r="17" ht="15" customHeight="1">
      <x:c r="A17" s="17" t="str">
        <x:v>精鋼闊劍</x:v>
      </x:c>
      <x:c r="B17" s="17" t="str">
        <x:v>巨闕劍</x:v>
      </x:c>
      <x:c r="C17" s="17" t="str">
        <x:v>天闕劍</x:v>
      </x:c>
      <x:c r="D17" s="17" t="str">
        <x:v>蛇劍</x:v>
      </x:c>
      <x:c r="E17" s="14"/>
      <x:c r="F17" s="17" t="str">
        <x:v>倭刀</x:v>
      </x:c>
      <x:c r="G17" s="17" t="str">
        <x:v>精鋼倭刀</x:v>
      </x:c>
      <x:c r="H17" s="17" t="str">
        <x:v>柳葉刀</x:v>
      </x:c>
      <x:c r="I17" s="17" t="str">
        <x:v>水紋鋼刀</x:v>
      </x:c>
      <x:c r="J17" s="14"/>
      <x:c r="K17" s="17" t="str">
        <x:v>絕世七煞天羅</x:v>
      </x:c>
      <x:c r="L17" s="17" t="str">
        <x:v>封神針</x:v>
      </x:c>
      <x:c r="M17" s="17" t="str">
        <x:v>含沙射影</x:v>
      </x:c>
      <x:c r="N17" s="17" t="str">
        <x:v>暴雨梨花</x:v>
      </x:c>
      <x:c r="O17" s="14"/>
      <x:c r="P17" s="17" t="str">
        <x:v>道玄杖</x:v>
      </x:c>
      <x:c r="Q17" s="17" t="str">
        <x:v>泰斗拂</x:v>
      </x:c>
      <x:c r="R17" s="17" t="str">
        <x:v>紫月聖羽拂</x:v>
      </x:c>
      <x:c r="S17" s="17" t="str">
        <x:v>紫月雁玉笏</x:v>
      </x:c>
      <x:c r="T17" s="14"/>
      <x:c r="U17" s="17" t="str">
        <x:v>火輪法杖</x:v>
      </x:c>
      <x:c r="V17" s="17" t="str">
        <x:v>風輪法杖</x:v>
      </x:c>
      <x:c r="W17" s="17" t="str">
        <x:v>地輪法杖</x:v>
      </x:c>
      <x:c r="X17" s="17" t="str">
        <x:v>碧波寶杖</x:v>
      </x:c>
      <x:c r="Y17" s="14"/>
      <x:c r="Z17" s="17" t="str">
        <x:v>雷牙戰戟</x:v>
      </x:c>
      <x:c r="AA17" s="17" t="str">
        <x:v>惡牙戰戟</x:v>
      </x:c>
      <x:c r="AB17" s="17" t="str">
        <x:v>鎌鉤槍</x:v>
      </x:c>
      <x:c r="AC17" s="17" t="str">
        <x:v>鎖刃槍</x:v>
      </x:c>
      <x:c r="AD17" s="14"/>
      <x:c r="AE17" s="17" t="str">
        <x:v>火環鋼棍</x:v>
      </x:c>
      <x:c r="AF17" s="17" t="str">
        <x:v>雷環鋼棍</x:v>
      </x:c>
      <x:c r="AG17" s="17" t="str">
        <x:v>紫環鋼棍</x:v>
      </x:c>
      <x:c r="AH17" s="17" t="str">
        <x:v>入雲棍</x:v>
      </x:c>
      <x:c r="AI17" s="14"/>
      <x:c r="AJ17" s="17" t="str">
        <x:v>火石釘錘</x:v>
      </x:c>
      <x:c r="AK17" s="17" t="str">
        <x:v>雷石釘錘</x:v>
      </x:c>
      <x:c r="AL17" s="17" t="str">
        <x:v>墓石釘錘</x:v>
      </x:c>
      <x:c r="AM17" s="17" t="str">
        <x:v>惡狼錘</x:v>
      </x:c>
      <x:c r="AN17" s="14"/>
      <x:c r="AO17" s="17" t="str">
        <x:v>雷刃鋼斧</x:v>
      </x:c>
      <x:c r="AP17" s="17" t="str">
        <x:v>鬼刃鋼斧</x:v>
      </x:c>
      <x:c r="AQ17" s="17" t="str">
        <x:v>長林斧</x:v>
      </x:c>
      <x:c r="AR17" s="17" t="str">
        <x:v>衝鋒斧</x:v>
      </x:c>
      <x:c r="AS17" s="14"/>
      <x:c r="AT17" s="17" t="str">
        <x:v>刑天藤牌</x:v>
      </x:c>
      <x:c r="AU17" s="17" t="str">
        <x:v>礁石盾</x:v>
      </x:c>
      <x:c r="AV17" s="17" t="str">
        <x:v>玄金盾</x:v>
      </x:c>
      <x:c r="AW17" s="17" t="str">
        <x:v>圓葉盾</x:v>
      </x:c>
      <x:c r="AX17" s="14"/>
      <x:c r="AY17" s="17" t="str">
        <x:v>藤盔</x:v>
      </x:c>
      <x:c r="AZ17" s="17" t="str">
        <x:v>銅兜帽</x:v>
      </x:c>
      <x:c r="BA17" s="17" t="str">
        <x:v>鐵兜帽</x:v>
      </x:c>
      <x:c r="BB17" s="17" t="str">
        <x:v>精鋼兜帽</x:v>
      </x:c>
      <x:c r="BC17" s="14"/>
      <x:c r="BD17" s="17" t="str">
        <x:v>輕藤甲</x:v>
      </x:c>
      <x:c r="BE17" s="17" t="str">
        <x:v>藤甲</x:v>
      </x:c>
      <x:c r="BF17" s="17" t="str">
        <x:v>重藤甲</x:v>
      </x:c>
      <x:c r="BG17" s="17" t="str">
        <x:v>鎖子甲</x:v>
      </x:c>
      <x:c r="BH17" s="14"/>
      <x:c r="BI17" s="17" t="str">
        <x:v>鐵鎖護腕</x:v>
      </x:c>
      <x:c r="BJ17" s="17" t="str">
        <x:v>精鋼護腕</x:v>
      </x:c>
      <x:c r="BK17" s="17" t="str">
        <x:v>銀縷護腕</x:v>
      </x:c>
      <x:c r="BL17" s="17" t="str">
        <x:v>明光護腕</x:v>
      </x:c>
      <x:c r="BM17" s="14"/>
      <x:c r="BN17" s="17" t="str">
        <x:v>銀縷戰靴</x:v>
      </x:c>
      <x:c r="BO17" s="17" t="str">
        <x:v>明光戰靴</x:v>
      </x:c>
      <x:c r="BP17" s="17" t="str">
        <x:v>驅邪布靴</x:v>
      </x:c>
      <x:c r="BQ17" s="17" t="str">
        <x:v>闢邪皮靴</x:v>
      </x:c>
      <x:c r="BR17" s="14"/>
      <x:c r="BS17" s="17" t="str">
        <x:v>烏玉鐲</x:v>
      </x:c>
      <x:c r="BT17" s="17" t="str">
        <x:v>靈獸牙繩</x:v>
      </x:c>
      <x:c r="BU17" s="17" t="str">
        <x:v>翠玉手鐲</x:v>
      </x:c>
      <x:c r="BV17" s="17" t="str">
        <x:v>刑天項圈</x:v>
      </x:c>
      <x:c r="BW17" s="14"/>
      <x:c r="BX17" s="17" t="str">
        <x:v>朱蛇仙戒</x:v>
      </x:c>
      <x:c r="BY17" s="17" t="str">
        <x:v>螣蛇仙戒</x:v>
      </x:c>
      <x:c r="BZ17" s="17" t="str">
        <x:v>鋼體仙狼牙</x:v>
      </x:c>
      <x:c r="CA17" s="17" t="str">
        <x:v>鐵力仙狼牙</x:v>
      </x:c>
      <x:c r="CB17" s="14"/>
      <x:c r="CC17" s="14" t="str">
        <x:v>20687</x:v>
      </x:c>
      <x:c r="CD17" s="14" t="n">
        <x:v>1</x:v>
      </x:c>
      <x:c r="CE17" s="14" t="n">
        <x:v>9</x:v>
      </x:c>
      <x:c r="CF17" s="14" t="n">
        <x:v>9</x:v>
      </x:c>
      <x:c r="CG17" s="14" t="n">
        <x:v>3</x:v>
      </x:c>
      <x:c r="CH17" s="14" t="n">
        <x:v>1</x:v>
      </x:c>
      <x:c r="CI17" s="14" t="str">
        <x:v>未收錄</x:v>
      </x:c>
      <x:c r="CJ17" s="14" t="str">
        <x:v>20219</x:v>
      </x:c>
      <x:c r="CK17" s="14" t="n">
        <x:v>1</x:v>
      </x:c>
      <x:c r="CL17" s="14" t="n">
        <x:v>10</x:v>
      </x:c>
      <x:c r="CM17" s="14" t="n">
        <x:v>10</x:v>
      </x:c>
      <x:c r="CN17" s="14" t="n">
        <x:v>3</x:v>
      </x:c>
      <x:c r="CO17" s="14" t="n">
        <x:v>2</x:v>
      </x:c>
      <x:c r="CP17" s="14" t="str">
        <x:v>未收錄</x:v>
      </x:c>
      <x:c r="CQ17" s="14" t="str">
        <x:v>20684</x:v>
      </x:c>
      <x:c r="CR17" s="14" t="n">
        <x:v>1</x:v>
      </x:c>
      <x:c r="CS17" s="14" t="n">
        <x:v>11</x:v>
      </x:c>
      <x:c r="CT17" s="14" t="n">
        <x:v>11</x:v>
      </x:c>
      <x:c r="CU17" s="14" t="n">
        <x:v>3</x:v>
      </x:c>
      <x:c r="CV17" s="14" t="n">
        <x:v>3</x:v>
      </x:c>
      <x:c r="CW17" s="14" t="str">
        <x:v>未收錄</x:v>
      </x:c>
      <x:c r="CX17" s="14" t="str">
        <x:v>20042</x:v>
      </x:c>
      <x:c r="CY17" s="14" t="n">
        <x:v>1</x:v>
      </x:c>
      <x:c r="CZ17" s="14" t="n">
        <x:v>12</x:v>
      </x:c>
      <x:c r="DA17" s="14" t="n">
        <x:v>12</x:v>
      </x:c>
      <x:c r="DB17" s="14" t="n">
        <x:v>3</x:v>
      </x:c>
      <x:c r="DC17" s="14" t="n">
        <x:v>4</x:v>
      </x:c>
      <x:c r="DD17" s="14" t="str">
        <x:v>未收錄</x:v>
      </x:c>
      <x:c r="DE17" s="14" t="str">
        <x:v>20046</x:v>
      </x:c>
      <x:c r="DF17" s="14" t="n">
        <x:v>1</x:v>
      </x:c>
      <x:c r="DG17" s="14" t="n">
        <x:v>254</x:v>
      </x:c>
      <x:c r="DH17" s="14" t="n">
        <x:v>9</x:v>
      </x:c>
      <x:c r="DI17" s="14" t="n">
        <x:v>3</x:v>
      </x:c>
      <x:c r="DJ17" s="14" t="n">
        <x:v>1</x:v>
      </x:c>
      <x:c r="DK17" s="14" t="str">
        <x:v>未收錄</x:v>
      </x:c>
      <x:c r="DL17" s="14" t="str">
        <x:v>20690</x:v>
      </x:c>
      <x:c r="DM17" s="14" t="n">
        <x:v>1</x:v>
      </x:c>
      <x:c r="DN17" s="14" t="n">
        <x:v>255</x:v>
      </x:c>
      <x:c r="DO17" s="14" t="n">
        <x:v>10</x:v>
      </x:c>
      <x:c r="DP17" s="14" t="n">
        <x:v>3</x:v>
      </x:c>
      <x:c r="DQ17" s="14" t="n">
        <x:v>2</x:v>
      </x:c>
      <x:c r="DR17" s="14" t="str">
        <x:v>未收錄</x:v>
      </x:c>
      <x:c r="DS17" s="14" t="str">
        <x:v>20769</x:v>
      </x:c>
      <x:c r="DT17" s="14" t="n">
        <x:v>1</x:v>
      </x:c>
      <x:c r="DU17" s="14" t="n">
        <x:v>256</x:v>
      </x:c>
      <x:c r="DV17" s="14" t="n">
        <x:v>11</x:v>
      </x:c>
      <x:c r="DW17" s="14" t="n">
        <x:v>3</x:v>
      </x:c>
      <x:c r="DX17" s="14" t="n">
        <x:v>3</x:v>
      </x:c>
      <x:c r="DY17" s="14" t="str">
        <x:v>未收錄</x:v>
      </x:c>
      <x:c r="DZ17" s="14" t="str">
        <x:v>20770</x:v>
      </x:c>
      <x:c r="EA17" s="14" t="n">
        <x:v>1</x:v>
      </x:c>
      <x:c r="EB17" s="14" t="n">
        <x:v>257</x:v>
      </x:c>
      <x:c r="EC17" s="14" t="n">
        <x:v>12</x:v>
      </x:c>
      <x:c r="ED17" s="14" t="n">
        <x:v>3</x:v>
      </x:c>
      <x:c r="EE17" s="14" t="n">
        <x:v>4</x:v>
      </x:c>
      <x:c r="EF17" s="14" t="str">
        <x:v>未收錄</x:v>
      </x:c>
      <x:c r="EG17" s="14" t="str">
        <x:v>23307</x:v>
      </x:c>
      <x:c r="EH17" s="14" t="n">
        <x:v>8</x:v>
      </x:c>
      <x:c r="EI17" s="14" t="n">
        <x:v>490</x:v>
      </x:c>
      <x:c r="EJ17" s="14" t="n">
        <x:v>9</x:v>
      </x:c>
      <x:c r="EK17" s="14" t="n">
        <x:v>3</x:v>
      </x:c>
      <x:c r="EL17" s="14" t="n">
        <x:v>1</x:v>
      </x:c>
      <x:c r="EM17" s="14" t="str">
        <x:v>未收錄</x:v>
      </x:c>
      <x:c r="EN17" s="14" t="str">
        <x:v>22126</x:v>
      </x:c>
      <x:c r="EO17" s="14" t="n">
        <x:v>8</x:v>
      </x:c>
      <x:c r="EP17" s="14" t="n">
        <x:v>491</x:v>
      </x:c>
      <x:c r="EQ17" s="14" t="n">
        <x:v>10</x:v>
      </x:c>
      <x:c r="ER17" s="14" t="n">
        <x:v>3</x:v>
      </x:c>
      <x:c r="ES17" s="14" t="n">
        <x:v>2</x:v>
      </x:c>
      <x:c r="ET17" s="14" t="str">
        <x:v>未收錄</x:v>
      </x:c>
      <x:c r="EU17" s="14" t="str">
        <x:v>22127</x:v>
      </x:c>
      <x:c r="EV17" s="14" t="n">
        <x:v>8</x:v>
      </x:c>
      <x:c r="EW17" s="14" t="n">
        <x:v>492</x:v>
      </x:c>
      <x:c r="EX17" s="14" t="n">
        <x:v>11</x:v>
      </x:c>
      <x:c r="EY17" s="14" t="n">
        <x:v>3</x:v>
      </x:c>
      <x:c r="EZ17" s="14" t="n">
        <x:v>3</x:v>
      </x:c>
      <x:c r="FA17" s="14" t="str">
        <x:v>未收錄</x:v>
      </x:c>
      <x:c r="FB17" s="14" t="str">
        <x:v>22128</x:v>
      </x:c>
      <x:c r="FC17" s="14" t="n">
        <x:v>8</x:v>
      </x:c>
      <x:c r="FD17" s="14" t="n">
        <x:v>493</x:v>
      </x:c>
      <x:c r="FE17" s="14" t="n">
        <x:v>12</x:v>
      </x:c>
      <x:c r="FF17" s="14" t="n">
        <x:v>3</x:v>
      </x:c>
      <x:c r="FG17" s="14" t="n">
        <x:v>4</x:v>
      </x:c>
      <x:c r="FH17" s="14" t="str">
        <x:v>未收錄</x:v>
      </x:c>
      <x:c r="FI17" s="14" t="str">
        <x:v>27202</x:v>
      </x:c>
      <x:c r="FJ17" s="14" t="n">
        <x:v>1</x:v>
      </x:c>
      <x:c r="FK17" s="14" t="n">
        <x:v>640</x:v>
      </x:c>
      <x:c r="FL17" s="14" t="n">
        <x:v>9</x:v>
      </x:c>
      <x:c r="FM17" s="14" t="n">
        <x:v>3</x:v>
      </x:c>
      <x:c r="FN17" s="14" t="n">
        <x:v>1</x:v>
      </x:c>
      <x:c r="FO17" s="14" t="str">
        <x:v>未收錄</x:v>
      </x:c>
      <x:c r="FP17" s="14" t="str">
        <x:v>28254</x:v>
      </x:c>
      <x:c r="FQ17" s="14" t="n">
        <x:v>1</x:v>
      </x:c>
      <x:c r="FR17" s="14" t="n">
        <x:v>641</x:v>
      </x:c>
      <x:c r="FS17" s="14" t="n">
        <x:v>10</x:v>
      </x:c>
      <x:c r="FT17" s="14" t="n">
        <x:v>3</x:v>
      </x:c>
      <x:c r="FU17" s="14" t="n">
        <x:v>2</x:v>
      </x:c>
      <x:c r="FV17" s="14" t="str">
        <x:v>未收錄</x:v>
      </x:c>
      <x:c r="FW17" s="14" t="str">
        <x:v>28657</x:v>
      </x:c>
      <x:c r="FX17" s="14" t="n">
        <x:v>1</x:v>
      </x:c>
      <x:c r="FY17" s="14" t="n">
        <x:v>642</x:v>
      </x:c>
      <x:c r="FZ17" s="14" t="n">
        <x:v>11</x:v>
      </x:c>
      <x:c r="GA17" s="14" t="n">
        <x:v>3</x:v>
      </x:c>
      <x:c r="GB17" s="14" t="n">
        <x:v>3</x:v>
      </x:c>
      <x:c r="GC17" s="14" t="str">
        <x:v>未收錄</x:v>
      </x:c>
      <x:c r="GD17" s="14" t="str">
        <x:v>29095</x:v>
      </x:c>
      <x:c r="GE17" s="14" t="n">
        <x:v>1</x:v>
      </x:c>
      <x:c r="GF17" s="14" t="n">
        <x:v>643</x:v>
      </x:c>
      <x:c r="GG17" s="14" t="n">
        <x:v>12</x:v>
      </x:c>
      <x:c r="GH17" s="14" t="n">
        <x:v>3</x:v>
      </x:c>
      <x:c r="GI17" s="14" t="n">
        <x:v>4</x:v>
      </x:c>
      <x:c r="GJ17" s="14" t="str">
        <x:v>未收錄</x:v>
      </x:c>
      <x:c r="GK17" s="14" t="str">
        <x:v>20821</x:v>
      </x:c>
      <x:c r="GL17" s="14" t="n">
        <x:v>1</x:v>
      </x:c>
      <x:c r="GM17" s="14" t="n">
        <x:v>812</x:v>
      </x:c>
      <x:c r="GN17" s="14" t="n">
        <x:v>9</x:v>
      </x:c>
      <x:c r="GO17" s="14" t="n">
        <x:v>3</x:v>
      </x:c>
      <x:c r="GP17" s="14" t="n">
        <x:v>1</x:v>
      </x:c>
      <x:c r="GQ17" s="14" t="str">
        <x:v>未收錄</x:v>
      </x:c>
      <x:c r="GR17" s="14" t="str">
        <x:v>20822</x:v>
      </x:c>
      <x:c r="GS17" s="14" t="n">
        <x:v>1</x:v>
      </x:c>
      <x:c r="GT17" s="14" t="n">
        <x:v>813</x:v>
      </x:c>
      <x:c r="GU17" s="14" t="n">
        <x:v>10</x:v>
      </x:c>
      <x:c r="GV17" s="14" t="n">
        <x:v>3</x:v>
      </x:c>
      <x:c r="GW17" s="14" t="n">
        <x:v>2</x:v>
      </x:c>
      <x:c r="GX17" s="14" t="str">
        <x:v>未收錄</x:v>
      </x:c>
      <x:c r="GY17" s="14" t="str">
        <x:v>20823</x:v>
      </x:c>
      <x:c r="GZ17" s="14" t="n">
        <x:v>1</x:v>
      </x:c>
      <x:c r="HA17" s="14" t="n">
        <x:v>814</x:v>
      </x:c>
      <x:c r="HB17" s="14" t="n">
        <x:v>11</x:v>
      </x:c>
      <x:c r="HC17" s="14" t="n">
        <x:v>3</x:v>
      </x:c>
      <x:c r="HD17" s="14" t="n">
        <x:v>3</x:v>
      </x:c>
      <x:c r="HE17" s="14" t="str">
        <x:v>未收錄</x:v>
      </x:c>
      <x:c r="HF17" s="14" t="str">
        <x:v>26172</x:v>
      </x:c>
      <x:c r="HG17" s="14" t="n">
        <x:v>1</x:v>
      </x:c>
      <x:c r="HH17" s="14" t="n">
        <x:v>815</x:v>
      </x:c>
      <x:c r="HI17" s="14" t="n">
        <x:v>12</x:v>
      </x:c>
      <x:c r="HJ17" s="14" t="n">
        <x:v>3</x:v>
      </x:c>
      <x:c r="HK17" s="14" t="n">
        <x:v>4</x:v>
      </x:c>
      <x:c r="HL17" s="14" t="str">
        <x:v>未收錄</x:v>
      </x:c>
      <x:c r="HM17" s="14" t="str">
        <x:v>20802</x:v>
      </x:c>
      <x:c r="HN17" s="14" t="n">
        <x:v>1</x:v>
      </x:c>
      <x:c r="HO17" s="14" t="n">
        <x:v>985</x:v>
      </x:c>
      <x:c r="HP17" s="14" t="n">
        <x:v>9</x:v>
      </x:c>
      <x:c r="HQ17" s="14" t="n">
        <x:v>3</x:v>
      </x:c>
      <x:c r="HR17" s="14" t="n">
        <x:v>1</x:v>
      </x:c>
      <x:c r="HS17" s="14" t="str">
        <x:v>未收錄</x:v>
      </x:c>
      <x:c r="HT17" s="14" t="str">
        <x:v>20803</x:v>
      </x:c>
      <x:c r="HU17" s="14" t="n">
        <x:v>1</x:v>
      </x:c>
      <x:c r="HV17" s="14" t="n">
        <x:v>986</x:v>
      </x:c>
      <x:c r="HW17" s="14" t="n">
        <x:v>10</x:v>
      </x:c>
      <x:c r="HX17" s="14" t="n">
        <x:v>3</x:v>
      </x:c>
      <x:c r="HY17" s="14" t="n">
        <x:v>2</x:v>
      </x:c>
      <x:c r="HZ17" s="14" t="str">
        <x:v>未收錄</x:v>
      </x:c>
      <x:c r="IA17" s="14" t="str">
        <x:v>20935</x:v>
      </x:c>
      <x:c r="IB17" s="14" t="n">
        <x:v>1</x:v>
      </x:c>
      <x:c r="IC17" s="14" t="n">
        <x:v>987</x:v>
      </x:c>
      <x:c r="ID17" s="14" t="n">
        <x:v>11</x:v>
      </x:c>
      <x:c r="IE17" s="14" t="n">
        <x:v>3</x:v>
      </x:c>
      <x:c r="IF17" s="14" t="n">
        <x:v>3</x:v>
      </x:c>
      <x:c r="IG17" s="14" t="str">
        <x:v>未收錄</x:v>
      </x:c>
      <x:c r="IH17" s="14" t="str">
        <x:v>20936</x:v>
      </x:c>
      <x:c r="II17" s="14" t="n">
        <x:v>1</x:v>
      </x:c>
      <x:c r="IJ17" s="14" t="n">
        <x:v>988</x:v>
      </x:c>
      <x:c r="IK17" s="14" t="n">
        <x:v>12</x:v>
      </x:c>
      <x:c r="IL17" s="14" t="n">
        <x:v>3</x:v>
      </x:c>
      <x:c r="IM17" s="14" t="n">
        <x:v>4</x:v>
      </x:c>
      <x:c r="IN17" s="14" t="str">
        <x:v>未收錄</x:v>
      </x:c>
      <x:c r="IO17" s="14" t="str">
        <x:v>20786</x:v>
      </x:c>
      <x:c r="IP17" s="14" t="n">
        <x:v>1</x:v>
      </x:c>
      <x:c r="IQ17" s="14" t="n">
        <x:v>1153</x:v>
      </x:c>
      <x:c r="IR17" s="14" t="n">
        <x:v>9</x:v>
      </x:c>
      <x:c r="IS17" s="14" t="n">
        <x:v>3</x:v>
      </x:c>
      <x:c r="IT17" s="14" t="n">
        <x:v>1</x:v>
      </x:c>
      <x:c r="IU17" s="14" t="str">
        <x:v>未收錄</x:v>
      </x:c>
      <x:c r="IV17" s="14" t="str">
        <x:v>20787</x:v>
      </x:c>
      <x:c r="IW17" s="14" t="n">
        <x:v>1</x:v>
      </x:c>
      <x:c r="IX17" s="14" t="n">
        <x:v>1154</x:v>
      </x:c>
      <x:c r="IY17" s="14" t="n">
        <x:v>10</x:v>
      </x:c>
      <x:c r="IZ17" s="14" t="n">
        <x:v>3</x:v>
      </x:c>
      <x:c r="JA17" s="14" t="n">
        <x:v>2</x:v>
      </x:c>
      <x:c r="JB17" s="14" t="str">
        <x:v>未收錄</x:v>
      </x:c>
      <x:c r="JC17" s="14" t="str">
        <x:v>20788</x:v>
      </x:c>
      <x:c r="JD17" s="14" t="n">
        <x:v>1</x:v>
      </x:c>
      <x:c r="JE17" s="14" t="n">
        <x:v>1155</x:v>
      </x:c>
      <x:c r="JF17" s="14" t="n">
        <x:v>11</x:v>
      </x:c>
      <x:c r="JG17" s="14" t="n">
        <x:v>3</x:v>
      </x:c>
      <x:c r="JH17" s="14" t="n">
        <x:v>3</x:v>
      </x:c>
      <x:c r="JI17" s="14" t="str">
        <x:v>未收錄</x:v>
      </x:c>
      <x:c r="JJ17" s="14" t="str">
        <x:v>26170</x:v>
      </x:c>
      <x:c r="JK17" s="14" t="n">
        <x:v>1</x:v>
      </x:c>
      <x:c r="JL17" s="14" t="n">
        <x:v>1156</x:v>
      </x:c>
      <x:c r="JM17" s="14" t="n">
        <x:v>12</x:v>
      </x:c>
      <x:c r="JN17" s="14" t="n">
        <x:v>3</x:v>
      </x:c>
      <x:c r="JO17" s="14" t="n">
        <x:v>4</x:v>
      </x:c>
      <x:c r="JP17" s="14" t="str">
        <x:v>未收錄</x:v>
      </x:c>
      <x:c r="JQ17" s="14" t="str">
        <x:v>20811</x:v>
      </x:c>
      <x:c r="JR17" s="14" t="n">
        <x:v>1</x:v>
      </x:c>
      <x:c r="JS17" s="14" t="n">
        <x:v>1320</x:v>
      </x:c>
      <x:c r="JT17" s="14" t="n">
        <x:v>9</x:v>
      </x:c>
      <x:c r="JU17" s="14" t="n">
        <x:v>3</x:v>
      </x:c>
      <x:c r="JV17" s="14" t="n">
        <x:v>1</x:v>
      </x:c>
      <x:c r="JW17" s="14" t="str">
        <x:v>未收錄</x:v>
      </x:c>
      <x:c r="JX17" s="14" t="str">
        <x:v>20812</x:v>
      </x:c>
      <x:c r="JY17" s="14" t="n">
        <x:v>1</x:v>
      </x:c>
      <x:c r="JZ17" s="14" t="n">
        <x:v>1321</x:v>
      </x:c>
      <x:c r="KA17" s="14" t="n">
        <x:v>10</x:v>
      </x:c>
      <x:c r="KB17" s="14" t="n">
        <x:v>3</x:v>
      </x:c>
      <x:c r="KC17" s="14" t="n">
        <x:v>2</x:v>
      </x:c>
      <x:c r="KD17" s="14" t="str">
        <x:v>未收錄</x:v>
      </x:c>
      <x:c r="KE17" s="14" t="str">
        <x:v>20813</x:v>
      </x:c>
      <x:c r="KF17" s="14" t="n">
        <x:v>1</x:v>
      </x:c>
      <x:c r="KG17" s="14" t="n">
        <x:v>1322</x:v>
      </x:c>
      <x:c r="KH17" s="14" t="n">
        <x:v>11</x:v>
      </x:c>
      <x:c r="KI17" s="14" t="n">
        <x:v>3</x:v>
      </x:c>
      <x:c r="KJ17" s="14" t="n">
        <x:v>3</x:v>
      </x:c>
      <x:c r="KK17" s="14" t="str">
        <x:v>未收錄</x:v>
      </x:c>
      <x:c r="KL17" s="14" t="str">
        <x:v>26173</x:v>
      </x:c>
      <x:c r="KM17" s="14" t="n">
        <x:v>1</x:v>
      </x:c>
      <x:c r="KN17" s="14" t="n">
        <x:v>1323</x:v>
      </x:c>
      <x:c r="KO17" s="14" t="n">
        <x:v>12</x:v>
      </x:c>
      <x:c r="KP17" s="14" t="n">
        <x:v>3</x:v>
      </x:c>
      <x:c r="KQ17" s="14" t="n">
        <x:v>4</x:v>
      </x:c>
      <x:c r="KR17" s="14" t="str">
        <x:v>未收錄</x:v>
      </x:c>
      <x:c r="KS17" s="14" t="str">
        <x:v>20807</x:v>
      </x:c>
      <x:c r="KT17" s="14" t="n">
        <x:v>1</x:v>
      </x:c>
      <x:c r="KU17" s="14" t="n">
        <x:v>1435</x:v>
      </x:c>
      <x:c r="KV17" s="14" t="n">
        <x:v>9</x:v>
      </x:c>
      <x:c r="KW17" s="14" t="n">
        <x:v>3</x:v>
      </x:c>
      <x:c r="KX17" s="14" t="n">
        <x:v>1</x:v>
      </x:c>
      <x:c r="KY17" s="14" t="str">
        <x:v>未收錄</x:v>
      </x:c>
      <x:c r="KZ17" s="14" t="str">
        <x:v>20808</x:v>
      </x:c>
      <x:c r="LA17" s="14" t="n">
        <x:v>1</x:v>
      </x:c>
      <x:c r="LB17" s="14" t="n">
        <x:v>1436</x:v>
      </x:c>
      <x:c r="LC17" s="14" t="n">
        <x:v>10</x:v>
      </x:c>
      <x:c r="LD17" s="14" t="n">
        <x:v>3</x:v>
      </x:c>
      <x:c r="LE17" s="14" t="n">
        <x:v>2</x:v>
      </x:c>
      <x:c r="LF17" s="14" t="str">
        <x:v>未收錄</x:v>
      </x:c>
      <x:c r="LG17" s="14" t="str">
        <x:v>26169</x:v>
      </x:c>
      <x:c r="LH17" s="14" t="n">
        <x:v>1</x:v>
      </x:c>
      <x:c r="LI17" s="14" t="n">
        <x:v>1437</x:v>
      </x:c>
      <x:c r="LJ17" s="14" t="n">
        <x:v>11</x:v>
      </x:c>
      <x:c r="LK17" s="14" t="n">
        <x:v>3</x:v>
      </x:c>
      <x:c r="LL17" s="14" t="n">
        <x:v>3</x:v>
      </x:c>
      <x:c r="LM17" s="14" t="str">
        <x:v>未收錄</x:v>
      </x:c>
      <x:c r="LN17" s="14" t="str">
        <x:v>26179</x:v>
      </x:c>
      <x:c r="LO17" s="14" t="n">
        <x:v>1</x:v>
      </x:c>
      <x:c r="LP17" s="14" t="n">
        <x:v>1438</x:v>
      </x:c>
      <x:c r="LQ17" s="14" t="n">
        <x:v>12</x:v>
      </x:c>
      <x:c r="LR17" s="14" t="n">
        <x:v>3</x:v>
      </x:c>
      <x:c r="LS17" s="14" t="n">
        <x:v>4</x:v>
      </x:c>
      <x:c r="LT17" s="14" t="str">
        <x:v>未收錄</x:v>
      </x:c>
      <x:c r="LU17" s="14" t="str">
        <x:v>20941</x:v>
      </x:c>
      <x:c r="LV17" s="14" t="n">
        <x:v>1</x:v>
      </x:c>
      <x:c r="LW17" s="14" t="n">
        <x:v>1548</x:v>
      </x:c>
      <x:c r="LX17" s="14" t="n">
        <x:v>9</x:v>
      </x:c>
      <x:c r="LY17" s="14" t="n">
        <x:v>3</x:v>
      </x:c>
      <x:c r="LZ17" s="14" t="n">
        <x:v>1</x:v>
      </x:c>
      <x:c r="MA17" s="14" t="str">
        <x:v>未收錄</x:v>
      </x:c>
      <x:c r="MB17" s="14" t="str">
        <x:v>21106</x:v>
      </x:c>
      <x:c r="MC17" s="14" t="n">
        <x:v>1</x:v>
      </x:c>
      <x:c r="MD17" s="14" t="n">
        <x:v>1549</x:v>
      </x:c>
      <x:c r="ME17" s="14" t="n">
        <x:v>10</x:v>
      </x:c>
      <x:c r="MF17" s="14" t="n">
        <x:v>3</x:v>
      </x:c>
      <x:c r="MG17" s="14" t="n">
        <x:v>2</x:v>
      </x:c>
      <x:c r="MH17" s="14" t="str">
        <x:v>未收錄</x:v>
      </x:c>
      <x:c r="MI17" s="14" t="str">
        <x:v>21107</x:v>
      </x:c>
      <x:c r="MJ17" s="14" t="n">
        <x:v>1</x:v>
      </x:c>
      <x:c r="MK17" s="14" t="n">
        <x:v>1550</x:v>
      </x:c>
      <x:c r="ML17" s="14" t="n">
        <x:v>11</x:v>
      </x:c>
      <x:c r="MM17" s="14" t="n">
        <x:v>3</x:v>
      </x:c>
      <x:c r="MN17" s="14" t="n">
        <x:v>3</x:v>
      </x:c>
      <x:c r="MO17" s="14" t="str">
        <x:v>未收錄</x:v>
      </x:c>
      <x:c r="MP17" s="14" t="str">
        <x:v>21435</x:v>
      </x:c>
      <x:c r="MQ17" s="14" t="n">
        <x:v>1</x:v>
      </x:c>
      <x:c r="MR17" s="14" t="n">
        <x:v>1551</x:v>
      </x:c>
      <x:c r="MS17" s="14" t="n">
        <x:v>12</x:v>
      </x:c>
      <x:c r="MT17" s="14" t="n">
        <x:v>3</x:v>
      </x:c>
      <x:c r="MU17" s="14" t="n">
        <x:v>4</x:v>
      </x:c>
      <x:c r="MV17" s="14" t="str">
        <x:v>未收錄</x:v>
      </x:c>
      <x:c r="MW17" s="14" t="str">
        <x:v>20006</x:v>
      </x:c>
      <x:c r="MX17" s="14" t="n">
        <x:v>1</x:v>
      </x:c>
      <x:c r="MY17" s="14" t="n">
        <x:v>1657</x:v>
      </x:c>
      <x:c r="MZ17" s="14" t="n">
        <x:v>9</x:v>
      </x:c>
      <x:c r="NA17" s="14" t="n">
        <x:v>3</x:v>
      </x:c>
      <x:c r="NB17" s="14" t="n">
        <x:v>1</x:v>
      </x:c>
      <x:c r="NC17" s="14" t="str">
        <x:v>未收錄</x:v>
      </x:c>
      <x:c r="ND17" s="14" t="str">
        <x:v>20442</x:v>
      </x:c>
      <x:c r="NE17" s="14" t="n">
        <x:v>1</x:v>
      </x:c>
      <x:c r="NF17" s="14" t="n">
        <x:v>1658</x:v>
      </x:c>
      <x:c r="NG17" s="14" t="n">
        <x:v>10</x:v>
      </x:c>
      <x:c r="NH17" s="14" t="n">
        <x:v>3</x:v>
      </x:c>
      <x:c r="NI17" s="14" t="n">
        <x:v>2</x:v>
      </x:c>
      <x:c r="NJ17" s="14" t="str">
        <x:v>未收錄</x:v>
      </x:c>
      <x:c r="NK17" s="14" t="str">
        <x:v>20008</x:v>
      </x:c>
      <x:c r="NL17" s="14" t="n">
        <x:v>1</x:v>
      </x:c>
      <x:c r="NM17" s="14" t="n">
        <x:v>1659</x:v>
      </x:c>
      <x:c r="NN17" s="14" t="n">
        <x:v>11</x:v>
      </x:c>
      <x:c r="NO17" s="14" t="n">
        <x:v>3</x:v>
      </x:c>
      <x:c r="NP17" s="14" t="n">
        <x:v>3</x:v>
      </x:c>
      <x:c r="NQ17" s="14" t="str">
        <x:v>未收錄</x:v>
      </x:c>
      <x:c r="NR17" s="14" t="str">
        <x:v>20448</x:v>
      </x:c>
      <x:c r="NS17" s="14" t="n">
        <x:v>1</x:v>
      </x:c>
      <x:c r="NT17" s="14" t="n">
        <x:v>1660</x:v>
      </x:c>
      <x:c r="NU17" s="14" t="n">
        <x:v>12</x:v>
      </x:c>
      <x:c r="NV17" s="14" t="n">
        <x:v>3</x:v>
      </x:c>
      <x:c r="NW17" s="14" t="n">
        <x:v>4</x:v>
      </x:c>
      <x:c r="NX17" s="14" t="str">
        <x:v>未收錄</x:v>
      </x:c>
      <x:c r="NY17" s="14" t="str">
        <x:v>20019</x:v>
      </x:c>
      <x:c r="NZ17" s="14" t="n">
        <x:v>1</x:v>
      </x:c>
      <x:c r="OA17" s="14" t="n">
        <x:v>2110</x:v>
      </x:c>
      <x:c r="OB17" s="14" t="n">
        <x:v>9</x:v>
      </x:c>
      <x:c r="OC17" s="14" t="n">
        <x:v>3</x:v>
      </x:c>
      <x:c r="OD17" s="14" t="n">
        <x:v>1</x:v>
      </x:c>
      <x:c r="OE17" s="14" t="str">
        <x:v>未收錄</x:v>
      </x:c>
      <x:c r="OF17" s="14" t="str">
        <x:v>20020</x:v>
      </x:c>
      <x:c r="OG17" s="14" t="n">
        <x:v>1</x:v>
      </x:c>
      <x:c r="OH17" s="14" t="n">
        <x:v>2111</x:v>
      </x:c>
      <x:c r="OI17" s="14" t="n">
        <x:v>10</x:v>
      </x:c>
      <x:c r="OJ17" s="14" t="n">
        <x:v>3</x:v>
      </x:c>
      <x:c r="OK17" s="14" t="n">
        <x:v>2</x:v>
      </x:c>
      <x:c r="OL17" s="14" t="str">
        <x:v>未收錄</x:v>
      </x:c>
      <x:c r="OM17" s="14" t="str">
        <x:v>20021</x:v>
      </x:c>
      <x:c r="ON17" s="14" t="n">
        <x:v>1</x:v>
      </x:c>
      <x:c r="OO17" s="14" t="n">
        <x:v>2112</x:v>
      </x:c>
      <x:c r="OP17" s="14" t="n">
        <x:v>11</x:v>
      </x:c>
      <x:c r="OQ17" s="14" t="n">
        <x:v>3</x:v>
      </x:c>
      <x:c r="OR17" s="14" t="n">
        <x:v>3</x:v>
      </x:c>
      <x:c r="OS17" s="14" t="str">
        <x:v>未收錄</x:v>
      </x:c>
      <x:c r="OT17" s="14" t="str">
        <x:v>20022</x:v>
      </x:c>
      <x:c r="OU17" s="14" t="n">
        <x:v>1</x:v>
      </x:c>
      <x:c r="OV17" s="14" t="n">
        <x:v>2113</x:v>
      </x:c>
      <x:c r="OW17" s="14" t="n">
        <x:v>12</x:v>
      </x:c>
      <x:c r="OX17" s="14" t="n">
        <x:v>3</x:v>
      </x:c>
      <x:c r="OY17" s="14" t="n">
        <x:v>4</x:v>
      </x:c>
      <x:c r="OZ17" s="14" t="str">
        <x:v>未收錄</x:v>
      </x:c>
      <x:c r="PA17" s="14" t="str">
        <x:v>20032</x:v>
      </x:c>
      <x:c r="PB17" s="14" t="n">
        <x:v>1</x:v>
      </x:c>
      <x:c r="PC17" s="14" t="n">
        <x:v>2656</x:v>
      </x:c>
      <x:c r="PD17" s="14" t="n">
        <x:v>9</x:v>
      </x:c>
      <x:c r="PE17" s="14" t="n">
        <x:v>3</x:v>
      </x:c>
      <x:c r="PF17" s="14" t="n">
        <x:v>1</x:v>
      </x:c>
      <x:c r="PG17" s="14" t="str">
        <x:v>未收錄</x:v>
      </x:c>
      <x:c r="PH17" s="14" t="str">
        <x:v>20033</x:v>
      </x:c>
      <x:c r="PI17" s="14" t="n">
        <x:v>1</x:v>
      </x:c>
      <x:c r="PJ17" s="14" t="n">
        <x:v>2657</x:v>
      </x:c>
      <x:c r="PK17" s="14" t="n">
        <x:v>10</x:v>
      </x:c>
      <x:c r="PL17" s="14" t="n">
        <x:v>3</x:v>
      </x:c>
      <x:c r="PM17" s="14" t="n">
        <x:v>2</x:v>
      </x:c>
      <x:c r="PN17" s="14" t="str">
        <x:v>未收錄</x:v>
      </x:c>
      <x:c r="PO17" s="14" t="str">
        <x:v>20497</x:v>
      </x:c>
      <x:c r="PP17" s="14" t="n">
        <x:v>1</x:v>
      </x:c>
      <x:c r="PQ17" s="14" t="n">
        <x:v>2658</x:v>
      </x:c>
      <x:c r="PR17" s="14" t="n">
        <x:v>11</x:v>
      </x:c>
      <x:c r="PS17" s="14" t="n">
        <x:v>3</x:v>
      </x:c>
      <x:c r="PT17" s="14" t="n">
        <x:v>3</x:v>
      </x:c>
      <x:c r="PU17" s="14" t="str">
        <x:v>未收錄</x:v>
      </x:c>
      <x:c r="PV17" s="14" t="str">
        <x:v>20498</x:v>
      </x:c>
      <x:c r="PW17" s="14" t="n">
        <x:v>1</x:v>
      </x:c>
      <x:c r="PX17" s="14" t="n">
        <x:v>2659</x:v>
      </x:c>
      <x:c r="PY17" s="14" t="n">
        <x:v>12</x:v>
      </x:c>
      <x:c r="PZ17" s="14" t="n">
        <x:v>3</x:v>
      </x:c>
      <x:c r="QA17" s="14" t="n">
        <x:v>4</x:v>
      </x:c>
      <x:c r="QB17" s="14" t="str">
        <x:v>未收錄</x:v>
      </x:c>
      <x:c r="QC17" s="14" t="str">
        <x:v>20507</x:v>
      </x:c>
      <x:c r="QD17" s="14" t="n">
        <x:v>1</x:v>
      </x:c>
      <x:c r="QE17" s="14" t="n">
        <x:v>3093</x:v>
      </x:c>
      <x:c r="QF17" s="14" t="n">
        <x:v>9</x:v>
      </x:c>
      <x:c r="QG17" s="14" t="n">
        <x:v>3</x:v>
      </x:c>
      <x:c r="QH17" s="14" t="n">
        <x:v>1</x:v>
      </x:c>
      <x:c r="QI17" s="14" t="str">
        <x:v>未收錄</x:v>
      </x:c>
      <x:c r="QJ17" s="14" t="str">
        <x:v>20038</x:v>
      </x:c>
      <x:c r="QK17" s="14" t="n">
        <x:v>1</x:v>
      </x:c>
      <x:c r="QL17" s="14" t="n">
        <x:v>3094</x:v>
      </x:c>
      <x:c r="QM17" s="14" t="n">
        <x:v>10</x:v>
      </x:c>
      <x:c r="QN17" s="14" t="n">
        <x:v>3</x:v>
      </x:c>
      <x:c r="QO17" s="14" t="n">
        <x:v>2</x:v>
      </x:c>
      <x:c r="QP17" s="14" t="str">
        <x:v>未收錄</x:v>
      </x:c>
      <x:c r="QQ17" s="14" t="str">
        <x:v>20715</x:v>
      </x:c>
      <x:c r="QR17" s="14" t="n">
        <x:v>1</x:v>
      </x:c>
      <x:c r="QS17" s="14" t="n">
        <x:v>3095</x:v>
      </x:c>
      <x:c r="QT17" s="14" t="n">
        <x:v>11</x:v>
      </x:c>
      <x:c r="QU17" s="14" t="n">
        <x:v>3</x:v>
      </x:c>
      <x:c r="QV17" s="14" t="n">
        <x:v>3</x:v>
      </x:c>
      <x:c r="QW17" s="14" t="str">
        <x:v>未收錄</x:v>
      </x:c>
      <x:c r="QX17" s="14" t="str">
        <x:v>20716</x:v>
      </x:c>
      <x:c r="QY17" s="14" t="n">
        <x:v>1</x:v>
      </x:c>
      <x:c r="QZ17" s="14" t="n">
        <x:v>3096</x:v>
      </x:c>
      <x:c r="RA17" s="14" t="n">
        <x:v>12</x:v>
      </x:c>
      <x:c r="RB17" s="14" t="n">
        <x:v>3</x:v>
      </x:c>
      <x:c r="RC17" s="14" t="n">
        <x:v>4</x:v>
      </x:c>
      <x:c r="RD17" s="14" t="str">
        <x:v>未收錄</x:v>
      </x:c>
      <x:c r="RE17" s="14" t="str">
        <x:v>20618</x:v>
      </x:c>
      <x:c r="RF17" s="14" t="n">
        <x:v>2</x:v>
      </x:c>
      <x:c r="RG17" s="14" t="n">
        <x:v>3554</x:v>
      </x:c>
      <x:c r="RH17" s="14" t="n">
        <x:v>9</x:v>
      </x:c>
      <x:c r="RI17" s="14" t="n">
        <x:v>3</x:v>
      </x:c>
      <x:c r="RJ17" s="14" t="n">
        <x:v>1</x:v>
      </x:c>
      <x:c r="RK17" s="14" t="str">
        <x:v>未收錄</x:v>
      </x:c>
      <x:c r="RL17" s="14" t="str">
        <x:v>20757</x:v>
      </x:c>
      <x:c r="RM17" s="14" t="n">
        <x:v>2</x:v>
      </x:c>
      <x:c r="RN17" s="14" t="n">
        <x:v>3555</x:v>
      </x:c>
      <x:c r="RO17" s="14" t="n">
        <x:v>10</x:v>
      </x:c>
      <x:c r="RP17" s="14" t="n">
        <x:v>3</x:v>
      </x:c>
      <x:c r="RQ17" s="14" t="n">
        <x:v>2</x:v>
      </x:c>
      <x:c r="RR17" s="14" t="str">
        <x:v>未收錄</x:v>
      </x:c>
      <x:c r="RS17" s="14" t="str">
        <x:v>20465</x:v>
      </x:c>
      <x:c r="RT17" s="14" t="n">
        <x:v>2</x:v>
      </x:c>
      <x:c r="RU17" s="14" t="n">
        <x:v>3556</x:v>
      </x:c>
      <x:c r="RV17" s="14" t="n">
        <x:v>11</x:v>
      </x:c>
      <x:c r="RW17" s="14" t="n">
        <x:v>3</x:v>
      </x:c>
      <x:c r="RX17" s="14" t="n">
        <x:v>3</x:v>
      </x:c>
      <x:c r="RY17" s="14" t="str">
        <x:v>未收錄</x:v>
      </x:c>
      <x:c r="RZ17" s="14" t="str">
        <x:v>21034</x:v>
      </x:c>
      <x:c r="SA17" s="14" t="n">
        <x:v>2</x:v>
      </x:c>
      <x:c r="SB17" s="14" t="n">
        <x:v>3557</x:v>
      </x:c>
      <x:c r="SC17" s="14" t="n">
        <x:v>12</x:v>
      </x:c>
      <x:c r="SD17" s="14" t="n">
        <x:v>3</x:v>
      </x:c>
      <x:c r="SE17" s="14" t="n">
        <x:v>4</x:v>
      </x:c>
      <x:c r="SF17" s="14" t="str">
        <x:v>未收錄</x:v>
      </x:c>
      <x:c r="SG17" s="14" t="str">
        <x:v>29256</x:v>
      </x:c>
      <x:c r="SH17" s="14" t="n">
        <x:v>5</x:v>
      </x:c>
      <x:c r="SI17" s="14" t="n">
        <x:v>3978</x:v>
      </x:c>
      <x:c r="SJ17" s="14" t="n">
        <x:v>9</x:v>
      </x:c>
      <x:c r="SK17" s="14" t="n">
        <x:v>3</x:v>
      </x:c>
      <x:c r="SL17" s="14" t="n">
        <x:v>1</x:v>
      </x:c>
      <x:c r="SM17" s="14" t="str">
        <x:v>未收錄</x:v>
      </x:c>
      <x:c r="SN17" s="14" t="str">
        <x:v>29257</x:v>
      </x:c>
      <x:c r="SO17" s="14" t="n">
        <x:v>5</x:v>
      </x:c>
      <x:c r="SP17" s="14" t="n">
        <x:v>3979</x:v>
      </x:c>
      <x:c r="SQ17" s="14" t="n">
        <x:v>10</x:v>
      </x:c>
      <x:c r="SR17" s="14" t="n">
        <x:v>3</x:v>
      </x:c>
      <x:c r="SS17" s="14" t="n">
        <x:v>2</x:v>
      </x:c>
      <x:c r="ST17" s="14" t="str">
        <x:v>未收錄</x:v>
      </x:c>
      <x:c r="SU17" s="14" t="str">
        <x:v>29258</x:v>
      </x:c>
      <x:c r="SV17" s="14" t="n">
        <x:v>5</x:v>
      </x:c>
      <x:c r="SW17" s="14" t="n">
        <x:v>3980</x:v>
      </x:c>
      <x:c r="SX17" s="14" t="n">
        <x:v>11</x:v>
      </x:c>
      <x:c r="SY17" s="14" t="n">
        <x:v>3</x:v>
      </x:c>
      <x:c r="SZ17" s="14" t="n">
        <x:v>3</x:v>
      </x:c>
      <x:c r="TA17" s="14" t="str">
        <x:v>未收錄</x:v>
      </x:c>
      <x:c r="TB17" s="14" t="str">
        <x:v>29259</x:v>
      </x:c>
      <x:c r="TC17" s="14" t="n">
        <x:v>5</x:v>
      </x:c>
      <x:c r="TD17" s="14" t="n">
        <x:v>3981</x:v>
      </x:c>
      <x:c r="TE17" s="14" t="n">
        <x:v>12</x:v>
      </x:c>
      <x:c r="TF17" s="14" t="n">
        <x:v>3</x:v>
      </x:c>
      <x:c r="TG17" s="14" t="n">
        <x:v>4</x:v>
      </x:c>
      <x:c r="TH17" s="14" t="str">
        <x:v>未收錄</x:v>
      </x:c>
    </x:row>
    <x:row r="18" ht="15" customHeight="1">
      <x:c r="A18" s="18" t="str">
        <x:v>精鋼蛇劍</x:v>
      </x:c>
      <x:c r="B18" s="18" t="str">
        <x:v>玄鐵劍</x:v>
      </x:c>
      <x:c r="C18" s="18" t="str">
        <x:v>冰靈鋼劍</x:v>
      </x:c>
      <x:c r="D18" s="18" t="str">
        <x:v>火靈鋼劍</x:v>
      </x:c>
      <x:c r="E18" s="14"/>
      <x:c r="F18" s="18" t="str">
        <x:v>火紋鋼刀</x:v>
      </x:c>
      <x:c r="G18" s="18" t="str">
        <x:v>雷紋鋼刀</x:v>
      </x:c>
      <x:c r="H18" s="18" t="str">
        <x:v>鬼紋鋼刀</x:v>
      </x:c>
      <x:c r="I18" s="18" t="str">
        <x:v>侏紋水刀</x:v>
      </x:c>
      <x:c r="J18" s="14"/>
      <x:c r="K18" s="18" t="str">
        <x:v>九轉金蓮</x:v>
      </x:c>
      <x:c r="L18" s="18" t="str">
        <x:v>津雪刺</x:v>
      </x:c>
      <x:c r="M18" s="18" t="str">
        <x:v>絃葦飛刺</x:v>
      </x:c>
      <x:c r="N18" s="18" t="str">
        <x:v>若越旋</x:v>
      </x:c>
      <x:c r="O18" s="14"/>
      <x:c r="P18" s="18" t="str">
        <x:v>點星斗</x:v>
      </x:c>
      <x:c r="Q18" s="18" t="str">
        <x:v>金官撢</x:v>
      </x:c>
      <x:c r="R18" s="18" t="str">
        <x:v>王蛇鎮</x:v>
      </x:c>
      <x:c r="S18" s="18" t="str">
        <x:v>水簾拂塵</x:v>
      </x:c>
      <x:c r="T18" s="14"/>
      <x:c r="U18" s="18" t="str">
        <x:v>禱告法杖</x:v>
      </x:c>
      <x:c r="V18" s="18" t="str">
        <x:v>迴夢禪杖</x:v>
      </x:c>
      <x:c r="W18" s="18" t="str">
        <x:v>巖禪杖</x:v>
      </x:c>
      <x:c r="X18" s="18" t="str">
        <x:v>紫月星空杖</x:v>
      </x:c>
      <x:c r="Y18" s="14"/>
      <x:c r="Z18" s="18" t="str">
        <x:v>紅櫻槍</x:v>
      </x:c>
      <x:c r="AA18" s="18" t="str">
        <x:v>洛花槍</x:v>
      </x:c>
      <x:c r="AB18" s="18" t="str">
        <x:v>穿水刺</x:v>
      </x:c>
      <x:c r="AC18" s="18" t="str">
        <x:v>雪銀戰戟</x:v>
      </x:c>
      <x:c r="AD18" s="14"/>
      <x:c r="AE18" s="18" t="str">
        <x:v>征軍棍</x:v>
      </x:c>
      <x:c r="AF18" s="18" t="str">
        <x:v>凌風棍</x:v>
      </x:c>
      <x:c r="AG18" s="18" t="str">
        <x:v>螢墟棍</x:v>
      </x:c>
      <x:c r="AH18" s="18" t="str">
        <x:v>紫月伏魔棍</x:v>
      </x:c>
      <x:c r="AI18" s="14"/>
      <x:c r="AJ18" s="18" t="str">
        <x:v>破甲錘</x:v>
      </x:c>
      <x:c r="AK18" s="18" t="str">
        <x:v>掠天錘</x:v>
      </x:c>
      <x:c r="AL18" s="18" t="str">
        <x:v>魑妖錘</x:v>
      </x:c>
      <x:c r="AM18" s="18" t="str">
        <x:v>紫月盾峰錘</x:v>
      </x:c>
      <x:c r="AN18" s="14"/>
      <x:c r="AO18" s="18" t="str">
        <x:v>雲蛟斧</x:v>
      </x:c>
      <x:c r="AP18" s="18" t="str">
        <x:v>幻魔斧</x:v>
      </x:c>
      <x:c r="AQ18" s="18" t="str">
        <x:v>紫月蒼空斧</x:v>
      </x:c>
      <x:c r="AR18" s="18" t="str">
        <x:v>紫月分海斧</x:v>
      </x:c>
      <x:c r="AS18" s="14"/>
      <x:c r="AT18" s="18" t="str">
        <x:v>穹天盾</x:v>
      </x:c>
      <x:c r="AU18" s="18" t="str">
        <x:v>殷水盾</x:v>
      </x:c>
      <x:c r="AV18" s="18" t="str">
        <x:v>紫月萬峰阻</x:v>
      </x:c>
      <x:c r="AW18" s="18" t="str">
        <x:v>紫月拒危盾</x:v>
      </x:c>
      <x:c r="AX18" s="14"/>
      <x:c r="AY18" s="18" t="str">
        <x:v>鐵頭盔</x:v>
      </x:c>
      <x:c r="AZ18" s="18" t="str">
        <x:v>精鋼頭盔</x:v>
      </x:c>
      <x:c r="BA18" s="18" t="str">
        <x:v>精鋼戰盔</x:v>
      </x:c>
      <x:c r="BB18" s="18" t="str">
        <x:v>銀甲戰盔</x:v>
      </x:c>
      <x:c r="BC18" s="14"/>
      <x:c r="BD18" s="18" t="str">
        <x:v>短鎧甲</x:v>
      </x:c>
      <x:c r="BE18" s="18" t="str">
        <x:v>鎧甲</x:v>
      </x:c>
      <x:c r="BF18" s="18" t="str">
        <x:v>重鎧甲</x:v>
      </x:c>
      <x:c r="BG18" s="18" t="str">
        <x:v>鱗片甲</x:v>
      </x:c>
      <x:c r="BH18" s="14"/>
      <x:c r="BI18" s="18" t="str">
        <x:v>驅邪護腕</x:v>
      </x:c>
      <x:c r="BJ18" s="18" t="str">
        <x:v>闢邪護腕</x:v>
      </x:c>
      <x:c r="BK18" s="18" t="str">
        <x:v>鎮邪護腕</x:v>
      </x:c>
      <x:c r="BL18" s="18" t="str">
        <x:v>骨護腕</x:v>
      </x:c>
      <x:c r="BM18" s="14"/>
      <x:c r="BN18" s="18" t="str">
        <x:v>鎮邪戰靴</x:v>
      </x:c>
      <x:c r="BO18" s="18" t="str">
        <x:v>骨靴</x:v>
      </x:c>
      <x:c r="BP18" s="18" t="str">
        <x:v>重骨靴</x:v>
      </x:c>
      <x:c r="BQ18" s="18" t="str">
        <x:v>附靈骨靴</x:v>
      </x:c>
      <x:c r="BR18" s="14"/>
      <x:c r="BS18" s="18" t="str">
        <x:v>夸父鍊珠</x:v>
      </x:c>
      <x:c r="BT18" s="18" t="str">
        <x:v>南風夜鐲</x:v>
      </x:c>
      <x:c r="BU18" s="18" t="str">
        <x:v>蜃樓戒</x:v>
      </x:c>
      <x:c r="BV18" s="18" t="str">
        <x:v>福運御守</x:v>
      </x:c>
      <x:c r="BW18" s="14"/>
      <x:c r="BX18" s="18" t="str">
        <x:v>玉智仙狼牙</x:v>
      </x:c>
      <x:c r="BY18" s="18" t="str">
        <x:v>銀靈仙狼牙</x:v>
      </x:c>
      <x:c r="BZ18" s="18" t="str">
        <x:v>金甲仙狼牙</x:v>
      </x:c>
      <x:c r="CA18" s="18" t="str">
        <x:v>天空仙劍印</x:v>
      </x:c>
      <x:c r="CB18" s="14"/>
      <x:c r="CC18" s="14" t="str">
        <x:v>20688</x:v>
      </x:c>
      <x:c r="CD18" s="14" t="n">
        <x:v>1</x:v>
      </x:c>
      <x:c r="CE18" s="14" t="n">
        <x:v>13</x:v>
      </x:c>
      <x:c r="CF18" s="14" t="n">
        <x:v>13</x:v>
      </x:c>
      <x:c r="CG18" s="14" t="n">
        <x:v>4</x:v>
      </x:c>
      <x:c r="CH18" s="14" t="n">
        <x:v>1</x:v>
      </x:c>
      <x:c r="CI18" s="14" t="str">
        <x:v>未收錄</x:v>
      </x:c>
      <x:c r="CJ18" s="14" t="str">
        <x:v>20510</x:v>
      </x:c>
      <x:c r="CK18" s="14" t="n">
        <x:v>1</x:v>
      </x:c>
      <x:c r="CL18" s="14" t="n">
        <x:v>14</x:v>
      </x:c>
      <x:c r="CM18" s="14" t="n">
        <x:v>14</x:v>
      </x:c>
      <x:c r="CN18" s="14" t="n">
        <x:v>4</x:v>
      </x:c>
      <x:c r="CO18" s="14" t="n">
        <x:v>2</x:v>
      </x:c>
      <x:c r="CP18" s="14" t="str">
        <x:v>未收錄</x:v>
      </x:c>
      <x:c r="CQ18" s="14" t="str">
        <x:v>20511</x:v>
      </x:c>
      <x:c r="CR18" s="14" t="n">
        <x:v>1</x:v>
      </x:c>
      <x:c r="CS18" s="14" t="n">
        <x:v>15</x:v>
      </x:c>
      <x:c r="CT18" s="14" t="n">
        <x:v>15</x:v>
      </x:c>
      <x:c r="CU18" s="14" t="n">
        <x:v>4</x:v>
      </x:c>
      <x:c r="CV18" s="14" t="n">
        <x:v>3</x:v>
      </x:c>
      <x:c r="CW18" s="14" t="str">
        <x:v>未收錄</x:v>
      </x:c>
      <x:c r="CX18" s="14" t="str">
        <x:v>20686</x:v>
      </x:c>
      <x:c r="CY18" s="14" t="n">
        <x:v>1</x:v>
      </x:c>
      <x:c r="CZ18" s="14" t="n">
        <x:v>16</x:v>
      </x:c>
      <x:c r="DA18" s="14" t="n">
        <x:v>16</x:v>
      </x:c>
      <x:c r="DB18" s="14" t="n">
        <x:v>4</x:v>
      </x:c>
      <x:c r="DC18" s="14" t="n">
        <x:v>4</x:v>
      </x:c>
      <x:c r="DD18" s="14" t="str">
        <x:v>未收錄</x:v>
      </x:c>
      <x:c r="DE18" s="14" t="str">
        <x:v>20771</x:v>
      </x:c>
      <x:c r="DF18" s="14" t="n">
        <x:v>1</x:v>
      </x:c>
      <x:c r="DG18" s="14" t="n">
        <x:v>258</x:v>
      </x:c>
      <x:c r="DH18" s="14" t="n">
        <x:v>13</x:v>
      </x:c>
      <x:c r="DI18" s="14" t="n">
        <x:v>4</x:v>
      </x:c>
      <x:c r="DJ18" s="14" t="n">
        <x:v>1</x:v>
      </x:c>
      <x:c r="DK18" s="14" t="str">
        <x:v>未收錄</x:v>
      </x:c>
      <x:c r="DL18" s="14" t="str">
        <x:v>20772</x:v>
      </x:c>
      <x:c r="DM18" s="14" t="n">
        <x:v>1</x:v>
      </x:c>
      <x:c r="DN18" s="14" t="n">
        <x:v>259</x:v>
      </x:c>
      <x:c r="DO18" s="14" t="n">
        <x:v>14</x:v>
      </x:c>
      <x:c r="DP18" s="14" t="n">
        <x:v>4</x:v>
      </x:c>
      <x:c r="DQ18" s="14" t="n">
        <x:v>2</x:v>
      </x:c>
      <x:c r="DR18" s="14" t="str">
        <x:v>未收錄</x:v>
      </x:c>
      <x:c r="DS18" s="14" t="str">
        <x:v>20773</x:v>
      </x:c>
      <x:c r="DT18" s="14" t="n">
        <x:v>1</x:v>
      </x:c>
      <x:c r="DU18" s="14" t="n">
        <x:v>260</x:v>
      </x:c>
      <x:c r="DV18" s="14" t="n">
        <x:v>15</x:v>
      </x:c>
      <x:c r="DW18" s="14" t="n">
        <x:v>4</x:v>
      </x:c>
      <x:c r="DX18" s="14" t="n">
        <x:v>3</x:v>
      </x:c>
      <x:c r="DY18" s="14" t="str">
        <x:v>未收錄</x:v>
      </x:c>
      <x:c r="DZ18" s="14" t="str">
        <x:v>21920</x:v>
      </x:c>
      <x:c r="EA18" s="14" t="n">
        <x:v>1</x:v>
      </x:c>
      <x:c r="EB18" s="14" t="n">
        <x:v>261</x:v>
      </x:c>
      <x:c r="EC18" s="14" t="n">
        <x:v>16</x:v>
      </x:c>
      <x:c r="ED18" s="14" t="n">
        <x:v>4</x:v>
      </x:c>
      <x:c r="EE18" s="14" t="n">
        <x:v>4</x:v>
      </x:c>
      <x:c r="EF18" s="14" t="str">
        <x:v>未收錄</x:v>
      </x:c>
      <x:c r="EG18" s="14" t="str">
        <x:v>22129</x:v>
      </x:c>
      <x:c r="EH18" s="14" t="n">
        <x:v>8</x:v>
      </x:c>
      <x:c r="EI18" s="14" t="n">
        <x:v>494</x:v>
      </x:c>
      <x:c r="EJ18" s="14" t="n">
        <x:v>13</x:v>
      </x:c>
      <x:c r="EK18" s="14" t="n">
        <x:v>4</x:v>
      </x:c>
      <x:c r="EL18" s="14" t="n">
        <x:v>1</x:v>
      </x:c>
      <x:c r="EM18" s="14" t="str">
        <x:v>未收錄</x:v>
      </x:c>
      <x:c r="EN18" s="14" t="str">
        <x:v>22518</x:v>
      </x:c>
      <x:c r="EO18" s="14" t="n">
        <x:v>8</x:v>
      </x:c>
      <x:c r="EP18" s="14" t="n">
        <x:v>495</x:v>
      </x:c>
      <x:c r="EQ18" s="14" t="n">
        <x:v>14</x:v>
      </x:c>
      <x:c r="ER18" s="14" t="n">
        <x:v>4</x:v>
      </x:c>
      <x:c r="ES18" s="14" t="n">
        <x:v>2</x:v>
      </x:c>
      <x:c r="ET18" s="14" t="str">
        <x:v>未收錄</x:v>
      </x:c>
      <x:c r="EU18" s="14" t="str">
        <x:v>22519</x:v>
      </x:c>
      <x:c r="EV18" s="14" t="n">
        <x:v>8</x:v>
      </x:c>
      <x:c r="EW18" s="14" t="n">
        <x:v>496</x:v>
      </x:c>
      <x:c r="EX18" s="14" t="n">
        <x:v>15</x:v>
      </x:c>
      <x:c r="EY18" s="14" t="n">
        <x:v>4</x:v>
      </x:c>
      <x:c r="EZ18" s="14" t="n">
        <x:v>3</x:v>
      </x:c>
      <x:c r="FA18" s="14" t="str">
        <x:v>未收錄</x:v>
      </x:c>
      <x:c r="FB18" s="14" t="str">
        <x:v>22520</x:v>
      </x:c>
      <x:c r="FC18" s="14" t="n">
        <x:v>8</x:v>
      </x:c>
      <x:c r="FD18" s="14" t="n">
        <x:v>497</x:v>
      </x:c>
      <x:c r="FE18" s="14" t="n">
        <x:v>16</x:v>
      </x:c>
      <x:c r="FF18" s="14" t="n">
        <x:v>4</x:v>
      </x:c>
      <x:c r="FG18" s="14" t="n">
        <x:v>4</x:v>
      </x:c>
      <x:c r="FH18" s="14" t="str">
        <x:v>未收錄</x:v>
      </x:c>
      <x:c r="FI18" s="14" t="str">
        <x:v>23052</x:v>
      </x:c>
      <x:c r="FJ18" s="14" t="n">
        <x:v>1</x:v>
      </x:c>
      <x:c r="FK18" s="14" t="n">
        <x:v>644</x:v>
      </x:c>
      <x:c r="FL18" s="14" t="n">
        <x:v>13</x:v>
      </x:c>
      <x:c r="FM18" s="14" t="n">
        <x:v>4</x:v>
      </x:c>
      <x:c r="FN18" s="14" t="n">
        <x:v>1</x:v>
      </x:c>
      <x:c r="FO18" s="14" t="str">
        <x:v>未收錄</x:v>
      </x:c>
      <x:c r="FP18" s="14" t="str">
        <x:v>29896</x:v>
      </x:c>
      <x:c r="FQ18" s="14" t="n">
        <x:v>1</x:v>
      </x:c>
      <x:c r="FR18" s="14" t="n">
        <x:v>645</x:v>
      </x:c>
      <x:c r="FS18" s="14" t="n">
        <x:v>14</x:v>
      </x:c>
      <x:c r="FT18" s="14" t="n">
        <x:v>4</x:v>
      </x:c>
      <x:c r="FU18" s="14" t="n">
        <x:v>2</x:v>
      </x:c>
      <x:c r="FV18" s="14" t="str">
        <x:v>未收錄</x:v>
      </x:c>
      <x:c r="FW18" s="14" t="str">
        <x:v>30521</x:v>
      </x:c>
      <x:c r="FX18" s="14" t="n">
        <x:v>1</x:v>
      </x:c>
      <x:c r="FY18" s="14" t="n">
        <x:v>646</x:v>
      </x:c>
      <x:c r="FZ18" s="14" t="n">
        <x:v>15</x:v>
      </x:c>
      <x:c r="GA18" s="14" t="n">
        <x:v>4</x:v>
      </x:c>
      <x:c r="GB18" s="14" t="n">
        <x:v>3</x:v>
      </x:c>
      <x:c r="GC18" s="14" t="str">
        <x:v>未收錄</x:v>
      </x:c>
      <x:c r="GD18" s="14" t="str">
        <x:v>21048</x:v>
      </x:c>
      <x:c r="GE18" s="14" t="n">
        <x:v>3</x:v>
      </x:c>
      <x:c r="GF18" s="14" t="n">
        <x:v>647</x:v>
      </x:c>
      <x:c r="GG18" s="14" t="n">
        <x:v>16</x:v>
      </x:c>
      <x:c r="GH18" s="14" t="n">
        <x:v>4</x:v>
      </x:c>
      <x:c r="GI18" s="14" t="n">
        <x:v>4</x:v>
      </x:c>
      <x:c r="GJ18" s="14" t="str">
        <x:v>未收錄</x:v>
      </x:c>
      <x:c r="GK18" s="14" t="str">
        <x:v>26178</x:v>
      </x:c>
      <x:c r="GL18" s="14" t="n">
        <x:v>1</x:v>
      </x:c>
      <x:c r="GM18" s="14" t="n">
        <x:v>816</x:v>
      </x:c>
      <x:c r="GN18" s="14" t="n">
        <x:v>13</x:v>
      </x:c>
      <x:c r="GO18" s="14" t="n">
        <x:v>4</x:v>
      </x:c>
      <x:c r="GP18" s="14" t="n">
        <x:v>1</x:v>
      </x:c>
      <x:c r="GQ18" s="14" t="str">
        <x:v>未收錄</x:v>
      </x:c>
      <x:c r="GR18" s="14" t="str">
        <x:v>27204</x:v>
      </x:c>
      <x:c r="GS18" s="14" t="n">
        <x:v>1</x:v>
      </x:c>
      <x:c r="GT18" s="14" t="n">
        <x:v>817</x:v>
      </x:c>
      <x:c r="GU18" s="14" t="n">
        <x:v>14</x:v>
      </x:c>
      <x:c r="GV18" s="14" t="n">
        <x:v>4</x:v>
      </x:c>
      <x:c r="GW18" s="14" t="n">
        <x:v>2</x:v>
      </x:c>
      <x:c r="GX18" s="14" t="str">
        <x:v>未收錄</x:v>
      </x:c>
      <x:c r="GY18" s="14" t="str">
        <x:v>28256</x:v>
      </x:c>
      <x:c r="GZ18" s="14" t="n">
        <x:v>1</x:v>
      </x:c>
      <x:c r="HA18" s="14" t="n">
        <x:v>818</x:v>
      </x:c>
      <x:c r="HB18" s="14" t="n">
        <x:v>15</x:v>
      </x:c>
      <x:c r="HC18" s="14" t="n">
        <x:v>4</x:v>
      </x:c>
      <x:c r="HD18" s="14" t="n">
        <x:v>3</x:v>
      </x:c>
      <x:c r="HE18" s="14" t="str">
        <x:v>未收錄</x:v>
      </x:c>
      <x:c r="HF18" s="14" t="str">
        <x:v>28659</x:v>
      </x:c>
      <x:c r="HG18" s="14" t="n">
        <x:v>1</x:v>
      </x:c>
      <x:c r="HH18" s="14" t="n">
        <x:v>819</x:v>
      </x:c>
      <x:c r="HI18" s="14" t="n">
        <x:v>16</x:v>
      </x:c>
      <x:c r="HJ18" s="14" t="n">
        <x:v>4</x:v>
      </x:c>
      <x:c r="HK18" s="14" t="n">
        <x:v>4</x:v>
      </x:c>
      <x:c r="HL18" s="14" t="str">
        <x:v>未收錄</x:v>
      </x:c>
      <x:c r="HM18" s="14" t="str">
        <x:v>21124</x:v>
      </x:c>
      <x:c r="HN18" s="14" t="n">
        <x:v>1</x:v>
      </x:c>
      <x:c r="HO18" s="14" t="n">
        <x:v>989</x:v>
      </x:c>
      <x:c r="HP18" s="14" t="n">
        <x:v>13</x:v>
      </x:c>
      <x:c r="HQ18" s="14" t="n">
        <x:v>4</x:v>
      </x:c>
      <x:c r="HR18" s="14" t="n">
        <x:v>1</x:v>
      </x:c>
      <x:c r="HS18" s="14" t="str">
        <x:v>未收錄</x:v>
      </x:c>
      <x:c r="HT18" s="14" t="str">
        <x:v>21125</x:v>
      </x:c>
      <x:c r="HU18" s="14" t="n">
        <x:v>1</x:v>
      </x:c>
      <x:c r="HV18" s="14" t="n">
        <x:v>990</x:v>
      </x:c>
      <x:c r="HW18" s="14" t="n">
        <x:v>14</x:v>
      </x:c>
      <x:c r="HX18" s="14" t="n">
        <x:v>4</x:v>
      </x:c>
      <x:c r="HY18" s="14" t="n">
        <x:v>2</x:v>
      </x:c>
      <x:c r="HZ18" s="14" t="str">
        <x:v>未收錄</x:v>
      </x:c>
      <x:c r="IA18" s="14" t="str">
        <x:v>21126</x:v>
      </x:c>
      <x:c r="IB18" s="14" t="n">
        <x:v>1</x:v>
      </x:c>
      <x:c r="IC18" s="14" t="n">
        <x:v>991</x:v>
      </x:c>
      <x:c r="ID18" s="14" t="n">
        <x:v>15</x:v>
      </x:c>
      <x:c r="IE18" s="14" t="n">
        <x:v>4</x:v>
      </x:c>
      <x:c r="IF18" s="14" t="n">
        <x:v>3</x:v>
      </x:c>
      <x:c r="IG18" s="14" t="str">
        <x:v>未收錄</x:v>
      </x:c>
      <x:c r="IH18" s="14" t="str">
        <x:v>21127</x:v>
      </x:c>
      <x:c r="II18" s="14" t="n">
        <x:v>1</x:v>
      </x:c>
      <x:c r="IJ18" s="14" t="n">
        <x:v>992</x:v>
      </x:c>
      <x:c r="IK18" s="14" t="n">
        <x:v>16</x:v>
      </x:c>
      <x:c r="IL18" s="14" t="n">
        <x:v>4</x:v>
      </x:c>
      <x:c r="IM18" s="14" t="n">
        <x:v>4</x:v>
      </x:c>
      <x:c r="IN18" s="14" t="str">
        <x:v>未收錄</x:v>
      </x:c>
      <x:c r="IO18" s="14" t="str">
        <x:v>26181</x:v>
      </x:c>
      <x:c r="IP18" s="14" t="n">
        <x:v>1</x:v>
      </x:c>
      <x:c r="IQ18" s="14" t="n">
        <x:v>1157</x:v>
      </x:c>
      <x:c r="IR18" s="14" t="n">
        <x:v>13</x:v>
      </x:c>
      <x:c r="IS18" s="14" t="n">
        <x:v>4</x:v>
      </x:c>
      <x:c r="IT18" s="14" t="n">
        <x:v>1</x:v>
      </x:c>
      <x:c r="IU18" s="14" t="str">
        <x:v>未收錄</x:v>
      </x:c>
      <x:c r="IV18" s="14" t="str">
        <x:v>27207</x:v>
      </x:c>
      <x:c r="IW18" s="14" t="n">
        <x:v>1</x:v>
      </x:c>
      <x:c r="IX18" s="14" t="n">
        <x:v>1158</x:v>
      </x:c>
      <x:c r="IY18" s="14" t="n">
        <x:v>14</x:v>
      </x:c>
      <x:c r="IZ18" s="14" t="n">
        <x:v>4</x:v>
      </x:c>
      <x:c r="JA18" s="14" t="n">
        <x:v>2</x:v>
      </x:c>
      <x:c r="JB18" s="14" t="str">
        <x:v>未收錄</x:v>
      </x:c>
      <x:c r="JC18" s="14" t="str">
        <x:v>28259</x:v>
      </x:c>
      <x:c r="JD18" s="14" t="n">
        <x:v>1</x:v>
      </x:c>
      <x:c r="JE18" s="14" t="n">
        <x:v>1159</x:v>
      </x:c>
      <x:c r="JF18" s="14" t="n">
        <x:v>15</x:v>
      </x:c>
      <x:c r="JG18" s="14" t="n">
        <x:v>4</x:v>
      </x:c>
      <x:c r="JH18" s="14" t="n">
        <x:v>3</x:v>
      </x:c>
      <x:c r="JI18" s="14" t="str">
        <x:v>未收錄</x:v>
      </x:c>
      <x:c r="JJ18" s="14" t="str">
        <x:v>28662</x:v>
      </x:c>
      <x:c r="JK18" s="14" t="n">
        <x:v>1</x:v>
      </x:c>
      <x:c r="JL18" s="14" t="n">
        <x:v>1160</x:v>
      </x:c>
      <x:c r="JM18" s="14" t="n">
        <x:v>16</x:v>
      </x:c>
      <x:c r="JN18" s="14" t="n">
        <x:v>4</x:v>
      </x:c>
      <x:c r="JO18" s="14" t="n">
        <x:v>4</x:v>
      </x:c>
      <x:c r="JP18" s="14" t="str">
        <x:v>未收錄</x:v>
      </x:c>
      <x:c r="JQ18" s="14" t="str">
        <x:v>26180</x:v>
      </x:c>
      <x:c r="JR18" s="14" t="n">
        <x:v>1</x:v>
      </x:c>
      <x:c r="JS18" s="14" t="n">
        <x:v>1324</x:v>
      </x:c>
      <x:c r="JT18" s="14" t="n">
        <x:v>13</x:v>
      </x:c>
      <x:c r="JU18" s="14" t="n">
        <x:v>4</x:v>
      </x:c>
      <x:c r="JV18" s="14" t="n">
        <x:v>1</x:v>
      </x:c>
      <x:c r="JW18" s="14" t="str">
        <x:v>未收錄</x:v>
      </x:c>
      <x:c r="JX18" s="14" t="str">
        <x:v>27206</x:v>
      </x:c>
      <x:c r="JY18" s="14" t="n">
        <x:v>1</x:v>
      </x:c>
      <x:c r="JZ18" s="14" t="n">
        <x:v>1325</x:v>
      </x:c>
      <x:c r="KA18" s="14" t="n">
        <x:v>14</x:v>
      </x:c>
      <x:c r="KB18" s="14" t="n">
        <x:v>4</x:v>
      </x:c>
      <x:c r="KC18" s="14" t="n">
        <x:v>2</x:v>
      </x:c>
      <x:c r="KD18" s="14" t="str">
        <x:v>未收錄</x:v>
      </x:c>
      <x:c r="KE18" s="14" t="str">
        <x:v>28258</x:v>
      </x:c>
      <x:c r="KF18" s="14" t="n">
        <x:v>1</x:v>
      </x:c>
      <x:c r="KG18" s="14" t="n">
        <x:v>1326</x:v>
      </x:c>
      <x:c r="KH18" s="14" t="n">
        <x:v>15</x:v>
      </x:c>
      <x:c r="KI18" s="14" t="n">
        <x:v>4</x:v>
      </x:c>
      <x:c r="KJ18" s="14" t="n">
        <x:v>3</x:v>
      </x:c>
      <x:c r="KK18" s="14" t="str">
        <x:v>未收錄</x:v>
      </x:c>
      <x:c r="KL18" s="14" t="str">
        <x:v>28661</x:v>
      </x:c>
      <x:c r="KM18" s="14" t="n">
        <x:v>1</x:v>
      </x:c>
      <x:c r="KN18" s="14" t="n">
        <x:v>1327</x:v>
      </x:c>
      <x:c r="KO18" s="14" t="n">
        <x:v>16</x:v>
      </x:c>
      <x:c r="KP18" s="14" t="n">
        <x:v>4</x:v>
      </x:c>
      <x:c r="KQ18" s="14" t="n">
        <x:v>4</x:v>
      </x:c>
      <x:c r="KR18" s="14" t="str">
        <x:v>未收錄</x:v>
      </x:c>
      <x:c r="KS18" s="14" t="str">
        <x:v>27205</x:v>
      </x:c>
      <x:c r="KT18" s="14" t="n">
        <x:v>1</x:v>
      </x:c>
      <x:c r="KU18" s="14" t="n">
        <x:v>1439</x:v>
      </x:c>
      <x:c r="KV18" s="14" t="n">
        <x:v>13</x:v>
      </x:c>
      <x:c r="KW18" s="14" t="n">
        <x:v>4</x:v>
      </x:c>
      <x:c r="KX18" s="14" t="n">
        <x:v>1</x:v>
      </x:c>
      <x:c r="KY18" s="14" t="str">
        <x:v>未收錄</x:v>
      </x:c>
      <x:c r="KZ18" s="14" t="str">
        <x:v>28257</x:v>
      </x:c>
      <x:c r="LA18" s="14" t="n">
        <x:v>1</x:v>
      </x:c>
      <x:c r="LB18" s="14" t="n">
        <x:v>1440</x:v>
      </x:c>
      <x:c r="LC18" s="14" t="n">
        <x:v>14</x:v>
      </x:c>
      <x:c r="LD18" s="14" t="n">
        <x:v>4</x:v>
      </x:c>
      <x:c r="LE18" s="14" t="n">
        <x:v>2</x:v>
      </x:c>
      <x:c r="LF18" s="14" t="str">
        <x:v>未收錄</x:v>
      </x:c>
      <x:c r="LG18" s="14" t="str">
        <x:v>28660</x:v>
      </x:c>
      <x:c r="LH18" s="14" t="n">
        <x:v>1</x:v>
      </x:c>
      <x:c r="LI18" s="14" t="n">
        <x:v>1441</x:v>
      </x:c>
      <x:c r="LJ18" s="14" t="n">
        <x:v>15</x:v>
      </x:c>
      <x:c r="LK18" s="14" t="n">
        <x:v>4</x:v>
      </x:c>
      <x:c r="LL18" s="14" t="n">
        <x:v>3</x:v>
      </x:c>
      <x:c r="LM18" s="14" t="str">
        <x:v>未收錄</x:v>
      </x:c>
      <x:c r="LN18" s="14" t="str">
        <x:v>29098</x:v>
      </x:c>
      <x:c r="LO18" s="14" t="n">
        <x:v>1</x:v>
      </x:c>
      <x:c r="LP18" s="14" t="n">
        <x:v>1442</x:v>
      </x:c>
      <x:c r="LQ18" s="14" t="n">
        <x:v>16</x:v>
      </x:c>
      <x:c r="LR18" s="14" t="n">
        <x:v>4</x:v>
      </x:c>
      <x:c r="LS18" s="14" t="n">
        <x:v>4</x:v>
      </x:c>
      <x:c r="LT18" s="14" t="str">
        <x:v>未收錄</x:v>
      </x:c>
      <x:c r="LU18" s="14" t="str">
        <x:v>27208</x:v>
      </x:c>
      <x:c r="LV18" s="14" t="n">
        <x:v>1</x:v>
      </x:c>
      <x:c r="LW18" s="14" t="n">
        <x:v>1552</x:v>
      </x:c>
      <x:c r="LX18" s="14" t="n">
        <x:v>13</x:v>
      </x:c>
      <x:c r="LY18" s="14" t="n">
        <x:v>4</x:v>
      </x:c>
      <x:c r="LZ18" s="14" t="n">
        <x:v>1</x:v>
      </x:c>
      <x:c r="MA18" s="14" t="str">
        <x:v>未收錄</x:v>
      </x:c>
      <x:c r="MB18" s="14" t="str">
        <x:v>28260</x:v>
      </x:c>
      <x:c r="MC18" s="14" t="n">
        <x:v>1</x:v>
      </x:c>
      <x:c r="MD18" s="14" t="n">
        <x:v>1553</x:v>
      </x:c>
      <x:c r="ME18" s="14" t="n">
        <x:v>14</x:v>
      </x:c>
      <x:c r="MF18" s="14" t="n">
        <x:v>4</x:v>
      </x:c>
      <x:c r="MG18" s="14" t="n">
        <x:v>2</x:v>
      </x:c>
      <x:c r="MH18" s="14" t="str">
        <x:v>未收錄</x:v>
      </x:c>
      <x:c r="MI18" s="14" t="str">
        <x:v>28663</x:v>
      </x:c>
      <x:c r="MJ18" s="14" t="n">
        <x:v>1</x:v>
      </x:c>
      <x:c r="MK18" s="14" t="n">
        <x:v>1554</x:v>
      </x:c>
      <x:c r="ML18" s="14" t="n">
        <x:v>15</x:v>
      </x:c>
      <x:c r="MM18" s="14" t="n">
        <x:v>4</x:v>
      </x:c>
      <x:c r="MN18" s="14" t="n">
        <x:v>3</x:v>
      </x:c>
      <x:c r="MO18" s="14" t="str">
        <x:v>未收錄</x:v>
      </x:c>
      <x:c r="MP18" s="14" t="str">
        <x:v>29101</x:v>
      </x:c>
      <x:c r="MQ18" s="14" t="n">
        <x:v>1</x:v>
      </x:c>
      <x:c r="MR18" s="14" t="n">
        <x:v>1555</x:v>
      </x:c>
      <x:c r="MS18" s="14" t="n">
        <x:v>16</x:v>
      </x:c>
      <x:c r="MT18" s="14" t="n">
        <x:v>4</x:v>
      </x:c>
      <x:c r="MU18" s="14" t="n">
        <x:v>4</x:v>
      </x:c>
      <x:c r="MV18" s="14" t="str">
        <x:v>未收錄</x:v>
      </x:c>
      <x:c r="MW18" s="14" t="str">
        <x:v>20009</x:v>
      </x:c>
      <x:c r="MX18" s="14" t="n">
        <x:v>1</x:v>
      </x:c>
      <x:c r="MY18" s="14" t="n">
        <x:v>1661</x:v>
      </x:c>
      <x:c r="MZ18" s="14" t="n">
        <x:v>13</x:v>
      </x:c>
      <x:c r="NA18" s="14" t="n">
        <x:v>4</x:v>
      </x:c>
      <x:c r="NB18" s="14" t="n">
        <x:v>1</x:v>
      </x:c>
      <x:c r="NC18" s="14" t="str">
        <x:v>未收錄</x:v>
      </x:c>
      <x:c r="ND18" s="14" t="str">
        <x:v>20451</x:v>
      </x:c>
      <x:c r="NE18" s="14" t="n">
        <x:v>1</x:v>
      </x:c>
      <x:c r="NF18" s="14" t="n">
        <x:v>1662</x:v>
      </x:c>
      <x:c r="NG18" s="14" t="n">
        <x:v>14</x:v>
      </x:c>
      <x:c r="NH18" s="14" t="n">
        <x:v>4</x:v>
      </x:c>
      <x:c r="NI18" s="14" t="n">
        <x:v>2</x:v>
      </x:c>
      <x:c r="NJ18" s="14" t="str">
        <x:v>未收錄</x:v>
      </x:c>
      <x:c r="NK18" s="14" t="str">
        <x:v>20010</x:v>
      </x:c>
      <x:c r="NL18" s="14" t="n">
        <x:v>1</x:v>
      </x:c>
      <x:c r="NM18" s="14" t="n">
        <x:v>1663</x:v>
      </x:c>
      <x:c r="NN18" s="14" t="n">
        <x:v>15</x:v>
      </x:c>
      <x:c r="NO18" s="14" t="n">
        <x:v>4</x:v>
      </x:c>
      <x:c r="NP18" s="14" t="n">
        <x:v>3</x:v>
      </x:c>
      <x:c r="NQ18" s="14" t="str">
        <x:v>未收錄</x:v>
      </x:c>
      <x:c r="NR18" s="14" t="str">
        <x:v>20454</x:v>
      </x:c>
      <x:c r="NS18" s="14" t="n">
        <x:v>1</x:v>
      </x:c>
      <x:c r="NT18" s="14" t="n">
        <x:v>1664</x:v>
      </x:c>
      <x:c r="NU18" s="14" t="n">
        <x:v>16</x:v>
      </x:c>
      <x:c r="NV18" s="14" t="n">
        <x:v>4</x:v>
      </x:c>
      <x:c r="NW18" s="14" t="n">
        <x:v>4</x:v>
      </x:c>
      <x:c r="NX18" s="14" t="str">
        <x:v>未收錄</x:v>
      </x:c>
      <x:c r="NY18" s="14" t="str">
        <x:v>20023</x:v>
      </x:c>
      <x:c r="NZ18" s="14" t="n">
        <x:v>1</x:v>
      </x:c>
      <x:c r="OA18" s="14" t="n">
        <x:v>2114</x:v>
      </x:c>
      <x:c r="OB18" s="14" t="n">
        <x:v>13</x:v>
      </x:c>
      <x:c r="OC18" s="14" t="n">
        <x:v>4</x:v>
      </x:c>
      <x:c r="OD18" s="14" t="n">
        <x:v>1</x:v>
      </x:c>
      <x:c r="OE18" s="14" t="str">
        <x:v>未收錄</x:v>
      </x:c>
      <x:c r="OF18" s="14" t="str">
        <x:v>20024</x:v>
      </x:c>
      <x:c r="OG18" s="14" t="n">
        <x:v>1</x:v>
      </x:c>
      <x:c r="OH18" s="14" t="n">
        <x:v>2115</x:v>
      </x:c>
      <x:c r="OI18" s="14" t="n">
        <x:v>14</x:v>
      </x:c>
      <x:c r="OJ18" s="14" t="n">
        <x:v>4</x:v>
      </x:c>
      <x:c r="OK18" s="14" t="n">
        <x:v>2</x:v>
      </x:c>
      <x:c r="OL18" s="14" t="str">
        <x:v>未收錄</x:v>
      </x:c>
      <x:c r="OM18" s="14" t="str">
        <x:v>20025</x:v>
      </x:c>
      <x:c r="ON18" s="14" t="n">
        <x:v>1</x:v>
      </x:c>
      <x:c r="OO18" s="14" t="n">
        <x:v>2116</x:v>
      </x:c>
      <x:c r="OP18" s="14" t="n">
        <x:v>15</x:v>
      </x:c>
      <x:c r="OQ18" s="14" t="n">
        <x:v>4</x:v>
      </x:c>
      <x:c r="OR18" s="14" t="n">
        <x:v>3</x:v>
      </x:c>
      <x:c r="OS18" s="14" t="str">
        <x:v>未收錄</x:v>
      </x:c>
      <x:c r="OT18" s="14" t="str">
        <x:v>20026</x:v>
      </x:c>
      <x:c r="OU18" s="14" t="n">
        <x:v>1</x:v>
      </x:c>
      <x:c r="OV18" s="14" t="n">
        <x:v>2117</x:v>
      </x:c>
      <x:c r="OW18" s="14" t="n">
        <x:v>16</x:v>
      </x:c>
      <x:c r="OX18" s="14" t="n">
        <x:v>4</x:v>
      </x:c>
      <x:c r="OY18" s="14" t="n">
        <x:v>4</x:v>
      </x:c>
      <x:c r="OZ18" s="14" t="str">
        <x:v>未收錄</x:v>
      </x:c>
      <x:c r="PA18" s="14" t="str">
        <x:v>20712</x:v>
      </x:c>
      <x:c r="PB18" s="14" t="n">
        <x:v>1</x:v>
      </x:c>
      <x:c r="PC18" s="14" t="n">
        <x:v>2660</x:v>
      </x:c>
      <x:c r="PD18" s="14" t="n">
        <x:v>13</x:v>
      </x:c>
      <x:c r="PE18" s="14" t="n">
        <x:v>4</x:v>
      </x:c>
      <x:c r="PF18" s="14" t="n">
        <x:v>1</x:v>
      </x:c>
      <x:c r="PG18" s="14" t="str">
        <x:v>未收錄</x:v>
      </x:c>
      <x:c r="PH18" s="14" t="str">
        <x:v>20713</x:v>
      </x:c>
      <x:c r="PI18" s="14" t="n">
        <x:v>1</x:v>
      </x:c>
      <x:c r="PJ18" s="14" t="n">
        <x:v>2661</x:v>
      </x:c>
      <x:c r="PK18" s="14" t="n">
        <x:v>14</x:v>
      </x:c>
      <x:c r="PL18" s="14" t="n">
        <x:v>4</x:v>
      </x:c>
      <x:c r="PM18" s="14" t="n">
        <x:v>2</x:v>
      </x:c>
      <x:c r="PN18" s="14" t="str">
        <x:v>未收錄</x:v>
      </x:c>
      <x:c r="PO18" s="14" t="str">
        <x:v>20714</x:v>
      </x:c>
      <x:c r="PP18" s="14" t="n">
        <x:v>1</x:v>
      </x:c>
      <x:c r="PQ18" s="14" t="n">
        <x:v>2662</x:v>
      </x:c>
      <x:c r="PR18" s="14" t="n">
        <x:v>15</x:v>
      </x:c>
      <x:c r="PS18" s="14" t="n">
        <x:v>4</x:v>
      </x:c>
      <x:c r="PT18" s="14" t="n">
        <x:v>3</x:v>
      </x:c>
      <x:c r="PU18" s="14" t="str">
        <x:v>未收錄</x:v>
      </x:c>
      <x:c r="PV18" s="14" t="str">
        <x:v>20411</x:v>
      </x:c>
      <x:c r="PW18" s="14" t="n">
        <x:v>1</x:v>
      </x:c>
      <x:c r="PX18" s="14" t="n">
        <x:v>2663</x:v>
      </x:c>
      <x:c r="PY18" s="14" t="n">
        <x:v>16</x:v>
      </x:c>
      <x:c r="PZ18" s="14" t="n">
        <x:v>4</x:v>
      </x:c>
      <x:c r="QA18" s="14" t="n">
        <x:v>4</x:v>
      </x:c>
      <x:c r="QB18" s="14" t="str">
        <x:v>未收錄</x:v>
      </x:c>
      <x:c r="QC18" s="14" t="str">
        <x:v>20717</x:v>
      </x:c>
      <x:c r="QD18" s="14" t="n">
        <x:v>1</x:v>
      </x:c>
      <x:c r="QE18" s="14" t="n">
        <x:v>3097</x:v>
      </x:c>
      <x:c r="QF18" s="14" t="n">
        <x:v>13</x:v>
      </x:c>
      <x:c r="QG18" s="14" t="n">
        <x:v>4</x:v>
      </x:c>
      <x:c r="QH18" s="14" t="n">
        <x:v>1</x:v>
      </x:c>
      <x:c r="QI18" s="14" t="str">
        <x:v>未收錄</x:v>
      </x:c>
      <x:c r="QJ18" s="14" t="str">
        <x:v>20415</x:v>
      </x:c>
      <x:c r="QK18" s="14" t="n">
        <x:v>1</x:v>
      </x:c>
      <x:c r="QL18" s="14" t="n">
        <x:v>3098</x:v>
      </x:c>
      <x:c r="QM18" s="14" t="n">
        <x:v>14</x:v>
      </x:c>
      <x:c r="QN18" s="14" t="n">
        <x:v>4</x:v>
      </x:c>
      <x:c r="QO18" s="14" t="n">
        <x:v>2</x:v>
      </x:c>
      <x:c r="QP18" s="14" t="str">
        <x:v>未收錄</x:v>
      </x:c>
      <x:c r="QQ18" s="14" t="str">
        <x:v>20396</x:v>
      </x:c>
      <x:c r="QR18" s="14" t="n">
        <x:v>1</x:v>
      </x:c>
      <x:c r="QS18" s="14" t="n">
        <x:v>3099</x:v>
      </x:c>
      <x:c r="QT18" s="14" t="n">
        <x:v>15</x:v>
      </x:c>
      <x:c r="QU18" s="14" t="n">
        <x:v>4</x:v>
      </x:c>
      <x:c r="QV18" s="14" t="n">
        <x:v>3</x:v>
      </x:c>
      <x:c r="QW18" s="14" t="str">
        <x:v>未收錄</x:v>
      </x:c>
      <x:c r="QX18" s="14" t="str">
        <x:v>20418</x:v>
      </x:c>
      <x:c r="QY18" s="14" t="n">
        <x:v>1</x:v>
      </x:c>
      <x:c r="QZ18" s="14" t="n">
        <x:v>3100</x:v>
      </x:c>
      <x:c r="RA18" s="14" t="n">
        <x:v>16</x:v>
      </x:c>
      <x:c r="RB18" s="14" t="n">
        <x:v>4</x:v>
      </x:c>
      <x:c r="RC18" s="14" t="n">
        <x:v>4</x:v>
      </x:c>
      <x:c r="RD18" s="14" t="str">
        <x:v>未收錄</x:v>
      </x:c>
      <x:c r="RE18" s="14" t="str">
        <x:v>21035</x:v>
      </x:c>
      <x:c r="RF18" s="14" t="n">
        <x:v>2</x:v>
      </x:c>
      <x:c r="RG18" s="14" t="n">
        <x:v>3558</x:v>
      </x:c>
      <x:c r="RH18" s="14" t="n">
        <x:v>13</x:v>
      </x:c>
      <x:c r="RI18" s="14" t="n">
        <x:v>4</x:v>
      </x:c>
      <x:c r="RJ18" s="14" t="n">
        <x:v>1</x:v>
      </x:c>
      <x:c r="RK18" s="14" t="str">
        <x:v>未收錄</x:v>
      </x:c>
      <x:c r="RL18" s="14" t="str">
        <x:v>22194</x:v>
      </x:c>
      <x:c r="RM18" s="14" t="n">
        <x:v>2</x:v>
      </x:c>
      <x:c r="RN18" s="14" t="n">
        <x:v>3559</x:v>
      </x:c>
      <x:c r="RO18" s="14" t="n">
        <x:v>14</x:v>
      </x:c>
      <x:c r="RP18" s="14" t="n">
        <x:v>4</x:v>
      </x:c>
      <x:c r="RQ18" s="14" t="n">
        <x:v>2</x:v>
      </x:c>
      <x:c r="RR18" s="14" t="str">
        <x:v>未收錄</x:v>
      </x:c>
      <x:c r="RS18" s="14" t="str">
        <x:v>22195</x:v>
      </x:c>
      <x:c r="RT18" s="14" t="n">
        <x:v>2</x:v>
      </x:c>
      <x:c r="RU18" s="14" t="n">
        <x:v>3560</x:v>
      </x:c>
      <x:c r="RV18" s="14" t="n">
        <x:v>15</x:v>
      </x:c>
      <x:c r="RW18" s="14" t="n">
        <x:v>4</x:v>
      </x:c>
      <x:c r="RX18" s="14" t="n">
        <x:v>3</x:v>
      </x:c>
      <x:c r="RY18" s="14" t="str">
        <x:v>未收錄</x:v>
      </x:c>
      <x:c r="RZ18" s="14" t="str">
        <x:v>22629</x:v>
      </x:c>
      <x:c r="SA18" s="14" t="n">
        <x:v>2</x:v>
      </x:c>
      <x:c r="SB18" s="14" t="n">
        <x:v>3561</x:v>
      </x:c>
      <x:c r="SC18" s="14" t="n">
        <x:v>16</x:v>
      </x:c>
      <x:c r="SD18" s="14" t="n">
        <x:v>4</x:v>
      </x:c>
      <x:c r="SE18" s="14" t="n">
        <x:v>4</x:v>
      </x:c>
      <x:c r="SF18" s="14" t="str">
        <x:v>未收錄</x:v>
      </x:c>
      <x:c r="SG18" s="14" t="str">
        <x:v>29260</x:v>
      </x:c>
      <x:c r="SH18" s="14" t="n">
        <x:v>5</x:v>
      </x:c>
      <x:c r="SI18" s="14" t="n">
        <x:v>3982</x:v>
      </x:c>
      <x:c r="SJ18" s="14" t="n">
        <x:v>13</x:v>
      </x:c>
      <x:c r="SK18" s="14" t="n">
        <x:v>4</x:v>
      </x:c>
      <x:c r="SL18" s="14" t="n">
        <x:v>1</x:v>
      </x:c>
      <x:c r="SM18" s="14" t="str">
        <x:v>未收錄</x:v>
      </x:c>
      <x:c r="SN18" s="14" t="str">
        <x:v>29261</x:v>
      </x:c>
      <x:c r="SO18" s="14" t="n">
        <x:v>5</x:v>
      </x:c>
      <x:c r="SP18" s="14" t="n">
        <x:v>3983</x:v>
      </x:c>
      <x:c r="SQ18" s="14" t="n">
        <x:v>14</x:v>
      </x:c>
      <x:c r="SR18" s="14" t="n">
        <x:v>4</x:v>
      </x:c>
      <x:c r="SS18" s="14" t="n">
        <x:v>2</x:v>
      </x:c>
      <x:c r="ST18" s="14" t="str">
        <x:v>未收錄</x:v>
      </x:c>
      <x:c r="SU18" s="14" t="str">
        <x:v>29262</x:v>
      </x:c>
      <x:c r="SV18" s="14" t="n">
        <x:v>5</x:v>
      </x:c>
      <x:c r="SW18" s="14" t="n">
        <x:v>3984</x:v>
      </x:c>
      <x:c r="SX18" s="14" t="n">
        <x:v>15</x:v>
      </x:c>
      <x:c r="SY18" s="14" t="n">
        <x:v>4</x:v>
      </x:c>
      <x:c r="SZ18" s="14" t="n">
        <x:v>3</x:v>
      </x:c>
      <x:c r="TA18" s="14" t="str">
        <x:v>未收錄</x:v>
      </x:c>
      <x:c r="TB18" s="14" t="str">
        <x:v>29263</x:v>
      </x:c>
      <x:c r="TC18" s="14" t="n">
        <x:v>5</x:v>
      </x:c>
      <x:c r="TD18" s="14" t="n">
        <x:v>3985</x:v>
      </x:c>
      <x:c r="TE18" s="14" t="n">
        <x:v>16</x:v>
      </x:c>
      <x:c r="TF18" s="14" t="n">
        <x:v>4</x:v>
      </x:c>
      <x:c r="TG18" s="14" t="n">
        <x:v>4</x:v>
      </x:c>
      <x:c r="TH18" s="14" t="str">
        <x:v>未收錄</x:v>
      </x:c>
    </x:row>
    <x:row r="19" ht="15" customHeight="1">
      <x:c r="A19" s="17" t="str">
        <x:v>雷靈鋼劍</x:v>
      </x:c>
      <x:c r="B19" s="17" t="str">
        <x:v>惡靈鋼劍</x:v>
      </x:c>
      <x:c r="C19" s="17" t="str">
        <x:v>雙刃劍</x:v>
      </x:c>
      <x:c r="D19" s="17" t="str">
        <x:v>護法劍</x:v>
      </x:c>
      <x:c r="E19" s="14"/>
      <x:c r="F19" s="17" t="str">
        <x:v>侏紋火刀</x:v>
      </x:c>
      <x:c r="G19" s="17" t="str">
        <x:v>侏紋雷刀</x:v>
      </x:c>
      <x:c r="H19" s="17" t="str">
        <x:v>侏紋冥刀</x:v>
      </x:c>
      <x:c r="I19" s="17" t="str">
        <x:v>平西刀</x:v>
      </x:c>
      <x:c r="J19" s="14"/>
      <x:c r="K19" s="17" t="str">
        <x:v>筑刃旋</x:v>
      </x:c>
      <x:c r="L19" s="17" t="str">
        <x:v>殺陣黃金蟲</x:v>
      </x:c>
      <x:c r="M19" s="17" t="str">
        <x:v>雀屏針</x:v>
      </x:c>
      <x:c r="N19" s="17" t="str">
        <x:v>金瞳孔雀釵</x:v>
      </x:c>
      <x:c r="O19" s="14"/>
      <x:c r="P19" s="17" t="str">
        <x:v>冰晶拂塵</x:v>
      </x:c>
      <x:c r="Q19" s="17" t="str">
        <x:v>卓越拂塵</x:v>
      </x:c>
      <x:c r="R19" s="17" t="str">
        <x:v>天馬尾</x:v>
      </x:c>
      <x:c r="S19" s="17" t="str">
        <x:v>海龍鬚</x:v>
      </x:c>
      <x:c r="T19" s="14"/>
      <x:c r="U19" s="17" t="str">
        <x:v>紫月明熙杖</x:v>
      </x:c>
      <x:c r="V19" s="17" t="str">
        <x:v>聖木杖</x:v>
      </x:c>
      <x:c r="W19" s="17" t="str">
        <x:v>蛇陵杖</x:v>
      </x:c>
      <x:c r="X19" s="17" t="str">
        <x:v>巨樹杖</x:v>
      </x:c>
      <x:c r="Y19" s="14"/>
      <x:c r="Z19" s="17" t="str">
        <x:v>望星槍</x:v>
      </x:c>
      <x:c r="AA19" s="17" t="str">
        <x:v>止境槍</x:v>
      </x:c>
      <x:c r="AB19" s="17" t="str">
        <x:v>纏仙槍</x:v>
      </x:c>
      <x:c r="AC19" s="17" t="str">
        <x:v>鬼星槍</x:v>
      </x:c>
      <x:c r="AD19" s="14"/>
      <x:c r="AE19" s="17" t="str">
        <x:v>紫月沉金棍</x:v>
      </x:c>
      <x:c r="AF19" s="17" t="str">
        <x:v>拉拉黯然銷魂棍</x:v>
      </x:c>
      <x:c r="AG19" s="17" t="str">
        <x:v>蓮雨棍</x:v>
      </x:c>
      <x:c r="AH19" s="17" t="str">
        <x:v>吐解棍</x:v>
      </x:c>
      <x:c r="AI19" s="14"/>
      <x:c r="AJ19" s="17" t="str">
        <x:v>紫月幽陵錘</x:v>
      </x:c>
      <x:c r="AK19" s="17" t="str">
        <x:v>定疆錘</x:v>
      </x:c>
      <x:c r="AL19" s="17" t="str">
        <x:v>新羅錘</x:v>
      </x:c>
      <x:c r="AM19" s="17" t="str">
        <x:v>鬼瓦錘</x:v>
      </x:c>
      <x:c r="AN19" s="14"/>
      <x:c r="AO19" s="17" t="str">
        <x:v>翰祚斧</x:v>
      </x:c>
      <x:c r="AP19" s="17" t="str">
        <x:v>乙那斧</x:v>
      </x:c>
      <x:c r="AQ19" s="17" t="str">
        <x:v>綠星斧</x:v>
      </x:c>
      <x:c r="AR19" s="17" t="str">
        <x:v>玄鐵寶斧</x:v>
      </x:c>
      <x:c r="AS19" s="14"/>
      <x:c r="AT19" s="17" t="str">
        <x:v>雄闕盾</x:v>
      </x:c>
      <x:c r="AU19" s="17" t="str">
        <x:v>瓠公盾</x:v>
      </x:c>
      <x:c r="AV19" s="17" t="str">
        <x:v>將軍盾</x:v>
      </x:c>
      <x:c r="AW19" s="17" t="str">
        <x:v>秘文藤盾</x:v>
      </x:c>
      <x:c r="AX19" s="14"/>
      <x:c r="AY19" s="17" t="str">
        <x:v>明光戰盔</x:v>
      </x:c>
      <x:c r="AZ19" s="17" t="str">
        <x:v>驅邪皮盔</x:v>
      </x:c>
      <x:c r="BA19" s="17" t="str">
        <x:v>闢邪兜帽</x:v>
      </x:c>
      <x:c r="BB19" s="17" t="str">
        <x:v>鎮邪戰盔</x:v>
      </x:c>
      <x:c r="BC19" s="14"/>
      <x:c r="BD19" s="17" t="str">
        <x:v>明光鎧</x:v>
      </x:c>
      <x:c r="BE19" s="17" t="str">
        <x:v>驅邪甲</x:v>
      </x:c>
      <x:c r="BF19" s="17" t="str">
        <x:v>闢邪甲</x:v>
      </x:c>
      <x:c r="BG19" s="17" t="str">
        <x:v>鎮邪甲</x:v>
      </x:c>
      <x:c r="BH19" s="14"/>
      <x:c r="BI19" s="17" t="str">
        <x:v>重骨護腕</x:v>
      </x:c>
      <x:c r="BJ19" s="17" t="str">
        <x:v>附靈護腕</x:v>
      </x:c>
      <x:c r="BK19" s="17" t="str">
        <x:v>怨靈護腕</x:v>
      </x:c>
      <x:c r="BL19" s="17" t="str">
        <x:v>山犬綁手</x:v>
      </x:c>
      <x:c r="BM19" s="14"/>
      <x:c r="BN19" s="17" t="str">
        <x:v>怨靈骨靴</x:v>
      </x:c>
      <x:c r="BO19" s="17" t="str">
        <x:v>山犬靴</x:v>
      </x:c>
      <x:c r="BP19" s="17" t="str">
        <x:v>惡狼皮靴</x:v>
      </x:c>
      <x:c r="BQ19" s="17" t="str">
        <x:v>浮雲靴</x:v>
      </x:c>
      <x:c r="BR19" s="14"/>
      <x:c r="BS19" s="17" t="str">
        <x:v>飛霜銀鍊</x:v>
      </x:c>
      <x:c r="BT19" s="17" t="str">
        <x:v>磐石勾鍊</x:v>
      </x:c>
      <x:c r="BU19" s="17" t="str">
        <x:v>質樸翠玉鐲</x:v>
      </x:c>
      <x:c r="BV19" s="17" t="str">
        <x:v>精靈之淚</x:v>
      </x:c>
      <x:c r="BW19" s="14"/>
      <x:c r="BX19" s="17" t="str">
        <x:v>火星仙劍印</x:v>
      </x:c>
      <x:c r="BY19" s="17" t="str">
        <x:v>地劫仙劍印</x:v>
      </x:c>
      <x:c r="BZ19" s="17" t="str">
        <x:v>鈴星仙劍印</x:v>
      </x:c>
      <x:c r="CA19" s="17" t="str">
        <x:v>陀羅仙劍印</x:v>
      </x:c>
      <x:c r="CB19" s="14"/>
      <x:c r="CC19" s="14" t="str">
        <x:v>20705</x:v>
      </x:c>
      <x:c r="CD19" s="14" t="n">
        <x:v>1</x:v>
      </x:c>
      <x:c r="CE19" s="14" t="n">
        <x:v>17</x:v>
      </x:c>
      <x:c r="CF19" s="14" t="n">
        <x:v>17</x:v>
      </x:c>
      <x:c r="CG19" s="14" t="n">
        <x:v>5</x:v>
      </x:c>
      <x:c r="CH19" s="14" t="n">
        <x:v>1</x:v>
      </x:c>
      <x:c r="CI19" s="14" t="str">
        <x:v>未收錄</x:v>
      </x:c>
      <x:c r="CJ19" s="14" t="str">
        <x:v>20758</x:v>
      </x:c>
      <x:c r="CK19" s="14" t="n">
        <x:v>1</x:v>
      </x:c>
      <x:c r="CL19" s="14" t="n">
        <x:v>18</x:v>
      </x:c>
      <x:c r="CM19" s="14" t="n">
        <x:v>18</x:v>
      </x:c>
      <x:c r="CN19" s="14" t="n">
        <x:v>5</x:v>
      </x:c>
      <x:c r="CO19" s="14" t="n">
        <x:v>2</x:v>
      </x:c>
      <x:c r="CP19" s="14" t="str">
        <x:v>未收錄</x:v>
      </x:c>
      <x:c r="CQ19" s="14" t="str">
        <x:v>20842</x:v>
      </x:c>
      <x:c r="CR19" s="14" t="n">
        <x:v>1</x:v>
      </x:c>
      <x:c r="CS19" s="14" t="n">
        <x:v>19</x:v>
      </x:c>
      <x:c r="CT19" s="14" t="n">
        <x:v>19</x:v>
      </x:c>
      <x:c r="CU19" s="14" t="n">
        <x:v>5</x:v>
      </x:c>
      <x:c r="CV19" s="14" t="n">
        <x:v>3</x:v>
      </x:c>
      <x:c r="CW19" s="14" t="str">
        <x:v>未收錄</x:v>
      </x:c>
      <x:c r="CX19" s="14" t="str">
        <x:v>20759</x:v>
      </x:c>
      <x:c r="CY19" s="14" t="n">
        <x:v>1</x:v>
      </x:c>
      <x:c r="CZ19" s="14" t="n">
        <x:v>20</x:v>
      </x:c>
      <x:c r="DA19" s="14" t="n">
        <x:v>20</x:v>
      </x:c>
      <x:c r="DB19" s="14" t="n">
        <x:v>5</x:v>
      </x:c>
      <x:c r="DC19" s="14" t="n">
        <x:v>4</x:v>
      </x:c>
      <x:c r="DD19" s="14" t="str">
        <x:v>未收錄</x:v>
      </x:c>
      <x:c r="DE19" s="14" t="str">
        <x:v>21921</x:v>
      </x:c>
      <x:c r="DF19" s="14" t="n">
        <x:v>1</x:v>
      </x:c>
      <x:c r="DG19" s="14" t="n">
        <x:v>262</x:v>
      </x:c>
      <x:c r="DH19" s="14" t="n">
        <x:v>17</x:v>
      </x:c>
      <x:c r="DI19" s="14" t="n">
        <x:v>5</x:v>
      </x:c>
      <x:c r="DJ19" s="14" t="n">
        <x:v>1</x:v>
      </x:c>
      <x:c r="DK19" s="14" t="str">
        <x:v>未收錄</x:v>
      </x:c>
      <x:c r="DL19" s="14" t="str">
        <x:v>21922</x:v>
      </x:c>
      <x:c r="DM19" s="14" t="n">
        <x:v>1</x:v>
      </x:c>
      <x:c r="DN19" s="14" t="n">
        <x:v>263</x:v>
      </x:c>
      <x:c r="DO19" s="14" t="n">
        <x:v>18</x:v>
      </x:c>
      <x:c r="DP19" s="14" t="n">
        <x:v>5</x:v>
      </x:c>
      <x:c r="DQ19" s="14" t="n">
        <x:v>2</x:v>
      </x:c>
      <x:c r="DR19" s="14" t="str">
        <x:v>未收錄</x:v>
      </x:c>
      <x:c r="DS19" s="14" t="str">
        <x:v>21923</x:v>
      </x:c>
      <x:c r="DT19" s="14" t="n">
        <x:v>1</x:v>
      </x:c>
      <x:c r="DU19" s="14" t="n">
        <x:v>264</x:v>
      </x:c>
      <x:c r="DV19" s="14" t="n">
        <x:v>19</x:v>
      </x:c>
      <x:c r="DW19" s="14" t="n">
        <x:v>5</x:v>
      </x:c>
      <x:c r="DX19" s="14" t="n">
        <x:v>3</x:v>
      </x:c>
      <x:c r="DY19" s="14" t="str">
        <x:v>未收錄</x:v>
      </x:c>
      <x:c r="DZ19" s="14" t="str">
        <x:v>26166</x:v>
      </x:c>
      <x:c r="EA19" s="14" t="n">
        <x:v>1</x:v>
      </x:c>
      <x:c r="EB19" s="14" t="n">
        <x:v>265</x:v>
      </x:c>
      <x:c r="EC19" s="14" t="n">
        <x:v>20</x:v>
      </x:c>
      <x:c r="ED19" s="14" t="n">
        <x:v>5</x:v>
      </x:c>
      <x:c r="EE19" s="14" t="n">
        <x:v>4</x:v>
      </x:c>
      <x:c r="EF19" s="14" t="str">
        <x:v>未收錄</x:v>
      </x:c>
      <x:c r="EG19" s="14" t="str">
        <x:v>22521</x:v>
      </x:c>
      <x:c r="EH19" s="14" t="n">
        <x:v>8</x:v>
      </x:c>
      <x:c r="EI19" s="14" t="n">
        <x:v>498</x:v>
      </x:c>
      <x:c r="EJ19" s="14" t="n">
        <x:v>17</x:v>
      </x:c>
      <x:c r="EK19" s="14" t="n">
        <x:v>5</x:v>
      </x:c>
      <x:c r="EL19" s="14" t="n">
        <x:v>1</x:v>
      </x:c>
      <x:c r="EM19" s="14" t="str">
        <x:v>未收錄</x:v>
      </x:c>
      <x:c r="EN19" s="14" t="str">
        <x:v>22885</x:v>
      </x:c>
      <x:c r="EO19" s="14" t="n">
        <x:v>8</x:v>
      </x:c>
      <x:c r="EP19" s="14" t="n">
        <x:v>499</x:v>
      </x:c>
      <x:c r="EQ19" s="14" t="n">
        <x:v>18</x:v>
      </x:c>
      <x:c r="ER19" s="14" t="n">
        <x:v>5</x:v>
      </x:c>
      <x:c r="ES19" s="14" t="n">
        <x:v>2</x:v>
      </x:c>
      <x:c r="ET19" s="14" t="str">
        <x:v>未收錄</x:v>
      </x:c>
      <x:c r="EU19" s="14" t="str">
        <x:v>23164</x:v>
      </x:c>
      <x:c r="EV19" s="14" t="n">
        <x:v>8</x:v>
      </x:c>
      <x:c r="EW19" s="14" t="n">
        <x:v>500</x:v>
      </x:c>
      <x:c r="EX19" s="14" t="n">
        <x:v>19</x:v>
      </x:c>
      <x:c r="EY19" s="14" t="n">
        <x:v>5</x:v>
      </x:c>
      <x:c r="EZ19" s="14" t="n">
        <x:v>3</x:v>
      </x:c>
      <x:c r="FA19" s="14" t="str">
        <x:v>未收錄</x:v>
      </x:c>
      <x:c r="FB19" s="14" t="str">
        <x:v>23165</x:v>
      </x:c>
      <x:c r="FC19" s="14" t="n">
        <x:v>8</x:v>
      </x:c>
      <x:c r="FD19" s="14" t="n">
        <x:v>501</x:v>
      </x:c>
      <x:c r="FE19" s="14" t="n">
        <x:v>20</x:v>
      </x:c>
      <x:c r="FF19" s="14" t="n">
        <x:v>5</x:v>
      </x:c>
      <x:c r="FG19" s="14" t="n">
        <x:v>4</x:v>
      </x:c>
      <x:c r="FH19" s="14" t="str">
        <x:v>未收錄</x:v>
      </x:c>
      <x:c r="FI19" s="14" t="str">
        <x:v>22421</x:v>
      </x:c>
      <x:c r="FJ19" s="14" t="n">
        <x:v>3</x:v>
      </x:c>
      <x:c r="FK19" s="14" t="n">
        <x:v>648</x:v>
      </x:c>
      <x:c r="FL19" s="14" t="n">
        <x:v>17</x:v>
      </x:c>
      <x:c r="FM19" s="14" t="n">
        <x:v>5</x:v>
      </x:c>
      <x:c r="FN19" s="14" t="n">
        <x:v>1</x:v>
      </x:c>
      <x:c r="FO19" s="14" t="str">
        <x:v>未收錄</x:v>
      </x:c>
      <x:c r="FP19" s="14" t="str">
        <x:v>23331</x:v>
      </x:c>
      <x:c r="FQ19" s="14" t="n">
        <x:v>3</x:v>
      </x:c>
      <x:c r="FR19" s="14" t="n">
        <x:v>649</x:v>
      </x:c>
      <x:c r="FS19" s="14" t="n">
        <x:v>18</x:v>
      </x:c>
      <x:c r="FT19" s="14" t="n">
        <x:v>5</x:v>
      </x:c>
      <x:c r="FU19" s="14" t="n">
        <x:v>2</x:v>
      </x:c>
      <x:c r="FV19" s="14" t="str">
        <x:v>未收錄</x:v>
      </x:c>
      <x:c r="FW19" s="14" t="str">
        <x:v>20814</x:v>
      </x:c>
      <x:c r="FX19" s="14" t="n">
        <x:v>8</x:v>
      </x:c>
      <x:c r="FY19" s="14" t="n">
        <x:v>650</x:v>
      </x:c>
      <x:c r="FZ19" s="14" t="n">
        <x:v>19</x:v>
      </x:c>
      <x:c r="GA19" s="14" t="n">
        <x:v>5</x:v>
      </x:c>
      <x:c r="GB19" s="14" t="n">
        <x:v>3</x:v>
      </x:c>
      <x:c r="GC19" s="14" t="str">
        <x:v>未收錄</x:v>
      </x:c>
      <x:c r="GD19" s="14" t="str">
        <x:v>20815</x:v>
      </x:c>
      <x:c r="GE19" s="14" t="n">
        <x:v>8</x:v>
      </x:c>
      <x:c r="GF19" s="14" t="n">
        <x:v>651</x:v>
      </x:c>
      <x:c r="GG19" s="14" t="n">
        <x:v>20</x:v>
      </x:c>
      <x:c r="GH19" s="14" t="n">
        <x:v>5</x:v>
      </x:c>
      <x:c r="GI19" s="14" t="n">
        <x:v>4</x:v>
      </x:c>
      <x:c r="GJ19" s="14" t="str">
        <x:v>未收錄</x:v>
      </x:c>
      <x:c r="GK19" s="14" t="str">
        <x:v>29097</x:v>
      </x:c>
      <x:c r="GL19" s="14" t="n">
        <x:v>1</x:v>
      </x:c>
      <x:c r="GM19" s="14" t="n">
        <x:v>820</x:v>
      </x:c>
      <x:c r="GN19" s="14" t="n">
        <x:v>17</x:v>
      </x:c>
      <x:c r="GO19" s="14" t="n">
        <x:v>5</x:v>
      </x:c>
      <x:c r="GP19" s="14" t="n">
        <x:v>1</x:v>
      </x:c>
      <x:c r="GQ19" s="14" t="str">
        <x:v>未收錄</x:v>
      </x:c>
      <x:c r="GR19" s="14" t="str">
        <x:v>23054</x:v>
      </x:c>
      <x:c r="GS19" s="14" t="n">
        <x:v>1</x:v>
      </x:c>
      <x:c r="GT19" s="14" t="n">
        <x:v>821</x:v>
      </x:c>
      <x:c r="GU19" s="14" t="n">
        <x:v>18</x:v>
      </x:c>
      <x:c r="GV19" s="14" t="n">
        <x:v>5</x:v>
      </x:c>
      <x:c r="GW19" s="14" t="n">
        <x:v>2</x:v>
      </x:c>
      <x:c r="GX19" s="14" t="str">
        <x:v>未收錄</x:v>
      </x:c>
      <x:c r="GY19" s="14" t="str">
        <x:v>29898</x:v>
      </x:c>
      <x:c r="GZ19" s="14" t="n">
        <x:v>1</x:v>
      </x:c>
      <x:c r="HA19" s="14" t="n">
        <x:v>822</x:v>
      </x:c>
      <x:c r="HB19" s="14" t="n">
        <x:v>19</x:v>
      </x:c>
      <x:c r="HC19" s="14" t="n">
        <x:v>5</x:v>
      </x:c>
      <x:c r="HD19" s="14" t="n">
        <x:v>3</x:v>
      </x:c>
      <x:c r="HE19" s="14" t="str">
        <x:v>未收錄</x:v>
      </x:c>
      <x:c r="HF19" s="14" t="str">
        <x:v>30523</x:v>
      </x:c>
      <x:c r="HG19" s="14" t="n">
        <x:v>1</x:v>
      </x:c>
      <x:c r="HH19" s="14" t="n">
        <x:v>823</x:v>
      </x:c>
      <x:c r="HI19" s="14" t="n">
        <x:v>20</x:v>
      </x:c>
      <x:c r="HJ19" s="14" t="n">
        <x:v>5</x:v>
      </x:c>
      <x:c r="HK19" s="14" t="n">
        <x:v>4</x:v>
      </x:c>
      <x:c r="HL19" s="14" t="str">
        <x:v>未收錄</x:v>
      </x:c>
      <x:c r="HM19" s="14" t="str">
        <x:v>26171</x:v>
      </x:c>
      <x:c r="HN19" s="14" t="n">
        <x:v>1</x:v>
      </x:c>
      <x:c r="HO19" s="14" t="n">
        <x:v>993</x:v>
      </x:c>
      <x:c r="HP19" s="14" t="n">
        <x:v>17</x:v>
      </x:c>
      <x:c r="HQ19" s="14" t="n">
        <x:v>5</x:v>
      </x:c>
      <x:c r="HR19" s="14" t="n">
        <x:v>1</x:v>
      </x:c>
      <x:c r="HS19" s="14" t="str">
        <x:v>未收錄</x:v>
      </x:c>
      <x:c r="HT19" s="14" t="str">
        <x:v>26177</x:v>
      </x:c>
      <x:c r="HU19" s="14" t="n">
        <x:v>1</x:v>
      </x:c>
      <x:c r="HV19" s="14" t="n">
        <x:v>994</x:v>
      </x:c>
      <x:c r="HW19" s="14" t="n">
        <x:v>18</x:v>
      </x:c>
      <x:c r="HX19" s="14" t="n">
        <x:v>5</x:v>
      </x:c>
      <x:c r="HY19" s="14" t="n">
        <x:v>2</x:v>
      </x:c>
      <x:c r="HZ19" s="14" t="str">
        <x:v>未收錄</x:v>
      </x:c>
      <x:c r="IA19" s="14" t="str">
        <x:v>27203</x:v>
      </x:c>
      <x:c r="IB19" s="14" t="n">
        <x:v>1</x:v>
      </x:c>
      <x:c r="IC19" s="14" t="n">
        <x:v>995</x:v>
      </x:c>
      <x:c r="ID19" s="14" t="n">
        <x:v>19</x:v>
      </x:c>
      <x:c r="IE19" s="14" t="n">
        <x:v>5</x:v>
      </x:c>
      <x:c r="IF19" s="14" t="n">
        <x:v>3</x:v>
      </x:c>
      <x:c r="IG19" s="14" t="str">
        <x:v>未收錄</x:v>
      </x:c>
      <x:c r="IH19" s="14" t="str">
        <x:v>28255</x:v>
      </x:c>
      <x:c r="II19" s="14" t="n">
        <x:v>1</x:v>
      </x:c>
      <x:c r="IJ19" s="14" t="n">
        <x:v>996</x:v>
      </x:c>
      <x:c r="IK19" s="14" t="n">
        <x:v>20</x:v>
      </x:c>
      <x:c r="IL19" s="14" t="n">
        <x:v>5</x:v>
      </x:c>
      <x:c r="IM19" s="14" t="n">
        <x:v>4</x:v>
      </x:c>
      <x:c r="IN19" s="14" t="str">
        <x:v>未收錄</x:v>
      </x:c>
      <x:c r="IO19" s="14" t="str">
        <x:v>29100</x:v>
      </x:c>
      <x:c r="IP19" s="14" t="n">
        <x:v>1</x:v>
      </x:c>
      <x:c r="IQ19" s="14" t="n">
        <x:v>1161</x:v>
      </x:c>
      <x:c r="IR19" s="14" t="n">
        <x:v>17</x:v>
      </x:c>
      <x:c r="IS19" s="14" t="n">
        <x:v>5</x:v>
      </x:c>
      <x:c r="IT19" s="14" t="n">
        <x:v>1</x:v>
      </x:c>
      <x:c r="IU19" s="14" t="str">
        <x:v>未收錄</x:v>
      </x:c>
      <x:c r="IV19" s="14" t="str">
        <x:v>29103</x:v>
      </x:c>
      <x:c r="IW19" s="14" t="n">
        <x:v>1</x:v>
      </x:c>
      <x:c r="IX19" s="14" t="n">
        <x:v>1162</x:v>
      </x:c>
      <x:c r="IY19" s="14" t="n">
        <x:v>18</x:v>
      </x:c>
      <x:c r="IZ19" s="14" t="n">
        <x:v>5</x:v>
      </x:c>
      <x:c r="JA19" s="14" t="n">
        <x:v>2</x:v>
      </x:c>
      <x:c r="JB19" s="14" t="str">
        <x:v>未收錄</x:v>
      </x:c>
      <x:c r="JC19" s="14" t="str">
        <x:v>23057</x:v>
      </x:c>
      <x:c r="JD19" s="14" t="n">
        <x:v>1</x:v>
      </x:c>
      <x:c r="JE19" s="14" t="n">
        <x:v>1163</x:v>
      </x:c>
      <x:c r="JF19" s="14" t="n">
        <x:v>19</x:v>
      </x:c>
      <x:c r="JG19" s="14" t="n">
        <x:v>5</x:v>
      </x:c>
      <x:c r="JH19" s="14" t="n">
        <x:v>3</x:v>
      </x:c>
      <x:c r="JI19" s="14" t="str">
        <x:v>未收錄</x:v>
      </x:c>
      <x:c r="JJ19" s="14" t="str">
        <x:v>29901</x:v>
      </x:c>
      <x:c r="JK19" s="14" t="n">
        <x:v>1</x:v>
      </x:c>
      <x:c r="JL19" s="14" t="n">
        <x:v>1164</x:v>
      </x:c>
      <x:c r="JM19" s="14" t="n">
        <x:v>20</x:v>
      </x:c>
      <x:c r="JN19" s="14" t="n">
        <x:v>5</x:v>
      </x:c>
      <x:c r="JO19" s="14" t="n">
        <x:v>4</x:v>
      </x:c>
      <x:c r="JP19" s="14" t="str">
        <x:v>未收錄</x:v>
      </x:c>
      <x:c r="JQ19" s="14" t="str">
        <x:v>29099</x:v>
      </x:c>
      <x:c r="JR19" s="14" t="n">
        <x:v>1</x:v>
      </x:c>
      <x:c r="JS19" s="14" t="n">
        <x:v>1328</x:v>
      </x:c>
      <x:c r="JT19" s="14" t="n">
        <x:v>17</x:v>
      </x:c>
      <x:c r="JU19" s="14" t="n">
        <x:v>5</x:v>
      </x:c>
      <x:c r="JV19" s="14" t="n">
        <x:v>1</x:v>
      </x:c>
      <x:c r="JW19" s="14" t="str">
        <x:v>未收錄</x:v>
      </x:c>
      <x:c r="JX19" s="14" t="str">
        <x:v>23056</x:v>
      </x:c>
      <x:c r="JY19" s="14" t="n">
        <x:v>1</x:v>
      </x:c>
      <x:c r="JZ19" s="14" t="n">
        <x:v>1329</x:v>
      </x:c>
      <x:c r="KA19" s="14" t="n">
        <x:v>18</x:v>
      </x:c>
      <x:c r="KB19" s="14" t="n">
        <x:v>5</x:v>
      </x:c>
      <x:c r="KC19" s="14" t="n">
        <x:v>2</x:v>
      </x:c>
      <x:c r="KD19" s="14" t="str">
        <x:v>未收錄</x:v>
      </x:c>
      <x:c r="KE19" s="14" t="str">
        <x:v>29900</x:v>
      </x:c>
      <x:c r="KF19" s="14" t="n">
        <x:v>1</x:v>
      </x:c>
      <x:c r="KG19" s="14" t="n">
        <x:v>1330</x:v>
      </x:c>
      <x:c r="KH19" s="14" t="n">
        <x:v>19</x:v>
      </x:c>
      <x:c r="KI19" s="14" t="n">
        <x:v>5</x:v>
      </x:c>
      <x:c r="KJ19" s="14" t="n">
        <x:v>3</x:v>
      </x:c>
      <x:c r="KK19" s="14" t="str">
        <x:v>未收錄</x:v>
      </x:c>
      <x:c r="KL19" s="14" t="str">
        <x:v>30525</x:v>
      </x:c>
      <x:c r="KM19" s="14" t="n">
        <x:v>1</x:v>
      </x:c>
      <x:c r="KN19" s="14" t="n">
        <x:v>1331</x:v>
      </x:c>
      <x:c r="KO19" s="14" t="n">
        <x:v>20</x:v>
      </x:c>
      <x:c r="KP19" s="14" t="n">
        <x:v>5</x:v>
      </x:c>
      <x:c r="KQ19" s="14" t="n">
        <x:v>4</x:v>
      </x:c>
      <x:c r="KR19" s="14" t="str">
        <x:v>未收錄</x:v>
      </x:c>
      <x:c r="KS19" s="14" t="str">
        <x:v>23055</x:v>
      </x:c>
      <x:c r="KT19" s="14" t="n">
        <x:v>1</x:v>
      </x:c>
      <x:c r="KU19" s="14" t="n">
        <x:v>1443</x:v>
      </x:c>
      <x:c r="KV19" s="14" t="n">
        <x:v>17</x:v>
      </x:c>
      <x:c r="KW19" s="14" t="n">
        <x:v>5</x:v>
      </x:c>
      <x:c r="KX19" s="14" t="n">
        <x:v>1</x:v>
      </x:c>
      <x:c r="KY19" s="14" t="str">
        <x:v>未收錄</x:v>
      </x:c>
      <x:c r="KZ19" s="14" t="str">
        <x:v>29899</x:v>
      </x:c>
      <x:c r="LA19" s="14" t="n">
        <x:v>1</x:v>
      </x:c>
      <x:c r="LB19" s="14" t="n">
        <x:v>1444</x:v>
      </x:c>
      <x:c r="LC19" s="14" t="n">
        <x:v>18</x:v>
      </x:c>
      <x:c r="LD19" s="14" t="n">
        <x:v>5</x:v>
      </x:c>
      <x:c r="LE19" s="14" t="n">
        <x:v>2</x:v>
      </x:c>
      <x:c r="LF19" s="14" t="str">
        <x:v>未收錄</x:v>
      </x:c>
      <x:c r="LG19" s="14" t="str">
        <x:v>30524</x:v>
      </x:c>
      <x:c r="LH19" s="14" t="n">
        <x:v>1</x:v>
      </x:c>
      <x:c r="LI19" s="14" t="n">
        <x:v>1445</x:v>
      </x:c>
      <x:c r="LJ19" s="14" t="n">
        <x:v>19</x:v>
      </x:c>
      <x:c r="LK19" s="14" t="n">
        <x:v>5</x:v>
      </x:c>
      <x:c r="LL19" s="14" t="n">
        <x:v>3</x:v>
      </x:c>
      <x:c r="LM19" s="14" t="str">
        <x:v>未收錄</x:v>
      </x:c>
      <x:c r="LN19" s="14" t="str">
        <x:v>20611</x:v>
      </x:c>
      <x:c r="LO19" s="14" t="n">
        <x:v>2</x:v>
      </x:c>
      <x:c r="LP19" s="14" t="n">
        <x:v>1446</x:v>
      </x:c>
      <x:c r="LQ19" s="14" t="n">
        <x:v>20</x:v>
      </x:c>
      <x:c r="LR19" s="14" t="n">
        <x:v>5</x:v>
      </x:c>
      <x:c r="LS19" s="14" t="n">
        <x:v>4</x:v>
      </x:c>
      <x:c r="LT19" s="14" t="str">
        <x:v>未收錄</x:v>
      </x:c>
      <x:c r="LU19" s="14" t="str">
        <x:v>23058</x:v>
      </x:c>
      <x:c r="LV19" s="14" t="n">
        <x:v>1</x:v>
      </x:c>
      <x:c r="LW19" s="14" t="n">
        <x:v>1556</x:v>
      </x:c>
      <x:c r="LX19" s="14" t="n">
        <x:v>17</x:v>
      </x:c>
      <x:c r="LY19" s="14" t="n">
        <x:v>5</x:v>
      </x:c>
      <x:c r="LZ19" s="14" t="n">
        <x:v>1</x:v>
      </x:c>
      <x:c r="MA19" s="14" t="str">
        <x:v>未收錄</x:v>
      </x:c>
      <x:c r="MB19" s="14" t="str">
        <x:v>29902</x:v>
      </x:c>
      <x:c r="MC19" s="14" t="n">
        <x:v>1</x:v>
      </x:c>
      <x:c r="MD19" s="14" t="n">
        <x:v>1557</x:v>
      </x:c>
      <x:c r="ME19" s="14" t="n">
        <x:v>18</x:v>
      </x:c>
      <x:c r="MF19" s="14" t="n">
        <x:v>5</x:v>
      </x:c>
      <x:c r="MG19" s="14" t="n">
        <x:v>2</x:v>
      </x:c>
      <x:c r="MH19" s="14" t="str">
        <x:v>未收錄</x:v>
      </x:c>
      <x:c r="MI19" s="14" t="str">
        <x:v>30527</x:v>
      </x:c>
      <x:c r="MJ19" s="14" t="n">
        <x:v>1</x:v>
      </x:c>
      <x:c r="MK19" s="14" t="n">
        <x:v>1558</x:v>
      </x:c>
      <x:c r="ML19" s="14" t="n">
        <x:v>19</x:v>
      </x:c>
      <x:c r="MM19" s="14" t="n">
        <x:v>5</x:v>
      </x:c>
      <x:c r="MN19" s="14" t="n">
        <x:v>3</x:v>
      </x:c>
      <x:c r="MO19" s="14" t="str">
        <x:v>未收錄</x:v>
      </x:c>
      <x:c r="MP19" s="14" t="str">
        <x:v>20706</x:v>
      </x:c>
      <x:c r="MQ19" s="14" t="n">
        <x:v>2</x:v>
      </x:c>
      <x:c r="MR19" s="14" t="n">
        <x:v>1559</x:v>
      </x:c>
      <x:c r="MS19" s="14" t="n">
        <x:v>20</x:v>
      </x:c>
      <x:c r="MT19" s="14" t="n">
        <x:v>5</x:v>
      </x:c>
      <x:c r="MU19" s="14" t="n">
        <x:v>4</x:v>
      </x:c>
      <x:c r="MV19" s="14" t="str">
        <x:v>未收錄</x:v>
      </x:c>
      <x:c r="MW19" s="14" t="str">
        <x:v>20455</x:v>
      </x:c>
      <x:c r="MX19" s="14" t="n">
        <x:v>1</x:v>
      </x:c>
      <x:c r="MY19" s="14" t="n">
        <x:v>1665</x:v>
      </x:c>
      <x:c r="MZ19" s="14" t="n">
        <x:v>17</x:v>
      </x:c>
      <x:c r="NA19" s="14" t="n">
        <x:v>5</x:v>
      </x:c>
      <x:c r="NB19" s="14" t="n">
        <x:v>1</x:v>
      </x:c>
      <x:c r="NC19" s="14" t="str">
        <x:v>未收錄</x:v>
      </x:c>
      <x:c r="ND19" s="14" t="str">
        <x:v>20718</x:v>
      </x:c>
      <x:c r="NE19" s="14" t="n">
        <x:v>1</x:v>
      </x:c>
      <x:c r="NF19" s="14" t="n">
        <x:v>1666</x:v>
      </x:c>
      <x:c r="NG19" s="14" t="n">
        <x:v>18</x:v>
      </x:c>
      <x:c r="NH19" s="14" t="n">
        <x:v>5</x:v>
      </x:c>
      <x:c r="NI19" s="14" t="n">
        <x:v>2</x:v>
      </x:c>
      <x:c r="NJ19" s="14" t="str">
        <x:v>未收錄</x:v>
      </x:c>
      <x:c r="NK19" s="14" t="str">
        <x:v>20719</x:v>
      </x:c>
      <x:c r="NL19" s="14" t="n">
        <x:v>1</x:v>
      </x:c>
      <x:c r="NM19" s="14" t="n">
        <x:v>1667</x:v>
      </x:c>
      <x:c r="NN19" s="14" t="n">
        <x:v>19</x:v>
      </x:c>
      <x:c r="NO19" s="14" t="n">
        <x:v>5</x:v>
      </x:c>
      <x:c r="NP19" s="14" t="n">
        <x:v>3</x:v>
      </x:c>
      <x:c r="NQ19" s="14" t="str">
        <x:v>未收錄</x:v>
      </x:c>
      <x:c r="NR19" s="14" t="str">
        <x:v>20720</x:v>
      </x:c>
      <x:c r="NS19" s="14" t="n">
        <x:v>1</x:v>
      </x:c>
      <x:c r="NT19" s="14" t="n">
        <x:v>1668</x:v>
      </x:c>
      <x:c r="NU19" s="14" t="n">
        <x:v>20</x:v>
      </x:c>
      <x:c r="NV19" s="14" t="n">
        <x:v>5</x:v>
      </x:c>
      <x:c r="NW19" s="14" t="n">
        <x:v>4</x:v>
      </x:c>
      <x:c r="NX19" s="14" t="str">
        <x:v>未收錄</x:v>
      </x:c>
      <x:c r="NY19" s="14" t="str">
        <x:v>20027</x:v>
      </x:c>
      <x:c r="NZ19" s="14" t="n">
        <x:v>1</x:v>
      </x:c>
      <x:c r="OA19" s="14" t="n">
        <x:v>2118</x:v>
      </x:c>
      <x:c r="OB19" s="14" t="n">
        <x:v>17</x:v>
      </x:c>
      <x:c r="OC19" s="14" t="n">
        <x:v>5</x:v>
      </x:c>
      <x:c r="OD19" s="14" t="n">
        <x:v>1</x:v>
      </x:c>
      <x:c r="OE19" s="14" t="str">
        <x:v>未收錄</x:v>
      </x:c>
      <x:c r="OF19" s="14" t="str">
        <x:v>20709</x:v>
      </x:c>
      <x:c r="OG19" s="14" t="n">
        <x:v>1</x:v>
      </x:c>
      <x:c r="OH19" s="14" t="n">
        <x:v>2119</x:v>
      </x:c>
      <x:c r="OI19" s="14" t="n">
        <x:v>18</x:v>
      </x:c>
      <x:c r="OJ19" s="14" t="n">
        <x:v>5</x:v>
      </x:c>
      <x:c r="OK19" s="14" t="n">
        <x:v>2</x:v>
      </x:c>
      <x:c r="OL19" s="14" t="str">
        <x:v>未收錄</x:v>
      </x:c>
      <x:c r="OM19" s="14" t="str">
        <x:v>20710</x:v>
      </x:c>
      <x:c r="ON19" s="14" t="n">
        <x:v>1</x:v>
      </x:c>
      <x:c r="OO19" s="14" t="n">
        <x:v>2120</x:v>
      </x:c>
      <x:c r="OP19" s="14" t="n">
        <x:v>19</x:v>
      </x:c>
      <x:c r="OQ19" s="14" t="n">
        <x:v>5</x:v>
      </x:c>
      <x:c r="OR19" s="14" t="n">
        <x:v>3</x:v>
      </x:c>
      <x:c r="OS19" s="14" t="str">
        <x:v>未收錄</x:v>
      </x:c>
      <x:c r="OT19" s="14" t="str">
        <x:v>20711</x:v>
      </x:c>
      <x:c r="OU19" s="14" t="n">
        <x:v>1</x:v>
      </x:c>
      <x:c r="OV19" s="14" t="n">
        <x:v>2121</x:v>
      </x:c>
      <x:c r="OW19" s="14" t="n">
        <x:v>20</x:v>
      </x:c>
      <x:c r="OX19" s="14" t="n">
        <x:v>5</x:v>
      </x:c>
      <x:c r="OY19" s="14" t="n">
        <x:v>4</x:v>
      </x:c>
      <x:c r="OZ19" s="14" t="str">
        <x:v>未收錄</x:v>
      </x:c>
      <x:c r="PA19" s="14" t="str">
        <x:v>20412</x:v>
      </x:c>
      <x:c r="PB19" s="14" t="n">
        <x:v>1</x:v>
      </x:c>
      <x:c r="PC19" s="14" t="n">
        <x:v>2664</x:v>
      </x:c>
      <x:c r="PD19" s="14" t="n">
        <x:v>17</x:v>
      </x:c>
      <x:c r="PE19" s="14" t="n">
        <x:v>5</x:v>
      </x:c>
      <x:c r="PF19" s="14" t="n">
        <x:v>1</x:v>
      </x:c>
      <x:c r="PG19" s="14" t="str">
        <x:v>未收錄</x:v>
      </x:c>
      <x:c r="PH19" s="14" t="str">
        <x:v>20413</x:v>
      </x:c>
      <x:c r="PI19" s="14" t="n">
        <x:v>1</x:v>
      </x:c>
      <x:c r="PJ19" s="14" t="n">
        <x:v>2665</x:v>
      </x:c>
      <x:c r="PK19" s="14" t="n">
        <x:v>18</x:v>
      </x:c>
      <x:c r="PL19" s="14" t="n">
        <x:v>5</x:v>
      </x:c>
      <x:c r="PM19" s="14" t="n">
        <x:v>2</x:v>
      </x:c>
      <x:c r="PN19" s="14" t="str">
        <x:v>未收錄</x:v>
      </x:c>
      <x:c r="PO19" s="14" t="str">
        <x:v>20414</x:v>
      </x:c>
      <x:c r="PP19" s="14" t="n">
        <x:v>1</x:v>
      </x:c>
      <x:c r="PQ19" s="14" t="n">
        <x:v>2666</x:v>
      </x:c>
      <x:c r="PR19" s="14" t="n">
        <x:v>19</x:v>
      </x:c>
      <x:c r="PS19" s="14" t="n">
        <x:v>5</x:v>
      </x:c>
      <x:c r="PT19" s="14" t="n">
        <x:v>3</x:v>
      </x:c>
      <x:c r="PU19" s="14" t="str">
        <x:v>未收錄</x:v>
      </x:c>
      <x:c r="PV19" s="14" t="str">
        <x:v>20669</x:v>
      </x:c>
      <x:c r="PW19" s="14" t="n">
        <x:v>1</x:v>
      </x:c>
      <x:c r="PX19" s="14" t="n">
        <x:v>2667</x:v>
      </x:c>
      <x:c r="PY19" s="14" t="n">
        <x:v>20</x:v>
      </x:c>
      <x:c r="PZ19" s="14" t="n">
        <x:v>5</x:v>
      </x:c>
      <x:c r="QA19" s="14" t="n">
        <x:v>4</x:v>
      </x:c>
      <x:c r="QB19" s="14" t="str">
        <x:v>未收錄</x:v>
      </x:c>
      <x:c r="QC19" s="14" t="str">
        <x:v>20419</x:v>
      </x:c>
      <x:c r="QD19" s="14" t="n">
        <x:v>1</x:v>
      </x:c>
      <x:c r="QE19" s="14" t="n">
        <x:v>3101</x:v>
      </x:c>
      <x:c r="QF19" s="14" t="n">
        <x:v>17</x:v>
      </x:c>
      <x:c r="QG19" s="14" t="n">
        <x:v>5</x:v>
      </x:c>
      <x:c r="QH19" s="14" t="n">
        <x:v>1</x:v>
      </x:c>
      <x:c r="QI19" s="14" t="str">
        <x:v>未收錄</x:v>
      </x:c>
      <x:c r="QJ19" s="14" t="str">
        <x:v>20670</x:v>
      </x:c>
      <x:c r="QK19" s="14" t="n">
        <x:v>1</x:v>
      </x:c>
      <x:c r="QL19" s="14" t="n">
        <x:v>3102</x:v>
      </x:c>
      <x:c r="QM19" s="14" t="n">
        <x:v>18</x:v>
      </x:c>
      <x:c r="QN19" s="14" t="n">
        <x:v>5</x:v>
      </x:c>
      <x:c r="QO19" s="14" t="n">
        <x:v>2</x:v>
      </x:c>
      <x:c r="QP19" s="14" t="str">
        <x:v>未收錄</x:v>
      </x:c>
      <x:c r="QQ19" s="14" t="str">
        <x:v>20674</x:v>
      </x:c>
      <x:c r="QR19" s="14" t="n">
        <x:v>1</x:v>
      </x:c>
      <x:c r="QS19" s="14" t="n">
        <x:v>3103</x:v>
      </x:c>
      <x:c r="QT19" s="14" t="n">
        <x:v>19</x:v>
      </x:c>
      <x:c r="QU19" s="14" t="n">
        <x:v>5</x:v>
      </x:c>
      <x:c r="QV19" s="14" t="n">
        <x:v>3</x:v>
      </x:c>
      <x:c r="QW19" s="14" t="str">
        <x:v>未收錄</x:v>
      </x:c>
      <x:c r="QX19" s="14" t="str">
        <x:v>20851</x:v>
      </x:c>
      <x:c r="QY19" s="14" t="n">
        <x:v>1</x:v>
      </x:c>
      <x:c r="QZ19" s="14" t="n">
        <x:v>3104</x:v>
      </x:c>
      <x:c r="RA19" s="14" t="n">
        <x:v>20</x:v>
      </x:c>
      <x:c r="RB19" s="14" t="n">
        <x:v>5</x:v>
      </x:c>
      <x:c r="RC19" s="14" t="n">
        <x:v>4</x:v>
      </x:c>
      <x:c r="RD19" s="14" t="str">
        <x:v>未收錄</x:v>
      </x:c>
      <x:c r="RE19" s="14" t="str">
        <x:v>22699</x:v>
      </x:c>
      <x:c r="RF19" s="14" t="n">
        <x:v>2</x:v>
      </x:c>
      <x:c r="RG19" s="14" t="n">
        <x:v>3562</x:v>
      </x:c>
      <x:c r="RH19" s="14" t="n">
        <x:v>17</x:v>
      </x:c>
      <x:c r="RI19" s="14" t="n">
        <x:v>5</x:v>
      </x:c>
      <x:c r="RJ19" s="14" t="n">
        <x:v>1</x:v>
      </x:c>
      <x:c r="RK19" s="14" t="str">
        <x:v>未收錄</x:v>
      </x:c>
      <x:c r="RL19" s="14" t="str">
        <x:v>22700</x:v>
      </x:c>
      <x:c r="RM19" s="14" t="n">
        <x:v>2</x:v>
      </x:c>
      <x:c r="RN19" s="14" t="n">
        <x:v>3563</x:v>
      </x:c>
      <x:c r="RO19" s="14" t="n">
        <x:v>18</x:v>
      </x:c>
      <x:c r="RP19" s="14" t="n">
        <x:v>5</x:v>
      </x:c>
      <x:c r="RQ19" s="14" t="n">
        <x:v>2</x:v>
      </x:c>
      <x:c r="RR19" s="14" t="str">
        <x:v>未收錄</x:v>
      </x:c>
      <x:c r="RS19" s="14" t="str">
        <x:v>23240</x:v>
      </x:c>
      <x:c r="RT19" s="14" t="n">
        <x:v>2</x:v>
      </x:c>
      <x:c r="RU19" s="14" t="n">
        <x:v>3564</x:v>
      </x:c>
      <x:c r="RV19" s="14" t="n">
        <x:v>19</x:v>
      </x:c>
      <x:c r="RW19" s="14" t="n">
        <x:v>5</x:v>
      </x:c>
      <x:c r="RX19" s="14" t="n">
        <x:v>3</x:v>
      </x:c>
      <x:c r="RY19" s="14" t="str">
        <x:v>未收錄</x:v>
      </x:c>
      <x:c r="RZ19" s="14" t="str">
        <x:v>26224</x:v>
      </x:c>
      <x:c r="SA19" s="14" t="n">
        <x:v>2</x:v>
      </x:c>
      <x:c r="SB19" s="14" t="n">
        <x:v>3565</x:v>
      </x:c>
      <x:c r="SC19" s="14" t="n">
        <x:v>20</x:v>
      </x:c>
      <x:c r="SD19" s="14" t="n">
        <x:v>5</x:v>
      </x:c>
      <x:c r="SE19" s="14" t="n">
        <x:v>4</x:v>
      </x:c>
      <x:c r="SF19" s="14" t="str">
        <x:v>未收錄</x:v>
      </x:c>
      <x:c r="SG19" s="14" t="str">
        <x:v>29264</x:v>
      </x:c>
      <x:c r="SH19" s="14" t="n">
        <x:v>5</x:v>
      </x:c>
      <x:c r="SI19" s="14" t="n">
        <x:v>3986</x:v>
      </x:c>
      <x:c r="SJ19" s="14" t="n">
        <x:v>17</x:v>
      </x:c>
      <x:c r="SK19" s="14" t="n">
        <x:v>5</x:v>
      </x:c>
      <x:c r="SL19" s="14" t="n">
        <x:v>1</x:v>
      </x:c>
      <x:c r="SM19" s="14" t="str">
        <x:v>未收錄</x:v>
      </x:c>
      <x:c r="SN19" s="14" t="str">
        <x:v>29265</x:v>
      </x:c>
      <x:c r="SO19" s="14" t="n">
        <x:v>5</x:v>
      </x:c>
      <x:c r="SP19" s="14" t="n">
        <x:v>3987</x:v>
      </x:c>
      <x:c r="SQ19" s="14" t="n">
        <x:v>18</x:v>
      </x:c>
      <x:c r="SR19" s="14" t="n">
        <x:v>5</x:v>
      </x:c>
      <x:c r="SS19" s="14" t="n">
        <x:v>2</x:v>
      </x:c>
      <x:c r="ST19" s="14" t="str">
        <x:v>未收錄</x:v>
      </x:c>
      <x:c r="SU19" s="14" t="str">
        <x:v>29266</x:v>
      </x:c>
      <x:c r="SV19" s="14" t="n">
        <x:v>5</x:v>
      </x:c>
      <x:c r="SW19" s="14" t="n">
        <x:v>3988</x:v>
      </x:c>
      <x:c r="SX19" s="14" t="n">
        <x:v>19</x:v>
      </x:c>
      <x:c r="SY19" s="14" t="n">
        <x:v>5</x:v>
      </x:c>
      <x:c r="SZ19" s="14" t="n">
        <x:v>3</x:v>
      </x:c>
      <x:c r="TA19" s="14" t="str">
        <x:v>未收錄</x:v>
      </x:c>
      <x:c r="TB19" s="14" t="str">
        <x:v>29267</x:v>
      </x:c>
      <x:c r="TC19" s="14" t="n">
        <x:v>5</x:v>
      </x:c>
      <x:c r="TD19" s="14" t="n">
        <x:v>3989</x:v>
      </x:c>
      <x:c r="TE19" s="14" t="n">
        <x:v>20</x:v>
      </x:c>
      <x:c r="TF19" s="14" t="n">
        <x:v>5</x:v>
      </x:c>
      <x:c r="TG19" s="14" t="n">
        <x:v>4</x:v>
      </x:c>
      <x:c r="TH19" s="14" t="str">
        <x:v>未收錄</x:v>
      </x:c>
    </x:row>
    <x:row r="20" ht="15" customHeight="1">
      <x:c r="A20" s="18" t="str">
        <x:v>紅蓮劍</x:v>
      </x:c>
      <x:c r="B20" s="18" t="str">
        <x:v>洛花劍</x:v>
      </x:c>
      <x:c r="C20" s="18" t="str">
        <x:v>漁人劍</x:v>
      </x:c>
      <x:c r="D20" s="18" t="str">
        <x:v>破浪劍</x:v>
      </x:c>
      <x:c r="E20" s="14"/>
      <x:c r="F20" s="18" t="str">
        <x:v>長征刀</x:v>
      </x:c>
      <x:c r="G20" s="18" t="str">
        <x:v>行天刀</x:v>
      </x:c>
      <x:c r="H20" s="18" t="str">
        <x:v>冰蛾刀</x:v>
      </x:c>
      <x:c r="I20" s="18" t="str">
        <x:v>紫月之魂刃</x:v>
      </x:c>
      <x:c r="J20" s="14"/>
      <x:c r="K20" s="18" t="str">
        <x:v>飛獨鈷</x:v>
      </x:c>
      <x:c r="L20" s="18" t="str">
        <x:v>滅神金剛杵</x:v>
      </x:c>
      <x:c r="M20" s="18" t="str">
        <x:v>神羅天征</x:v>
      </x:c>
      <x:c r="N20" s="18" t="str">
        <x:v>閻羅鐵扇</x:v>
      </x:c>
      <x:c r="O20" s="14"/>
      <x:c r="P20" s="18" t="str">
        <x:v>火龍鬚</x:v>
      </x:c>
      <x:c r="Q20" s="18" t="str">
        <x:v>雲龍鬚</x:v>
      </x:c>
      <x:c r="R20" s="18" t="str">
        <x:v>地龍鬚</x:v>
      </x:c>
      <x:c r="S20" s="18" t="str">
        <x:v>白真拂塵</x:v>
      </x:c>
      <x:c r="T20" s="14"/>
      <x:c r="U20" s="18" t="str">
        <x:v>晶石禪杖</x:v>
      </x:c>
      <x:c r="V20" s="18" t="str">
        <x:v>凝晶玉禪杖</x:v>
      </x:c>
      <x:c r="W20" s="18" t="str">
        <x:v>卓越禪杖</x:v>
      </x:c>
      <x:c r="X20" s="18" t="str">
        <x:v>萬佛法杖</x:v>
      </x:c>
      <x:c r="Y20" s="14"/>
      <x:c r="Z20" s="18" t="str">
        <x:v>紫月鬥靈槍</x:v>
      </x:c>
      <x:c r="AA20" s="18" t="str">
        <x:v>紫月丹龍槍</x:v>
      </x:c>
      <x:c r="AB20" s="18" t="str">
        <x:v>拉拉放蕩銷魂槍</x:v>
      </x:c>
      <x:c r="AC20" s="18" t="str">
        <x:v>龍牙槍</x:v>
      </x:c>
      <x:c r="AD20" s="14"/>
      <x:c r="AE20" s="18" t="str">
        <x:v>天候棍</x:v>
      </x:c>
      <x:c r="AF20" s="18" t="str">
        <x:v>地鐵杖</x:v>
      </x:c>
      <x:c r="AG20" s="18" t="str">
        <x:v>艾濟儀仗</x:v>
      </x:c>
      <x:c r="AH20" s="18" t="str">
        <x:v>長疆霸棍</x:v>
      </x:c>
      <x:c r="AI20" s="14"/>
      <x:c r="AJ20" s="18" t="str">
        <x:v>玄金寶錘</x:v>
      </x:c>
      <x:c r="AK20" s="18" t="str">
        <x:v>玄金靈錘</x:v>
      </x:c>
      <x:c r="AL20" s="18" t="str">
        <x:v>萬年玄金錘</x:v>
      </x:c>
      <x:c r="AM20" s="18" t="str">
        <x:v>晶石錘</x:v>
      </x:c>
      <x:c r="AN20" s="14"/>
      <x:c r="AO20" s="18" t="str">
        <x:v>玄鐵靈斧</x:v>
      </x:c>
      <x:c r="AP20" s="18" t="str">
        <x:v>萬年玄鐵斧</x:v>
      </x:c>
      <x:c r="AQ20" s="18" t="str">
        <x:v>謝家板斧</x:v>
      </x:c>
      <x:c r="AR20" s="18" t="str">
        <x:v>滅象巨斧</x:v>
      </x:c>
      <x:c r="AS20" s="14"/>
      <x:c r="AT20" s="18" t="str">
        <x:v>秘文燕尾盾</x:v>
      </x:c>
      <x:c r="AU20" s="18" t="str">
        <x:v>秘文長牌盾</x:v>
      </x:c>
      <x:c r="AV20" s="18" t="str">
        <x:v>獸紋戰盾</x:v>
      </x:c>
      <x:c r="AW20" s="18" t="str">
        <x:v>晶石盾</x:v>
      </x:c>
      <x:c r="AX20" s="14"/>
      <x:c r="AY20" s="18" t="str">
        <x:v>怨靈骨盔</x:v>
      </x:c>
      <x:c r="AZ20" s="18" t="str">
        <x:v>蛛絲僧帽</x:v>
      </x:c>
      <x:c r="BA20" s="18" t="str">
        <x:v>蛛絲道冠</x:v>
      </x:c>
      <x:c r="BB20" s="18" t="str">
        <x:v>合金頭箍</x:v>
      </x:c>
      <x:c r="BC20" s="14"/>
      <x:c r="BD20" s="18" t="str">
        <x:v>骨甲</x:v>
      </x:c>
      <x:c r="BE20" s="18" t="str">
        <x:v>重骨甲</x:v>
      </x:c>
      <x:c r="BF20" s="18" t="str">
        <x:v>附靈骨甲</x:v>
      </x:c>
      <x:c r="BG20" s="18" t="str">
        <x:v>怨靈骨甲</x:v>
      </x:c>
      <x:c r="BH20" s="14"/>
      <x:c r="BI20" s="18" t="str">
        <x:v>惡狼綁手</x:v>
      </x:c>
      <x:c r="BJ20" s="18" t="str">
        <x:v>鬼王護手</x:v>
      </x:c>
      <x:c r="BK20" s="18" t="str">
        <x:v>紅蓮護腕</x:v>
      </x:c>
      <x:c r="BL20" s="18" t="str">
        <x:v>布衣護腕</x:v>
      </x:c>
      <x:c r="BM20" s="14"/>
      <x:c r="BN20" s="18" t="str">
        <x:v>力士鞋</x:v>
      </x:c>
      <x:c r="BO20" s="18" t="str">
        <x:v>乘波鞋</x:v>
      </x:c>
      <x:c r="BP20" s="18" t="str">
        <x:v>避火鞋</x:v>
      </x:c>
      <x:c r="BQ20" s="18" t="str">
        <x:v>紅蓮靴</x:v>
      </x:c>
      <x:c r="BR20" s="14"/>
      <x:c r="BS20" s="18" t="str">
        <x:v>艾濟儀戒</x:v>
      </x:c>
      <x:c r="BT20" s="18" t="str">
        <x:v>聖甲蟲項鍊</x:v>
      </x:c>
      <x:c r="BU20" s="18" t="str">
        <x:v>皇衛銀鍊</x:v>
      </x:c>
      <x:c r="BV20" s="18" t="str">
        <x:v>長疆項墜</x:v>
      </x:c>
      <x:c r="BW20" s="14"/>
      <x:c r="BX20" s="18" t="str">
        <x:v>擎羊仙劍印</x:v>
      </x:c>
      <x:c r="BY20" s="18" t="str">
        <x:v>魔火仙法陣</x:v>
      </x:c>
      <x:c r="BZ20" s="18" t="str">
        <x:v>魔土仙法陣</x:v>
      </x:c>
      <x:c r="CA20" s="18" t="str">
        <x:v>魔水仙法陣</x:v>
      </x:c>
      <x:c r="CB20" s="14"/>
      <x:c r="CC20" s="14" t="str">
        <x:v>21086</x:v>
      </x:c>
      <x:c r="CD20" s="14" t="n">
        <x:v>1</x:v>
      </x:c>
      <x:c r="CE20" s="14" t="n">
        <x:v>21</x:v>
      </x:c>
      <x:c r="CF20" s="14" t="n">
        <x:v>21</x:v>
      </x:c>
      <x:c r="CG20" s="14" t="n">
        <x:v>6</x:v>
      </x:c>
      <x:c r="CH20" s="14" t="n">
        <x:v>1</x:v>
      </x:c>
      <x:c r="CI20" s="14" t="str">
        <x:v>未收錄</x:v>
      </x:c>
      <x:c r="CJ20" s="14" t="str">
        <x:v>21087</x:v>
      </x:c>
      <x:c r="CK20" s="14" t="n">
        <x:v>1</x:v>
      </x:c>
      <x:c r="CL20" s="14" t="n">
        <x:v>22</x:v>
      </x:c>
      <x:c r="CM20" s="14" t="n">
        <x:v>22</x:v>
      </x:c>
      <x:c r="CN20" s="14" t="n">
        <x:v>6</x:v>
      </x:c>
      <x:c r="CO20" s="14" t="n">
        <x:v>2</x:v>
      </x:c>
      <x:c r="CP20" s="14" t="str">
        <x:v>未收錄</x:v>
      </x:c>
      <x:c r="CQ20" s="14" t="str">
        <x:v>21088</x:v>
      </x:c>
      <x:c r="CR20" s="14" t="n">
        <x:v>1</x:v>
      </x:c>
      <x:c r="CS20" s="14" t="n">
        <x:v>23</x:v>
      </x:c>
      <x:c r="CT20" s="14" t="n">
        <x:v>23</x:v>
      </x:c>
      <x:c r="CU20" s="14" t="n">
        <x:v>6</x:v>
      </x:c>
      <x:c r="CV20" s="14" t="n">
        <x:v>3</x:v>
      </x:c>
      <x:c r="CW20" s="14" t="str">
        <x:v>未收錄</x:v>
      </x:c>
      <x:c r="CX20" s="14" t="str">
        <x:v>21089</x:v>
      </x:c>
      <x:c r="CY20" s="14" t="n">
        <x:v>1</x:v>
      </x:c>
      <x:c r="CZ20" s="14" t="n">
        <x:v>24</x:v>
      </x:c>
      <x:c r="DA20" s="14" t="n">
        <x:v>24</x:v>
      </x:c>
      <x:c r="DB20" s="14" t="n">
        <x:v>6</x:v>
      </x:c>
      <x:c r="DC20" s="14" t="n">
        <x:v>4</x:v>
      </x:c>
      <x:c r="DD20" s="14" t="str">
        <x:v>未收錄</x:v>
      </x:c>
      <x:c r="DE20" s="14" t="str">
        <x:v>26175</x:v>
      </x:c>
      <x:c r="DF20" s="14" t="n">
        <x:v>1</x:v>
      </x:c>
      <x:c r="DG20" s="14" t="n">
        <x:v>266</x:v>
      </x:c>
      <x:c r="DH20" s="14" t="n">
        <x:v>21</x:v>
      </x:c>
      <x:c r="DI20" s="14" t="n">
        <x:v>6</x:v>
      </x:c>
      <x:c r="DJ20" s="14" t="n">
        <x:v>1</x:v>
      </x:c>
      <x:c r="DK20" s="14" t="str">
        <x:v>未收錄</x:v>
      </x:c>
      <x:c r="DL20" s="14" t="str">
        <x:v>27201</x:v>
      </x:c>
      <x:c r="DM20" s="14" t="n">
        <x:v>1</x:v>
      </x:c>
      <x:c r="DN20" s="14" t="n">
        <x:v>267</x:v>
      </x:c>
      <x:c r="DO20" s="14" t="n">
        <x:v>22</x:v>
      </x:c>
      <x:c r="DP20" s="14" t="n">
        <x:v>6</x:v>
      </x:c>
      <x:c r="DQ20" s="14" t="n">
        <x:v>2</x:v>
      </x:c>
      <x:c r="DR20" s="14" t="str">
        <x:v>未收錄</x:v>
      </x:c>
      <x:c r="DS20" s="14" t="str">
        <x:v>28253</x:v>
      </x:c>
      <x:c r="DT20" s="14" t="n">
        <x:v>1</x:v>
      </x:c>
      <x:c r="DU20" s="14" t="n">
        <x:v>268</x:v>
      </x:c>
      <x:c r="DV20" s="14" t="n">
        <x:v>23</x:v>
      </x:c>
      <x:c r="DW20" s="14" t="n">
        <x:v>6</x:v>
      </x:c>
      <x:c r="DX20" s="14" t="n">
        <x:v>3</x:v>
      </x:c>
      <x:c r="DY20" s="14" t="str">
        <x:v>未收錄</x:v>
      </x:c>
      <x:c r="DZ20" s="14" t="str">
        <x:v>28656</x:v>
      </x:c>
      <x:c r="EA20" s="14" t="n">
        <x:v>1</x:v>
      </x:c>
      <x:c r="EB20" s="14" t="n">
        <x:v>269</x:v>
      </x:c>
      <x:c r="EC20" s="14" t="n">
        <x:v>24</x:v>
      </x:c>
      <x:c r="ED20" s="14" t="n">
        <x:v>6</x:v>
      </x:c>
      <x:c r="EE20" s="14" t="n">
        <x:v>4</x:v>
      </x:c>
      <x:c r="EF20" s="14" t="str">
        <x:v>未收錄</x:v>
      </x:c>
      <x:c r="EG20" s="14" t="str">
        <x:v>23166</x:v>
      </x:c>
      <x:c r="EH20" s="14" t="n">
        <x:v>8</x:v>
      </x:c>
      <x:c r="EI20" s="14" t="n">
        <x:v>502</x:v>
      </x:c>
      <x:c r="EJ20" s="14" t="n">
        <x:v>21</x:v>
      </x:c>
      <x:c r="EK20" s="14" t="n">
        <x:v>6</x:v>
      </x:c>
      <x:c r="EL20" s="14" t="n">
        <x:v>1</x:v>
      </x:c>
      <x:c r="EM20" s="14" t="str">
        <x:v>未收錄</x:v>
      </x:c>
      <x:c r="EN20" s="14" t="str">
        <x:v>23167</x:v>
      </x:c>
      <x:c r="EO20" s="14" t="n">
        <x:v>8</x:v>
      </x:c>
      <x:c r="EP20" s="14" t="n">
        <x:v>503</x:v>
      </x:c>
      <x:c r="EQ20" s="14" t="n">
        <x:v>22</x:v>
      </x:c>
      <x:c r="ER20" s="14" t="n">
        <x:v>6</x:v>
      </x:c>
      <x:c r="ES20" s="14" t="n">
        <x:v>2</x:v>
      </x:c>
      <x:c r="ET20" s="14" t="str">
        <x:v>未收錄</x:v>
      </x:c>
      <x:c r="EU20" s="14" t="str">
        <x:v>23511</x:v>
      </x:c>
      <x:c r="EV20" s="14" t="n">
        <x:v>8</x:v>
      </x:c>
      <x:c r="EW20" s="14" t="n">
        <x:v>504</x:v>
      </x:c>
      <x:c r="EX20" s="14" t="n">
        <x:v>23</x:v>
      </x:c>
      <x:c r="EY20" s="14" t="n">
        <x:v>6</x:v>
      </x:c>
      <x:c r="EZ20" s="14" t="n">
        <x:v>3</x:v>
      </x:c>
      <x:c r="FA20" s="14" t="str">
        <x:v>未收錄</x:v>
      </x:c>
      <x:c r="FB20" s="14" t="str">
        <x:v>23610</x:v>
      </x:c>
      <x:c r="FC20" s="14" t="n">
        <x:v>8</x:v>
      </x:c>
      <x:c r="FD20" s="14" t="n">
        <x:v>505</x:v>
      </x:c>
      <x:c r="FE20" s="14" t="n">
        <x:v>24</x:v>
      </x:c>
      <x:c r="FF20" s="14" t="n">
        <x:v>6</x:v>
      </x:c>
      <x:c r="FG20" s="14" t="n">
        <x:v>4</x:v>
      </x:c>
      <x:c r="FH20" s="14" t="str">
        <x:v>未收錄</x:v>
      </x:c>
      <x:c r="FI20" s="14" t="str">
        <x:v>20816</x:v>
      </x:c>
      <x:c r="FJ20" s="14" t="n">
        <x:v>8</x:v>
      </x:c>
      <x:c r="FK20" s="14" t="n">
        <x:v>652</x:v>
      </x:c>
      <x:c r="FL20" s="14" t="n">
        <x:v>21</x:v>
      </x:c>
      <x:c r="FM20" s="14" t="n">
        <x:v>6</x:v>
      </x:c>
      <x:c r="FN20" s="14" t="n">
        <x:v>1</x:v>
      </x:c>
      <x:c r="FO20" s="14" t="str">
        <x:v>未收錄</x:v>
      </x:c>
      <x:c r="FP20" s="14" t="str">
        <x:v>20817</x:v>
      </x:c>
      <x:c r="FQ20" s="14" t="n">
        <x:v>8</x:v>
      </x:c>
      <x:c r="FR20" s="14" t="n">
        <x:v>653</x:v>
      </x:c>
      <x:c r="FS20" s="14" t="n">
        <x:v>22</x:v>
      </x:c>
      <x:c r="FT20" s="14" t="n">
        <x:v>6</x:v>
      </x:c>
      <x:c r="FU20" s="14" t="n">
        <x:v>2</x:v>
      </x:c>
      <x:c r="FV20" s="14" t="str">
        <x:v>未收錄</x:v>
      </x:c>
      <x:c r="FW20" s="14" t="str">
        <x:v>20818</x:v>
      </x:c>
      <x:c r="FX20" s="14" t="n">
        <x:v>8</x:v>
      </x:c>
      <x:c r="FY20" s="14" t="n">
        <x:v>654</x:v>
      </x:c>
      <x:c r="FZ20" s="14" t="n">
        <x:v>23</x:v>
      </x:c>
      <x:c r="GA20" s="14" t="n">
        <x:v>6</x:v>
      </x:c>
      <x:c r="GB20" s="14" t="n">
        <x:v>3</x:v>
      </x:c>
      <x:c r="GC20" s="14" t="str">
        <x:v>未收錄</x:v>
      </x:c>
      <x:c r="GD20" s="14" t="str">
        <x:v>20911</x:v>
      </x:c>
      <x:c r="GE20" s="14" t="n">
        <x:v>8</x:v>
      </x:c>
      <x:c r="GF20" s="14" t="n">
        <x:v>655</x:v>
      </x:c>
      <x:c r="GG20" s="14" t="n">
        <x:v>24</x:v>
      </x:c>
      <x:c r="GH20" s="14" t="n">
        <x:v>6</x:v>
      </x:c>
      <x:c r="GI20" s="14" t="n">
        <x:v>4</x:v>
      </x:c>
      <x:c r="GJ20" s="14" t="str">
        <x:v>未收錄</x:v>
      </x:c>
      <x:c r="GK20" s="14" t="str">
        <x:v>21051</x:v>
      </x:c>
      <x:c r="GL20" s="14" t="n">
        <x:v>3</x:v>
      </x:c>
      <x:c r="GM20" s="14" t="n">
        <x:v>824</x:v>
      </x:c>
      <x:c r="GN20" s="14" t="n">
        <x:v>21</x:v>
      </x:c>
      <x:c r="GO20" s="14" t="n">
        <x:v>6</x:v>
      </x:c>
      <x:c r="GP20" s="14" t="n">
        <x:v>1</x:v>
      </x:c>
      <x:c r="GQ20" s="14" t="str">
        <x:v>未收錄</x:v>
      </x:c>
      <x:c r="GR20" s="14" t="str">
        <x:v>22424</x:v>
      </x:c>
      <x:c r="GS20" s="14" t="n">
        <x:v>3</x:v>
      </x:c>
      <x:c r="GT20" s="14" t="n">
        <x:v>825</x:v>
      </x:c>
      <x:c r="GU20" s="14" t="n">
        <x:v>22</x:v>
      </x:c>
      <x:c r="GV20" s="14" t="n">
        <x:v>6</x:v>
      </x:c>
      <x:c r="GW20" s="14" t="n">
        <x:v>2</x:v>
      </x:c>
      <x:c r="GX20" s="14" t="str">
        <x:v>未收錄</x:v>
      </x:c>
      <x:c r="GY20" s="14" t="str">
        <x:v>23330</x:v>
      </x:c>
      <x:c r="GZ20" s="14" t="n">
        <x:v>3</x:v>
      </x:c>
      <x:c r="HA20" s="14" t="n">
        <x:v>826</x:v>
      </x:c>
      <x:c r="HB20" s="14" t="n">
        <x:v>23</x:v>
      </x:c>
      <x:c r="HC20" s="14" t="n">
        <x:v>6</x:v>
      </x:c>
      <x:c r="HD20" s="14" t="n">
        <x:v>3</x:v>
      </x:c>
      <x:c r="HE20" s="14" t="str">
        <x:v>未收錄</x:v>
      </x:c>
      <x:c r="HF20" s="14" t="str">
        <x:v>20240</x:v>
      </x:c>
      <x:c r="HG20" s="14" t="n">
        <x:v>8</x:v>
      </x:c>
      <x:c r="HH20" s="14" t="n">
        <x:v>827</x:v>
      </x:c>
      <x:c r="HI20" s="14" t="n">
        <x:v>24</x:v>
      </x:c>
      <x:c r="HJ20" s="14" t="n">
        <x:v>6</x:v>
      </x:c>
      <x:c r="HK20" s="14" t="n">
        <x:v>4</x:v>
      </x:c>
      <x:c r="HL20" s="14" t="str">
        <x:v>未收錄</x:v>
      </x:c>
      <x:c r="HM20" s="14" t="str">
        <x:v>28658</x:v>
      </x:c>
      <x:c r="HN20" s="14" t="n">
        <x:v>1</x:v>
      </x:c>
      <x:c r="HO20" s="14" t="n">
        <x:v>997</x:v>
      </x:c>
      <x:c r="HP20" s="14" t="n">
        <x:v>21</x:v>
      </x:c>
      <x:c r="HQ20" s="14" t="n">
        <x:v>6</x:v>
      </x:c>
      <x:c r="HR20" s="14" t="n">
        <x:v>1</x:v>
      </x:c>
      <x:c r="HS20" s="14" t="str">
        <x:v>未收錄</x:v>
      </x:c>
      <x:c r="HT20" s="14" t="str">
        <x:v>29096</x:v>
      </x:c>
      <x:c r="HU20" s="14" t="n">
        <x:v>1</x:v>
      </x:c>
      <x:c r="HV20" s="14" t="n">
        <x:v>998</x:v>
      </x:c>
      <x:c r="HW20" s="14" t="n">
        <x:v>22</x:v>
      </x:c>
      <x:c r="HX20" s="14" t="n">
        <x:v>6</x:v>
      </x:c>
      <x:c r="HY20" s="14" t="n">
        <x:v>2</x:v>
      </x:c>
      <x:c r="HZ20" s="14" t="str">
        <x:v>未收錄</x:v>
      </x:c>
      <x:c r="IA20" s="14" t="str">
        <x:v>29104</x:v>
      </x:c>
      <x:c r="IB20" s="14" t="n">
        <x:v>1</x:v>
      </x:c>
      <x:c r="IC20" s="14" t="n">
        <x:v>999</x:v>
      </x:c>
      <x:c r="ID20" s="14" t="n">
        <x:v>23</x:v>
      </x:c>
      <x:c r="IE20" s="14" t="n">
        <x:v>6</x:v>
      </x:c>
      <x:c r="IF20" s="14" t="n">
        <x:v>3</x:v>
      </x:c>
      <x:c r="IG20" s="14" t="str">
        <x:v>未收錄</x:v>
      </x:c>
      <x:c r="IH20" s="14" t="str">
        <x:v>23053</x:v>
      </x:c>
      <x:c r="II20" s="14" t="n">
        <x:v>1</x:v>
      </x:c>
      <x:c r="IJ20" s="14" t="n">
        <x:v>1000</x:v>
      </x:c>
      <x:c r="IK20" s="14" t="n">
        <x:v>24</x:v>
      </x:c>
      <x:c r="IL20" s="14" t="n">
        <x:v>6</x:v>
      </x:c>
      <x:c r="IM20" s="14" t="n">
        <x:v>4</x:v>
      </x:c>
      <x:c r="IN20" s="14" t="str">
        <x:v>未收錄</x:v>
      </x:c>
      <x:c r="IO20" s="14" t="str">
        <x:v>30526</x:v>
      </x:c>
      <x:c r="IP20" s="14" t="n">
        <x:v>1</x:v>
      </x:c>
      <x:c r="IQ20" s="14" t="n">
        <x:v>1165</x:v>
      </x:c>
      <x:c r="IR20" s="14" t="n">
        <x:v>21</x:v>
      </x:c>
      <x:c r="IS20" s="14" t="n">
        <x:v>6</x:v>
      </x:c>
      <x:c r="IT20" s="14" t="n">
        <x:v>1</x:v>
      </x:c>
      <x:c r="IU20" s="14" t="str">
        <x:v>未收錄</x:v>
      </x:c>
      <x:c r="IV20" s="14" t="str">
        <x:v>21913</x:v>
      </x:c>
      <x:c r="IW20" s="14" t="n">
        <x:v>2</x:v>
      </x:c>
      <x:c r="IX20" s="14" t="n">
        <x:v>1166</x:v>
      </x:c>
      <x:c r="IY20" s="14" t="n">
        <x:v>22</x:v>
      </x:c>
      <x:c r="IZ20" s="14" t="n">
        <x:v>6</x:v>
      </x:c>
      <x:c r="JA20" s="14" t="n">
        <x:v>2</x:v>
      </x:c>
      <x:c r="JB20" s="14" t="str">
        <x:v>未收錄</x:v>
      </x:c>
      <x:c r="JC20" s="14" t="str">
        <x:v>29170</x:v>
      </x:c>
      <x:c r="JD20" s="14" t="n">
        <x:v>2</x:v>
      </x:c>
      <x:c r="JE20" s="14" t="n">
        <x:v>1167</x:v>
      </x:c>
      <x:c r="JF20" s="14" t="n">
        <x:v>23</x:v>
      </x:c>
      <x:c r="JG20" s="14" t="n">
        <x:v>6</x:v>
      </x:c>
      <x:c r="JH20" s="14" t="n">
        <x:v>3</x:v>
      </x:c>
      <x:c r="JI20" s="14" t="str">
        <x:v>未收錄</x:v>
      </x:c>
      <x:c r="JJ20" s="14" t="str">
        <x:v>30016</x:v>
      </x:c>
      <x:c r="JK20" s="14" t="n">
        <x:v>2</x:v>
      </x:c>
      <x:c r="JL20" s="14" t="n">
        <x:v>1168</x:v>
      </x:c>
      <x:c r="JM20" s="14" t="n">
        <x:v>24</x:v>
      </x:c>
      <x:c r="JN20" s="14" t="n">
        <x:v>6</x:v>
      </x:c>
      <x:c r="JO20" s="14" t="n">
        <x:v>4</x:v>
      </x:c>
      <x:c r="JP20" s="14" t="str">
        <x:v>未收錄</x:v>
      </x:c>
      <x:c r="JQ20" s="14" t="str">
        <x:v>20608</x:v>
      </x:c>
      <x:c r="JR20" s="14" t="n">
        <x:v>2</x:v>
      </x:c>
      <x:c r="JS20" s="14" t="n">
        <x:v>1332</x:v>
      </x:c>
      <x:c r="JT20" s="14" t="n">
        <x:v>21</x:v>
      </x:c>
      <x:c r="JU20" s="14" t="n">
        <x:v>6</x:v>
      </x:c>
      <x:c r="JV20" s="14" t="n">
        <x:v>1</x:v>
      </x:c>
      <x:c r="JW20" s="14" t="str">
        <x:v>未收錄</x:v>
      </x:c>
      <x:c r="JX20" s="14" t="str">
        <x:v>20609</x:v>
      </x:c>
      <x:c r="JY20" s="14" t="n">
        <x:v>2</x:v>
      </x:c>
      <x:c r="JZ20" s="14" t="n">
        <x:v>1333</x:v>
      </x:c>
      <x:c r="KA20" s="14" t="n">
        <x:v>22</x:v>
      </x:c>
      <x:c r="KB20" s="14" t="n">
        <x:v>6</x:v>
      </x:c>
      <x:c r="KC20" s="14" t="n">
        <x:v>2</x:v>
      </x:c>
      <x:c r="KD20" s="14" t="str">
        <x:v>未收錄</x:v>
      </x:c>
      <x:c r="KE20" s="14" t="str">
        <x:v>20610</x:v>
      </x:c>
      <x:c r="KF20" s="14" t="n">
        <x:v>2</x:v>
      </x:c>
      <x:c r="KG20" s="14" t="n">
        <x:v>1334</x:v>
      </x:c>
      <x:c r="KH20" s="14" t="n">
        <x:v>23</x:v>
      </x:c>
      <x:c r="KI20" s="14" t="n">
        <x:v>6</x:v>
      </x:c>
      <x:c r="KJ20" s="14" t="n">
        <x:v>3</x:v>
      </x:c>
      <x:c r="KK20" s="14" t="str">
        <x:v>未收錄</x:v>
      </x:c>
      <x:c r="KL20" s="14" t="str">
        <x:v>21047</x:v>
      </x:c>
      <x:c r="KM20" s="14" t="n">
        <x:v>3</x:v>
      </x:c>
      <x:c r="KN20" s="14" t="n">
        <x:v>1335</x:v>
      </x:c>
      <x:c r="KO20" s="14" t="n">
        <x:v>24</x:v>
      </x:c>
      <x:c r="KP20" s="14" t="n">
        <x:v>6</x:v>
      </x:c>
      <x:c r="KQ20" s="14" t="n">
        <x:v>4</x:v>
      </x:c>
      <x:c r="KR20" s="14" t="str">
        <x:v>未收錄</x:v>
      </x:c>
      <x:c r="KS20" s="14" t="str">
        <x:v>20612</x:v>
      </x:c>
      <x:c r="KT20" s="14" t="n">
        <x:v>2</x:v>
      </x:c>
      <x:c r="KU20" s="14" t="n">
        <x:v>1447</x:v>
      </x:c>
      <x:c r="KV20" s="14" t="n">
        <x:v>21</x:v>
      </x:c>
      <x:c r="KW20" s="14" t="n">
        <x:v>6</x:v>
      </x:c>
      <x:c r="KX20" s="14" t="n">
        <x:v>1</x:v>
      </x:c>
      <x:c r="KY20" s="14" t="str">
        <x:v>未收錄</x:v>
      </x:c>
      <x:c r="KZ20" s="14" t="str">
        <x:v>20613</x:v>
      </x:c>
      <x:c r="LA20" s="14" t="n">
        <x:v>2</x:v>
      </x:c>
      <x:c r="LB20" s="14" t="n">
        <x:v>1448</x:v>
      </x:c>
      <x:c r="LC20" s="14" t="n">
        <x:v>22</x:v>
      </x:c>
      <x:c r="LD20" s="14" t="n">
        <x:v>6</x:v>
      </x:c>
      <x:c r="LE20" s="14" t="n">
        <x:v>2</x:v>
      </x:c>
      <x:c r="LF20" s="14" t="str">
        <x:v>未收錄</x:v>
      </x:c>
      <x:c r="LG20" s="14" t="str">
        <x:v>21066</x:v>
      </x:c>
      <x:c r="LH20" s="14" t="n">
        <x:v>2</x:v>
      </x:c>
      <x:c r="LI20" s="14" t="n">
        <x:v>1449</x:v>
      </x:c>
      <x:c r="LJ20" s="14" t="n">
        <x:v>23</x:v>
      </x:c>
      <x:c r="LK20" s="14" t="n">
        <x:v>6</x:v>
      </x:c>
      <x:c r="LL20" s="14" t="n">
        <x:v>3</x:v>
      </x:c>
      <x:c r="LM20" s="14" t="str">
        <x:v>未收錄</x:v>
      </x:c>
      <x:c r="LN20" s="14" t="str">
        <x:v>23279</x:v>
      </x:c>
      <x:c r="LO20" s="14" t="n">
        <x:v>2</x:v>
      </x:c>
      <x:c r="LP20" s="14" t="n">
        <x:v>1450</x:v>
      </x:c>
      <x:c r="LQ20" s="14" t="n">
        <x:v>24</x:v>
      </x:c>
      <x:c r="LR20" s="14" t="n">
        <x:v>6</x:v>
      </x:c>
      <x:c r="LS20" s="14" t="n">
        <x:v>4</x:v>
      </x:c>
      <x:c r="LT20" s="14" t="str">
        <x:v>未收錄</x:v>
      </x:c>
      <x:c r="LU20" s="14" t="str">
        <x:v>20707</x:v>
      </x:c>
      <x:c r="LV20" s="14" t="n">
        <x:v>2</x:v>
      </x:c>
      <x:c r="LW20" s="14" t="n">
        <x:v>1560</x:v>
      </x:c>
      <x:c r="LX20" s="14" t="n">
        <x:v>21</x:v>
      </x:c>
      <x:c r="LY20" s="14" t="n">
        <x:v>6</x:v>
      </x:c>
      <x:c r="LZ20" s="14" t="n">
        <x:v>1</x:v>
      </x:c>
      <x:c r="MA20" s="14" t="str">
        <x:v>未收錄</x:v>
      </x:c>
      <x:c r="MB20" s="14" t="str">
        <x:v>20708</x:v>
      </x:c>
      <x:c r="MC20" s="14" t="n">
        <x:v>2</x:v>
      </x:c>
      <x:c r="MD20" s="14" t="n">
        <x:v>1561</x:v>
      </x:c>
      <x:c r="ME20" s="14" t="n">
        <x:v>22</x:v>
      </x:c>
      <x:c r="MF20" s="14" t="n">
        <x:v>6</x:v>
      </x:c>
      <x:c r="MG20" s="14" t="n">
        <x:v>2</x:v>
      </x:c>
      <x:c r="MH20" s="14" t="str">
        <x:v>未收錄</x:v>
      </x:c>
      <x:c r="MI20" s="14" t="str">
        <x:v>20824</x:v>
      </x:c>
      <x:c r="MJ20" s="14" t="n">
        <x:v>2</x:v>
      </x:c>
      <x:c r="MK20" s="14" t="n">
        <x:v>1562</x:v>
      </x:c>
      <x:c r="ML20" s="14" t="n">
        <x:v>23</x:v>
      </x:c>
      <x:c r="MM20" s="14" t="n">
        <x:v>6</x:v>
      </x:c>
      <x:c r="MN20" s="14" t="n">
        <x:v>3</x:v>
      </x:c>
      <x:c r="MO20" s="14" t="str">
        <x:v>未收錄</x:v>
      </x:c>
      <x:c r="MP20" s="14" t="str">
        <x:v>21052</x:v>
      </x:c>
      <x:c r="MQ20" s="14" t="n">
        <x:v>3</x:v>
      </x:c>
      <x:c r="MR20" s="14" t="n">
        <x:v>1563</x:v>
      </x:c>
      <x:c r="MS20" s="14" t="n">
        <x:v>24</x:v>
      </x:c>
      <x:c r="MT20" s="14" t="n">
        <x:v>6</x:v>
      </x:c>
      <x:c r="MU20" s="14" t="n">
        <x:v>4</x:v>
      </x:c>
      <x:c r="MV20" s="14" t="str">
        <x:v>未收錄</x:v>
      </x:c>
      <x:c r="MW20" s="14" t="str">
        <x:v>20509</x:v>
      </x:c>
      <x:c r="MX20" s="14" t="n">
        <x:v>1</x:v>
      </x:c>
      <x:c r="MY20" s="14" t="n">
        <x:v>1669</x:v>
      </x:c>
      <x:c r="MZ20" s="14" t="n">
        <x:v>21</x:v>
      </x:c>
      <x:c r="NA20" s="14" t="n">
        <x:v>6</x:v>
      </x:c>
      <x:c r="NB20" s="14" t="n">
        <x:v>1</x:v>
      </x:c>
      <x:c r="NC20" s="14" t="str">
        <x:v>未收錄</x:v>
      </x:c>
      <x:c r="ND20" s="14" t="str">
        <x:v>20426</x:v>
      </x:c>
      <x:c r="NE20" s="14" t="n">
        <x:v>1</x:v>
      </x:c>
      <x:c r="NF20" s="14" t="n">
        <x:v>1670</x:v>
      </x:c>
      <x:c r="NG20" s="14" t="n">
        <x:v>22</x:v>
      </x:c>
      <x:c r="NH20" s="14" t="n">
        <x:v>6</x:v>
      </x:c>
      <x:c r="NI20" s="14" t="n">
        <x:v>2</x:v>
      </x:c>
      <x:c r="NJ20" s="14" t="str">
        <x:v>未收錄</x:v>
      </x:c>
      <x:c r="NK20" s="14" t="str">
        <x:v>20427</x:v>
      </x:c>
      <x:c r="NL20" s="14" t="n">
        <x:v>1</x:v>
      </x:c>
      <x:c r="NM20" s="14" t="n">
        <x:v>1671</x:v>
      </x:c>
      <x:c r="NN20" s="14" t="n">
        <x:v>23</x:v>
      </x:c>
      <x:c r="NO20" s="14" t="n">
        <x:v>6</x:v>
      </x:c>
      <x:c r="NP20" s="14" t="n">
        <x:v>3</x:v>
      </x:c>
      <x:c r="NQ20" s="14" t="str">
        <x:v>未收錄</x:v>
      </x:c>
      <x:c r="NR20" s="14" t="str">
        <x:v>20428</x:v>
      </x:c>
      <x:c r="NS20" s="14" t="n">
        <x:v>1</x:v>
      </x:c>
      <x:c r="NT20" s="14" t="n">
        <x:v>1672</x:v>
      </x:c>
      <x:c r="NU20" s="14" t="n">
        <x:v>24</x:v>
      </x:c>
      <x:c r="NV20" s="14" t="n">
        <x:v>6</x:v>
      </x:c>
      <x:c r="NW20" s="14" t="n">
        <x:v>4</x:v>
      </x:c>
      <x:c r="NX20" s="14" t="str">
        <x:v>未收錄</x:v>
      </x:c>
      <x:c r="NY20" s="14" t="str">
        <x:v>20404</x:v>
      </x:c>
      <x:c r="NZ20" s="14" t="n">
        <x:v>1</x:v>
      </x:c>
      <x:c r="OA20" s="14" t="n">
        <x:v>2122</x:v>
      </x:c>
      <x:c r="OB20" s="14" t="n">
        <x:v>21</x:v>
      </x:c>
      <x:c r="OC20" s="14" t="n">
        <x:v>6</x:v>
      </x:c>
      <x:c r="OD20" s="14" t="n">
        <x:v>1</x:v>
      </x:c>
      <x:c r="OE20" s="14" t="str">
        <x:v>未收錄</x:v>
      </x:c>
      <x:c r="OF20" s="14" t="str">
        <x:v>20405</x:v>
      </x:c>
      <x:c r="OG20" s="14" t="n">
        <x:v>1</x:v>
      </x:c>
      <x:c r="OH20" s="14" t="n">
        <x:v>2123</x:v>
      </x:c>
      <x:c r="OI20" s="14" t="n">
        <x:v>22</x:v>
      </x:c>
      <x:c r="OJ20" s="14" t="n">
        <x:v>6</x:v>
      </x:c>
      <x:c r="OK20" s="14" t="n">
        <x:v>2</x:v>
      </x:c>
      <x:c r="OL20" s="14" t="str">
        <x:v>未收錄</x:v>
      </x:c>
      <x:c r="OM20" s="14" t="str">
        <x:v>20406</x:v>
      </x:c>
      <x:c r="ON20" s="14" t="n">
        <x:v>1</x:v>
      </x:c>
      <x:c r="OO20" s="14" t="n">
        <x:v>2124</x:v>
      </x:c>
      <x:c r="OP20" s="14" t="n">
        <x:v>23</x:v>
      </x:c>
      <x:c r="OQ20" s="14" t="n">
        <x:v>6</x:v>
      </x:c>
      <x:c r="OR20" s="14" t="n">
        <x:v>3</x:v>
      </x:c>
      <x:c r="OS20" s="14" t="str">
        <x:v>未收錄</x:v>
      </x:c>
      <x:c r="OT20" s="14" t="str">
        <x:v>20410</x:v>
      </x:c>
      <x:c r="OU20" s="14" t="n">
        <x:v>1</x:v>
      </x:c>
      <x:c r="OV20" s="14" t="n">
        <x:v>2125</x:v>
      </x:c>
      <x:c r="OW20" s="14" t="n">
        <x:v>24</x:v>
      </x:c>
      <x:c r="OX20" s="14" t="n">
        <x:v>6</x:v>
      </x:c>
      <x:c r="OY20" s="14" t="n">
        <x:v>4</x:v>
      </x:c>
      <x:c r="OZ20" s="14" t="str">
        <x:v>未收錄</x:v>
      </x:c>
      <x:c r="PA20" s="14" t="str">
        <x:v>20673</x:v>
      </x:c>
      <x:c r="PB20" s="14" t="n">
        <x:v>1</x:v>
      </x:c>
      <x:c r="PC20" s="14" t="n">
        <x:v>2668</x:v>
      </x:c>
      <x:c r="PD20" s="14" t="n">
        <x:v>21</x:v>
      </x:c>
      <x:c r="PE20" s="14" t="n">
        <x:v>6</x:v>
      </x:c>
      <x:c r="PF20" s="14" t="n">
        <x:v>1</x:v>
      </x:c>
      <x:c r="PG20" s="14" t="str">
        <x:v>未收錄</x:v>
      </x:c>
      <x:c r="PH20" s="14" t="str">
        <x:v>20954</x:v>
      </x:c>
      <x:c r="PI20" s="14" t="n">
        <x:v>1</x:v>
      </x:c>
      <x:c r="PJ20" s="14" t="n">
        <x:v>2669</x:v>
      </x:c>
      <x:c r="PK20" s="14" t="n">
        <x:v>22</x:v>
      </x:c>
      <x:c r="PL20" s="14" t="n">
        <x:v>6</x:v>
      </x:c>
      <x:c r="PM20" s="14" t="n">
        <x:v>2</x:v>
      </x:c>
      <x:c r="PN20" s="14" t="str">
        <x:v>未收錄</x:v>
      </x:c>
      <x:c r="PO20" s="14" t="str">
        <x:v>21244</x:v>
      </x:c>
      <x:c r="PP20" s="14" t="n">
        <x:v>1</x:v>
      </x:c>
      <x:c r="PQ20" s="14" t="n">
        <x:v>2670</x:v>
      </x:c>
      <x:c r="PR20" s="14" t="n">
        <x:v>23</x:v>
      </x:c>
      <x:c r="PS20" s="14" t="n">
        <x:v>6</x:v>
      </x:c>
      <x:c r="PT20" s="14" t="n">
        <x:v>3</x:v>
      </x:c>
      <x:c r="PU20" s="14" t="str">
        <x:v>未收錄</x:v>
      </x:c>
      <x:c r="PV20" s="14" t="str">
        <x:v>21245</x:v>
      </x:c>
      <x:c r="PW20" s="14" t="n">
        <x:v>1</x:v>
      </x:c>
      <x:c r="PX20" s="14" t="n">
        <x:v>2671</x:v>
      </x:c>
      <x:c r="PY20" s="14" t="n">
        <x:v>24</x:v>
      </x:c>
      <x:c r="PZ20" s="14" t="n">
        <x:v>6</x:v>
      </x:c>
      <x:c r="QA20" s="14" t="n">
        <x:v>4</x:v>
      </x:c>
      <x:c r="QB20" s="14" t="str">
        <x:v>未收錄</x:v>
      </x:c>
      <x:c r="QC20" s="14" t="str">
        <x:v>20852</x:v>
      </x:c>
      <x:c r="QD20" s="14" t="n">
        <x:v>1</x:v>
      </x:c>
      <x:c r="QE20" s="14" t="n">
        <x:v>3105</x:v>
      </x:c>
      <x:c r="QF20" s="14" t="n">
        <x:v>21</x:v>
      </x:c>
      <x:c r="QG20" s="14" t="n">
        <x:v>6</x:v>
      </x:c>
      <x:c r="QH20" s="14" t="n">
        <x:v>1</x:v>
      </x:c>
      <x:c r="QI20" s="14" t="str">
        <x:v>未收錄</x:v>
      </x:c>
      <x:c r="QJ20" s="14" t="str">
        <x:v>20853</x:v>
      </x:c>
      <x:c r="QK20" s="14" t="n">
        <x:v>1</x:v>
      </x:c>
      <x:c r="QL20" s="14" t="n">
        <x:v>3106</x:v>
      </x:c>
      <x:c r="QM20" s="14" t="n">
        <x:v>22</x:v>
      </x:c>
      <x:c r="QN20" s="14" t="n">
        <x:v>6</x:v>
      </x:c>
      <x:c r="QO20" s="14" t="n">
        <x:v>2</x:v>
      </x:c>
      <x:c r="QP20" s="14" t="str">
        <x:v>未收錄</x:v>
      </x:c>
      <x:c r="QQ20" s="14" t="str">
        <x:v>20854</x:v>
      </x:c>
      <x:c r="QR20" s="14" t="n">
        <x:v>1</x:v>
      </x:c>
      <x:c r="QS20" s="14" t="n">
        <x:v>3107</x:v>
      </x:c>
      <x:c r="QT20" s="14" t="n">
        <x:v>23</x:v>
      </x:c>
      <x:c r="QU20" s="14" t="n">
        <x:v>6</x:v>
      </x:c>
      <x:c r="QV20" s="14" t="n">
        <x:v>3</x:v>
      </x:c>
      <x:c r="QW20" s="14" t="str">
        <x:v>未收錄</x:v>
      </x:c>
      <x:c r="QX20" s="14" t="str">
        <x:v>21146</x:v>
      </x:c>
      <x:c r="QY20" s="14" t="n">
        <x:v>1</x:v>
      </x:c>
      <x:c r="QZ20" s="14" t="n">
        <x:v>3108</x:v>
      </x:c>
      <x:c r="RA20" s="14" t="n">
        <x:v>24</x:v>
      </x:c>
      <x:c r="RB20" s="14" t="n">
        <x:v>6</x:v>
      </x:c>
      <x:c r="RC20" s="14" t="n">
        <x:v>4</x:v>
      </x:c>
      <x:c r="RD20" s="14" t="str">
        <x:v>未收錄</x:v>
      </x:c>
      <x:c r="RE20" s="14" t="str">
        <x:v>29169</x:v>
      </x:c>
      <x:c r="RF20" s="14" t="n">
        <x:v>2</x:v>
      </x:c>
      <x:c r="RG20" s="14" t="n">
        <x:v>3566</x:v>
      </x:c>
      <x:c r="RH20" s="14" t="n">
        <x:v>21</x:v>
      </x:c>
      <x:c r="RI20" s="14" t="n">
        <x:v>6</x:v>
      </x:c>
      <x:c r="RJ20" s="14" t="n">
        <x:v>1</x:v>
      </x:c>
      <x:c r="RK20" s="14" t="str">
        <x:v>未收錄</x:v>
      </x:c>
      <x:c r="RL20" s="14" t="str">
        <x:v>21939</x:v>
      </x:c>
      <x:c r="RM20" s="14" t="n">
        <x:v>2</x:v>
      </x:c>
      <x:c r="RN20" s="14" t="n">
        <x:v>3567</x:v>
      </x:c>
      <x:c r="RO20" s="14" t="n">
        <x:v>22</x:v>
      </x:c>
      <x:c r="RP20" s="14" t="n">
        <x:v>6</x:v>
      </x:c>
      <x:c r="RQ20" s="14" t="n">
        <x:v>2</x:v>
      </x:c>
      <x:c r="RR20" s="14" t="str">
        <x:v>未收錄</x:v>
      </x:c>
      <x:c r="RS20" s="14" t="str">
        <x:v>29857</x:v>
      </x:c>
      <x:c r="RT20" s="14" t="n">
        <x:v>2</x:v>
      </x:c>
      <x:c r="RU20" s="14" t="n">
        <x:v>3568</x:v>
      </x:c>
      <x:c r="RV20" s="14" t="n">
        <x:v>23</x:v>
      </x:c>
      <x:c r="RW20" s="14" t="n">
        <x:v>6</x:v>
      </x:c>
      <x:c r="RX20" s="14" t="n">
        <x:v>3</x:v>
      </x:c>
      <x:c r="RY20" s="14" t="str">
        <x:v>未收錄</x:v>
      </x:c>
      <x:c r="RZ20" s="14" t="str">
        <x:v>30015</x:v>
      </x:c>
      <x:c r="SA20" s="14" t="n">
        <x:v>2</x:v>
      </x:c>
      <x:c r="SB20" s="14" t="n">
        <x:v>3569</x:v>
      </x:c>
      <x:c r="SC20" s="14" t="n">
        <x:v>24</x:v>
      </x:c>
      <x:c r="SD20" s="14" t="n">
        <x:v>6</x:v>
      </x:c>
      <x:c r="SE20" s="14" t="n">
        <x:v>4</x:v>
      </x:c>
      <x:c r="SF20" s="14" t="str">
        <x:v>未收錄</x:v>
      </x:c>
      <x:c r="SG20" s="14" t="str">
        <x:v>29268</x:v>
      </x:c>
      <x:c r="SH20" s="14" t="n">
        <x:v>5</x:v>
      </x:c>
      <x:c r="SI20" s="14" t="n">
        <x:v>3990</x:v>
      </x:c>
      <x:c r="SJ20" s="14" t="n">
        <x:v>21</x:v>
      </x:c>
      <x:c r="SK20" s="14" t="n">
        <x:v>6</x:v>
      </x:c>
      <x:c r="SL20" s="14" t="n">
        <x:v>1</x:v>
      </x:c>
      <x:c r="SM20" s="14" t="str">
        <x:v>未收錄</x:v>
      </x:c>
      <x:c r="SN20" s="14" t="str">
        <x:v>29706</x:v>
      </x:c>
      <x:c r="SO20" s="14" t="n">
        <x:v>5</x:v>
      </x:c>
      <x:c r="SP20" s="14" t="n">
        <x:v>3991</x:v>
      </x:c>
      <x:c r="SQ20" s="14" t="n">
        <x:v>22</x:v>
      </x:c>
      <x:c r="SR20" s="14" t="n">
        <x:v>6</x:v>
      </x:c>
      <x:c r="SS20" s="14" t="n">
        <x:v>2</x:v>
      </x:c>
      <x:c r="ST20" s="14" t="str">
        <x:v>未收錄</x:v>
      </x:c>
      <x:c r="SU20" s="14" t="str">
        <x:v>29707</x:v>
      </x:c>
      <x:c r="SV20" s="14" t="n">
        <x:v>5</x:v>
      </x:c>
      <x:c r="SW20" s="14" t="n">
        <x:v>3992</x:v>
      </x:c>
      <x:c r="SX20" s="14" t="n">
        <x:v>23</x:v>
      </x:c>
      <x:c r="SY20" s="14" t="n">
        <x:v>6</x:v>
      </x:c>
      <x:c r="SZ20" s="14" t="n">
        <x:v>3</x:v>
      </x:c>
      <x:c r="TA20" s="14" t="str">
        <x:v>未收錄</x:v>
      </x:c>
      <x:c r="TB20" s="14" t="str">
        <x:v>29708</x:v>
      </x:c>
      <x:c r="TC20" s="14" t="n">
        <x:v>5</x:v>
      </x:c>
      <x:c r="TD20" s="14" t="n">
        <x:v>3993</x:v>
      </x:c>
      <x:c r="TE20" s="14" t="n">
        <x:v>24</x:v>
      </x:c>
      <x:c r="TF20" s="14" t="n">
        <x:v>6</x:v>
      </x:c>
      <x:c r="TG20" s="14" t="n">
        <x:v>4</x:v>
      </x:c>
      <x:c r="TH20" s="14" t="str">
        <x:v>未收錄</x:v>
      </x:c>
    </x:row>
    <x:row r="21" ht="15" customHeight="1">
      <x:c r="A21" s="17" t="str">
        <x:v>快意劍</x:v>
      </x:c>
      <x:c r="B21" s="17" t="str">
        <x:v>龍紋劍</x:v>
      </x:c>
      <x:c r="C21" s="17" t="str">
        <x:v>穿心劍</x:v>
      </x:c>
      <x:c r="D21" s="17" t="str">
        <x:v>紅珊劍</x:v>
      </x:c>
      <x:c r="E21" s="14"/>
      <x:c r="F21" s="17" t="str">
        <x:v>紫月金陽刀</x:v>
      </x:c>
      <x:c r="G21" s="17" t="str">
        <x:v>霸軍刀</x:v>
      </x:c>
      <x:c r="H21" s="17" t="str">
        <x:v>綒濟刀</x:v>
      </x:c>
      <x:c r="I21" s="17" t="str">
        <x:v>流櫻刀</x:v>
      </x:c>
      <x:c r="J21" s="14"/>
      <x:c r="K21" s="17" t="str">
        <x:v>斬首千黎旋</x:v>
      </x:c>
      <x:c r="L21" s="17" t="str">
        <x:v>一見發財</x:v>
      </x:c>
      <x:c r="M21" s="17" t="str">
        <x:v>大羅金仙倒</x:v>
      </x:c>
      <x:c r="N21" s="17" t="str">
        <x:v>妖滅天殛魔錐</x:v>
      </x:c>
      <x:c r="O21" s="14"/>
      <x:c r="P21" s="17" t="str">
        <x:v>銀宗拂塵</x:v>
      </x:c>
      <x:c r="Q21" s="17" t="str">
        <x:v>龍靈拂塵</x:v>
      </x:c>
      <x:c r="R21" s="17" t="str">
        <x:v>人骨法杖</x:v>
      </x:c>
      <x:c r="S21" s="17" t="str">
        <x:v>百眼骨杖</x:v>
      </x:c>
      <x:c r="T21" s="14"/>
      <x:c r="U21" s="17" t="str">
        <x:v>普羅法杖</x:v>
      </x:c>
      <x:c r="V21" s="17" t="str">
        <x:v>明王法杖</x:v>
      </x:c>
      <x:c r="W21" s="17" t="str">
        <x:v>金鋼法杖</x:v>
      </x:c>
      <x:c r="X21" s="17" t="str">
        <x:v>絕世金鋼法杖</x:v>
      </x:c>
      <x:c r="Y21" s="14"/>
      <x:c r="Z21" s="17" t="str">
        <x:v>閼英槍</x:v>
      </x:c>
      <x:c r="AA21" s="17" t="str">
        <x:v>群雨槍</x:v>
      </x:c>
      <x:c r="AB21" s="17" t="str">
        <x:v>屠狼槍</x:v>
      </x:c>
      <x:c r="AC21" s="17" t="str">
        <x:v>范家銀槍</x:v>
      </x:c>
      <x:c r="AD21" s="14"/>
      <x:c r="AE21" s="17" t="str">
        <x:v>南遼衛棍</x:v>
      </x:c>
      <x:c r="AF21" s="17" t="str">
        <x:v>晶石狼牙棒</x:v>
      </x:c>
      <x:c r="AG21" s="17" t="str">
        <x:v>凝晶如意棒</x:v>
      </x:c>
      <x:c r="AH21" s="17" t="str">
        <x:v>卓越之棍</x:v>
      </x:c>
      <x:c r="AI21" s="14"/>
      <x:c r="AJ21" s="17" t="str">
        <x:v>凝晶覆嶽錘</x:v>
      </x:c>
      <x:c r="AK21" s="17" t="str">
        <x:v>卓越戰錘</x:v>
      </x:c>
      <x:c r="AL21" s="17" t="str">
        <x:v>破山錘</x:v>
      </x:c>
      <x:c r="AM21" s="17" t="str">
        <x:v>震地錘</x:v>
      </x:c>
      <x:c r="AN21" s="14"/>
      <x:c r="AO21" s="17" t="str">
        <x:v>晶石斧</x:v>
      </x:c>
      <x:c r="AP21" s="17" t="str">
        <x:v>凝晶巨斧</x:v>
      </x:c>
      <x:c r="AQ21" s="17" t="str">
        <x:v>卓越巨斧</x:v>
      </x:c>
      <x:c r="AR21" s="17" t="str">
        <x:v>狼嚎戰斧</x:v>
      </x:c>
      <x:c r="AS21" s="14"/>
      <x:c r="AT21" s="17" t="str">
        <x:v>凝晶石盾</x:v>
      </x:c>
      <x:c r="AU21" s="17" t="str">
        <x:v>卓越之盾</x:v>
      </x:c>
      <x:c r="AV21" s="17" t="str">
        <x:v>流金盾</x:v>
      </x:c>
      <x:c r="AW21" s="17" t="str">
        <x:v>虎骨盾</x:v>
      </x:c>
      <x:c r="AX21" s="14"/>
      <x:c r="AY21" s="17" t="str">
        <x:v>靈絲僧帽</x:v>
      </x:c>
      <x:c r="AZ21" s="17" t="str">
        <x:v>靈絲道冠</x:v>
      </x:c>
      <x:c r="BA21" s="17" t="str">
        <x:v>天鐵頭箍</x:v>
      </x:c>
      <x:c r="BB21" s="17" t="str">
        <x:v>銀縷僧帽</x:v>
      </x:c>
      <x:c r="BC21" s="14"/>
      <x:c r="BD21" s="17" t="str">
        <x:v>蛛絲僧衣</x:v>
      </x:c>
      <x:c r="BE21" s="17" t="str">
        <x:v>蛛絲道袍</x:v>
      </x:c>
      <x:c r="BF21" s="17" t="str">
        <x:v>靈絲禪衣</x:v>
      </x:c>
      <x:c r="BG21" s="17" t="str">
        <x:v>靈絲道袍</x:v>
      </x:c>
      <x:c r="BH21" s="14"/>
      <x:c r="BI21" s="17" t="str">
        <x:v>青甲護腕</x:v>
      </x:c>
      <x:c r="BJ21" s="17" t="str">
        <x:v>金甲護腕</x:v>
      </x:c>
      <x:c r="BK21" s="17" t="str">
        <x:v>漁人護腕</x:v>
      </x:c>
      <x:c r="BL21" s="17" t="str">
        <x:v>法意護腕</x:v>
      </x:c>
      <x:c r="BM21" s="14"/>
      <x:c r="BN21" s="17" t="str">
        <x:v>青甲戰靴</x:v>
      </x:c>
      <x:c r="BO21" s="17" t="str">
        <x:v>貝鱗戰靴</x:v>
      </x:c>
      <x:c r="BP21" s="17" t="str">
        <x:v>金甲戰靴</x:v>
      </x:c>
      <x:c r="BQ21" s="17" t="str">
        <x:v>木靈鞋</x:v>
      </x:c>
      <x:c r="BR21" s="14"/>
      <x:c r="BS21" s="17" t="str">
        <x:v>南遼護飾</x:v>
      </x:c>
      <x:c r="BT21" s="17" t="str">
        <x:v>抗火護符</x:v>
      </x:c>
      <x:c r="BU21" s="17" t="str">
        <x:v>抗冰護符</x:v>
      </x:c>
      <x:c r="BV21" s="17" t="str">
        <x:v>抗雷護符</x:v>
      </x:c>
      <x:c r="BW21" s="14"/>
      <x:c r="BX21" s="17" t="str">
        <x:v>魔風仙法陣</x:v>
      </x:c>
      <x:c r="BY21" s="17" t="str">
        <x:v>魔林仙法陣</x:v>
      </x:c>
      <x:c r="BZ21" s="17" t="str">
        <x:v>魔闇仙法陣</x:v>
      </x:c>
      <x:c r="CA21" s="17" t="str">
        <x:v>魔光仙法陣</x:v>
      </x:c>
      <x:c r="CB21" s="14"/>
      <x:c r="CC21" s="14" t="str">
        <x:v>21090</x:v>
      </x:c>
      <x:c r="CD21" s="14" t="n">
        <x:v>1</x:v>
      </x:c>
      <x:c r="CE21" s="14" t="n">
        <x:v>25</x:v>
      </x:c>
      <x:c r="CF21" s="14" t="n">
        <x:v>25</x:v>
      </x:c>
      <x:c r="CG21" s="14" t="n">
        <x:v>7</x:v>
      </x:c>
      <x:c r="CH21" s="14" t="n">
        <x:v>1</x:v>
      </x:c>
      <x:c r="CI21" s="14" t="str">
        <x:v>未收錄</x:v>
      </x:c>
      <x:c r="CJ21" s="14" t="str">
        <x:v>21091</x:v>
      </x:c>
      <x:c r="CK21" s="14" t="n">
        <x:v>1</x:v>
      </x:c>
      <x:c r="CL21" s="14" t="n">
        <x:v>26</x:v>
      </x:c>
      <x:c r="CM21" s="14" t="n">
        <x:v>26</x:v>
      </x:c>
      <x:c r="CN21" s="14" t="n">
        <x:v>7</x:v>
      </x:c>
      <x:c r="CO21" s="14" t="n">
        <x:v>2</x:v>
      </x:c>
      <x:c r="CP21" s="14" t="str">
        <x:v>未收錄</x:v>
      </x:c>
      <x:c r="CQ21" s="14" t="str">
        <x:v>21092</x:v>
      </x:c>
      <x:c r="CR21" s="14" t="n">
        <x:v>1</x:v>
      </x:c>
      <x:c r="CS21" s="14" t="n">
        <x:v>27</x:v>
      </x:c>
      <x:c r="CT21" s="14" t="n">
        <x:v>27</x:v>
      </x:c>
      <x:c r="CU21" s="14" t="n">
        <x:v>7</x:v>
      </x:c>
      <x:c r="CV21" s="14" t="n">
        <x:v>3</x:v>
      </x:c>
      <x:c r="CW21" s="14" t="str">
        <x:v>未收錄</x:v>
      </x:c>
      <x:c r="CX21" s="14" t="str">
        <x:v>21310</x:v>
      </x:c>
      <x:c r="CY21" s="14" t="n">
        <x:v>1</x:v>
      </x:c>
      <x:c r="CZ21" s="14" t="n">
        <x:v>28</x:v>
      </x:c>
      <x:c r="DA21" s="14" t="n">
        <x:v>28</x:v>
      </x:c>
      <x:c r="DB21" s="14" t="n">
        <x:v>7</x:v>
      </x:c>
      <x:c r="DC21" s="14" t="n">
        <x:v>4</x:v>
      </x:c>
      <x:c r="DD21" s="14" t="str">
        <x:v>未收錄</x:v>
      </x:c>
      <x:c r="DE21" s="14" t="str">
        <x:v>29094</x:v>
      </x:c>
      <x:c r="DF21" s="14" t="n">
        <x:v>1</x:v>
      </x:c>
      <x:c r="DG21" s="14" t="n">
        <x:v>270</x:v>
      </x:c>
      <x:c r="DH21" s="14" t="n">
        <x:v>25</x:v>
      </x:c>
      <x:c r="DI21" s="14" t="n">
        <x:v>7</x:v>
      </x:c>
      <x:c r="DJ21" s="14" t="n">
        <x:v>1</x:v>
      </x:c>
      <x:c r="DK21" s="14" t="str">
        <x:v>未收錄</x:v>
      </x:c>
      <x:c r="DL21" s="14" t="str">
        <x:v>23051</x:v>
      </x:c>
      <x:c r="DM21" s="14" t="n">
        <x:v>1</x:v>
      </x:c>
      <x:c r="DN21" s="14" t="n">
        <x:v>271</x:v>
      </x:c>
      <x:c r="DO21" s="14" t="n">
        <x:v>26</x:v>
      </x:c>
      <x:c r="DP21" s="14" t="n">
        <x:v>7</x:v>
      </x:c>
      <x:c r="DQ21" s="14" t="n">
        <x:v>2</x:v>
      </x:c>
      <x:c r="DR21" s="14" t="str">
        <x:v>未收錄</x:v>
      </x:c>
      <x:c r="DS21" s="14" t="str">
        <x:v>29895</x:v>
      </x:c>
      <x:c r="DT21" s="14" t="n">
        <x:v>1</x:v>
      </x:c>
      <x:c r="DU21" s="14" t="n">
        <x:v>272</x:v>
      </x:c>
      <x:c r="DV21" s="14" t="n">
        <x:v>27</x:v>
      </x:c>
      <x:c r="DW21" s="14" t="n">
        <x:v>7</x:v>
      </x:c>
      <x:c r="DX21" s="14" t="n">
        <x:v>3</x:v>
      </x:c>
      <x:c r="DY21" s="14" t="str">
        <x:v>未收錄</x:v>
      </x:c>
      <x:c r="DZ21" s="14" t="str">
        <x:v>30520</x:v>
      </x:c>
      <x:c r="EA21" s="14" t="n">
        <x:v>1</x:v>
      </x:c>
      <x:c r="EB21" s="14" t="n">
        <x:v>273</x:v>
      </x:c>
      <x:c r="EC21" s="14" t="n">
        <x:v>28</x:v>
      </x:c>
      <x:c r="ED21" s="14" t="n">
        <x:v>7</x:v>
      </x:c>
      <x:c r="EE21" s="14" t="n">
        <x:v>4</x:v>
      </x:c>
      <x:c r="EF21" s="14" t="str">
        <x:v>未收錄</x:v>
      </x:c>
      <x:c r="EG21" s="14" t="str">
        <x:v>23611</x:v>
      </x:c>
      <x:c r="EH21" s="14" t="n">
        <x:v>8</x:v>
      </x:c>
      <x:c r="EI21" s="14" t="n">
        <x:v>506</x:v>
      </x:c>
      <x:c r="EJ21" s="14" t="n">
        <x:v>25</x:v>
      </x:c>
      <x:c r="EK21" s="14" t="n">
        <x:v>7</x:v>
      </x:c>
      <x:c r="EL21" s="14" t="n">
        <x:v>1</x:v>
      </x:c>
      <x:c r="EM21" s="14" t="str">
        <x:v>未收錄</x:v>
      </x:c>
      <x:c r="EN21" s="14" t="str">
        <x:v>23612</x:v>
      </x:c>
      <x:c r="EO21" s="14" t="n">
        <x:v>8</x:v>
      </x:c>
      <x:c r="EP21" s="14" t="n">
        <x:v>507</x:v>
      </x:c>
      <x:c r="EQ21" s="14" t="n">
        <x:v>26</x:v>
      </x:c>
      <x:c r="ER21" s="14" t="n">
        <x:v>7</x:v>
      </x:c>
      <x:c r="ES21" s="14" t="n">
        <x:v>2</x:v>
      </x:c>
      <x:c r="ET21" s="14" t="str">
        <x:v>未收錄</x:v>
      </x:c>
      <x:c r="EU21" s="14" t="str">
        <x:v>23613</x:v>
      </x:c>
      <x:c r="EV21" s="14" t="n">
        <x:v>8</x:v>
      </x:c>
      <x:c r="EW21" s="14" t="n">
        <x:v>508</x:v>
      </x:c>
      <x:c r="EX21" s="14" t="n">
        <x:v>27</x:v>
      </x:c>
      <x:c r="EY21" s="14" t="n">
        <x:v>7</x:v>
      </x:c>
      <x:c r="EZ21" s="14" t="n">
        <x:v>3</x:v>
      </x:c>
      <x:c r="FA21" s="14" t="str">
        <x:v>未收錄</x:v>
      </x:c>
      <x:c r="FB21" s="14" t="str">
        <x:v>23924</x:v>
      </x:c>
      <x:c r="FC21" s="14" t="n">
        <x:v>8</x:v>
      </x:c>
      <x:c r="FD21" s="14" t="n">
        <x:v>509</x:v>
      </x:c>
      <x:c r="FE21" s="14" t="n">
        <x:v>28</x:v>
      </x:c>
      <x:c r="FF21" s="14" t="n">
        <x:v>7</x:v>
      </x:c>
      <x:c r="FG21" s="14" t="n">
        <x:v>4</x:v>
      </x:c>
      <x:c r="FH21" s="14" t="str">
        <x:v>未收錄</x:v>
      </x:c>
      <x:c r="FI21" s="14" t="str">
        <x:v>20912</x:v>
      </x:c>
      <x:c r="FJ21" s="14" t="n">
        <x:v>8</x:v>
      </x:c>
      <x:c r="FK21" s="14" t="n">
        <x:v>656</x:v>
      </x:c>
      <x:c r="FL21" s="14" t="n">
        <x:v>25</x:v>
      </x:c>
      <x:c r="FM21" s="14" t="n">
        <x:v>7</x:v>
      </x:c>
      <x:c r="FN21" s="14" t="n">
        <x:v>1</x:v>
      </x:c>
      <x:c r="FO21" s="14" t="str">
        <x:v>未收錄</x:v>
      </x:c>
      <x:c r="FP21" s="14" t="str">
        <x:v>20913</x:v>
      </x:c>
      <x:c r="FQ21" s="14" t="n">
        <x:v>8</x:v>
      </x:c>
      <x:c r="FR21" s="14" t="n">
        <x:v>657</x:v>
      </x:c>
      <x:c r="FS21" s="14" t="n">
        <x:v>26</x:v>
      </x:c>
      <x:c r="FT21" s="14" t="n">
        <x:v>7</x:v>
      </x:c>
      <x:c r="FU21" s="14" t="n">
        <x:v>2</x:v>
      </x:c>
      <x:c r="FV21" s="14" t="str">
        <x:v>未收錄</x:v>
      </x:c>
      <x:c r="FW21" s="14" t="str">
        <x:v>20932</x:v>
      </x:c>
      <x:c r="FX21" s="14" t="n">
        <x:v>8</x:v>
      </x:c>
      <x:c r="FY21" s="14" t="n">
        <x:v>658</x:v>
      </x:c>
      <x:c r="FZ21" s="14" t="n">
        <x:v>27</x:v>
      </x:c>
      <x:c r="GA21" s="14" t="n">
        <x:v>7</x:v>
      </x:c>
      <x:c r="GB21" s="14" t="n">
        <x:v>3</x:v>
      </x:c>
      <x:c r="GC21" s="14" t="str">
        <x:v>未收錄</x:v>
      </x:c>
      <x:c r="GD21" s="14" t="str">
        <x:v>20933</x:v>
      </x:c>
      <x:c r="GE21" s="14" t="n">
        <x:v>8</x:v>
      </x:c>
      <x:c r="GF21" s="14" t="n">
        <x:v>659</x:v>
      </x:c>
      <x:c r="GG21" s="14" t="n">
        <x:v>28</x:v>
      </x:c>
      <x:c r="GH21" s="14" t="n">
        <x:v>7</x:v>
      </x:c>
      <x:c r="GI21" s="14" t="n">
        <x:v>4</x:v>
      </x:c>
      <x:c r="GJ21" s="14" t="str">
        <x:v>未收錄</x:v>
      </x:c>
      <x:c r="GK21" s="14" t="str">
        <x:v>20938</x:v>
      </x:c>
      <x:c r="GL21" s="14" t="n">
        <x:v>8</x:v>
      </x:c>
      <x:c r="GM21" s="14" t="n">
        <x:v>828</x:v>
      </x:c>
      <x:c r="GN21" s="14" t="n">
        <x:v>25</x:v>
      </x:c>
      <x:c r="GO21" s="14" t="n">
        <x:v>7</x:v>
      </x:c>
      <x:c r="GP21" s="14" t="n">
        <x:v>1</x:v>
      </x:c>
      <x:c r="GQ21" s="14" t="str">
        <x:v>未收錄</x:v>
      </x:c>
      <x:c r="GR21" s="14" t="str">
        <x:v>20939</x:v>
      </x:c>
      <x:c r="GS21" s="14" t="n">
        <x:v>8</x:v>
      </x:c>
      <x:c r="GT21" s="14" t="n">
        <x:v>829</x:v>
      </x:c>
      <x:c r="GU21" s="14" t="n">
        <x:v>26</x:v>
      </x:c>
      <x:c r="GV21" s="14" t="n">
        <x:v>7</x:v>
      </x:c>
      <x:c r="GW21" s="14" t="n">
        <x:v>2</x:v>
      </x:c>
      <x:c r="GX21" s="14" t="str">
        <x:v>未收錄</x:v>
      </x:c>
      <x:c r="GY21" s="14" t="str">
        <x:v>20940</x:v>
      </x:c>
      <x:c r="GZ21" s="14" t="n">
        <x:v>8</x:v>
      </x:c>
      <x:c r="HA21" s="14" t="n">
        <x:v>830</x:v>
      </x:c>
      <x:c r="HB21" s="14" t="n">
        <x:v>27</x:v>
      </x:c>
      <x:c r="HC21" s="14" t="n">
        <x:v>7</x:v>
      </x:c>
      <x:c r="HD21" s="14" t="n">
        <x:v>3</x:v>
      </x:c>
      <x:c r="HE21" s="14" t="str">
        <x:v>未收錄</x:v>
      </x:c>
      <x:c r="HF21" s="14" t="str">
        <x:v>22381</x:v>
      </x:c>
      <x:c r="HG21" s="14" t="n">
        <x:v>8</x:v>
      </x:c>
      <x:c r="HH21" s="14" t="n">
        <x:v>831</x:v>
      </x:c>
      <x:c r="HI21" s="14" t="n">
        <x:v>28</x:v>
      </x:c>
      <x:c r="HJ21" s="14" t="n">
        <x:v>7</x:v>
      </x:c>
      <x:c r="HK21" s="14" t="n">
        <x:v>4</x:v>
      </x:c>
      <x:c r="HL21" s="14" t="str">
        <x:v>未收錄</x:v>
      </x:c>
      <x:c r="HM21" s="14" t="str">
        <x:v>29897</x:v>
      </x:c>
      <x:c r="HN21" s="14" t="n">
        <x:v>1</x:v>
      </x:c>
      <x:c r="HO21" s="14" t="n">
        <x:v>1001</x:v>
      </x:c>
      <x:c r="HP21" s="14" t="n">
        <x:v>25</x:v>
      </x:c>
      <x:c r="HQ21" s="14" t="n">
        <x:v>7</x:v>
      </x:c>
      <x:c r="HR21" s="14" t="n">
        <x:v>1</x:v>
      </x:c>
      <x:c r="HS21" s="14" t="str">
        <x:v>未收錄</x:v>
      </x:c>
      <x:c r="HT21" s="14" t="str">
        <x:v>30522</x:v>
      </x:c>
      <x:c r="HU21" s="14" t="n">
        <x:v>1</x:v>
      </x:c>
      <x:c r="HV21" s="14" t="n">
        <x:v>1002</x:v>
      </x:c>
      <x:c r="HW21" s="14" t="n">
        <x:v>26</x:v>
      </x:c>
      <x:c r="HX21" s="14" t="n">
        <x:v>7</x:v>
      </x:c>
      <x:c r="HY21" s="14" t="n">
        <x:v>2</x:v>
      </x:c>
      <x:c r="HZ21" s="14" t="str">
        <x:v>未收錄</x:v>
      </x:c>
      <x:c r="IA21" s="14" t="str">
        <x:v>20566</x:v>
      </x:c>
      <x:c r="IB21" s="14" t="n">
        <x:v>2</x:v>
      </x:c>
      <x:c r="IC21" s="14" t="n">
        <x:v>1003</x:v>
      </x:c>
      <x:c r="ID21" s="14" t="n">
        <x:v>27</x:v>
      </x:c>
      <x:c r="IE21" s="14" t="n">
        <x:v>7</x:v>
      </x:c>
      <x:c r="IF21" s="14" t="n">
        <x:v>3</x:v>
      </x:c>
      <x:c r="IG21" s="14" t="str">
        <x:v>未收錄</x:v>
      </x:c>
      <x:c r="IH21" s="14" t="str">
        <x:v>21067</x:v>
      </x:c>
      <x:c r="II21" s="14" t="n">
        <x:v>2</x:v>
      </x:c>
      <x:c r="IJ21" s="14" t="n">
        <x:v>1004</x:v>
      </x:c>
      <x:c r="IK21" s="14" t="n">
        <x:v>28</x:v>
      </x:c>
      <x:c r="IL21" s="14" t="n">
        <x:v>7</x:v>
      </x:c>
      <x:c r="IM21" s="14" t="n">
        <x:v>4</x:v>
      </x:c>
      <x:c r="IN21" s="14" t="str">
        <x:v>未收錄</x:v>
      </x:c>
      <x:c r="IO21" s="14" t="str">
        <x:v>30558</x:v>
      </x:c>
      <x:c r="IP21" s="14" t="n">
        <x:v>2</x:v>
      </x:c>
      <x:c r="IQ21" s="14" t="n">
        <x:v>1169</x:v>
      </x:c>
      <x:c r="IR21" s="14" t="n">
        <x:v>25</x:v>
      </x:c>
      <x:c r="IS21" s="14" t="n">
        <x:v>7</x:v>
      </x:c>
      <x:c r="IT21" s="14" t="n">
        <x:v>1</x:v>
      </x:c>
      <x:c r="IU21" s="14" t="str">
        <x:v>未收錄</x:v>
      </x:c>
      <x:c r="IV21" s="14" t="str">
        <x:v>21050</x:v>
      </x:c>
      <x:c r="IW21" s="14" t="n">
        <x:v>3</x:v>
      </x:c>
      <x:c r="IX21" s="14" t="n">
        <x:v>1170</x:v>
      </x:c>
      <x:c r="IY21" s="14" t="n">
        <x:v>26</x:v>
      </x:c>
      <x:c r="IZ21" s="14" t="n">
        <x:v>7</x:v>
      </x:c>
      <x:c r="JA21" s="14" t="n">
        <x:v>2</x:v>
      </x:c>
      <x:c r="JB21" s="14" t="str">
        <x:v>未收錄</x:v>
      </x:c>
      <x:c r="JC21" s="14" t="str">
        <x:v>22423</x:v>
      </x:c>
      <x:c r="JD21" s="14" t="n">
        <x:v>3</x:v>
      </x:c>
      <x:c r="JE21" s="14" t="n">
        <x:v>1171</x:v>
      </x:c>
      <x:c r="JF21" s="14" t="n">
        <x:v>27</x:v>
      </x:c>
      <x:c r="JG21" s="14" t="n">
        <x:v>7</x:v>
      </x:c>
      <x:c r="JH21" s="14" t="n">
        <x:v>3</x:v>
      </x:c>
      <x:c r="JI21" s="14" t="str">
        <x:v>未收錄</x:v>
      </x:c>
      <x:c r="JJ21" s="14" t="str">
        <x:v>23334</x:v>
      </x:c>
      <x:c r="JK21" s="14" t="n">
        <x:v>3</x:v>
      </x:c>
      <x:c r="JL21" s="14" t="n">
        <x:v>1172</x:v>
      </x:c>
      <x:c r="JM21" s="14" t="n">
        <x:v>28</x:v>
      </x:c>
      <x:c r="JN21" s="14" t="n">
        <x:v>7</x:v>
      </x:c>
      <x:c r="JO21" s="14" t="n">
        <x:v>4</x:v>
      </x:c>
      <x:c r="JP21" s="14" t="str">
        <x:v>未收錄</x:v>
      </x:c>
      <x:c r="JQ21" s="14" t="str">
        <x:v>22420</x:v>
      </x:c>
      <x:c r="JR21" s="14" t="n">
        <x:v>3</x:v>
      </x:c>
      <x:c r="JS21" s="14" t="n">
        <x:v>1336</x:v>
      </x:c>
      <x:c r="JT21" s="14" t="n">
        <x:v>25</x:v>
      </x:c>
      <x:c r="JU21" s="14" t="n">
        <x:v>7</x:v>
      </x:c>
      <x:c r="JV21" s="14" t="n">
        <x:v>1</x:v>
      </x:c>
      <x:c r="JW21" s="14" t="str">
        <x:v>未收錄</x:v>
      </x:c>
      <x:c r="JX21" s="14" t="str">
        <x:v>23329</x:v>
      </x:c>
      <x:c r="JY21" s="14" t="n">
        <x:v>3</x:v>
      </x:c>
      <x:c r="JZ21" s="14" t="n">
        <x:v>1337</x:v>
      </x:c>
      <x:c r="KA21" s="14" t="n">
        <x:v>26</x:v>
      </x:c>
      <x:c r="KB21" s="14" t="n">
        <x:v>7</x:v>
      </x:c>
      <x:c r="KC21" s="14" t="n">
        <x:v>2</x:v>
      </x:c>
      <x:c r="KD21" s="14" t="str">
        <x:v>未收錄</x:v>
      </x:c>
      <x:c r="KE21" s="14" t="str">
        <x:v>20846</x:v>
      </x:c>
      <x:c r="KF21" s="14" t="n">
        <x:v>8</x:v>
      </x:c>
      <x:c r="KG21" s="14" t="n">
        <x:v>1338</x:v>
      </x:c>
      <x:c r="KH21" s="14" t="n">
        <x:v>27</x:v>
      </x:c>
      <x:c r="KI21" s="14" t="n">
        <x:v>7</x:v>
      </x:c>
      <x:c r="KJ21" s="14" t="n">
        <x:v>3</x:v>
      </x:c>
      <x:c r="KK21" s="14" t="str">
        <x:v>未收錄</x:v>
      </x:c>
      <x:c r="KL21" s="14" t="str">
        <x:v>20931</x:v>
      </x:c>
      <x:c r="KM21" s="14" t="n">
        <x:v>8</x:v>
      </x:c>
      <x:c r="KN21" s="14" t="n">
        <x:v>1339</x:v>
      </x:c>
      <x:c r="KO21" s="14" t="n">
        <x:v>28</x:v>
      </x:c>
      <x:c r="KP21" s="14" t="n">
        <x:v>7</x:v>
      </x:c>
      <x:c r="KQ21" s="14" t="n">
        <x:v>4</x:v>
      </x:c>
      <x:c r="KR21" s="14" t="str">
        <x:v>未收錄</x:v>
      </x:c>
      <x:c r="KS21" s="14" t="str">
        <x:v>21046</x:v>
      </x:c>
      <x:c r="KT21" s="14" t="n">
        <x:v>3</x:v>
      </x:c>
      <x:c r="KU21" s="14" t="n">
        <x:v>1451</x:v>
      </x:c>
      <x:c r="KV21" s="14" t="n">
        <x:v>25</x:v>
      </x:c>
      <x:c r="KW21" s="14" t="n">
        <x:v>7</x:v>
      </x:c>
      <x:c r="KX21" s="14" t="n">
        <x:v>1</x:v>
      </x:c>
      <x:c r="KY21" s="14" t="str">
        <x:v>未收錄</x:v>
      </x:c>
      <x:c r="KZ21" s="14" t="str">
        <x:v>22419</x:v>
      </x:c>
      <x:c r="LA21" s="14" t="n">
        <x:v>3</x:v>
      </x:c>
      <x:c r="LB21" s="14" t="n">
        <x:v>1452</x:v>
      </x:c>
      <x:c r="LC21" s="14" t="n">
        <x:v>26</x:v>
      </x:c>
      <x:c r="LD21" s="14" t="n">
        <x:v>7</x:v>
      </x:c>
      <x:c r="LE21" s="14" t="n">
        <x:v>2</x:v>
      </x:c>
      <x:c r="LF21" s="14" t="str">
        <x:v>未收錄</x:v>
      </x:c>
      <x:c r="LG21" s="14" t="str">
        <x:v>23327</x:v>
      </x:c>
      <x:c r="LH21" s="14" t="n">
        <x:v>3</x:v>
      </x:c>
      <x:c r="LI21" s="14" t="n">
        <x:v>1453</x:v>
      </x:c>
      <x:c r="LJ21" s="14" t="n">
        <x:v>27</x:v>
      </x:c>
      <x:c r="LK21" s="14" t="n">
        <x:v>7</x:v>
      </x:c>
      <x:c r="LL21" s="14" t="n">
        <x:v>3</x:v>
      </x:c>
      <x:c r="LM21" s="14" t="str">
        <x:v>未收錄</x:v>
      </x:c>
      <x:c r="LN21" s="14" t="str">
        <x:v>21563</x:v>
      </x:c>
      <x:c r="LO21" s="14" t="n">
        <x:v>3</x:v>
      </x:c>
      <x:c r="LP21" s="14" t="n">
        <x:v>1454</x:v>
      </x:c>
      <x:c r="LQ21" s="14" t="n">
        <x:v>28</x:v>
      </x:c>
      <x:c r="LR21" s="14" t="n">
        <x:v>7</x:v>
      </x:c>
      <x:c r="LS21" s="14" t="n">
        <x:v>4</x:v>
      </x:c>
      <x:c r="LT21" s="14" t="str">
        <x:v>未收錄</x:v>
      </x:c>
      <x:c r="LU21" s="14" t="str">
        <x:v>22425</x:v>
      </x:c>
      <x:c r="LV21" s="14" t="n">
        <x:v>3</x:v>
      </x:c>
      <x:c r="LW21" s="14" t="n">
        <x:v>1564</x:v>
      </x:c>
      <x:c r="LX21" s="14" t="n">
        <x:v>25</x:v>
      </x:c>
      <x:c r="LY21" s="14" t="n">
        <x:v>7</x:v>
      </x:c>
      <x:c r="LZ21" s="14" t="n">
        <x:v>1</x:v>
      </x:c>
      <x:c r="MA21" s="14" t="str">
        <x:v>未收錄</x:v>
      </x:c>
      <x:c r="MB21" s="14" t="str">
        <x:v>23335</x:v>
      </x:c>
      <x:c r="MC21" s="14" t="n">
        <x:v>3</x:v>
      </x:c>
      <x:c r="MD21" s="14" t="n">
        <x:v>1565</x:v>
      </x:c>
      <x:c r="ME21" s="14" t="n">
        <x:v>26</x:v>
      </x:c>
      <x:c r="MF21" s="14" t="n">
        <x:v>7</x:v>
      </x:c>
      <x:c r="MG21" s="14" t="n">
        <x:v>2</x:v>
      </x:c>
      <x:c r="MH21" s="14" t="str">
        <x:v>未收錄</x:v>
      </x:c>
      <x:c r="MI21" s="14" t="str">
        <x:v>21108</x:v>
      </x:c>
      <x:c r="MJ21" s="14" t="n">
        <x:v>8</x:v>
      </x:c>
      <x:c r="MK21" s="14" t="n">
        <x:v>1566</x:v>
      </x:c>
      <x:c r="ML21" s="14" t="n">
        <x:v>27</x:v>
      </x:c>
      <x:c r="MM21" s="14" t="n">
        <x:v>7</x:v>
      </x:c>
      <x:c r="MN21" s="14" t="n">
        <x:v>3</x:v>
      </x:c>
      <x:c r="MO21" s="14" t="str">
        <x:v>未收錄</x:v>
      </x:c>
      <x:c r="MP21" s="14" t="str">
        <x:v>21109</x:v>
      </x:c>
      <x:c r="MQ21" s="14" t="n">
        <x:v>8</x:v>
      </x:c>
      <x:c r="MR21" s="14" t="n">
        <x:v>1567</x:v>
      </x:c>
      <x:c r="MS21" s="14" t="n">
        <x:v>28</x:v>
      </x:c>
      <x:c r="MT21" s="14" t="n">
        <x:v>7</x:v>
      </x:c>
      <x:c r="MU21" s="14" t="n">
        <x:v>4</x:v>
      </x:c>
      <x:c r="MV21" s="14" t="str">
        <x:v>未收錄</x:v>
      </x:c>
      <x:c r="MW21" s="14" t="str">
        <x:v>20429</x:v>
      </x:c>
      <x:c r="MX21" s="14" t="n">
        <x:v>1</x:v>
      </x:c>
      <x:c r="MY21" s="14" t="n">
        <x:v>1673</x:v>
      </x:c>
      <x:c r="MZ21" s="14" t="n">
        <x:v>25</x:v>
      </x:c>
      <x:c r="NA21" s="14" t="n">
        <x:v>7</x:v>
      </x:c>
      <x:c r="NB21" s="14" t="n">
        <x:v>1</x:v>
      </x:c>
      <x:c r="NC21" s="14" t="str">
        <x:v>未收錄</x:v>
      </x:c>
      <x:c r="ND21" s="14" t="str">
        <x:v>20430</x:v>
      </x:c>
      <x:c r="NE21" s="14" t="n">
        <x:v>1</x:v>
      </x:c>
      <x:c r="NF21" s="14" t="n">
        <x:v>1674</x:v>
      </x:c>
      <x:c r="NG21" s="14" t="n">
        <x:v>26</x:v>
      </x:c>
      <x:c r="NH21" s="14" t="n">
        <x:v>7</x:v>
      </x:c>
      <x:c r="NI21" s="14" t="n">
        <x:v>2</x:v>
      </x:c>
      <x:c r="NJ21" s="14" t="str">
        <x:v>未收錄</x:v>
      </x:c>
      <x:c r="NK21" s="14" t="str">
        <x:v>20431</x:v>
      </x:c>
      <x:c r="NL21" s="14" t="n">
        <x:v>1</x:v>
      </x:c>
      <x:c r="NM21" s="14" t="n">
        <x:v>1675</x:v>
      </x:c>
      <x:c r="NN21" s="14" t="n">
        <x:v>27</x:v>
      </x:c>
      <x:c r="NO21" s="14" t="n">
        <x:v>7</x:v>
      </x:c>
      <x:c r="NP21" s="14" t="n">
        <x:v>3</x:v>
      </x:c>
      <x:c r="NQ21" s="14" t="str">
        <x:v>未收錄</x:v>
      </x:c>
      <x:c r="NR21" s="14" t="str">
        <x:v>20475</x:v>
      </x:c>
      <x:c r="NS21" s="14" t="n">
        <x:v>1</x:v>
      </x:c>
      <x:c r="NT21" s="14" t="n">
        <x:v>1676</x:v>
      </x:c>
      <x:c r="NU21" s="14" t="n">
        <x:v>28</x:v>
      </x:c>
      <x:c r="NV21" s="14" t="n">
        <x:v>7</x:v>
      </x:c>
      <x:c r="NW21" s="14" t="n">
        <x:v>4</x:v>
      </x:c>
      <x:c r="NX21" s="14" t="str">
        <x:v>未收錄</x:v>
      </x:c>
      <x:c r="NY21" s="14" t="str">
        <x:v>20420</x:v>
      </x:c>
      <x:c r="NZ21" s="14" t="n">
        <x:v>1</x:v>
      </x:c>
      <x:c r="OA21" s="14" t="n">
        <x:v>2126</x:v>
      </x:c>
      <x:c r="OB21" s="14" t="n">
        <x:v>25</x:v>
      </x:c>
      <x:c r="OC21" s="14" t="n">
        <x:v>7</x:v>
      </x:c>
      <x:c r="OD21" s="14" t="n">
        <x:v>1</x:v>
      </x:c>
      <x:c r="OE21" s="14" t="str">
        <x:v>未收錄</x:v>
      </x:c>
      <x:c r="OF21" s="14" t="str">
        <x:v>20421</x:v>
      </x:c>
      <x:c r="OG21" s="14" t="n">
        <x:v>1</x:v>
      </x:c>
      <x:c r="OH21" s="14" t="n">
        <x:v>2127</x:v>
      </x:c>
      <x:c r="OI21" s="14" t="n">
        <x:v>26</x:v>
      </x:c>
      <x:c r="OJ21" s="14" t="n">
        <x:v>7</x:v>
      </x:c>
      <x:c r="OK21" s="14" t="n">
        <x:v>2</x:v>
      </x:c>
      <x:c r="OL21" s="14" t="str">
        <x:v>未收錄</x:v>
      </x:c>
      <x:c r="OM21" s="14" t="str">
        <x:v>20422</x:v>
      </x:c>
      <x:c r="ON21" s="14" t="n">
        <x:v>1</x:v>
      </x:c>
      <x:c r="OO21" s="14" t="n">
        <x:v>2128</x:v>
      </x:c>
      <x:c r="OP21" s="14" t="n">
        <x:v>27</x:v>
      </x:c>
      <x:c r="OQ21" s="14" t="n">
        <x:v>7</x:v>
      </x:c>
      <x:c r="OR21" s="14" t="n">
        <x:v>3</x:v>
      </x:c>
      <x:c r="OS21" s="14" t="str">
        <x:v>未收錄</x:v>
      </x:c>
      <x:c r="OT21" s="14" t="str">
        <x:v>20423</x:v>
      </x:c>
      <x:c r="OU21" s="14" t="n">
        <x:v>1</x:v>
      </x:c>
      <x:c r="OV21" s="14" t="n">
        <x:v>2129</x:v>
      </x:c>
      <x:c r="OW21" s="14" t="n">
        <x:v>28</x:v>
      </x:c>
      <x:c r="OX21" s="14" t="n">
        <x:v>7</x:v>
      </x:c>
      <x:c r="OY21" s="14" t="n">
        <x:v>4</x:v>
      </x:c>
      <x:c r="OZ21" s="14" t="str">
        <x:v>未收錄</x:v>
      </x:c>
      <x:c r="PA21" s="14" t="str">
        <x:v>21246</x:v>
      </x:c>
      <x:c r="PB21" s="14" t="n">
        <x:v>1</x:v>
      </x:c>
      <x:c r="PC21" s="14" t="n">
        <x:v>2672</x:v>
      </x:c>
      <x:c r="PD21" s="14" t="n">
        <x:v>25</x:v>
      </x:c>
      <x:c r="PE21" s="14" t="n">
        <x:v>7</x:v>
      </x:c>
      <x:c r="PF21" s="14" t="n">
        <x:v>1</x:v>
      </x:c>
      <x:c r="PG21" s="14" t="str">
        <x:v>未收錄</x:v>
      </x:c>
      <x:c r="PH21" s="14" t="str">
        <x:v>21247</x:v>
      </x:c>
      <x:c r="PI21" s="14" t="n">
        <x:v>1</x:v>
      </x:c>
      <x:c r="PJ21" s="14" t="n">
        <x:v>2673</x:v>
      </x:c>
      <x:c r="PK21" s="14" t="n">
        <x:v>26</x:v>
      </x:c>
      <x:c r="PL21" s="14" t="n">
        <x:v>7</x:v>
      </x:c>
      <x:c r="PM21" s="14" t="n">
        <x:v>2</x:v>
      </x:c>
      <x:c r="PN21" s="14" t="str">
        <x:v>未收錄</x:v>
      </x:c>
      <x:c r="PO21" s="14" t="str">
        <x:v>21248</x:v>
      </x:c>
      <x:c r="PP21" s="14" t="n">
        <x:v>1</x:v>
      </x:c>
      <x:c r="PQ21" s="14" t="n">
        <x:v>2674</x:v>
      </x:c>
      <x:c r="PR21" s="14" t="n">
        <x:v>27</x:v>
      </x:c>
      <x:c r="PS21" s="14" t="n">
        <x:v>7</x:v>
      </x:c>
      <x:c r="PT21" s="14" t="n">
        <x:v>3</x:v>
      </x:c>
      <x:c r="PU21" s="14" t="str">
        <x:v>未收錄</x:v>
      </x:c>
      <x:c r="PV21" s="14" t="str">
        <x:v>21249</x:v>
      </x:c>
      <x:c r="PW21" s="14" t="n">
        <x:v>1</x:v>
      </x:c>
      <x:c r="PX21" s="14" t="n">
        <x:v>2675</x:v>
      </x:c>
      <x:c r="PY21" s="14" t="n">
        <x:v>28</x:v>
      </x:c>
      <x:c r="PZ21" s="14" t="n">
        <x:v>7</x:v>
      </x:c>
      <x:c r="QA21" s="14" t="n">
        <x:v>4</x:v>
      </x:c>
      <x:c r="QB21" s="14" t="str">
        <x:v>未收錄</x:v>
      </x:c>
      <x:c r="QC21" s="14" t="str">
        <x:v>21147</x:v>
      </x:c>
      <x:c r="QD21" s="14" t="n">
        <x:v>1</x:v>
      </x:c>
      <x:c r="QE21" s="14" t="n">
        <x:v>3109</x:v>
      </x:c>
      <x:c r="QF21" s="14" t="n">
        <x:v>25</x:v>
      </x:c>
      <x:c r="QG21" s="14" t="n">
        <x:v>7</x:v>
      </x:c>
      <x:c r="QH21" s="14" t="n">
        <x:v>1</x:v>
      </x:c>
      <x:c r="QI21" s="14" t="str">
        <x:v>未收錄</x:v>
      </x:c>
      <x:c r="QJ21" s="14" t="str">
        <x:v>21148</x:v>
      </x:c>
      <x:c r="QK21" s="14" t="n">
        <x:v>1</x:v>
      </x:c>
      <x:c r="QL21" s="14" t="n">
        <x:v>3110</x:v>
      </x:c>
      <x:c r="QM21" s="14" t="n">
        <x:v>26</x:v>
      </x:c>
      <x:c r="QN21" s="14" t="n">
        <x:v>7</x:v>
      </x:c>
      <x:c r="QO21" s="14" t="n">
        <x:v>2</x:v>
      </x:c>
      <x:c r="QP21" s="14" t="str">
        <x:v>未收錄</x:v>
      </x:c>
      <x:c r="QQ21" s="14" t="str">
        <x:v>21149</x:v>
      </x:c>
      <x:c r="QR21" s="14" t="n">
        <x:v>1</x:v>
      </x:c>
      <x:c r="QS21" s="14" t="n">
        <x:v>3111</x:v>
      </x:c>
      <x:c r="QT21" s="14" t="n">
        <x:v>27</x:v>
      </x:c>
      <x:c r="QU21" s="14" t="n">
        <x:v>7</x:v>
      </x:c>
      <x:c r="QV21" s="14" t="n">
        <x:v>3</x:v>
      </x:c>
      <x:c r="QW21" s="14" t="str">
        <x:v>未收錄</x:v>
      </x:c>
      <x:c r="QX21" s="14" t="str">
        <x:v>21150</x:v>
      </x:c>
      <x:c r="QY21" s="14" t="n">
        <x:v>1</x:v>
      </x:c>
      <x:c r="QZ21" s="14" t="n">
        <x:v>3112</x:v>
      </x:c>
      <x:c r="RA21" s="14" t="n">
        <x:v>28</x:v>
      </x:c>
      <x:c r="RB21" s="14" t="n">
        <x:v>7</x:v>
      </x:c>
      <x:c r="RC21" s="14" t="n">
        <x:v>4</x:v>
      </x:c>
      <x:c r="RD21" s="14" t="str">
        <x:v>未收錄</x:v>
      </x:c>
      <x:c r="RE21" s="14" t="str">
        <x:v>30557</x:v>
      </x:c>
      <x:c r="RF21" s="14" t="n">
        <x:v>2</x:v>
      </x:c>
      <x:c r="RG21" s="14" t="n">
        <x:v>3570</x:v>
      </x:c>
      <x:c r="RH21" s="14" t="n">
        <x:v>25</x:v>
      </x:c>
      <x:c r="RI21" s="14" t="n">
        <x:v>7</x:v>
      </x:c>
      <x:c r="RJ21" s="14" t="n">
        <x:v>1</x:v>
      </x:c>
      <x:c r="RK21" s="14" t="str">
        <x:v>未收錄</x:v>
      </x:c>
      <x:c r="RL21" s="14" t="str">
        <x:v>20450</x:v>
      </x:c>
      <x:c r="RM21" s="14" t="n">
        <x:v>3</x:v>
      </x:c>
      <x:c r="RN21" s="14" t="n">
        <x:v>3571</x:v>
      </x:c>
      <x:c r="RO21" s="14" t="n">
        <x:v>26</x:v>
      </x:c>
      <x:c r="RP21" s="14" t="n">
        <x:v>7</x:v>
      </x:c>
      <x:c r="RQ21" s="14" t="n">
        <x:v>2</x:v>
      </x:c>
      <x:c r="RR21" s="14" t="str">
        <x:v>未收錄</x:v>
      </x:c>
      <x:c r="RS21" s="14" t="str">
        <x:v>20452</x:v>
      </x:c>
      <x:c r="RT21" s="14" t="n">
        <x:v>3</x:v>
      </x:c>
      <x:c r="RU21" s="14" t="n">
        <x:v>3572</x:v>
      </x:c>
      <x:c r="RV21" s="14" t="n">
        <x:v>27</x:v>
      </x:c>
      <x:c r="RW21" s="14" t="n">
        <x:v>7</x:v>
      </x:c>
      <x:c r="RX21" s="14" t="n">
        <x:v>3</x:v>
      </x:c>
      <x:c r="RY21" s="14" t="str">
        <x:v>未收錄</x:v>
      </x:c>
      <x:c r="RZ21" s="14" t="str">
        <x:v>20453</x:v>
      </x:c>
      <x:c r="SA21" s="14" t="n">
        <x:v>3</x:v>
      </x:c>
      <x:c r="SB21" s="14" t="n">
        <x:v>3573</x:v>
      </x:c>
      <x:c r="SC21" s="14" t="n">
        <x:v>28</x:v>
      </x:c>
      <x:c r="SD21" s="14" t="n">
        <x:v>7</x:v>
      </x:c>
      <x:c r="SE21" s="14" t="n">
        <x:v>4</x:v>
      </x:c>
      <x:c r="SF21" s="14" t="str">
        <x:v>未收錄</x:v>
      </x:c>
      <x:c r="SG21" s="14" t="str">
        <x:v>29709</x:v>
      </x:c>
      <x:c r="SH21" s="14" t="n">
        <x:v>5</x:v>
      </x:c>
      <x:c r="SI21" s="14" t="n">
        <x:v>3994</x:v>
      </x:c>
      <x:c r="SJ21" s="14" t="n">
        <x:v>25</x:v>
      </x:c>
      <x:c r="SK21" s="14" t="n">
        <x:v>7</x:v>
      </x:c>
      <x:c r="SL21" s="14" t="n">
        <x:v>1</x:v>
      </x:c>
      <x:c r="SM21" s="14" t="str">
        <x:v>未收錄</x:v>
      </x:c>
      <x:c r="SN21" s="14" t="str">
        <x:v>29710</x:v>
      </x:c>
      <x:c r="SO21" s="14" t="n">
        <x:v>5</x:v>
      </x:c>
      <x:c r="SP21" s="14" t="n">
        <x:v>3995</x:v>
      </x:c>
      <x:c r="SQ21" s="14" t="n">
        <x:v>26</x:v>
      </x:c>
      <x:c r="SR21" s="14" t="n">
        <x:v>7</x:v>
      </x:c>
      <x:c r="SS21" s="14" t="n">
        <x:v>2</x:v>
      </x:c>
      <x:c r="ST21" s="14" t="str">
        <x:v>未收錄</x:v>
      </x:c>
      <x:c r="SU21" s="14" t="str">
        <x:v>29711</x:v>
      </x:c>
      <x:c r="SV21" s="14" t="n">
        <x:v>5</x:v>
      </x:c>
      <x:c r="SW21" s="14" t="n">
        <x:v>3996</x:v>
      </x:c>
      <x:c r="SX21" s="14" t="n">
        <x:v>27</x:v>
      </x:c>
      <x:c r="SY21" s="14" t="n">
        <x:v>7</x:v>
      </x:c>
      <x:c r="SZ21" s="14" t="n">
        <x:v>3</x:v>
      </x:c>
      <x:c r="TA21" s="14" t="str">
        <x:v>未收錄</x:v>
      </x:c>
      <x:c r="TB21" s="14" t="str">
        <x:v>29712</x:v>
      </x:c>
      <x:c r="TC21" s="14" t="n">
        <x:v>5</x:v>
      </x:c>
      <x:c r="TD21" s="14" t="n">
        <x:v>3997</x:v>
      </x:c>
      <x:c r="TE21" s="14" t="n">
        <x:v>28</x:v>
      </x:c>
      <x:c r="TF21" s="14" t="n">
        <x:v>7</x:v>
      </x:c>
      <x:c r="TG21" s="14" t="n">
        <x:v>4</x:v>
      </x:c>
      <x:c r="TH21" s="14" t="str">
        <x:v>未收錄</x:v>
      </x:c>
    </x:row>
    <x:row r="22" ht="15" customHeight="1">
      <x:c r="A22" s="18" t="str">
        <x:v>侏紋冰劍</x:v>
      </x:c>
      <x:c r="B22" s="18" t="str">
        <x:v>侏紋火劍</x:v>
      </x:c>
      <x:c r="C22" s="18" t="str">
        <x:v>侏紋雷劍</x:v>
      </x:c>
      <x:c r="D22" s="18" t="str">
        <x:v>侏紋冥劍</x:v>
      </x:c>
      <x:c r="E22" s="14"/>
      <x:c r="F22" s="18" t="str">
        <x:v>斬象刀</x:v>
      </x:c>
      <x:c r="G22" s="18" t="str">
        <x:v>艾克斯加利巴</x:v>
      </x:c>
      <x:c r="H22" s="18" t="str">
        <x:v>機關破壞刀</x:v>
      </x:c>
      <x:c r="I22" s="18" t="str">
        <x:v>晶石刀</x:v>
      </x:c>
      <x:c r="J22" s="14"/>
      <x:c r="K22" s="18" t="str">
        <x:v>凶亡天殛魔錐</x:v>
      </x:c>
      <x:c r="L22" s="18" t="str">
        <x:v>惡斬天殛魔錐</x:v>
      </x:c>
      <x:c r="M22" s="18" t="str">
        <x:v>獸殺天殛魔錐</x:v>
      </x:c>
      <x:c r="N22" s="18" t="str">
        <x:v>血燕鈸</x:v>
      </x:c>
      <x:c r="O22" s="14"/>
      <x:c r="P22" s="18" t="str">
        <x:v>玄陰拂塵</x:v>
      </x:c>
      <x:c r="Q22" s="18" t="str">
        <x:v>絕世玄陰拂塵</x:v>
      </x:c>
      <x:c r="R22" s="18" t="str">
        <x:v>朱雀拂塵</x:v>
      </x:c>
      <x:c r="S22" s="18" t="str">
        <x:v>祭天拂塵</x:v>
      </x:c>
      <x:c r="T22" s="14"/>
      <x:c r="U22" s="18" t="str">
        <x:v>丹陽禪杖</x:v>
      </x:c>
      <x:c r="V22" s="18" t="str">
        <x:v>護心禪杖</x:v>
      </x:c>
      <x:c r="W22" s="18" t="str">
        <x:v>慈航法杖</x:v>
      </x:c>
      <x:c r="X22" s="18" t="str">
        <x:v>願渡法杖</x:v>
      </x:c>
      <x:c r="Y22" s="14"/>
      <x:c r="Z22" s="18" t="str">
        <x:v>獵豬長戟</x:v>
      </x:c>
      <x:c r="AA22" s="18" t="str">
        <x:v>無銘雙叉槍</x:v>
      </x:c>
      <x:c r="AB22" s="18" t="str">
        <x:v>皇衛龍槍</x:v>
      </x:c>
      <x:c r="AC22" s="18" t="str">
        <x:v>晶石戰戟</x:v>
      </x:c>
      <x:c r="AD22" s="14"/>
      <x:c r="AE22" s="18" t="str">
        <x:v>鼠棍</x:v>
      </x:c>
      <x:c r="AF22" s="18" t="str">
        <x:v>寒陰棍</x:v>
      </x:c>
      <x:c r="AG22" s="18" t="str">
        <x:v>焚陽棍</x:v>
      </x:c>
      <x:c r="AH22" s="18" t="str">
        <x:v>雷門棍</x:v>
      </x:c>
      <x:c r="AI22" s="14"/>
      <x:c r="AJ22" s="18" t="str">
        <x:v>赤震錘</x:v>
      </x:c>
      <x:c r="AK22" s="18" t="str">
        <x:v>赤震鋼錘</x:v>
      </x:c>
      <x:c r="AL22" s="18" t="str">
        <x:v>巨人錘</x:v>
      </x:c>
      <x:c r="AM22" s="18" t="str">
        <x:v>力震錘</x:v>
      </x:c>
      <x:c r="AN22" s="14"/>
      <x:c r="AO22" s="18" t="str">
        <x:v>鳳頭斧</x:v>
      </x:c>
      <x:c r="AP22" s="18" t="str">
        <x:v>虎形斧</x:v>
      </x:c>
      <x:c r="AQ22" s="18" t="str">
        <x:v>獵頭斧</x:v>
      </x:c>
      <x:c r="AR22" s="18" t="str">
        <x:v>赤刃斧</x:v>
      </x:c>
      <x:c r="AS22" s="14"/>
      <x:c r="AT22" s="18" t="str">
        <x:v>無影盾</x:v>
      </x:c>
      <x:c r="AU22" s="18" t="str">
        <x:v>封神盾</x:v>
      </x:c>
      <x:c r="AV22" s="18" t="str">
        <x:v>紀狩盾</x:v>
      </x:c>
      <x:c r="AW22" s="18" t="str">
        <x:v>磐藏盾</x:v>
      </x:c>
      <x:c r="AX22" s="14"/>
      <x:c r="AY22" s="18" t="str">
        <x:v>銀縷道冠</x:v>
      </x:c>
      <x:c r="AZ22" s="18" t="str">
        <x:v>怨靈頭箍</x:v>
      </x:c>
      <x:c r="BA22" s="18" t="str">
        <x:v>山犬帽</x:v>
      </x:c>
      <x:c r="BB22" s="18" t="str">
        <x:v>惡狼皮帽</x:v>
      </x:c>
      <x:c r="BC22" s="14"/>
      <x:c r="BD22" s="18" t="str">
        <x:v>銀縷禪衣</x:v>
      </x:c>
      <x:c r="BE22" s="18" t="str">
        <x:v>銀縷道袍</x:v>
      </x:c>
      <x:c r="BF22" s="18" t="str">
        <x:v>山犬背心</x:v>
      </x:c>
      <x:c r="BG22" s="18" t="str">
        <x:v>惡狼皮襖</x:v>
      </x:c>
      <x:c r="BH22" s="14"/>
      <x:c r="BI22" s="18" t="str">
        <x:v>赤鐵護腕</x:v>
      </x:c>
      <x:c r="BJ22" s="18" t="str">
        <x:v>木靈護腕</x:v>
      </x:c>
      <x:c r="BK22" s="18" t="str">
        <x:v>墨鐵護腕</x:v>
      </x:c>
      <x:c r="BL22" s="18" t="str">
        <x:v>雪銀護腕</x:v>
      </x:c>
      <x:c r="BM22" s="14"/>
      <x:c r="BN22" s="18" t="str">
        <x:v>仙靈鞋</x:v>
      </x:c>
      <x:c r="BO22" s="18" t="str">
        <x:v>墨鐵戰靴</x:v>
      </x:c>
      <x:c r="BP22" s="18" t="str">
        <x:v>雪銀戰靴</x:v>
      </x:c>
      <x:c r="BQ22" s="18" t="str">
        <x:v>追風靴</x:v>
      </x:c>
      <x:c r="BR22" s="14"/>
      <x:c r="BS22" s="18" t="str">
        <x:v>抗冥護符</x:v>
      </x:c>
      <x:c r="BT22" s="18" t="str">
        <x:v>體魄佛珠</x:v>
      </x:c>
      <x:c r="BU22" s="18" t="str">
        <x:v>力量佛珠</x:v>
      </x:c>
      <x:c r="BV22" s="18" t="str">
        <x:v>智力佛珠</x:v>
      </x:c>
      <x:c r="BW22" s="14"/>
      <x:c r="BX22" s="18" t="str">
        <x:v>離火仙太極</x:v>
      </x:c>
      <x:c r="BY22" s="18" t="str">
        <x:v>艮山仙太極</x:v>
      </x:c>
      <x:c r="BZ22" s="18" t="str">
        <x:v>兌澤仙太極</x:v>
      </x:c>
      <x:c r="CA22" s="18" t="str">
        <x:v>巽風仙太極</x:v>
      </x:c>
      <x:c r="CB22" s="14"/>
      <x:c r="CC22" s="14" t="str">
        <x:v>21916</x:v>
      </x:c>
      <x:c r="CD22" s="14" t="n">
        <x:v>1</x:v>
      </x:c>
      <x:c r="CE22" s="14" t="n">
        <x:v>29</x:v>
      </x:c>
      <x:c r="CF22" s="14" t="n">
        <x:v>29</x:v>
      </x:c>
      <x:c r="CG22" s="14" t="n">
        <x:v>8</x:v>
      </x:c>
      <x:c r="CH22" s="14" t="n">
        <x:v>1</x:v>
      </x:c>
      <x:c r="CI22" s="14" t="str">
        <x:v>未收錄</x:v>
      </x:c>
      <x:c r="CJ22" s="14" t="str">
        <x:v>21917</x:v>
      </x:c>
      <x:c r="CK22" s="14" t="n">
        <x:v>1</x:v>
      </x:c>
      <x:c r="CL22" s="14" t="n">
        <x:v>30</x:v>
      </x:c>
      <x:c r="CM22" s="14" t="n">
        <x:v>30</x:v>
      </x:c>
      <x:c r="CN22" s="14" t="n">
        <x:v>8</x:v>
      </x:c>
      <x:c r="CO22" s="14" t="n">
        <x:v>2</x:v>
      </x:c>
      <x:c r="CP22" s="14" t="str">
        <x:v>未收錄</x:v>
      </x:c>
      <x:c r="CQ22" s="14" t="str">
        <x:v>21918</x:v>
      </x:c>
      <x:c r="CR22" s="14" t="n">
        <x:v>1</x:v>
      </x:c>
      <x:c r="CS22" s="14" t="n">
        <x:v>31</x:v>
      </x:c>
      <x:c r="CT22" s="14" t="n">
        <x:v>31</x:v>
      </x:c>
      <x:c r="CU22" s="14" t="n">
        <x:v>8</x:v>
      </x:c>
      <x:c r="CV22" s="14" t="n">
        <x:v>3</x:v>
      </x:c>
      <x:c r="CW22" s="14" t="str">
        <x:v>未收錄</x:v>
      </x:c>
      <x:c r="CX22" s="14" t="str">
        <x:v>21919</x:v>
      </x:c>
      <x:c r="CY22" s="14" t="n">
        <x:v>1</x:v>
      </x:c>
      <x:c r="CZ22" s="14" t="n">
        <x:v>32</x:v>
      </x:c>
      <x:c r="DA22" s="14" t="n">
        <x:v>32</x:v>
      </x:c>
      <x:c r="DB22" s="14" t="n">
        <x:v>8</x:v>
      </x:c>
      <x:c r="DC22" s="14" t="n">
        <x:v>4</x:v>
      </x:c>
      <x:c r="DD22" s="14" t="str">
        <x:v>未收錄</x:v>
      </x:c>
      <x:c r="DE22" s="14" t="str">
        <x:v>23261</x:v>
      </x:c>
      <x:c r="DF22" s="14" t="n">
        <x:v>2</x:v>
      </x:c>
      <x:c r="DG22" s="14" t="n">
        <x:v>274</x:v>
      </x:c>
      <x:c r="DH22" s="14" t="n">
        <x:v>29</x:v>
      </x:c>
      <x:c r="DI22" s="14" t="n">
        <x:v>8</x:v>
      </x:c>
      <x:c r="DJ22" s="14" t="n">
        <x:v>1</x:v>
      </x:c>
      <x:c r="DK22" s="14" t="str">
        <x:v>未收錄</x:v>
      </x:c>
      <x:c r="DL22" s="14" t="str">
        <x:v>26225</x:v>
      </x:c>
      <x:c r="DM22" s="14" t="n">
        <x:v>2</x:v>
      </x:c>
      <x:c r="DN22" s="14" t="n">
        <x:v>275</x:v>
      </x:c>
      <x:c r="DO22" s="14" t="n">
        <x:v>30</x:v>
      </x:c>
      <x:c r="DP22" s="14" t="n">
        <x:v>8</x:v>
      </x:c>
      <x:c r="DQ22" s="14" t="n">
        <x:v>2</x:v>
      </x:c>
      <x:c r="DR22" s="14" t="str">
        <x:v>未收錄</x:v>
      </x:c>
      <x:c r="DS22" s="14" t="str">
        <x:v>30564</x:v>
      </x:c>
      <x:c r="DT22" s="14" t="n">
        <x:v>2</x:v>
      </x:c>
      <x:c r="DU22" s="14" t="n">
        <x:v>276</x:v>
      </x:c>
      <x:c r="DV22" s="14" t="n">
        <x:v>31</x:v>
      </x:c>
      <x:c r="DW22" s="14" t="n">
        <x:v>8</x:v>
      </x:c>
      <x:c r="DX22" s="14" t="n">
        <x:v>3</x:v>
      </x:c>
      <x:c r="DY22" s="14" t="str">
        <x:v>未收錄</x:v>
      </x:c>
      <x:c r="DZ22" s="14" t="str">
        <x:v>21045</x:v>
      </x:c>
      <x:c r="EA22" s="14" t="n">
        <x:v>3</x:v>
      </x:c>
      <x:c r="EB22" s="14" t="n">
        <x:v>277</x:v>
      </x:c>
      <x:c r="EC22" s="14" t="n">
        <x:v>32</x:v>
      </x:c>
      <x:c r="ED22" s="14" t="n">
        <x:v>8</x:v>
      </x:c>
      <x:c r="EE22" s="14" t="n">
        <x:v>4</x:v>
      </x:c>
      <x:c r="EF22" s="14" t="str">
        <x:v>未收錄</x:v>
      </x:c>
      <x:c r="EG22" s="14" t="str">
        <x:v>23925</x:v>
      </x:c>
      <x:c r="EH22" s="14" t="n">
        <x:v>8</x:v>
      </x:c>
      <x:c r="EI22" s="14" t="n">
        <x:v>510</x:v>
      </x:c>
      <x:c r="EJ22" s="14" t="n">
        <x:v>29</x:v>
      </x:c>
      <x:c r="EK22" s="14" t="n">
        <x:v>8</x:v>
      </x:c>
      <x:c r="EL22" s="14" t="n">
        <x:v>1</x:v>
      </x:c>
      <x:c r="EM22" s="14" t="str">
        <x:v>未收錄</x:v>
      </x:c>
      <x:c r="EN22" s="14" t="str">
        <x:v>23926</x:v>
      </x:c>
      <x:c r="EO22" s="14" t="n">
        <x:v>8</x:v>
      </x:c>
      <x:c r="EP22" s="14" t="n">
        <x:v>511</x:v>
      </x:c>
      <x:c r="EQ22" s="14" t="n">
        <x:v>30</x:v>
      </x:c>
      <x:c r="ER22" s="14" t="n">
        <x:v>8</x:v>
      </x:c>
      <x:c r="ES22" s="14" t="n">
        <x:v>2</x:v>
      </x:c>
      <x:c r="ET22" s="14" t="str">
        <x:v>未收錄</x:v>
      </x:c>
      <x:c r="EU22" s="14" t="str">
        <x:v>23927</x:v>
      </x:c>
      <x:c r="EV22" s="14" t="n">
        <x:v>8</x:v>
      </x:c>
      <x:c r="EW22" s="14" t="n">
        <x:v>512</x:v>
      </x:c>
      <x:c r="EX22" s="14" t="n">
        <x:v>31</x:v>
      </x:c>
      <x:c r="EY22" s="14" t="n">
        <x:v>8</x:v>
      </x:c>
      <x:c r="EZ22" s="14" t="n">
        <x:v>3</x:v>
      </x:c>
      <x:c r="FA22" s="14" t="str">
        <x:v>未收錄</x:v>
      </x:c>
      <x:c r="FB22" s="14" t="str">
        <x:v>24068</x:v>
      </x:c>
      <x:c r="FC22" s="14" t="n">
        <x:v>8</x:v>
      </x:c>
      <x:c r="FD22" s="14" t="n">
        <x:v>513</x:v>
      </x:c>
      <x:c r="FE22" s="14" t="n">
        <x:v>32</x:v>
      </x:c>
      <x:c r="FF22" s="14" t="n">
        <x:v>8</x:v>
      </x:c>
      <x:c r="FG22" s="14" t="n">
        <x:v>4</x:v>
      </x:c>
      <x:c r="FH22" s="14" t="str">
        <x:v>未收錄</x:v>
      </x:c>
      <x:c r="FI22" s="14" t="str">
        <x:v>20934</x:v>
      </x:c>
      <x:c r="FJ22" s="14" t="n">
        <x:v>8</x:v>
      </x:c>
      <x:c r="FK22" s="14" t="n">
        <x:v>660</x:v>
      </x:c>
      <x:c r="FL22" s="14" t="n">
        <x:v>29</x:v>
      </x:c>
      <x:c r="FM22" s="14" t="n">
        <x:v>8</x:v>
      </x:c>
      <x:c r="FN22" s="14" t="n">
        <x:v>1</x:v>
      </x:c>
      <x:c r="FO22" s="14" t="str">
        <x:v>未收錄</x:v>
      </x:c>
      <x:c r="FP22" s="14" t="str">
        <x:v>22380</x:v>
      </x:c>
      <x:c r="FQ22" s="14" t="n">
        <x:v>8</x:v>
      </x:c>
      <x:c r="FR22" s="14" t="n">
        <x:v>661</x:v>
      </x:c>
      <x:c r="FS22" s="14" t="n">
        <x:v>30</x:v>
      </x:c>
      <x:c r="FT22" s="14" t="n">
        <x:v>8</x:v>
      </x:c>
      <x:c r="FU22" s="14" t="n">
        <x:v>2</x:v>
      </x:c>
      <x:c r="FV22" s="14" t="str">
        <x:v>未收錄</x:v>
      </x:c>
      <x:c r="FW22" s="14" t="str">
        <x:v>21095</x:v>
      </x:c>
      <x:c r="FX22" s="14" t="n">
        <x:v>8</x:v>
      </x:c>
      <x:c r="FY22" s="14" t="n">
        <x:v>662</x:v>
      </x:c>
      <x:c r="FZ22" s="14" t="n">
        <x:v>31</x:v>
      </x:c>
      <x:c r="GA22" s="14" t="n">
        <x:v>8</x:v>
      </x:c>
      <x:c r="GB22" s="14" t="n">
        <x:v>3</x:v>
      </x:c>
      <x:c r="GC22" s="14" t="str">
        <x:v>未收錄</x:v>
      </x:c>
      <x:c r="GD22" s="14" t="str">
        <x:v>21096</x:v>
      </x:c>
      <x:c r="GE22" s="14" t="n">
        <x:v>8</x:v>
      </x:c>
      <x:c r="GF22" s="14" t="n">
        <x:v>663</x:v>
      </x:c>
      <x:c r="GG22" s="14" t="n">
        <x:v>32</x:v>
      </x:c>
      <x:c r="GH22" s="14" t="n">
        <x:v>8</x:v>
      </x:c>
      <x:c r="GI22" s="14" t="n">
        <x:v>4</x:v>
      </x:c>
      <x:c r="GJ22" s="14" t="str">
        <x:v>未收錄</x:v>
      </x:c>
      <x:c r="GK22" s="14" t="str">
        <x:v>21129</x:v>
      </x:c>
      <x:c r="GL22" s="14" t="n">
        <x:v>8</x:v>
      </x:c>
      <x:c r="GM22" s="14" t="n">
        <x:v>832</x:v>
      </x:c>
      <x:c r="GN22" s="14" t="n">
        <x:v>29</x:v>
      </x:c>
      <x:c r="GO22" s="14" t="n">
        <x:v>8</x:v>
      </x:c>
      <x:c r="GP22" s="14" t="n">
        <x:v>1</x:v>
      </x:c>
      <x:c r="GQ22" s="14" t="str">
        <x:v>未收錄</x:v>
      </x:c>
      <x:c r="GR22" s="14" t="str">
        <x:v>21130</x:v>
      </x:c>
      <x:c r="GS22" s="14" t="n">
        <x:v>8</x:v>
      </x:c>
      <x:c r="GT22" s="14" t="n">
        <x:v>833</x:v>
      </x:c>
      <x:c r="GU22" s="14" t="n">
        <x:v>30</x:v>
      </x:c>
      <x:c r="GV22" s="14" t="n">
        <x:v>8</x:v>
      </x:c>
      <x:c r="GW22" s="14" t="n">
        <x:v>2</x:v>
      </x:c>
      <x:c r="GX22" s="14" t="str">
        <x:v>未收錄</x:v>
      </x:c>
      <x:c r="GY22" s="14" t="str">
        <x:v>21131</x:v>
      </x:c>
      <x:c r="GZ22" s="14" t="n">
        <x:v>8</x:v>
      </x:c>
      <x:c r="HA22" s="14" t="n">
        <x:v>834</x:v>
      </x:c>
      <x:c r="HB22" s="14" t="n">
        <x:v>31</x:v>
      </x:c>
      <x:c r="HC22" s="14" t="n">
        <x:v>8</x:v>
      </x:c>
      <x:c r="HD22" s="14" t="n">
        <x:v>3</x:v>
      </x:c>
      <x:c r="HE22" s="14" t="str">
        <x:v>未收錄</x:v>
      </x:c>
      <x:c r="HF22" s="14" t="str">
        <x:v>21132</x:v>
      </x:c>
      <x:c r="HG22" s="14" t="n">
        <x:v>8</x:v>
      </x:c>
      <x:c r="HH22" s="14" t="n">
        <x:v>835</x:v>
      </x:c>
      <x:c r="HI22" s="14" t="n">
        <x:v>32</x:v>
      </x:c>
      <x:c r="HJ22" s="14" t="n">
        <x:v>8</x:v>
      </x:c>
      <x:c r="HK22" s="14" t="n">
        <x:v>4</x:v>
      </x:c>
      <x:c r="HL22" s="14" t="str">
        <x:v>未收錄</x:v>
      </x:c>
      <x:c r="HM22" s="14" t="str">
        <x:v>21564</x:v>
      </x:c>
      <x:c r="HN22" s="14" t="n">
        <x:v>2</x:v>
      </x:c>
      <x:c r="HO22" s="14" t="n">
        <x:v>1005</x:v>
      </x:c>
      <x:c r="HP22" s="14" t="n">
        <x:v>29</x:v>
      </x:c>
      <x:c r="HQ22" s="14" t="n">
        <x:v>8</x:v>
      </x:c>
      <x:c r="HR22" s="14" t="n">
        <x:v>1</x:v>
      </x:c>
      <x:c r="HS22" s="14" t="str">
        <x:v>未收錄</x:v>
      </x:c>
      <x:c r="HT22" s="14" t="str">
        <x:v>22698</x:v>
      </x:c>
      <x:c r="HU22" s="14" t="n">
        <x:v>2</x:v>
      </x:c>
      <x:c r="HV22" s="14" t="n">
        <x:v>1006</x:v>
      </x:c>
      <x:c r="HW22" s="14" t="n">
        <x:v>30</x:v>
      </x:c>
      <x:c r="HX22" s="14" t="n">
        <x:v>8</x:v>
      </x:c>
      <x:c r="HY22" s="14" t="n">
        <x:v>2</x:v>
      </x:c>
      <x:c r="HZ22" s="14" t="str">
        <x:v>未收錄</x:v>
      </x:c>
      <x:c r="IA22" s="14" t="str">
        <x:v>29858</x:v>
      </x:c>
      <x:c r="IB22" s="14" t="n">
        <x:v>2</x:v>
      </x:c>
      <x:c r="IC22" s="14" t="n">
        <x:v>1007</x:v>
      </x:c>
      <x:c r="ID22" s="14" t="n">
        <x:v>31</x:v>
      </x:c>
      <x:c r="IE22" s="14" t="n">
        <x:v>8</x:v>
      </x:c>
      <x:c r="IF22" s="14" t="n">
        <x:v>3</x:v>
      </x:c>
      <x:c r="IG22" s="14" t="str">
        <x:v>未收錄</x:v>
      </x:c>
      <x:c r="IH22" s="14" t="str">
        <x:v>21049</x:v>
      </x:c>
      <x:c r="II22" s="14" t="n">
        <x:v>3</x:v>
      </x:c>
      <x:c r="IJ22" s="14" t="n">
        <x:v>1008</x:v>
      </x:c>
      <x:c r="IK22" s="14" t="n">
        <x:v>32</x:v>
      </x:c>
      <x:c r="IL22" s="14" t="n">
        <x:v>8</x:v>
      </x:c>
      <x:c r="IM22" s="14" t="n">
        <x:v>4</x:v>
      </x:c>
      <x:c r="IN22" s="14" t="str">
        <x:v>未收錄</x:v>
      </x:c>
      <x:c r="IO22" s="14" t="str">
        <x:v>21566</x:v>
      </x:c>
      <x:c r="IP22" s="14" t="n">
        <x:v>3</x:v>
      </x:c>
      <x:c r="IQ22" s="14" t="n">
        <x:v>1173</x:v>
      </x:c>
      <x:c r="IR22" s="14" t="n">
        <x:v>29</x:v>
      </x:c>
      <x:c r="IS22" s="14" t="n">
        <x:v>8</x:v>
      </x:c>
      <x:c r="IT22" s="14" t="n">
        <x:v>1</x:v>
      </x:c>
      <x:c r="IU22" s="14" t="str">
        <x:v>未收錄</x:v>
      </x:c>
      <x:c r="IV22" s="14" t="str">
        <x:v>20791</x:v>
      </x:c>
      <x:c r="IW22" s="14" t="n">
        <x:v>8</x:v>
      </x:c>
      <x:c r="IX22" s="14" t="n">
        <x:v>1174</x:v>
      </x:c>
      <x:c r="IY22" s="14" t="n">
        <x:v>30</x:v>
      </x:c>
      <x:c r="IZ22" s="14" t="n">
        <x:v>8</x:v>
      </x:c>
      <x:c r="JA22" s="14" t="n">
        <x:v>2</x:v>
      </x:c>
      <x:c r="JB22" s="14" t="str">
        <x:v>未收錄</x:v>
      </x:c>
      <x:c r="JC22" s="14" t="str">
        <x:v>20792</x:v>
      </x:c>
      <x:c r="JD22" s="14" t="n">
        <x:v>8</x:v>
      </x:c>
      <x:c r="JE22" s="14" t="n">
        <x:v>1175</x:v>
      </x:c>
      <x:c r="JF22" s="14" t="n">
        <x:v>31</x:v>
      </x:c>
      <x:c r="JG22" s="14" t="n">
        <x:v>8</x:v>
      </x:c>
      <x:c r="JH22" s="14" t="n">
        <x:v>3</x:v>
      </x:c>
      <x:c r="JI22" s="14" t="str">
        <x:v>未收錄</x:v>
      </x:c>
      <x:c r="JJ22" s="14" t="str">
        <x:v>20793</x:v>
      </x:c>
      <x:c r="JK22" s="14" t="n">
        <x:v>8</x:v>
      </x:c>
      <x:c r="JL22" s="14" t="n">
        <x:v>1176</x:v>
      </x:c>
      <x:c r="JM22" s="14" t="n">
        <x:v>32</x:v>
      </x:c>
      <x:c r="JN22" s="14" t="n">
        <x:v>8</x:v>
      </x:c>
      <x:c r="JO22" s="14" t="n">
        <x:v>4</x:v>
      </x:c>
      <x:c r="JP22" s="14" t="str">
        <x:v>未收錄</x:v>
      </x:c>
      <x:c r="JQ22" s="14" t="str">
        <x:v>21136</x:v>
      </x:c>
      <x:c r="JR22" s="14" t="n">
        <x:v>8</x:v>
      </x:c>
      <x:c r="JS22" s="14" t="n">
        <x:v>1340</x:v>
      </x:c>
      <x:c r="JT22" s="14" t="n">
        <x:v>29</x:v>
      </x:c>
      <x:c r="JU22" s="14" t="n">
        <x:v>8</x:v>
      </x:c>
      <x:c r="JV22" s="14" t="n">
        <x:v>1</x:v>
      </x:c>
      <x:c r="JW22" s="14" t="str">
        <x:v>未收錄</x:v>
      </x:c>
      <x:c r="JX22" s="14" t="str">
        <x:v>21137</x:v>
      </x:c>
      <x:c r="JY22" s="14" t="n">
        <x:v>8</x:v>
      </x:c>
      <x:c r="JZ22" s="14" t="n">
        <x:v>1341</x:v>
      </x:c>
      <x:c r="KA22" s="14" t="n">
        <x:v>30</x:v>
      </x:c>
      <x:c r="KB22" s="14" t="n">
        <x:v>8</x:v>
      </x:c>
      <x:c r="KC22" s="14" t="n">
        <x:v>2</x:v>
      </x:c>
      <x:c r="KD22" s="14" t="str">
        <x:v>未收錄</x:v>
      </x:c>
      <x:c r="KE22" s="14" t="str">
        <x:v>21138</x:v>
      </x:c>
      <x:c r="KF22" s="14" t="n">
        <x:v>8</x:v>
      </x:c>
      <x:c r="KG22" s="14" t="n">
        <x:v>1342</x:v>
      </x:c>
      <x:c r="KH22" s="14" t="n">
        <x:v>31</x:v>
      </x:c>
      <x:c r="KI22" s="14" t="n">
        <x:v>8</x:v>
      </x:c>
      <x:c r="KJ22" s="14" t="n">
        <x:v>3</x:v>
      </x:c>
      <x:c r="KK22" s="14" t="str">
        <x:v>未收錄</x:v>
      </x:c>
      <x:c r="KL22" s="14" t="str">
        <x:v>21139</x:v>
      </x:c>
      <x:c r="KM22" s="14" t="n">
        <x:v>8</x:v>
      </x:c>
      <x:c r="KN22" s="14" t="n">
        <x:v>1343</x:v>
      </x:c>
      <x:c r="KO22" s="14" t="n">
        <x:v>32</x:v>
      </x:c>
      <x:c r="KP22" s="14" t="n">
        <x:v>8</x:v>
      </x:c>
      <x:c r="KQ22" s="14" t="n">
        <x:v>4</x:v>
      </x:c>
      <x:c r="KR22" s="14" t="str">
        <x:v>未收錄</x:v>
      </x:c>
      <x:c r="KS22" s="14" t="str">
        <x:v>20804</x:v>
      </x:c>
      <x:c r="KT22" s="14" t="n">
        <x:v>8</x:v>
      </x:c>
      <x:c r="KU22" s="14" t="n">
        <x:v>1455</x:v>
      </x:c>
      <x:c r="KV22" s="14" t="n">
        <x:v>29</x:v>
      </x:c>
      <x:c r="KW22" s="14" t="n">
        <x:v>8</x:v>
      </x:c>
      <x:c r="KX22" s="14" t="n">
        <x:v>1</x:v>
      </x:c>
      <x:c r="KY22" s="14" t="str">
        <x:v>未收錄</x:v>
      </x:c>
      <x:c r="KZ22" s="14" t="str">
        <x:v>20845</x:v>
      </x:c>
      <x:c r="LA22" s="14" t="n">
        <x:v>8</x:v>
      </x:c>
      <x:c r="LB22" s="14" t="n">
        <x:v>1456</x:v>
      </x:c>
      <x:c r="LC22" s="14" t="n">
        <x:v>30</x:v>
      </x:c>
      <x:c r="LD22" s="14" t="n">
        <x:v>8</x:v>
      </x:c>
      <x:c r="LE22" s="14" t="n">
        <x:v>2</x:v>
      </x:c>
      <x:c r="LF22" s="14" t="str">
        <x:v>未收錄</x:v>
      </x:c>
      <x:c r="LG22" s="14" t="str">
        <x:v>20844</x:v>
      </x:c>
      <x:c r="LH22" s="14" t="n">
        <x:v>8</x:v>
      </x:c>
      <x:c r="LI22" s="14" t="n">
        <x:v>1457</x:v>
      </x:c>
      <x:c r="LJ22" s="14" t="n">
        <x:v>31</x:v>
      </x:c>
      <x:c r="LK22" s="14" t="n">
        <x:v>8</x:v>
      </x:c>
      <x:c r="LL22" s="14" t="n">
        <x:v>3</x:v>
      </x:c>
      <x:c r="LM22" s="14" t="str">
        <x:v>未收錄</x:v>
      </x:c>
      <x:c r="LN22" s="14" t="str">
        <x:v>21100</x:v>
      </x:c>
      <x:c r="LO22" s="14" t="n">
        <x:v>8</x:v>
      </x:c>
      <x:c r="LP22" s="14" t="n">
        <x:v>1458</x:v>
      </x:c>
      <x:c r="LQ22" s="14" t="n">
        <x:v>32</x:v>
      </x:c>
      <x:c r="LR22" s="14" t="n">
        <x:v>8</x:v>
      </x:c>
      <x:c r="LS22" s="14" t="n">
        <x:v>4</x:v>
      </x:c>
      <x:c r="LT22" s="14" t="str">
        <x:v>未收錄</x:v>
      </x:c>
      <x:c r="LU22" s="14" t="str">
        <x:v>21555</x:v>
      </x:c>
      <x:c r="LV22" s="14" t="n">
        <x:v>8</x:v>
      </x:c>
      <x:c r="LW22" s="14" t="n">
        <x:v>1568</x:v>
      </x:c>
      <x:c r="LX22" s="14" t="n">
        <x:v>29</x:v>
      </x:c>
      <x:c r="LY22" s="14" t="n">
        <x:v>8</x:v>
      </x:c>
      <x:c r="LZ22" s="14" t="n">
        <x:v>1</x:v>
      </x:c>
      <x:c r="MA22" s="14" t="str">
        <x:v>未收錄</x:v>
      </x:c>
      <x:c r="MB22" s="14" t="str">
        <x:v>21556</x:v>
      </x:c>
      <x:c r="MC22" s="14" t="n">
        <x:v>8</x:v>
      </x:c>
      <x:c r="MD22" s="14" t="n">
        <x:v>1569</x:v>
      </x:c>
      <x:c r="ME22" s="14" t="n">
        <x:v>30</x:v>
      </x:c>
      <x:c r="MF22" s="14" t="n">
        <x:v>8</x:v>
      </x:c>
      <x:c r="MG22" s="14" t="n">
        <x:v>2</x:v>
      </x:c>
      <x:c r="MH22" s="14" t="str">
        <x:v>未收錄</x:v>
      </x:c>
      <x:c r="MI22" s="14" t="str">
        <x:v>22508</x:v>
      </x:c>
      <x:c r="MJ22" s="14" t="n">
        <x:v>8</x:v>
      </x:c>
      <x:c r="MK22" s="14" t="n">
        <x:v>1570</x:v>
      </x:c>
      <x:c r="ML22" s="14" t="n">
        <x:v>31</x:v>
      </x:c>
      <x:c r="MM22" s="14" t="n">
        <x:v>8</x:v>
      </x:c>
      <x:c r="MN22" s="14" t="n">
        <x:v>3</x:v>
      </x:c>
      <x:c r="MO22" s="14" t="str">
        <x:v>未收錄</x:v>
      </x:c>
      <x:c r="MP22" s="14" t="str">
        <x:v>22509</x:v>
      </x:c>
      <x:c r="MQ22" s="14" t="n">
        <x:v>8</x:v>
      </x:c>
      <x:c r="MR22" s="14" t="n">
        <x:v>1571</x:v>
      </x:c>
      <x:c r="MS22" s="14" t="n">
        <x:v>32</x:v>
      </x:c>
      <x:c r="MT22" s="14" t="n">
        <x:v>8</x:v>
      </x:c>
      <x:c r="MU22" s="14" t="n">
        <x:v>4</x:v>
      </x:c>
      <x:c r="MV22" s="14" t="str">
        <x:v>未收錄</x:v>
      </x:c>
      <x:c r="MW22" s="14" t="str">
        <x:v>20013</x:v>
      </x:c>
      <x:c r="MX22" s="14" t="n">
        <x:v>1</x:v>
      </x:c>
      <x:c r="MY22" s="14" t="n">
        <x:v>1677</x:v>
      </x:c>
      <x:c r="MZ22" s="14" t="n">
        <x:v>29</x:v>
      </x:c>
      <x:c r="NA22" s="14" t="n">
        <x:v>8</x:v>
      </x:c>
      <x:c r="NB22" s="14" t="n">
        <x:v>1</x:v>
      </x:c>
      <x:c r="NC22" s="14" t="str">
        <x:v>未收錄</x:v>
      </x:c>
      <x:c r="ND22" s="14" t="str">
        <x:v>20508</x:v>
      </x:c>
      <x:c r="NE22" s="14" t="n">
        <x:v>1</x:v>
      </x:c>
      <x:c r="NF22" s="14" t="n">
        <x:v>1678</x:v>
      </x:c>
      <x:c r="NG22" s="14" t="n">
        <x:v>30</x:v>
      </x:c>
      <x:c r="NH22" s="14" t="n">
        <x:v>8</x:v>
      </x:c>
      <x:c r="NI22" s="14" t="n">
        <x:v>2</x:v>
      </x:c>
      <x:c r="NJ22" s="14" t="str">
        <x:v>未收錄</x:v>
      </x:c>
      <x:c r="NK22" s="14" t="str">
        <x:v>20668</x:v>
      </x:c>
      <x:c r="NL22" s="14" t="n">
        <x:v>1</x:v>
      </x:c>
      <x:c r="NM22" s="14" t="n">
        <x:v>1679</x:v>
      </x:c>
      <x:c r="NN22" s="14" t="n">
        <x:v>31</x:v>
      </x:c>
      <x:c r="NO22" s="14" t="n">
        <x:v>8</x:v>
      </x:c>
      <x:c r="NP22" s="14" t="n">
        <x:v>3</x:v>
      </x:c>
      <x:c r="NQ22" s="14" t="str">
        <x:v>未收錄</x:v>
      </x:c>
      <x:c r="NR22" s="14" t="str">
        <x:v>20672</x:v>
      </x:c>
      <x:c r="NS22" s="14" t="n">
        <x:v>1</x:v>
      </x:c>
      <x:c r="NT22" s="14" t="n">
        <x:v>1680</x:v>
      </x:c>
      <x:c r="NU22" s="14" t="n">
        <x:v>32</x:v>
      </x:c>
      <x:c r="NV22" s="14" t="n">
        <x:v>8</x:v>
      </x:c>
      <x:c r="NW22" s="14" t="n">
        <x:v>4</x:v>
      </x:c>
      <x:c r="NX22" s="14" t="str">
        <x:v>未收錄</x:v>
      </x:c>
      <x:c r="NY22" s="14" t="str">
        <x:v>20424</x:v>
      </x:c>
      <x:c r="NZ22" s="14" t="n">
        <x:v>1</x:v>
      </x:c>
      <x:c r="OA22" s="14" t="n">
        <x:v>2130</x:v>
      </x:c>
      <x:c r="OB22" s="14" t="n">
        <x:v>29</x:v>
      </x:c>
      <x:c r="OC22" s="14" t="n">
        <x:v>8</x:v>
      </x:c>
      <x:c r="OD22" s="14" t="n">
        <x:v>1</x:v>
      </x:c>
      <x:c r="OE22" s="14" t="str">
        <x:v>未收錄</x:v>
      </x:c>
      <x:c r="OF22" s="14" t="str">
        <x:v>20425</x:v>
      </x:c>
      <x:c r="OG22" s="14" t="n">
        <x:v>1</x:v>
      </x:c>
      <x:c r="OH22" s="14" t="n">
        <x:v>2131</x:v>
      </x:c>
      <x:c r="OI22" s="14" t="n">
        <x:v>30</x:v>
      </x:c>
      <x:c r="OJ22" s="14" t="n">
        <x:v>8</x:v>
      </x:c>
      <x:c r="OK22" s="14" t="n">
        <x:v>2</x:v>
      </x:c>
      <x:c r="OL22" s="14" t="str">
        <x:v>未收錄</x:v>
      </x:c>
      <x:c r="OM22" s="14" t="str">
        <x:v>20667</x:v>
      </x:c>
      <x:c r="ON22" s="14" t="n">
        <x:v>1</x:v>
      </x:c>
      <x:c r="OO22" s="14" t="n">
        <x:v>2132</x:v>
      </x:c>
      <x:c r="OP22" s="14" t="n">
        <x:v>31</x:v>
      </x:c>
      <x:c r="OQ22" s="14" t="n">
        <x:v>8</x:v>
      </x:c>
      <x:c r="OR22" s="14" t="n">
        <x:v>3</x:v>
      </x:c>
      <x:c r="OS22" s="14" t="str">
        <x:v>未收錄</x:v>
      </x:c>
      <x:c r="OT22" s="14" t="str">
        <x:v>20671</x:v>
      </x:c>
      <x:c r="OU22" s="14" t="n">
        <x:v>1</x:v>
      </x:c>
      <x:c r="OV22" s="14" t="n">
        <x:v>2133</x:v>
      </x:c>
      <x:c r="OW22" s="14" t="n">
        <x:v>32</x:v>
      </x:c>
      <x:c r="OX22" s="14" t="n">
        <x:v>8</x:v>
      </x:c>
      <x:c r="OY22" s="14" t="n">
        <x:v>4</x:v>
      </x:c>
      <x:c r="OZ22" s="14" t="str">
        <x:v>未收錄</x:v>
      </x:c>
      <x:c r="PA22" s="14" t="str">
        <x:v>21250</x:v>
      </x:c>
      <x:c r="PB22" s="14" t="n">
        <x:v>1</x:v>
      </x:c>
      <x:c r="PC22" s="14" t="n">
        <x:v>2676</x:v>
      </x:c>
      <x:c r="PD22" s="14" t="n">
        <x:v>29</x:v>
      </x:c>
      <x:c r="PE22" s="14" t="n">
        <x:v>8</x:v>
      </x:c>
      <x:c r="PF22" s="14" t="n">
        <x:v>1</x:v>
      </x:c>
      <x:c r="PG22" s="14" t="str">
        <x:v>未收錄</x:v>
      </x:c>
      <x:c r="PH22" s="14" t="str">
        <x:v>21251</x:v>
      </x:c>
      <x:c r="PI22" s="14" t="n">
        <x:v>1</x:v>
      </x:c>
      <x:c r="PJ22" s="14" t="n">
        <x:v>2677</x:v>
      </x:c>
      <x:c r="PK22" s="14" t="n">
        <x:v>30</x:v>
      </x:c>
      <x:c r="PL22" s="14" t="n">
        <x:v>8</x:v>
      </x:c>
      <x:c r="PM22" s="14" t="n">
        <x:v>2</x:v>
      </x:c>
      <x:c r="PN22" s="14" t="str">
        <x:v>未收錄</x:v>
      </x:c>
      <x:c r="PO22" s="14" t="str">
        <x:v>21430</x:v>
      </x:c>
      <x:c r="PP22" s="14" t="n">
        <x:v>1</x:v>
      </x:c>
      <x:c r="PQ22" s="14" t="n">
        <x:v>2678</x:v>
      </x:c>
      <x:c r="PR22" s="14" t="n">
        <x:v>31</x:v>
      </x:c>
      <x:c r="PS22" s="14" t="n">
        <x:v>8</x:v>
      </x:c>
      <x:c r="PT22" s="14" t="n">
        <x:v>3</x:v>
      </x:c>
      <x:c r="PU22" s="14" t="str">
        <x:v>未收錄</x:v>
      </x:c>
      <x:c r="PV22" s="14" t="str">
        <x:v>21431</x:v>
      </x:c>
      <x:c r="PW22" s="14" t="n">
        <x:v>1</x:v>
      </x:c>
      <x:c r="PX22" s="14" t="n">
        <x:v>2679</x:v>
      </x:c>
      <x:c r="PY22" s="14" t="n">
        <x:v>32</x:v>
      </x:c>
      <x:c r="PZ22" s="14" t="n">
        <x:v>8</x:v>
      </x:c>
      <x:c r="QA22" s="14" t="n">
        <x:v>4</x:v>
      </x:c>
      <x:c r="QB22" s="14" t="str">
        <x:v>未收錄</x:v>
      </x:c>
      <x:c r="QC22" s="14" t="str">
        <x:v>21151</x:v>
      </x:c>
      <x:c r="QD22" s="14" t="n">
        <x:v>1</x:v>
      </x:c>
      <x:c r="QE22" s="14" t="n">
        <x:v>3113</x:v>
      </x:c>
      <x:c r="QF22" s="14" t="n">
        <x:v>29</x:v>
      </x:c>
      <x:c r="QG22" s="14" t="n">
        <x:v>8</x:v>
      </x:c>
      <x:c r="QH22" s="14" t="n">
        <x:v>1</x:v>
      </x:c>
      <x:c r="QI22" s="14" t="str">
        <x:v>未收錄</x:v>
      </x:c>
      <x:c r="QJ22" s="14" t="str">
        <x:v>21424</x:v>
      </x:c>
      <x:c r="QK22" s="14" t="n">
        <x:v>1</x:v>
      </x:c>
      <x:c r="QL22" s="14" t="n">
        <x:v>3114</x:v>
      </x:c>
      <x:c r="QM22" s="14" t="n">
        <x:v>30</x:v>
      </x:c>
      <x:c r="QN22" s="14" t="n">
        <x:v>8</x:v>
      </x:c>
      <x:c r="QO22" s="14" t="n">
        <x:v>2</x:v>
      </x:c>
      <x:c r="QP22" s="14" t="str">
        <x:v>未收錄</x:v>
      </x:c>
      <x:c r="QQ22" s="14" t="str">
        <x:v>21425</x:v>
      </x:c>
      <x:c r="QR22" s="14" t="n">
        <x:v>1</x:v>
      </x:c>
      <x:c r="QS22" s="14" t="n">
        <x:v>3115</x:v>
      </x:c>
      <x:c r="QT22" s="14" t="n">
        <x:v>31</x:v>
      </x:c>
      <x:c r="QU22" s="14" t="n">
        <x:v>8</x:v>
      </x:c>
      <x:c r="QV22" s="14" t="n">
        <x:v>3</x:v>
      </x:c>
      <x:c r="QW22" s="14" t="str">
        <x:v>未收錄</x:v>
      </x:c>
      <x:c r="QX22" s="14" t="str">
        <x:v>21427</x:v>
      </x:c>
      <x:c r="QY22" s="14" t="n">
        <x:v>1</x:v>
      </x:c>
      <x:c r="QZ22" s="14" t="n">
        <x:v>3116</x:v>
      </x:c>
      <x:c r="RA22" s="14" t="n">
        <x:v>32</x:v>
      </x:c>
      <x:c r="RB22" s="14" t="n">
        <x:v>8</x:v>
      </x:c>
      <x:c r="RC22" s="14" t="n">
        <x:v>4</x:v>
      </x:c>
      <x:c r="RD22" s="14" t="str">
        <x:v>未收錄</x:v>
      </x:c>
      <x:c r="RE22" s="14" t="str">
        <x:v>20456</x:v>
      </x:c>
      <x:c r="RF22" s="14" t="n">
        <x:v>3</x:v>
      </x:c>
      <x:c r="RG22" s="14" t="n">
        <x:v>3574</x:v>
      </x:c>
      <x:c r="RH22" s="14" t="n">
        <x:v>29</x:v>
      </x:c>
      <x:c r="RI22" s="14" t="n">
        <x:v>8</x:v>
      </x:c>
      <x:c r="RJ22" s="14" t="n">
        <x:v>1</x:v>
      </x:c>
      <x:c r="RK22" s="14" t="str">
        <x:v>未收錄</x:v>
      </x:c>
      <x:c r="RL22" s="14" t="str">
        <x:v>20250</x:v>
      </x:c>
      <x:c r="RM22" s="14" t="n">
        <x:v>3</x:v>
      </x:c>
      <x:c r="RN22" s="14" t="n">
        <x:v>3575</x:v>
      </x:c>
      <x:c r="RO22" s="14" t="n">
        <x:v>30</x:v>
      </x:c>
      <x:c r="RP22" s="14" t="n">
        <x:v>8</x:v>
      </x:c>
      <x:c r="RQ22" s="14" t="n">
        <x:v>2</x:v>
      </x:c>
      <x:c r="RR22" s="14" t="str">
        <x:v>未收錄</x:v>
      </x:c>
      <x:c r="RS22" s="14" t="str">
        <x:v>20446</x:v>
      </x:c>
      <x:c r="RT22" s="14" t="n">
        <x:v>3</x:v>
      </x:c>
      <x:c r="RU22" s="14" t="n">
        <x:v>3576</x:v>
      </x:c>
      <x:c r="RV22" s="14" t="n">
        <x:v>31</x:v>
      </x:c>
      <x:c r="RW22" s="14" t="n">
        <x:v>8</x:v>
      </x:c>
      <x:c r="RX22" s="14" t="n">
        <x:v>3</x:v>
      </x:c>
      <x:c r="RY22" s="14" t="str">
        <x:v>未收錄</x:v>
      </x:c>
      <x:c r="RZ22" s="14" t="str">
        <x:v>20447</x:v>
      </x:c>
      <x:c r="SA22" s="14" t="n">
        <x:v>3</x:v>
      </x:c>
      <x:c r="SB22" s="14" t="n">
        <x:v>3577</x:v>
      </x:c>
      <x:c r="SC22" s="14" t="n">
        <x:v>32</x:v>
      </x:c>
      <x:c r="SD22" s="14" t="n">
        <x:v>8</x:v>
      </x:c>
      <x:c r="SE22" s="14" t="n">
        <x:v>4</x:v>
      </x:c>
      <x:c r="SF22" s="14" t="str">
        <x:v>未收錄</x:v>
      </x:c>
      <x:c r="SG22" s="14" t="str">
        <x:v>29718</x:v>
      </x:c>
      <x:c r="SH22" s="14" t="n">
        <x:v>5</x:v>
      </x:c>
      <x:c r="SI22" s="14" t="n">
        <x:v>3998</x:v>
      </x:c>
      <x:c r="SJ22" s="14" t="n">
        <x:v>29</x:v>
      </x:c>
      <x:c r="SK22" s="14" t="n">
        <x:v>8</x:v>
      </x:c>
      <x:c r="SL22" s="14" t="n">
        <x:v>1</x:v>
      </x:c>
      <x:c r="SM22" s="14" t="str">
        <x:v>未收錄</x:v>
      </x:c>
      <x:c r="SN22" s="14" t="str">
        <x:v>29719</x:v>
      </x:c>
      <x:c r="SO22" s="14" t="n">
        <x:v>5</x:v>
      </x:c>
      <x:c r="SP22" s="14" t="n">
        <x:v>3999</x:v>
      </x:c>
      <x:c r="SQ22" s="14" t="n">
        <x:v>30</x:v>
      </x:c>
      <x:c r="SR22" s="14" t="n">
        <x:v>8</x:v>
      </x:c>
      <x:c r="SS22" s="14" t="n">
        <x:v>2</x:v>
      </x:c>
      <x:c r="ST22" s="14" t="str">
        <x:v>未收錄</x:v>
      </x:c>
      <x:c r="SU22" s="14" t="str">
        <x:v>29720</x:v>
      </x:c>
      <x:c r="SV22" s="14" t="n">
        <x:v>5</x:v>
      </x:c>
      <x:c r="SW22" s="14" t="n">
        <x:v>4000</x:v>
      </x:c>
      <x:c r="SX22" s="14" t="n">
        <x:v>31</x:v>
      </x:c>
      <x:c r="SY22" s="14" t="n">
        <x:v>8</x:v>
      </x:c>
      <x:c r="SZ22" s="14" t="n">
        <x:v>3</x:v>
      </x:c>
      <x:c r="TA22" s="14" t="str">
        <x:v>未收錄</x:v>
      </x:c>
      <x:c r="TB22" s="14" t="str">
        <x:v>29721</x:v>
      </x:c>
      <x:c r="TC22" s="14" t="n">
        <x:v>5</x:v>
      </x:c>
      <x:c r="TD22" s="14" t="n">
        <x:v>4001</x:v>
      </x:c>
      <x:c r="TE22" s="14" t="n">
        <x:v>32</x:v>
      </x:c>
      <x:c r="TF22" s="14" t="n">
        <x:v>8</x:v>
      </x:c>
      <x:c r="TG22" s="14" t="n">
        <x:v>4</x:v>
      </x:c>
      <x:c r="TH22" s="14" t="str">
        <x:v>未收錄</x:v>
      </x:c>
    </x:row>
    <x:row r="23" ht="15" customHeight="1">
      <x:c r="A23" s="17" t="str">
        <x:v>皇陵劍</x:v>
      </x:c>
      <x:c r="B23" s="17" t="str">
        <x:v>西武劍</x:v>
      </x:c>
      <x:c r="C23" s="17" t="str">
        <x:v>修真劍</x:v>
      </x:c>
      <x:c r="D23" s="17" t="str">
        <x:v>空蟬劍</x:v>
      </x:c>
      <x:c r="E23" s="14"/>
      <x:c r="F23" s="17" t="str">
        <x:v>凝晶利刃</x:v>
      </x:c>
      <x:c r="G23" s="17" t="str">
        <x:v>卓越之刃</x:v>
      </x:c>
      <x:c r="H23" s="17" t="str">
        <x:v>冰蠶刀</x:v>
      </x:c>
      <x:c r="I23" s="17" t="str">
        <x:v>地靈冰蠶刀</x:v>
      </x:c>
      <x:c r="J23" s="14"/>
      <x:c r="K23" s="17" t="str">
        <x:v>太古血燕鈸</x:v>
      </x:c>
      <x:c r="L23" s="17" t="str">
        <x:v>盪月血燕鈸</x:v>
      </x:c>
      <x:c r="M23" s="17" t="str">
        <x:v>金剛環</x:v>
      </x:c>
      <x:c r="N23" s="17" t="str">
        <x:v>太古金剛環</x:v>
      </x:c>
      <x:c r="O23" s="14"/>
      <x:c r="P23" s="17" t="str">
        <x:v>螢光拂塵</x:v>
      </x:c>
      <x:c r="Q23" s="17" t="str">
        <x:v>百靈狐尾</x:v>
      </x:c>
      <x:c r="R23" s="17" t="str">
        <x:v>仙鶴拂塵</x:v>
      </x:c>
      <x:c r="S23" s="17" t="str">
        <x:v>金翅拂塵</x:v>
      </x:c>
      <x:c r="T23" s="14"/>
      <x:c r="U23" s="17" t="str">
        <x:v>淨天法杖</x:v>
      </x:c>
      <x:c r="V23" s="17" t="str">
        <x:v>玉羅金杖</x:v>
      </x:c>
      <x:c r="W23" s="17" t="str">
        <x:v>玉佛寶杖</x:v>
      </x:c>
      <x:c r="X23" s="17" t="str">
        <x:v>梵天法杖</x:v>
      </x:c>
      <x:c r="Y23" s="14"/>
      <x:c r="Z23" s="17" t="str">
        <x:v>凝晶穿岩戟</x:v>
      </x:c>
      <x:c r="AA23" s="17" t="str">
        <x:v>卓越長槍</x:v>
      </x:c>
      <x:c r="AB23" s="17" t="str">
        <x:v>海龍槍</x:v>
      </x:c>
      <x:c r="AC23" s="17" t="str">
        <x:v>海皇槍</x:v>
      </x:c>
      <x:c r="AD23" s="14"/>
      <x:c r="AE23" s="17" t="str">
        <x:v>地冥棍</x:v>
      </x:c>
      <x:c r="AF23" s="17" t="str">
        <x:v>纏雲棍</x:v>
      </x:c>
      <x:c r="AG23" s="17" t="str">
        <x:v>封魔棍</x:v>
      </x:c>
      <x:c r="AH23" s="17" t="str">
        <x:v>黑雲棍</x:v>
      </x:c>
      <x:c r="AI23" s="14"/>
      <x:c r="AJ23" s="17" t="str">
        <x:v>龍刺錘</x:v>
      </x:c>
      <x:c r="AK23" s="17" t="str">
        <x:v>龍星錘</x:v>
      </x:c>
      <x:c r="AL23" s="17" t="str">
        <x:v>雷神錘</x:v>
      </x:c>
      <x:c r="AM23" s="17" t="str">
        <x:v>絕世雷神錘</x:v>
      </x:c>
      <x:c r="AN23" s="14"/>
      <x:c r="AO23" s="17" t="str">
        <x:v>赤板斧</x:v>
      </x:c>
      <x:c r="AP23" s="17" t="str">
        <x:v>破浪斧</x:v>
      </x:c>
      <x:c r="AQ23" s="17" t="str">
        <x:v>百裂斧</x:v>
      </x:c>
      <x:c r="AR23" s="17" t="str">
        <x:v>鐵鎖斧</x:v>
      </x:c>
      <x:c r="AS23" s="14"/>
      <x:c r="AT23" s="17" t="str">
        <x:v>象威巨盾</x:v>
      </x:c>
      <x:c r="AU23" s="17" t="str">
        <x:v>格涅沙聖盾</x:v>
      </x:c>
      <x:c r="AV23" s="17" t="str">
        <x:v>喪神盾</x:v>
      </x:c>
      <x:c r="AW23" s="17" t="str">
        <x:v>幽顱泣天盾</x:v>
      </x:c>
      <x:c r="AX23" s="14"/>
      <x:c r="AY23" s="17" t="str">
        <x:v>行者斗笠</x:v>
      </x:c>
      <x:c r="AZ23" s="17" t="str">
        <x:v>紫金僧帽</x:v>
      </x:c>
      <x:c r="BA23" s="17" t="str">
        <x:v>天師冠</x:v>
      </x:c>
      <x:c r="BB23" s="17" t="str">
        <x:v>烏羽冠</x:v>
      </x:c>
      <x:c r="BC23" s="14"/>
      <x:c r="BD23" s="17" t="str">
        <x:v>朱雀道袍</x:v>
      </x:c>
      <x:c r="BE23" s="17" t="str">
        <x:v>丹陽僧衣</x:v>
      </x:c>
      <x:c r="BF23" s="17" t="str">
        <x:v>青甲戰鎧</x:v>
      </x:c>
      <x:c r="BG23" s="17" t="str">
        <x:v>玄老僧袍</x:v>
      </x:c>
      <x:c r="BH23" s="14"/>
      <x:c r="BI23" s="17" t="str">
        <x:v>追風護腕</x:v>
      </x:c>
      <x:c r="BJ23" s="17" t="str">
        <x:v>道環護腕</x:v>
      </x:c>
      <x:c r="BK23" s="17" t="str">
        <x:v>法環護腕</x:v>
      </x:c>
      <x:c r="BL23" s="17" t="str">
        <x:v>夜叉護腕</x:v>
      </x:c>
      <x:c r="BM23" s="14"/>
      <x:c r="BN23" s="17" t="str">
        <x:v>道環皮靴</x:v>
      </x:c>
      <x:c r="BO23" s="17" t="str">
        <x:v>法環皮靴</x:v>
      </x:c>
      <x:c r="BP23" s="17" t="str">
        <x:v>夜叉鞋</x:v>
      </x:c>
      <x:c r="BQ23" s="17" t="str">
        <x:v>地龍鞋</x:v>
      </x:c>
      <x:c r="BR23" s="14"/>
      <x:c r="BS23" s="17" t="str">
        <x:v>靈敏佛珠</x:v>
      </x:c>
      <x:c r="BT23" s="17" t="str">
        <x:v>闢邪戒指</x:v>
      </x:c>
      <x:c r="BU23" s="17" t="str">
        <x:v>抗毒玉戒</x:v>
      </x:c>
      <x:c r="BV23" s="17" t="str">
        <x:v>秘符銀鐲</x:v>
      </x:c>
      <x:c r="BW23" s="14"/>
      <x:c r="BX23" s="17" t="str">
        <x:v>震雷仙太極</x:v>
      </x:c>
      <x:c r="BY23" s="17" t="str">
        <x:v>乾天仙太極</x:v>
      </x:c>
      <x:c r="BZ23" s="17" t="str">
        <x:v>坤地仙太極</x:v>
      </x:c>
      <x:c r="CA23" s="17" t="str">
        <x:v>離虛仙渦石</x:v>
      </x:c>
      <x:c r="CB23" s="14"/>
      <x:c r="CC23" s="14" t="str">
        <x:v>26167</x:v>
      </x:c>
      <x:c r="CD23" s="14" t="n">
        <x:v>1</x:v>
      </x:c>
      <x:c r="CE23" s="14" t="n">
        <x:v>33</x:v>
      </x:c>
      <x:c r="CF23" s="14" t="n">
        <x:v>33</x:v>
      </x:c>
      <x:c r="CG23" s="14" t="n">
        <x:v>9</x:v>
      </x:c>
      <x:c r="CH23" s="14" t="n">
        <x:v>1</x:v>
      </x:c>
      <x:c r="CI23" s="14" t="str">
        <x:v>未收錄</x:v>
      </x:c>
      <x:c r="CJ23" s="14" t="str">
        <x:v>26174</x:v>
      </x:c>
      <x:c r="CK23" s="14" t="n">
        <x:v>1</x:v>
      </x:c>
      <x:c r="CL23" s="14" t="n">
        <x:v>34</x:v>
      </x:c>
      <x:c r="CM23" s="14" t="n">
        <x:v>34</x:v>
      </x:c>
      <x:c r="CN23" s="14" t="n">
        <x:v>9</x:v>
      </x:c>
      <x:c r="CO23" s="14" t="n">
        <x:v>2</x:v>
      </x:c>
      <x:c r="CP23" s="14" t="str">
        <x:v>未收錄</x:v>
      </x:c>
      <x:c r="CQ23" s="14" t="str">
        <x:v>27200</x:v>
      </x:c>
      <x:c r="CR23" s="14" t="n">
        <x:v>1</x:v>
      </x:c>
      <x:c r="CS23" s="14" t="n">
        <x:v>35</x:v>
      </x:c>
      <x:c r="CT23" s="14" t="n">
        <x:v>35</x:v>
      </x:c>
      <x:c r="CU23" s="14" t="n">
        <x:v>9</x:v>
      </x:c>
      <x:c r="CV23" s="14" t="n">
        <x:v>3</x:v>
      </x:c>
      <x:c r="CW23" s="14" t="str">
        <x:v>未收錄</x:v>
      </x:c>
      <x:c r="CX23" s="14" t="str">
        <x:v>28252</x:v>
      </x:c>
      <x:c r="CY23" s="14" t="n">
        <x:v>1</x:v>
      </x:c>
      <x:c r="CZ23" s="14" t="n">
        <x:v>36</x:v>
      </x:c>
      <x:c r="DA23" s="14" t="n">
        <x:v>36</x:v>
      </x:c>
      <x:c r="DB23" s="14" t="n">
        <x:v>9</x:v>
      </x:c>
      <x:c r="DC23" s="14" t="n">
        <x:v>4</x:v>
      </x:c>
      <x:c r="DD23" s="14" t="str">
        <x:v>未收錄</x:v>
      </x:c>
      <x:c r="DE23" s="14" t="str">
        <x:v>22418</x:v>
      </x:c>
      <x:c r="DF23" s="14" t="n">
        <x:v>3</x:v>
      </x:c>
      <x:c r="DG23" s="14" t="n">
        <x:v>278</x:v>
      </x:c>
      <x:c r="DH23" s="14" t="n">
        <x:v>33</x:v>
      </x:c>
      <x:c r="DI23" s="14" t="n">
        <x:v>9</x:v>
      </x:c>
      <x:c r="DJ23" s="14" t="n">
        <x:v>1</x:v>
      </x:c>
      <x:c r="DK23" s="14" t="str">
        <x:v>未收錄</x:v>
      </x:c>
      <x:c r="DL23" s="14" t="str">
        <x:v>23326</x:v>
      </x:c>
      <x:c r="DM23" s="14" t="n">
        <x:v>3</x:v>
      </x:c>
      <x:c r="DN23" s="14" t="n">
        <x:v>279</x:v>
      </x:c>
      <x:c r="DO23" s="14" t="n">
        <x:v>34</x:v>
      </x:c>
      <x:c r="DP23" s="14" t="n">
        <x:v>9</x:v>
      </x:c>
      <x:c r="DQ23" s="14" t="n">
        <x:v>2</x:v>
      </x:c>
      <x:c r="DR23" s="14" t="str">
        <x:v>未收錄</x:v>
      </x:c>
      <x:c r="DS23" s="14" t="str">
        <x:v>20776</x:v>
      </x:c>
      <x:c r="DT23" s="14" t="n">
        <x:v>8</x:v>
      </x:c>
      <x:c r="DU23" s="14" t="n">
        <x:v>280</x:v>
      </x:c>
      <x:c r="DV23" s="14" t="n">
        <x:v>35</x:v>
      </x:c>
      <x:c r="DW23" s="14" t="n">
        <x:v>9</x:v>
      </x:c>
      <x:c r="DX23" s="14" t="n">
        <x:v>3</x:v>
      </x:c>
      <x:c r="DY23" s="14" t="str">
        <x:v>未收錄</x:v>
      </x:c>
      <x:c r="DZ23" s="14" t="str">
        <x:v>21995</x:v>
      </x:c>
      <x:c r="EA23" s="14" t="n">
        <x:v>8</x:v>
      </x:c>
      <x:c r="EB23" s="14" t="n">
        <x:v>281</x:v>
      </x:c>
      <x:c r="EC23" s="14" t="n">
        <x:v>36</x:v>
      </x:c>
      <x:c r="ED23" s="14" t="n">
        <x:v>9</x:v>
      </x:c>
      <x:c r="EE23" s="14" t="n">
        <x:v>4</x:v>
      </x:c>
      <x:c r="EF23" s="14" t="str">
        <x:v>未收錄</x:v>
      </x:c>
      <x:c r="EG23" s="14" t="str">
        <x:v>24144</x:v>
      </x:c>
      <x:c r="EH23" s="14" t="n">
        <x:v>3</x:v>
      </x:c>
      <x:c r="EI23" s="14" t="n">
        <x:v>514</x:v>
      </x:c>
      <x:c r="EJ23" s="14" t="n">
        <x:v>33</x:v>
      </x:c>
      <x:c r="EK23" s="14" t="n">
        <x:v>9</x:v>
      </x:c>
      <x:c r="EL23" s="14" t="n">
        <x:v>1</x:v>
      </x:c>
      <x:c r="EM23" s="14" t="str">
        <x:v>未收錄</x:v>
      </x:c>
      <x:c r="EN23" s="14" t="str">
        <x:v>24070</x:v>
      </x:c>
      <x:c r="EO23" s="14" t="n">
        <x:v>8</x:v>
      </x:c>
      <x:c r="EP23" s="14" t="n">
        <x:v>515</x:v>
      </x:c>
      <x:c r="EQ23" s="14" t="n">
        <x:v>34</x:v>
      </x:c>
      <x:c r="ER23" s="14" t="n">
        <x:v>9</x:v>
      </x:c>
      <x:c r="ES23" s="14" t="n">
        <x:v>2</x:v>
      </x:c>
      <x:c r="ET23" s="14" t="str">
        <x:v>未收錄</x:v>
      </x:c>
      <x:c r="EU23" s="14" t="str">
        <x:v>24069</x:v>
      </x:c>
      <x:c r="EV23" s="14" t="n">
        <x:v>8</x:v>
      </x:c>
      <x:c r="EW23" s="14" t="n">
        <x:v>516</x:v>
      </x:c>
      <x:c r="EX23" s="14" t="n">
        <x:v>35</x:v>
      </x:c>
      <x:c r="EY23" s="14" t="n">
        <x:v>9</x:v>
      </x:c>
      <x:c r="EZ23" s="14" t="n">
        <x:v>3</x:v>
      </x:c>
      <x:c r="FA23" s="14" t="str">
        <x:v>未收錄</x:v>
      </x:c>
      <x:c r="FB23" s="14" t="str">
        <x:v>24663</x:v>
      </x:c>
      <x:c r="FC23" s="14" t="n">
        <x:v>3</x:v>
      </x:c>
      <x:c r="FD23" s="14" t="n">
        <x:v>517</x:v>
      </x:c>
      <x:c r="FE23" s="14" t="n">
        <x:v>36</x:v>
      </x:c>
      <x:c r="FF23" s="14" t="n">
        <x:v>9</x:v>
      </x:c>
      <x:c r="FG23" s="14" t="n">
        <x:v>4</x:v>
      </x:c>
      <x:c r="FH23" s="14" t="str">
        <x:v>未收錄</x:v>
      </x:c>
      <x:c r="FI23" s="14" t="str">
        <x:v>21097</x:v>
      </x:c>
      <x:c r="FJ23" s="14" t="n">
        <x:v>8</x:v>
      </x:c>
      <x:c r="FK23" s="14" t="n">
        <x:v>664</x:v>
      </x:c>
      <x:c r="FL23" s="14" t="n">
        <x:v>33</x:v>
      </x:c>
      <x:c r="FM23" s="14" t="n">
        <x:v>9</x:v>
      </x:c>
      <x:c r="FN23" s="14" t="n">
        <x:v>1</x:v>
      </x:c>
      <x:c r="FO23" s="14" t="str">
        <x:v>未收錄</x:v>
      </x:c>
      <x:c r="FP23" s="14" t="str">
        <x:v>21098</x:v>
      </x:c>
      <x:c r="FQ23" s="14" t="n">
        <x:v>8</x:v>
      </x:c>
      <x:c r="FR23" s="14" t="n">
        <x:v>665</x:v>
      </x:c>
      <x:c r="FS23" s="14" t="n">
        <x:v>34</x:v>
      </x:c>
      <x:c r="FT23" s="14" t="n">
        <x:v>9</x:v>
      </x:c>
      <x:c r="FU23" s="14" t="n">
        <x:v>2</x:v>
      </x:c>
      <x:c r="FV23" s="14" t="str">
        <x:v>未收錄</x:v>
      </x:c>
      <x:c r="FW23" s="14" t="str">
        <x:v>21099</x:v>
      </x:c>
      <x:c r="FX23" s="14" t="n">
        <x:v>8</x:v>
      </x:c>
      <x:c r="FY23" s="14" t="n">
        <x:v>666</x:v>
      </x:c>
      <x:c r="FZ23" s="14" t="n">
        <x:v>35</x:v>
      </x:c>
      <x:c r="GA23" s="14" t="n">
        <x:v>9</x:v>
      </x:c>
      <x:c r="GB23" s="14" t="n">
        <x:v>3</x:v>
      </x:c>
      <x:c r="GC23" s="14" t="str">
        <x:v>未收錄</x:v>
      </x:c>
      <x:c r="GD23" s="14" t="str">
        <x:v>21311</x:v>
      </x:c>
      <x:c r="GE23" s="14" t="n">
        <x:v>8</x:v>
      </x:c>
      <x:c r="GF23" s="14" t="n">
        <x:v>667</x:v>
      </x:c>
      <x:c r="GG23" s="14" t="n">
        <x:v>36</x:v>
      </x:c>
      <x:c r="GH23" s="14" t="n">
        <x:v>9</x:v>
      </x:c>
      <x:c r="GI23" s="14" t="n">
        <x:v>4</x:v>
      </x:c>
      <x:c r="GJ23" s="14" t="str">
        <x:v>未收錄</x:v>
      </x:c>
      <x:c r="GK23" s="14" t="str">
        <x:v>21133</x:v>
      </x:c>
      <x:c r="GL23" s="14" t="n">
        <x:v>8</x:v>
      </x:c>
      <x:c r="GM23" s="14" t="n">
        <x:v>836</x:v>
      </x:c>
      <x:c r="GN23" s="14" t="n">
        <x:v>33</x:v>
      </x:c>
      <x:c r="GO23" s="14" t="n">
        <x:v>9</x:v>
      </x:c>
      <x:c r="GP23" s="14" t="n">
        <x:v>1</x:v>
      </x:c>
      <x:c r="GQ23" s="14" t="str">
        <x:v>未收錄</x:v>
      </x:c>
      <x:c r="GR23" s="14" t="str">
        <x:v>21134</x:v>
      </x:c>
      <x:c r="GS23" s="14" t="n">
        <x:v>8</x:v>
      </x:c>
      <x:c r="GT23" s="14" t="n">
        <x:v>837</x:v>
      </x:c>
      <x:c r="GU23" s="14" t="n">
        <x:v>34</x:v>
      </x:c>
      <x:c r="GV23" s="14" t="n">
        <x:v>9</x:v>
      </x:c>
      <x:c r="GW23" s="14" t="n">
        <x:v>2</x:v>
      </x:c>
      <x:c r="GX23" s="14" t="str">
        <x:v>未收錄</x:v>
      </x:c>
      <x:c r="GY23" s="14" t="str">
        <x:v>21135</x:v>
      </x:c>
      <x:c r="GZ23" s="14" t="n">
        <x:v>8</x:v>
      </x:c>
      <x:c r="HA23" s="14" t="n">
        <x:v>838</x:v>
      </x:c>
      <x:c r="HB23" s="14" t="n">
        <x:v>35</x:v>
      </x:c>
      <x:c r="HC23" s="14" t="n">
        <x:v>9</x:v>
      </x:c>
      <x:c r="HD23" s="14" t="n">
        <x:v>3</x:v>
      </x:c>
      <x:c r="HE23" s="14" t="str">
        <x:v>未收錄</x:v>
      </x:c>
      <x:c r="HF23" s="14" t="str">
        <x:v>21549</x:v>
      </x:c>
      <x:c r="HG23" s="14" t="n">
        <x:v>8</x:v>
      </x:c>
      <x:c r="HH23" s="14" t="n">
        <x:v>839</x:v>
      </x:c>
      <x:c r="HI23" s="14" t="n">
        <x:v>36</x:v>
      </x:c>
      <x:c r="HJ23" s="14" t="n">
        <x:v>9</x:v>
      </x:c>
      <x:c r="HK23" s="14" t="n">
        <x:v>4</x:v>
      </x:c>
      <x:c r="HL23" s="14" t="str">
        <x:v>未收錄</x:v>
      </x:c>
      <x:c r="HM23" s="14" t="str">
        <x:v>22422</x:v>
      </x:c>
      <x:c r="HN23" s="14" t="n">
        <x:v>3</x:v>
      </x:c>
      <x:c r="HO23" s="14" t="n">
        <x:v>1009</x:v>
      </x:c>
      <x:c r="HP23" s="14" t="n">
        <x:v>33</x:v>
      </x:c>
      <x:c r="HQ23" s="14" t="n">
        <x:v>9</x:v>
      </x:c>
      <x:c r="HR23" s="14" t="n">
        <x:v>1</x:v>
      </x:c>
      <x:c r="HS23" s="14" t="str">
        <x:v>未收錄</x:v>
      </x:c>
      <x:c r="HT23" s="14" t="str">
        <x:v>23328</x:v>
      </x:c>
      <x:c r="HU23" s="14" t="n">
        <x:v>3</x:v>
      </x:c>
      <x:c r="HV23" s="14" t="n">
        <x:v>1010</x:v>
      </x:c>
      <x:c r="HW23" s="14" t="n">
        <x:v>34</x:v>
      </x:c>
      <x:c r="HX23" s="14" t="n">
        <x:v>9</x:v>
      </x:c>
      <x:c r="HY23" s="14" t="n">
        <x:v>2</x:v>
      </x:c>
      <x:c r="HZ23" s="14" t="str">
        <x:v>未收錄</x:v>
      </x:c>
      <x:c r="IA23" s="14" t="str">
        <x:v>21316</x:v>
      </x:c>
      <x:c r="IB23" s="14" t="n">
        <x:v>8</x:v>
      </x:c>
      <x:c r="IC23" s="14" t="n">
        <x:v>1011</x:v>
      </x:c>
      <x:c r="ID23" s="14" t="n">
        <x:v>35</x:v>
      </x:c>
      <x:c r="IE23" s="14" t="n">
        <x:v>9</x:v>
      </x:c>
      <x:c r="IF23" s="14" t="n">
        <x:v>3</x:v>
      </x:c>
      <x:c r="IG23" s="14" t="str">
        <x:v>未收錄</x:v>
      </x:c>
      <x:c r="IH23" s="14" t="str">
        <x:v>23358</x:v>
      </x:c>
      <x:c r="II23" s="14" t="n">
        <x:v>8</x:v>
      </x:c>
      <x:c r="IJ23" s="14" t="n">
        <x:v>1012</x:v>
      </x:c>
      <x:c r="IK23" s="14" t="n">
        <x:v>36</x:v>
      </x:c>
      <x:c r="IL23" s="14" t="n">
        <x:v>9</x:v>
      </x:c>
      <x:c r="IM23" s="14" t="n">
        <x:v>4</x:v>
      </x:c>
      <x:c r="IN23" s="14" t="str">
        <x:v>未收錄</x:v>
      </x:c>
      <x:c r="IO23" s="14" t="str">
        <x:v>20794</x:v>
      </x:c>
      <x:c r="IP23" s="14" t="n">
        <x:v>8</x:v>
      </x:c>
      <x:c r="IQ23" s="14" t="n">
        <x:v>1177</x:v>
      </x:c>
      <x:c r="IR23" s="14" t="n">
        <x:v>33</x:v>
      </x:c>
      <x:c r="IS23" s="14" t="n">
        <x:v>9</x:v>
      </x:c>
      <x:c r="IT23" s="14" t="n">
        <x:v>1</x:v>
      </x:c>
      <x:c r="IU23" s="14" t="str">
        <x:v>未收錄</x:v>
      </x:c>
      <x:c r="IV23" s="14" t="str">
        <x:v>20795</x:v>
      </x:c>
      <x:c r="IW23" s="14" t="n">
        <x:v>8</x:v>
      </x:c>
      <x:c r="IX23" s="14" t="n">
        <x:v>1178</x:v>
      </x:c>
      <x:c r="IY23" s="14" t="n">
        <x:v>34</x:v>
      </x:c>
      <x:c r="IZ23" s="14" t="n">
        <x:v>9</x:v>
      </x:c>
      <x:c r="JA23" s="14" t="n">
        <x:v>2</x:v>
      </x:c>
      <x:c r="JB23" s="14" t="str">
        <x:v>未收錄</x:v>
      </x:c>
      <x:c r="JC23" s="14" t="str">
        <x:v>20796</x:v>
      </x:c>
      <x:c r="JD23" s="14" t="n">
        <x:v>8</x:v>
      </x:c>
      <x:c r="JE23" s="14" t="n">
        <x:v>1179</x:v>
      </x:c>
      <x:c r="JF23" s="14" t="n">
        <x:v>35</x:v>
      </x:c>
      <x:c r="JG23" s="14" t="n">
        <x:v>9</x:v>
      </x:c>
      <x:c r="JH23" s="14" t="n">
        <x:v>3</x:v>
      </x:c>
      <x:c r="JI23" s="14" t="str">
        <x:v>未收錄</x:v>
      </x:c>
      <x:c r="JJ23" s="14" t="str">
        <x:v>20797</x:v>
      </x:c>
      <x:c r="JK23" s="14" t="n">
        <x:v>8</x:v>
      </x:c>
      <x:c r="JL23" s="14" t="n">
        <x:v>1180</x:v>
      </x:c>
      <x:c r="JM23" s="14" t="n">
        <x:v>36</x:v>
      </x:c>
      <x:c r="JN23" s="14" t="n">
        <x:v>9</x:v>
      </x:c>
      <x:c r="JO23" s="14" t="n">
        <x:v>4</x:v>
      </x:c>
      <x:c r="JP23" s="14" t="str">
        <x:v>未收錄</x:v>
      </x:c>
      <x:c r="JQ23" s="14" t="str">
        <x:v>21140</x:v>
      </x:c>
      <x:c r="JR23" s="14" t="n">
        <x:v>8</x:v>
      </x:c>
      <x:c r="JS23" s="14" t="n">
        <x:v>1344</x:v>
      </x:c>
      <x:c r="JT23" s="14" t="n">
        <x:v>33</x:v>
      </x:c>
      <x:c r="JU23" s="14" t="n">
        <x:v>9</x:v>
      </x:c>
      <x:c r="JV23" s="14" t="n">
        <x:v>1</x:v>
      </x:c>
      <x:c r="JW23" s="14" t="str">
        <x:v>未收錄</x:v>
      </x:c>
      <x:c r="JX23" s="14" t="str">
        <x:v>21141</x:v>
      </x:c>
      <x:c r="JY23" s="14" t="n">
        <x:v>8</x:v>
      </x:c>
      <x:c r="JZ23" s="14" t="n">
        <x:v>1345</x:v>
      </x:c>
      <x:c r="KA23" s="14" t="n">
        <x:v>34</x:v>
      </x:c>
      <x:c r="KB23" s="14" t="n">
        <x:v>9</x:v>
      </x:c>
      <x:c r="KC23" s="14" t="n">
        <x:v>2</x:v>
      </x:c>
      <x:c r="KD23" s="14" t="str">
        <x:v>未收錄</x:v>
      </x:c>
      <x:c r="KE23" s="14" t="str">
        <x:v>21548</x:v>
      </x:c>
      <x:c r="KF23" s="14" t="n">
        <x:v>8</x:v>
      </x:c>
      <x:c r="KG23" s="14" t="n">
        <x:v>1346</x:v>
      </x:c>
      <x:c r="KH23" s="14" t="n">
        <x:v>35</x:v>
      </x:c>
      <x:c r="KI23" s="14" t="n">
        <x:v>9</x:v>
      </x:c>
      <x:c r="KJ23" s="14" t="n">
        <x:v>3</x:v>
      </x:c>
      <x:c r="KK23" s="14" t="str">
        <x:v>未收錄</x:v>
      </x:c>
      <x:c r="KL23" s="14" t="str">
        <x:v>23301</x:v>
      </x:c>
      <x:c r="KM23" s="14" t="n">
        <x:v>8</x:v>
      </x:c>
      <x:c r="KN23" s="14" t="n">
        <x:v>1347</x:v>
      </x:c>
      <x:c r="KO23" s="14" t="n">
        <x:v>36</x:v>
      </x:c>
      <x:c r="KP23" s="14" t="n">
        <x:v>9</x:v>
      </x:c>
      <x:c r="KQ23" s="14" t="n">
        <x:v>4</x:v>
      </x:c>
      <x:c r="KR23" s="14" t="str">
        <x:v>未收錄</x:v>
      </x:c>
      <x:c r="KS23" s="14" t="str">
        <x:v>21101</x:v>
      </x:c>
      <x:c r="KT23" s="14" t="n">
        <x:v>8</x:v>
      </x:c>
      <x:c r="KU23" s="14" t="n">
        <x:v>1459</x:v>
      </x:c>
      <x:c r="KV23" s="14" t="n">
        <x:v>33</x:v>
      </x:c>
      <x:c r="KW23" s="14" t="n">
        <x:v>9</x:v>
      </x:c>
      <x:c r="KX23" s="14" t="n">
        <x:v>1</x:v>
      </x:c>
      <x:c r="KY23" s="14" t="str">
        <x:v>未收錄</x:v>
      </x:c>
      <x:c r="KZ23" s="14" t="str">
        <x:v>21102</x:v>
      </x:c>
      <x:c r="LA23" s="14" t="n">
        <x:v>8</x:v>
      </x:c>
      <x:c r="LB23" s="14" t="n">
        <x:v>1460</x:v>
      </x:c>
      <x:c r="LC23" s="14" t="n">
        <x:v>34</x:v>
      </x:c>
      <x:c r="LD23" s="14" t="n">
        <x:v>9</x:v>
      </x:c>
      <x:c r="LE23" s="14" t="n">
        <x:v>2</x:v>
      </x:c>
      <x:c r="LF23" s="14" t="str">
        <x:v>未收錄</x:v>
      </x:c>
      <x:c r="LG23" s="14" t="str">
        <x:v>21103</x:v>
      </x:c>
      <x:c r="LH23" s="14" t="n">
        <x:v>8</x:v>
      </x:c>
      <x:c r="LI23" s="14" t="n">
        <x:v>1461</x:v>
      </x:c>
      <x:c r="LJ23" s="14" t="n">
        <x:v>35</x:v>
      </x:c>
      <x:c r="LK23" s="14" t="n">
        <x:v>9</x:v>
      </x:c>
      <x:c r="LL23" s="14" t="n">
        <x:v>3</x:v>
      </x:c>
      <x:c r="LM23" s="14" t="str">
        <x:v>未收錄</x:v>
      </x:c>
      <x:c r="LN23" s="14" t="str">
        <x:v>21104</x:v>
      </x:c>
      <x:c r="LO23" s="14" t="n">
        <x:v>8</x:v>
      </x:c>
      <x:c r="LP23" s="14" t="n">
        <x:v>1462</x:v>
      </x:c>
      <x:c r="LQ23" s="14" t="n">
        <x:v>36</x:v>
      </x:c>
      <x:c r="LR23" s="14" t="n">
        <x:v>9</x:v>
      </x:c>
      <x:c r="LS23" s="14" t="n">
        <x:v>4</x:v>
      </x:c>
      <x:c r="LT23" s="14" t="str">
        <x:v>未收錄</x:v>
      </x:c>
      <x:c r="LU23" s="14" t="str">
        <x:v>23170</x:v>
      </x:c>
      <x:c r="LV23" s="14" t="n">
        <x:v>8</x:v>
      </x:c>
      <x:c r="LW23" s="14" t="n">
        <x:v>1572</x:v>
      </x:c>
      <x:c r="LX23" s="14" t="n">
        <x:v>33</x:v>
      </x:c>
      <x:c r="LY23" s="14" t="n">
        <x:v>9</x:v>
      </x:c>
      <x:c r="LZ23" s="14" t="n">
        <x:v>1</x:v>
      </x:c>
      <x:c r="MA23" s="14" t="str">
        <x:v>未收錄</x:v>
      </x:c>
      <x:c r="MB23" s="14" t="str">
        <x:v>23171</x:v>
      </x:c>
      <x:c r="MC23" s="14" t="n">
        <x:v>8</x:v>
      </x:c>
      <x:c r="MD23" s="14" t="n">
        <x:v>1573</x:v>
      </x:c>
      <x:c r="ME23" s="14" t="n">
        <x:v>34</x:v>
      </x:c>
      <x:c r="MF23" s="14" t="n">
        <x:v>9</x:v>
      </x:c>
      <x:c r="MG23" s="14" t="n">
        <x:v>2</x:v>
      </x:c>
      <x:c r="MH23" s="14" t="str">
        <x:v>未收錄</x:v>
      </x:c>
      <x:c r="MI23" s="14" t="str">
        <x:v>23622</x:v>
      </x:c>
      <x:c r="MJ23" s="14" t="n">
        <x:v>8</x:v>
      </x:c>
      <x:c r="MK23" s="14" t="n">
        <x:v>1574</x:v>
      </x:c>
      <x:c r="ML23" s="14" t="n">
        <x:v>35</x:v>
      </x:c>
      <x:c r="MM23" s="14" t="n">
        <x:v>9</x:v>
      </x:c>
      <x:c r="MN23" s="14" t="n">
        <x:v>3</x:v>
      </x:c>
      <x:c r="MO23" s="14" t="str">
        <x:v>未收錄</x:v>
      </x:c>
      <x:c r="MP23" s="14" t="str">
        <x:v>23623</x:v>
      </x:c>
      <x:c r="MQ23" s="14" t="n">
        <x:v>8</x:v>
      </x:c>
      <x:c r="MR23" s="14" t="n">
        <x:v>1575</x:v>
      </x:c>
      <x:c r="MS23" s="14" t="n">
        <x:v>36</x:v>
      </x:c>
      <x:c r="MT23" s="14" t="n">
        <x:v>9</x:v>
      </x:c>
      <x:c r="MU23" s="14" t="n">
        <x:v>4</x:v>
      </x:c>
      <x:c r="MV23" s="14" t="str">
        <x:v>未收錄</x:v>
      </x:c>
      <x:c r="MW23" s="14" t="str">
        <x:v>20839</x:v>
      </x:c>
      <x:c r="MX23" s="14" t="n">
        <x:v>1</x:v>
      </x:c>
      <x:c r="MY23" s="14" t="n">
        <x:v>1681</x:v>
      </x:c>
      <x:c r="MZ23" s="14" t="n">
        <x:v>33</x:v>
      </x:c>
      <x:c r="NA23" s="14" t="n">
        <x:v>9</x:v>
      </x:c>
      <x:c r="NB23" s="14" t="n">
        <x:v>1</x:v>
      </x:c>
      <x:c r="NC23" s="14" t="str">
        <x:v>未收錄</x:v>
      </x:c>
      <x:c r="ND23" s="14" t="str">
        <x:v>20840</x:v>
      </x:c>
      <x:c r="NE23" s="14" t="n">
        <x:v>1</x:v>
      </x:c>
      <x:c r="NF23" s="14" t="n">
        <x:v>1682</x:v>
      </x:c>
      <x:c r="NG23" s="14" t="n">
        <x:v>34</x:v>
      </x:c>
      <x:c r="NH23" s="14" t="n">
        <x:v>9</x:v>
      </x:c>
      <x:c r="NI23" s="14" t="n">
        <x:v>2</x:v>
      </x:c>
      <x:c r="NJ23" s="14" t="str">
        <x:v>未收錄</x:v>
      </x:c>
      <x:c r="NK23" s="14" t="str">
        <x:v>20841</x:v>
      </x:c>
      <x:c r="NL23" s="14" t="n">
        <x:v>1</x:v>
      </x:c>
      <x:c r="NM23" s="14" t="n">
        <x:v>1683</x:v>
      </x:c>
      <x:c r="NN23" s="14" t="n">
        <x:v>35</x:v>
      </x:c>
      <x:c r="NO23" s="14" t="n">
        <x:v>9</x:v>
      </x:c>
      <x:c r="NP23" s="14" t="n">
        <x:v>3</x:v>
      </x:c>
      <x:c r="NQ23" s="14" t="str">
        <x:v>未收錄</x:v>
      </x:c>
      <x:c r="NR23" s="14" t="str">
        <x:v>20575</x:v>
      </x:c>
      <x:c r="NS23" s="14" t="n">
        <x:v>1</x:v>
      </x:c>
      <x:c r="NT23" s="14" t="n">
        <x:v>1684</x:v>
      </x:c>
      <x:c r="NU23" s="14" t="n">
        <x:v>36</x:v>
      </x:c>
      <x:c r="NV23" s="14" t="n">
        <x:v>9</x:v>
      </x:c>
      <x:c r="NW23" s="14" t="n">
        <x:v>4</x:v>
      </x:c>
      <x:c r="NX23" s="14" t="str">
        <x:v>未收錄</x:v>
      </x:c>
      <x:c r="NY23" s="14" t="str">
        <x:v>21222</x:v>
      </x:c>
      <x:c r="NZ23" s="14" t="n">
        <x:v>1</x:v>
      </x:c>
      <x:c r="OA23" s="14" t="n">
        <x:v>2134</x:v>
      </x:c>
      <x:c r="OB23" s="14" t="n">
        <x:v>33</x:v>
      </x:c>
      <x:c r="OC23" s="14" t="n">
        <x:v>9</x:v>
      </x:c>
      <x:c r="OD23" s="14" t="n">
        <x:v>1</x:v>
      </x:c>
      <x:c r="OE23" s="14" t="str">
        <x:v>未收錄</x:v>
      </x:c>
      <x:c r="OF23" s="14" t="str">
        <x:v>21223</x:v>
      </x:c>
      <x:c r="OG23" s="14" t="n">
        <x:v>1</x:v>
      </x:c>
      <x:c r="OH23" s="14" t="n">
        <x:v>2135</x:v>
      </x:c>
      <x:c r="OI23" s="14" t="n">
        <x:v>34</x:v>
      </x:c>
      <x:c r="OJ23" s="14" t="n">
        <x:v>9</x:v>
      </x:c>
      <x:c r="OK23" s="14" t="n">
        <x:v>2</x:v>
      </x:c>
      <x:c r="OL23" s="14" t="str">
        <x:v>未收錄</x:v>
      </x:c>
      <x:c r="OM23" s="14" t="str">
        <x:v>21224</x:v>
      </x:c>
      <x:c r="ON23" s="14" t="n">
        <x:v>1</x:v>
      </x:c>
      <x:c r="OO23" s="14" t="n">
        <x:v>2136</x:v>
      </x:c>
      <x:c r="OP23" s="14" t="n">
        <x:v>35</x:v>
      </x:c>
      <x:c r="OQ23" s="14" t="n">
        <x:v>9</x:v>
      </x:c>
      <x:c r="OR23" s="14" t="n">
        <x:v>3</x:v>
      </x:c>
      <x:c r="OS23" s="14" t="str">
        <x:v>未收錄</x:v>
      </x:c>
      <x:c r="OT23" s="14" t="str">
        <x:v>21225</x:v>
      </x:c>
      <x:c r="OU23" s="14" t="n">
        <x:v>1</x:v>
      </x:c>
      <x:c r="OV23" s="14" t="n">
        <x:v>2137</x:v>
      </x:c>
      <x:c r="OW23" s="14" t="n">
        <x:v>36</x:v>
      </x:c>
      <x:c r="OX23" s="14" t="n">
        <x:v>9</x:v>
      </x:c>
      <x:c r="OY23" s="14" t="n">
        <x:v>4</x:v>
      </x:c>
      <x:c r="OZ23" s="14" t="str">
        <x:v>未收錄</x:v>
      </x:c>
      <x:c r="PA23" s="14" t="str">
        <x:v>21432</x:v>
      </x:c>
      <x:c r="PB23" s="14" t="n">
        <x:v>1</x:v>
      </x:c>
      <x:c r="PC23" s="14" t="n">
        <x:v>2680</x:v>
      </x:c>
      <x:c r="PD23" s="14" t="n">
        <x:v>33</x:v>
      </x:c>
      <x:c r="PE23" s="14" t="n">
        <x:v>9</x:v>
      </x:c>
      <x:c r="PF23" s="14" t="n">
        <x:v>1</x:v>
      </x:c>
      <x:c r="PG23" s="14" t="str">
        <x:v>未收錄</x:v>
      </x:c>
      <x:c r="PH23" s="14" t="str">
        <x:v>21433</x:v>
      </x:c>
      <x:c r="PI23" s="14" t="n">
        <x:v>1</x:v>
      </x:c>
      <x:c r="PJ23" s="14" t="n">
        <x:v>2681</x:v>
      </x:c>
      <x:c r="PK23" s="14" t="n">
        <x:v>34</x:v>
      </x:c>
      <x:c r="PL23" s="14" t="n">
        <x:v>9</x:v>
      </x:c>
      <x:c r="PM23" s="14" t="n">
        <x:v>2</x:v>
      </x:c>
      <x:c r="PN23" s="14" t="str">
        <x:v>未收錄</x:v>
      </x:c>
      <x:c r="PO23" s="14" t="str">
        <x:v>21434</x:v>
      </x:c>
      <x:c r="PP23" s="14" t="n">
        <x:v>1</x:v>
      </x:c>
      <x:c r="PQ23" s="14" t="n">
        <x:v>2682</x:v>
      </x:c>
      <x:c r="PR23" s="14" t="n">
        <x:v>35</x:v>
      </x:c>
      <x:c r="PS23" s="14" t="n">
        <x:v>9</x:v>
      </x:c>
      <x:c r="PT23" s="14" t="n">
        <x:v>3</x:v>
      </x:c>
      <x:c r="PU23" s="14" t="str">
        <x:v>未收錄</x:v>
      </x:c>
      <x:c r="PV23" s="14" t="str">
        <x:v>20633</x:v>
      </x:c>
      <x:c r="PW23" s="14" t="n">
        <x:v>2</x:v>
      </x:c>
      <x:c r="PX23" s="14" t="n">
        <x:v>2683</x:v>
      </x:c>
      <x:c r="PY23" s="14" t="n">
        <x:v>36</x:v>
      </x:c>
      <x:c r="PZ23" s="14" t="n">
        <x:v>9</x:v>
      </x:c>
      <x:c r="QA23" s="14" t="n">
        <x:v>4</x:v>
      </x:c>
      <x:c r="QB23" s="14" t="str">
        <x:v>未收錄</x:v>
      </x:c>
      <x:c r="QC23" s="14" t="str">
        <x:v>21428</x:v>
      </x:c>
      <x:c r="QD23" s="14" t="n">
        <x:v>1</x:v>
      </x:c>
      <x:c r="QE23" s="14" t="n">
        <x:v>3117</x:v>
      </x:c>
      <x:c r="QF23" s="14" t="n">
        <x:v>33</x:v>
      </x:c>
      <x:c r="QG23" s="14" t="n">
        <x:v>9</x:v>
      </x:c>
      <x:c r="QH23" s="14" t="n">
        <x:v>1</x:v>
      </x:c>
      <x:c r="QI23" s="14" t="str">
        <x:v>未收錄</x:v>
      </x:c>
      <x:c r="QJ23" s="14" t="str">
        <x:v>21429</x:v>
      </x:c>
      <x:c r="QK23" s="14" t="n">
        <x:v>1</x:v>
      </x:c>
      <x:c r="QL23" s="14" t="n">
        <x:v>3118</x:v>
      </x:c>
      <x:c r="QM23" s="14" t="n">
        <x:v>34</x:v>
      </x:c>
      <x:c r="QN23" s="14" t="n">
        <x:v>9</x:v>
      </x:c>
      <x:c r="QO23" s="14" t="n">
        <x:v>2</x:v>
      </x:c>
      <x:c r="QP23" s="14" t="str">
        <x:v>未收錄</x:v>
      </x:c>
      <x:c r="QQ23" s="14" t="str">
        <x:v>20634</x:v>
      </x:c>
      <x:c r="QR23" s="14" t="n">
        <x:v>2</x:v>
      </x:c>
      <x:c r="QS23" s="14" t="n">
        <x:v>3119</x:v>
      </x:c>
      <x:c r="QT23" s="14" t="n">
        <x:v>35</x:v>
      </x:c>
      <x:c r="QU23" s="14" t="n">
        <x:v>9</x:v>
      </x:c>
      <x:c r="QV23" s="14" t="n">
        <x:v>3</x:v>
      </x:c>
      <x:c r="QW23" s="14" t="str">
        <x:v>未收錄</x:v>
      </x:c>
      <x:c r="QX23" s="14" t="str">
        <x:v>21031</x:v>
      </x:c>
      <x:c r="QY23" s="14" t="n">
        <x:v>2</x:v>
      </x:c>
      <x:c r="QZ23" s="14" t="n">
        <x:v>3120</x:v>
      </x:c>
      <x:c r="RA23" s="14" t="n">
        <x:v>36</x:v>
      </x:c>
      <x:c r="RB23" s="14" t="n">
        <x:v>9</x:v>
      </x:c>
      <x:c r="RC23" s="14" t="n">
        <x:v>4</x:v>
      </x:c>
      <x:c r="RD23" s="14" t="str">
        <x:v>未收錄</x:v>
      </x:c>
      <x:c r="RE23" s="14" t="str">
        <x:v>20449</x:v>
      </x:c>
      <x:c r="RF23" s="14" t="n">
        <x:v>3</x:v>
      </x:c>
      <x:c r="RG23" s="14" t="n">
        <x:v>3578</x:v>
      </x:c>
      <x:c r="RH23" s="14" t="n">
        <x:v>33</x:v>
      </x:c>
      <x:c r="RI23" s="14" t="n">
        <x:v>9</x:v>
      </x:c>
      <x:c r="RJ23" s="14" t="n">
        <x:v>1</x:v>
      </x:c>
      <x:c r="RK23" s="14" t="str">
        <x:v>未收錄</x:v>
      </x:c>
      <x:c r="RL23" s="14" t="str">
        <x:v>20262</x:v>
      </x:c>
      <x:c r="RM23" s="14" t="n">
        <x:v>3</x:v>
      </x:c>
      <x:c r="RN23" s="14" t="n">
        <x:v>3579</x:v>
      </x:c>
      <x:c r="RO23" s="14" t="n">
        <x:v>34</x:v>
      </x:c>
      <x:c r="RP23" s="14" t="n">
        <x:v>9</x:v>
      </x:c>
      <x:c r="RQ23" s="14" t="n">
        <x:v>2</x:v>
      </x:c>
      <x:c r="RR23" s="14" t="str">
        <x:v>未收錄</x:v>
      </x:c>
      <x:c r="RS23" s="14" t="str">
        <x:v>20263</x:v>
      </x:c>
      <x:c r="RT23" s="14" t="n">
        <x:v>3</x:v>
      </x:c>
      <x:c r="RU23" s="14" t="n">
        <x:v>3580</x:v>
      </x:c>
      <x:c r="RV23" s="14" t="n">
        <x:v>35</x:v>
      </x:c>
      <x:c r="RW23" s="14" t="n">
        <x:v>9</x:v>
      </x:c>
      <x:c r="RX23" s="14" t="n">
        <x:v>3</x:v>
      </x:c>
      <x:c r="RY23" s="14" t="str">
        <x:v>未收錄</x:v>
      </x:c>
      <x:c r="RZ23" s="14" t="str">
        <x:v>20260</x:v>
      </x:c>
      <x:c r="SA23" s="14" t="n">
        <x:v>3</x:v>
      </x:c>
      <x:c r="SB23" s="14" t="n">
        <x:v>3581</x:v>
      </x:c>
      <x:c r="SC23" s="14" t="n">
        <x:v>36</x:v>
      </x:c>
      <x:c r="SD23" s="14" t="n">
        <x:v>9</x:v>
      </x:c>
      <x:c r="SE23" s="14" t="n">
        <x:v>4</x:v>
      </x:c>
      <x:c r="SF23" s="14" t="str">
        <x:v>未收錄</x:v>
      </x:c>
      <x:c r="SG23" s="14" t="str">
        <x:v>29722</x:v>
      </x:c>
      <x:c r="SH23" s="14" t="n">
        <x:v>5</x:v>
      </x:c>
      <x:c r="SI23" s="14" t="n">
        <x:v>4002</x:v>
      </x:c>
      <x:c r="SJ23" s="14" t="n">
        <x:v>33</x:v>
      </x:c>
      <x:c r="SK23" s="14" t="n">
        <x:v>9</x:v>
      </x:c>
      <x:c r="SL23" s="14" t="n">
        <x:v>1</x:v>
      </x:c>
      <x:c r="SM23" s="14" t="str">
        <x:v>未收錄</x:v>
      </x:c>
      <x:c r="SN23" s="14" t="str">
        <x:v>29723</x:v>
      </x:c>
      <x:c r="SO23" s="14" t="n">
        <x:v>5</x:v>
      </x:c>
      <x:c r="SP23" s="14" t="n">
        <x:v>4003</x:v>
      </x:c>
      <x:c r="SQ23" s="14" t="n">
        <x:v>34</x:v>
      </x:c>
      <x:c r="SR23" s="14" t="n">
        <x:v>9</x:v>
      </x:c>
      <x:c r="SS23" s="14" t="n">
        <x:v>2</x:v>
      </x:c>
      <x:c r="ST23" s="14" t="str">
        <x:v>未收錄</x:v>
      </x:c>
      <x:c r="SU23" s="14" t="str">
        <x:v>29724</x:v>
      </x:c>
      <x:c r="SV23" s="14" t="n">
        <x:v>5</x:v>
      </x:c>
      <x:c r="SW23" s="14" t="n">
        <x:v>4004</x:v>
      </x:c>
      <x:c r="SX23" s="14" t="n">
        <x:v>35</x:v>
      </x:c>
      <x:c r="SY23" s="14" t="n">
        <x:v>9</x:v>
      </x:c>
      <x:c r="SZ23" s="14" t="n">
        <x:v>3</x:v>
      </x:c>
      <x:c r="TA23" s="14" t="str">
        <x:v>未收錄</x:v>
      </x:c>
      <x:c r="TB23" s="14" t="str">
        <x:v>29726</x:v>
      </x:c>
      <x:c r="TC23" s="14" t="n">
        <x:v>5</x:v>
      </x:c>
      <x:c r="TD23" s="14" t="n">
        <x:v>4005</x:v>
      </x:c>
      <x:c r="TE23" s="14" t="n">
        <x:v>36</x:v>
      </x:c>
      <x:c r="TF23" s="14" t="n">
        <x:v>9</x:v>
      </x:c>
      <x:c r="TG23" s="14" t="n">
        <x:v>4</x:v>
      </x:c>
      <x:c r="TH23" s="14" t="str">
        <x:v>未收錄</x:v>
      </x:c>
    </x:row>
    <x:row r="24" ht="15" customHeight="1">
      <x:c r="A24" s="18" t="str">
        <x:v>奇杷反覆劍</x:v>
      </x:c>
      <x:c r="B24" s="18" t="str">
        <x:v>紫月追風劍</x:v>
      </x:c>
      <x:c r="C24" s="18" t="str">
        <x:v>紫月赤墜劍</x:v>
      </x:c>
      <x:c r="D24" s="18" t="str">
        <x:v>御城劍</x:v>
      </x:c>
      <x:c r="E24" s="14"/>
      <x:c r="F24" s="18" t="str">
        <x:v>絕世冰蠶刀</x:v>
      </x:c>
      <x:c r="G24" s="18" t="str">
        <x:v>炎精刀</x:v>
      </x:c>
      <x:c r="H24" s="18" t="str">
        <x:v>地靈炎精刀</x:v>
      </x:c>
      <x:c r="I24" s="18" t="str">
        <x:v>絕世炎精刀</x:v>
      </x:c>
      <x:c r="J24" s="14"/>
      <x:c r="K24" s="18" t="str">
        <x:v>臥龍金剛環</x:v>
      </x:c>
      <x:c r="L24" s="18" t="str">
        <x:v>神銳大士爺</x:v>
      </x:c>
      <x:c r="M24" s="18" t="str">
        <x:v>邪銳旃荼羅</x:v>
      </x:c>
      <x:c r="N24" s="18" t="str">
        <x:v>連星弩</x:v>
      </x:c>
      <x:c r="O24" s="14"/>
      <x:c r="P24" s="18" t="str">
        <x:v>凌虛拂塵</x:v>
      </x:c>
      <x:c r="Q24" s="18" t="str">
        <x:v>清虛骨杖</x:v>
      </x:c>
      <x:c r="R24" s="18" t="str">
        <x:v>絕世清虛骨杖</x:v>
      </x:c>
      <x:c r="S24" s="18" t="str">
        <x:v>搖光拂塵</x:v>
      </x:c>
      <x:c r="T24" s="14"/>
      <x:c r="U24" s="18" t="str">
        <x:v>絕世梵天法杖</x:v>
      </x:c>
      <x:c r="V24" s="18" t="str">
        <x:v>菩提法杖</x:v>
      </x:c>
      <x:c r="W24" s="18" t="str">
        <x:v>絕世菩提法杖</x:v>
      </x:c>
      <x:c r="X24" s="18" t="str">
        <x:v>達摩法杖</x:v>
      </x:c>
      <x:c r="Y24" s="14"/>
      <x:c r="Z24" s="18" t="str">
        <x:v>冥皇海龍槍</x:v>
      </x:c>
      <x:c r="AA24" s="18" t="str">
        <x:v>纏花槍</x:v>
      </x:c>
      <x:c r="AB24" s="18" t="str">
        <x:v>破浪槍</x:v>
      </x:c>
      <x:c r="AC24" s="18" t="str">
        <x:v>狂浪戟</x:v>
      </x:c>
      <x:c r="AD24" s="14"/>
      <x:c r="AE24" s="18" t="str">
        <x:v>五毒棍</x:v>
      </x:c>
      <x:c r="AF24" s="18" t="str">
        <x:v>玉竹棍</x:v>
      </x:c>
      <x:c r="AG24" s="18" t="str">
        <x:v>平海棍</x:v>
      </x:c>
      <x:c r="AH24" s="18" t="str">
        <x:v>定海棍</x:v>
      </x:c>
      <x:c r="AI24" s="14"/>
      <x:c r="AJ24" s="18" t="str">
        <x:v>鎮妖錘</x:v>
      </x:c>
      <x:c r="AK24" s="18" t="str">
        <x:v>神武錘</x:v>
      </x:c>
      <x:c r="AL24" s="18" t="str">
        <x:v>天罡錘</x:v>
      </x:c>
      <x:c r="AM24" s="18" t="str">
        <x:v>混世魔王錘</x:v>
      </x:c>
      <x:c r="AN24" s="14"/>
      <x:c r="AO24" s="18" t="str">
        <x:v>盤古斧</x:v>
      </x:c>
      <x:c r="AP24" s="18" t="str">
        <x:v>斷水斧</x:v>
      </x:c>
      <x:c r="AQ24" s="18" t="str">
        <x:v>黃泉斧</x:v>
      </x:c>
      <x:c r="AR24" s="18" t="str">
        <x:v>絕世黃泉斧</x:v>
      </x:c>
      <x:c r="AS24" s="14"/>
      <x:c r="AT24" s="18" t="str">
        <x:v>唐卡繪盾</x:v>
      </x:c>
      <x:c r="AU24" s="18" t="str">
        <x:v>太古唐卡繪盾</x:v>
      </x:c>
      <x:c r="AV24" s="18" t="str">
        <x:v>曼陀羅金盾</x:v>
      </x:c>
      <x:c r="AW24" s="18" t="str">
        <x:v>太古曼陀羅金盾</x:v>
      </x:c>
      <x:c r="AX24" s="14"/>
      <x:c r="AY24" s="18" t="str">
        <x:v>將門冠</x:v>
      </x:c>
      <x:c r="AZ24" s="18" t="str">
        <x:v>五色頭巾</x:v>
      </x:c>
      <x:c r="BA24" s="18" t="str">
        <x:v>獸角骨盔</x:v>
      </x:c>
      <x:c r="BB24" s="18" t="str">
        <x:v>鬼王面具</x:v>
      </x:c>
      <x:c r="BC24" s="14"/>
      <x:c r="BD24" s="18" t="str">
        <x:v>金甲鎧甲</x:v>
      </x:c>
      <x:c r="BE24" s="18" t="str">
        <x:v>貝鱗甲</x:v>
      </x:c>
      <x:c r="BF24" s="18" t="str">
        <x:v>片鱗袍</x:v>
      </x:c>
      <x:c r="BG24" s="18" t="str">
        <x:v>紋鱗袈裟</x:v>
      </x:c>
      <x:c r="BH24" s="14"/>
      <x:c r="BI24" s="18" t="str">
        <x:v>續命護腕</x:v>
      </x:c>
      <x:c r="BJ24" s="18" t="str">
        <x:v>護法布腕</x:v>
      </x:c>
      <x:c r="BK24" s="18" t="str">
        <x:v>征西戰腕</x:v>
      </x:c>
      <x:c r="BL24" s="18" t="str">
        <x:v>歐風戰腕</x:v>
      </x:c>
      <x:c r="BM24" s="14"/>
      <x:c r="BN24" s="18" t="str">
        <x:v>冥鬼鞋</x:v>
      </x:c>
      <x:c r="BO24" s="18" t="str">
        <x:v>征西戰靴</x:v>
      </x:c>
      <x:c r="BP24" s="18" t="str">
        <x:v>歐風戰靴</x:v>
      </x:c>
      <x:c r="BQ24" s="18" t="str">
        <x:v>異空戰靴</x:v>
      </x:c>
      <x:c r="BR24" s="14"/>
      <x:c r="BS24" s="18" t="str">
        <x:v>靈咒金鐲</x:v>
      </x:c>
      <x:c r="BT24" s="18" t="str">
        <x:v>秘符銀鍊</x:v>
      </x:c>
      <x:c r="BU24" s="18" t="str">
        <x:v>靈咒金鍊</x:v>
      </x:c>
      <x:c r="BV24" s="18" t="str">
        <x:v>咒術指環</x:v>
      </x:c>
      <x:c r="BW24" s="14"/>
      <x:c r="BX24" s="18" t="str">
        <x:v>艮虛仙渦石</x:v>
      </x:c>
      <x:c r="BY24" s="18" t="str">
        <x:v>兌虛仙渦石</x:v>
      </x:c>
      <x:c r="BZ24" s="18" t="str">
        <x:v>巽虛仙渦石</x:v>
      </x:c>
      <x:c r="CA24" s="18" t="str">
        <x:v>震虛仙渦石</x:v>
      </x:c>
      <x:c r="CB24" s="14"/>
      <x:c r="CC24" s="14" t="str">
        <x:v>28654</x:v>
      </x:c>
      <x:c r="CD24" s="14" t="n">
        <x:v>1</x:v>
      </x:c>
      <x:c r="CE24" s="14" t="n">
        <x:v>37</x:v>
      </x:c>
      <x:c r="CF24" s="14" t="n">
        <x:v>37</x:v>
      </x:c>
      <x:c r="CG24" s="14" t="n">
        <x:v>10</x:v>
      </x:c>
      <x:c r="CH24" s="14" t="n">
        <x:v>1</x:v>
      </x:c>
      <x:c r="CI24" s="14" t="str">
        <x:v>未收錄</x:v>
      </x:c>
      <x:c r="CJ24" s="14" t="str">
        <x:v>28655</x:v>
      </x:c>
      <x:c r="CK24" s="14" t="n">
        <x:v>1</x:v>
      </x:c>
      <x:c r="CL24" s="14" t="n">
        <x:v>38</x:v>
      </x:c>
      <x:c r="CM24" s="14" t="n">
        <x:v>38</x:v>
      </x:c>
      <x:c r="CN24" s="14" t="n">
        <x:v>10</x:v>
      </x:c>
      <x:c r="CO24" s="14" t="n">
        <x:v>2</x:v>
      </x:c>
      <x:c r="CP24" s="14" t="str">
        <x:v>未收錄</x:v>
      </x:c>
      <x:c r="CQ24" s="14" t="str">
        <x:v>29093</x:v>
      </x:c>
      <x:c r="CR24" s="14" t="n">
        <x:v>1</x:v>
      </x:c>
      <x:c r="CS24" s="14" t="n">
        <x:v>39</x:v>
      </x:c>
      <x:c r="CT24" s="14" t="n">
        <x:v>39</x:v>
      </x:c>
      <x:c r="CU24" s="14" t="n">
        <x:v>10</x:v>
      </x:c>
      <x:c r="CV24" s="14" t="n">
        <x:v>3</x:v>
      </x:c>
      <x:c r="CW24" s="14" t="str">
        <x:v>未收錄</x:v>
      </x:c>
      <x:c r="CX24" s="14" t="str">
        <x:v>23050</x:v>
      </x:c>
      <x:c r="CY24" s="14" t="n">
        <x:v>1</x:v>
      </x:c>
      <x:c r="CZ24" s="14" t="n">
        <x:v>40</x:v>
      </x:c>
      <x:c r="DA24" s="14" t="n">
        <x:v>40</x:v>
      </x:c>
      <x:c r="DB24" s="14" t="n">
        <x:v>10</x:v>
      </x:c>
      <x:c r="DC24" s="14" t="n">
        <x:v>4</x:v>
      </x:c>
      <x:c r="DD24" s="14" t="str">
        <x:v>未收錄</x:v>
      </x:c>
      <x:c r="DE24" s="14" t="str">
        <x:v>22038</x:v>
      </x:c>
      <x:c r="DF24" s="14" t="n">
        <x:v>8</x:v>
      </x:c>
      <x:c r="DG24" s="14" t="n">
        <x:v>282</x:v>
      </x:c>
      <x:c r="DH24" s="14" t="n">
        <x:v>37</x:v>
      </x:c>
      <x:c r="DI24" s="14" t="n">
        <x:v>10</x:v>
      </x:c>
      <x:c r="DJ24" s="14" t="n">
        <x:v>1</x:v>
      </x:c>
      <x:c r="DK24" s="14" t="str">
        <x:v>未收錄</x:v>
      </x:c>
      <x:c r="DL24" s="14" t="str">
        <x:v>20777</x:v>
      </x:c>
      <x:c r="DM24" s="14" t="n">
        <x:v>8</x:v>
      </x:c>
      <x:c r="DN24" s="14" t="n">
        <x:v>283</x:v>
      </x:c>
      <x:c r="DO24" s="14" t="n">
        <x:v>38</x:v>
      </x:c>
      <x:c r="DP24" s="14" t="n">
        <x:v>10</x:v>
      </x:c>
      <x:c r="DQ24" s="14" t="n">
        <x:v>2</x:v>
      </x:c>
      <x:c r="DR24" s="14" t="str">
        <x:v>未收錄</x:v>
      </x:c>
      <x:c r="DS24" s="14" t="str">
        <x:v>21996</x:v>
      </x:c>
      <x:c r="DT24" s="14" t="n">
        <x:v>8</x:v>
      </x:c>
      <x:c r="DU24" s="14" t="n">
        <x:v>284</x:v>
      </x:c>
      <x:c r="DV24" s="14" t="n">
        <x:v>39</x:v>
      </x:c>
      <x:c r="DW24" s="14" t="n">
        <x:v>10</x:v>
      </x:c>
      <x:c r="DX24" s="14" t="n">
        <x:v>3</x:v>
      </x:c>
      <x:c r="DY24" s="14" t="str">
        <x:v>未收錄</x:v>
      </x:c>
      <x:c r="DZ24" s="14" t="str">
        <x:v>22039</x:v>
      </x:c>
      <x:c r="EA24" s="14" t="n">
        <x:v>8</x:v>
      </x:c>
      <x:c r="EB24" s="14" t="n">
        <x:v>285</x:v>
      </x:c>
      <x:c r="EC24" s="14" t="n">
        <x:v>40</x:v>
      </x:c>
      <x:c r="ED24" s="14" t="n">
        <x:v>10</x:v>
      </x:c>
      <x:c r="EE24" s="14" t="n">
        <x:v>4</x:v>
      </x:c>
      <x:c r="EF24" s="14" t="str">
        <x:v>未收錄</x:v>
      </x:c>
      <x:c r="EG24" s="14" t="str">
        <x:v>24071</x:v>
      </x:c>
      <x:c r="EH24" s="14" t="n">
        <x:v>8</x:v>
      </x:c>
      <x:c r="EI24" s="14" t="n">
        <x:v>518</x:v>
      </x:c>
      <x:c r="EJ24" s="14" t="n">
        <x:v>37</x:v>
      </x:c>
      <x:c r="EK24" s="14" t="n">
        <x:v>10</x:v>
      </x:c>
      <x:c r="EL24" s="14" t="n">
        <x:v>1</x:v>
      </x:c>
      <x:c r="EM24" s="14" t="str">
        <x:v>未收錄</x:v>
      </x:c>
      <x:c r="EN24" s="14" t="str">
        <x:v>24492</x:v>
      </x:c>
      <x:c r="EO24" s="14" t="n">
        <x:v>8</x:v>
      </x:c>
      <x:c r="EP24" s="14" t="n">
        <x:v>519</x:v>
      </x:c>
      <x:c r="EQ24" s="14" t="n">
        <x:v>38</x:v>
      </x:c>
      <x:c r="ER24" s="14" t="n">
        <x:v>10</x:v>
      </x:c>
      <x:c r="ES24" s="14" t="n">
        <x:v>2</x:v>
      </x:c>
      <x:c r="ET24" s="14" t="str">
        <x:v>未收錄</x:v>
      </x:c>
      <x:c r="EU24" s="14" t="str">
        <x:v>24493</x:v>
      </x:c>
      <x:c r="EV24" s="14" t="n">
        <x:v>8</x:v>
      </x:c>
      <x:c r="EW24" s="14" t="n">
        <x:v>520</x:v>
      </x:c>
      <x:c r="EX24" s="14" t="n">
        <x:v>39</x:v>
      </x:c>
      <x:c r="EY24" s="14" t="n">
        <x:v>10</x:v>
      </x:c>
      <x:c r="EZ24" s="14" t="n">
        <x:v>3</x:v>
      </x:c>
      <x:c r="FA24" s="14" t="str">
        <x:v>未收錄</x:v>
      </x:c>
      <x:c r="FB24" s="14" t="str">
        <x:v>24643</x:v>
      </x:c>
      <x:c r="FC24" s="14" t="n">
        <x:v>8</x:v>
      </x:c>
      <x:c r="FD24" s="14" t="n">
        <x:v>521</x:v>
      </x:c>
      <x:c r="FE24" s="14" t="n">
        <x:v>40</x:v>
      </x:c>
      <x:c r="FF24" s="14" t="n">
        <x:v>10</x:v>
      </x:c>
      <x:c r="FG24" s="14" t="n">
        <x:v>4</x:v>
      </x:c>
      <x:c r="FH24" s="14" t="str">
        <x:v>未收錄</x:v>
      </x:c>
      <x:c r="FI24" s="14" t="str">
        <x:v>21436</x:v>
      </x:c>
      <x:c r="FJ24" s="14" t="n">
        <x:v>8</x:v>
      </x:c>
      <x:c r="FK24" s="14" t="n">
        <x:v>668</x:v>
      </x:c>
      <x:c r="FL24" s="14" t="n">
        <x:v>37</x:v>
      </x:c>
      <x:c r="FM24" s="14" t="n">
        <x:v>10</x:v>
      </x:c>
      <x:c r="FN24" s="14" t="n">
        <x:v>1</x:v>
      </x:c>
      <x:c r="FO24" s="14" t="str">
        <x:v>未收錄</x:v>
      </x:c>
      <x:c r="FP24" s="14" t="str">
        <x:v>21552</x:v>
      </x:c>
      <x:c r="FQ24" s="14" t="n">
        <x:v>8</x:v>
      </x:c>
      <x:c r="FR24" s="14" t="n">
        <x:v>669</x:v>
      </x:c>
      <x:c r="FS24" s="14" t="n">
        <x:v>38</x:v>
      </x:c>
      <x:c r="FT24" s="14" t="n">
        <x:v>10</x:v>
      </x:c>
      <x:c r="FU24" s="14" t="n">
        <x:v>2</x:v>
      </x:c>
      <x:c r="FV24" s="14" t="str">
        <x:v>未收錄</x:v>
      </x:c>
      <x:c r="FW24" s="14" t="str">
        <x:v>23305</x:v>
      </x:c>
      <x:c r="FX24" s="14" t="n">
        <x:v>8</x:v>
      </x:c>
      <x:c r="FY24" s="14" t="n">
        <x:v>670</x:v>
      </x:c>
      <x:c r="FZ24" s="14" t="n">
        <x:v>39</x:v>
      </x:c>
      <x:c r="GA24" s="14" t="n">
        <x:v>10</x:v>
      </x:c>
      <x:c r="GB24" s="14" t="n">
        <x:v>3</x:v>
      </x:c>
      <x:c r="GC24" s="14" t="str">
        <x:v>未收錄</x:v>
      </x:c>
      <x:c r="GD24" s="14" t="str">
        <x:v>21553</x:v>
      </x:c>
      <x:c r="GE24" s="14" t="n">
        <x:v>8</x:v>
      </x:c>
      <x:c r="GF24" s="14" t="n">
        <x:v>671</x:v>
      </x:c>
      <x:c r="GG24" s="14" t="n">
        <x:v>40</x:v>
      </x:c>
      <x:c r="GH24" s="14" t="n">
        <x:v>10</x:v>
      </x:c>
      <x:c r="GI24" s="14" t="n">
        <x:v>4</x:v>
      </x:c>
      <x:c r="GJ24" s="14" t="str">
        <x:v>未收錄</x:v>
      </x:c>
      <x:c r="GK24" s="14" t="str">
        <x:v>23302</x:v>
      </x:c>
      <x:c r="GL24" s="14" t="n">
        <x:v>8</x:v>
      </x:c>
      <x:c r="GM24" s="14" t="n">
        <x:v>840</x:v>
      </x:c>
      <x:c r="GN24" s="14" t="n">
        <x:v>37</x:v>
      </x:c>
      <x:c r="GO24" s="14" t="n">
        <x:v>10</x:v>
      </x:c>
      <x:c r="GP24" s="14" t="n">
        <x:v>1</x:v>
      </x:c>
      <x:c r="GQ24" s="14" t="str">
        <x:v>未收錄</x:v>
      </x:c>
      <x:c r="GR24" s="14" t="str">
        <x:v>21550</x:v>
      </x:c>
      <x:c r="GS24" s="14" t="n">
        <x:v>8</x:v>
      </x:c>
      <x:c r="GT24" s="14" t="n">
        <x:v>841</x:v>
      </x:c>
      <x:c r="GU24" s="14" t="n">
        <x:v>38</x:v>
      </x:c>
      <x:c r="GV24" s="14" t="n">
        <x:v>10</x:v>
      </x:c>
      <x:c r="GW24" s="14" t="n">
        <x:v>2</x:v>
      </x:c>
      <x:c r="GX24" s="14" t="str">
        <x:v>未收錄</x:v>
      </x:c>
      <x:c r="GY24" s="14" t="str">
        <x:v>23303</x:v>
      </x:c>
      <x:c r="GZ24" s="14" t="n">
        <x:v>8</x:v>
      </x:c>
      <x:c r="HA24" s="14" t="n">
        <x:v>842</x:v>
      </x:c>
      <x:c r="HB24" s="14" t="n">
        <x:v>39</x:v>
      </x:c>
      <x:c r="HC24" s="14" t="n">
        <x:v>10</x:v>
      </x:c>
      <x:c r="HD24" s="14" t="n">
        <x:v>3</x:v>
      </x:c>
      <x:c r="HE24" s="14" t="str">
        <x:v>未收錄</x:v>
      </x:c>
      <x:c r="HF24" s="14" t="str">
        <x:v>21551</x:v>
      </x:c>
      <x:c r="HG24" s="14" t="n">
        <x:v>8</x:v>
      </x:c>
      <x:c r="HH24" s="14" t="n">
        <x:v>843</x:v>
      </x:c>
      <x:c r="HI24" s="14" t="n">
        <x:v>40</x:v>
      </x:c>
      <x:c r="HJ24" s="14" t="n">
        <x:v>10</x:v>
      </x:c>
      <x:c r="HK24" s="14" t="n">
        <x:v>4</x:v>
      </x:c>
      <x:c r="HL24" s="14" t="str">
        <x:v>未收錄</x:v>
      </x:c>
      <x:c r="HM24" s="14" t="str">
        <x:v>24852</x:v>
      </x:c>
      <x:c r="HN24" s="14" t="n">
        <x:v>8</x:v>
      </x:c>
      <x:c r="HO24" s="14" t="n">
        <x:v>1013</x:v>
      </x:c>
      <x:c r="HP24" s="14" t="n">
        <x:v>37</x:v>
      </x:c>
      <x:c r="HQ24" s="14" t="n">
        <x:v>10</x:v>
      </x:c>
      <x:c r="HR24" s="14" t="n">
        <x:v>1</x:v>
      </x:c>
      <x:c r="HS24" s="14" t="str">
        <x:v>未收錄</x:v>
      </x:c>
      <x:c r="HT24" s="14" t="str">
        <x:v>21128</x:v>
      </x:c>
      <x:c r="HU24" s="14" t="n">
        <x:v>8</x:v>
      </x:c>
      <x:c r="HV24" s="14" t="n">
        <x:v>1014</x:v>
      </x:c>
      <x:c r="HW24" s="14" t="n">
        <x:v>38</x:v>
      </x:c>
      <x:c r="HX24" s="14" t="n">
        <x:v>10</x:v>
      </x:c>
      <x:c r="HY24" s="14" t="n">
        <x:v>2</x:v>
      </x:c>
      <x:c r="HZ24" s="14" t="str">
        <x:v>未收錄</x:v>
      </x:c>
      <x:c r="IA24" s="14" t="str">
        <x:v>21315</x:v>
      </x:c>
      <x:c r="IB24" s="14" t="n">
        <x:v>8</x:v>
      </x:c>
      <x:c r="IC24" s="14" t="n">
        <x:v>1015</x:v>
      </x:c>
      <x:c r="ID24" s="14" t="n">
        <x:v>39</x:v>
      </x:c>
      <x:c r="IE24" s="14" t="n">
        <x:v>10</x:v>
      </x:c>
      <x:c r="IF24" s="14" t="n">
        <x:v>3</x:v>
      </x:c>
      <x:c r="IG24" s="14" t="str">
        <x:v>未收錄</x:v>
      </x:c>
      <x:c r="IH24" s="14" t="str">
        <x:v>21317</x:v>
      </x:c>
      <x:c r="II24" s="14" t="n">
        <x:v>8</x:v>
      </x:c>
      <x:c r="IJ24" s="14" t="n">
        <x:v>1016</x:v>
      </x:c>
      <x:c r="IK24" s="14" t="n">
        <x:v>40</x:v>
      </x:c>
      <x:c r="IL24" s="14" t="n">
        <x:v>10</x:v>
      </x:c>
      <x:c r="IM24" s="14" t="n">
        <x:v>4</x:v>
      </x:c>
      <x:c r="IN24" s="14" t="str">
        <x:v>未收錄</x:v>
      </x:c>
      <x:c r="IO24" s="14" t="str">
        <x:v>20798</x:v>
      </x:c>
      <x:c r="IP24" s="14" t="n">
        <x:v>8</x:v>
      </x:c>
      <x:c r="IQ24" s="14" t="n">
        <x:v>1181</x:v>
      </x:c>
      <x:c r="IR24" s="14" t="n">
        <x:v>37</x:v>
      </x:c>
      <x:c r="IS24" s="14" t="n">
        <x:v>10</x:v>
      </x:c>
      <x:c r="IT24" s="14" t="n">
        <x:v>1</x:v>
      </x:c>
      <x:c r="IU24" s="14" t="str">
        <x:v>未收錄</x:v>
      </x:c>
      <x:c r="IV24" s="14" t="str">
        <x:v>20937</x:v>
      </x:c>
      <x:c r="IW24" s="14" t="n">
        <x:v>8</x:v>
      </x:c>
      <x:c r="IX24" s="14" t="n">
        <x:v>1182</x:v>
      </x:c>
      <x:c r="IY24" s="14" t="n">
        <x:v>38</x:v>
      </x:c>
      <x:c r="IZ24" s="14" t="n">
        <x:v>10</x:v>
      </x:c>
      <x:c r="JA24" s="14" t="n">
        <x:v>2</x:v>
      </x:c>
      <x:c r="JB24" s="14" t="str">
        <x:v>未收錄</x:v>
      </x:c>
      <x:c r="JC24" s="14" t="str">
        <x:v>20789</x:v>
      </x:c>
      <x:c r="JD24" s="14" t="n">
        <x:v>8</x:v>
      </x:c>
      <x:c r="JE24" s="14" t="n">
        <x:v>1183</x:v>
      </x:c>
      <x:c r="JF24" s="14" t="n">
        <x:v>39</x:v>
      </x:c>
      <x:c r="JG24" s="14" t="n">
        <x:v>10</x:v>
      </x:c>
      <x:c r="JH24" s="14" t="n">
        <x:v>3</x:v>
      </x:c>
      <x:c r="JI24" s="14" t="str">
        <x:v>未收錄</x:v>
      </x:c>
      <x:c r="JJ24" s="14" t="str">
        <x:v>20790</x:v>
      </x:c>
      <x:c r="JK24" s="14" t="n">
        <x:v>8</x:v>
      </x:c>
      <x:c r="JL24" s="14" t="n">
        <x:v>1184</x:v>
      </x:c>
      <x:c r="JM24" s="14" t="n">
        <x:v>40</x:v>
      </x:c>
      <x:c r="JN24" s="14" t="n">
        <x:v>10</x:v>
      </x:c>
      <x:c r="JO24" s="14" t="n">
        <x:v>4</x:v>
      </x:c>
      <x:c r="JP24" s="14" t="str">
        <x:v>未收錄</x:v>
      </x:c>
      <x:c r="JQ24" s="14" t="str">
        <x:v>21565</x:v>
      </x:c>
      <x:c r="JR24" s="14" t="n">
        <x:v>8</x:v>
      </x:c>
      <x:c r="JS24" s="14" t="n">
        <x:v>1348</x:v>
      </x:c>
      <x:c r="JT24" s="14" t="n">
        <x:v>37</x:v>
      </x:c>
      <x:c r="JU24" s="14" t="n">
        <x:v>10</x:v>
      </x:c>
      <x:c r="JV24" s="14" t="n">
        <x:v>1</x:v>
      </x:c>
      <x:c r="JW24" s="14" t="str">
        <x:v>未收錄</x:v>
      </x:c>
      <x:c r="JX24" s="14" t="str">
        <x:v>22132</x:v>
      </x:c>
      <x:c r="JY24" s="14" t="n">
        <x:v>8</x:v>
      </x:c>
      <x:c r="JZ24" s="14" t="n">
        <x:v>1349</x:v>
      </x:c>
      <x:c r="KA24" s="14" t="n">
        <x:v>38</x:v>
      </x:c>
      <x:c r="KB24" s="14" t="n">
        <x:v>10</x:v>
      </x:c>
      <x:c r="KC24" s="14" t="n">
        <x:v>2</x:v>
      </x:c>
      <x:c r="KD24" s="14" t="str">
        <x:v>未收錄</x:v>
      </x:c>
      <x:c r="KE24" s="14" t="str">
        <x:v>22133</x:v>
      </x:c>
      <x:c r="KF24" s="14" t="n">
        <x:v>8</x:v>
      </x:c>
      <x:c r="KG24" s="14" t="n">
        <x:v>1350</x:v>
      </x:c>
      <x:c r="KH24" s="14" t="n">
        <x:v>39</x:v>
      </x:c>
      <x:c r="KI24" s="14" t="n">
        <x:v>10</x:v>
      </x:c>
      <x:c r="KJ24" s="14" t="n">
        <x:v>3</x:v>
      </x:c>
      <x:c r="KK24" s="14" t="str">
        <x:v>未收錄</x:v>
      </x:c>
      <x:c r="KL24" s="14" t="str">
        <x:v>23618</x:v>
      </x:c>
      <x:c r="KM24" s="14" t="n">
        <x:v>8</x:v>
      </x:c>
      <x:c r="KN24" s="14" t="n">
        <x:v>1351</x:v>
      </x:c>
      <x:c r="KO24" s="14" t="n">
        <x:v>40</x:v>
      </x:c>
      <x:c r="KP24" s="14" t="n">
        <x:v>10</x:v>
      </x:c>
      <x:c r="KQ24" s="14" t="n">
        <x:v>4</x:v>
      </x:c>
      <x:c r="KR24" s="14" t="str">
        <x:v>未收錄</x:v>
      </x:c>
      <x:c r="KS24" s="14" t="str">
        <x:v>21105</x:v>
      </x:c>
      <x:c r="KT24" s="14" t="n">
        <x:v>8</x:v>
      </x:c>
      <x:c r="KU24" s="14" t="n">
        <x:v>1463</x:v>
      </x:c>
      <x:c r="KV24" s="14" t="n">
        <x:v>37</x:v>
      </x:c>
      <x:c r="KW24" s="14" t="n">
        <x:v>10</x:v>
      </x:c>
      <x:c r="KX24" s="14" t="n">
        <x:v>1</x:v>
      </x:c>
      <x:c r="KY24" s="14" t="str">
        <x:v>未收錄</x:v>
      </x:c>
      <x:c r="KZ24" s="14" t="str">
        <x:v>21312</x:v>
      </x:c>
      <x:c r="LA24" s="14" t="n">
        <x:v>8</x:v>
      </x:c>
      <x:c r="LB24" s="14" t="n">
        <x:v>1464</x:v>
      </x:c>
      <x:c r="LC24" s="14" t="n">
        <x:v>38</x:v>
      </x:c>
      <x:c r="LD24" s="14" t="n">
        <x:v>10</x:v>
      </x:c>
      <x:c r="LE24" s="14" t="n">
        <x:v>2</x:v>
      </x:c>
      <x:c r="LF24" s="14" t="str">
        <x:v>未收錄</x:v>
      </x:c>
      <x:c r="LG24" s="14" t="str">
        <x:v>21545</x:v>
      </x:c>
      <x:c r="LH24" s="14" t="n">
        <x:v>8</x:v>
      </x:c>
      <x:c r="LI24" s="14" t="n">
        <x:v>1465</x:v>
      </x:c>
      <x:c r="LJ24" s="14" t="n">
        <x:v>39</x:v>
      </x:c>
      <x:c r="LK24" s="14" t="n">
        <x:v>10</x:v>
      </x:c>
      <x:c r="LL24" s="14" t="n">
        <x:v>3</x:v>
      </x:c>
      <x:c r="LM24" s="14" t="str">
        <x:v>未收錄</x:v>
      </x:c>
      <x:c r="LN24" s="14" t="str">
        <x:v>23298</x:v>
      </x:c>
      <x:c r="LO24" s="14" t="n">
        <x:v>3</x:v>
      </x:c>
      <x:c r="LP24" s="14" t="n">
        <x:v>1466</x:v>
      </x:c>
      <x:c r="LQ24" s="14" t="n">
        <x:v>40</x:v>
      </x:c>
      <x:c r="LR24" s="14" t="n">
        <x:v>10</x:v>
      </x:c>
      <x:c r="LS24" s="14" t="n">
        <x:v>4</x:v>
      </x:c>
      <x:c r="LT24" s="14" t="str">
        <x:v>未收錄</x:v>
      </x:c>
      <x:c r="LU24" s="14" t="str">
        <x:v>24080</x:v>
      </x:c>
      <x:c r="LV24" s="14" t="n">
        <x:v>8</x:v>
      </x:c>
      <x:c r="LW24" s="14" t="n">
        <x:v>1576</x:v>
      </x:c>
      <x:c r="LX24" s="14" t="n">
        <x:v>37</x:v>
      </x:c>
      <x:c r="LY24" s="14" t="n">
        <x:v>10</x:v>
      </x:c>
      <x:c r="LZ24" s="14" t="n">
        <x:v>1</x:v>
      </x:c>
      <x:c r="MA24" s="14" t="str">
        <x:v>未收錄</x:v>
      </x:c>
      <x:c r="MB24" s="14" t="str">
        <x:v>24148</x:v>
      </x:c>
      <x:c r="MC24" s="14" t="n">
        <x:v>3</x:v>
      </x:c>
      <x:c r="MD24" s="14" t="n">
        <x:v>1577</x:v>
      </x:c>
      <x:c r="ME24" s="14" t="n">
        <x:v>38</x:v>
      </x:c>
      <x:c r="MF24" s="14" t="n">
        <x:v>10</x:v>
      </x:c>
      <x:c r="MG24" s="14" t="n">
        <x:v>2</x:v>
      </x:c>
      <x:c r="MH24" s="14" t="str">
        <x:v>未收錄</x:v>
      </x:c>
      <x:c r="MI24" s="14" t="str">
        <x:v>24081</x:v>
      </x:c>
      <x:c r="MJ24" s="14" t="n">
        <x:v>8</x:v>
      </x:c>
      <x:c r="MK24" s="14" t="n">
        <x:v>1578</x:v>
      </x:c>
      <x:c r="ML24" s="14" t="n">
        <x:v>39</x:v>
      </x:c>
      <x:c r="MM24" s="14" t="n">
        <x:v>10</x:v>
      </x:c>
      <x:c r="MN24" s="14" t="n">
        <x:v>3</x:v>
      </x:c>
      <x:c r="MO24" s="14" t="str">
        <x:v>未收錄</x:v>
      </x:c>
      <x:c r="MP24" s="14" t="str">
        <x:v>24667</x:v>
      </x:c>
      <x:c r="MQ24" s="14" t="n">
        <x:v>3</x:v>
      </x:c>
      <x:c r="MR24" s="14" t="n">
        <x:v>1579</x:v>
      </x:c>
      <x:c r="MS24" s="14" t="n">
        <x:v>40</x:v>
      </x:c>
      <x:c r="MT24" s="14" t="n">
        <x:v>10</x:v>
      </x:c>
      <x:c r="MU24" s="14" t="n">
        <x:v>4</x:v>
      </x:c>
      <x:c r="MV24" s="14" t="str">
        <x:v>未收錄</x:v>
      </x:c>
      <x:c r="MW24" s="14" t="str">
        <x:v>20576</x:v>
      </x:c>
      <x:c r="MX24" s="14" t="n">
        <x:v>1</x:v>
      </x:c>
      <x:c r="MY24" s="14" t="n">
        <x:v>1685</x:v>
      </x:c>
      <x:c r="MZ24" s="14" t="n">
        <x:v>37</x:v>
      </x:c>
      <x:c r="NA24" s="14" t="n">
        <x:v>10</x:v>
      </x:c>
      <x:c r="NB24" s="14" t="n">
        <x:v>1</x:v>
      </x:c>
      <x:c r="NC24" s="14" t="str">
        <x:v>未收錄</x:v>
      </x:c>
      <x:c r="ND24" s="14" t="str">
        <x:v>20577</x:v>
      </x:c>
      <x:c r="NE24" s="14" t="n">
        <x:v>1</x:v>
      </x:c>
      <x:c r="NF24" s="14" t="n">
        <x:v>1686</x:v>
      </x:c>
      <x:c r="NG24" s="14" t="n">
        <x:v>38</x:v>
      </x:c>
      <x:c r="NH24" s="14" t="n">
        <x:v>10</x:v>
      </x:c>
      <x:c r="NI24" s="14" t="n">
        <x:v>2</x:v>
      </x:c>
      <x:c r="NJ24" s="14" t="str">
        <x:v>未收錄</x:v>
      </x:c>
      <x:c r="NK24" s="14" t="str">
        <x:v>20943</x:v>
      </x:c>
      <x:c r="NL24" s="14" t="n">
        <x:v>1</x:v>
      </x:c>
      <x:c r="NM24" s="14" t="n">
        <x:v>1687</x:v>
      </x:c>
      <x:c r="NN24" s="14" t="n">
        <x:v>39</x:v>
      </x:c>
      <x:c r="NO24" s="14" t="n">
        <x:v>10</x:v>
      </x:c>
      <x:c r="NP24" s="14" t="n">
        <x:v>3</x:v>
      </x:c>
      <x:c r="NQ24" s="14" t="str">
        <x:v>未收錄</x:v>
      </x:c>
      <x:c r="NR24" s="14" t="str">
        <x:v>20944</x:v>
      </x:c>
      <x:c r="NS24" s="14" t="n">
        <x:v>1</x:v>
      </x:c>
      <x:c r="NT24" s="14" t="n">
        <x:v>1688</x:v>
      </x:c>
      <x:c r="NU24" s="14" t="n">
        <x:v>40</x:v>
      </x:c>
      <x:c r="NV24" s="14" t="n">
        <x:v>10</x:v>
      </x:c>
      <x:c r="NW24" s="14" t="n">
        <x:v>4</x:v>
      </x:c>
      <x:c r="NX24" s="14" t="str">
        <x:v>未收錄</x:v>
      </x:c>
      <x:c r="NY24" s="14" t="str">
        <x:v>21226</x:v>
      </x:c>
      <x:c r="NZ24" s="14" t="n">
        <x:v>1</x:v>
      </x:c>
      <x:c r="OA24" s="14" t="n">
        <x:v>2138</x:v>
      </x:c>
      <x:c r="OB24" s="14" t="n">
        <x:v>37</x:v>
      </x:c>
      <x:c r="OC24" s="14" t="n">
        <x:v>10</x:v>
      </x:c>
      <x:c r="OD24" s="14" t="n">
        <x:v>1</x:v>
      </x:c>
      <x:c r="OE24" s="14" t="str">
        <x:v>未收錄</x:v>
      </x:c>
      <x:c r="OF24" s="14" t="str">
        <x:v>21227</x:v>
      </x:c>
      <x:c r="OG24" s="14" t="n">
        <x:v>1</x:v>
      </x:c>
      <x:c r="OH24" s="14" t="n">
        <x:v>2139</x:v>
      </x:c>
      <x:c r="OI24" s="14" t="n">
        <x:v>38</x:v>
      </x:c>
      <x:c r="OJ24" s="14" t="n">
        <x:v>10</x:v>
      </x:c>
      <x:c r="OK24" s="14" t="n">
        <x:v>2</x:v>
      </x:c>
      <x:c r="OL24" s="14" t="str">
        <x:v>未收錄</x:v>
      </x:c>
      <x:c r="OM24" s="14" t="str">
        <x:v>21228</x:v>
      </x:c>
      <x:c r="ON24" s="14" t="n">
        <x:v>1</x:v>
      </x:c>
      <x:c r="OO24" s="14" t="n">
        <x:v>2140</x:v>
      </x:c>
      <x:c r="OP24" s="14" t="n">
        <x:v>39</x:v>
      </x:c>
      <x:c r="OQ24" s="14" t="n">
        <x:v>10</x:v>
      </x:c>
      <x:c r="OR24" s="14" t="n">
        <x:v>3</x:v>
      </x:c>
      <x:c r="OS24" s="14" t="str">
        <x:v>未收錄</x:v>
      </x:c>
      <x:c r="OT24" s="14" t="str">
        <x:v>21229</x:v>
      </x:c>
      <x:c r="OU24" s="14" t="n">
        <x:v>1</x:v>
      </x:c>
      <x:c r="OV24" s="14" t="n">
        <x:v>2141</x:v>
      </x:c>
      <x:c r="OW24" s="14" t="n">
        <x:v>40</x:v>
      </x:c>
      <x:c r="OX24" s="14" t="n">
        <x:v>10</x:v>
      </x:c>
      <x:c r="OY24" s="14" t="n">
        <x:v>4</x:v>
      </x:c>
      <x:c r="OZ24" s="14" t="str">
        <x:v>未收錄</x:v>
      </x:c>
      <x:c r="PA24" s="14" t="str">
        <x:v>20729</x:v>
      </x:c>
      <x:c r="PB24" s="14" t="n">
        <x:v>2</x:v>
      </x:c>
      <x:c r="PC24" s="14" t="n">
        <x:v>2684</x:v>
      </x:c>
      <x:c r="PD24" s="14" t="n">
        <x:v>37</x:v>
      </x:c>
      <x:c r="PE24" s="14" t="n">
        <x:v>10</x:v>
      </x:c>
      <x:c r="PF24" s="14" t="n">
        <x:v>1</x:v>
      </x:c>
      <x:c r="PG24" s="14" t="str">
        <x:v>未收錄</x:v>
      </x:c>
      <x:c r="PH24" s="14" t="str">
        <x:v>21030</x:v>
      </x:c>
      <x:c r="PI24" s="14" t="n">
        <x:v>2</x:v>
      </x:c>
      <x:c r="PJ24" s="14" t="n">
        <x:v>2685</x:v>
      </x:c>
      <x:c r="PK24" s="14" t="n">
        <x:v>38</x:v>
      </x:c>
      <x:c r="PL24" s="14" t="n">
        <x:v>10</x:v>
      </x:c>
      <x:c r="PM24" s="14" t="n">
        <x:v>2</x:v>
      </x:c>
      <x:c r="PN24" s="14" t="str">
        <x:v>未收錄</x:v>
      </x:c>
      <x:c r="PO24" s="14" t="str">
        <x:v>24687</x:v>
      </x:c>
      <x:c r="PP24" s="14" t="n">
        <x:v>2</x:v>
      </x:c>
      <x:c r="PQ24" s="14" t="n">
        <x:v>2686</x:v>
      </x:c>
      <x:c r="PR24" s="14" t="n">
        <x:v>39</x:v>
      </x:c>
      <x:c r="PS24" s="14" t="n">
        <x:v>10</x:v>
      </x:c>
      <x:c r="PT24" s="14" t="n">
        <x:v>3</x:v>
      </x:c>
      <x:c r="PU24" s="14" t="str">
        <x:v>未收錄</x:v>
      </x:c>
      <x:c r="PV24" s="14" t="str">
        <x:v>26113</x:v>
      </x:c>
      <x:c r="PW24" s="14" t="n">
        <x:v>2</x:v>
      </x:c>
      <x:c r="PX24" s="14" t="n">
        <x:v>2687</x:v>
      </x:c>
      <x:c r="PY24" s="14" t="n">
        <x:v>40</x:v>
      </x:c>
      <x:c r="PZ24" s="14" t="n">
        <x:v>10</x:v>
      </x:c>
      <x:c r="QA24" s="14" t="n">
        <x:v>4</x:v>
      </x:c>
      <x:c r="QB24" s="14" t="str">
        <x:v>未收錄</x:v>
      </x:c>
      <x:c r="QC24" s="14" t="str">
        <x:v>21068</x:v>
      </x:c>
      <x:c r="QD24" s="14" t="n">
        <x:v>2</x:v>
      </x:c>
      <x:c r="QE24" s="14" t="n">
        <x:v>3121</x:v>
      </x:c>
      <x:c r="QF24" s="14" t="n">
        <x:v>37</x:v>
      </x:c>
      <x:c r="QG24" s="14" t="n">
        <x:v>10</x:v>
      </x:c>
      <x:c r="QH24" s="14" t="n">
        <x:v>1</x:v>
      </x:c>
      <x:c r="QI24" s="14" t="str">
        <x:v>未收錄</x:v>
      </x:c>
      <x:c r="QJ24" s="14" t="str">
        <x:v>24688</x:v>
      </x:c>
      <x:c r="QK24" s="14" t="n">
        <x:v>2</x:v>
      </x:c>
      <x:c r="QL24" s="14" t="n">
        <x:v>3122</x:v>
      </x:c>
      <x:c r="QM24" s="14" t="n">
        <x:v>38</x:v>
      </x:c>
      <x:c r="QN24" s="14" t="n">
        <x:v>10</x:v>
      </x:c>
      <x:c r="QO24" s="14" t="n">
        <x:v>2</x:v>
      </x:c>
      <x:c r="QP24" s="14" t="str">
        <x:v>未收錄</x:v>
      </x:c>
      <x:c r="QQ24" s="14" t="str">
        <x:v>26114</x:v>
      </x:c>
      <x:c r="QR24" s="14" t="n">
        <x:v>2</x:v>
      </x:c>
      <x:c r="QS24" s="14" t="n">
        <x:v>3123</x:v>
      </x:c>
      <x:c r="QT24" s="14" t="n">
        <x:v>39</x:v>
      </x:c>
      <x:c r="QU24" s="14" t="n">
        <x:v>10</x:v>
      </x:c>
      <x:c r="QV24" s="14" t="n">
        <x:v>3</x:v>
      </x:c>
      <x:c r="QW24" s="14" t="str">
        <x:v>未收錄</x:v>
      </x:c>
      <x:c r="QX24" s="14" t="str">
        <x:v>28229</x:v>
      </x:c>
      <x:c r="QY24" s="14" t="n">
        <x:v>2</x:v>
      </x:c>
      <x:c r="QZ24" s="14" t="n">
        <x:v>3124</x:v>
      </x:c>
      <x:c r="RA24" s="14" t="n">
        <x:v>40</x:v>
      </x:c>
      <x:c r="RB24" s="14" t="n">
        <x:v>10</x:v>
      </x:c>
      <x:c r="RC24" s="14" t="n">
        <x:v>4</x:v>
      </x:c>
      <x:c r="RD24" s="14" t="str">
        <x:v>未收錄</x:v>
      </x:c>
      <x:c r="RE24" s="14" t="str">
        <x:v>20261</x:v>
      </x:c>
      <x:c r="RF24" s="14" t="n">
        <x:v>3</x:v>
      </x:c>
      <x:c r="RG24" s="14" t="n">
        <x:v>3582</x:v>
      </x:c>
      <x:c r="RH24" s="14" t="n">
        <x:v>37</x:v>
      </x:c>
      <x:c r="RI24" s="14" t="n">
        <x:v>10</x:v>
      </x:c>
      <x:c r="RJ24" s="14" t="n">
        <x:v>1</x:v>
      </x:c>
      <x:c r="RK24" s="14" t="str">
        <x:v>未收錄</x:v>
      </x:c>
      <x:c r="RL24" s="14" t="str">
        <x:v>20257</x:v>
      </x:c>
      <x:c r="RM24" s="14" t="n">
        <x:v>3</x:v>
      </x:c>
      <x:c r="RN24" s="14" t="n">
        <x:v>3583</x:v>
      </x:c>
      <x:c r="RO24" s="14" t="n">
        <x:v>38</x:v>
      </x:c>
      <x:c r="RP24" s="14" t="n">
        <x:v>10</x:v>
      </x:c>
      <x:c r="RQ24" s="14" t="n">
        <x:v>2</x:v>
      </x:c>
      <x:c r="RR24" s="14" t="str">
        <x:v>未收錄</x:v>
      </x:c>
      <x:c r="RS24" s="14" t="str">
        <x:v>20258</x:v>
      </x:c>
      <x:c r="RT24" s="14" t="n">
        <x:v>3</x:v>
      </x:c>
      <x:c r="RU24" s="14" t="n">
        <x:v>3584</x:v>
      </x:c>
      <x:c r="RV24" s="14" t="n">
        <x:v>39</x:v>
      </x:c>
      <x:c r="RW24" s="14" t="n">
        <x:v>10</x:v>
      </x:c>
      <x:c r="RX24" s="14" t="n">
        <x:v>3</x:v>
      </x:c>
      <x:c r="RY24" s="14" t="str">
        <x:v>未收錄</x:v>
      </x:c>
      <x:c r="RZ24" s="14" t="str">
        <x:v>20959</x:v>
      </x:c>
      <x:c r="SA24" s="14" t="n">
        <x:v>3</x:v>
      </x:c>
      <x:c r="SB24" s="14" t="n">
        <x:v>3585</x:v>
      </x:c>
      <x:c r="SC24" s="14" t="n">
        <x:v>40</x:v>
      </x:c>
      <x:c r="SD24" s="14" t="n">
        <x:v>10</x:v>
      </x:c>
      <x:c r="SE24" s="14" t="n">
        <x:v>4</x:v>
      </x:c>
      <x:c r="SF24" s="14" t="str">
        <x:v>未收錄</x:v>
      </x:c>
      <x:c r="SG24" s="14" t="str">
        <x:v>29727</x:v>
      </x:c>
      <x:c r="SH24" s="14" t="n">
        <x:v>5</x:v>
      </x:c>
      <x:c r="SI24" s="14" t="n">
        <x:v>4006</x:v>
      </x:c>
      <x:c r="SJ24" s="14" t="n">
        <x:v>37</x:v>
      </x:c>
      <x:c r="SK24" s="14" t="n">
        <x:v>10</x:v>
      </x:c>
      <x:c r="SL24" s="14" t="n">
        <x:v>1</x:v>
      </x:c>
      <x:c r="SM24" s="14" t="str">
        <x:v>未收錄</x:v>
      </x:c>
      <x:c r="SN24" s="14" t="str">
        <x:v>29728</x:v>
      </x:c>
      <x:c r="SO24" s="14" t="n">
        <x:v>5</x:v>
      </x:c>
      <x:c r="SP24" s="14" t="n">
        <x:v>4007</x:v>
      </x:c>
      <x:c r="SQ24" s="14" t="n">
        <x:v>38</x:v>
      </x:c>
      <x:c r="SR24" s="14" t="n">
        <x:v>10</x:v>
      </x:c>
      <x:c r="SS24" s="14" t="n">
        <x:v>2</x:v>
      </x:c>
      <x:c r="ST24" s="14" t="str">
        <x:v>未收錄</x:v>
      </x:c>
      <x:c r="SU24" s="14" t="str">
        <x:v>29729</x:v>
      </x:c>
      <x:c r="SV24" s="14" t="n">
        <x:v>5</x:v>
      </x:c>
      <x:c r="SW24" s="14" t="n">
        <x:v>4008</x:v>
      </x:c>
      <x:c r="SX24" s="14" t="n">
        <x:v>39</x:v>
      </x:c>
      <x:c r="SY24" s="14" t="n">
        <x:v>10</x:v>
      </x:c>
      <x:c r="SZ24" s="14" t="n">
        <x:v>3</x:v>
      </x:c>
      <x:c r="TA24" s="14" t="str">
        <x:v>未收錄</x:v>
      </x:c>
      <x:c r="TB24" s="14" t="str">
        <x:v>29730</x:v>
      </x:c>
      <x:c r="TC24" s="14" t="n">
        <x:v>5</x:v>
      </x:c>
      <x:c r="TD24" s="14" t="n">
        <x:v>4009</x:v>
      </x:c>
      <x:c r="TE24" s="14" t="n">
        <x:v>40</x:v>
      </x:c>
      <x:c r="TF24" s="14" t="n">
        <x:v>10</x:v>
      </x:c>
      <x:c r="TG24" s="14" t="n">
        <x:v>4</x:v>
      </x:c>
      <x:c r="TH24" s="14" t="str">
        <x:v>未收錄</x:v>
      </x:c>
    </x:row>
    <x:row r="25" ht="15" customHeight="1">
      <x:c r="A25" s="17" t="str">
        <x:v>白餘劍</x:v>
      </x:c>
      <x:c r="B25" s="17" t="str">
        <x:v>魂樂劍</x:v>
      </x:c>
      <x:c r="C25" s="17" t="str">
        <x:v>七星劍</x:v>
      </x:c>
      <x:c r="D25" s="17" t="str">
        <x:v>防身匕首</x:v>
      </x:c>
      <x:c r="E25" s="14"/>
      <x:c r="F25" s="17" t="str">
        <x:v>雷獸刀</x:v>
      </x:c>
      <x:c r="G25" s="17" t="str">
        <x:v>地靈雷獸刀</x:v>
      </x:c>
      <x:c r="H25" s="17" t="str">
        <x:v>絕世雷獸刀</x:v>
      </x:c>
      <x:c r="I25" s="17" t="str">
        <x:v>紫河刀</x:v>
      </x:c>
      <x:c r="J25" s="14"/>
      <x:c r="K25" s="17" t="str">
        <x:v>太古連星弩</x:v>
      </x:c>
      <x:c r="L25" s="17" t="str">
        <x:v>十二宿聖弩</x:v>
      </x:c>
      <x:c r="M25" s="17" t="str">
        <x:v>通天盤</x:v>
      </x:c>
      <x:c r="N25" s="17" t="str">
        <x:v>太古通天盤</x:v>
      </x:c>
      <x:c r="O25" s="14"/>
      <x:c r="P25" s="17" t="str">
        <x:v>絕世搖光拂塵</x:v>
      </x:c>
      <x:c r="Q25" s="17" t="str">
        <x:v>銀羽扇</x:v>
      </x:c>
      <x:c r="R25" s="17" t="str">
        <x:v>玉翎扇</x:v>
      </x:c>
      <x:c r="S25" s="17" t="str">
        <x:v>絕世玉翎扇</x:v>
      </x:c>
      <x:c r="T25" s="14"/>
      <x:c r="U25" s="17" t="str">
        <x:v>絕世達摩法杖</x:v>
      </x:c>
      <x:c r="V25" s="17" t="str">
        <x:v>光焰寶杖</x:v>
      </x:c>
      <x:c r="W25" s="17" t="str">
        <x:v>光焰聖火杖</x:v>
      </x:c>
      <x:c r="X25" s="17" t="str">
        <x:v>絕世光焰聖火杖</x:v>
      </x:c>
      <x:c r="Y25" s="14"/>
      <x:c r="Z25" s="17" t="str">
        <x:v>斷魂槍</x:v>
      </x:c>
      <x:c r="AA25" s="17" t="str">
        <x:v>絕世斷魂槍</x:v>
      </x:c>
      <x:c r="AB25" s="17" t="str">
        <x:v>霸王槍</x:v>
      </x:c>
      <x:c r="AC25" s="17" t="str">
        <x:v>絕世霸王槍</x:v>
      </x:c>
      <x:c r="AD25" s="14"/>
      <x:c r="AE25" s="17" t="str">
        <x:v>紅蓮棍</x:v>
      </x:c>
      <x:c r="AF25" s="17" t="str">
        <x:v>洛花棍</x:v>
      </x:c>
      <x:c r="AG25" s="17" t="str">
        <x:v>平風棍</x:v>
      </x:c>
      <x:c r="AH25" s="17" t="str">
        <x:v>赤鐵棍</x:v>
      </x:c>
      <x:c r="AI25" s="14"/>
      <x:c r="AJ25" s="17" t="str">
        <x:v>無雙混世錘</x:v>
      </x:c>
      <x:c r="AK25" s="17" t="str">
        <x:v>鬼神爆碎錘</x:v>
      </x:c>
      <x:c r="AL25" s="17" t="str">
        <x:v>梵邪霸吼錘</x:v>
      </x:c>
      <x:c r="AM25" s="17" t="str">
        <x:v>孽禍咆哮錘</x:v>
      </x:c>
      <x:c r="AN25" s="14"/>
      <x:c r="AO25" s="17" t="str">
        <x:v>分沙斧</x:v>
      </x:c>
      <x:c r="AP25" s="17" t="str">
        <x:v>獵影斧</x:v>
      </x:c>
      <x:c r="AQ25" s="17" t="str">
        <x:v>九陰化尸斧</x:v>
      </x:c>
      <x:c r="AR25" s="17" t="str">
        <x:v>奈落冥斬斧</x:v>
      </x:c>
      <x:c r="AS25" s="14"/>
      <x:c r="AT25" s="17" t="str">
        <x:v>血誓盾</x:v>
      </x:c>
      <x:c r="AU25" s="17" t="str">
        <x:v>太古血誓盾</x:v>
      </x:c>
      <x:c r="AV25" s="17" t="str">
        <x:v>驍武十字盾</x:v>
      </x:c>
      <x:c r="AW25" s="17" t="str">
        <x:v>太古驍武十字盾</x:v>
      </x:c>
      <x:c r="AX25" s="14"/>
      <x:c r="AY25" s="17" t="str">
        <x:v>朱雀道冠</x:v>
      </x:c>
      <x:c r="AZ25" s="17" t="str">
        <x:v>丹陽僧帽</x:v>
      </x:c>
      <x:c r="BA25" s="17" t="str">
        <x:v>青甲戰盔</x:v>
      </x:c>
      <x:c r="BB25" s="17" t="str">
        <x:v>普賢頭箍</x:v>
      </x:c>
      <x:c r="BC25" s="14"/>
      <x:c r="BD25" s="17" t="str">
        <x:v>赤鐵甲</x:v>
      </x:c>
      <x:c r="BE25" s="17" t="str">
        <x:v>仙雲道袍</x:v>
      </x:c>
      <x:c r="BF25" s="17" t="str">
        <x:v>短僧服</x:v>
      </x:c>
      <x:c r="BG25" s="17" t="str">
        <x:v>墨鐵戰鎧</x:v>
      </x:c>
      <x:c r="BH25" s="14"/>
      <x:c r="BI25" s="17" t="str">
        <x:v>異空戰腕</x:v>
      </x:c>
      <x:c r="BJ25" s="17" t="str">
        <x:v>艾濟儀腕</x:v>
      </x:c>
      <x:c r="BK25" s="17" t="str">
        <x:v>皇衛戰腕</x:v>
      </x:c>
      <x:c r="BL25" s="17" t="str">
        <x:v>長疆戰腕</x:v>
      </x:c>
      <x:c r="BM25" s="14"/>
      <x:c r="BN25" s="17" t="str">
        <x:v>艾濟儀靴</x:v>
      </x:c>
      <x:c r="BO25" s="17" t="str">
        <x:v>皇衛戰靴</x:v>
      </x:c>
      <x:c r="BP25" s="17" t="str">
        <x:v>長疆戰靴</x:v>
      </x:c>
      <x:c r="BQ25" s="17" t="str">
        <x:v>南遼護靴</x:v>
      </x:c>
      <x:c r="BR25" s="14"/>
      <x:c r="BS25" s="17" t="str">
        <x:v>魔骨項鍊</x:v>
      </x:c>
      <x:c r="BT25" s="17" t="str">
        <x:v>靈玉項鍊</x:v>
      </x:c>
      <x:c r="BU25" s="17" t="str">
        <x:v>祭司手鍊</x:v>
      </x:c>
      <x:c r="BV25" s="17" t="str">
        <x:v>冰侏護符</x:v>
      </x:c>
      <x:c r="BW25" s="14"/>
      <x:c r="BX25" s="17" t="str">
        <x:v>乾虛仙渦石</x:v>
      </x:c>
      <x:c r="BY25" s="17" t="str">
        <x:v>坤虛仙渦石</x:v>
      </x:c>
      <x:c r="BZ25" s="17" t="str">
        <x:v>修羅仙劫輪</x:v>
      </x:c>
      <x:c r="CA25" s="17" t="str">
        <x:v>溯時仙沙漏</x:v>
      </x:c>
      <x:c r="CB25" s="14"/>
      <x:c r="CC25" s="14" t="str">
        <x:v>29894</x:v>
      </x:c>
      <x:c r="CD25" s="14" t="n">
        <x:v>1</x:v>
      </x:c>
      <x:c r="CE25" s="14" t="n">
        <x:v>41</x:v>
      </x:c>
      <x:c r="CF25" s="14" t="n">
        <x:v>41</x:v>
      </x:c>
      <x:c r="CG25" s="14" t="n">
        <x:v>11</x:v>
      </x:c>
      <x:c r="CH25" s="14" t="n">
        <x:v>1</x:v>
      </x:c>
      <x:c r="CI25" s="14" t="str">
        <x:v>未收錄</x:v>
      </x:c>
      <x:c r="CJ25" s="14" t="str">
        <x:v>30519</x:v>
      </x:c>
      <x:c r="CK25" s="14" t="n">
        <x:v>1</x:v>
      </x:c>
      <x:c r="CL25" s="14" t="n">
        <x:v>42</x:v>
      </x:c>
      <x:c r="CM25" s="14" t="n">
        <x:v>42</x:v>
      </x:c>
      <x:c r="CN25" s="14" t="n">
        <x:v>11</x:v>
      </x:c>
      <x:c r="CO25" s="14" t="n">
        <x:v>2</x:v>
      </x:c>
      <x:c r="CP25" s="14" t="str">
        <x:v>未收錄</x:v>
      </x:c>
      <x:c r="CQ25" s="14" t="str">
        <x:v>20282</x:v>
      </x:c>
      <x:c r="CR25" s="14" t="n">
        <x:v>2</x:v>
      </x:c>
      <x:c r="CS25" s="14" t="n">
        <x:v>43</x:v>
      </x:c>
      <x:c r="CT25" s="14" t="n">
        <x:v>43</x:v>
      </x:c>
      <x:c r="CU25" s="14" t="n">
        <x:v>11</x:v>
      </x:c>
      <x:c r="CV25" s="14" t="n">
        <x:v>3</x:v>
      </x:c>
      <x:c r="CW25" s="14" t="str">
        <x:v>未收錄</x:v>
      </x:c>
      <x:c r="CX25" s="14" t="str">
        <x:v>20435</x:v>
      </x:c>
      <x:c r="CY25" s="14" t="n">
        <x:v>2</x:v>
      </x:c>
      <x:c r="CZ25" s="14" t="n">
        <x:v>44</x:v>
      </x:c>
      <x:c r="DA25" s="14" t="n">
        <x:v>44</x:v>
      </x:c>
      <x:c r="DB25" s="14" t="n">
        <x:v>11</x:v>
      </x:c>
      <x:c r="DC25" s="14" t="n">
        <x:v>4</x:v>
      </x:c>
      <x:c r="DD25" s="14" t="str">
        <x:v>未收錄</x:v>
      </x:c>
      <x:c r="DE25" s="14" t="str">
        <x:v>20778</x:v>
      </x:c>
      <x:c r="DF25" s="14" t="n">
        <x:v>8</x:v>
      </x:c>
      <x:c r="DG25" s="14" t="n">
        <x:v>286</x:v>
      </x:c>
      <x:c r="DH25" s="14" t="n">
        <x:v>41</x:v>
      </x:c>
      <x:c r="DI25" s="14" t="n">
        <x:v>11</x:v>
      </x:c>
      <x:c r="DJ25" s="14" t="n">
        <x:v>1</x:v>
      </x:c>
      <x:c r="DK25" s="14" t="str">
        <x:v>未收錄</x:v>
      </x:c>
      <x:c r="DL25" s="14" t="str">
        <x:v>21997</x:v>
      </x:c>
      <x:c r="DM25" s="14" t="n">
        <x:v>8</x:v>
      </x:c>
      <x:c r="DN25" s="14" t="n">
        <x:v>287</x:v>
      </x:c>
      <x:c r="DO25" s="14" t="n">
        <x:v>42</x:v>
      </x:c>
      <x:c r="DP25" s="14" t="n">
        <x:v>11</x:v>
      </x:c>
      <x:c r="DQ25" s="14" t="n">
        <x:v>2</x:v>
      </x:c>
      <x:c r="DR25" s="14" t="str">
        <x:v>未收錄</x:v>
      </x:c>
      <x:c r="DS25" s="14" t="str">
        <x:v>22040</x:v>
      </x:c>
      <x:c r="DT25" s="14" t="n">
        <x:v>8</x:v>
      </x:c>
      <x:c r="DU25" s="14" t="n">
        <x:v>288</x:v>
      </x:c>
      <x:c r="DV25" s="14" t="n">
        <x:v>43</x:v>
      </x:c>
      <x:c r="DW25" s="14" t="n">
        <x:v>11</x:v>
      </x:c>
      <x:c r="DX25" s="14" t="n">
        <x:v>3</x:v>
      </x:c>
      <x:c r="DY25" s="14" t="str">
        <x:v>未收錄</x:v>
      </x:c>
      <x:c r="DZ25" s="14" t="str">
        <x:v>20779</x:v>
      </x:c>
      <x:c r="EA25" s="14" t="n">
        <x:v>8</x:v>
      </x:c>
      <x:c r="EB25" s="14" t="n">
        <x:v>289</x:v>
      </x:c>
      <x:c r="EC25" s="14" t="n">
        <x:v>44</x:v>
      </x:c>
      <x:c r="ED25" s="14" t="n">
        <x:v>11</x:v>
      </x:c>
      <x:c r="EE25" s="14" t="n">
        <x:v>4</x:v>
      </x:c>
      <x:c r="EF25" s="14" t="str">
        <x:v>未收錄</x:v>
      </x:c>
      <x:c r="EG25" s="14" t="str">
        <x:v>26189</x:v>
      </x:c>
      <x:c r="EH25" s="14" t="n">
        <x:v>3</x:v>
      </x:c>
      <x:c r="EI25" s="14" t="n">
        <x:v>522</x:v>
      </x:c>
      <x:c r="EJ25" s="14" t="n">
        <x:v>41</x:v>
      </x:c>
      <x:c r="EK25" s="14" t="n">
        <x:v>11</x:v>
      </x:c>
      <x:c r="EL25" s="14" t="n">
        <x:v>1</x:v>
      </x:c>
      <x:c r="EM25" s="14" t="str">
        <x:v>未收錄</x:v>
      </x:c>
      <x:c r="EN25" s="14" t="str">
        <x:v>24644</x:v>
      </x:c>
      <x:c r="EO25" s="14" t="n">
        <x:v>8</x:v>
      </x:c>
      <x:c r="EP25" s="14" t="n">
        <x:v>523</x:v>
      </x:c>
      <x:c r="EQ25" s="14" t="n">
        <x:v>42</x:v>
      </x:c>
      <x:c r="ER25" s="14" t="n">
        <x:v>11</x:v>
      </x:c>
      <x:c r="ES25" s="14" t="n">
        <x:v>2</x:v>
      </x:c>
      <x:c r="ET25" s="14" t="str">
        <x:v>未收錄</x:v>
      </x:c>
      <x:c r="EU25" s="14" t="str">
        <x:v>24645</x:v>
      </x:c>
      <x:c r="EV25" s="14" t="n">
        <x:v>8</x:v>
      </x:c>
      <x:c r="EW25" s="14" t="n">
        <x:v>524</x:v>
      </x:c>
      <x:c r="EX25" s="14" t="n">
        <x:v>43</x:v>
      </x:c>
      <x:c r="EY25" s="14" t="n">
        <x:v>11</x:v>
      </x:c>
      <x:c r="EZ25" s="14" t="n">
        <x:v>3</x:v>
      </x:c>
      <x:c r="FA25" s="14" t="str">
        <x:v>未收錄</x:v>
      </x:c>
      <x:c r="FB25" s="14" t="str">
        <x:v>26198</x:v>
      </x:c>
      <x:c r="FC25" s="14" t="n">
        <x:v>3</x:v>
      </x:c>
      <x:c r="FD25" s="14" t="n">
        <x:v>525</x:v>
      </x:c>
      <x:c r="FE25" s="14" t="n">
        <x:v>44</x:v>
      </x:c>
      <x:c r="FF25" s="14" t="n">
        <x:v>11</x:v>
      </x:c>
      <x:c r="FG25" s="14" t="n">
        <x:v>4</x:v>
      </x:c>
      <x:c r="FH25" s="14" t="str">
        <x:v>未收錄</x:v>
      </x:c>
      <x:c r="FI25" s="14" t="str">
        <x:v>23306</x:v>
      </x:c>
      <x:c r="FJ25" s="14" t="n">
        <x:v>8</x:v>
      </x:c>
      <x:c r="FK25" s="14" t="n">
        <x:v>672</x:v>
      </x:c>
      <x:c r="FL25" s="14" t="n">
        <x:v>41</x:v>
      </x:c>
      <x:c r="FM25" s="14" t="n">
        <x:v>11</x:v>
      </x:c>
      <x:c r="FN25" s="14" t="n">
        <x:v>1</x:v>
      </x:c>
      <x:c r="FO25" s="14" t="str">
        <x:v>未收錄</x:v>
      </x:c>
      <x:c r="FP25" s="14" t="str">
        <x:v>21865</x:v>
      </x:c>
      <x:c r="FQ25" s="14" t="n">
        <x:v>8</x:v>
      </x:c>
      <x:c r="FR25" s="14" t="n">
        <x:v>673</x:v>
      </x:c>
      <x:c r="FS25" s="14" t="n">
        <x:v>42</x:v>
      </x:c>
      <x:c r="FT25" s="14" t="n">
        <x:v>11</x:v>
      </x:c>
      <x:c r="FU25" s="14" t="n">
        <x:v>2</x:v>
      </x:c>
      <x:c r="FV25" s="14" t="str">
        <x:v>未收錄</x:v>
      </x:c>
      <x:c r="FW25" s="14" t="str">
        <x:v>21866</x:v>
      </x:c>
      <x:c r="FX25" s="14" t="n">
        <x:v>8</x:v>
      </x:c>
      <x:c r="FY25" s="14" t="n">
        <x:v>674</x:v>
      </x:c>
      <x:c r="FZ25" s="14" t="n">
        <x:v>43</x:v>
      </x:c>
      <x:c r="GA25" s="14" t="n">
        <x:v>11</x:v>
      </x:c>
      <x:c r="GB25" s="14" t="n">
        <x:v>3</x:v>
      </x:c>
      <x:c r="GC25" s="14" t="str">
        <x:v>未收錄</x:v>
      </x:c>
      <x:c r="GD25" s="14" t="str">
        <x:v>22880</x:v>
      </x:c>
      <x:c r="GE25" s="14" t="n">
        <x:v>8</x:v>
      </x:c>
      <x:c r="GF25" s="14" t="n">
        <x:v>675</x:v>
      </x:c>
      <x:c r="GG25" s="14" t="n">
        <x:v>44</x:v>
      </x:c>
      <x:c r="GH25" s="14" t="n">
        <x:v>11</x:v>
      </x:c>
      <x:c r="GI25" s="14" t="n">
        <x:v>4</x:v>
      </x:c>
      <x:c r="GJ25" s="14" t="str">
        <x:v>未收錄</x:v>
      </x:c>
      <x:c r="GK25" s="14" t="str">
        <x:v>23304</x:v>
      </x:c>
      <x:c r="GL25" s="14" t="n">
        <x:v>8</x:v>
      </x:c>
      <x:c r="GM25" s="14" t="n">
        <x:v>844</x:v>
      </x:c>
      <x:c r="GN25" s="14" t="n">
        <x:v>41</x:v>
      </x:c>
      <x:c r="GO25" s="14" t="n">
        <x:v>11</x:v>
      </x:c>
      <x:c r="GP25" s="14" t="n">
        <x:v>1</x:v>
      </x:c>
      <x:c r="GQ25" s="14" t="str">
        <x:v>未收錄</x:v>
      </x:c>
      <x:c r="GR25" s="14" t="str">
        <x:v>21871</x:v>
      </x:c>
      <x:c r="GS25" s="14" t="n">
        <x:v>8</x:v>
      </x:c>
      <x:c r="GT25" s="14" t="n">
        <x:v>845</x:v>
      </x:c>
      <x:c r="GU25" s="14" t="n">
        <x:v>42</x:v>
      </x:c>
      <x:c r="GV25" s="14" t="n">
        <x:v>11</x:v>
      </x:c>
      <x:c r="GW25" s="14" t="n">
        <x:v>2</x:v>
      </x:c>
      <x:c r="GX25" s="14" t="str">
        <x:v>未收錄</x:v>
      </x:c>
      <x:c r="GY25" s="14" t="str">
        <x:v>21872</x:v>
      </x:c>
      <x:c r="GZ25" s="14" t="n">
        <x:v>8</x:v>
      </x:c>
      <x:c r="HA25" s="14" t="n">
        <x:v>846</x:v>
      </x:c>
      <x:c r="HB25" s="14" t="n">
        <x:v>43</x:v>
      </x:c>
      <x:c r="HC25" s="14" t="n">
        <x:v>11</x:v>
      </x:c>
      <x:c r="HD25" s="14" t="n">
        <x:v>3</x:v>
      </x:c>
      <x:c r="HE25" s="14" t="str">
        <x:v>未收錄</x:v>
      </x:c>
      <x:c r="HF25" s="14" t="str">
        <x:v>22883</x:v>
      </x:c>
      <x:c r="HG25" s="14" t="n">
        <x:v>8</x:v>
      </x:c>
      <x:c r="HH25" s="14" t="n">
        <x:v>847</x:v>
      </x:c>
      <x:c r="HI25" s="14" t="n">
        <x:v>44</x:v>
      </x:c>
      <x:c r="HJ25" s="14" t="n">
        <x:v>11</x:v>
      </x:c>
      <x:c r="HK25" s="14" t="n">
        <x:v>4</x:v>
      </x:c>
      <x:c r="HL25" s="14" t="str">
        <x:v>未收錄</x:v>
      </x:c>
      <x:c r="HM25" s="14" t="str">
        <x:v>21546</x:v>
      </x:c>
      <x:c r="HN25" s="14" t="n">
        <x:v>8</x:v>
      </x:c>
      <x:c r="HO25" s="14" t="n">
        <x:v>1017</x:v>
      </x:c>
      <x:c r="HP25" s="14" t="n">
        <x:v>41</x:v>
      </x:c>
      <x:c r="HQ25" s="14" t="n">
        <x:v>11</x:v>
      </x:c>
      <x:c r="HR25" s="14" t="n">
        <x:v>1</x:v>
      </x:c>
      <x:c r="HS25" s="14" t="str">
        <x:v>未收錄</x:v>
      </x:c>
      <x:c r="HT25" s="14" t="str">
        <x:v>23299</x:v>
      </x:c>
      <x:c r="HU25" s="14" t="n">
        <x:v>8</x:v>
      </x:c>
      <x:c r="HV25" s="14" t="n">
        <x:v>1018</x:v>
      </x:c>
      <x:c r="HW25" s="14" t="n">
        <x:v>42</x:v>
      </x:c>
      <x:c r="HX25" s="14" t="n">
        <x:v>11</x:v>
      </x:c>
      <x:c r="HY25" s="14" t="n">
        <x:v>2</x:v>
      </x:c>
      <x:c r="HZ25" s="14" t="str">
        <x:v>未收錄</x:v>
      </x:c>
      <x:c r="IA25" s="14" t="str">
        <x:v>21547</x:v>
      </x:c>
      <x:c r="IB25" s="14" t="n">
        <x:v>8</x:v>
      </x:c>
      <x:c r="IC25" s="14" t="n">
        <x:v>1019</x:v>
      </x:c>
      <x:c r="ID25" s="14" t="n">
        <x:v>43</x:v>
      </x:c>
      <x:c r="IE25" s="14" t="n">
        <x:v>11</x:v>
      </x:c>
      <x:c r="IF25" s="14" t="n">
        <x:v>3</x:v>
      </x:c>
      <x:c r="IG25" s="14" t="str">
        <x:v>未收錄</x:v>
      </x:c>
      <x:c r="IH25" s="14" t="str">
        <x:v>23300</x:v>
      </x:c>
      <x:c r="II25" s="14" t="n">
        <x:v>8</x:v>
      </x:c>
      <x:c r="IJ25" s="14" t="n">
        <x:v>1020</x:v>
      </x:c>
      <x:c r="IK25" s="14" t="n">
        <x:v>44</x:v>
      </x:c>
      <x:c r="IL25" s="14" t="n">
        <x:v>11</x:v>
      </x:c>
      <x:c r="IM25" s="14" t="n">
        <x:v>4</x:v>
      </x:c>
      <x:c r="IN25" s="14" t="str">
        <x:v>未收錄</x:v>
      </x:c>
      <x:c r="IO25" s="14" t="str">
        <x:v>21110</x:v>
      </x:c>
      <x:c r="IP25" s="14" t="n">
        <x:v>8</x:v>
      </x:c>
      <x:c r="IQ25" s="14" t="n">
        <x:v>1185</x:v>
      </x:c>
      <x:c r="IR25" s="14" t="n">
        <x:v>41</x:v>
      </x:c>
      <x:c r="IS25" s="14" t="n">
        <x:v>11</x:v>
      </x:c>
      <x:c r="IT25" s="14" t="n">
        <x:v>1</x:v>
      </x:c>
      <x:c r="IU25" s="14" t="str">
        <x:v>未收錄</x:v>
      </x:c>
      <x:c r="IV25" s="14" t="str">
        <x:v>21111</x:v>
      </x:c>
      <x:c r="IW25" s="14" t="n">
        <x:v>8</x:v>
      </x:c>
      <x:c r="IX25" s="14" t="n">
        <x:v>1186</x:v>
      </x:c>
      <x:c r="IY25" s="14" t="n">
        <x:v>42</x:v>
      </x:c>
      <x:c r="IZ25" s="14" t="n">
        <x:v>11</x:v>
      </x:c>
      <x:c r="JA25" s="14" t="n">
        <x:v>2</x:v>
      </x:c>
      <x:c r="JB25" s="14" t="str">
        <x:v>未收錄</x:v>
      </x:c>
      <x:c r="JC25" s="14" t="str">
        <x:v>21112</x:v>
      </x:c>
      <x:c r="JD25" s="14" t="n">
        <x:v>8</x:v>
      </x:c>
      <x:c r="JE25" s="14" t="n">
        <x:v>1187</x:v>
      </x:c>
      <x:c r="JF25" s="14" t="n">
        <x:v>43</x:v>
      </x:c>
      <x:c r="JG25" s="14" t="n">
        <x:v>11</x:v>
      </x:c>
      <x:c r="JH25" s="14" t="n">
        <x:v>3</x:v>
      </x:c>
      <x:c r="JI25" s="14" t="str">
        <x:v>未收錄</x:v>
      </x:c>
      <x:c r="JJ25" s="14" t="str">
        <x:v>21113</x:v>
      </x:c>
      <x:c r="JK25" s="14" t="n">
        <x:v>8</x:v>
      </x:c>
      <x:c r="JL25" s="14" t="n">
        <x:v>1188</x:v>
      </x:c>
      <x:c r="JM25" s="14" t="n">
        <x:v>44</x:v>
      </x:c>
      <x:c r="JN25" s="14" t="n">
        <x:v>11</x:v>
      </x:c>
      <x:c r="JO25" s="14" t="n">
        <x:v>4</x:v>
      </x:c>
      <x:c r="JP25" s="14" t="str">
        <x:v>未收錄</x:v>
      </x:c>
      <x:c r="JQ25" s="14" t="str">
        <x:v>24107</x:v>
      </x:c>
      <x:c r="JR25" s="14" t="n">
        <x:v>8</x:v>
      </x:c>
      <x:c r="JS25" s="14" t="n">
        <x:v>1352</x:v>
      </x:c>
      <x:c r="JT25" s="14" t="n">
        <x:v>41</x:v>
      </x:c>
      <x:c r="JU25" s="14" t="n">
        <x:v>11</x:v>
      </x:c>
      <x:c r="JV25" s="14" t="n">
        <x:v>1</x:v>
      </x:c>
      <x:c r="JW25" s="14" t="str">
        <x:v>未收錄</x:v>
      </x:c>
      <x:c r="JX25" s="14" t="str">
        <x:v>23619</x:v>
      </x:c>
      <x:c r="JY25" s="14" t="n">
        <x:v>8</x:v>
      </x:c>
      <x:c r="JZ25" s="14" t="n">
        <x:v>1353</x:v>
      </x:c>
      <x:c r="KA25" s="14" t="n">
        <x:v>42</x:v>
      </x:c>
      <x:c r="KB25" s="14" t="n">
        <x:v>11</x:v>
      </x:c>
      <x:c r="KC25" s="14" t="n">
        <x:v>2</x:v>
      </x:c>
      <x:c r="KD25" s="14" t="str">
        <x:v>未收錄</x:v>
      </x:c>
      <x:c r="KE25" s="14" t="str">
        <x:v>24076</x:v>
      </x:c>
      <x:c r="KF25" s="14" t="n">
        <x:v>8</x:v>
      </x:c>
      <x:c r="KG25" s="14" t="n">
        <x:v>1354</x:v>
      </x:c>
      <x:c r="KH25" s="14" t="n">
        <x:v>43</x:v>
      </x:c>
      <x:c r="KI25" s="14" t="n">
        <x:v>11</x:v>
      </x:c>
      <x:c r="KJ25" s="14" t="n">
        <x:v>3</x:v>
      </x:c>
      <x:c r="KK25" s="14" t="str">
        <x:v>未收錄</x:v>
      </x:c>
      <x:c r="KL25" s="14" t="str">
        <x:v>24077</x:v>
      </x:c>
      <x:c r="KM25" s="14" t="n">
        <x:v>8</x:v>
      </x:c>
      <x:c r="KN25" s="14" t="n">
        <x:v>1355</x:v>
      </x:c>
      <x:c r="KO25" s="14" t="n">
        <x:v>44</x:v>
      </x:c>
      <x:c r="KP25" s="14" t="n">
        <x:v>11</x:v>
      </x:c>
      <x:c r="KQ25" s="14" t="n">
        <x:v>4</x:v>
      </x:c>
      <x:c r="KR25" s="14" t="str">
        <x:v>未收錄</x:v>
      </x:c>
      <x:c r="KS25" s="14" t="str">
        <x:v>22130</x:v>
      </x:c>
      <x:c r="KT25" s="14" t="n">
        <x:v>8</x:v>
      </x:c>
      <x:c r="KU25" s="14" t="n">
        <x:v>1467</x:v>
      </x:c>
      <x:c r="KV25" s="14" t="n">
        <x:v>41</x:v>
      </x:c>
      <x:c r="KW25" s="14" t="n">
        <x:v>11</x:v>
      </x:c>
      <x:c r="KX25" s="14" t="n">
        <x:v>1</x:v>
      </x:c>
      <x:c r="KY25" s="14" t="str">
        <x:v>未收錄</x:v>
      </x:c>
      <x:c r="KZ25" s="14" t="str">
        <x:v>22131</x:v>
      </x:c>
      <x:c r="LA25" s="14" t="n">
        <x:v>8</x:v>
      </x:c>
      <x:c r="LB25" s="14" t="n">
        <x:v>1468</x:v>
      </x:c>
      <x:c r="LC25" s="14" t="n">
        <x:v>42</x:v>
      </x:c>
      <x:c r="LD25" s="14" t="n">
        <x:v>11</x:v>
      </x:c>
      <x:c r="LE25" s="14" t="n">
        <x:v>2</x:v>
      </x:c>
      <x:c r="LF25" s="14" t="str">
        <x:v>未收錄</x:v>
      </x:c>
      <x:c r="LG25" s="14" t="str">
        <x:v>23620</x:v>
      </x:c>
      <x:c r="LH25" s="14" t="n">
        <x:v>8</x:v>
      </x:c>
      <x:c r="LI25" s="14" t="n">
        <x:v>1469</x:v>
      </x:c>
      <x:c r="LJ25" s="14" t="n">
        <x:v>43</x:v>
      </x:c>
      <x:c r="LK25" s="14" t="n">
        <x:v>11</x:v>
      </x:c>
      <x:c r="LL25" s="14" t="n">
        <x:v>3</x:v>
      </x:c>
      <x:c r="LM25" s="14" t="str">
        <x:v>未收錄</x:v>
      </x:c>
      <x:c r="LN25" s="14" t="str">
        <x:v>23621</x:v>
      </x:c>
      <x:c r="LO25" s="14" t="n">
        <x:v>8</x:v>
      </x:c>
      <x:c r="LP25" s="14" t="n">
        <x:v>1470</x:v>
      </x:c>
      <x:c r="LQ25" s="14" t="n">
        <x:v>44</x:v>
      </x:c>
      <x:c r="LR25" s="14" t="n">
        <x:v>11</x:v>
      </x:c>
      <x:c r="LS25" s="14" t="n">
        <x:v>4</x:v>
      </x:c>
      <x:c r="LT25" s="14" t="str">
        <x:v>未收錄</x:v>
      </x:c>
      <x:c r="LU25" s="14" t="str">
        <x:v>24655</x:v>
      </x:c>
      <x:c r="LV25" s="14" t="n">
        <x:v>8</x:v>
      </x:c>
      <x:c r="LW25" s="14" t="n">
        <x:v>1580</x:v>
      </x:c>
      <x:c r="LX25" s="14" t="n">
        <x:v>41</x:v>
      </x:c>
      <x:c r="LY25" s="14" t="n">
        <x:v>11</x:v>
      </x:c>
      <x:c r="LZ25" s="14" t="n">
        <x:v>1</x:v>
      </x:c>
      <x:c r="MA25" s="14" t="str">
        <x:v>未收錄</x:v>
      </x:c>
      <x:c r="MB25" s="14" t="str">
        <x:v>26193</x:v>
      </x:c>
      <x:c r="MC25" s="14" t="n">
        <x:v>3</x:v>
      </x:c>
      <x:c r="MD25" s="14" t="n">
        <x:v>1581</x:v>
      </x:c>
      <x:c r="ME25" s="14" t="n">
        <x:v>42</x:v>
      </x:c>
      <x:c r="MF25" s="14" t="n">
        <x:v>11</x:v>
      </x:c>
      <x:c r="MG25" s="14" t="n">
        <x:v>2</x:v>
      </x:c>
      <x:c r="MH25" s="14" t="str">
        <x:v>未收錄</x:v>
      </x:c>
      <x:c r="MI25" s="14" t="str">
        <x:v>24656</x:v>
      </x:c>
      <x:c r="MJ25" s="14" t="n">
        <x:v>8</x:v>
      </x:c>
      <x:c r="MK25" s="14" t="n">
        <x:v>1582</x:v>
      </x:c>
      <x:c r="ML25" s="14" t="n">
        <x:v>43</x:v>
      </x:c>
      <x:c r="MM25" s="14" t="n">
        <x:v>11</x:v>
      </x:c>
      <x:c r="MN25" s="14" t="n">
        <x:v>3</x:v>
      </x:c>
      <x:c r="MO25" s="14" t="str">
        <x:v>未收錄</x:v>
      </x:c>
      <x:c r="MP25" s="14" t="str">
        <x:v>26202</x:v>
      </x:c>
      <x:c r="MQ25" s="14" t="n">
        <x:v>3</x:v>
      </x:c>
      <x:c r="MR25" s="14" t="n">
        <x:v>1583</x:v>
      </x:c>
      <x:c r="MS25" s="14" t="n">
        <x:v>44</x:v>
      </x:c>
      <x:c r="MT25" s="14" t="n">
        <x:v>11</x:v>
      </x:c>
      <x:c r="MU25" s="14" t="n">
        <x:v>4</x:v>
      </x:c>
      <x:c r="MV25" s="14" t="str">
        <x:v>未收錄</x:v>
      </x:c>
      <x:c r="MW25" s="14" t="str">
        <x:v>21159</x:v>
      </x:c>
      <x:c r="MX25" s="14" t="n">
        <x:v>1</x:v>
      </x:c>
      <x:c r="MY25" s="14" t="n">
        <x:v>1689</x:v>
      </x:c>
      <x:c r="MZ25" s="14" t="n">
        <x:v>41</x:v>
      </x:c>
      <x:c r="NA25" s="14" t="n">
        <x:v>11</x:v>
      </x:c>
      <x:c r="NB25" s="14" t="n">
        <x:v>1</x:v>
      </x:c>
      <x:c r="NC25" s="14" t="str">
        <x:v>未收錄</x:v>
      </x:c>
      <x:c r="ND25" s="14" t="str">
        <x:v>21160</x:v>
      </x:c>
      <x:c r="NE25" s="14" t="n">
        <x:v>1</x:v>
      </x:c>
      <x:c r="NF25" s="14" t="n">
        <x:v>1690</x:v>
      </x:c>
      <x:c r="NG25" s="14" t="n">
        <x:v>42</x:v>
      </x:c>
      <x:c r="NH25" s="14" t="n">
        <x:v>11</x:v>
      </x:c>
      <x:c r="NI25" s="14" t="n">
        <x:v>2</x:v>
      </x:c>
      <x:c r="NJ25" s="14" t="str">
        <x:v>未收錄</x:v>
      </x:c>
      <x:c r="NK25" s="14" t="str">
        <x:v>21162</x:v>
      </x:c>
      <x:c r="NL25" s="14" t="n">
        <x:v>1</x:v>
      </x:c>
      <x:c r="NM25" s="14" t="n">
        <x:v>1691</x:v>
      </x:c>
      <x:c r="NN25" s="14" t="n">
        <x:v>43</x:v>
      </x:c>
      <x:c r="NO25" s="14" t="n">
        <x:v>11</x:v>
      </x:c>
      <x:c r="NP25" s="14" t="n">
        <x:v>3</x:v>
      </x:c>
      <x:c r="NQ25" s="14" t="str">
        <x:v>未收錄</x:v>
      </x:c>
      <x:c r="NR25" s="14" t="str">
        <x:v>21163</x:v>
      </x:c>
      <x:c r="NS25" s="14" t="n">
        <x:v>1</x:v>
      </x:c>
      <x:c r="NT25" s="14" t="n">
        <x:v>1692</x:v>
      </x:c>
      <x:c r="NU25" s="14" t="n">
        <x:v>44</x:v>
      </x:c>
      <x:c r="NV25" s="14" t="n">
        <x:v>11</x:v>
      </x:c>
      <x:c r="NW25" s="14" t="n">
        <x:v>4</x:v>
      </x:c>
      <x:c r="NX25" s="14" t="str">
        <x:v>未收錄</x:v>
      </x:c>
      <x:c r="NY25" s="14" t="str">
        <x:v>21230</x:v>
      </x:c>
      <x:c r="NZ25" s="14" t="n">
        <x:v>1</x:v>
      </x:c>
      <x:c r="OA25" s="14" t="n">
        <x:v>2142</x:v>
      </x:c>
      <x:c r="OB25" s="14" t="n">
        <x:v>41</x:v>
      </x:c>
      <x:c r="OC25" s="14" t="n">
        <x:v>11</x:v>
      </x:c>
      <x:c r="OD25" s="14" t="n">
        <x:v>1</x:v>
      </x:c>
      <x:c r="OE25" s="14" t="str">
        <x:v>未收錄</x:v>
      </x:c>
      <x:c r="OF25" s="14" t="str">
        <x:v>21234</x:v>
      </x:c>
      <x:c r="OG25" s="14" t="n">
        <x:v>1</x:v>
      </x:c>
      <x:c r="OH25" s="14" t="n">
        <x:v>2143</x:v>
      </x:c>
      <x:c r="OI25" s="14" t="n">
        <x:v>42</x:v>
      </x:c>
      <x:c r="OJ25" s="14" t="n">
        <x:v>11</x:v>
      </x:c>
      <x:c r="OK25" s="14" t="n">
        <x:v>2</x:v>
      </x:c>
      <x:c r="OL25" s="14" t="str">
        <x:v>未收錄</x:v>
      </x:c>
      <x:c r="OM25" s="14" t="str">
        <x:v>21235</x:v>
      </x:c>
      <x:c r="ON25" s="14" t="n">
        <x:v>1</x:v>
      </x:c>
      <x:c r="OO25" s="14" t="n">
        <x:v>2144</x:v>
      </x:c>
      <x:c r="OP25" s="14" t="n">
        <x:v>43</x:v>
      </x:c>
      <x:c r="OQ25" s="14" t="n">
        <x:v>11</x:v>
      </x:c>
      <x:c r="OR25" s="14" t="n">
        <x:v>3</x:v>
      </x:c>
      <x:c r="OS25" s="14" t="str">
        <x:v>未收錄</x:v>
      </x:c>
      <x:c r="OT25" s="14" t="str">
        <x:v>21420</x:v>
      </x:c>
      <x:c r="OU25" s="14" t="n">
        <x:v>1</x:v>
      </x:c>
      <x:c r="OV25" s="14" t="n">
        <x:v>2145</x:v>
      </x:c>
      <x:c r="OW25" s="14" t="n">
        <x:v>44</x:v>
      </x:c>
      <x:c r="OX25" s="14" t="n">
        <x:v>11</x:v>
      </x:c>
      <x:c r="OY25" s="14" t="n">
        <x:v>4</x:v>
      </x:c>
      <x:c r="OZ25" s="14" t="str">
        <x:v>未收錄</x:v>
      </x:c>
      <x:c r="PA25" s="14" t="str">
        <x:v>28228</x:v>
      </x:c>
      <x:c r="PB25" s="14" t="n">
        <x:v>2</x:v>
      </x:c>
      <x:c r="PC25" s="14" t="n">
        <x:v>2688</x:v>
      </x:c>
      <x:c r="PD25" s="14" t="n">
        <x:v>41</x:v>
      </x:c>
      <x:c r="PE25" s="14" t="n">
        <x:v>11</x:v>
      </x:c>
      <x:c r="PF25" s="14" t="n">
        <x:v>1</x:v>
      </x:c>
      <x:c r="PG25" s="14" t="str">
        <x:v>未收錄</x:v>
      </x:c>
      <x:c r="PH25" s="14" t="str">
        <x:v>29167</x:v>
      </x:c>
      <x:c r="PI25" s="14" t="n">
        <x:v>2</x:v>
      </x:c>
      <x:c r="PJ25" s="14" t="n">
        <x:v>2689</x:v>
      </x:c>
      <x:c r="PK25" s="14" t="n">
        <x:v>42</x:v>
      </x:c>
      <x:c r="PL25" s="14" t="n">
        <x:v>11</x:v>
      </x:c>
      <x:c r="PM25" s="14" t="n">
        <x:v>2</x:v>
      </x:c>
      <x:c r="PN25" s="14" t="str">
        <x:v>未收錄</x:v>
      </x:c>
      <x:c r="PO25" s="14" t="str">
        <x:v>29855</x:v>
      </x:c>
      <x:c r="PP25" s="14" t="n">
        <x:v>2</x:v>
      </x:c>
      <x:c r="PQ25" s="14" t="n">
        <x:v>2690</x:v>
      </x:c>
      <x:c r="PR25" s="14" t="n">
        <x:v>43</x:v>
      </x:c>
      <x:c r="PS25" s="14" t="n">
        <x:v>11</x:v>
      </x:c>
      <x:c r="PT25" s="14" t="n">
        <x:v>3</x:v>
      </x:c>
      <x:c r="PU25" s="14" t="str">
        <x:v>未收錄</x:v>
      </x:c>
      <x:c r="PV25" s="14" t="str">
        <x:v>30071</x:v>
      </x:c>
      <x:c r="PW25" s="14" t="n">
        <x:v>2</x:v>
      </x:c>
      <x:c r="PX25" s="14" t="n">
        <x:v>2691</x:v>
      </x:c>
      <x:c r="PY25" s="14" t="n">
        <x:v>44</x:v>
      </x:c>
      <x:c r="PZ25" s="14" t="n">
        <x:v>11</x:v>
      </x:c>
      <x:c r="QA25" s="14" t="n">
        <x:v>4</x:v>
      </x:c>
      <x:c r="QB25" s="14" t="str">
        <x:v>未收錄</x:v>
      </x:c>
      <x:c r="QC25" s="14" t="str">
        <x:v>29168</x:v>
      </x:c>
      <x:c r="QD25" s="14" t="n">
        <x:v>2</x:v>
      </x:c>
      <x:c r="QE25" s="14" t="n">
        <x:v>3125</x:v>
      </x:c>
      <x:c r="QF25" s="14" t="n">
        <x:v>41</x:v>
      </x:c>
      <x:c r="QG25" s="14" t="n">
        <x:v>11</x:v>
      </x:c>
      <x:c r="QH25" s="14" t="n">
        <x:v>1</x:v>
      </x:c>
      <x:c r="QI25" s="14" t="str">
        <x:v>未收錄</x:v>
      </x:c>
      <x:c r="QJ25" s="14" t="str">
        <x:v>29856</x:v>
      </x:c>
      <x:c r="QK25" s="14" t="n">
        <x:v>2</x:v>
      </x:c>
      <x:c r="QL25" s="14" t="n">
        <x:v>3126</x:v>
      </x:c>
      <x:c r="QM25" s="14" t="n">
        <x:v>42</x:v>
      </x:c>
      <x:c r="QN25" s="14" t="n">
        <x:v>11</x:v>
      </x:c>
      <x:c r="QO25" s="14" t="n">
        <x:v>2</x:v>
      </x:c>
      <x:c r="QP25" s="14" t="str">
        <x:v>未收錄</x:v>
      </x:c>
      <x:c r="QQ25" s="14" t="str">
        <x:v>30072</x:v>
      </x:c>
      <x:c r="QR25" s="14" t="n">
        <x:v>2</x:v>
      </x:c>
      <x:c r="QS25" s="14" t="n">
        <x:v>3127</x:v>
      </x:c>
      <x:c r="QT25" s="14" t="n">
        <x:v>43</x:v>
      </x:c>
      <x:c r="QU25" s="14" t="n">
        <x:v>11</x:v>
      </x:c>
      <x:c r="QV25" s="14" t="n">
        <x:v>3</x:v>
      </x:c>
      <x:c r="QW25" s="14" t="str">
        <x:v>未收錄</x:v>
      </x:c>
      <x:c r="QX25" s="14" t="str">
        <x:v>30556</x:v>
      </x:c>
      <x:c r="QY25" s="14" t="n">
        <x:v>2</x:v>
      </x:c>
      <x:c r="QZ25" s="14" t="n">
        <x:v>3128</x:v>
      </x:c>
      <x:c r="RA25" s="14" t="n">
        <x:v>44</x:v>
      </x:c>
      <x:c r="RB25" s="14" t="n">
        <x:v>11</x:v>
      </x:c>
      <x:c r="RC25" s="14" t="n">
        <x:v>4</x:v>
      </x:c>
      <x:c r="RD25" s="14" t="str">
        <x:v>未收錄</x:v>
      </x:c>
      <x:c r="RE25" s="14" t="str">
        <x:v>20960</x:v>
      </x:c>
      <x:c r="RF25" s="14" t="n">
        <x:v>3</x:v>
      </x:c>
      <x:c r="RG25" s="14" t="n">
        <x:v>3586</x:v>
      </x:c>
      <x:c r="RH25" s="14" t="n">
        <x:v>41</x:v>
      </x:c>
      <x:c r="RI25" s="14" t="n">
        <x:v>11</x:v>
      </x:c>
      <x:c r="RJ25" s="14" t="n">
        <x:v>1</x:v>
      </x:c>
      <x:c r="RK25" s="14" t="str">
        <x:v>未收錄</x:v>
      </x:c>
      <x:c r="RL25" s="14" t="str">
        <x:v>20962</x:v>
      </x:c>
      <x:c r="RM25" s="14" t="n">
        <x:v>3</x:v>
      </x:c>
      <x:c r="RN25" s="14" t="n">
        <x:v>3587</x:v>
      </x:c>
      <x:c r="RO25" s="14" t="n">
        <x:v>42</x:v>
      </x:c>
      <x:c r="RP25" s="14" t="n">
        <x:v>11</x:v>
      </x:c>
      <x:c r="RQ25" s="14" t="n">
        <x:v>2</x:v>
      </x:c>
      <x:c r="RR25" s="14" t="str">
        <x:v>未收錄</x:v>
      </x:c>
      <x:c r="RS25" s="14" t="str">
        <x:v>21885</x:v>
      </x:c>
      <x:c r="RT25" s="14" t="n">
        <x:v>3</x:v>
      </x:c>
      <x:c r="RU25" s="14" t="n">
        <x:v>3588</x:v>
      </x:c>
      <x:c r="RV25" s="14" t="n">
        <x:v>43</x:v>
      </x:c>
      <x:c r="RW25" s="14" t="n">
        <x:v>11</x:v>
      </x:c>
      <x:c r="RX25" s="14" t="n">
        <x:v>3</x:v>
      </x:c>
      <x:c r="RY25" s="14" t="str">
        <x:v>未收錄</x:v>
      </x:c>
      <x:c r="RZ25" s="14" t="str">
        <x:v>21940</x:v>
      </x:c>
      <x:c r="SA25" s="14" t="n">
        <x:v>3</x:v>
      </x:c>
      <x:c r="SB25" s="14" t="n">
        <x:v>3589</x:v>
      </x:c>
      <x:c r="SC25" s="14" t="n">
        <x:v>44</x:v>
      </x:c>
      <x:c r="SD25" s="14" t="n">
        <x:v>11</x:v>
      </x:c>
      <x:c r="SE25" s="14" t="n">
        <x:v>4</x:v>
      </x:c>
      <x:c r="SF25" s="14" t="str">
        <x:v>未收錄</x:v>
      </x:c>
      <x:c r="SG25" s="14" t="str">
        <x:v>29731</x:v>
      </x:c>
      <x:c r="SH25" s="14" t="n">
        <x:v>5</x:v>
      </x:c>
      <x:c r="SI25" s="14" t="n">
        <x:v>4010</x:v>
      </x:c>
      <x:c r="SJ25" s="14" t="n">
        <x:v>41</x:v>
      </x:c>
      <x:c r="SK25" s="14" t="n">
        <x:v>11</x:v>
      </x:c>
      <x:c r="SL25" s="14" t="n">
        <x:v>1</x:v>
      </x:c>
      <x:c r="SM25" s="14" t="str">
        <x:v>未收錄</x:v>
      </x:c>
      <x:c r="SN25" s="14" t="str">
        <x:v>29732</x:v>
      </x:c>
      <x:c r="SO25" s="14" t="n">
        <x:v>5</x:v>
      </x:c>
      <x:c r="SP25" s="14" t="n">
        <x:v>4011</x:v>
      </x:c>
      <x:c r="SQ25" s="14" t="n">
        <x:v>42</x:v>
      </x:c>
      <x:c r="SR25" s="14" t="n">
        <x:v>11</x:v>
      </x:c>
      <x:c r="SS25" s="14" t="n">
        <x:v>2</x:v>
      </x:c>
      <x:c r="ST25" s="14" t="str">
        <x:v>未收錄</x:v>
      </x:c>
      <x:c r="SU25" s="14" t="str">
        <x:v>29270</x:v>
      </x:c>
      <x:c r="SV25" s="14" t="n">
        <x:v>10</x:v>
      </x:c>
      <x:c r="SW25" s="14" t="n">
        <x:v>4012</x:v>
      </x:c>
      <x:c r="SX25" s="14" t="n">
        <x:v>43</x:v>
      </x:c>
      <x:c r="SY25" s="14" t="n">
        <x:v>11</x:v>
      </x:c>
      <x:c r="SZ25" s="14" t="n">
        <x:v>3</x:v>
      </x:c>
      <x:c r="TA25" s="14" t="str">
        <x:v>未收錄</x:v>
      </x:c>
      <x:c r="TB25" s="14" t="str">
        <x:v>23069</x:v>
      </x:c>
      <x:c r="TC25" s="14" t="n">
        <x:v>10</x:v>
      </x:c>
      <x:c r="TD25" s="14" t="n">
        <x:v>4013</x:v>
      </x:c>
      <x:c r="TE25" s="14" t="n">
        <x:v>44</x:v>
      </x:c>
      <x:c r="TF25" s="14" t="n">
        <x:v>11</x:v>
      </x:c>
      <x:c r="TG25" s="14" t="n">
        <x:v>4</x:v>
      </x:c>
      <x:c r="TH25" s="14" t="str">
        <x:v>未收錄</x:v>
      </x:c>
    </x:row>
    <x:row r="26" ht="15" customHeight="1">
      <x:c r="A26" s="18" t="str">
        <x:v>滄溟將軍劍</x:v>
      </x:c>
      <x:c r="B26" s="18" t="str">
        <x:v>精金母劍</x:v>
      </x:c>
      <x:c r="C26" s="18" t="str">
        <x:v>精金子劍</x:v>
      </x:c>
      <x:c r="D26" s="18" t="str">
        <x:v>刺客劍</x:v>
      </x:c>
      <x:c r="E26" s="14"/>
      <x:c r="F26" s="18" t="str">
        <x:v>地靈紫河刀</x:v>
      </x:c>
      <x:c r="G26" s="18" t="str">
        <x:v>絕世紫河刀</x:v>
      </x:c>
      <x:c r="H26" s="18" t="str">
        <x:v>血飲刀</x:v>
      </x:c>
      <x:c r="I26" s="18" t="str">
        <x:v>天晶血飲刀</x:v>
      </x:c>
      <x:c r="J26" s="14"/>
      <x:c r="K26" s="18" t="str">
        <x:v>巴比倫之盤</x:v>
      </x:c>
      <x:c r="L26" s="18" t="str">
        <x:v>廿四宮神弩</x:v>
      </x:c>
      <x:c r="M26" s="18" t="str">
        <x:v>麥革達法輪</x:v>
      </x:c>
      <x:c r="N26" s="18" t="str">
        <x:v>五星限命</x:v>
      </x:c>
      <x:c r="O26" s="14"/>
      <x:c r="P26" s="18" t="str">
        <x:v>青羅蛇杖</x:v>
      </x:c>
      <x:c r="Q26" s="18" t="str">
        <x:v>白露蛇杖</x:v>
      </x:c>
      <x:c r="R26" s="18" t="str">
        <x:v>翡翠神杖</x:v>
      </x:c>
      <x:c r="S26" s="18" t="str">
        <x:v>蒼穹神杖</x:v>
      </x:c>
      <x:c r="T26" s="14"/>
      <x:c r="U26" s="18" t="str">
        <x:v>羅剎禪杖</x:v>
      </x:c>
      <x:c r="V26" s="18" t="str">
        <x:v>黑天禪杖</x:v>
      </x:c>
      <x:c r="W26" s="18" t="str">
        <x:v>大羅剎寶杖</x:v>
      </x:c>
      <x:c r="X26" s="18" t="str">
        <x:v>大黑天寶杖</x:v>
      </x:c>
      <x:c r="Y26" s="14"/>
      <x:c r="Z26" s="18" t="str">
        <x:v>蛇脊矛</x:v>
      </x:c>
      <x:c r="AA26" s="18" t="str">
        <x:v>地靈蛇脊矛</x:v>
      </x:c>
      <x:c r="AB26" s="18" t="str">
        <x:v>無雙蛇脊矛</x:v>
      </x:c>
      <x:c r="AC26" s="18" t="str">
        <x:v>絕世地靈蛇脊矛</x:v>
      </x:c>
      <x:c r="AD26" s="14"/>
      <x:c r="AE26" s="18" t="str">
        <x:v>翻花棍</x:v>
      </x:c>
      <x:c r="AF26" s="18" t="str">
        <x:v>驚風棍</x:v>
      </x:c>
      <x:c r="AG26" s="18" t="str">
        <x:v>虎妖棍</x:v>
      </x:c>
      <x:c r="AH26" s="18" t="str">
        <x:v>鎮海杵</x:v>
      </x:c>
      <x:c r="AI26" s="14"/>
      <x:c r="AJ26" s="18" t="str">
        <x:v>太荒創始錘</x:v>
      </x:c>
      <x:c r="AK26" s="18" t="str">
        <x:v>太古太荒創始錘</x:v>
      </x:c>
      <x:c r="AL26" s="18" t="str">
        <x:v>創世聖王錘</x:v>
      </x:c>
      <x:c r="AM26" s="18" t="str">
        <x:v>太古創世聖王錘</x:v>
      </x:c>
      <x:c r="AN26" s="14"/>
      <x:c r="AO26" s="18" t="str">
        <x:v>破邪衝冠斧</x:v>
      </x:c>
      <x:c r="AP26" s="18" t="str">
        <x:v>太古破邪衝冠斧</x:v>
      </x:c>
      <x:c r="AQ26" s="18" t="str">
        <x:v>天鬼怒瀑斧</x:v>
      </x:c>
      <x:c r="AR26" s="18" t="str">
        <x:v>太古天鬼怒瀑斧</x:v>
      </x:c>
      <x:c r="AS26" s="14"/>
      <x:c r="AT26" s="18" t="str">
        <x:v>天赦盾</x:v>
      </x:c>
      <x:c r="AU26" s="18" t="str">
        <x:v>太古天赦盾</x:v>
      </x:c>
      <x:c r="AV26" s="18" t="str">
        <x:v>神魔雙極盾</x:v>
      </x:c>
      <x:c r="AW26" s="18" t="str">
        <x:v>太古神魔雙極盾</x:v>
      </x:c>
      <x:c r="AX26" s="14"/>
      <x:c r="AY26" s="18" t="str">
        <x:v>貝鱗戰盔</x:v>
      </x:c>
      <x:c r="AZ26" s="18" t="str">
        <x:v>道濟僧帽</x:v>
      </x:c>
      <x:c r="BA26" s="18" t="str">
        <x:v>金甲戰盔</x:v>
      </x:c>
      <x:c r="BB26" s="18" t="str">
        <x:v>赤鐵兜帽</x:v>
      </x:c>
      <x:c r="BC26" s="14"/>
      <x:c r="BD26" s="18" t="str">
        <x:v>追風勁袍</x:v>
      </x:c>
      <x:c r="BE26" s="18" t="str">
        <x:v>護心禪衣</x:v>
      </x:c>
      <x:c r="BF26" s="18" t="str">
        <x:v>祖傳掩心鏡</x:v>
      </x:c>
      <x:c r="BG26" s="18" t="str">
        <x:v>精金掩心鏡</x:v>
      </x:c>
      <x:c r="BH26" s="14"/>
      <x:c r="BI26" s="18" t="str">
        <x:v>南遼護腕</x:v>
      </x:c>
      <x:c r="BJ26" s="18" t="str">
        <x:v>龍骨護腕</x:v>
      </x:c>
      <x:c r="BK26" s="18" t="str">
        <x:v>侏人護腕</x:v>
      </x:c>
      <x:c r="BL26" s="18" t="str">
        <x:v>虎王爪</x:v>
      </x:c>
      <x:c r="BM26" s="14"/>
      <x:c r="BN26" s="18" t="str">
        <x:v>皇宮繡花鞋</x:v>
      </x:c>
      <x:c r="BO26" s="18" t="str">
        <x:v>疾風靴</x:v>
      </x:c>
      <x:c r="BP26" s="18" t="str">
        <x:v>虎王靴</x:v>
      </x:c>
      <x:c r="BQ26" s="18" t="str">
        <x:v>鬼王靴</x:v>
      </x:c>
      <x:c r="BR26" s="14"/>
      <x:c r="BS26" s="18" t="str">
        <x:v>火侏護符</x:v>
      </x:c>
      <x:c r="BT26" s="18" t="str">
        <x:v>雷侏護符</x:v>
      </x:c>
      <x:c r="BU26" s="18" t="str">
        <x:v>冥侏護符</x:v>
      </x:c>
      <x:c r="BV26" s="18" t="str">
        <x:v>負重寶袋</x:v>
      </x:c>
      <x:c r="BW26" s="14"/>
      <x:c r="BX26" s="18" t="str">
        <x:v>雲龍仙煌陣</x:v>
      </x:c>
      <x:c r="BY26" s="18" t="str">
        <x:v>八卦仙天鏡</x:v>
      </x:c>
      <x:c r="BZ26" s="18" t="str">
        <x:v>光武仙宮幃</x:v>
      </x:c>
      <x:c r="CA26" s="18" t="str">
        <x:v>奇解仙命域</x:v>
      </x:c>
      <x:c r="CB26" s="14"/>
      <x:c r="CC26" s="14" t="str">
        <x:v>20445</x:v>
      </x:c>
      <x:c r="CD26" s="14" t="n">
        <x:v>2</x:v>
      </x:c>
      <x:c r="CE26" s="14" t="n">
        <x:v>45</x:v>
      </x:c>
      <x:c r="CF26" s="14" t="n">
        <x:v>45</x:v>
      </x:c>
      <x:c r="CG26" s="14" t="n">
        <x:v>12</x:v>
      </x:c>
      <x:c r="CH26" s="14" t="n">
        <x:v>1</x:v>
      </x:c>
      <x:c r="CI26" s="14" t="str">
        <x:v>未收錄</x:v>
      </x:c>
      <x:c r="CJ26" s="14" t="str">
        <x:v>20580</x:v>
      </x:c>
      <x:c r="CK26" s="14" t="n">
        <x:v>2</x:v>
      </x:c>
      <x:c r="CL26" s="14" t="n">
        <x:v>46</x:v>
      </x:c>
      <x:c r="CM26" s="14" t="n">
        <x:v>46</x:v>
      </x:c>
      <x:c r="CN26" s="14" t="n">
        <x:v>12</x:v>
      </x:c>
      <x:c r="CO26" s="14" t="n">
        <x:v>2</x:v>
      </x:c>
      <x:c r="CP26" s="14" t="str">
        <x:v>未收錄</x:v>
      </x:c>
      <x:c r="CQ26" s="14" t="str">
        <x:v>20581</x:v>
      </x:c>
      <x:c r="CR26" s="14" t="n">
        <x:v>2</x:v>
      </x:c>
      <x:c r="CS26" s="14" t="n">
        <x:v>47</x:v>
      </x:c>
      <x:c r="CT26" s="14" t="n">
        <x:v>47</x:v>
      </x:c>
      <x:c r="CU26" s="14" t="n">
        <x:v>12</x:v>
      </x:c>
      <x:c r="CV26" s="14" t="n">
        <x:v>3</x:v>
      </x:c>
      <x:c r="CW26" s="14" t="str">
        <x:v>未收錄</x:v>
      </x:c>
      <x:c r="CX26" s="14" t="str">
        <x:v>20760</x:v>
      </x:c>
      <x:c r="CY26" s="14" t="n">
        <x:v>2</x:v>
      </x:c>
      <x:c r="CZ26" s="14" t="n">
        <x:v>48</x:v>
      </x:c>
      <x:c r="DA26" s="14" t="n">
        <x:v>48</x:v>
      </x:c>
      <x:c r="DB26" s="14" t="n">
        <x:v>12</x:v>
      </x:c>
      <x:c r="DC26" s="14" t="n">
        <x:v>4</x:v>
      </x:c>
      <x:c r="DD26" s="14" t="str">
        <x:v>未收錄</x:v>
      </x:c>
      <x:c r="DE26" s="14" t="str">
        <x:v>21998</x:v>
      </x:c>
      <x:c r="DF26" s="14" t="n">
        <x:v>8</x:v>
      </x:c>
      <x:c r="DG26" s="14" t="n">
        <x:v>290</x:v>
      </x:c>
      <x:c r="DH26" s="14" t="n">
        <x:v>45</x:v>
      </x:c>
      <x:c r="DI26" s="14" t="n">
        <x:v>12</x:v>
      </x:c>
      <x:c r="DJ26" s="14" t="n">
        <x:v>1</x:v>
      </x:c>
      <x:c r="DK26" s="14" t="str">
        <x:v>未收錄</x:v>
      </x:c>
      <x:c r="DL26" s="14" t="str">
        <x:v>22041</x:v>
      </x:c>
      <x:c r="DM26" s="14" t="n">
        <x:v>8</x:v>
      </x:c>
      <x:c r="DN26" s="14" t="n">
        <x:v>291</x:v>
      </x:c>
      <x:c r="DO26" s="14" t="n">
        <x:v>46</x:v>
      </x:c>
      <x:c r="DP26" s="14" t="n">
        <x:v>12</x:v>
      </x:c>
      <x:c r="DQ26" s="14" t="n">
        <x:v>2</x:v>
      </x:c>
      <x:c r="DR26" s="14" t="str">
        <x:v>未收錄</x:v>
      </x:c>
      <x:c r="DS26" s="14" t="str">
        <x:v>20780</x:v>
      </x:c>
      <x:c r="DT26" s="14" t="n">
        <x:v>8</x:v>
      </x:c>
      <x:c r="DU26" s="14" t="n">
        <x:v>292</x:v>
      </x:c>
      <x:c r="DV26" s="14" t="n">
        <x:v>47</x:v>
      </x:c>
      <x:c r="DW26" s="14" t="n">
        <x:v>12</x:v>
      </x:c>
      <x:c r="DX26" s="14" t="n">
        <x:v>3</x:v>
      </x:c>
      <x:c r="DY26" s="14" t="str">
        <x:v>未收錄</x:v>
      </x:c>
      <x:c r="DZ26" s="14" t="str">
        <x:v>22015</x:v>
      </x:c>
      <x:c r="EA26" s="14" t="n">
        <x:v>8</x:v>
      </x:c>
      <x:c r="EB26" s="14" t="n">
        <x:v>293</x:v>
      </x:c>
      <x:c r="EC26" s="14" t="n">
        <x:v>48</x:v>
      </x:c>
      <x:c r="ED26" s="14" t="n">
        <x:v>12</x:v>
      </x:c>
      <x:c r="EE26" s="14" t="n">
        <x:v>4</x:v>
      </x:c>
      <x:c r="EF26" s="14" t="str">
        <x:v>未收錄</x:v>
      </x:c>
      <x:c r="EG26" s="14" t="str">
        <x:v>24646</x:v>
      </x:c>
      <x:c r="EH26" s="14" t="n">
        <x:v>8</x:v>
      </x:c>
      <x:c r="EI26" s="14" t="n">
        <x:v>526</x:v>
      </x:c>
      <x:c r="EJ26" s="14" t="n">
        <x:v>45</x:v>
      </x:c>
      <x:c r="EK26" s="14" t="n">
        <x:v>12</x:v>
      </x:c>
      <x:c r="EL26" s="14" t="n">
        <x:v>1</x:v>
      </x:c>
      <x:c r="EM26" s="14" t="str">
        <x:v>未收錄</x:v>
      </x:c>
      <x:c r="EN26" s="14" t="str">
        <x:v>24749</x:v>
      </x:c>
      <x:c r="EO26" s="14" t="n">
        <x:v>8</x:v>
      </x:c>
      <x:c r="EP26" s="14" t="n">
        <x:v>527</x:v>
      </x:c>
      <x:c r="EQ26" s="14" t="n">
        <x:v>46</x:v>
      </x:c>
      <x:c r="ER26" s="14" t="n">
        <x:v>12</x:v>
      </x:c>
      <x:c r="ES26" s="14" t="n">
        <x:v>2</x:v>
      </x:c>
      <x:c r="ET26" s="14" t="str">
        <x:v>未收錄</x:v>
      </x:c>
      <x:c r="EU26" s="14" t="str">
        <x:v>24926</x:v>
      </x:c>
      <x:c r="EV26" s="14" t="n">
        <x:v>8</x:v>
      </x:c>
      <x:c r="EW26" s="14" t="n">
        <x:v>528</x:v>
      </x:c>
      <x:c r="EX26" s="14" t="n">
        <x:v>47</x:v>
      </x:c>
      <x:c r="EY26" s="14" t="n">
        <x:v>12</x:v>
      </x:c>
      <x:c r="EZ26" s="14" t="n">
        <x:v>3</x:v>
      </x:c>
      <x:c r="FA26" s="14" t="str">
        <x:v>未收錄</x:v>
      </x:c>
      <x:c r="FB26" s="14" t="str">
        <x:v>26078</x:v>
      </x:c>
      <x:c r="FC26" s="14" t="n">
        <x:v>8</x:v>
      </x:c>
      <x:c r="FD26" s="14" t="n">
        <x:v>529</x:v>
      </x:c>
      <x:c r="FE26" s="14" t="n">
        <x:v>48</x:v>
      </x:c>
      <x:c r="FF26" s="14" t="n">
        <x:v>12</x:v>
      </x:c>
      <x:c r="FG26" s="14" t="n">
        <x:v>4</x:v>
      </x:c>
      <x:c r="FH26" s="14" t="str">
        <x:v>未收錄</x:v>
      </x:c>
      <x:c r="FI26" s="14" t="str">
        <x:v>22118</x:v>
      </x:c>
      <x:c r="FJ26" s="14" t="n">
        <x:v>8</x:v>
      </x:c>
      <x:c r="FK26" s="14" t="n">
        <x:v>676</x:v>
      </x:c>
      <x:c r="FL26" s="14" t="n">
        <x:v>45</x:v>
      </x:c>
      <x:c r="FM26" s="14" t="n">
        <x:v>12</x:v>
      </x:c>
      <x:c r="FN26" s="14" t="n">
        <x:v>1</x:v>
      </x:c>
      <x:c r="FO26" s="14" t="str">
        <x:v>未收錄</x:v>
      </x:c>
      <x:c r="FP26" s="14" t="str">
        <x:v>22119</x:v>
      </x:c>
      <x:c r="FQ26" s="14" t="n">
        <x:v>8</x:v>
      </x:c>
      <x:c r="FR26" s="14" t="n">
        <x:v>677</x:v>
      </x:c>
      <x:c r="FS26" s="14" t="n">
        <x:v>46</x:v>
      </x:c>
      <x:c r="FT26" s="14" t="n">
        <x:v>12</x:v>
      </x:c>
      <x:c r="FU26" s="14" t="n">
        <x:v>2</x:v>
      </x:c>
      <x:c r="FV26" s="14" t="str">
        <x:v>未收錄</x:v>
      </x:c>
      <x:c r="FW26" s="14" t="str">
        <x:v>22120</x:v>
      </x:c>
      <x:c r="FX26" s="14" t="n">
        <x:v>8</x:v>
      </x:c>
      <x:c r="FY26" s="14" t="n">
        <x:v>678</x:v>
      </x:c>
      <x:c r="FZ26" s="14" t="n">
        <x:v>47</x:v>
      </x:c>
      <x:c r="GA26" s="14" t="n">
        <x:v>12</x:v>
      </x:c>
      <x:c r="GB26" s="14" t="n">
        <x:v>3</x:v>
      </x:c>
      <x:c r="GC26" s="14" t="str">
        <x:v>未收錄</x:v>
      </x:c>
      <x:c r="GD26" s="14" t="str">
        <x:v>22121</x:v>
      </x:c>
      <x:c r="GE26" s="14" t="n">
        <x:v>8</x:v>
      </x:c>
      <x:c r="GF26" s="14" t="n">
        <x:v>679</x:v>
      </x:c>
      <x:c r="GG26" s="14" t="n">
        <x:v>48</x:v>
      </x:c>
      <x:c r="GH26" s="14" t="n">
        <x:v>12</x:v>
      </x:c>
      <x:c r="GI26" s="14" t="n">
        <x:v>4</x:v>
      </x:c>
      <x:c r="GJ26" s="14" t="str">
        <x:v>未收錄</x:v>
      </x:c>
      <x:c r="GK26" s="14" t="str">
        <x:v>22122</x:v>
      </x:c>
      <x:c r="GL26" s="14" t="n">
        <x:v>8</x:v>
      </x:c>
      <x:c r="GM26" s="14" t="n">
        <x:v>848</x:v>
      </x:c>
      <x:c r="GN26" s="14" t="n">
        <x:v>45</x:v>
      </x:c>
      <x:c r="GO26" s="14" t="n">
        <x:v>12</x:v>
      </x:c>
      <x:c r="GP26" s="14" t="n">
        <x:v>1</x:v>
      </x:c>
      <x:c r="GQ26" s="14" t="str">
        <x:v>未收錄</x:v>
      </x:c>
      <x:c r="GR26" s="14" t="str">
        <x:v>22123</x:v>
      </x:c>
      <x:c r="GS26" s="14" t="n">
        <x:v>8</x:v>
      </x:c>
      <x:c r="GT26" s="14" t="n">
        <x:v>849</x:v>
      </x:c>
      <x:c r="GU26" s="14" t="n">
        <x:v>46</x:v>
      </x:c>
      <x:c r="GV26" s="14" t="n">
        <x:v>12</x:v>
      </x:c>
      <x:c r="GW26" s="14" t="n">
        <x:v>2</x:v>
      </x:c>
      <x:c r="GX26" s="14" t="str">
        <x:v>未收錄</x:v>
      </x:c>
      <x:c r="GY26" s="14" t="str">
        <x:v>22124</x:v>
      </x:c>
      <x:c r="GZ26" s="14" t="n">
        <x:v>8</x:v>
      </x:c>
      <x:c r="HA26" s="14" t="n">
        <x:v>850</x:v>
      </x:c>
      <x:c r="HB26" s="14" t="n">
        <x:v>47</x:v>
      </x:c>
      <x:c r="HC26" s="14" t="n">
        <x:v>12</x:v>
      </x:c>
      <x:c r="HD26" s="14" t="n">
        <x:v>3</x:v>
      </x:c>
      <x:c r="HE26" s="14" t="str">
        <x:v>未收錄</x:v>
      </x:c>
      <x:c r="HF26" s="14" t="str">
        <x:v>22125</x:v>
      </x:c>
      <x:c r="HG26" s="14" t="n">
        <x:v>8</x:v>
      </x:c>
      <x:c r="HH26" s="14" t="n">
        <x:v>851</x:v>
      </x:c>
      <x:c r="HI26" s="14" t="n">
        <x:v>48</x:v>
      </x:c>
      <x:c r="HJ26" s="14" t="n">
        <x:v>12</x:v>
      </x:c>
      <x:c r="HK26" s="14" t="n">
        <x:v>4</x:v>
      </x:c>
      <x:c r="HL26" s="14" t="str">
        <x:v>未收錄</x:v>
      </x:c>
      <x:c r="HM26" s="14" t="str">
        <x:v>21867</x:v>
      </x:c>
      <x:c r="HN26" s="14" t="n">
        <x:v>8</x:v>
      </x:c>
      <x:c r="HO26" s="14" t="n">
        <x:v>1021</x:v>
      </x:c>
      <x:c r="HP26" s="14" t="n">
        <x:v>45</x:v>
      </x:c>
      <x:c r="HQ26" s="14" t="n">
        <x:v>12</x:v>
      </x:c>
      <x:c r="HR26" s="14" t="n">
        <x:v>1</x:v>
      </x:c>
      <x:c r="HS26" s="14" t="str">
        <x:v>未收錄</x:v>
      </x:c>
      <x:c r="HT26" s="14" t="str">
        <x:v>21869</x:v>
      </x:c>
      <x:c r="HU26" s="14" t="n">
        <x:v>8</x:v>
      </x:c>
      <x:c r="HV26" s="14" t="n">
        <x:v>1022</x:v>
      </x:c>
      <x:c r="HW26" s="14" t="n">
        <x:v>46</x:v>
      </x:c>
      <x:c r="HX26" s="14" t="n">
        <x:v>12</x:v>
      </x:c>
      <x:c r="HY26" s="14" t="n">
        <x:v>2</x:v>
      </x:c>
      <x:c r="HZ26" s="14" t="str">
        <x:v>未收錄</x:v>
      </x:c>
      <x:c r="IA26" s="14" t="str">
        <x:v>22046</x:v>
      </x:c>
      <x:c r="IB26" s="14" t="n">
        <x:v>8</x:v>
      </x:c>
      <x:c r="IC26" s="14" t="n">
        <x:v>1023</x:v>
      </x:c>
      <x:c r="ID26" s="14" t="n">
        <x:v>47</x:v>
      </x:c>
      <x:c r="IE26" s="14" t="n">
        <x:v>12</x:v>
      </x:c>
      <x:c r="IF26" s="14" t="n">
        <x:v>3</x:v>
      </x:c>
      <x:c r="IG26" s="14" t="str">
        <x:v>未收錄</x:v>
      </x:c>
      <x:c r="IH26" s="14" t="str">
        <x:v>22881</x:v>
      </x:c>
      <x:c r="II26" s="14" t="n">
        <x:v>8</x:v>
      </x:c>
      <x:c r="IJ26" s="14" t="n">
        <x:v>1024</x:v>
      </x:c>
      <x:c r="IK26" s="14" t="n">
        <x:v>48</x:v>
      </x:c>
      <x:c r="IL26" s="14" t="n">
        <x:v>12</x:v>
      </x:c>
      <x:c r="IM26" s="14" t="n">
        <x:v>4</x:v>
      </x:c>
      <x:c r="IN26" s="14" t="str">
        <x:v>未收錄</x:v>
      </x:c>
      <x:c r="IO26" s="14" t="str">
        <x:v>21114</x:v>
      </x:c>
      <x:c r="IP26" s="14" t="n">
        <x:v>8</x:v>
      </x:c>
      <x:c r="IQ26" s="14" t="n">
        <x:v>1189</x:v>
      </x:c>
      <x:c r="IR26" s="14" t="n">
        <x:v>45</x:v>
      </x:c>
      <x:c r="IS26" s="14" t="n">
        <x:v>12</x:v>
      </x:c>
      <x:c r="IT26" s="14" t="n">
        <x:v>1</x:v>
      </x:c>
      <x:c r="IU26" s="14" t="str">
        <x:v>未收錄</x:v>
      </x:c>
      <x:c r="IV26" s="14" t="str">
        <x:v>21115</x:v>
      </x:c>
      <x:c r="IW26" s="14" t="n">
        <x:v>8</x:v>
      </x:c>
      <x:c r="IX26" s="14" t="n">
        <x:v>1190</x:v>
      </x:c>
      <x:c r="IY26" s="14" t="n">
        <x:v>46</x:v>
      </x:c>
      <x:c r="IZ26" s="14" t="n">
        <x:v>12</x:v>
      </x:c>
      <x:c r="JA26" s="14" t="n">
        <x:v>2</x:v>
      </x:c>
      <x:c r="JB26" s="14" t="str">
        <x:v>未收錄</x:v>
      </x:c>
      <x:c r="JC26" s="14" t="str">
        <x:v>21116</x:v>
      </x:c>
      <x:c r="JD26" s="14" t="n">
        <x:v>8</x:v>
      </x:c>
      <x:c r="JE26" s="14" t="n">
        <x:v>1191</x:v>
      </x:c>
      <x:c r="JF26" s="14" t="n">
        <x:v>47</x:v>
      </x:c>
      <x:c r="JG26" s="14" t="n">
        <x:v>12</x:v>
      </x:c>
      <x:c r="JH26" s="14" t="n">
        <x:v>3</x:v>
      </x:c>
      <x:c r="JI26" s="14" t="str">
        <x:v>未收錄</x:v>
      </x:c>
      <x:c r="JJ26" s="14" t="str">
        <x:v>21313</x:v>
      </x:c>
      <x:c r="JK26" s="14" t="n">
        <x:v>8</x:v>
      </x:c>
      <x:c r="JL26" s="14" t="n">
        <x:v>1192</x:v>
      </x:c>
      <x:c r="JM26" s="14" t="n">
        <x:v>48</x:v>
      </x:c>
      <x:c r="JN26" s="14" t="n">
        <x:v>12</x:v>
      </x:c>
      <x:c r="JO26" s="14" t="n">
        <x:v>4</x:v>
      </x:c>
      <x:c r="JP26" s="14" t="str">
        <x:v>未收錄</x:v>
      </x:c>
      <x:c r="JQ26" s="14" t="str">
        <x:v>24651</x:v>
      </x:c>
      <x:c r="JR26" s="14" t="n">
        <x:v>8</x:v>
      </x:c>
      <x:c r="JS26" s="14" t="n">
        <x:v>1356</x:v>
      </x:c>
      <x:c r="JT26" s="14" t="n">
        <x:v>45</x:v>
      </x:c>
      <x:c r="JU26" s="14" t="n">
        <x:v>12</x:v>
      </x:c>
      <x:c r="JV26" s="14" t="n">
        <x:v>1</x:v>
      </x:c>
      <x:c r="JW26" s="14" t="str">
        <x:v>未收錄</x:v>
      </x:c>
      <x:c r="JX26" s="14" t="str">
        <x:v>26192</x:v>
      </x:c>
      <x:c r="JY26" s="14" t="n">
        <x:v>3</x:v>
      </x:c>
      <x:c r="JZ26" s="14" t="n">
        <x:v>1357</x:v>
      </x:c>
      <x:c r="KA26" s="14" t="n">
        <x:v>46</x:v>
      </x:c>
      <x:c r="KB26" s="14" t="n">
        <x:v>12</x:v>
      </x:c>
      <x:c r="KC26" s="14" t="n">
        <x:v>2</x:v>
      </x:c>
      <x:c r="KD26" s="14" t="str">
        <x:v>未收錄</x:v>
      </x:c>
      <x:c r="KE26" s="14" t="str">
        <x:v>24652</x:v>
      </x:c>
      <x:c r="KF26" s="14" t="n">
        <x:v>8</x:v>
      </x:c>
      <x:c r="KG26" s="14" t="n">
        <x:v>1358</x:v>
      </x:c>
      <x:c r="KH26" s="14" t="n">
        <x:v>47</x:v>
      </x:c>
      <x:c r="KI26" s="14" t="n">
        <x:v>12</x:v>
      </x:c>
      <x:c r="KJ26" s="14" t="n">
        <x:v>3</x:v>
      </x:c>
      <x:c r="KK26" s="14" t="str">
        <x:v>未收錄</x:v>
      </x:c>
      <x:c r="KL26" s="14" t="str">
        <x:v>26201</x:v>
      </x:c>
      <x:c r="KM26" s="14" t="n">
        <x:v>3</x:v>
      </x:c>
      <x:c r="KN26" s="14" t="n">
        <x:v>1359</x:v>
      </x:c>
      <x:c r="KO26" s="14" t="n">
        <x:v>48</x:v>
      </x:c>
      <x:c r="KP26" s="14" t="n">
        <x:v>12</x:v>
      </x:c>
      <x:c r="KQ26" s="14" t="n">
        <x:v>4</x:v>
      </x:c>
      <x:c r="KR26" s="14" t="str">
        <x:v>未收錄</x:v>
      </x:c>
      <x:c r="KS26" s="14" t="str">
        <x:v>24078</x:v>
      </x:c>
      <x:c r="KT26" s="14" t="n">
        <x:v>8</x:v>
      </x:c>
      <x:c r="KU26" s="14" t="n">
        <x:v>1471</x:v>
      </x:c>
      <x:c r="KV26" s="14" t="n">
        <x:v>45</x:v>
      </x:c>
      <x:c r="KW26" s="14" t="n">
        <x:v>12</x:v>
      </x:c>
      <x:c r="KX26" s="14" t="n">
        <x:v>1</x:v>
      </x:c>
      <x:c r="KY26" s="14" t="str">
        <x:v>未收錄</x:v>
      </x:c>
      <x:c r="KZ26" s="14" t="str">
        <x:v>24147</x:v>
      </x:c>
      <x:c r="LA26" s="14" t="n">
        <x:v>3</x:v>
      </x:c>
      <x:c r="LB26" s="14" t="n">
        <x:v>1472</x:v>
      </x:c>
      <x:c r="LC26" s="14" t="n">
        <x:v>46</x:v>
      </x:c>
      <x:c r="LD26" s="14" t="n">
        <x:v>12</x:v>
      </x:c>
      <x:c r="LE26" s="14" t="n">
        <x:v>2</x:v>
      </x:c>
      <x:c r="LF26" s="14" t="str">
        <x:v>未收錄</x:v>
      </x:c>
      <x:c r="LG26" s="14" t="str">
        <x:v>24079</x:v>
      </x:c>
      <x:c r="LH26" s="14" t="n">
        <x:v>8</x:v>
      </x:c>
      <x:c r="LI26" s="14" t="n">
        <x:v>1473</x:v>
      </x:c>
      <x:c r="LJ26" s="14" t="n">
        <x:v>47</x:v>
      </x:c>
      <x:c r="LK26" s="14" t="n">
        <x:v>12</x:v>
      </x:c>
      <x:c r="LL26" s="14" t="n">
        <x:v>3</x:v>
      </x:c>
      <x:c r="LM26" s="14" t="str">
        <x:v>未收錄</x:v>
      </x:c>
      <x:c r="LN26" s="14" t="str">
        <x:v>24666</x:v>
      </x:c>
      <x:c r="LO26" s="14" t="n">
        <x:v>3</x:v>
      </x:c>
      <x:c r="LP26" s="14" t="n">
        <x:v>1474</x:v>
      </x:c>
      <x:c r="LQ26" s="14" t="n">
        <x:v>48</x:v>
      </x:c>
      <x:c r="LR26" s="14" t="n">
        <x:v>12</x:v>
      </x:c>
      <x:c r="LS26" s="14" t="n">
        <x:v>4</x:v>
      </x:c>
      <x:c r="LT26" s="14" t="str">
        <x:v>未收錄</x:v>
      </x:c>
      <x:c r="LU26" s="14" t="str">
        <x:v>26092</x:v>
      </x:c>
      <x:c r="LV26" s="14" t="n">
        <x:v>8</x:v>
      </x:c>
      <x:c r="LW26" s="14" t="n">
        <x:v>1584</x:v>
      </x:c>
      <x:c r="LX26" s="14" t="n">
        <x:v>45</x:v>
      </x:c>
      <x:c r="LY26" s="14" t="n">
        <x:v>12</x:v>
      </x:c>
      <x:c r="LZ26" s="14" t="n">
        <x:v>1</x:v>
      </x:c>
      <x:c r="MA26" s="14" t="str">
        <x:v>未收錄</x:v>
      </x:c>
      <x:c r="MB26" s="14" t="str">
        <x:v>26211</x:v>
      </x:c>
      <x:c r="MC26" s="14" t="n">
        <x:v>3</x:v>
      </x:c>
      <x:c r="MD26" s="14" t="n">
        <x:v>1585</x:v>
      </x:c>
      <x:c r="ME26" s="14" t="n">
        <x:v>46</x:v>
      </x:c>
      <x:c r="MF26" s="14" t="n">
        <x:v>12</x:v>
      </x:c>
      <x:c r="MG26" s="14" t="n">
        <x:v>2</x:v>
      </x:c>
      <x:c r="MH26" s="14" t="str">
        <x:v>未收錄</x:v>
      </x:c>
      <x:c r="MI26" s="14" t="str">
        <x:v>26093</x:v>
      </x:c>
      <x:c r="MJ26" s="14" t="n">
        <x:v>8</x:v>
      </x:c>
      <x:c r="MK26" s="14" t="n">
        <x:v>1586</x:v>
      </x:c>
      <x:c r="ML26" s="14" t="n">
        <x:v>47</x:v>
      </x:c>
      <x:c r="MM26" s="14" t="n">
        <x:v>12</x:v>
      </x:c>
      <x:c r="MN26" s="14" t="n">
        <x:v>3</x:v>
      </x:c>
      <x:c r="MO26" s="14" t="str">
        <x:v>未收錄</x:v>
      </x:c>
      <x:c r="MP26" s="14" t="str">
        <x:v>26719</x:v>
      </x:c>
      <x:c r="MQ26" s="14" t="n">
        <x:v>3</x:v>
      </x:c>
      <x:c r="MR26" s="14" t="n">
        <x:v>1587</x:v>
      </x:c>
      <x:c r="MS26" s="14" t="n">
        <x:v>48</x:v>
      </x:c>
      <x:c r="MT26" s="14" t="n">
        <x:v>12</x:v>
      </x:c>
      <x:c r="MU26" s="14" t="n">
        <x:v>4</x:v>
      </x:c>
      <x:c r="MV26" s="14" t="str">
        <x:v>未收錄</x:v>
      </x:c>
      <x:c r="MW26" s="14" t="str">
        <x:v>21164</x:v>
      </x:c>
      <x:c r="MX26" s="14" t="n">
        <x:v>1</x:v>
      </x:c>
      <x:c r="MY26" s="14" t="n">
        <x:v>1693</x:v>
      </x:c>
      <x:c r="MZ26" s="14" t="n">
        <x:v>45</x:v>
      </x:c>
      <x:c r="NA26" s="14" t="n">
        <x:v>12</x:v>
      </x:c>
      <x:c r="NB26" s="14" t="n">
        <x:v>1</x:v>
      </x:c>
      <x:c r="NC26" s="14" t="str">
        <x:v>未收錄</x:v>
      </x:c>
      <x:c r="ND26" s="14" t="str">
        <x:v>21165</x:v>
      </x:c>
      <x:c r="NE26" s="14" t="n">
        <x:v>1</x:v>
      </x:c>
      <x:c r="NF26" s="14" t="n">
        <x:v>1694</x:v>
      </x:c>
      <x:c r="NG26" s="14" t="n">
        <x:v>46</x:v>
      </x:c>
      <x:c r="NH26" s="14" t="n">
        <x:v>12</x:v>
      </x:c>
      <x:c r="NI26" s="14" t="n">
        <x:v>2</x:v>
      </x:c>
      <x:c r="NJ26" s="14" t="str">
        <x:v>未收錄</x:v>
      </x:c>
      <x:c r="NK26" s="14" t="str">
        <x:v>21166</x:v>
      </x:c>
      <x:c r="NL26" s="14" t="n">
        <x:v>1</x:v>
      </x:c>
      <x:c r="NM26" s="14" t="n">
        <x:v>1695</x:v>
      </x:c>
      <x:c r="NN26" s="14" t="n">
        <x:v>47</x:v>
      </x:c>
      <x:c r="NO26" s="14" t="n">
        <x:v>12</x:v>
      </x:c>
      <x:c r="NP26" s="14" t="n">
        <x:v>3</x:v>
      </x:c>
      <x:c r="NQ26" s="14" t="str">
        <x:v>未收錄</x:v>
      </x:c>
      <x:c r="NR26" s="14" t="str">
        <x:v>21167</x:v>
      </x:c>
      <x:c r="NS26" s="14" t="n">
        <x:v>1</x:v>
      </x:c>
      <x:c r="NT26" s="14" t="n">
        <x:v>1696</x:v>
      </x:c>
      <x:c r="NU26" s="14" t="n">
        <x:v>48</x:v>
      </x:c>
      <x:c r="NV26" s="14" t="n">
        <x:v>12</x:v>
      </x:c>
      <x:c r="NW26" s="14" t="n">
        <x:v>4</x:v>
      </x:c>
      <x:c r="NX26" s="14" t="str">
        <x:v>未收錄</x:v>
      </x:c>
      <x:c r="NY26" s="14" t="str">
        <x:v>21422</x:v>
      </x:c>
      <x:c r="NZ26" s="14" t="n">
        <x:v>1</x:v>
      </x:c>
      <x:c r="OA26" s="14" t="n">
        <x:v>2146</x:v>
      </x:c>
      <x:c r="OB26" s="14" t="n">
        <x:v>45</x:v>
      </x:c>
      <x:c r="OC26" s="14" t="n">
        <x:v>12</x:v>
      </x:c>
      <x:c r="OD26" s="14" t="n">
        <x:v>1</x:v>
      </x:c>
      <x:c r="OE26" s="14" t="str">
        <x:v>未收錄</x:v>
      </x:c>
      <x:c r="OF26" s="14" t="str">
        <x:v>21423</x:v>
      </x:c>
      <x:c r="OG26" s="14" t="n">
        <x:v>1</x:v>
      </x:c>
      <x:c r="OH26" s="14" t="n">
        <x:v>2147</x:v>
      </x:c>
      <x:c r="OI26" s="14" t="n">
        <x:v>46</x:v>
      </x:c>
      <x:c r="OJ26" s="14" t="n">
        <x:v>12</x:v>
      </x:c>
      <x:c r="OK26" s="14" t="n">
        <x:v>2</x:v>
      </x:c>
      <x:c r="OL26" s="14" t="str">
        <x:v>未收錄</x:v>
      </x:c>
      <x:c r="OM26" s="14" t="str">
        <x:v>20584</x:v>
      </x:c>
      <x:c r="ON26" s="14" t="n">
        <x:v>2</x:v>
      </x:c>
      <x:c r="OO26" s="14" t="n">
        <x:v>2148</x:v>
      </x:c>
      <x:c r="OP26" s="14" t="n">
        <x:v>47</x:v>
      </x:c>
      <x:c r="OQ26" s="14" t="n">
        <x:v>12</x:v>
      </x:c>
      <x:c r="OR26" s="14" t="n">
        <x:v>3</x:v>
      </x:c>
      <x:c r="OS26" s="14" t="str">
        <x:v>未收錄</x:v>
      </x:c>
      <x:c r="OT26" s="14" t="str">
        <x:v>20595</x:v>
      </x:c>
      <x:c r="OU26" s="14" t="n">
        <x:v>2</x:v>
      </x:c>
      <x:c r="OV26" s="14" t="n">
        <x:v>2149</x:v>
      </x:c>
      <x:c r="OW26" s="14" t="n">
        <x:v>48</x:v>
      </x:c>
      <x:c r="OX26" s="14" t="n">
        <x:v>12</x:v>
      </x:c>
      <x:c r="OY26" s="14" t="n">
        <x:v>4</x:v>
      </x:c>
      <x:c r="OZ26" s="14" t="str">
        <x:v>未收錄</x:v>
      </x:c>
      <x:c r="PA26" s="14" t="str">
        <x:v>30555</x:v>
      </x:c>
      <x:c r="PB26" s="14" t="n">
        <x:v>2</x:v>
      </x:c>
      <x:c r="PC26" s="14" t="n">
        <x:v>2692</x:v>
      </x:c>
      <x:c r="PD26" s="14" t="n">
        <x:v>45</x:v>
      </x:c>
      <x:c r="PE26" s="14" t="n">
        <x:v>12</x:v>
      </x:c>
      <x:c r="PF26" s="14" t="n">
        <x:v>1</x:v>
      </x:c>
      <x:c r="PG26" s="14" t="str">
        <x:v>未收錄</x:v>
      </x:c>
      <x:c r="PH26" s="14" t="str">
        <x:v>21307</x:v>
      </x:c>
      <x:c r="PI26" s="14" t="n">
        <x:v>3</x:v>
      </x:c>
      <x:c r="PJ26" s="14" t="n">
        <x:v>2693</x:v>
      </x:c>
      <x:c r="PK26" s="14" t="n">
        <x:v>46</x:v>
      </x:c>
      <x:c r="PL26" s="14" t="n">
        <x:v>12</x:v>
      </x:c>
      <x:c r="PM26" s="14" t="n">
        <x:v>2</x:v>
      </x:c>
      <x:c r="PN26" s="14" t="str">
        <x:v>未收錄</x:v>
      </x:c>
      <x:c r="PO26" s="14" t="str">
        <x:v>21883</x:v>
      </x:c>
      <x:c r="PP26" s="14" t="n">
        <x:v>3</x:v>
      </x:c>
      <x:c r="PQ26" s="14" t="n">
        <x:v>2694</x:v>
      </x:c>
      <x:c r="PR26" s="14" t="n">
        <x:v>47</x:v>
      </x:c>
      <x:c r="PS26" s="14" t="n">
        <x:v>12</x:v>
      </x:c>
      <x:c r="PT26" s="14" t="n">
        <x:v>3</x:v>
      </x:c>
      <x:c r="PU26" s="14" t="str">
        <x:v>未收錄</x:v>
      </x:c>
      <x:c r="PV26" s="14" t="str">
        <x:v>20953</x:v>
      </x:c>
      <x:c r="PW26" s="14" t="n">
        <x:v>5</x:v>
      </x:c>
      <x:c r="PX26" s="14" t="n">
        <x:v>2695</x:v>
      </x:c>
      <x:c r="PY26" s="14" t="n">
        <x:v>48</x:v>
      </x:c>
      <x:c r="PZ26" s="14" t="n">
        <x:v>12</x:v>
      </x:c>
      <x:c r="QA26" s="14" t="n">
        <x:v>4</x:v>
      </x:c>
      <x:c r="QB26" s="14" t="str">
        <x:v>未收錄</x:v>
      </x:c>
      <x:c r="QC26" s="14" t="str">
        <x:v>30565</x:v>
      </x:c>
      <x:c r="QD26" s="14" t="n">
        <x:v>2</x:v>
      </x:c>
      <x:c r="QE26" s="14" t="n">
        <x:v>3129</x:v>
      </x:c>
      <x:c r="QF26" s="14" t="n">
        <x:v>45</x:v>
      </x:c>
      <x:c r="QG26" s="14" t="n">
        <x:v>12</x:v>
      </x:c>
      <x:c r="QH26" s="14" t="n">
        <x:v>1</x:v>
      </x:c>
      <x:c r="QI26" s="14" t="str">
        <x:v>未收錄</x:v>
      </x:c>
      <x:c r="QJ26" s="14" t="str">
        <x:v>21426</x:v>
      </x:c>
      <x:c r="QK26" s="14" t="n">
        <x:v>3</x:v>
      </x:c>
      <x:c r="QL26" s="14" t="n">
        <x:v>3130</x:v>
      </x:c>
      <x:c r="QM26" s="14" t="n">
        <x:v>46</x:v>
      </x:c>
      <x:c r="QN26" s="14" t="n">
        <x:v>12</x:v>
      </x:c>
      <x:c r="QO26" s="14" t="n">
        <x:v>2</x:v>
      </x:c>
      <x:c r="QP26" s="14" t="str">
        <x:v>未收錄</x:v>
      </x:c>
      <x:c r="QQ26" s="14" t="str">
        <x:v>20956</x:v>
      </x:c>
      <x:c r="QR26" s="14" t="n">
        <x:v>1</x:v>
      </x:c>
      <x:c r="QS26" s="14" t="n">
        <x:v>3131</x:v>
      </x:c>
      <x:c r="QT26" s="14" t="n">
        <x:v>47</x:v>
      </x:c>
      <x:c r="QU26" s="14" t="n">
        <x:v>12</x:v>
      </x:c>
      <x:c r="QV26" s="14" t="n">
        <x:v>3</x:v>
      </x:c>
      <x:c r="QW26" s="14" t="str">
        <x:v>未收錄</x:v>
      </x:c>
      <x:c r="QX26" s="14" t="str">
        <x:v>20957</x:v>
      </x:c>
      <x:c r="QY26" s="14" t="n">
        <x:v>5</x:v>
      </x:c>
      <x:c r="QZ26" s="14" t="n">
        <x:v>3132</x:v>
      </x:c>
      <x:c r="RA26" s="14" t="n">
        <x:v>48</x:v>
      </x:c>
      <x:c r="RB26" s="14" t="n">
        <x:v>12</x:v>
      </x:c>
      <x:c r="RC26" s="14" t="n">
        <x:v>4</x:v>
      </x:c>
      <x:c r="RD26" s="14" t="str">
        <x:v>未收錄</x:v>
      </x:c>
      <x:c r="RE26" s="14" t="str">
        <x:v>21941</x:v>
      </x:c>
      <x:c r="RF26" s="14" t="n">
        <x:v>3</x:v>
      </x:c>
      <x:c r="RG26" s="14" t="n">
        <x:v>3590</x:v>
      </x:c>
      <x:c r="RH26" s="14" t="n">
        <x:v>45</x:v>
      </x:c>
      <x:c r="RI26" s="14" t="n">
        <x:v>12</x:v>
      </x:c>
      <x:c r="RJ26" s="14" t="n">
        <x:v>1</x:v>
      </x:c>
      <x:c r="RK26" s="14" t="str">
        <x:v>未收錄</x:v>
      </x:c>
      <x:c r="RL26" s="14" t="str">
        <x:v>21942</x:v>
      </x:c>
      <x:c r="RM26" s="14" t="n">
        <x:v>3</x:v>
      </x:c>
      <x:c r="RN26" s="14" t="n">
        <x:v>3591</x:v>
      </x:c>
      <x:c r="RO26" s="14" t="n">
        <x:v>46</x:v>
      </x:c>
      <x:c r="RP26" s="14" t="n">
        <x:v>12</x:v>
      </x:c>
      <x:c r="RQ26" s="14" t="n">
        <x:v>2</x:v>
      </x:c>
      <x:c r="RR26" s="14" t="str">
        <x:v>未收錄</x:v>
      </x:c>
      <x:c r="RS26" s="14" t="str">
        <x:v>21943</x:v>
      </x:c>
      <x:c r="RT26" s="14" t="n">
        <x:v>3</x:v>
      </x:c>
      <x:c r="RU26" s="14" t="n">
        <x:v>3592</x:v>
      </x:c>
      <x:c r="RV26" s="14" t="n">
        <x:v>47</x:v>
      </x:c>
      <x:c r="RW26" s="14" t="n">
        <x:v>12</x:v>
      </x:c>
      <x:c r="RX26" s="14" t="n">
        <x:v>3</x:v>
      </x:c>
      <x:c r="RY26" s="14" t="str">
        <x:v>未收錄</x:v>
      </x:c>
      <x:c r="RZ26" s="14" t="str">
        <x:v>20916</x:v>
      </x:c>
      <x:c r="SA26" s="14" t="n">
        <x:v>5</x:v>
      </x:c>
      <x:c r="SB26" s="14" t="n">
        <x:v>3593</x:v>
      </x:c>
      <x:c r="SC26" s="14" t="n">
        <x:v>48</x:v>
      </x:c>
      <x:c r="SD26" s="14" t="n">
        <x:v>12</x:v>
      </x:c>
      <x:c r="SE26" s="14" t="n">
        <x:v>4</x:v>
      </x:c>
      <x:c r="SF26" s="14" t="str">
        <x:v>未收錄</x:v>
      </x:c>
      <x:c r="SG26" s="14" t="str">
        <x:v>23064</x:v>
      </x:c>
      <x:c r="SH26" s="14" t="n">
        <x:v>10</x:v>
      </x:c>
      <x:c r="SI26" s="14" t="n">
        <x:v>4014</x:v>
      </x:c>
      <x:c r="SJ26" s="14" t="n">
        <x:v>45</x:v>
      </x:c>
      <x:c r="SK26" s="14" t="n">
        <x:v>12</x:v>
      </x:c>
      <x:c r="SL26" s="14" t="n">
        <x:v>1</x:v>
      </x:c>
      <x:c r="SM26" s="14" t="str">
        <x:v>未收錄</x:v>
      </x:c>
      <x:c r="SN26" s="14" t="str">
        <x:v>29696</x:v>
      </x:c>
      <x:c r="SO26" s="14" t="n">
        <x:v>10</x:v>
      </x:c>
      <x:c r="SP26" s="14" t="n">
        <x:v>4015</x:v>
      </x:c>
      <x:c r="SQ26" s="14" t="n">
        <x:v>46</x:v>
      </x:c>
      <x:c r="SR26" s="14" t="n">
        <x:v>12</x:v>
      </x:c>
      <x:c r="SS26" s="14" t="n">
        <x:v>2</x:v>
      </x:c>
      <x:c r="ST26" s="14" t="str">
        <x:v>未收錄</x:v>
      </x:c>
      <x:c r="SU26" s="14" t="str">
        <x:v>29678</x:v>
      </x:c>
      <x:c r="SV26" s="14" t="n">
        <x:v>20</x:v>
      </x:c>
      <x:c r="SW26" s="14" t="n">
        <x:v>4016</x:v>
      </x:c>
      <x:c r="SX26" s="14" t="n">
        <x:v>47</x:v>
      </x:c>
      <x:c r="SY26" s="14" t="n">
        <x:v>12</x:v>
      </x:c>
      <x:c r="SZ26" s="14" t="n">
        <x:v>3</x:v>
      </x:c>
      <x:c r="TA26" s="14" t="str">
        <x:v>未收錄</x:v>
      </x:c>
      <x:c r="TB26" s="14" t="str">
        <x:v>29832</x:v>
      </x:c>
      <x:c r="TC26" s="14" t="n">
        <x:v>10</x:v>
      </x:c>
      <x:c r="TD26" s="14" t="n">
        <x:v>4017</x:v>
      </x:c>
      <x:c r="TE26" s="14" t="n">
        <x:v>48</x:v>
      </x:c>
      <x:c r="TF26" s="14" t="n">
        <x:v>12</x:v>
      </x:c>
      <x:c r="TG26" s="14" t="n">
        <x:v>4</x:v>
      </x:c>
      <x:c r="TH26" s="14" t="str">
        <x:v>未收錄</x:v>
      </x:c>
    </x:row>
    <x:row r="27" ht="15" customHeight="1">
      <x:c r="A27" s="17" t="str">
        <x:v>古錠劍</x:v>
      </x:c>
      <x:c r="B27" s="17" t="str">
        <x:v>地闕劍</x:v>
      </x:c>
      <x:c r="C27" s="17" t="str">
        <x:v>蠱心邪劍</x:v>
      </x:c>
      <x:c r="D27" s="17" t="str">
        <x:v>人間無骨</x:v>
      </x:c>
      <x:c r="E27" s="14"/>
      <x:c r="F27" s="17" t="str">
        <x:v>黃泉刀</x:v>
      </x:c>
      <x:c r="G27" s="17" t="str">
        <x:v>天晶黃泉刀</x:v>
      </x:c>
      <x:c r="H27" s="17" t="str">
        <x:v>鬼咬刀</x:v>
      </x:c>
      <x:c r="I27" s="17" t="str">
        <x:v>天晶鬼咬刀</x:v>
      </x:c>
      <x:c r="J27" s="14"/>
      <x:c r="K27" s="17" t="str">
        <x:v>太古五星限命</x:v>
      </x:c>
      <x:c r="L27" s="17" t="str">
        <x:v>晨曦殘殞星</x:v>
      </x:c>
      <x:c r="M27" s="17" t="str">
        <x:v>魔淵摧魂星</x:v>
      </x:c>
      <x:c r="N27" s="17" t="str">
        <x:v>霹靂火</x:v>
      </x:c>
      <x:c r="O27" s="14"/>
      <x:c r="P27" s="17" t="str">
        <x:v>裂戒御祓</x:v>
      </x:c>
      <x:c r="Q27" s="17" t="str">
        <x:v>平魔御祓</x:v>
      </x:c>
      <x:c r="R27" s="17" t="str">
        <x:v>瀧取如意</x:v>
      </x:c>
      <x:c r="S27" s="17" t="str">
        <x:v>御敷如意</x:v>
      </x:c>
      <x:c r="T27" s="14"/>
      <x:c r="U27" s="17" t="str">
        <x:v>安佐禪杖</x:v>
      </x:c>
      <x:c r="V27" s="17" t="str">
        <x:v>堀路禪杖</x:v>
      </x:c>
      <x:c r="W27" s="17" t="str">
        <x:v>尊能禪杖</x:v>
      </x:c>
      <x:c r="X27" s="17" t="str">
        <x:v>彌方禪杖</x:v>
      </x:c>
      <x:c r="Y27" s="14"/>
      <x:c r="Z27" s="17" t="str">
        <x:v>離火槍</x:v>
      </x:c>
      <x:c r="AA27" s="17" t="str">
        <x:v>天晶離火槍</x:v>
      </x:c>
      <x:c r="AB27" s="17" t="str">
        <x:v>無雙離火槍</x:v>
      </x:c>
      <x:c r="AC27" s="17" t="str">
        <x:v>絕世天晶離火槍</x:v>
      </x:c>
      <x:c r="AD27" s="14"/>
      <x:c r="AE27" s="17" t="str">
        <x:v>烏金棍</x:v>
      </x:c>
      <x:c r="AF27" s="17" t="str">
        <x:v>平沙棍</x:v>
      </x:c>
      <x:c r="AG27" s="17" t="str">
        <x:v>碧羅棍</x:v>
      </x:c>
      <x:c r="AH27" s="17" t="str">
        <x:v>旋龍棍</x:v>
      </x:c>
      <x:c r="AI27" s="14"/>
      <x:c r="AJ27" s="17" t="str">
        <x:v>闢海神使錘</x:v>
      </x:c>
      <x:c r="AK27" s="17" t="str">
        <x:v>泰坦降誕錘</x:v>
      </x:c>
      <x:c r="AL27" s="17" t="str">
        <x:v>斬惡聖衛鋼錘</x:v>
      </x:c>
      <x:c r="AM27" s="17" t="str">
        <x:v>滅元聖衛鋼錘</x:v>
      </x:c>
      <x:c r="AN27" s="14"/>
      <x:c r="AO27" s="17" t="str">
        <x:v>砂嵐削塵斧</x:v>
      </x:c>
      <x:c r="AP27" s="17" t="str">
        <x:v>羅剎滅斬斧</x:v>
      </x:c>
      <x:c r="AQ27" s="17" t="str">
        <x:v>永凍冰河斧</x:v>
      </x:c>
      <x:c r="AR27" s="17" t="str">
        <x:v>太古永凍冰河斧</x:v>
      </x:c>
      <x:c r="AS27" s="14"/>
      <x:c r="AT27" s="17" t="str">
        <x:v>龍濤盾</x:v>
      </x:c>
      <x:c r="AU27" s="17" t="str">
        <x:v>太古龍濤盾</x:v>
      </x:c>
      <x:c r="AV27" s="17" t="str">
        <x:v>皇天御龍盾</x:v>
      </x:c>
      <x:c r="AW27" s="17" t="str">
        <x:v>太古皇天御龍盾</x:v>
      </x:c>
      <x:c r="AX27" s="14"/>
      <x:c r="AY27" s="17" t="str">
        <x:v>墨鐵兜帽</x:v>
      </x:c>
      <x:c r="AZ27" s="17" t="str">
        <x:v>雪銀戰盔</x:v>
      </x:c>
      <x:c r="BA27" s="17" t="str">
        <x:v>赤蠻頭巾</x:v>
      </x:c>
      <x:c r="BB27" s="17" t="str">
        <x:v>追風頭巾</x:v>
      </x:c>
      <x:c r="BC27" s="14"/>
      <x:c r="BD27" s="17" t="str">
        <x:v>淨水掩心鏡</x:v>
      </x:c>
      <x:c r="BE27" s="17" t="str">
        <x:v>烈火掩心鏡</x:v>
      </x:c>
      <x:c r="BF27" s="17" t="str">
        <x:v>旋風掩心鏡</x:v>
      </x:c>
      <x:c r="BG27" s="17" t="str">
        <x:v>大地掩心鏡</x:v>
      </x:c>
      <x:c r="BH27" s="14"/>
      <x:c r="BI27" s="17" t="str">
        <x:v>鷹揚護腕</x:v>
      </x:c>
      <x:c r="BJ27" s="17" t="str">
        <x:v>水琉護腕</x:v>
      </x:c>
      <x:c r="BK27" s="17" t="str">
        <x:v>蛇靈皮腕</x:v>
      </x:c>
      <x:c r="BL27" s="17" t="str">
        <x:v>降龍護手</x:v>
      </x:c>
      <x:c r="BM27" s="14"/>
      <x:c r="BN27" s="17" t="str">
        <x:v>流星靴</x:v>
      </x:c>
      <x:c r="BO27" s="17" t="str">
        <x:v>蛇靈靴</x:v>
      </x:c>
      <x:c r="BP27" s="17" t="str">
        <x:v>鯊皮軟靴</x:v>
      </x:c>
      <x:c r="BQ27" s="17" t="str">
        <x:v>降龍靴</x:v>
      </x:c>
      <x:c r="BR27" s="14"/>
      <x:c r="BS27" s="17" t="str">
        <x:v>融冰護符</x:v>
      </x:c>
      <x:c r="BT27" s="17" t="str">
        <x:v>滅炎護符</x:v>
      </x:c>
      <x:c r="BU27" s="17" t="str">
        <x:v>避雷護符</x:v>
      </x:c>
      <x:c r="BV27" s="17" t="str">
        <x:v>驅魔護符</x:v>
      </x:c>
      <x:c r="BW27" s="14"/>
      <x:c r="BX27" s="17" t="str">
        <x:v>奇解仙氣域</x:v>
      </x:c>
      <x:c r="BY27" s="17" t="str">
        <x:v>高麗太王碑</x:v>
      </x:c>
      <x:c r="BZ27" s="17" t="str">
        <x:v>普信仙鐘譜</x:v>
      </x:c>
      <x:c r="CA27" s="17" t="str">
        <x:v>秋夕仙嘉鏡</x:v>
      </x:c>
      <x:c r="CB27" s="14"/>
      <x:c r="CC27" s="14" t="str">
        <x:v>21026</x:v>
      </x:c>
      <x:c r="CD27" s="14" t="n">
        <x:v>2</x:v>
      </x:c>
      <x:c r="CE27" s="14" t="n">
        <x:v>49</x:v>
      </x:c>
      <x:c r="CF27" s="14" t="n">
        <x:v>49</x:v>
      </x:c>
      <x:c r="CG27" s="14" t="n">
        <x:v>13</x:v>
      </x:c>
      <x:c r="CH27" s="14" t="n">
        <x:v>1</x:v>
      </x:c>
      <x:c r="CI27" s="14" t="str">
        <x:v>未收錄</x:v>
      </x:c>
      <x:c r="CJ27" s="14" t="str">
        <x:v>21911</x:v>
      </x:c>
      <x:c r="CK27" s="14" t="n">
        <x:v>2</x:v>
      </x:c>
      <x:c r="CL27" s="14" t="n">
        <x:v>50</x:v>
      </x:c>
      <x:c r="CM27" s="14" t="n">
        <x:v>50</x:v>
      </x:c>
      <x:c r="CN27" s="14" t="n">
        <x:v>13</x:v>
      </x:c>
      <x:c r="CO27" s="14" t="n">
        <x:v>2</x:v>
      </x:c>
      <x:c r="CP27" s="14" t="str">
        <x:v>未收錄</x:v>
      </x:c>
      <x:c r="CQ27" s="14" t="str">
        <x:v>23280</x:v>
      </x:c>
      <x:c r="CR27" s="14" t="n">
        <x:v>2</x:v>
      </x:c>
      <x:c r="CS27" s="14" t="n">
        <x:v>51</x:v>
      </x:c>
      <x:c r="CT27" s="14" t="n">
        <x:v>51</x:v>
      </x:c>
      <x:c r="CU27" s="14" t="n">
        <x:v>13</x:v>
      </x:c>
      <x:c r="CV27" s="14" t="n">
        <x:v>3</x:v>
      </x:c>
      <x:c r="CW27" s="14" t="str">
        <x:v>未收錄</x:v>
      </x:c>
      <x:c r="CX27" s="14" t="str">
        <x:v>22697</x:v>
      </x:c>
      <x:c r="CY27" s="14" t="n">
        <x:v>2</x:v>
      </x:c>
      <x:c r="CZ27" s="14" t="n">
        <x:v>52</x:v>
      </x:c>
      <x:c r="DA27" s="14" t="n">
        <x:v>52</x:v>
      </x:c>
      <x:c r="DB27" s="14" t="n">
        <x:v>13</x:v>
      </x:c>
      <x:c r="DC27" s="14" t="n">
        <x:v>4</x:v>
      </x:c>
      <x:c r="DD27" s="14" t="str">
        <x:v>未收錄</x:v>
      </x:c>
      <x:c r="DE27" s="14" t="str">
        <x:v>20781</x:v>
      </x:c>
      <x:c r="DF27" s="14" t="n">
        <x:v>8</x:v>
      </x:c>
      <x:c r="DG27" s="14" t="n">
        <x:v>294</x:v>
      </x:c>
      <x:c r="DH27" s="14" t="n">
        <x:v>49</x:v>
      </x:c>
      <x:c r="DI27" s="14" t="n">
        <x:v>13</x:v>
      </x:c>
      <x:c r="DJ27" s="14" t="n">
        <x:v>1</x:v>
      </x:c>
      <x:c r="DK27" s="14" t="str">
        <x:v>未收錄</x:v>
      </x:c>
      <x:c r="DL27" s="14" t="str">
        <x:v>22016</x:v>
      </x:c>
      <x:c r="DM27" s="14" t="n">
        <x:v>8</x:v>
      </x:c>
      <x:c r="DN27" s="14" t="n">
        <x:v>295</x:v>
      </x:c>
      <x:c r="DO27" s="14" t="n">
        <x:v>50</x:v>
      </x:c>
      <x:c r="DP27" s="14" t="n">
        <x:v>13</x:v>
      </x:c>
      <x:c r="DQ27" s="14" t="n">
        <x:v>2</x:v>
      </x:c>
      <x:c r="DR27" s="14" t="str">
        <x:v>未收錄</x:v>
      </x:c>
      <x:c r="DS27" s="14" t="str">
        <x:v>20782</x:v>
      </x:c>
      <x:c r="DT27" s="14" t="n">
        <x:v>8</x:v>
      </x:c>
      <x:c r="DU27" s="14" t="n">
        <x:v>296</x:v>
      </x:c>
      <x:c r="DV27" s="14" t="n">
        <x:v>51</x:v>
      </x:c>
      <x:c r="DW27" s="14" t="n">
        <x:v>13</x:v>
      </x:c>
      <x:c r="DX27" s="14" t="n">
        <x:v>3</x:v>
      </x:c>
      <x:c r="DY27" s="14" t="str">
        <x:v>未收錄</x:v>
      </x:c>
      <x:c r="DZ27" s="14" t="str">
        <x:v>22017</x:v>
      </x:c>
      <x:c r="EA27" s="14" t="n">
        <x:v>8</x:v>
      </x:c>
      <x:c r="EB27" s="14" t="n">
        <x:v>297</x:v>
      </x:c>
      <x:c r="EC27" s="14" t="n">
        <x:v>52</x:v>
      </x:c>
      <x:c r="ED27" s="14" t="n">
        <x:v>13</x:v>
      </x:c>
      <x:c r="EE27" s="14" t="n">
        <x:v>4</x:v>
      </x:c>
      <x:c r="EF27" s="14" t="str">
        <x:v>未收錄</x:v>
      </x:c>
      <x:c r="EG27" s="14" t="str">
        <x:v>26207</x:v>
      </x:c>
      <x:c r="EH27" s="14" t="n">
        <x:v>3</x:v>
      </x:c>
      <x:c r="EI27" s="14" t="n">
        <x:v>530</x:v>
      </x:c>
      <x:c r="EJ27" s="14" t="n">
        <x:v>49</x:v>
      </x:c>
      <x:c r="EK27" s="14" t="n">
        <x:v>13</x:v>
      </x:c>
      <x:c r="EL27" s="14" t="n">
        <x:v>1</x:v>
      </x:c>
      <x:c r="EM27" s="14" t="str">
        <x:v>未收錄</x:v>
      </x:c>
      <x:c r="EN27" s="14" t="str">
        <x:v>26079</x:v>
      </x:c>
      <x:c r="EO27" s="14" t="n">
        <x:v>8</x:v>
      </x:c>
      <x:c r="EP27" s="14" t="n">
        <x:v>531</x:v>
      </x:c>
      <x:c r="EQ27" s="14" t="n">
        <x:v>50</x:v>
      </x:c>
      <x:c r="ER27" s="14" t="n">
        <x:v>13</x:v>
      </x:c>
      <x:c r="ES27" s="14" t="n">
        <x:v>2</x:v>
      </x:c>
      <x:c r="ET27" s="14" t="str">
        <x:v>未收錄</x:v>
      </x:c>
      <x:c r="EU27" s="14" t="str">
        <x:v>26080</x:v>
      </x:c>
      <x:c r="EV27" s="14" t="n">
        <x:v>8</x:v>
      </x:c>
      <x:c r="EW27" s="14" t="n">
        <x:v>532</x:v>
      </x:c>
      <x:c r="EX27" s="14" t="n">
        <x:v>51</x:v>
      </x:c>
      <x:c r="EY27" s="14" t="n">
        <x:v>13</x:v>
      </x:c>
      <x:c r="EZ27" s="14" t="n">
        <x:v>3</x:v>
      </x:c>
      <x:c r="FA27" s="14" t="str">
        <x:v>未收錄</x:v>
      </x:c>
      <x:c r="FB27" s="14" t="str">
        <x:v>26081</x:v>
      </x:c>
      <x:c r="FC27" s="14" t="n">
        <x:v>8</x:v>
      </x:c>
      <x:c r="FD27" s="14" t="n">
        <x:v>533</x:v>
      </x:c>
      <x:c r="FE27" s="14" t="n">
        <x:v>52</x:v>
      </x:c>
      <x:c r="FF27" s="14" t="n">
        <x:v>13</x:v>
      </x:c>
      <x:c r="FG27" s="14" t="n">
        <x:v>4</x:v>
      </x:c>
      <x:c r="FH27" s="14" t="str">
        <x:v>未收錄</x:v>
      </x:c>
      <x:c r="FI27" s="14" t="str">
        <x:v>22510</x:v>
      </x:c>
      <x:c r="FJ27" s="14" t="n">
        <x:v>8</x:v>
      </x:c>
      <x:c r="FK27" s="14" t="n">
        <x:v>680</x:v>
      </x:c>
      <x:c r="FL27" s="14" t="n">
        <x:v>49</x:v>
      </x:c>
      <x:c r="FM27" s="14" t="n">
        <x:v>13</x:v>
      </x:c>
      <x:c r="FN27" s="14" t="n">
        <x:v>1</x:v>
      </x:c>
      <x:c r="FO27" s="14" t="str">
        <x:v>未收錄</x:v>
      </x:c>
      <x:c r="FP27" s="14" t="str">
        <x:v>22511</x:v>
      </x:c>
      <x:c r="FQ27" s="14" t="n">
        <x:v>8</x:v>
      </x:c>
      <x:c r="FR27" s="14" t="n">
        <x:v>681</x:v>
      </x:c>
      <x:c r="FS27" s="14" t="n">
        <x:v>50</x:v>
      </x:c>
      <x:c r="FT27" s="14" t="n">
        <x:v>13</x:v>
      </x:c>
      <x:c r="FU27" s="14" t="n">
        <x:v>2</x:v>
      </x:c>
      <x:c r="FV27" s="14" t="str">
        <x:v>未收錄</x:v>
      </x:c>
      <x:c r="FW27" s="14" t="str">
        <x:v>22512</x:v>
      </x:c>
      <x:c r="FX27" s="14" t="n">
        <x:v>8</x:v>
      </x:c>
      <x:c r="FY27" s="14" t="n">
        <x:v>682</x:v>
      </x:c>
      <x:c r="FZ27" s="14" t="n">
        <x:v>51</x:v>
      </x:c>
      <x:c r="GA27" s="14" t="n">
        <x:v>13</x:v>
      </x:c>
      <x:c r="GB27" s="14" t="n">
        <x:v>3</x:v>
      </x:c>
      <x:c r="GC27" s="14" t="str">
        <x:v>未收錄</x:v>
      </x:c>
      <x:c r="GD27" s="14" t="str">
        <x:v>22513</x:v>
      </x:c>
      <x:c r="GE27" s="14" t="n">
        <x:v>8</x:v>
      </x:c>
      <x:c r="GF27" s="14" t="n">
        <x:v>683</x:v>
      </x:c>
      <x:c r="GG27" s="14" t="n">
        <x:v>52</x:v>
      </x:c>
      <x:c r="GH27" s="14" t="n">
        <x:v>13</x:v>
      </x:c>
      <x:c r="GI27" s="14" t="n">
        <x:v>4</x:v>
      </x:c>
      <x:c r="GJ27" s="14" t="str">
        <x:v>未收錄</x:v>
      </x:c>
      <x:c r="GK27" s="14" t="str">
        <x:v>22514</x:v>
      </x:c>
      <x:c r="GL27" s="14" t="n">
        <x:v>8</x:v>
      </x:c>
      <x:c r="GM27" s="14" t="n">
        <x:v>852</x:v>
      </x:c>
      <x:c r="GN27" s="14" t="n">
        <x:v>49</x:v>
      </x:c>
      <x:c r="GO27" s="14" t="n">
        <x:v>13</x:v>
      </x:c>
      <x:c r="GP27" s="14" t="n">
        <x:v>1</x:v>
      </x:c>
      <x:c r="GQ27" s="14" t="str">
        <x:v>未收錄</x:v>
      </x:c>
      <x:c r="GR27" s="14" t="str">
        <x:v>22515</x:v>
      </x:c>
      <x:c r="GS27" s="14" t="n">
        <x:v>8</x:v>
      </x:c>
      <x:c r="GT27" s="14" t="n">
        <x:v>853</x:v>
      </x:c>
      <x:c r="GU27" s="14" t="n">
        <x:v>50</x:v>
      </x:c>
      <x:c r="GV27" s="14" t="n">
        <x:v>13</x:v>
      </x:c>
      <x:c r="GW27" s="14" t="n">
        <x:v>2</x:v>
      </x:c>
      <x:c r="GX27" s="14" t="str">
        <x:v>未收錄</x:v>
      </x:c>
      <x:c r="GY27" s="14" t="str">
        <x:v>22516</x:v>
      </x:c>
      <x:c r="GZ27" s="14" t="n">
        <x:v>8</x:v>
      </x:c>
      <x:c r="HA27" s="14" t="n">
        <x:v>854</x:v>
      </x:c>
      <x:c r="HB27" s="14" t="n">
        <x:v>51</x:v>
      </x:c>
      <x:c r="HC27" s="14" t="n">
        <x:v>13</x:v>
      </x:c>
      <x:c r="HD27" s="14" t="n">
        <x:v>3</x:v>
      </x:c>
      <x:c r="HE27" s="14" t="str">
        <x:v>未收錄</x:v>
      </x:c>
      <x:c r="HF27" s="14" t="str">
        <x:v>22517</x:v>
      </x:c>
      <x:c r="HG27" s="14" t="n">
        <x:v>8</x:v>
      </x:c>
      <x:c r="HH27" s="14" t="n">
        <x:v>855</x:v>
      </x:c>
      <x:c r="HI27" s="14" t="n">
        <x:v>52</x:v>
      </x:c>
      <x:c r="HJ27" s="14" t="n">
        <x:v>13</x:v>
      </x:c>
      <x:c r="HK27" s="14" t="n">
        <x:v>4</x:v>
      </x:c>
      <x:c r="HL27" s="14" t="str">
        <x:v>未收錄</x:v>
      </x:c>
      <x:c r="HM27" s="14" t="str">
        <x:v>21868</x:v>
      </x:c>
      <x:c r="HN27" s="14" t="n">
        <x:v>8</x:v>
      </x:c>
      <x:c r="HO27" s="14" t="n">
        <x:v>1025</x:v>
      </x:c>
      <x:c r="HP27" s="14" t="n">
        <x:v>49</x:v>
      </x:c>
      <x:c r="HQ27" s="14" t="n">
        <x:v>13</x:v>
      </x:c>
      <x:c r="HR27" s="14" t="n">
        <x:v>1</x:v>
      </x:c>
      <x:c r="HS27" s="14" t="str">
        <x:v>未收錄</x:v>
      </x:c>
      <x:c r="HT27" s="14" t="str">
        <x:v>21870</x:v>
      </x:c>
      <x:c r="HU27" s="14" t="n">
        <x:v>8</x:v>
      </x:c>
      <x:c r="HV27" s="14" t="n">
        <x:v>1026</x:v>
      </x:c>
      <x:c r="HW27" s="14" t="n">
        <x:v>50</x:v>
      </x:c>
      <x:c r="HX27" s="14" t="n">
        <x:v>13</x:v>
      </x:c>
      <x:c r="HY27" s="14" t="n">
        <x:v>2</x:v>
      </x:c>
      <x:c r="HZ27" s="14" t="str">
        <x:v>未收錄</x:v>
      </x:c>
      <x:c r="IA27" s="14" t="str">
        <x:v>22047</x:v>
      </x:c>
      <x:c r="IB27" s="14" t="n">
        <x:v>8</x:v>
      </x:c>
      <x:c r="IC27" s="14" t="n">
        <x:v>1027</x:v>
      </x:c>
      <x:c r="ID27" s="14" t="n">
        <x:v>51</x:v>
      </x:c>
      <x:c r="IE27" s="14" t="n">
        <x:v>13</x:v>
      </x:c>
      <x:c r="IF27" s="14" t="n">
        <x:v>3</x:v>
      </x:c>
      <x:c r="IG27" s="14" t="str">
        <x:v>未收錄</x:v>
      </x:c>
      <x:c r="IH27" s="14" t="str">
        <x:v>22882</x:v>
      </x:c>
      <x:c r="II27" s="14" t="n">
        <x:v>8</x:v>
      </x:c>
      <x:c r="IJ27" s="14" t="n">
        <x:v>1028</x:v>
      </x:c>
      <x:c r="IK27" s="14" t="n">
        <x:v>52</x:v>
      </x:c>
      <x:c r="IL27" s="14" t="n">
        <x:v>13</x:v>
      </x:c>
      <x:c r="IM27" s="14" t="n">
        <x:v>4</x:v>
      </x:c>
      <x:c r="IN27" s="14" t="str">
        <x:v>未收錄</x:v>
      </x:c>
      <x:c r="IO27" s="14" t="str">
        <x:v>21314</x:v>
      </x:c>
      <x:c r="IP27" s="14" t="n">
        <x:v>8</x:v>
      </x:c>
      <x:c r="IQ27" s="14" t="n">
        <x:v>1193</x:v>
      </x:c>
      <x:c r="IR27" s="14" t="n">
        <x:v>49</x:v>
      </x:c>
      <x:c r="IS27" s="14" t="n">
        <x:v>13</x:v>
      </x:c>
      <x:c r="IT27" s="14" t="n">
        <x:v>1</x:v>
      </x:c>
      <x:c r="IU27" s="14" t="str">
        <x:v>未收錄</x:v>
      </x:c>
      <x:c r="IV27" s="14" t="str">
        <x:v>22136</x:v>
      </x:c>
      <x:c r="IW27" s="14" t="n">
        <x:v>8</x:v>
      </x:c>
      <x:c r="IX27" s="14" t="n">
        <x:v>1194</x:v>
      </x:c>
      <x:c r="IY27" s="14" t="n">
        <x:v>50</x:v>
      </x:c>
      <x:c r="IZ27" s="14" t="n">
        <x:v>13</x:v>
      </x:c>
      <x:c r="JA27" s="14" t="n">
        <x:v>2</x:v>
      </x:c>
      <x:c r="JB27" s="14" t="str">
        <x:v>未收錄</x:v>
      </x:c>
      <x:c r="JC27" s="14" t="str">
        <x:v>22137</x:v>
      </x:c>
      <x:c r="JD27" s="14" t="n">
        <x:v>8</x:v>
      </x:c>
      <x:c r="JE27" s="14" t="n">
        <x:v>1195</x:v>
      </x:c>
      <x:c r="JF27" s="14" t="n">
        <x:v>51</x:v>
      </x:c>
      <x:c r="JG27" s="14" t="n">
        <x:v>13</x:v>
      </x:c>
      <x:c r="JH27" s="14" t="n">
        <x:v>3</x:v>
      </x:c>
      <x:c r="JI27" s="14" t="str">
        <x:v>未收錄</x:v>
      </x:c>
      <x:c r="JJ27" s="14" t="str">
        <x:v>22138</x:v>
      </x:c>
      <x:c r="JK27" s="14" t="n">
        <x:v>8</x:v>
      </x:c>
      <x:c r="JL27" s="14" t="n">
        <x:v>1196</x:v>
      </x:c>
      <x:c r="JM27" s="14" t="n">
        <x:v>52</x:v>
      </x:c>
      <x:c r="JN27" s="14" t="n">
        <x:v>13</x:v>
      </x:c>
      <x:c r="JO27" s="14" t="n">
        <x:v>4</x:v>
      </x:c>
      <x:c r="JP27" s="14" t="str">
        <x:v>未收錄</x:v>
      </x:c>
      <x:c r="JQ27" s="14" t="str">
        <x:v>26088</x:v>
      </x:c>
      <x:c r="JR27" s="14" t="n">
        <x:v>8</x:v>
      </x:c>
      <x:c r="JS27" s="14" t="n">
        <x:v>1360</x:v>
      </x:c>
      <x:c r="JT27" s="14" t="n">
        <x:v>49</x:v>
      </x:c>
      <x:c r="JU27" s="14" t="n">
        <x:v>13</x:v>
      </x:c>
      <x:c r="JV27" s="14" t="n">
        <x:v>1</x:v>
      </x:c>
      <x:c r="JW27" s="14" t="str">
        <x:v>未收錄</x:v>
      </x:c>
      <x:c r="JX27" s="14" t="str">
        <x:v>26089</x:v>
      </x:c>
      <x:c r="JY27" s="14" t="n">
        <x:v>8</x:v>
      </x:c>
      <x:c r="JZ27" s="14" t="n">
        <x:v>1361</x:v>
      </x:c>
      <x:c r="KA27" s="14" t="n">
        <x:v>50</x:v>
      </x:c>
      <x:c r="KB27" s="14" t="n">
        <x:v>13</x:v>
      </x:c>
      <x:c r="KC27" s="14" t="n">
        <x:v>2</x:v>
      </x:c>
      <x:c r="KD27" s="14" t="str">
        <x:v>未收錄</x:v>
      </x:c>
      <x:c r="KE27" s="14" t="str">
        <x:v>26472</x:v>
      </x:c>
      <x:c r="KF27" s="14" t="n">
        <x:v>8</x:v>
      </x:c>
      <x:c r="KG27" s="14" t="n">
        <x:v>1362</x:v>
      </x:c>
      <x:c r="KH27" s="14" t="n">
        <x:v>51</x:v>
      </x:c>
      <x:c r="KI27" s="14" t="n">
        <x:v>13</x:v>
      </x:c>
      <x:c r="KJ27" s="14" t="n">
        <x:v>3</x:v>
      </x:c>
      <x:c r="KK27" s="14" t="str">
        <x:v>未收錄</x:v>
      </x:c>
      <x:c r="KL27" s="14" t="str">
        <x:v>26473</x:v>
      </x:c>
      <x:c r="KM27" s="14" t="n">
        <x:v>8</x:v>
      </x:c>
      <x:c r="KN27" s="14" t="n">
        <x:v>1363</x:v>
      </x:c>
      <x:c r="KO27" s="14" t="n">
        <x:v>52</x:v>
      </x:c>
      <x:c r="KP27" s="14" t="n">
        <x:v>13</x:v>
      </x:c>
      <x:c r="KQ27" s="14" t="n">
        <x:v>4</x:v>
      </x:c>
      <x:c r="KR27" s="14" t="str">
        <x:v>未收錄</x:v>
      </x:c>
      <x:c r="KS27" s="14" t="str">
        <x:v>24653</x:v>
      </x:c>
      <x:c r="KT27" s="14" t="n">
        <x:v>8</x:v>
      </x:c>
      <x:c r="KU27" s="14" t="n">
        <x:v>1475</x:v>
      </x:c>
      <x:c r="KV27" s="14" t="n">
        <x:v>49</x:v>
      </x:c>
      <x:c r="KW27" s="14" t="n">
        <x:v>13</x:v>
      </x:c>
      <x:c r="KX27" s="14" t="n">
        <x:v>1</x:v>
      </x:c>
      <x:c r="KY27" s="14" t="str">
        <x:v>未收錄</x:v>
      </x:c>
      <x:c r="KZ27" s="14" t="str">
        <x:v>24654</x:v>
      </x:c>
      <x:c r="LA27" s="14" t="n">
        <x:v>8</x:v>
      </x:c>
      <x:c r="LB27" s="14" t="n">
        <x:v>1476</x:v>
      </x:c>
      <x:c r="LC27" s="14" t="n">
        <x:v>50</x:v>
      </x:c>
      <x:c r="LD27" s="14" t="n">
        <x:v>13</x:v>
      </x:c>
      <x:c r="LE27" s="14" t="n">
        <x:v>2</x:v>
      </x:c>
      <x:c r="LF27" s="14" t="str">
        <x:v>未收錄</x:v>
      </x:c>
      <x:c r="LG27" s="14" t="str">
        <x:v>26090</x:v>
      </x:c>
      <x:c r="LH27" s="14" t="n">
        <x:v>8</x:v>
      </x:c>
      <x:c r="LI27" s="14" t="n">
        <x:v>1477</x:v>
      </x:c>
      <x:c r="LJ27" s="14" t="n">
        <x:v>51</x:v>
      </x:c>
      <x:c r="LK27" s="14" t="n">
        <x:v>13</x:v>
      </x:c>
      <x:c r="LL27" s="14" t="n">
        <x:v>3</x:v>
      </x:c>
      <x:c r="LM27" s="14" t="str">
        <x:v>未收錄</x:v>
      </x:c>
      <x:c r="LN27" s="14" t="str">
        <x:v>26210</x:v>
      </x:c>
      <x:c r="LO27" s="14" t="n">
        <x:v>8</x:v>
      </x:c>
      <x:c r="LP27" s="14" t="n">
        <x:v>1478</x:v>
      </x:c>
      <x:c r="LQ27" s="14" t="n">
        <x:v>52</x:v>
      </x:c>
      <x:c r="LR27" s="14" t="n">
        <x:v>13</x:v>
      </x:c>
      <x:c r="LS27" s="14" t="n">
        <x:v>4</x:v>
      </x:c>
      <x:c r="LT27" s="14" t="str">
        <x:v>未收錄</x:v>
      </x:c>
      <x:c r="LU27" s="14" t="str">
        <x:v>26638</x:v>
      </x:c>
      <x:c r="LV27" s="14" t="n">
        <x:v>8</x:v>
      </x:c>
      <x:c r="LW27" s="14" t="n">
        <x:v>1588</x:v>
      </x:c>
      <x:c r="LX27" s="14" t="n">
        <x:v>49</x:v>
      </x:c>
      <x:c r="LY27" s="14" t="n">
        <x:v>13</x:v>
      </x:c>
      <x:c r="LZ27" s="14" t="n">
        <x:v>1</x:v>
      </x:c>
      <x:c r="MA27" s="14" t="str">
        <x:v>未收錄</x:v>
      </x:c>
      <x:c r="MB27" s="14" t="str">
        <x:v>26728</x:v>
      </x:c>
      <x:c r="MC27" s="14" t="n">
        <x:v>3</x:v>
      </x:c>
      <x:c r="MD27" s="14" t="n">
        <x:v>1589</x:v>
      </x:c>
      <x:c r="ME27" s="14" t="n">
        <x:v>50</x:v>
      </x:c>
      <x:c r="MF27" s="14" t="n">
        <x:v>13</x:v>
      </x:c>
      <x:c r="MG27" s="14" t="n">
        <x:v>2</x:v>
      </x:c>
      <x:c r="MH27" s="14" t="str">
        <x:v>未收錄</x:v>
      </x:c>
      <x:c r="MI27" s="14" t="str">
        <x:v>26639</x:v>
      </x:c>
      <x:c r="MJ27" s="14" t="n">
        <x:v>8</x:v>
      </x:c>
      <x:c r="MK27" s="14" t="n">
        <x:v>1590</x:v>
      </x:c>
      <x:c r="ML27" s="14" t="n">
        <x:v>51</x:v>
      </x:c>
      <x:c r="MM27" s="14" t="n">
        <x:v>13</x:v>
      </x:c>
      <x:c r="MN27" s="14" t="n">
        <x:v>3</x:v>
      </x:c>
      <x:c r="MO27" s="14" t="str">
        <x:v>未收錄</x:v>
      </x:c>
      <x:c r="MP27" s="14" t="str">
        <x:v>26737</x:v>
      </x:c>
      <x:c r="MQ27" s="14" t="n">
        <x:v>3</x:v>
      </x:c>
      <x:c r="MR27" s="14" t="n">
        <x:v>1591</x:v>
      </x:c>
      <x:c r="MS27" s="14" t="n">
        <x:v>52</x:v>
      </x:c>
      <x:c r="MT27" s="14" t="n">
        <x:v>13</x:v>
      </x:c>
      <x:c r="MU27" s="14" t="n">
        <x:v>4</x:v>
      </x:c>
      <x:c r="MV27" s="14" t="str">
        <x:v>未收錄</x:v>
      </x:c>
      <x:c r="MW27" s="14" t="str">
        <x:v>21413</x:v>
      </x:c>
      <x:c r="MX27" s="14" t="n">
        <x:v>1</x:v>
      </x:c>
      <x:c r="MY27" s="14" t="n">
        <x:v>1697</x:v>
      </x:c>
      <x:c r="MZ27" s="14" t="n">
        <x:v>49</x:v>
      </x:c>
      <x:c r="NA27" s="14" t="n">
        <x:v>13</x:v>
      </x:c>
      <x:c r="NB27" s="14" t="n">
        <x:v>1</x:v>
      </x:c>
      <x:c r="NC27" s="14" t="str">
        <x:v>未收錄</x:v>
      </x:c>
      <x:c r="ND27" s="14" t="str">
        <x:v>21414</x:v>
      </x:c>
      <x:c r="NE27" s="14" t="n">
        <x:v>1</x:v>
      </x:c>
      <x:c r="NF27" s="14" t="n">
        <x:v>1698</x:v>
      </x:c>
      <x:c r="NG27" s="14" t="n">
        <x:v>50</x:v>
      </x:c>
      <x:c r="NH27" s="14" t="n">
        <x:v>13</x:v>
      </x:c>
      <x:c r="NI27" s="14" t="n">
        <x:v>2</x:v>
      </x:c>
      <x:c r="NJ27" s="14" t="str">
        <x:v>未收錄</x:v>
      </x:c>
      <x:c r="NK27" s="14" t="str">
        <x:v>21415</x:v>
      </x:c>
      <x:c r="NL27" s="14" t="n">
        <x:v>1</x:v>
      </x:c>
      <x:c r="NM27" s="14" t="n">
        <x:v>1699</x:v>
      </x:c>
      <x:c r="NN27" s="14" t="n">
        <x:v>51</x:v>
      </x:c>
      <x:c r="NO27" s="14" t="n">
        <x:v>13</x:v>
      </x:c>
      <x:c r="NP27" s="14" t="n">
        <x:v>3</x:v>
      </x:c>
      <x:c r="NQ27" s="14" t="str">
        <x:v>未收錄</x:v>
      </x:c>
      <x:c r="NR27" s="14" t="str">
        <x:v>21416</x:v>
      </x:c>
      <x:c r="NS27" s="14" t="n">
        <x:v>1</x:v>
      </x:c>
      <x:c r="NT27" s="14" t="n">
        <x:v>1700</x:v>
      </x:c>
      <x:c r="NU27" s="14" t="n">
        <x:v>52</x:v>
      </x:c>
      <x:c r="NV27" s="14" t="n">
        <x:v>13</x:v>
      </x:c>
      <x:c r="NW27" s="14" t="n">
        <x:v>4</x:v>
      </x:c>
      <x:c r="NX27" s="14" t="str">
        <x:v>未收錄</x:v>
      </x:c>
      <x:c r="NY27" s="14" t="str">
        <x:v>20596</x:v>
      </x:c>
      <x:c r="NZ27" s="14" t="n">
        <x:v>2</x:v>
      </x:c>
      <x:c r="OA27" s="14" t="n">
        <x:v>2150</x:v>
      </x:c>
      <x:c r="OB27" s="14" t="n">
        <x:v>49</x:v>
      </x:c>
      <x:c r="OC27" s="14" t="n">
        <x:v>13</x:v>
      </x:c>
      <x:c r="OD27" s="14" t="n">
        <x:v>1</x:v>
      </x:c>
      <x:c r="OE27" s="14" t="str">
        <x:v>未收錄</x:v>
      </x:c>
      <x:c r="OF27" s="14" t="str">
        <x:v>20597</x:v>
      </x:c>
      <x:c r="OG27" s="14" t="n">
        <x:v>2</x:v>
      </x:c>
      <x:c r="OH27" s="14" t="n">
        <x:v>2151</x:v>
      </x:c>
      <x:c r="OI27" s="14" t="n">
        <x:v>50</x:v>
      </x:c>
      <x:c r="OJ27" s="14" t="n">
        <x:v>13</x:v>
      </x:c>
      <x:c r="OK27" s="14" t="n">
        <x:v>2</x:v>
      </x:c>
      <x:c r="OL27" s="14" t="str">
        <x:v>未收錄</x:v>
      </x:c>
      <x:c r="OM27" s="14" t="str">
        <x:v>20598</x:v>
      </x:c>
      <x:c r="ON27" s="14" t="n">
        <x:v>2</x:v>
      </x:c>
      <x:c r="OO27" s="14" t="n">
        <x:v>2152</x:v>
      </x:c>
      <x:c r="OP27" s="14" t="n">
        <x:v>51</x:v>
      </x:c>
      <x:c r="OQ27" s="14" t="n">
        <x:v>13</x:v>
      </x:c>
      <x:c r="OR27" s="14" t="n">
        <x:v>3</x:v>
      </x:c>
      <x:c r="OS27" s="14" t="str">
        <x:v>未收錄</x:v>
      </x:c>
      <x:c r="OT27" s="14" t="str">
        <x:v>20599</x:v>
      </x:c>
      <x:c r="OU27" s="14" t="n">
        <x:v>2</x:v>
      </x:c>
      <x:c r="OV27" s="14" t="n">
        <x:v>2153</x:v>
      </x:c>
      <x:c r="OW27" s="14" t="n">
        <x:v>52</x:v>
      </x:c>
      <x:c r="OX27" s="14" t="n">
        <x:v>13</x:v>
      </x:c>
      <x:c r="OY27" s="14" t="n">
        <x:v>4</x:v>
      </x:c>
      <x:c r="OZ27" s="14" t="str">
        <x:v>未收錄</x:v>
      </x:c>
      <x:c r="PA27" s="14" t="str">
        <x:v>20955</x:v>
      </x:c>
      <x:c r="PB27" s="14" t="n">
        <x:v>5</x:v>
      </x:c>
      <x:c r="PC27" s="14" t="n">
        <x:v>2696</x:v>
      </x:c>
      <x:c r="PD27" s="14" t="n">
        <x:v>49</x:v>
      </x:c>
      <x:c r="PE27" s="14" t="n">
        <x:v>13</x:v>
      </x:c>
      <x:c r="PF27" s="14" t="n">
        <x:v>1</x:v>
      </x:c>
      <x:c r="PG27" s="14" t="str">
        <x:v>未收錄</x:v>
      </x:c>
      <x:c r="PH27" s="14" t="str">
        <x:v>21252</x:v>
      </x:c>
      <x:c r="PI27" s="14" t="n">
        <x:v>5</x:v>
      </x:c>
      <x:c r="PJ27" s="14" t="n">
        <x:v>2697</x:v>
      </x:c>
      <x:c r="PK27" s="14" t="n">
        <x:v>50</x:v>
      </x:c>
      <x:c r="PL27" s="14" t="n">
        <x:v>13</x:v>
      </x:c>
      <x:c r="PM27" s="14" t="n">
        <x:v>2</x:v>
      </x:c>
      <x:c r="PN27" s="14" t="str">
        <x:v>未收錄</x:v>
      </x:c>
      <x:c r="PO27" s="14" t="str">
        <x:v>21253</x:v>
      </x:c>
      <x:c r="PP27" s="14" t="n">
        <x:v>5</x:v>
      </x:c>
      <x:c r="PQ27" s="14" t="n">
        <x:v>2698</x:v>
      </x:c>
      <x:c r="PR27" s="14" t="n">
        <x:v>51</x:v>
      </x:c>
      <x:c r="PS27" s="14" t="n">
        <x:v>13</x:v>
      </x:c>
      <x:c r="PT27" s="14" t="n">
        <x:v>3</x:v>
      </x:c>
      <x:c r="PU27" s="14" t="str">
        <x:v>未收錄</x:v>
      </x:c>
      <x:c r="PV27" s="14" t="str">
        <x:v>21254</x:v>
      </x:c>
      <x:c r="PW27" s="14" t="n">
        <x:v>5</x:v>
      </x:c>
      <x:c r="PX27" s="14" t="n">
        <x:v>2699</x:v>
      </x:c>
      <x:c r="PY27" s="14" t="n">
        <x:v>52</x:v>
      </x:c>
      <x:c r="PZ27" s="14" t="n">
        <x:v>13</x:v>
      </x:c>
      <x:c r="QA27" s="14" t="n">
        <x:v>4</x:v>
      </x:c>
      <x:c r="QB27" s="14" t="str">
        <x:v>未收錄</x:v>
      </x:c>
      <x:c r="QC27" s="14" t="str">
        <x:v>20958</x:v>
      </x:c>
      <x:c r="QD27" s="14" t="n">
        <x:v>10</x:v>
      </x:c>
      <x:c r="QE27" s="14" t="n">
        <x:v>3133</x:v>
      </x:c>
      <x:c r="QF27" s="14" t="n">
        <x:v>49</x:v>
      </x:c>
      <x:c r="QG27" s="14" t="n">
        <x:v>13</x:v>
      </x:c>
      <x:c r="QH27" s="14" t="n">
        <x:v>1</x:v>
      </x:c>
      <x:c r="QI27" s="14" t="str">
        <x:v>未收錄</x:v>
      </x:c>
      <x:c r="QJ27" s="14" t="str">
        <x:v>21152</x:v>
      </x:c>
      <x:c r="QK27" s="14" t="n">
        <x:v>5</x:v>
      </x:c>
      <x:c r="QL27" s="14" t="n">
        <x:v>3134</x:v>
      </x:c>
      <x:c r="QM27" s="14" t="n">
        <x:v>50</x:v>
      </x:c>
      <x:c r="QN27" s="14" t="n">
        <x:v>13</x:v>
      </x:c>
      <x:c r="QO27" s="14" t="n">
        <x:v>2</x:v>
      </x:c>
      <x:c r="QP27" s="14" t="str">
        <x:v>未收錄</x:v>
      </x:c>
      <x:c r="QQ27" s="14" t="str">
        <x:v>21153</x:v>
      </x:c>
      <x:c r="QR27" s="14" t="n">
        <x:v>5</x:v>
      </x:c>
      <x:c r="QS27" s="14" t="n">
        <x:v>3135</x:v>
      </x:c>
      <x:c r="QT27" s="14" t="n">
        <x:v>51</x:v>
      </x:c>
      <x:c r="QU27" s="14" t="n">
        <x:v>13</x:v>
      </x:c>
      <x:c r="QV27" s="14" t="n">
        <x:v>3</x:v>
      </x:c>
      <x:c r="QW27" s="14" t="str">
        <x:v>未收錄</x:v>
      </x:c>
      <x:c r="QX27" s="14" t="str">
        <x:v>21154</x:v>
      </x:c>
      <x:c r="QY27" s="14" t="n">
        <x:v>5</x:v>
      </x:c>
      <x:c r="QZ27" s="14" t="n">
        <x:v>3136</x:v>
      </x:c>
      <x:c r="RA27" s="14" t="n">
        <x:v>52</x:v>
      </x:c>
      <x:c r="RB27" s="14" t="n">
        <x:v>13</x:v>
      </x:c>
      <x:c r="RC27" s="14" t="n">
        <x:v>4</x:v>
      </x:c>
      <x:c r="RD27" s="14" t="str">
        <x:v>未收錄</x:v>
      </x:c>
      <x:c r="RE27" s="14" t="str">
        <x:v>20638</x:v>
      </x:c>
      <x:c r="RF27" s="14" t="n">
        <x:v>5</x:v>
      </x:c>
      <x:c r="RG27" s="14" t="n">
        <x:v>3594</x:v>
      </x:c>
      <x:c r="RH27" s="14" t="n">
        <x:v>49</x:v>
      </x:c>
      <x:c r="RI27" s="14" t="n">
        <x:v>13</x:v>
      </x:c>
      <x:c r="RJ27" s="14" t="n">
        <x:v>1</x:v>
      </x:c>
      <x:c r="RK27" s="14" t="str">
        <x:v>未收錄</x:v>
      </x:c>
      <x:c r="RL27" s="14" t="str">
        <x:v>20639</x:v>
      </x:c>
      <x:c r="RM27" s="14" t="n">
        <x:v>5</x:v>
      </x:c>
      <x:c r="RN27" s="14" t="n">
        <x:v>3595</x:v>
      </x:c>
      <x:c r="RO27" s="14" t="n">
        <x:v>50</x:v>
      </x:c>
      <x:c r="RP27" s="14" t="n">
        <x:v>13</x:v>
      </x:c>
      <x:c r="RQ27" s="14" t="n">
        <x:v>2</x:v>
      </x:c>
      <x:c r="RR27" s="14" t="str">
        <x:v>未收錄</x:v>
      </x:c>
      <x:c r="RS27" s="14" t="str">
        <x:v>20640</x:v>
      </x:c>
      <x:c r="RT27" s="14" t="n">
        <x:v>5</x:v>
      </x:c>
      <x:c r="RU27" s="14" t="n">
        <x:v>3596</x:v>
      </x:c>
      <x:c r="RV27" s="14" t="n">
        <x:v>51</x:v>
      </x:c>
      <x:c r="RW27" s="14" t="n">
        <x:v>13</x:v>
      </x:c>
      <x:c r="RX27" s="14" t="n">
        <x:v>3</x:v>
      </x:c>
      <x:c r="RY27" s="14" t="str">
        <x:v>未收錄</x:v>
      </x:c>
      <x:c r="RZ27" s="14" t="str">
        <x:v>20641</x:v>
      </x:c>
      <x:c r="SA27" s="14" t="n">
        <x:v>5</x:v>
      </x:c>
      <x:c r="SB27" s="14" t="n">
        <x:v>3597</x:v>
      </x:c>
      <x:c r="SC27" s="14" t="n">
        <x:v>52</x:v>
      </x:c>
      <x:c r="SD27" s="14" t="n">
        <x:v>13</x:v>
      </x:c>
      <x:c r="SE27" s="14" t="n">
        <x:v>4</x:v>
      </x:c>
      <x:c r="SF27" s="14" t="str">
        <x:v>未收錄</x:v>
      </x:c>
      <x:c r="SG27" s="14" t="str">
        <x:v>29833</x:v>
      </x:c>
      <x:c r="SH27" s="14" t="n">
        <x:v>10</x:v>
      </x:c>
      <x:c r="SI27" s="14" t="n">
        <x:v>4018</x:v>
      </x:c>
      <x:c r="SJ27" s="14" t="n">
        <x:v>49</x:v>
      </x:c>
      <x:c r="SK27" s="14" t="n">
        <x:v>13</x:v>
      </x:c>
      <x:c r="SL27" s="14" t="n">
        <x:v>1</x:v>
      </x:c>
      <x:c r="SM27" s="14" t="str">
        <x:v>未收錄</x:v>
      </x:c>
      <x:c r="SN27" s="14" t="str">
        <x:v>27985</x:v>
      </x:c>
      <x:c r="SO27" s="14" t="n">
        <x:v>10</x:v>
      </x:c>
      <x:c r="SP27" s="14" t="n">
        <x:v>4019</x:v>
      </x:c>
      <x:c r="SQ27" s="14" t="n">
        <x:v>50</x:v>
      </x:c>
      <x:c r="SR27" s="14" t="n">
        <x:v>13</x:v>
      </x:c>
      <x:c r="SS27" s="14" t="n">
        <x:v>2</x:v>
      </x:c>
      <x:c r="ST27" s="14" t="str">
        <x:v>未收錄</x:v>
      </x:c>
      <x:c r="SU27" s="14" t="str">
        <x:v>29937</x:v>
      </x:c>
      <x:c r="SV27" s="14" t="n">
        <x:v>20</x:v>
      </x:c>
      <x:c r="SW27" s="14" t="n">
        <x:v>4020</x:v>
      </x:c>
      <x:c r="SX27" s="14" t="n">
        <x:v>51</x:v>
      </x:c>
      <x:c r="SY27" s="14" t="n">
        <x:v>13</x:v>
      </x:c>
      <x:c r="SZ27" s="14" t="n">
        <x:v>3</x:v>
      </x:c>
      <x:c r="TA27" s="14" t="str">
        <x:v>未收錄</x:v>
      </x:c>
      <x:c r="TB27" s="14" t="str">
        <x:v>29955</x:v>
      </x:c>
      <x:c r="TC27" s="14" t="n">
        <x:v>10</x:v>
      </x:c>
      <x:c r="TD27" s="14" t="n">
        <x:v>4021</x:v>
      </x:c>
      <x:c r="TE27" s="14" t="n">
        <x:v>52</x:v>
      </x:c>
      <x:c r="TF27" s="14" t="n">
        <x:v>13</x:v>
      </x:c>
      <x:c r="TG27" s="14" t="n">
        <x:v>4</x:v>
      </x:c>
      <x:c r="TH27" s="14" t="str">
        <x:v>未收錄</x:v>
      </x:c>
    </x:row>
    <x:row r="28" ht="15" customHeight="1">
      <x:c r="A28" s="18" t="str">
        <x:v>晶石劍</x:v>
      </x:c>
      <x:c r="B28" s="18" t="str">
        <x:v>凝晶奇劍</x:v>
      </x:c>
      <x:c r="C28" s="18" t="str">
        <x:v>卓越之劍</x:v>
      </x:c>
      <x:c r="D28" s="18" t="str">
        <x:v>蟾蜍劍</x:v>
      </x:c>
      <x:c r="E28" s="14"/>
      <x:c r="F28" s="18" t="str">
        <x:v>蒼龍刀</x:v>
      </x:c>
      <x:c r="G28" s="18" t="str">
        <x:v>天晶蒼龍刀</x:v>
      </x:c>
      <x:c r="H28" s="18" t="str">
        <x:v>絕世蒼龍刀</x:v>
      </x:c>
      <x:c r="I28" s="18" t="str">
        <x:v>磔骨刀</x:v>
      </x:c>
      <x:c r="J28" s="14"/>
      <x:c r="K28" s="18" t="str">
        <x:v>太古霹靂火</x:v>
      </x:c>
      <x:c r="L28" s="18" t="str">
        <x:v>驚雷天閃銃</x:v>
      </x:c>
      <x:c r="M28" s="18" t="str">
        <x:v>鴻火流星銃</x:v>
      </x:c>
      <x:c r="N28" s="18" t="str">
        <x:v>誅魔聖衛飛環</x:v>
      </x:c>
      <x:c r="O28" s="14"/>
      <x:c r="P28" s="18" t="str">
        <x:v>松風御祓</x:v>
      </x:c>
      <x:c r="Q28" s="18" t="str">
        <x:v>櫻華御祓</x:v>
      </x:c>
      <x:c r="R28" s="18" t="str">
        <x:v>星暉拂塵</x:v>
      </x:c>
      <x:c r="S28" s="18" t="str">
        <x:v>昊陽拂塵</x:v>
      </x:c>
      <x:c r="T28" s="14"/>
      <x:c r="U28" s="18" t="str">
        <x:v>千羽禪杖</x:v>
      </x:c>
      <x:c r="V28" s="18" t="str">
        <x:v>金閣禪杖</x:v>
      </x:c>
      <x:c r="W28" s="18" t="str">
        <x:v>天聲禪杖</x:v>
      </x:c>
      <x:c r="X28" s="18" t="str">
        <x:v>彌勒禪杖</x:v>
      </x:c>
      <x:c r="Y28" s="14"/>
      <x:c r="Z28" s="18" t="str">
        <x:v>噬魂槍</x:v>
      </x:c>
      <x:c r="AA28" s="18" t="str">
        <x:v>驚邪槍</x:v>
      </x:c>
      <x:c r="AB28" s="18" t="str">
        <x:v>無雙驚邪槍</x:v>
      </x:c>
      <x:c r="AC28" s="18" t="str">
        <x:v>宇十文字槍</x:v>
      </x:c>
      <x:c r="AD28" s="14"/>
      <x:c r="AE28" s="18" t="str">
        <x:v>金鋼杖</x:v>
      </x:c>
      <x:c r="AF28" s="18" t="str">
        <x:v>浪沙棍</x:v>
      </x:c>
      <x:c r="AG28" s="18" t="str">
        <x:v>芥夜棍</x:v>
      </x:c>
      <x:c r="AH28" s="18" t="str">
        <x:v>無雙芥夜棍</x:v>
      </x:c>
      <x:c r="AI28" s="14"/>
      <x:c r="AJ28" s="18" t="str">
        <x:v>碎驅聖衛鋼錘</x:v>
      </x:c>
      <x:c r="AK28" s="18" t="str">
        <x:v>獵命聖衛鋼錘</x:v>
      </x:c>
      <x:c r="AL28" s="18" t="str">
        <x:v>璇龍麗錘</x:v>
      </x:c>
      <x:c r="AM28" s="18" t="str">
        <x:v>太古璇龍麗錘</x:v>
      </x:c>
      <x:c r="AN28" s="14"/>
      <x:c r="AO28" s="18" t="str">
        <x:v>悲霜邪王斧</x:v>
      </x:c>
      <x:c r="AP28" s="18" t="str">
        <x:v>太古悲霜邪王斧</x:v>
      </x:c>
      <x:c r="AQ28" s="18" t="str">
        <x:v>遊雲征斧</x:v>
      </x:c>
      <x:c r="AR28" s="18" t="str">
        <x:v>天河星崗斧</x:v>
      </x:c>
      <x:c r="AS28" s="14"/>
      <x:c r="AT28" s="18" t="str">
        <x:v>天鍛‧風雷盾</x:v>
      </x:c>
      <x:c r="AU28" s="18" t="str">
        <x:v>仙鑄‧風雷盾</x:v>
      </x:c>
      <x:c r="AV28" s="18" t="str">
        <x:v>神煉‧風雷盾</x:v>
      </x:c>
      <x:c r="AW28" s="18" t="str">
        <x:v>宇傲‧風雷盾</x:v>
      </x:c>
      <x:c r="AX28" s="14"/>
      <x:c r="AY28" s="18" t="str">
        <x:v>靈卦道冠</x:v>
      </x:c>
      <x:c r="AZ28" s="18" t="str">
        <x:v>八仙道冠</x:v>
      </x:c>
      <x:c r="BA28" s="18" t="str">
        <x:v>靜思僧帽</x:v>
      </x:c>
      <x:c r="BB28" s="18" t="str">
        <x:v>遺失的頭巾</x:v>
      </x:c>
      <x:c r="BC28" s="14"/>
      <x:c r="BD28" s="18" t="str">
        <x:v>夜叉藤甲</x:v>
      </x:c>
      <x:c r="BE28" s="18" t="str">
        <x:v>銀縷鎖甲</x:v>
      </x:c>
      <x:c r="BF28" s="18" t="str">
        <x:v>征西戰衣</x:v>
      </x:c>
      <x:c r="BG28" s="18" t="str">
        <x:v>歐風戰衣</x:v>
      </x:c>
      <x:c r="BH28" s="14"/>
      <x:c r="BI28" s="18" t="str">
        <x:v>銅石護腕</x:v>
      </x:c>
      <x:c r="BJ28" s="18" t="str">
        <x:v>佛陀護腕</x:v>
      </x:c>
      <x:c r="BK28" s="18" t="str">
        <x:v>天仙護腕</x:v>
      </x:c>
      <x:c r="BL28" s="18" t="str">
        <x:v>戰神護腕</x:v>
      </x:c>
      <x:c r="BM28" s="14"/>
      <x:c r="BN28" s="18" t="str">
        <x:v>銅石戰靴</x:v>
      </x:c>
      <x:c r="BO28" s="18" t="str">
        <x:v>羅漢鞋</x:v>
      </x:c>
      <x:c r="BP28" s="18" t="str">
        <x:v>踢斗鞋</x:v>
      </x:c>
      <x:c r="BQ28" s="18" t="str">
        <x:v>戰神靴</x:v>
      </x:c>
      <x:c r="BR28" s="14"/>
      <x:c r="BS28" s="18" t="str">
        <x:v>鐵骨佛珠</x:v>
      </x:c>
      <x:c r="BT28" s="18" t="str">
        <x:v>大力佛珠</x:v>
      </x:c>
      <x:c r="BU28" s="18" t="str">
        <x:v>大智佛珠</x:v>
      </x:c>
      <x:c r="BV28" s="18" t="str">
        <x:v>踩雲佛珠</x:v>
      </x:c>
      <x:c r="BW28" s="14"/>
      <x:c r="BX28" s="18" t="str">
        <x:v>血海仙虛幡</x:v>
      </x:c>
      <x:c r="BY28" s="18" t="str">
        <x:v>玄謎虛淵局</x:v>
      </x:c>
      <x:c r="BZ28" s="18" t="str">
        <x:v>邪說虛王誌</x:v>
      </x:c>
      <x:c r="CA28" s="18" t="str">
        <x:v>虛幽邪龍陣</x:v>
      </x:c>
      <x:c r="CB28" s="14"/>
      <x:c r="CC28" s="14" t="str">
        <x:v>21044</x:v>
      </x:c>
      <x:c r="CD28" s="14" t="n">
        <x:v>3</x:v>
      </x:c>
      <x:c r="CE28" s="14" t="n">
        <x:v>53</x:v>
      </x:c>
      <x:c r="CF28" s="14" t="n">
        <x:v>53</x:v>
      </x:c>
      <x:c r="CG28" s="14" t="n">
        <x:v>14</x:v>
      </x:c>
      <x:c r="CH28" s="14" t="n">
        <x:v>1</x:v>
      </x:c>
      <x:c r="CI28" s="14" t="str">
        <x:v>未收錄</x:v>
      </x:c>
      <x:c r="CJ28" s="14" t="str">
        <x:v>22417</x:v>
      </x:c>
      <x:c r="CK28" s="14" t="n">
        <x:v>3</x:v>
      </x:c>
      <x:c r="CL28" s="14" t="n">
        <x:v>54</x:v>
      </x:c>
      <x:c r="CM28" s="14" t="n">
        <x:v>54</x:v>
      </x:c>
      <x:c r="CN28" s="14" t="n">
        <x:v>14</x:v>
      </x:c>
      <x:c r="CO28" s="14" t="n">
        <x:v>2</x:v>
      </x:c>
      <x:c r="CP28" s="14" t="str">
        <x:v>未收錄</x:v>
      </x:c>
      <x:c r="CQ28" s="14" t="str">
        <x:v>23325</x:v>
      </x:c>
      <x:c r="CR28" s="14" t="n">
        <x:v>3</x:v>
      </x:c>
      <x:c r="CS28" s="14" t="n">
        <x:v>55</x:v>
      </x:c>
      <x:c r="CT28" s="14" t="n">
        <x:v>55</x:v>
      </x:c>
      <x:c r="CU28" s="14" t="n">
        <x:v>14</x:v>
      </x:c>
      <x:c r="CV28" s="14" t="n">
        <x:v>3</x:v>
      </x:c>
      <x:c r="CW28" s="14" t="str">
        <x:v>未收錄</x:v>
      </x:c>
      <x:c r="CX28" s="14" t="str">
        <x:v>21557</x:v>
      </x:c>
      <x:c r="CY28" s="14" t="n">
        <x:v>3</x:v>
      </x:c>
      <x:c r="CZ28" s="14" t="n">
        <x:v>56</x:v>
      </x:c>
      <x:c r="DA28" s="14" t="n">
        <x:v>56</x:v>
      </x:c>
      <x:c r="DB28" s="14" t="n">
        <x:v>14</x:v>
      </x:c>
      <x:c r="DC28" s="14" t="n">
        <x:v>4</x:v>
      </x:c>
      <x:c r="DD28" s="14" t="str">
        <x:v>未收錄</x:v>
      </x:c>
      <x:c r="DE28" s="14" t="str">
        <x:v>20783</x:v>
      </x:c>
      <x:c r="DF28" s="14" t="n">
        <x:v>8</x:v>
      </x:c>
      <x:c r="DG28" s="14" t="n">
        <x:v>298</x:v>
      </x:c>
      <x:c r="DH28" s="14" t="n">
        <x:v>53</x:v>
      </x:c>
      <x:c r="DI28" s="14" t="n">
        <x:v>14</x:v>
      </x:c>
      <x:c r="DJ28" s="14" t="n">
        <x:v>1</x:v>
      </x:c>
      <x:c r="DK28" s="14" t="str">
        <x:v>未收錄</x:v>
      </x:c>
      <x:c r="DL28" s="14" t="str">
        <x:v>22018</x:v>
      </x:c>
      <x:c r="DM28" s="14" t="n">
        <x:v>8</x:v>
      </x:c>
      <x:c r="DN28" s="14" t="n">
        <x:v>299</x:v>
      </x:c>
      <x:c r="DO28" s="14" t="n">
        <x:v>54</x:v>
      </x:c>
      <x:c r="DP28" s="14" t="n">
        <x:v>14</x:v>
      </x:c>
      <x:c r="DQ28" s="14" t="n">
        <x:v>2</x:v>
      </x:c>
      <x:c r="DR28" s="14" t="str">
        <x:v>未收錄</x:v>
      </x:c>
      <x:c r="DS28" s="14" t="str">
        <x:v>22379</x:v>
      </x:c>
      <x:c r="DT28" s="14" t="n">
        <x:v>8</x:v>
      </x:c>
      <x:c r="DU28" s="14" t="n">
        <x:v>300</x:v>
      </x:c>
      <x:c r="DV28" s="14" t="n">
        <x:v>55</x:v>
      </x:c>
      <x:c r="DW28" s="14" t="n">
        <x:v>14</x:v>
      </x:c>
      <x:c r="DX28" s="14" t="n">
        <x:v>3</x:v>
      </x:c>
      <x:c r="DY28" s="14" t="str">
        <x:v>未收錄</x:v>
      </x:c>
      <x:c r="DZ28" s="14" t="str">
        <x:v>20843</x:v>
      </x:c>
      <x:c r="EA28" s="14" t="n">
        <x:v>8</x:v>
      </x:c>
      <x:c r="EB28" s="14" t="n">
        <x:v>301</x:v>
      </x:c>
      <x:c r="EC28" s="14" t="n">
        <x:v>56</x:v>
      </x:c>
      <x:c r="ED28" s="14" t="n">
        <x:v>14</x:v>
      </x:c>
      <x:c r="EE28" s="14" t="n">
        <x:v>4</x:v>
      </x:c>
      <x:c r="EF28" s="14" t="str">
        <x:v>未收錄</x:v>
      </x:c>
      <x:c r="EG28" s="14" t="str">
        <x:v>26715</x:v>
      </x:c>
      <x:c r="EH28" s="14" t="n">
        <x:v>3</x:v>
      </x:c>
      <x:c r="EI28" s="14" t="n">
        <x:v>534</x:v>
      </x:c>
      <x:c r="EJ28" s="14" t="n">
        <x:v>53</x:v>
      </x:c>
      <x:c r="EK28" s="14" t="n">
        <x:v>14</x:v>
      </x:c>
      <x:c r="EL28" s="14" t="n">
        <x:v>1</x:v>
      </x:c>
      <x:c r="EM28" s="14" t="str">
        <x:v>未收錄</x:v>
      </x:c>
      <x:c r="EN28" s="14" t="str">
        <x:v>26082</x:v>
      </x:c>
      <x:c r="EO28" s="14" t="n">
        <x:v>8</x:v>
      </x:c>
      <x:c r="EP28" s="14" t="n">
        <x:v>535</x:v>
      </x:c>
      <x:c r="EQ28" s="14" t="n">
        <x:v>54</x:v>
      </x:c>
      <x:c r="ER28" s="14" t="n">
        <x:v>14</x:v>
      </x:c>
      <x:c r="ES28" s="14" t="n">
        <x:v>2</x:v>
      </x:c>
      <x:c r="ET28" s="14" t="str">
        <x:v>未收錄</x:v>
      </x:c>
      <x:c r="EU28" s="14" t="str">
        <x:v>26083</x:v>
      </x:c>
      <x:c r="EV28" s="14" t="n">
        <x:v>8</x:v>
      </x:c>
      <x:c r="EW28" s="14" t="n">
        <x:v>536</x:v>
      </x:c>
      <x:c r="EX28" s="14" t="n">
        <x:v>55</x:v>
      </x:c>
      <x:c r="EY28" s="14" t="n">
        <x:v>14</x:v>
      </x:c>
      <x:c r="EZ28" s="14" t="n">
        <x:v>3</x:v>
      </x:c>
      <x:c r="FA28" s="14" t="str">
        <x:v>未收錄</x:v>
      </x:c>
      <x:c r="FB28" s="14" t="str">
        <x:v>26460</x:v>
      </x:c>
      <x:c r="FC28" s="14" t="n">
        <x:v>8</x:v>
      </x:c>
      <x:c r="FD28" s="14" t="n">
        <x:v>537</x:v>
      </x:c>
      <x:c r="FE28" s="14" t="n">
        <x:v>56</x:v>
      </x:c>
      <x:c r="FF28" s="14" t="n">
        <x:v>14</x:v>
      </x:c>
      <x:c r="FG28" s="14" t="n">
        <x:v>4</x:v>
      </x:c>
      <x:c r="FH28" s="14" t="str">
        <x:v>未收錄</x:v>
      </x:c>
      <x:c r="FI28" s="14" t="str">
        <x:v>22871</x:v>
      </x:c>
      <x:c r="FJ28" s="14" t="n">
        <x:v>8</x:v>
      </x:c>
      <x:c r="FK28" s="14" t="n">
        <x:v>684</x:v>
      </x:c>
      <x:c r="FL28" s="14" t="n">
        <x:v>53</x:v>
      </x:c>
      <x:c r="FM28" s="14" t="n">
        <x:v>14</x:v>
      </x:c>
      <x:c r="FN28" s="14" t="n">
        <x:v>1</x:v>
      </x:c>
      <x:c r="FO28" s="14" t="str">
        <x:v>未收錄</x:v>
      </x:c>
      <x:c r="FP28" s="14" t="str">
        <x:v>22872</x:v>
      </x:c>
      <x:c r="FQ28" s="14" t="n">
        <x:v>8</x:v>
      </x:c>
      <x:c r="FR28" s="14" t="n">
        <x:v>685</x:v>
      </x:c>
      <x:c r="FS28" s="14" t="n">
        <x:v>54</x:v>
      </x:c>
      <x:c r="FT28" s="14" t="n">
        <x:v>14</x:v>
      </x:c>
      <x:c r="FU28" s="14" t="n">
        <x:v>2</x:v>
      </x:c>
      <x:c r="FV28" s="14" t="str">
        <x:v>未收錄</x:v>
      </x:c>
      <x:c r="FW28" s="14" t="str">
        <x:v>23152</x:v>
      </x:c>
      <x:c r="FX28" s="14" t="n">
        <x:v>8</x:v>
      </x:c>
      <x:c r="FY28" s="14" t="n">
        <x:v>686</x:v>
      </x:c>
      <x:c r="FZ28" s="14" t="n">
        <x:v>55</x:v>
      </x:c>
      <x:c r="GA28" s="14" t="n">
        <x:v>14</x:v>
      </x:c>
      <x:c r="GB28" s="14" t="n">
        <x:v>3</x:v>
      </x:c>
      <x:c r="GC28" s="14" t="str">
        <x:v>未收錄</x:v>
      </x:c>
      <x:c r="GD28" s="14" t="str">
        <x:v>23153</x:v>
      </x:c>
      <x:c r="GE28" s="14" t="n">
        <x:v>8</x:v>
      </x:c>
      <x:c r="GF28" s="14" t="n">
        <x:v>687</x:v>
      </x:c>
      <x:c r="GG28" s="14" t="n">
        <x:v>56</x:v>
      </x:c>
      <x:c r="GH28" s="14" t="n">
        <x:v>14</x:v>
      </x:c>
      <x:c r="GI28" s="14" t="n">
        <x:v>4</x:v>
      </x:c>
      <x:c r="GJ28" s="14" t="str">
        <x:v>未收錄</x:v>
      </x:c>
      <x:c r="GK28" s="14" t="str">
        <x:v>22873</x:v>
      </x:c>
      <x:c r="GL28" s="14" t="n">
        <x:v>8</x:v>
      </x:c>
      <x:c r="GM28" s="14" t="n">
        <x:v>856</x:v>
      </x:c>
      <x:c r="GN28" s="14" t="n">
        <x:v>53</x:v>
      </x:c>
      <x:c r="GO28" s="14" t="n">
        <x:v>14</x:v>
      </x:c>
      <x:c r="GP28" s="14" t="n">
        <x:v>1</x:v>
      </x:c>
      <x:c r="GQ28" s="14" t="str">
        <x:v>未收錄</x:v>
      </x:c>
      <x:c r="GR28" s="14" t="str">
        <x:v>22874</x:v>
      </x:c>
      <x:c r="GS28" s="14" t="n">
        <x:v>8</x:v>
      </x:c>
      <x:c r="GT28" s="14" t="n">
        <x:v>857</x:v>
      </x:c>
      <x:c r="GU28" s="14" t="n">
        <x:v>54</x:v>
      </x:c>
      <x:c r="GV28" s="14" t="n">
        <x:v>14</x:v>
      </x:c>
      <x:c r="GW28" s="14" t="n">
        <x:v>2</x:v>
      </x:c>
      <x:c r="GX28" s="14" t="str">
        <x:v>未收錄</x:v>
      </x:c>
      <x:c r="GY28" s="14" t="str">
        <x:v>22875</x:v>
      </x:c>
      <x:c r="GZ28" s="14" t="n">
        <x:v>8</x:v>
      </x:c>
      <x:c r="HA28" s="14" t="n">
        <x:v>858</x:v>
      </x:c>
      <x:c r="HB28" s="14" t="n">
        <x:v>55</x:v>
      </x:c>
      <x:c r="HC28" s="14" t="n">
        <x:v>14</x:v>
      </x:c>
      <x:c r="HD28" s="14" t="n">
        <x:v>3</x:v>
      </x:c>
      <x:c r="HE28" s="14" t="str">
        <x:v>未收錄</x:v>
      </x:c>
      <x:c r="HF28" s="14" t="str">
        <x:v>23158</x:v>
      </x:c>
      <x:c r="HG28" s="14" t="n">
        <x:v>8</x:v>
      </x:c>
      <x:c r="HH28" s="14" t="n">
        <x:v>859</x:v>
      </x:c>
      <x:c r="HI28" s="14" t="n">
        <x:v>56</x:v>
      </x:c>
      <x:c r="HJ28" s="14" t="n">
        <x:v>14</x:v>
      </x:c>
      <x:c r="HK28" s="14" t="n">
        <x:v>4</x:v>
      </x:c>
      <x:c r="HL28" s="14" t="str">
        <x:v>未收錄</x:v>
      </x:c>
      <x:c r="HM28" s="14" t="str">
        <x:v>22134</x:v>
      </x:c>
      <x:c r="HN28" s="14" t="n">
        <x:v>8</x:v>
      </x:c>
      <x:c r="HO28" s="14" t="n">
        <x:v>1029</x:v>
      </x:c>
      <x:c r="HP28" s="14" t="n">
        <x:v>53</x:v>
      </x:c>
      <x:c r="HQ28" s="14" t="n">
        <x:v>14</x:v>
      </x:c>
      <x:c r="HR28" s="14" t="n">
        <x:v>1</x:v>
      </x:c>
      <x:c r="HS28" s="14" t="str">
        <x:v>未收錄</x:v>
      </x:c>
      <x:c r="HT28" s="14" t="str">
        <x:v>22135</x:v>
      </x:c>
      <x:c r="HU28" s="14" t="n">
        <x:v>8</x:v>
      </x:c>
      <x:c r="HV28" s="14" t="n">
        <x:v>1030</x:v>
      </x:c>
      <x:c r="HW28" s="14" t="n">
        <x:v>54</x:v>
      </x:c>
      <x:c r="HX28" s="14" t="n">
        <x:v>14</x:v>
      </x:c>
      <x:c r="HY28" s="14" t="n">
        <x:v>2</x:v>
      </x:c>
      <x:c r="HZ28" s="14" t="str">
        <x:v>未收錄</x:v>
      </x:c>
      <x:c r="IA28" s="14" t="str">
        <x:v>22663</x:v>
      </x:c>
      <x:c r="IB28" s="14" t="n">
        <x:v>8</x:v>
      </x:c>
      <x:c r="IC28" s="14" t="n">
        <x:v>1031</x:v>
      </x:c>
      <x:c r="ID28" s="14" t="n">
        <x:v>55</x:v>
      </x:c>
      <x:c r="IE28" s="14" t="n">
        <x:v>14</x:v>
      </x:c>
      <x:c r="IF28" s="14" t="n">
        <x:v>3</x:v>
      </x:c>
      <x:c r="IG28" s="14" t="str">
        <x:v>未收錄</x:v>
      </x:c>
      <x:c r="IH28" s="14" t="str">
        <x:v>22504</x:v>
      </x:c>
      <x:c r="II28" s="14" t="n">
        <x:v>8</x:v>
      </x:c>
      <x:c r="IJ28" s="14" t="n">
        <x:v>1032</x:v>
      </x:c>
      <x:c r="IK28" s="14" t="n">
        <x:v>56</x:v>
      </x:c>
      <x:c r="IL28" s="14" t="n">
        <x:v>14</x:v>
      </x:c>
      <x:c r="IM28" s="14" t="n">
        <x:v>4</x:v>
      </x:c>
      <x:c r="IN28" s="14" t="str">
        <x:v>未收錄</x:v>
      </x:c>
      <x:c r="IO28" s="14" t="str">
        <x:v>22139</x:v>
      </x:c>
      <x:c r="IP28" s="14" t="n">
        <x:v>8</x:v>
      </x:c>
      <x:c r="IQ28" s="14" t="n">
        <x:v>1197</x:v>
      </x:c>
      <x:c r="IR28" s="14" t="n">
        <x:v>53</x:v>
      </x:c>
      <x:c r="IS28" s="14" t="n">
        <x:v>14</x:v>
      </x:c>
      <x:c r="IT28" s="14" t="n">
        <x:v>1</x:v>
      </x:c>
      <x:c r="IU28" s="14" t="str">
        <x:v>未收錄</x:v>
      </x:c>
      <x:c r="IV28" s="14" t="str">
        <x:v>22140</x:v>
      </x:c>
      <x:c r="IW28" s="14" t="n">
        <x:v>8</x:v>
      </x:c>
      <x:c r="IX28" s="14" t="n">
        <x:v>1198</x:v>
      </x:c>
      <x:c r="IY28" s="14" t="n">
        <x:v>54</x:v>
      </x:c>
      <x:c r="IZ28" s="14" t="n">
        <x:v>14</x:v>
      </x:c>
      <x:c r="JA28" s="14" t="n">
        <x:v>2</x:v>
      </x:c>
      <x:c r="JB28" s="14" t="str">
        <x:v>未收錄</x:v>
      </x:c>
      <x:c r="JC28" s="14" t="str">
        <x:v>22506</x:v>
      </x:c>
      <x:c r="JD28" s="14" t="n">
        <x:v>8</x:v>
      </x:c>
      <x:c r="JE28" s="14" t="n">
        <x:v>1199</x:v>
      </x:c>
      <x:c r="JF28" s="14" t="n">
        <x:v>55</x:v>
      </x:c>
      <x:c r="JG28" s="14" t="n">
        <x:v>14</x:v>
      </x:c>
      <x:c r="JH28" s="14" t="n">
        <x:v>3</x:v>
      </x:c>
      <x:c r="JI28" s="14" t="str">
        <x:v>未收錄</x:v>
      </x:c>
      <x:c r="JJ28" s="14" t="str">
        <x:v>22994</x:v>
      </x:c>
      <x:c r="JK28" s="14" t="n">
        <x:v>8</x:v>
      </x:c>
      <x:c r="JL28" s="14" t="n">
        <x:v>1200</x:v>
      </x:c>
      <x:c r="JM28" s="14" t="n">
        <x:v>56</x:v>
      </x:c>
      <x:c r="JN28" s="14" t="n">
        <x:v>14</x:v>
      </x:c>
      <x:c r="JO28" s="14" t="n">
        <x:v>4</x:v>
      </x:c>
      <x:c r="JP28" s="14" t="str">
        <x:v>未收錄</x:v>
      </x:c>
      <x:c r="JQ28" s="14" t="str">
        <x:v>26474</x:v>
      </x:c>
      <x:c r="JR28" s="14" t="n">
        <x:v>8</x:v>
      </x:c>
      <x:c r="JS28" s="14" t="n">
        <x:v>1364</x:v>
      </x:c>
      <x:c r="JT28" s="14" t="n">
        <x:v>53</x:v>
      </x:c>
      <x:c r="JU28" s="14" t="n">
        <x:v>14</x:v>
      </x:c>
      <x:c r="JV28" s="14" t="n">
        <x:v>1</x:v>
      </x:c>
      <x:c r="JW28" s="14" t="str">
        <x:v>未收錄</x:v>
      </x:c>
      <x:c r="JX28" s="14" t="str">
        <x:v>26475</x:v>
      </x:c>
      <x:c r="JY28" s="14" t="n">
        <x:v>8</x:v>
      </x:c>
      <x:c r="JZ28" s="14" t="n">
        <x:v>1365</x:v>
      </x:c>
      <x:c r="KA28" s="14" t="n">
        <x:v>54</x:v>
      </x:c>
      <x:c r="KB28" s="14" t="n">
        <x:v>14</x:v>
      </x:c>
      <x:c r="KC28" s="14" t="n">
        <x:v>2</x:v>
      </x:c>
      <x:c r="KD28" s="14" t="str">
        <x:v>未收錄</x:v>
      </x:c>
      <x:c r="KE28" s="14" t="str">
        <x:v>26634</x:v>
      </x:c>
      <x:c r="KF28" s="14" t="n">
        <x:v>8</x:v>
      </x:c>
      <x:c r="KG28" s="14" t="n">
        <x:v>1366</x:v>
      </x:c>
      <x:c r="KH28" s="14" t="n">
        <x:v>55</x:v>
      </x:c>
      <x:c r="KI28" s="14" t="n">
        <x:v>14</x:v>
      </x:c>
      <x:c r="KJ28" s="14" t="n">
        <x:v>3</x:v>
      </x:c>
      <x:c r="KK28" s="14" t="str">
        <x:v>未收錄</x:v>
      </x:c>
      <x:c r="KL28" s="14" t="str">
        <x:v>26727</x:v>
      </x:c>
      <x:c r="KM28" s="14" t="n">
        <x:v>3</x:v>
      </x:c>
      <x:c r="KN28" s="14" t="n">
        <x:v>1367</x:v>
      </x:c>
      <x:c r="KO28" s="14" t="n">
        <x:v>56</x:v>
      </x:c>
      <x:c r="KP28" s="14" t="n">
        <x:v>14</x:v>
      </x:c>
      <x:c r="KQ28" s="14" t="n">
        <x:v>4</x:v>
      </x:c>
      <x:c r="KR28" s="14" t="str">
        <x:v>未收錄</x:v>
      </x:c>
      <x:c r="KS28" s="14" t="str">
        <x:v>26091</x:v>
      </x:c>
      <x:c r="KT28" s="14" t="n">
        <x:v>8</x:v>
      </x:c>
      <x:c r="KU28" s="14" t="n">
        <x:v>1479</x:v>
      </x:c>
      <x:c r="KV28" s="14" t="n">
        <x:v>53</x:v>
      </x:c>
      <x:c r="KW28" s="14" t="n">
        <x:v>14</x:v>
      </x:c>
      <x:c r="KX28" s="14" t="n">
        <x:v>1</x:v>
      </x:c>
      <x:c r="KY28" s="14" t="str">
        <x:v>未收錄</x:v>
      </x:c>
      <x:c r="KZ28" s="14" t="str">
        <x:v>26718</x:v>
      </x:c>
      <x:c r="LA28" s="14" t="n">
        <x:v>8</x:v>
      </x:c>
      <x:c r="LB28" s="14" t="n">
        <x:v>1480</x:v>
      </x:c>
      <x:c r="LC28" s="14" t="n">
        <x:v>54</x:v>
      </x:c>
      <x:c r="LD28" s="14" t="n">
        <x:v>14</x:v>
      </x:c>
      <x:c r="LE28" s="14" t="n">
        <x:v>2</x:v>
      </x:c>
      <x:c r="LF28" s="14" t="str">
        <x:v>未收錄</x:v>
      </x:c>
      <x:c r="LG28" s="14" t="str">
        <x:v>26636</x:v>
      </x:c>
      <x:c r="LH28" s="14" t="n">
        <x:v>8</x:v>
      </x:c>
      <x:c r="LI28" s="14" t="n">
        <x:v>1481</x:v>
      </x:c>
      <x:c r="LJ28" s="14" t="n">
        <x:v>55</x:v>
      </x:c>
      <x:c r="LK28" s="14" t="n">
        <x:v>14</x:v>
      </x:c>
      <x:c r="LL28" s="14" t="n">
        <x:v>3</x:v>
      </x:c>
      <x:c r="LM28" s="14" t="str">
        <x:v>未收錄</x:v>
      </x:c>
      <x:c r="LN28" s="14" t="str">
        <x:v>26637</x:v>
      </x:c>
      <x:c r="LO28" s="14" t="n">
        <x:v>8</x:v>
      </x:c>
      <x:c r="LP28" s="14" t="n">
        <x:v>1482</x:v>
      </x:c>
      <x:c r="LQ28" s="14" t="n">
        <x:v>56</x:v>
      </x:c>
      <x:c r="LR28" s="14" t="n">
        <x:v>14</x:v>
      </x:c>
      <x:c r="LS28" s="14" t="n">
        <x:v>4</x:v>
      </x:c>
      <x:c r="LT28" s="14" t="str">
        <x:v>未收錄</x:v>
      </x:c>
      <x:c r="LU28" s="14" t="str">
        <x:v>27070</x:v>
      </x:c>
      <x:c r="LV28" s="14" t="n">
        <x:v>8</x:v>
      </x:c>
      <x:c r="LW28" s="14" t="n">
        <x:v>1592</x:v>
      </x:c>
      <x:c r="LX28" s="14" t="n">
        <x:v>53</x:v>
      </x:c>
      <x:c r="LY28" s="14" t="n">
        <x:v>14</x:v>
      </x:c>
      <x:c r="LZ28" s="14" t="n">
        <x:v>1</x:v>
      </x:c>
      <x:c r="MA28" s="14" t="str">
        <x:v>未收錄</x:v>
      </x:c>
      <x:c r="MB28" s="14" t="str">
        <x:v>27071</x:v>
      </x:c>
      <x:c r="MC28" s="14" t="n">
        <x:v>8</x:v>
      </x:c>
      <x:c r="MD28" s="14" t="n">
        <x:v>1593</x:v>
      </x:c>
      <x:c r="ME28" s="14" t="n">
        <x:v>54</x:v>
      </x:c>
      <x:c r="MF28" s="14" t="n">
        <x:v>14</x:v>
      </x:c>
      <x:c r="MG28" s="14" t="n">
        <x:v>2</x:v>
      </x:c>
      <x:c r="MH28" s="14" t="str">
        <x:v>未收錄</x:v>
      </x:c>
      <x:c r="MI28" s="14" t="str">
        <x:v>27072</x:v>
      </x:c>
      <x:c r="MJ28" s="14" t="n">
        <x:v>8</x:v>
      </x:c>
      <x:c r="MK28" s="14" t="n">
        <x:v>1594</x:v>
      </x:c>
      <x:c r="ML28" s="14" t="n">
        <x:v>55</x:v>
      </x:c>
      <x:c r="MM28" s="14" t="n">
        <x:v>14</x:v>
      </x:c>
      <x:c r="MN28" s="14" t="n">
        <x:v>3</x:v>
      </x:c>
      <x:c r="MO28" s="14" t="str">
        <x:v>未收錄</x:v>
      </x:c>
      <x:c r="MP28" s="14" t="str">
        <x:v>27073</x:v>
      </x:c>
      <x:c r="MQ28" s="14" t="n">
        <x:v>8</x:v>
      </x:c>
      <x:c r="MR28" s="14" t="n">
        <x:v>1595</x:v>
      </x:c>
      <x:c r="MS28" s="14" t="n">
        <x:v>56</x:v>
      </x:c>
      <x:c r="MT28" s="14" t="n">
        <x:v>14</x:v>
      </x:c>
      <x:c r="MU28" s="14" t="n">
        <x:v>4</x:v>
      </x:c>
      <x:c r="MV28" s="14" t="str">
        <x:v>未收錄</x:v>
      </x:c>
      <x:c r="MW28" s="14" t="str">
        <x:v>21417</x:v>
      </x:c>
      <x:c r="MX28" s="14" t="n">
        <x:v>1</x:v>
      </x:c>
      <x:c r="MY28" s="14" t="n">
        <x:v>1701</x:v>
      </x:c>
      <x:c r="MZ28" s="14" t="n">
        <x:v>53</x:v>
      </x:c>
      <x:c r="NA28" s="14" t="n">
        <x:v>14</x:v>
      </x:c>
      <x:c r="NB28" s="14" t="n">
        <x:v>1</x:v>
      </x:c>
      <x:c r="NC28" s="14" t="str">
        <x:v>未收錄</x:v>
      </x:c>
      <x:c r="ND28" s="14" t="str">
        <x:v>21418</x:v>
      </x:c>
      <x:c r="NE28" s="14" t="n">
        <x:v>1</x:v>
      </x:c>
      <x:c r="NF28" s="14" t="n">
        <x:v>1702</x:v>
      </x:c>
      <x:c r="NG28" s="14" t="n">
        <x:v>54</x:v>
      </x:c>
      <x:c r="NH28" s="14" t="n">
        <x:v>14</x:v>
      </x:c>
      <x:c r="NI28" s="14" t="n">
        <x:v>2</x:v>
      </x:c>
      <x:c r="NJ28" s="14" t="str">
        <x:v>未收錄</x:v>
      </x:c>
      <x:c r="NK28" s="14" t="str">
        <x:v>21419</x:v>
      </x:c>
      <x:c r="NL28" s="14" t="n">
        <x:v>1</x:v>
      </x:c>
      <x:c r="NM28" s="14" t="n">
        <x:v>1703</x:v>
      </x:c>
      <x:c r="NN28" s="14" t="n">
        <x:v>55</x:v>
      </x:c>
      <x:c r="NO28" s="14" t="n">
        <x:v>14</x:v>
      </x:c>
      <x:c r="NP28" s="14" t="n">
        <x:v>3</x:v>
      </x:c>
      <x:c r="NQ28" s="14" t="str">
        <x:v>未收錄</x:v>
      </x:c>
      <x:c r="NR28" s="14" t="str">
        <x:v>20265</x:v>
      </x:c>
      <x:c r="NS28" s="14" t="n">
        <x:v>2</x:v>
      </x:c>
      <x:c r="NT28" s="14" t="n">
        <x:v>1704</x:v>
      </x:c>
      <x:c r="NU28" s="14" t="n">
        <x:v>56</x:v>
      </x:c>
      <x:c r="NV28" s="14" t="n">
        <x:v>14</x:v>
      </x:c>
      <x:c r="NW28" s="14" t="n">
        <x:v>4</x:v>
      </x:c>
      <x:c r="NX28" s="14" t="str">
        <x:v>未收錄</x:v>
      </x:c>
      <x:c r="NY28" s="14" t="str">
        <x:v>20632</x:v>
      </x:c>
      <x:c r="NZ28" s="14" t="n">
        <x:v>2</x:v>
      </x:c>
      <x:c r="OA28" s="14" t="n">
        <x:v>2154</x:v>
      </x:c>
      <x:c r="OB28" s="14" t="n">
        <x:v>53</x:v>
      </x:c>
      <x:c r="OC28" s="14" t="n">
        <x:v>14</x:v>
      </x:c>
      <x:c r="OD28" s="14" t="n">
        <x:v>1</x:v>
      </x:c>
      <x:c r="OE28" s="14" t="str">
        <x:v>未收錄</x:v>
      </x:c>
      <x:c r="OF28" s="14" t="str">
        <x:v>20467</x:v>
      </x:c>
      <x:c r="OG28" s="14" t="n">
        <x:v>2</x:v>
      </x:c>
      <x:c r="OH28" s="14" t="n">
        <x:v>2155</x:v>
      </x:c>
      <x:c r="OI28" s="14" t="n">
        <x:v>54</x:v>
      </x:c>
      <x:c r="OJ28" s="14" t="n">
        <x:v>14</x:v>
      </x:c>
      <x:c r="OK28" s="14" t="n">
        <x:v>2</x:v>
      </x:c>
      <x:c r="OL28" s="14" t="str">
        <x:v>未收錄</x:v>
      </x:c>
      <x:c r="OM28" s="14" t="str">
        <x:v>24686</x:v>
      </x:c>
      <x:c r="ON28" s="14" t="n">
        <x:v>2</x:v>
      </x:c>
      <x:c r="OO28" s="14" t="n">
        <x:v>2156</x:v>
      </x:c>
      <x:c r="OP28" s="14" t="n">
        <x:v>55</x:v>
      </x:c>
      <x:c r="OQ28" s="14" t="n">
        <x:v>14</x:v>
      </x:c>
      <x:c r="OR28" s="14" t="n">
        <x:v>3</x:v>
      </x:c>
      <x:c r="OS28" s="14" t="str">
        <x:v>未收錄</x:v>
      </x:c>
      <x:c r="OT28" s="14" t="str">
        <x:v>26112</x:v>
      </x:c>
      <x:c r="OU28" s="14" t="n">
        <x:v>2</x:v>
      </x:c>
      <x:c r="OV28" s="14" t="n">
        <x:v>2157</x:v>
      </x:c>
      <x:c r="OW28" s="14" t="n">
        <x:v>56</x:v>
      </x:c>
      <x:c r="OX28" s="14" t="n">
        <x:v>14</x:v>
      </x:c>
      <x:c r="OY28" s="14" t="n">
        <x:v>4</x:v>
      </x:c>
      <x:c r="OZ28" s="14" t="str">
        <x:v>未收錄</x:v>
      </x:c>
      <x:c r="PA28" s="14" t="str">
        <x:v>21255</x:v>
      </x:c>
      <x:c r="PB28" s="14" t="n">
        <x:v>5</x:v>
      </x:c>
      <x:c r="PC28" s="14" t="n">
        <x:v>2700</x:v>
      </x:c>
      <x:c r="PD28" s="14" t="n">
        <x:v>53</x:v>
      </x:c>
      <x:c r="PE28" s="14" t="n">
        <x:v>14</x:v>
      </x:c>
      <x:c r="PF28" s="14" t="n">
        <x:v>1</x:v>
      </x:c>
      <x:c r="PG28" s="14" t="str">
        <x:v>未收錄</x:v>
      </x:c>
      <x:c r="PH28" s="14" t="str">
        <x:v>21256</x:v>
      </x:c>
      <x:c r="PI28" s="14" t="n">
        <x:v>5</x:v>
      </x:c>
      <x:c r="PJ28" s="14" t="n">
        <x:v>2701</x:v>
      </x:c>
      <x:c r="PK28" s="14" t="n">
        <x:v>54</x:v>
      </x:c>
      <x:c r="PL28" s="14" t="n">
        <x:v>14</x:v>
      </x:c>
      <x:c r="PM28" s="14" t="n">
        <x:v>2</x:v>
      </x:c>
      <x:c r="PN28" s="14" t="str">
        <x:v>未收錄</x:v>
      </x:c>
      <x:c r="PO28" s="14" t="str">
        <x:v>21257</x:v>
      </x:c>
      <x:c r="PP28" s="14" t="n">
        <x:v>5</x:v>
      </x:c>
      <x:c r="PQ28" s="14" t="n">
        <x:v>2702</x:v>
      </x:c>
      <x:c r="PR28" s="14" t="n">
        <x:v>55</x:v>
      </x:c>
      <x:c r="PS28" s="14" t="n">
        <x:v>14</x:v>
      </x:c>
      <x:c r="PT28" s="14" t="n">
        <x:v>3</x:v>
      </x:c>
      <x:c r="PU28" s="14" t="str">
        <x:v>未收錄</x:v>
      </x:c>
      <x:c r="PV28" s="14" t="str">
        <x:v>21258</x:v>
      </x:c>
      <x:c r="PW28" s="14" t="n">
        <x:v>5</x:v>
      </x:c>
      <x:c r="PX28" s="14" t="n">
        <x:v>2703</x:v>
      </x:c>
      <x:c r="PY28" s="14" t="n">
        <x:v>56</x:v>
      </x:c>
      <x:c r="PZ28" s="14" t="n">
        <x:v>14</x:v>
      </x:c>
      <x:c r="QA28" s="14" t="n">
        <x:v>4</x:v>
      </x:c>
      <x:c r="QB28" s="14" t="str">
        <x:v>未收錄</x:v>
      </x:c>
      <x:c r="QC28" s="14" t="str">
        <x:v>21155</x:v>
      </x:c>
      <x:c r="QD28" s="14" t="n">
        <x:v>5</x:v>
      </x:c>
      <x:c r="QE28" s="14" t="n">
        <x:v>3137</x:v>
      </x:c>
      <x:c r="QF28" s="14" t="n">
        <x:v>53</x:v>
      </x:c>
      <x:c r="QG28" s="14" t="n">
        <x:v>14</x:v>
      </x:c>
      <x:c r="QH28" s="14" t="n">
        <x:v>1</x:v>
      </x:c>
      <x:c r="QI28" s="14" t="str">
        <x:v>未收錄</x:v>
      </x:c>
      <x:c r="QJ28" s="14" t="str">
        <x:v>21156</x:v>
      </x:c>
      <x:c r="QK28" s="14" t="n">
        <x:v>5</x:v>
      </x:c>
      <x:c r="QL28" s="14" t="n">
        <x:v>3138</x:v>
      </x:c>
      <x:c r="QM28" s="14" t="n">
        <x:v>54</x:v>
      </x:c>
      <x:c r="QN28" s="14" t="n">
        <x:v>14</x:v>
      </x:c>
      <x:c r="QO28" s="14" t="n">
        <x:v>2</x:v>
      </x:c>
      <x:c r="QP28" s="14" t="str">
        <x:v>未收錄</x:v>
      </x:c>
      <x:c r="QQ28" s="14" t="str">
        <x:v>21157</x:v>
      </x:c>
      <x:c r="QR28" s="14" t="n">
        <x:v>5</x:v>
      </x:c>
      <x:c r="QS28" s="14" t="n">
        <x:v>3139</x:v>
      </x:c>
      <x:c r="QT28" s="14" t="n">
        <x:v>55</x:v>
      </x:c>
      <x:c r="QU28" s="14" t="n">
        <x:v>14</x:v>
      </x:c>
      <x:c r="QV28" s="14" t="n">
        <x:v>3</x:v>
      </x:c>
      <x:c r="QW28" s="14" t="str">
        <x:v>未收錄</x:v>
      </x:c>
      <x:c r="QX28" s="14" t="str">
        <x:v>21158</x:v>
      </x:c>
      <x:c r="QY28" s="14" t="n">
        <x:v>5</x:v>
      </x:c>
      <x:c r="QZ28" s="14" t="n">
        <x:v>3140</x:v>
      </x:c>
      <x:c r="RA28" s="14" t="n">
        <x:v>56</x:v>
      </x:c>
      <x:c r="RB28" s="14" t="n">
        <x:v>14</x:v>
      </x:c>
      <x:c r="RC28" s="14" t="n">
        <x:v>4</x:v>
      </x:c>
      <x:c r="RD28" s="14" t="str">
        <x:v>未收錄</x:v>
      </x:c>
      <x:c r="RE28" s="14" t="str">
        <x:v>20642</x:v>
      </x:c>
      <x:c r="RF28" s="14" t="n">
        <x:v>5</x:v>
      </x:c>
      <x:c r="RG28" s="14" t="n">
        <x:v>3598</x:v>
      </x:c>
      <x:c r="RH28" s="14" t="n">
        <x:v>53</x:v>
      </x:c>
      <x:c r="RI28" s="14" t="n">
        <x:v>14</x:v>
      </x:c>
      <x:c r="RJ28" s="14" t="n">
        <x:v>1</x:v>
      </x:c>
      <x:c r="RK28" s="14" t="str">
        <x:v>未收錄</x:v>
      </x:c>
      <x:c r="RL28" s="14" t="str">
        <x:v>20643</x:v>
      </x:c>
      <x:c r="RM28" s="14" t="n">
        <x:v>5</x:v>
      </x:c>
      <x:c r="RN28" s="14" t="n">
        <x:v>3599</x:v>
      </x:c>
      <x:c r="RO28" s="14" t="n">
        <x:v>54</x:v>
      </x:c>
      <x:c r="RP28" s="14" t="n">
        <x:v>14</x:v>
      </x:c>
      <x:c r="RQ28" s="14" t="n">
        <x:v>2</x:v>
      </x:c>
      <x:c r="RR28" s="14" t="str">
        <x:v>未收錄</x:v>
      </x:c>
      <x:c r="RS28" s="14" t="str">
        <x:v>20644</x:v>
      </x:c>
      <x:c r="RT28" s="14" t="n">
        <x:v>5</x:v>
      </x:c>
      <x:c r="RU28" s="14" t="n">
        <x:v>3600</x:v>
      </x:c>
      <x:c r="RV28" s="14" t="n">
        <x:v>55</x:v>
      </x:c>
      <x:c r="RW28" s="14" t="n">
        <x:v>14</x:v>
      </x:c>
      <x:c r="RX28" s="14" t="n">
        <x:v>3</x:v>
      </x:c>
      <x:c r="RY28" s="14" t="str">
        <x:v>未收錄</x:v>
      </x:c>
      <x:c r="RZ28" s="14" t="str">
        <x:v>20645</x:v>
      </x:c>
      <x:c r="SA28" s="14" t="n">
        <x:v>5</x:v>
      </x:c>
      <x:c r="SB28" s="14" t="n">
        <x:v>3601</x:v>
      </x:c>
      <x:c r="SC28" s="14" t="n">
        <x:v>56</x:v>
      </x:c>
      <x:c r="SD28" s="14" t="n">
        <x:v>14</x:v>
      </x:c>
      <x:c r="SE28" s="14" t="n">
        <x:v>4</x:v>
      </x:c>
      <x:c r="SF28" s="14" t="str">
        <x:v>未收錄</x:v>
      </x:c>
      <x:c r="SG28" s="14" t="str">
        <x:v>23065</x:v>
      </x:c>
      <x:c r="SH28" s="14" t="n">
        <x:v>15</x:v>
      </x:c>
      <x:c r="SI28" s="14" t="n">
        <x:v>4022</x:v>
      </x:c>
      <x:c r="SJ28" s="14" t="n">
        <x:v>53</x:v>
      </x:c>
      <x:c r="SK28" s="14" t="n">
        <x:v>14</x:v>
      </x:c>
      <x:c r="SL28" s="14" t="n">
        <x:v>1</x:v>
      </x:c>
      <x:c r="SM28" s="14" t="str">
        <x:v>未收錄</x:v>
      </x:c>
      <x:c r="SN28" s="14" t="str">
        <x:v>29269</x:v>
      </x:c>
      <x:c r="SO28" s="14" t="n">
        <x:v>15</x:v>
      </x:c>
      <x:c r="SP28" s="14" t="n">
        <x:v>4023</x:v>
      </x:c>
      <x:c r="SQ28" s="14" t="n">
        <x:v>54</x:v>
      </x:c>
      <x:c r="SR28" s="14" t="n">
        <x:v>14</x:v>
      </x:c>
      <x:c r="SS28" s="14" t="n">
        <x:v>2</x:v>
      </x:c>
      <x:c r="ST28" s="14" t="str">
        <x:v>未收錄</x:v>
      </x:c>
      <x:c r="SU28" s="14" t="str">
        <x:v>27473</x:v>
      </x:c>
      <x:c r="SV28" s="14" t="n">
        <x:v>15</x:v>
      </x:c>
      <x:c r="SW28" s="14" t="n">
        <x:v>4024</x:v>
      </x:c>
      <x:c r="SX28" s="14" t="n">
        <x:v>55</x:v>
      </x:c>
      <x:c r="SY28" s="14" t="n">
        <x:v>14</x:v>
      </x:c>
      <x:c r="SZ28" s="14" t="n">
        <x:v>3</x:v>
      </x:c>
      <x:c r="TA28" s="14" t="str">
        <x:v>未收錄</x:v>
      </x:c>
      <x:c r="TB28" s="14" t="str">
        <x:v>27538</x:v>
      </x:c>
      <x:c r="TC28" s="14" t="n">
        <x:v>15</x:v>
      </x:c>
      <x:c r="TD28" s="14" t="n">
        <x:v>4025</x:v>
      </x:c>
      <x:c r="TE28" s="14" t="n">
        <x:v>56</x:v>
      </x:c>
      <x:c r="TF28" s="14" t="n">
        <x:v>14</x:v>
      </x:c>
      <x:c r="TG28" s="14" t="n">
        <x:v>4</x:v>
      </x:c>
      <x:c r="TH28" s="14" t="str">
        <x:v>未收錄</x:v>
      </x:c>
    </x:row>
    <x:row r="29" ht="15" customHeight="1">
      <x:c r="A29" s="17" t="str">
        <x:v>追魂劍</x:v>
      </x:c>
      <x:c r="B29" s="17" t="str">
        <x:v>靈猿劍</x:v>
      </x:c>
      <x:c r="C29" s="17" t="str">
        <x:v>冰鏡劍</x:v>
      </x:c>
      <x:c r="D29" s="17" t="str">
        <x:v>地靈冰鏡劍</x:v>
      </x:c>
      <x:c r="E29" s="14"/>
      <x:c r="F29" s="17" t="str">
        <x:v>侍衛刀</x:v>
      </x:c>
      <x:c r="G29" s="17" t="str">
        <x:v>紅蓮刀</x:v>
      </x:c>
      <x:c r="H29" s="17" t="str">
        <x:v>洛花刀</x:v>
      </x:c>
      <x:c r="I29" s="17" t="str">
        <x:v>船王刀</x:v>
      </x:c>
      <x:c r="J29" s="14"/>
      <x:c r="K29" s="17" t="str">
        <x:v>破邪聖衛飛環</x:v>
      </x:c>
      <x:c r="L29" s="17" t="str">
        <x:v>伏妖聖衛飛環</x:v>
      </x:c>
      <x:c r="M29" s="17" t="str">
        <x:v>烈空聖衛飛環</x:v>
      </x:c>
      <x:c r="N29" s="17" t="str">
        <x:v>雷霆玉</x:v>
      </x:c>
      <x:c r="O29" s="14"/>
      <x:c r="P29" s="17" t="str">
        <x:v>瑤台拂塵</x:v>
      </x:c>
      <x:c r="Q29" s="17" t="str">
        <x:v>淨律羽拂</x:v>
      </x:c>
      <x:c r="R29" s="17" t="str">
        <x:v>婆羅門羽拂</x:v>
      </x:c>
      <x:c r="S29" s="17" t="str">
        <x:v>迦樓羅羽拂</x:v>
      </x:c>
      <x:c r="T29" s="14"/>
      <x:c r="U29" s="17" t="str">
        <x:v>諸法空相杖</x:v>
      </x:c>
      <x:c r="V29" s="17" t="str">
        <x:v>不生不滅杖</x:v>
      </x:c>
      <x:c r="W29" s="17" t="str">
        <x:v>如來聖杖</x:v>
      </x:c>
      <x:c r="X29" s="17" t="str">
        <x:v>究竟涅槃杖</x:v>
      </x:c>
      <x:c r="Y29" s="14"/>
      <x:c r="Z29" s="17" t="str">
        <x:v>無雙十文字槍</x:v>
      </x:c>
      <x:c r="AA29" s="17" t="str">
        <x:v>菊宗澤紋槍</x:v>
      </x:c>
      <x:c r="AB29" s="17" t="str">
        <x:v>灼焰紅蓮槍</x:v>
      </x:c>
      <x:c r="AC29" s="17" t="str">
        <x:v>稻妻蒼雷槍</x:v>
      </x:c>
      <x:c r="AD29" s="14"/>
      <x:c r="AE29" s="17" t="str">
        <x:v>川岐棍</x:v>
      </x:c>
      <x:c r="AF29" s="17" t="str">
        <x:v>奇稻田櫛棍</x:v>
      </x:c>
      <x:c r="AG29" s="17" t="str">
        <x:v>仁王碎鋼棍</x:v>
      </x:c>
      <x:c r="AH29" s="17" t="str">
        <x:v>明王破岩棍</x:v>
      </x:c>
      <x:c r="AI29" s="14"/>
      <x:c r="AJ29" s="17" t="str">
        <x:v>玉簇龍晶錘</x:v>
      </x:c>
      <x:c r="AK29" s="17" t="str">
        <x:v>太古玉簇龍晶錘</x:v>
      </x:c>
      <x:c r="AL29" s="17" t="str">
        <x:v>天鍛‧轟雷錘</x:v>
      </x:c>
      <x:c r="AM29" s="17" t="str">
        <x:v>仙鑄‧轟雷錘</x:v>
      </x:c>
      <x:c r="AN29" s="14"/>
      <x:c r="AO29" s="17" t="str">
        <x:v>天鍛‧龍塵斧</x:v>
      </x:c>
      <x:c r="AP29" s="17" t="str">
        <x:v>仙鑄‧龍塵斧</x:v>
      </x:c>
      <x:c r="AQ29" s="17" t="str">
        <x:v>神煉‧龍塵斧</x:v>
      </x:c>
      <x:c r="AR29" s="17" t="str">
        <x:v>宇傲‧龍塵斧</x:v>
      </x:c>
      <x:c r="AS29" s="14"/>
      <x:c r="AT29" s="17" t="str">
        <x:v>峻霆‧風雷盾</x:v>
      </x:c>
      <x:c r="AU29" s="17" t="str">
        <x:v>窮極‧風雷盾</x:v>
      </x:c>
      <x:c r="AV29" s="17" t="str">
        <x:v>元宙‧風雷盾</x:v>
      </x:c>
      <x:c r="AW29" s="17" t="str">
        <x:v>真宇傲風雷盾</x:v>
      </x:c>
      <x:c r="AX29" s="14"/>
      <x:c r="AY29" s="17" t="str">
        <x:v>夜叉頭巾</x:v>
      </x:c>
      <x:c r="AZ29" s="17" t="str">
        <x:v>羊骨獸盔</x:v>
      </x:c>
      <x:c r="BA29" s="17" t="str">
        <x:v>狂戰將面具</x:v>
      </x:c>
      <x:c r="BB29" s="17" t="str">
        <x:v>征西戰帽</x:v>
      </x:c>
      <x:c r="BC29" s="14"/>
      <x:c r="BD29" s="17" t="str">
        <x:v>異空戰衣</x:v>
      </x:c>
      <x:c r="BE29" s="17" t="str">
        <x:v>艾濟儀甲</x:v>
      </x:c>
      <x:c r="BF29" s="17" t="str">
        <x:v>皇衛戰甲</x:v>
      </x:c>
      <x:c r="BG29" s="17" t="str">
        <x:v>長疆戰甲</x:v>
      </x:c>
      <x:c r="BH29" s="14"/>
      <x:c r="BI29" s="17" t="str">
        <x:v>黑石護腕</x:v>
      </x:c>
      <x:c r="BJ29" s="17" t="str">
        <x:v>黑武護腕</x:v>
      </x:c>
      <x:c r="BK29" s="17" t="str">
        <x:v>黑捷護腕</x:v>
      </x:c>
      <x:c r="BL29" s="17" t="str">
        <x:v>血翼護腕</x:v>
      </x:c>
      <x:c r="BM29" s="14"/>
      <x:c r="BN29" s="17" t="str">
        <x:v>龍骨靴</x:v>
      </x:c>
      <x:c r="BO29" s="17" t="str">
        <x:v>鯊皮靴</x:v>
      </x:c>
      <x:c r="BP29" s="17" t="str">
        <x:v>黑石戰靴</x:v>
      </x:c>
      <x:c r="BQ29" s="17" t="str">
        <x:v>黑武戰靴</x:v>
      </x:c>
      <x:c r="BR29" s="14"/>
      <x:c r="BS29" s="17" t="str">
        <x:v>四象護符</x:v>
      </x:c>
      <x:c r="BT29" s="17" t="str">
        <x:v>四王佛珠</x:v>
      </x:c>
      <x:c r="BU29" s="17" t="str">
        <x:v>八卦護符</x:v>
      </x:c>
      <x:c r="BV29" s="17" t="str">
        <x:v>八方佛珠</x:v>
      </x:c>
      <x:c r="BW29" s="14"/>
      <x:c r="BX29" s="17" t="str">
        <x:v>妄史虛誕志</x:v>
      </x:c>
      <x:c r="BY29" s="17" t="str">
        <x:v>絢華仙櫻陣</x:v>
      </x:c>
      <x:c r="BZ29" s="17" t="str">
        <x:v>淨流仙葉陣</x:v>
      </x:c>
      <x:c r="CA29" s="17" t="str">
        <x:v>絕凜仙雪陣</x:v>
      </x:c>
      <x:c r="CB29" s="14"/>
      <x:c r="CC29" s="14" t="str">
        <x:v>21558</x:v>
      </x:c>
      <x:c r="CD29" s="14" t="n">
        <x:v>3</x:v>
      </x:c>
      <x:c r="CE29" s="14" t="n">
        <x:v>57</x:v>
      </x:c>
      <x:c r="CF29" s="14" t="n">
        <x:v>57</x:v>
      </x:c>
      <x:c r="CG29" s="14" t="n">
        <x:v>15</x:v>
      </x:c>
      <x:c r="CH29" s="14" t="n">
        <x:v>1</x:v>
      </x:c>
      <x:c r="CI29" s="14" t="str">
        <x:v>未收錄</x:v>
      </x:c>
      <x:c r="CJ29" s="14" t="str">
        <x:v>21559</x:v>
      </x:c>
      <x:c r="CK29" s="14" t="n">
        <x:v>3</x:v>
      </x:c>
      <x:c r="CL29" s="14" t="n">
        <x:v>58</x:v>
      </x:c>
      <x:c r="CM29" s="14" t="n">
        <x:v>58</x:v>
      </x:c>
      <x:c r="CN29" s="14" t="n">
        <x:v>15</x:v>
      </x:c>
      <x:c r="CO29" s="14" t="n">
        <x:v>2</x:v>
      </x:c>
      <x:c r="CP29" s="14" t="str">
        <x:v>未收錄</x:v>
      </x:c>
      <x:c r="CQ29" s="14" t="str">
        <x:v>20761</x:v>
      </x:c>
      <x:c r="CR29" s="14" t="n">
        <x:v>8</x:v>
      </x:c>
      <x:c r="CS29" s="14" t="n">
        <x:v>59</x:v>
      </x:c>
      <x:c r="CT29" s="14" t="n">
        <x:v>59</x:v>
      </x:c>
      <x:c r="CU29" s="14" t="n">
        <x:v>15</x:v>
      </x:c>
      <x:c r="CV29" s="14" t="n">
        <x:v>3</x:v>
      </x:c>
      <x:c r="CW29" s="14" t="str">
        <x:v>未收錄</x:v>
      </x:c>
      <x:c r="CX29" s="14" t="str">
        <x:v>21991</x:v>
      </x:c>
      <x:c r="CY29" s="14" t="n">
        <x:v>8</x:v>
      </x:c>
      <x:c r="CZ29" s="14" t="n">
        <x:v>60</x:v>
      </x:c>
      <x:c r="DA29" s="14" t="n">
        <x:v>60</x:v>
      </x:c>
      <x:c r="DB29" s="14" t="n">
        <x:v>15</x:v>
      </x:c>
      <x:c r="DC29" s="14" t="n">
        <x:v>4</x:v>
      </x:c>
      <x:c r="DD29" s="14" t="str">
        <x:v>未收錄</x:v>
      </x:c>
      <x:c r="DE29" s="14" t="str">
        <x:v>20774</x:v>
      </x:c>
      <x:c r="DF29" s="14" t="n">
        <x:v>8</x:v>
      </x:c>
      <x:c r="DG29" s="14" t="n">
        <x:v>302</x:v>
      </x:c>
      <x:c r="DH29" s="14" t="n">
        <x:v>57</x:v>
      </x:c>
      <x:c r="DI29" s="14" t="n">
        <x:v>15</x:v>
      </x:c>
      <x:c r="DJ29" s="14" t="n">
        <x:v>1</x:v>
      </x:c>
      <x:c r="DK29" s="14" t="str">
        <x:v>未收錄</x:v>
      </x:c>
      <x:c r="DL29" s="14" t="str">
        <x:v>21078</x:v>
      </x:c>
      <x:c r="DM29" s="14" t="n">
        <x:v>8</x:v>
      </x:c>
      <x:c r="DN29" s="14" t="n">
        <x:v>303</x:v>
      </x:c>
      <x:c r="DO29" s="14" t="n">
        <x:v>58</x:v>
      </x:c>
      <x:c r="DP29" s="14" t="n">
        <x:v>15</x:v>
      </x:c>
      <x:c r="DQ29" s="14" t="n">
        <x:v>2</x:v>
      </x:c>
      <x:c r="DR29" s="14" t="str">
        <x:v>未收錄</x:v>
      </x:c>
      <x:c r="DS29" s="14" t="str">
        <x:v>21079</x:v>
      </x:c>
      <x:c r="DT29" s="14" t="n">
        <x:v>8</x:v>
      </x:c>
      <x:c r="DU29" s="14" t="n">
        <x:v>304</x:v>
      </x:c>
      <x:c r="DV29" s="14" t="n">
        <x:v>59</x:v>
      </x:c>
      <x:c r="DW29" s="14" t="n">
        <x:v>15</x:v>
      </x:c>
      <x:c r="DX29" s="14" t="n">
        <x:v>3</x:v>
      </x:c>
      <x:c r="DY29" s="14" t="str">
        <x:v>未收錄</x:v>
      </x:c>
      <x:c r="DZ29" s="14" t="str">
        <x:v>21080</x:v>
      </x:c>
      <x:c r="EA29" s="14" t="n">
        <x:v>8</x:v>
      </x:c>
      <x:c r="EB29" s="14" t="n">
        <x:v>305</x:v>
      </x:c>
      <x:c r="EC29" s="14" t="n">
        <x:v>60</x:v>
      </x:c>
      <x:c r="ED29" s="14" t="n">
        <x:v>15</x:v>
      </x:c>
      <x:c r="EE29" s="14" t="n">
        <x:v>4</x:v>
      </x:c>
      <x:c r="EF29" s="14" t="str">
        <x:v>未收錄</x:v>
      </x:c>
      <x:c r="EG29" s="14" t="str">
        <x:v>26461</x:v>
      </x:c>
      <x:c r="EH29" s="14" t="n">
        <x:v>8</x:v>
      </x:c>
      <x:c r="EI29" s="14" t="n">
        <x:v>538</x:v>
      </x:c>
      <x:c r="EJ29" s="14" t="n">
        <x:v>57</x:v>
      </x:c>
      <x:c r="EK29" s="14" t="n">
        <x:v>15</x:v>
      </x:c>
      <x:c r="EL29" s="14" t="n">
        <x:v>1</x:v>
      </x:c>
      <x:c r="EM29" s="14" t="str">
        <x:v>未收錄</x:v>
      </x:c>
      <x:c r="EN29" s="14" t="str">
        <x:v>26462</x:v>
      </x:c>
      <x:c r="EO29" s="14" t="n">
        <x:v>8</x:v>
      </x:c>
      <x:c r="EP29" s="14" t="n">
        <x:v>539</x:v>
      </x:c>
      <x:c r="EQ29" s="14" t="n">
        <x:v>58</x:v>
      </x:c>
      <x:c r="ER29" s="14" t="n">
        <x:v>15</x:v>
      </x:c>
      <x:c r="ES29" s="14" t="n">
        <x:v>2</x:v>
      </x:c>
      <x:c r="ET29" s="14" t="str">
        <x:v>未收錄</x:v>
      </x:c>
      <x:c r="EU29" s="14" t="str">
        <x:v>26463</x:v>
      </x:c>
      <x:c r="EV29" s="14" t="n">
        <x:v>8</x:v>
      </x:c>
      <x:c r="EW29" s="14" t="n">
        <x:v>540</x:v>
      </x:c>
      <x:c r="EX29" s="14" t="n">
        <x:v>59</x:v>
      </x:c>
      <x:c r="EY29" s="14" t="n">
        <x:v>15</x:v>
      </x:c>
      <x:c r="EZ29" s="14" t="n">
        <x:v>3</x:v>
      </x:c>
      <x:c r="FA29" s="14" t="str">
        <x:v>未收錄</x:v>
      </x:c>
      <x:c r="FB29" s="14" t="str">
        <x:v>26624</x:v>
      </x:c>
      <x:c r="FC29" s="14" t="n">
        <x:v>8</x:v>
      </x:c>
      <x:c r="FD29" s="14" t="n">
        <x:v>541</x:v>
      </x:c>
      <x:c r="FE29" s="14" t="n">
        <x:v>60</x:v>
      </x:c>
      <x:c r="FF29" s="14" t="n">
        <x:v>15</x:v>
      </x:c>
      <x:c r="FG29" s="14" t="n">
        <x:v>4</x:v>
      </x:c>
      <x:c r="FH29" s="14" t="str">
        <x:v>未收錄</x:v>
      </x:c>
      <x:c r="FI29" s="14" t="str">
        <x:v>23154</x:v>
      </x:c>
      <x:c r="FJ29" s="14" t="n">
        <x:v>8</x:v>
      </x:c>
      <x:c r="FK29" s="14" t="n">
        <x:v>688</x:v>
      </x:c>
      <x:c r="FL29" s="14" t="n">
        <x:v>57</x:v>
      </x:c>
      <x:c r="FM29" s="14" t="n">
        <x:v>15</x:v>
      </x:c>
      <x:c r="FN29" s="14" t="n">
        <x:v>1</x:v>
      </x:c>
      <x:c r="FO29" s="14" t="str">
        <x:v>未收錄</x:v>
      </x:c>
      <x:c r="FP29" s="14" t="str">
        <x:v>23155</x:v>
      </x:c>
      <x:c r="FQ29" s="14" t="n">
        <x:v>8</x:v>
      </x:c>
      <x:c r="FR29" s="14" t="n">
        <x:v>689</x:v>
      </x:c>
      <x:c r="FS29" s="14" t="n">
        <x:v>58</x:v>
      </x:c>
      <x:c r="FT29" s="14" t="n">
        <x:v>15</x:v>
      </x:c>
      <x:c r="FU29" s="14" t="n">
        <x:v>2</x:v>
      </x:c>
      <x:c r="FV29" s="14" t="str">
        <x:v>未收錄</x:v>
      </x:c>
      <x:c r="FW29" s="14" t="str">
        <x:v>23156</x:v>
      </x:c>
      <x:c r="FX29" s="14" t="n">
        <x:v>8</x:v>
      </x:c>
      <x:c r="FY29" s="14" t="n">
        <x:v>690</x:v>
      </x:c>
      <x:c r="FZ29" s="14" t="n">
        <x:v>59</x:v>
      </x:c>
      <x:c r="GA29" s="14" t="n">
        <x:v>15</x:v>
      </x:c>
      <x:c r="GB29" s="14" t="n">
        <x:v>3</x:v>
      </x:c>
      <x:c r="GC29" s="14" t="str">
        <x:v>未收錄</x:v>
      </x:c>
      <x:c r="GD29" s="14" t="str">
        <x:v>23157</x:v>
      </x:c>
      <x:c r="GE29" s="14" t="n">
        <x:v>8</x:v>
      </x:c>
      <x:c r="GF29" s="14" t="n">
        <x:v>691</x:v>
      </x:c>
      <x:c r="GG29" s="14" t="n">
        <x:v>60</x:v>
      </x:c>
      <x:c r="GH29" s="14" t="n">
        <x:v>15</x:v>
      </x:c>
      <x:c r="GI29" s="14" t="n">
        <x:v>4</x:v>
      </x:c>
      <x:c r="GJ29" s="14" t="str">
        <x:v>未收錄</x:v>
      </x:c>
      <x:c r="GK29" s="14" t="str">
        <x:v>23159</x:v>
      </x:c>
      <x:c r="GL29" s="14" t="n">
        <x:v>8</x:v>
      </x:c>
      <x:c r="GM29" s="14" t="n">
        <x:v>860</x:v>
      </x:c>
      <x:c r="GN29" s="14" t="n">
        <x:v>57</x:v>
      </x:c>
      <x:c r="GO29" s="14" t="n">
        <x:v>15</x:v>
      </x:c>
      <x:c r="GP29" s="14" t="n">
        <x:v>1</x:v>
      </x:c>
      <x:c r="GQ29" s="14" t="str">
        <x:v>未收錄</x:v>
      </x:c>
      <x:c r="GR29" s="14" t="str">
        <x:v>23160</x:v>
      </x:c>
      <x:c r="GS29" s="14" t="n">
        <x:v>8</x:v>
      </x:c>
      <x:c r="GT29" s="14" t="n">
        <x:v>861</x:v>
      </x:c>
      <x:c r="GU29" s="14" t="n">
        <x:v>58</x:v>
      </x:c>
      <x:c r="GV29" s="14" t="n">
        <x:v>15</x:v>
      </x:c>
      <x:c r="GW29" s="14" t="n">
        <x:v>2</x:v>
      </x:c>
      <x:c r="GX29" s="14" t="str">
        <x:v>未收錄</x:v>
      </x:c>
      <x:c r="GY29" s="14" t="str">
        <x:v>23161</x:v>
      </x:c>
      <x:c r="GZ29" s="14" t="n">
        <x:v>8</x:v>
      </x:c>
      <x:c r="HA29" s="14" t="n">
        <x:v>862</x:v>
      </x:c>
      <x:c r="HB29" s="14" t="n">
        <x:v>59</x:v>
      </x:c>
      <x:c r="HC29" s="14" t="n">
        <x:v>15</x:v>
      </x:c>
      <x:c r="HD29" s="14" t="n">
        <x:v>3</x:v>
      </x:c>
      <x:c r="HE29" s="14" t="str">
        <x:v>未收錄</x:v>
      </x:c>
      <x:c r="HF29" s="14" t="str">
        <x:v>23162</x:v>
      </x:c>
      <x:c r="HG29" s="14" t="n">
        <x:v>8</x:v>
      </x:c>
      <x:c r="HH29" s="14" t="n">
        <x:v>863</x:v>
      </x:c>
      <x:c r="HI29" s="14" t="n">
        <x:v>60</x:v>
      </x:c>
      <x:c r="HJ29" s="14" t="n">
        <x:v>15</x:v>
      </x:c>
      <x:c r="HK29" s="14" t="n">
        <x:v>4</x:v>
      </x:c>
      <x:c r="HL29" s="14" t="str">
        <x:v>未收錄</x:v>
      </x:c>
      <x:c r="HM29" s="14" t="str">
        <x:v>22993</x:v>
      </x:c>
      <x:c r="HN29" s="14" t="n">
        <x:v>8</x:v>
      </x:c>
      <x:c r="HO29" s="14" t="n">
        <x:v>1033</x:v>
      </x:c>
      <x:c r="HP29" s="14" t="n">
        <x:v>57</x:v>
      </x:c>
      <x:c r="HQ29" s="14" t="n">
        <x:v>15</x:v>
      </x:c>
      <x:c r="HR29" s="14" t="n">
        <x:v>1</x:v>
      </x:c>
      <x:c r="HS29" s="14" t="str">
        <x:v>未收錄</x:v>
      </x:c>
      <x:c r="HT29" s="14" t="str">
        <x:v>22505</x:v>
      </x:c>
      <x:c r="HU29" s="14" t="n">
        <x:v>8</x:v>
      </x:c>
      <x:c r="HV29" s="14" t="n">
        <x:v>1034</x:v>
      </x:c>
      <x:c r="HW29" s="14" t="n">
        <x:v>58</x:v>
      </x:c>
      <x:c r="HX29" s="14" t="n">
        <x:v>15</x:v>
      </x:c>
      <x:c r="HY29" s="14" t="n">
        <x:v>2</x:v>
      </x:c>
      <x:c r="HZ29" s="14" t="str">
        <x:v>未收錄</x:v>
      </x:c>
      <x:c r="IA29" s="14" t="str">
        <x:v>22869</x:v>
      </x:c>
      <x:c r="IB29" s="14" t="n">
        <x:v>8</x:v>
      </x:c>
      <x:c r="IC29" s="14" t="n">
        <x:v>1035</x:v>
      </x:c>
      <x:c r="ID29" s="14" t="n">
        <x:v>59</x:v>
      </x:c>
      <x:c r="IE29" s="14" t="n">
        <x:v>15</x:v>
      </x:c>
      <x:c r="IF29" s="14" t="n">
        <x:v>3</x:v>
      </x:c>
      <x:c r="IG29" s="14" t="str">
        <x:v>未收錄</x:v>
      </x:c>
      <x:c r="IH29" s="14" t="str">
        <x:v>22870</x:v>
      </x:c>
      <x:c r="II29" s="14" t="n">
        <x:v>8</x:v>
      </x:c>
      <x:c r="IJ29" s="14" t="n">
        <x:v>1036</x:v>
      </x:c>
      <x:c r="IK29" s="14" t="n">
        <x:v>60</x:v>
      </x:c>
      <x:c r="IL29" s="14" t="n">
        <x:v>15</x:v>
      </x:c>
      <x:c r="IM29" s="14" t="n">
        <x:v>4</x:v>
      </x:c>
      <x:c r="IN29" s="14" t="str">
        <x:v>未收錄</x:v>
      </x:c>
      <x:c r="IO29" s="14" t="str">
        <x:v>22507</x:v>
      </x:c>
      <x:c r="IP29" s="14" t="n">
        <x:v>8</x:v>
      </x:c>
      <x:c r="IQ29" s="14" t="n">
        <x:v>1201</x:v>
      </x:c>
      <x:c r="IR29" s="14" t="n">
        <x:v>57</x:v>
      </x:c>
      <x:c r="IS29" s="14" t="n">
        <x:v>15</x:v>
      </x:c>
      <x:c r="IT29" s="14" t="n">
        <x:v>1</x:v>
      </x:c>
      <x:c r="IU29" s="14" t="str">
        <x:v>未收錄</x:v>
      </x:c>
      <x:c r="IV29" s="14" t="str">
        <x:v>23020</x:v>
      </x:c>
      <x:c r="IW29" s="14" t="n">
        <x:v>8</x:v>
      </x:c>
      <x:c r="IX29" s="14" t="n">
        <x:v>1202</x:v>
      </x:c>
      <x:c r="IY29" s="14" t="n">
        <x:v>58</x:v>
      </x:c>
      <x:c r="IZ29" s="14" t="n">
        <x:v>15</x:v>
      </x:c>
      <x:c r="JA29" s="14" t="n">
        <x:v>2</x:v>
      </x:c>
      <x:c r="JB29" s="14" t="str">
        <x:v>未收錄</x:v>
      </x:c>
      <x:c r="JC29" s="14" t="str">
        <x:v>23505</x:v>
      </x:c>
      <x:c r="JD29" s="14" t="n">
        <x:v>8</x:v>
      </x:c>
      <x:c r="JE29" s="14" t="n">
        <x:v>1203</x:v>
      </x:c>
      <x:c r="JF29" s="14" t="n">
        <x:v>59</x:v>
      </x:c>
      <x:c r="JG29" s="14" t="n">
        <x:v>15</x:v>
      </x:c>
      <x:c r="JH29" s="14" t="n">
        <x:v>3</x:v>
      </x:c>
      <x:c r="JI29" s="14" t="str">
        <x:v>未收錄</x:v>
      </x:c>
      <x:c r="JJ29" s="14" t="str">
        <x:v>23506</x:v>
      </x:c>
      <x:c r="JK29" s="14" t="n">
        <x:v>8</x:v>
      </x:c>
      <x:c r="JL29" s="14" t="n">
        <x:v>1204</x:v>
      </x:c>
      <x:c r="JM29" s="14" t="n">
        <x:v>60</x:v>
      </x:c>
      <x:c r="JN29" s="14" t="n">
        <x:v>15</x:v>
      </x:c>
      <x:c r="JO29" s="14" t="n">
        <x:v>4</x:v>
      </x:c>
      <x:c r="JP29" s="14" t="str">
        <x:v>未收錄</x:v>
      </x:c>
      <x:c r="JQ29" s="14" t="str">
        <x:v>26635</x:v>
      </x:c>
      <x:c r="JR29" s="14" t="n">
        <x:v>8</x:v>
      </x:c>
      <x:c r="JS29" s="14" t="n">
        <x:v>1368</x:v>
      </x:c>
      <x:c r="JT29" s="14" t="n">
        <x:v>57</x:v>
      </x:c>
      <x:c r="JU29" s="14" t="n">
        <x:v>15</x:v>
      </x:c>
      <x:c r="JV29" s="14" t="n">
        <x:v>1</x:v>
      </x:c>
      <x:c r="JW29" s="14" t="str">
        <x:v>未收錄</x:v>
      </x:c>
      <x:c r="JX29" s="14" t="str">
        <x:v>26736</x:v>
      </x:c>
      <x:c r="JY29" s="14" t="n">
        <x:v>3</x:v>
      </x:c>
      <x:c r="JZ29" s="14" t="n">
        <x:v>1369</x:v>
      </x:c>
      <x:c r="KA29" s="14" t="n">
        <x:v>58</x:v>
      </x:c>
      <x:c r="KB29" s="14" t="n">
        <x:v>15</x:v>
      </x:c>
      <x:c r="KC29" s="14" t="n">
        <x:v>2</x:v>
      </x:c>
      <x:c r="KD29" s="14" t="str">
        <x:v>未收錄</x:v>
      </x:c>
      <x:c r="KE29" s="14" t="str">
        <x:v>27066</x:v>
      </x:c>
      <x:c r="KF29" s="14" t="n">
        <x:v>8</x:v>
      </x:c>
      <x:c r="KG29" s="14" t="n">
        <x:v>1370</x:v>
      </x:c>
      <x:c r="KH29" s="14" t="n">
        <x:v>59</x:v>
      </x:c>
      <x:c r="KI29" s="14" t="n">
        <x:v>15</x:v>
      </x:c>
      <x:c r="KJ29" s="14" t="n">
        <x:v>3</x:v>
      </x:c>
      <x:c r="KK29" s="14" t="str">
        <x:v>未收錄</x:v>
      </x:c>
      <x:c r="KL29" s="14" t="str">
        <x:v>27067</x:v>
      </x:c>
      <x:c r="KM29" s="14" t="n">
        <x:v>8</x:v>
      </x:c>
      <x:c r="KN29" s="14" t="n">
        <x:v>1371</x:v>
      </x:c>
      <x:c r="KO29" s="14" t="n">
        <x:v>60</x:v>
      </x:c>
      <x:c r="KP29" s="14" t="n">
        <x:v>15</x:v>
      </x:c>
      <x:c r="KQ29" s="14" t="n">
        <x:v>4</x:v>
      </x:c>
      <x:c r="KR29" s="14" t="str">
        <x:v>未收錄</x:v>
      </x:c>
      <x:c r="KS29" s="14" t="str">
        <x:v>27062</x:v>
      </x:c>
      <x:c r="KT29" s="14" t="n">
        <x:v>8</x:v>
      </x:c>
      <x:c r="KU29" s="14" t="n">
        <x:v>1483</x:v>
      </x:c>
      <x:c r="KV29" s="14" t="n">
        <x:v>57</x:v>
      </x:c>
      <x:c r="KW29" s="14" t="n">
        <x:v>15</x:v>
      </x:c>
      <x:c r="KX29" s="14" t="n">
        <x:v>1</x:v>
      </x:c>
      <x:c r="KY29" s="14" t="str">
        <x:v>未收錄</x:v>
      </x:c>
      <x:c r="KZ29" s="14" t="str">
        <x:v>27063</x:v>
      </x:c>
      <x:c r="LA29" s="14" t="n">
        <x:v>8</x:v>
      </x:c>
      <x:c r="LB29" s="14" t="n">
        <x:v>1484</x:v>
      </x:c>
      <x:c r="LC29" s="14" t="n">
        <x:v>58</x:v>
      </x:c>
      <x:c r="LD29" s="14" t="n">
        <x:v>15</x:v>
      </x:c>
      <x:c r="LE29" s="14" t="n">
        <x:v>2</x:v>
      </x:c>
      <x:c r="LF29" s="14" t="str">
        <x:v>未收錄</x:v>
      </x:c>
      <x:c r="LG29" s="14" t="str">
        <x:v>27064</x:v>
      </x:c>
      <x:c r="LH29" s="14" t="n">
        <x:v>8</x:v>
      </x:c>
      <x:c r="LI29" s="14" t="n">
        <x:v>1485</x:v>
      </x:c>
      <x:c r="LJ29" s="14" t="n">
        <x:v>59</x:v>
      </x:c>
      <x:c r="LK29" s="14" t="n">
        <x:v>15</x:v>
      </x:c>
      <x:c r="LL29" s="14" t="n">
        <x:v>3</x:v>
      </x:c>
      <x:c r="LM29" s="14" t="str">
        <x:v>未收錄</x:v>
      </x:c>
      <x:c r="LN29" s="14" t="str">
        <x:v>27065</x:v>
      </x:c>
      <x:c r="LO29" s="14" t="n">
        <x:v>8</x:v>
      </x:c>
      <x:c r="LP29" s="14" t="n">
        <x:v>1486</x:v>
      </x:c>
      <x:c r="LQ29" s="14" t="n">
        <x:v>60</x:v>
      </x:c>
      <x:c r="LR29" s="14" t="n">
        <x:v>15</x:v>
      </x:c>
      <x:c r="LS29" s="14" t="n">
        <x:v>4</x:v>
      </x:c>
      <x:c r="LT29" s="14" t="str">
        <x:v>未收錄</x:v>
      </x:c>
      <x:c r="LU29" s="14" t="str">
        <x:v>27636</x:v>
      </x:c>
      <x:c r="LV29" s="14" t="n">
        <x:v>8</x:v>
      </x:c>
      <x:c r="LW29" s="14" t="n">
        <x:v>1596</x:v>
      </x:c>
      <x:c r="LX29" s="14" t="n">
        <x:v>57</x:v>
      </x:c>
      <x:c r="LY29" s="14" t="n">
        <x:v>15</x:v>
      </x:c>
      <x:c r="LZ29" s="14" t="n">
        <x:v>1</x:v>
      </x:c>
      <x:c r="MA29" s="14" t="str">
        <x:v>未收錄</x:v>
      </x:c>
      <x:c r="MB29" s="14" t="str">
        <x:v>27637</x:v>
      </x:c>
      <x:c r="MC29" s="14" t="n">
        <x:v>8</x:v>
      </x:c>
      <x:c r="MD29" s="14" t="n">
        <x:v>1597</x:v>
      </x:c>
      <x:c r="ME29" s="14" t="n">
        <x:v>58</x:v>
      </x:c>
      <x:c r="MF29" s="14" t="n">
        <x:v>15</x:v>
      </x:c>
      <x:c r="MG29" s="14" t="n">
        <x:v>2</x:v>
      </x:c>
      <x:c r="MH29" s="14" t="str">
        <x:v>未收錄</x:v>
      </x:c>
      <x:c r="MI29" s="14" t="str">
        <x:v>27638</x:v>
      </x:c>
      <x:c r="MJ29" s="14" t="n">
        <x:v>8</x:v>
      </x:c>
      <x:c r="MK29" s="14" t="n">
        <x:v>1598</x:v>
      </x:c>
      <x:c r="ML29" s="14" t="n">
        <x:v>59</x:v>
      </x:c>
      <x:c r="MM29" s="14" t="n">
        <x:v>15</x:v>
      </x:c>
      <x:c r="MN29" s="14" t="n">
        <x:v>3</x:v>
      </x:c>
      <x:c r="MO29" s="14" t="str">
        <x:v>未收錄</x:v>
      </x:c>
      <x:c r="MP29" s="14" t="str">
        <x:v>27639</x:v>
      </x:c>
      <x:c r="MQ29" s="14" t="n">
        <x:v>8</x:v>
      </x:c>
      <x:c r="MR29" s="14" t="n">
        <x:v>1599</x:v>
      </x:c>
      <x:c r="MS29" s="14" t="n">
        <x:v>60</x:v>
      </x:c>
      <x:c r="MT29" s="14" t="n">
        <x:v>15</x:v>
      </x:c>
      <x:c r="MU29" s="14" t="n">
        <x:v>4</x:v>
      </x:c>
      <x:c r="MV29" s="14" t="str">
        <x:v>未收錄</x:v>
      </x:c>
      <x:c r="MW29" s="14" t="str">
        <x:v>20631</x:v>
      </x:c>
      <x:c r="MX29" s="14" t="n">
        <x:v>2</x:v>
      </x:c>
      <x:c r="MY29" s="14" t="n">
        <x:v>1705</x:v>
      </x:c>
      <x:c r="MZ29" s="14" t="n">
        <x:v>57</x:v>
      </x:c>
      <x:c r="NA29" s="14" t="n">
        <x:v>15</x:v>
      </x:c>
      <x:c r="NB29" s="14" t="n">
        <x:v>1</x:v>
      </x:c>
      <x:c r="NC29" s="14" t="str">
        <x:v>未收錄</x:v>
      </x:c>
      <x:c r="ND29" s="14" t="str">
        <x:v>20464</x:v>
      </x:c>
      <x:c r="NE29" s="14" t="n">
        <x:v>2</x:v>
      </x:c>
      <x:c r="NF29" s="14" t="n">
        <x:v>1706</x:v>
      </x:c>
      <x:c r="NG29" s="14" t="n">
        <x:v>58</x:v>
      </x:c>
      <x:c r="NH29" s="14" t="n">
        <x:v>15</x:v>
      </x:c>
      <x:c r="NI29" s="14" t="n">
        <x:v>2</x:v>
      </x:c>
      <x:c r="NJ29" s="14" t="str">
        <x:v>未收錄</x:v>
      </x:c>
      <x:c r="NK29" s="14" t="str">
        <x:v>21956</x:v>
      </x:c>
      <x:c r="NL29" s="14" t="n">
        <x:v>2</x:v>
      </x:c>
      <x:c r="NM29" s="14" t="n">
        <x:v>1707</x:v>
      </x:c>
      <x:c r="NN29" s="14" t="n">
        <x:v>59</x:v>
      </x:c>
      <x:c r="NO29" s="14" t="n">
        <x:v>15</x:v>
      </x:c>
      <x:c r="NP29" s="14" t="n">
        <x:v>3</x:v>
      </x:c>
      <x:c r="NQ29" s="14" t="str">
        <x:v>未收錄</x:v>
      </x:c>
      <x:c r="NR29" s="14" t="str">
        <x:v>24685</x:v>
      </x:c>
      <x:c r="NS29" s="14" t="n">
        <x:v>2</x:v>
      </x:c>
      <x:c r="NT29" s="14" t="n">
        <x:v>1708</x:v>
      </x:c>
      <x:c r="NU29" s="14" t="n">
        <x:v>60</x:v>
      </x:c>
      <x:c r="NV29" s="14" t="n">
        <x:v>15</x:v>
      </x:c>
      <x:c r="NW29" s="14" t="n">
        <x:v>4</x:v>
      </x:c>
      <x:c r="NX29" s="14" t="str">
        <x:v>未收錄</x:v>
      </x:c>
      <x:c r="NY29" s="14" t="str">
        <x:v>28227</x:v>
      </x:c>
      <x:c r="NZ29" s="14" t="n">
        <x:v>2</x:v>
      </x:c>
      <x:c r="OA29" s="14" t="n">
        <x:v>2158</x:v>
      </x:c>
      <x:c r="OB29" s="14" t="n">
        <x:v>57</x:v>
      </x:c>
      <x:c r="OC29" s="14" t="n">
        <x:v>15</x:v>
      </x:c>
      <x:c r="OD29" s="14" t="n">
        <x:v>1</x:v>
      </x:c>
      <x:c r="OE29" s="14" t="str">
        <x:v>未收錄</x:v>
      </x:c>
      <x:c r="OF29" s="14" t="str">
        <x:v>29166</x:v>
      </x:c>
      <x:c r="OG29" s="14" t="n">
        <x:v>2</x:v>
      </x:c>
      <x:c r="OH29" s="14" t="n">
        <x:v>2159</x:v>
      </x:c>
      <x:c r="OI29" s="14" t="n">
        <x:v>58</x:v>
      </x:c>
      <x:c r="OJ29" s="14" t="n">
        <x:v>15</x:v>
      </x:c>
      <x:c r="OK29" s="14" t="n">
        <x:v>2</x:v>
      </x:c>
      <x:c r="OL29" s="14" t="str">
        <x:v>未收錄</x:v>
      </x:c>
      <x:c r="OM29" s="14" t="str">
        <x:v>29854</x:v>
      </x:c>
      <x:c r="ON29" s="14" t="n">
        <x:v>2</x:v>
      </x:c>
      <x:c r="OO29" s="14" t="n">
        <x:v>2160</x:v>
      </x:c>
      <x:c r="OP29" s="14" t="n">
        <x:v>59</x:v>
      </x:c>
      <x:c r="OQ29" s="14" t="n">
        <x:v>15</x:v>
      </x:c>
      <x:c r="OR29" s="14" t="n">
        <x:v>3</x:v>
      </x:c>
      <x:c r="OS29" s="14" t="str">
        <x:v>未收錄</x:v>
      </x:c>
      <x:c r="OT29" s="14" t="str">
        <x:v>30070</x:v>
      </x:c>
      <x:c r="OU29" s="14" t="n">
        <x:v>2</x:v>
      </x:c>
      <x:c r="OV29" s="14" t="n">
        <x:v>2161</x:v>
      </x:c>
      <x:c r="OW29" s="14" t="n">
        <x:v>60</x:v>
      </x:c>
      <x:c r="OX29" s="14" t="n">
        <x:v>15</x:v>
      </x:c>
      <x:c r="OY29" s="14" t="n">
        <x:v>4</x:v>
      </x:c>
      <x:c r="OZ29" s="14" t="str">
        <x:v>未收錄</x:v>
      </x:c>
      <x:c r="PA29" s="14" t="str">
        <x:v>21509</x:v>
      </x:c>
      <x:c r="PB29" s="14" t="n">
        <x:v>5</x:v>
      </x:c>
      <x:c r="PC29" s="14" t="n">
        <x:v>2704</x:v>
      </x:c>
      <x:c r="PD29" s="14" t="n">
        <x:v>57</x:v>
      </x:c>
      <x:c r="PE29" s="14" t="n">
        <x:v>15</x:v>
      </x:c>
      <x:c r="PF29" s="14" t="n">
        <x:v>1</x:v>
      </x:c>
      <x:c r="PG29" s="14" t="str">
        <x:v>未收錄</x:v>
      </x:c>
      <x:c r="PH29" s="14" t="str">
        <x:v>21510</x:v>
      </x:c>
      <x:c r="PI29" s="14" t="n">
        <x:v>5</x:v>
      </x:c>
      <x:c r="PJ29" s="14" t="n">
        <x:v>2705</x:v>
      </x:c>
      <x:c r="PK29" s="14" t="n">
        <x:v>58</x:v>
      </x:c>
      <x:c r="PL29" s="14" t="n">
        <x:v>15</x:v>
      </x:c>
      <x:c r="PM29" s="14" t="n">
        <x:v>2</x:v>
      </x:c>
      <x:c r="PN29" s="14" t="str">
        <x:v>未收錄</x:v>
      </x:c>
      <x:c r="PO29" s="14" t="str">
        <x:v>21511</x:v>
      </x:c>
      <x:c r="PP29" s="14" t="n">
        <x:v>5</x:v>
      </x:c>
      <x:c r="PQ29" s="14" t="n">
        <x:v>2706</x:v>
      </x:c>
      <x:c r="PR29" s="14" t="n">
        <x:v>59</x:v>
      </x:c>
      <x:c r="PS29" s="14" t="n">
        <x:v>15</x:v>
      </x:c>
      <x:c r="PT29" s="14" t="n">
        <x:v>3</x:v>
      </x:c>
      <x:c r="PU29" s="14" t="str">
        <x:v>未收錄</x:v>
      </x:c>
      <x:c r="PV29" s="14" t="str">
        <x:v>21512</x:v>
      </x:c>
      <x:c r="PW29" s="14" t="n">
        <x:v>5</x:v>
      </x:c>
      <x:c r="PX29" s="14" t="n">
        <x:v>2707</x:v>
      </x:c>
      <x:c r="PY29" s="14" t="n">
        <x:v>60</x:v>
      </x:c>
      <x:c r="PZ29" s="14" t="n">
        <x:v>15</x:v>
      </x:c>
      <x:c r="QA29" s="14" t="n">
        <x:v>4</x:v>
      </x:c>
      <x:c r="QB29" s="14" t="str">
        <x:v>未收錄</x:v>
      </x:c>
      <x:c r="QC29" s="14" t="str">
        <x:v>21306</x:v>
      </x:c>
      <x:c r="QD29" s="14" t="n">
        <x:v>5</x:v>
      </x:c>
      <x:c r="QE29" s="14" t="n">
        <x:v>3141</x:v>
      </x:c>
      <x:c r="QF29" s="14" t="n">
        <x:v>57</x:v>
      </x:c>
      <x:c r="QG29" s="14" t="n">
        <x:v>15</x:v>
      </x:c>
      <x:c r="QH29" s="14" t="n">
        <x:v>1</x:v>
      </x:c>
      <x:c r="QI29" s="14" t="str">
        <x:v>未收錄</x:v>
      </x:c>
      <x:c r="QJ29" s="14" t="str">
        <x:v>21318</x:v>
      </x:c>
      <x:c r="QK29" s="14" t="n">
        <x:v>5</x:v>
      </x:c>
      <x:c r="QL29" s="14" t="n">
        <x:v>3142</x:v>
      </x:c>
      <x:c r="QM29" s="14" t="n">
        <x:v>58</x:v>
      </x:c>
      <x:c r="QN29" s="14" t="n">
        <x:v>15</x:v>
      </x:c>
      <x:c r="QO29" s="14" t="n">
        <x:v>2</x:v>
      </x:c>
      <x:c r="QP29" s="14" t="str">
        <x:v>未收錄</x:v>
      </x:c>
      <x:c r="QQ29" s="14" t="str">
        <x:v>21525</x:v>
      </x:c>
      <x:c r="QR29" s="14" t="n">
        <x:v>5</x:v>
      </x:c>
      <x:c r="QS29" s="14" t="n">
        <x:v>3143</x:v>
      </x:c>
      <x:c r="QT29" s="14" t="n">
        <x:v>59</x:v>
      </x:c>
      <x:c r="QU29" s="14" t="n">
        <x:v>15</x:v>
      </x:c>
      <x:c r="QV29" s="14" t="n">
        <x:v>3</x:v>
      </x:c>
      <x:c r="QW29" s="14" t="str">
        <x:v>未收錄</x:v>
      </x:c>
      <x:c r="QX29" s="14" t="str">
        <x:v>21526</x:v>
      </x:c>
      <x:c r="QY29" s="14" t="n">
        <x:v>5</x:v>
      </x:c>
      <x:c r="QZ29" s="14" t="n">
        <x:v>3144</x:v>
      </x:c>
      <x:c r="RA29" s="14" t="n">
        <x:v>60</x:v>
      </x:c>
      <x:c r="RB29" s="14" t="n">
        <x:v>15</x:v>
      </x:c>
      <x:c r="RC29" s="14" t="n">
        <x:v>4</x:v>
      </x:c>
      <x:c r="RD29" s="14" t="str">
        <x:v>未收錄</x:v>
      </x:c>
      <x:c r="RE29" s="14" t="str">
        <x:v>21006</x:v>
      </x:c>
      <x:c r="RF29" s="14" t="n">
        <x:v>5</x:v>
      </x:c>
      <x:c r="RG29" s="14" t="n">
        <x:v>3602</x:v>
      </x:c>
      <x:c r="RH29" s="14" t="n">
        <x:v>57</x:v>
      </x:c>
      <x:c r="RI29" s="14" t="n">
        <x:v>15</x:v>
      </x:c>
      <x:c r="RJ29" s="14" t="n">
        <x:v>1</x:v>
      </x:c>
      <x:c r="RK29" s="14" t="str">
        <x:v>未收錄</x:v>
      </x:c>
      <x:c r="RL29" s="14" t="str">
        <x:v>21007</x:v>
      </x:c>
      <x:c r="RM29" s="14" t="n">
        <x:v>5</x:v>
      </x:c>
      <x:c r="RN29" s="14" t="n">
        <x:v>3603</x:v>
      </x:c>
      <x:c r="RO29" s="14" t="n">
        <x:v>58</x:v>
      </x:c>
      <x:c r="RP29" s="14" t="n">
        <x:v>15</x:v>
      </x:c>
      <x:c r="RQ29" s="14" t="n">
        <x:v>2</x:v>
      </x:c>
      <x:c r="RR29" s="14" t="str">
        <x:v>未收錄</x:v>
      </x:c>
      <x:c r="RS29" s="14" t="str">
        <x:v>21303</x:v>
      </x:c>
      <x:c r="RT29" s="14" t="n">
        <x:v>5</x:v>
      </x:c>
      <x:c r="RU29" s="14" t="n">
        <x:v>3604</x:v>
      </x:c>
      <x:c r="RV29" s="14" t="n">
        <x:v>59</x:v>
      </x:c>
      <x:c r="RW29" s="14" t="n">
        <x:v>15</x:v>
      </x:c>
      <x:c r="RX29" s="14" t="n">
        <x:v>3</x:v>
      </x:c>
      <x:c r="RY29" s="14" t="str">
        <x:v>未收錄</x:v>
      </x:c>
      <x:c r="RZ29" s="14" t="str">
        <x:v>21304</x:v>
      </x:c>
      <x:c r="SA29" s="14" t="n">
        <x:v>5</x:v>
      </x:c>
      <x:c r="SB29" s="14" t="n">
        <x:v>3605</x:v>
      </x:c>
      <x:c r="SC29" s="14" t="n">
        <x:v>60</x:v>
      </x:c>
      <x:c r="SD29" s="14" t="n">
        <x:v>15</x:v>
      </x:c>
      <x:c r="SE29" s="14" t="n">
        <x:v>4</x:v>
      </x:c>
      <x:c r="SF29" s="14" t="str">
        <x:v>未收錄</x:v>
      </x:c>
      <x:c r="SG29" s="14" t="str">
        <x:v>30701</x:v>
      </x:c>
      <x:c r="SH29" s="14" t="n">
        <x:v>15</x:v>
      </x:c>
      <x:c r="SI29" s="14" t="n">
        <x:v>4026</x:v>
      </x:c>
      <x:c r="SJ29" s="14" t="n">
        <x:v>57</x:v>
      </x:c>
      <x:c r="SK29" s="14" t="n">
        <x:v>15</x:v>
      </x:c>
      <x:c r="SL29" s="14" t="n">
        <x:v>1</x:v>
      </x:c>
      <x:c r="SM29" s="14" t="str">
        <x:v>未收錄</x:v>
      </x:c>
      <x:c r="SN29" s="14" t="str">
        <x:v>30167</x:v>
      </x:c>
      <x:c r="SO29" s="14" t="n">
        <x:v>10</x:v>
      </x:c>
      <x:c r="SP29" s="14" t="n">
        <x:v>4027</x:v>
      </x:c>
      <x:c r="SQ29" s="14" t="n">
        <x:v>58</x:v>
      </x:c>
      <x:c r="SR29" s="14" t="n">
        <x:v>15</x:v>
      </x:c>
      <x:c r="SS29" s="14" t="n">
        <x:v>2</x:v>
      </x:c>
      <x:c r="ST29" s="14" t="str">
        <x:v>未收錄</x:v>
      </x:c>
      <x:c r="SU29" s="14" t="str">
        <x:v>30168</x:v>
      </x:c>
      <x:c r="SV29" s="14" t="n">
        <x:v>10</x:v>
      </x:c>
      <x:c r="SW29" s="14" t="n">
        <x:v>4028</x:v>
      </x:c>
      <x:c r="SX29" s="14" t="n">
        <x:v>59</x:v>
      </x:c>
      <x:c r="SY29" s="14" t="n">
        <x:v>15</x:v>
      </x:c>
      <x:c r="SZ29" s="14" t="n">
        <x:v>3</x:v>
      </x:c>
      <x:c r="TA29" s="14" t="str">
        <x:v>未收錄</x:v>
      </x:c>
      <x:c r="TB29" s="14" t="str">
        <x:v>30169</x:v>
      </x:c>
      <x:c r="TC29" s="14" t="n">
        <x:v>10</x:v>
      </x:c>
      <x:c r="TD29" s="14" t="n">
        <x:v>4029</x:v>
      </x:c>
      <x:c r="TE29" s="14" t="n">
        <x:v>60</x:v>
      </x:c>
      <x:c r="TF29" s="14" t="n">
        <x:v>15</x:v>
      </x:c>
      <x:c r="TG29" s="14" t="n">
        <x:v>4</x:v>
      </x:c>
      <x:c r="TH29" s="14" t="str">
        <x:v>未收錄</x:v>
      </x:c>
    </x:row>
    <x:row r="30" ht="15" customHeight="1">
      <x:c r="A30" s="18" t="str">
        <x:v>絕世冰鏡劍</x:v>
      </x:c>
      <x:c r="B30" s="18" t="str">
        <x:v>火雲劍</x:v>
      </x:c>
      <x:c r="C30" s="18" t="str">
        <x:v>地靈火雲劍</x:v>
      </x:c>
      <x:c r="D30" s="18" t="str">
        <x:v>絕世火雲劍</x:v>
      </x:c>
      <x:c r="E30" s="14"/>
      <x:c r="F30" s="18" t="str">
        <x:v>鑠金刀</x:v>
      </x:c>
      <x:c r="G30" s="18" t="str">
        <x:v>玄金刃</x:v>
      </x:c>
      <x:c r="H30" s="18" t="str">
        <x:v>伏虎刀</x:v>
      </x:c>
      <x:c r="I30" s="18" t="str">
        <x:v>九幽刀</x:v>
      </x:c>
      <x:c r="J30" s="14"/>
      <x:c r="K30" s="18" t="str">
        <x:v>太古雷霆玉</x:v>
      </x:c>
      <x:c r="L30" s="18" t="str">
        <x:v>王雷神風玉</x:v>
      </x:c>
      <x:c r="M30" s="18" t="str">
        <x:v>天激地震玉</x:v>
      </x:c>
      <x:c r="N30" s="18" t="str">
        <x:v>歲光暈</x:v>
      </x:c>
      <x:c r="O30" s="14"/>
      <x:c r="P30" s="18" t="str">
        <x:v>持國玉如意</x:v>
      </x:c>
      <x:c r="Q30" s="18" t="str">
        <x:v>護天玉如意</x:v>
      </x:c>
      <x:c r="R30" s="18" t="str">
        <x:v>三途鬼拂</x:v>
      </x:c>
      <x:c r="S30" s="18" t="str">
        <x:v>終葵封獄拂</x:v>
      </x:c>
      <x:c r="T30" s="14"/>
      <x:c r="U30" s="18" t="str">
        <x:v>大日梵天杖</x:v>
      </x:c>
      <x:c r="V30" s="18" t="str">
        <x:v>破邪顯正杖</x:v>
      </x:c>
      <x:c r="W30" s="18" t="str">
        <x:v>天孫降臨杖</x:v>
      </x:c>
      <x:c r="X30" s="18" t="str">
        <x:v>獄門邪杖</x:v>
      </x:c>
      <x:c r="Y30" s="14"/>
      <x:c r="Z30" s="18" t="str">
        <x:v>金龍衝霄槍</x:v>
      </x:c>
      <x:c r="AA30" s="18" t="str">
        <x:v>無雙金龍衝霄槍</x:v>
      </x:c>
      <x:c r="AB30" s="18" t="str">
        <x:v>伐樓拿聖戟</x:v>
      </x:c>
      <x:c r="AC30" s="18" t="str">
        <x:v>衝煞妖龍槍</x:v>
      </x:c>
      <x:c r="AD30" s="14"/>
      <x:c r="AE30" s="18" t="str">
        <x:v>亡骨兇骸棍</x:v>
      </x:c>
      <x:c r="AF30" s="18" t="str">
        <x:v>絕魂滅魄棍</x:v>
      </x:c>
      <x:c r="AG30" s="18" t="str">
        <x:v>妖滅天殛魔棍</x:v>
      </x:c>
      <x:c r="AH30" s="18" t="str">
        <x:v>凶亡天殛魔棍</x:v>
      </x:c>
      <x:c r="AI30" s="14"/>
      <x:c r="AJ30" s="18" t="str">
        <x:v>神煉‧轟雷錘</x:v>
      </x:c>
      <x:c r="AK30" s="18" t="str">
        <x:v>宇傲‧轟雷錘</x:v>
      </x:c>
      <x:c r="AL30" s="18" t="str">
        <x:v>峻霆‧轟雷錘</x:v>
      </x:c>
      <x:c r="AM30" s="18" t="str">
        <x:v>窮極‧轟雷錘</x:v>
      </x:c>
      <x:c r="AN30" s="14"/>
      <x:c r="AO30" s="18" t="str">
        <x:v>峻霆‧龍塵斧</x:v>
      </x:c>
      <x:c r="AP30" s="18" t="str">
        <x:v>窮極‧龍塵斧</x:v>
      </x:c>
      <x:c r="AQ30" s="18" t="str">
        <x:v>元宙‧龍塵斧</x:v>
      </x:c>
      <x:c r="AR30" s="18" t="str">
        <x:v>真宇傲龍塵斧</x:v>
      </x:c>
      <x:c r="AS30" s="14"/>
      <x:c r="AT30" s="18" t="str">
        <x:v>傾天盾★</x:v>
      </x:c>
      <x:c r="AU30" s="18" t="str">
        <x:v>傾天盾★★</x:v>
      </x:c>
      <x:c r="AV30" s="18" t="str">
        <x:v>傾天盾★★★</x:v>
      </x:c>
      <x:c r="AW30" s="18" t="str">
        <x:v>天紀盾☆</x:v>
      </x:c>
      <x:c r="AX30" s="14"/>
      <x:c r="AY30" s="18" t="str">
        <x:v>歐風戰帽</x:v>
      </x:c>
      <x:c r="AZ30" s="18" t="str">
        <x:v>異空戰盔</x:v>
      </x:c>
      <x:c r="BA30" s="18" t="str">
        <x:v>艾濟儀盔</x:v>
      </x:c>
      <x:c r="BB30" s="18" t="str">
        <x:v>皇衛戰盔</x:v>
      </x:c>
      <x:c r="BC30" s="14"/>
      <x:c r="BD30" s="18" t="str">
        <x:v>南遼護甲</x:v>
      </x:c>
      <x:c r="BE30" s="18" t="str">
        <x:v>疾風勁袍</x:v>
      </x:c>
      <x:c r="BF30" s="18" t="str">
        <x:v>侏人戰鎧</x:v>
      </x:c>
      <x:c r="BG30" s="18" t="str">
        <x:v>祭司披風</x:v>
      </x:c>
      <x:c r="BH30" s="14"/>
      <x:c r="BI30" s="18" t="str">
        <x:v>虎翼護腕</x:v>
      </x:c>
      <x:c r="BJ30" s="18" t="str">
        <x:v>風翼護腕</x:v>
      </x:c>
      <x:c r="BK30" s="18" t="str">
        <x:v>蝶紋護腕</x:v>
      </x:c>
      <x:c r="BL30" s="18" t="str">
        <x:v>虎紋護腕</x:v>
      </x:c>
      <x:c r="BM30" s="14"/>
      <x:c r="BN30" s="18" t="str">
        <x:v>黑捷戰靴</x:v>
      </x:c>
      <x:c r="BO30" s="18" t="str">
        <x:v>血翼戰靴</x:v>
      </x:c>
      <x:c r="BP30" s="18" t="str">
        <x:v>虎翼戰靴</x:v>
      </x:c>
      <x:c r="BQ30" s="18" t="str">
        <x:v>風翼戰靴</x:v>
      </x:c>
      <x:c r="BR30" s="14"/>
      <x:c r="BS30" s="18" t="str">
        <x:v>鐵尊佛珠</x:v>
      </x:c>
      <x:c r="BT30" s="18" t="str">
        <x:v>力尊佛珠</x:v>
      </x:c>
      <x:c r="BU30" s="18" t="str">
        <x:v>智尊佛珠</x:v>
      </x:c>
      <x:c r="BV30" s="18" t="str">
        <x:v>風尊佛珠</x:v>
      </x:c>
      <x:c r="BW30" s="14"/>
      <x:c r="BX30" s="18" t="str">
        <x:v>瀧激仙電陣</x:v>
      </x:c>
      <x:c r="BY30" s="18" t="str">
        <x:v>千兩仙花陣</x:v>
      </x:c>
      <x:c r="BZ30" s="18" t="str">
        <x:v>六脈仙吟賦</x:v>
      </x:c>
      <x:c r="CA30" s="18" t="str">
        <x:v>凝氣仙方錄</x:v>
      </x:c>
      <x:c r="CB30" s="14"/>
      <x:c r="CC30" s="14" t="str">
        <x:v>22034</x:v>
      </x:c>
      <x:c r="CD30" s="14" t="n">
        <x:v>8</x:v>
      </x:c>
      <x:c r="CE30" s="14" t="n">
        <x:v>61</x:v>
      </x:c>
      <x:c r="CF30" s="14" t="n">
        <x:v>61</x:v>
      </x:c>
      <x:c r="CG30" s="14" t="n">
        <x:v>16</x:v>
      </x:c>
      <x:c r="CH30" s="14" t="n">
        <x:v>1</x:v>
      </x:c>
      <x:c r="CI30" s="14" t="str">
        <x:v>未收錄</x:v>
      </x:c>
      <x:c r="CJ30" s="14" t="str">
        <x:v>20762</x:v>
      </x:c>
      <x:c r="CK30" s="14" t="n">
        <x:v>8</x:v>
      </x:c>
      <x:c r="CL30" s="14" t="n">
        <x:v>62</x:v>
      </x:c>
      <x:c r="CM30" s="14" t="n">
        <x:v>62</x:v>
      </x:c>
      <x:c r="CN30" s="14" t="n">
        <x:v>16</x:v>
      </x:c>
      <x:c r="CO30" s="14" t="n">
        <x:v>2</x:v>
      </x:c>
      <x:c r="CP30" s="14" t="str">
        <x:v>未收錄</x:v>
      </x:c>
      <x:c r="CQ30" s="14" t="str">
        <x:v>21992</x:v>
      </x:c>
      <x:c r="CR30" s="14" t="n">
        <x:v>8</x:v>
      </x:c>
      <x:c r="CS30" s="14" t="n">
        <x:v>63</x:v>
      </x:c>
      <x:c r="CT30" s="14" t="n">
        <x:v>63</x:v>
      </x:c>
      <x:c r="CU30" s="14" t="n">
        <x:v>16</x:v>
      </x:c>
      <x:c r="CV30" s="14" t="n">
        <x:v>3</x:v>
      </x:c>
      <x:c r="CW30" s="14" t="str">
        <x:v>未收錄</x:v>
      </x:c>
      <x:c r="CX30" s="14" t="str">
        <x:v>22035</x:v>
      </x:c>
      <x:c r="CY30" s="14" t="n">
        <x:v>8</x:v>
      </x:c>
      <x:c r="CZ30" s="14" t="n">
        <x:v>64</x:v>
      </x:c>
      <x:c r="DA30" s="14" t="n">
        <x:v>64</x:v>
      </x:c>
      <x:c r="DB30" s="14" t="n">
        <x:v>16</x:v>
      </x:c>
      <x:c r="DC30" s="14" t="n">
        <x:v>4</x:v>
      </x:c>
      <x:c r="DD30" s="14" t="str">
        <x:v>未收錄</x:v>
      </x:c>
      <x:c r="DE30" s="14" t="str">
        <x:v>21081</x:v>
      </x:c>
      <x:c r="DF30" s="14" t="n">
        <x:v>8</x:v>
      </x:c>
      <x:c r="DG30" s="14" t="n">
        <x:v>306</x:v>
      </x:c>
      <x:c r="DH30" s="14" t="n">
        <x:v>61</x:v>
      </x:c>
      <x:c r="DI30" s="14" t="n">
        <x:v>16</x:v>
      </x:c>
      <x:c r="DJ30" s="14" t="n">
        <x:v>1</x:v>
      </x:c>
      <x:c r="DK30" s="14" t="str">
        <x:v>未收錄</x:v>
      </x:c>
      <x:c r="DL30" s="14" t="str">
        <x:v>21082</x:v>
      </x:c>
      <x:c r="DM30" s="14" t="n">
        <x:v>8</x:v>
      </x:c>
      <x:c r="DN30" s="14" t="n">
        <x:v>307</x:v>
      </x:c>
      <x:c r="DO30" s="14" t="n">
        <x:v>62</x:v>
      </x:c>
      <x:c r="DP30" s="14" t="n">
        <x:v>16</x:v>
      </x:c>
      <x:c r="DQ30" s="14" t="n">
        <x:v>2</x:v>
      </x:c>
      <x:c r="DR30" s="14" t="str">
        <x:v>未收錄</x:v>
      </x:c>
      <x:c r="DS30" s="14" t="str">
        <x:v>21083</x:v>
      </x:c>
      <x:c r="DT30" s="14" t="n">
        <x:v>8</x:v>
      </x:c>
      <x:c r="DU30" s="14" t="n">
        <x:v>308</x:v>
      </x:c>
      <x:c r="DV30" s="14" t="n">
        <x:v>63</x:v>
      </x:c>
      <x:c r="DW30" s="14" t="n">
        <x:v>16</x:v>
      </x:c>
      <x:c r="DX30" s="14" t="n">
        <x:v>3</x:v>
      </x:c>
      <x:c r="DY30" s="14" t="str">
        <x:v>未收錄</x:v>
      </x:c>
      <x:c r="DZ30" s="14" t="str">
        <x:v>21084</x:v>
      </x:c>
      <x:c r="EA30" s="14" t="n">
        <x:v>8</x:v>
      </x:c>
      <x:c r="EB30" s="14" t="n">
        <x:v>309</x:v>
      </x:c>
      <x:c r="EC30" s="14" t="n">
        <x:v>64</x:v>
      </x:c>
      <x:c r="ED30" s="14" t="n">
        <x:v>16</x:v>
      </x:c>
      <x:c r="EE30" s="14" t="n">
        <x:v>4</x:v>
      </x:c>
      <x:c r="EF30" s="14" t="str">
        <x:v>未收錄</x:v>
      </x:c>
      <x:c r="EG30" s="14" t="str">
        <x:v>26724</x:v>
      </x:c>
      <x:c r="EH30" s="14" t="n">
        <x:v>3</x:v>
      </x:c>
      <x:c r="EI30" s="14" t="n">
        <x:v>542</x:v>
      </x:c>
      <x:c r="EJ30" s="14" t="n">
        <x:v>61</x:v>
      </x:c>
      <x:c r="EK30" s="14" t="n">
        <x:v>16</x:v>
      </x:c>
      <x:c r="EL30" s="14" t="n">
        <x:v>1</x:v>
      </x:c>
      <x:c r="EM30" s="14" t="str">
        <x:v>未收錄</x:v>
      </x:c>
      <x:c r="EN30" s="14" t="str">
        <x:v>26625</x:v>
      </x:c>
      <x:c r="EO30" s="14" t="n">
        <x:v>8</x:v>
      </x:c>
      <x:c r="EP30" s="14" t="n">
        <x:v>543</x:v>
      </x:c>
      <x:c r="EQ30" s="14" t="n">
        <x:v>62</x:v>
      </x:c>
      <x:c r="ER30" s="14" t="n">
        <x:v>16</x:v>
      </x:c>
      <x:c r="ES30" s="14" t="n">
        <x:v>2</x:v>
      </x:c>
      <x:c r="ET30" s="14" t="str">
        <x:v>未收錄</x:v>
      </x:c>
      <x:c r="EU30" s="14" t="str">
        <x:v>26626</x:v>
      </x:c>
      <x:c r="EV30" s="14" t="n">
        <x:v>8</x:v>
      </x:c>
      <x:c r="EW30" s="14" t="n">
        <x:v>544</x:v>
      </x:c>
      <x:c r="EX30" s="14" t="n">
        <x:v>63</x:v>
      </x:c>
      <x:c r="EY30" s="14" t="n">
        <x:v>16</x:v>
      </x:c>
      <x:c r="EZ30" s="14" t="n">
        <x:v>3</x:v>
      </x:c>
      <x:c r="FA30" s="14" t="str">
        <x:v>未收錄</x:v>
      </x:c>
      <x:c r="FB30" s="14" t="str">
        <x:v>26627</x:v>
      </x:c>
      <x:c r="FC30" s="14" t="n">
        <x:v>8</x:v>
      </x:c>
      <x:c r="FD30" s="14" t="n">
        <x:v>545</x:v>
      </x:c>
      <x:c r="FE30" s="14" t="n">
        <x:v>64</x:v>
      </x:c>
      <x:c r="FF30" s="14" t="n">
        <x:v>16</x:v>
      </x:c>
      <x:c r="FG30" s="14" t="n">
        <x:v>4</x:v>
      </x:c>
      <x:c r="FH30" s="14" t="str">
        <x:v>未收錄</x:v>
      </x:c>
      <x:c r="FI30" s="14" t="str">
        <x:v>23507</x:v>
      </x:c>
      <x:c r="FJ30" s="14" t="n">
        <x:v>8</x:v>
      </x:c>
      <x:c r="FK30" s="14" t="n">
        <x:v>692</x:v>
      </x:c>
      <x:c r="FL30" s="14" t="n">
        <x:v>61</x:v>
      </x:c>
      <x:c r="FM30" s="14" t="n">
        <x:v>16</x:v>
      </x:c>
      <x:c r="FN30" s="14" t="n">
        <x:v>1</x:v>
      </x:c>
      <x:c r="FO30" s="14" t="str">
        <x:v>未收錄</x:v>
      </x:c>
      <x:c r="FP30" s="14" t="str">
        <x:v>23508</x:v>
      </x:c>
      <x:c r="FQ30" s="14" t="n">
        <x:v>8</x:v>
      </x:c>
      <x:c r="FR30" s="14" t="n">
        <x:v>693</x:v>
      </x:c>
      <x:c r="FS30" s="14" t="n">
        <x:v>62</x:v>
      </x:c>
      <x:c r="FT30" s="14" t="n">
        <x:v>16</x:v>
      </x:c>
      <x:c r="FU30" s="14" t="n">
        <x:v>2</x:v>
      </x:c>
      <x:c r="FV30" s="14" t="str">
        <x:v>未收錄</x:v>
      </x:c>
      <x:c r="FW30" s="14" t="str">
        <x:v>23598</x:v>
      </x:c>
      <x:c r="FX30" s="14" t="n">
        <x:v>8</x:v>
      </x:c>
      <x:c r="FY30" s="14" t="n">
        <x:v>694</x:v>
      </x:c>
      <x:c r="FZ30" s="14" t="n">
        <x:v>63</x:v>
      </x:c>
      <x:c r="GA30" s="14" t="n">
        <x:v>16</x:v>
      </x:c>
      <x:c r="GB30" s="14" t="n">
        <x:v>3</x:v>
      </x:c>
      <x:c r="GC30" s="14" t="str">
        <x:v>未收錄</x:v>
      </x:c>
      <x:c r="GD30" s="14" t="str">
        <x:v>23599</x:v>
      </x:c>
      <x:c r="GE30" s="14" t="n">
        <x:v>8</x:v>
      </x:c>
      <x:c r="GF30" s="14" t="n">
        <x:v>695</x:v>
      </x:c>
      <x:c r="GG30" s="14" t="n">
        <x:v>64</x:v>
      </x:c>
      <x:c r="GH30" s="14" t="n">
        <x:v>16</x:v>
      </x:c>
      <x:c r="GI30" s="14" t="n">
        <x:v>4</x:v>
      </x:c>
      <x:c r="GJ30" s="14" t="str">
        <x:v>未收錄</x:v>
      </x:c>
      <x:c r="GK30" s="14" t="str">
        <x:v>23163</x:v>
      </x:c>
      <x:c r="GL30" s="14" t="n">
        <x:v>8</x:v>
      </x:c>
      <x:c r="GM30" s="14" t="n">
        <x:v>864</x:v>
      </x:c>
      <x:c r="GN30" s="14" t="n">
        <x:v>61</x:v>
      </x:c>
      <x:c r="GO30" s="14" t="n">
        <x:v>16</x:v>
      </x:c>
      <x:c r="GP30" s="14" t="n">
        <x:v>1</x:v>
      </x:c>
      <x:c r="GQ30" s="14" t="str">
        <x:v>未收錄</x:v>
      </x:c>
      <x:c r="GR30" s="14" t="str">
        <x:v>23509</x:v>
      </x:c>
      <x:c r="GS30" s="14" t="n">
        <x:v>8</x:v>
      </x:c>
      <x:c r="GT30" s="14" t="n">
        <x:v>865</x:v>
      </x:c>
      <x:c r="GU30" s="14" t="n">
        <x:v>62</x:v>
      </x:c>
      <x:c r="GV30" s="14" t="n">
        <x:v>16</x:v>
      </x:c>
      <x:c r="GW30" s="14" t="n">
        <x:v>2</x:v>
      </x:c>
      <x:c r="GX30" s="14" t="str">
        <x:v>未收錄</x:v>
      </x:c>
      <x:c r="GY30" s="14" t="str">
        <x:v>23510</x:v>
      </x:c>
      <x:c r="GZ30" s="14" t="n">
        <x:v>8</x:v>
      </x:c>
      <x:c r="HA30" s="14" t="n">
        <x:v>866</x:v>
      </x:c>
      <x:c r="HB30" s="14" t="n">
        <x:v>63</x:v>
      </x:c>
      <x:c r="HC30" s="14" t="n">
        <x:v>16</x:v>
      </x:c>
      <x:c r="HD30" s="14" t="n">
        <x:v>3</x:v>
      </x:c>
      <x:c r="HE30" s="14" t="str">
        <x:v>未收錄</x:v>
      </x:c>
      <x:c r="HF30" s="14" t="str">
        <x:v>23604</x:v>
      </x:c>
      <x:c r="HG30" s="14" t="n">
        <x:v>8</x:v>
      </x:c>
      <x:c r="HH30" s="14" t="n">
        <x:v>867</x:v>
      </x:c>
      <x:c r="HI30" s="14" t="n">
        <x:v>64</x:v>
      </x:c>
      <x:c r="HJ30" s="14" t="n">
        <x:v>16</x:v>
      </x:c>
      <x:c r="HK30" s="14" t="n">
        <x:v>4</x:v>
      </x:c>
      <x:c r="HL30" s="14" t="str">
        <x:v>未收錄</x:v>
      </x:c>
      <x:c r="HM30" s="14" t="str">
        <x:v>23168</x:v>
      </x:c>
      <x:c r="HN30" s="14" t="n">
        <x:v>8</x:v>
      </x:c>
      <x:c r="HO30" s="14" t="n">
        <x:v>1037</x:v>
      </x:c>
      <x:c r="HP30" s="14" t="n">
        <x:v>61</x:v>
      </x:c>
      <x:c r="HQ30" s="14" t="n">
        <x:v>16</x:v>
      </x:c>
      <x:c r="HR30" s="14" t="n">
        <x:v>1</x:v>
      </x:c>
      <x:c r="HS30" s="14" t="str">
        <x:v>未收錄</x:v>
      </x:c>
      <x:c r="HT30" s="14" t="str">
        <x:v>23658</x:v>
      </x:c>
      <x:c r="HU30" s="14" t="n">
        <x:v>8</x:v>
      </x:c>
      <x:c r="HV30" s="14" t="n">
        <x:v>1038</x:v>
      </x:c>
      <x:c r="HW30" s="14" t="n">
        <x:v>62</x:v>
      </x:c>
      <x:c r="HX30" s="14" t="n">
        <x:v>16</x:v>
      </x:c>
      <x:c r="HY30" s="14" t="n">
        <x:v>2</x:v>
      </x:c>
      <x:c r="HZ30" s="14" t="str">
        <x:v>未收錄</x:v>
      </x:c>
      <x:c r="IA30" s="14" t="str">
        <x:v>23169</x:v>
      </x:c>
      <x:c r="IB30" s="14" t="n">
        <x:v>8</x:v>
      </x:c>
      <x:c r="IC30" s="14" t="n">
        <x:v>1039</x:v>
      </x:c>
      <x:c r="ID30" s="14" t="n">
        <x:v>63</x:v>
      </x:c>
      <x:c r="IE30" s="14" t="n">
        <x:v>16</x:v>
      </x:c>
      <x:c r="IF30" s="14" t="n">
        <x:v>3</x:v>
      </x:c>
      <x:c r="IG30" s="14" t="str">
        <x:v>未收錄</x:v>
      </x:c>
      <x:c r="IH30" s="14" t="str">
        <x:v>23614</x:v>
      </x:c>
      <x:c r="II30" s="14" t="n">
        <x:v>8</x:v>
      </x:c>
      <x:c r="IJ30" s="14" t="n">
        <x:v>1040</x:v>
      </x:c>
      <x:c r="IK30" s="14" t="n">
        <x:v>64</x:v>
      </x:c>
      <x:c r="IL30" s="14" t="n">
        <x:v>16</x:v>
      </x:c>
      <x:c r="IM30" s="14" t="n">
        <x:v>4</x:v>
      </x:c>
      <x:c r="IN30" s="14" t="str">
        <x:v>未收錄</x:v>
      </x:c>
      <x:c r="IO30" s="14" t="str">
        <x:v>23616</x:v>
      </x:c>
      <x:c r="IP30" s="14" t="n">
        <x:v>8</x:v>
      </x:c>
      <x:c r="IQ30" s="14" t="n">
        <x:v>1205</x:v>
      </x:c>
      <x:c r="IR30" s="14" t="n">
        <x:v>61</x:v>
      </x:c>
      <x:c r="IS30" s="14" t="n">
        <x:v>16</x:v>
      </x:c>
      <x:c r="IT30" s="14" t="n">
        <x:v>1</x:v>
      </x:c>
      <x:c r="IU30" s="14" t="str">
        <x:v>未收錄</x:v>
      </x:c>
      <x:c r="IV30" s="14" t="str">
        <x:v>23617</x:v>
      </x:c>
      <x:c r="IW30" s="14" t="n">
        <x:v>8</x:v>
      </x:c>
      <x:c r="IX30" s="14" t="n">
        <x:v>1206</x:v>
      </x:c>
      <x:c r="IY30" s="14" t="n">
        <x:v>62</x:v>
      </x:c>
      <x:c r="IZ30" s="14" t="n">
        <x:v>16</x:v>
      </x:c>
      <x:c r="JA30" s="14" t="n">
        <x:v>2</x:v>
      </x:c>
      <x:c r="JB30" s="14" t="str">
        <x:v>未收錄</x:v>
      </x:c>
      <x:c r="JC30" s="14" t="str">
        <x:v>23932</x:v>
      </x:c>
      <x:c r="JD30" s="14" t="n">
        <x:v>8</x:v>
      </x:c>
      <x:c r="JE30" s="14" t="n">
        <x:v>1207</x:v>
      </x:c>
      <x:c r="JF30" s="14" t="n">
        <x:v>63</x:v>
      </x:c>
      <x:c r="JG30" s="14" t="n">
        <x:v>16</x:v>
      </x:c>
      <x:c r="JH30" s="14" t="n">
        <x:v>3</x:v>
      </x:c>
      <x:c r="JI30" s="14" t="str">
        <x:v>未收錄</x:v>
      </x:c>
      <x:c r="JJ30" s="14" t="str">
        <x:v>23933</x:v>
      </x:c>
      <x:c r="JK30" s="14" t="n">
        <x:v>8</x:v>
      </x:c>
      <x:c r="JL30" s="14" t="n">
        <x:v>1208</x:v>
      </x:c>
      <x:c r="JM30" s="14" t="n">
        <x:v>64</x:v>
      </x:c>
      <x:c r="JN30" s="14" t="n">
        <x:v>16</x:v>
      </x:c>
      <x:c r="JO30" s="14" t="n">
        <x:v>4</x:v>
      </x:c>
      <x:c r="JP30" s="14" t="str">
        <x:v>未收錄</x:v>
      </x:c>
      <x:c r="JQ30" s="14" t="str">
        <x:v>27068</x:v>
      </x:c>
      <x:c r="JR30" s="14" t="n">
        <x:v>8</x:v>
      </x:c>
      <x:c r="JS30" s="14" t="n">
        <x:v>1372</x:v>
      </x:c>
      <x:c r="JT30" s="14" t="n">
        <x:v>61</x:v>
      </x:c>
      <x:c r="JU30" s="14" t="n">
        <x:v>16</x:v>
      </x:c>
      <x:c r="JV30" s="14" t="n">
        <x:v>1</x:v>
      </x:c>
      <x:c r="JW30" s="14" t="str">
        <x:v>未收錄</x:v>
      </x:c>
      <x:c r="JX30" s="14" t="str">
        <x:v>27069</x:v>
      </x:c>
      <x:c r="JY30" s="14" t="n">
        <x:v>8</x:v>
      </x:c>
      <x:c r="JZ30" s="14" t="n">
        <x:v>1373</x:v>
      </x:c>
      <x:c r="KA30" s="14" t="n">
        <x:v>62</x:v>
      </x:c>
      <x:c r="KB30" s="14" t="n">
        <x:v>16</x:v>
      </x:c>
      <x:c r="KC30" s="14" t="n">
        <x:v>2</x:v>
      </x:c>
      <x:c r="KD30" s="14" t="str">
        <x:v>未收錄</x:v>
      </x:c>
      <x:c r="KE30" s="14" t="str">
        <x:v>27632</x:v>
      </x:c>
      <x:c r="KF30" s="14" t="n">
        <x:v>8</x:v>
      </x:c>
      <x:c r="KG30" s="14" t="n">
        <x:v>1374</x:v>
      </x:c>
      <x:c r="KH30" s="14" t="n">
        <x:v>63</x:v>
      </x:c>
      <x:c r="KI30" s="14" t="n">
        <x:v>16</x:v>
      </x:c>
      <x:c r="KJ30" s="14" t="n">
        <x:v>3</x:v>
      </x:c>
      <x:c r="KK30" s="14" t="str">
        <x:v>未收錄</x:v>
      </x:c>
      <x:c r="KL30" s="14" t="str">
        <x:v>27633</x:v>
      </x:c>
      <x:c r="KM30" s="14" t="n">
        <x:v>8</x:v>
      </x:c>
      <x:c r="KN30" s="14" t="n">
        <x:v>1375</x:v>
      </x:c>
      <x:c r="KO30" s="14" t="n">
        <x:v>64</x:v>
      </x:c>
      <x:c r="KP30" s="14" t="n">
        <x:v>16</x:v>
      </x:c>
      <x:c r="KQ30" s="14" t="n">
        <x:v>4</x:v>
      </x:c>
      <x:c r="KR30" s="14" t="str">
        <x:v>未收錄</x:v>
      </x:c>
      <x:c r="KS30" s="14" t="str">
        <x:v>27628</x:v>
      </x:c>
      <x:c r="KT30" s="14" t="n">
        <x:v>8</x:v>
      </x:c>
      <x:c r="KU30" s="14" t="n">
        <x:v>1487</x:v>
      </x:c>
      <x:c r="KV30" s="14" t="n">
        <x:v>61</x:v>
      </x:c>
      <x:c r="KW30" s="14" t="n">
        <x:v>16</x:v>
      </x:c>
      <x:c r="KX30" s="14" t="n">
        <x:v>1</x:v>
      </x:c>
      <x:c r="KY30" s="14" t="str">
        <x:v>未收錄</x:v>
      </x:c>
      <x:c r="KZ30" s="14" t="str">
        <x:v>27629</x:v>
      </x:c>
      <x:c r="LA30" s="14" t="n">
        <x:v>8</x:v>
      </x:c>
      <x:c r="LB30" s="14" t="n">
        <x:v>1488</x:v>
      </x:c>
      <x:c r="LC30" s="14" t="n">
        <x:v>62</x:v>
      </x:c>
      <x:c r="LD30" s="14" t="n">
        <x:v>16</x:v>
      </x:c>
      <x:c r="LE30" s="14" t="n">
        <x:v>2</x:v>
      </x:c>
      <x:c r="LF30" s="14" t="str">
        <x:v>未收錄</x:v>
      </x:c>
      <x:c r="LG30" s="14" t="str">
        <x:v>27630</x:v>
      </x:c>
      <x:c r="LH30" s="14" t="n">
        <x:v>8</x:v>
      </x:c>
      <x:c r="LI30" s="14" t="n">
        <x:v>1489</x:v>
      </x:c>
      <x:c r="LJ30" s="14" t="n">
        <x:v>63</x:v>
      </x:c>
      <x:c r="LK30" s="14" t="n">
        <x:v>16</x:v>
      </x:c>
      <x:c r="LL30" s="14" t="n">
        <x:v>3</x:v>
      </x:c>
      <x:c r="LM30" s="14" t="str">
        <x:v>未收錄</x:v>
      </x:c>
      <x:c r="LN30" s="14" t="str">
        <x:v>27631</x:v>
      </x:c>
      <x:c r="LO30" s="14" t="n">
        <x:v>8</x:v>
      </x:c>
      <x:c r="LP30" s="14" t="n">
        <x:v>1490</x:v>
      </x:c>
      <x:c r="LQ30" s="14" t="n">
        <x:v>64</x:v>
      </x:c>
      <x:c r="LR30" s="14" t="n">
        <x:v>16</x:v>
      </x:c>
      <x:c r="LS30" s="14" t="n">
        <x:v>4</x:v>
      </x:c>
      <x:c r="LT30" s="14" t="str">
        <x:v>未收錄</x:v>
      </x:c>
      <x:c r="LU30" s="14" t="str">
        <x:v>28376</x:v>
      </x:c>
      <x:c r="LV30" s="14" t="n">
        <x:v>8</x:v>
      </x:c>
      <x:c r="LW30" s="14" t="n">
        <x:v>1600</x:v>
      </x:c>
      <x:c r="LX30" s="14" t="n">
        <x:v>61</x:v>
      </x:c>
      <x:c r="LY30" s="14" t="n">
        <x:v>16</x:v>
      </x:c>
      <x:c r="LZ30" s="14" t="n">
        <x:v>1</x:v>
      </x:c>
      <x:c r="MA30" s="14" t="str">
        <x:v>未收錄</x:v>
      </x:c>
      <x:c r="MB30" s="14" t="str">
        <x:v>28377</x:v>
      </x:c>
      <x:c r="MC30" s="14" t="n">
        <x:v>8</x:v>
      </x:c>
      <x:c r="MD30" s="14" t="n">
        <x:v>1601</x:v>
      </x:c>
      <x:c r="ME30" s="14" t="n">
        <x:v>62</x:v>
      </x:c>
      <x:c r="MF30" s="14" t="n">
        <x:v>16</x:v>
      </x:c>
      <x:c r="MG30" s="14" t="n">
        <x:v>2</x:v>
      </x:c>
      <x:c r="MH30" s="14" t="str">
        <x:v>未收錄</x:v>
      </x:c>
      <x:c r="MI30" s="14" t="str">
        <x:v>28378</x:v>
      </x:c>
      <x:c r="MJ30" s="14" t="n">
        <x:v>8</x:v>
      </x:c>
      <x:c r="MK30" s="14" t="n">
        <x:v>1602</x:v>
      </x:c>
      <x:c r="ML30" s="14" t="n">
        <x:v>63</x:v>
      </x:c>
      <x:c r="MM30" s="14" t="n">
        <x:v>16</x:v>
      </x:c>
      <x:c r="MN30" s="14" t="n">
        <x:v>3</x:v>
      </x:c>
      <x:c r="MO30" s="14" t="str">
        <x:v>未收錄</x:v>
      </x:c>
      <x:c r="MP30" s="14" t="str">
        <x:v>28838</x:v>
      </x:c>
      <x:c r="MQ30" s="14" t="n">
        <x:v>8</x:v>
      </x:c>
      <x:c r="MR30" s="14" t="n">
        <x:v>1603</x:v>
      </x:c>
      <x:c r="MS30" s="14" t="n">
        <x:v>64</x:v>
      </x:c>
      <x:c r="MT30" s="14" t="n">
        <x:v>16</x:v>
      </x:c>
      <x:c r="MU30" s="14" t="n">
        <x:v>4</x:v>
      </x:c>
      <x:c r="MV30" s="14" t="str">
        <x:v>未收錄</x:v>
      </x:c>
      <x:c r="MW30" s="14" t="str">
        <x:v>26111</x:v>
      </x:c>
      <x:c r="MX30" s="14" t="n">
        <x:v>2</x:v>
      </x:c>
      <x:c r="MY30" s="14" t="n">
        <x:v>1709</x:v>
      </x:c>
      <x:c r="MZ30" s="14" t="n">
        <x:v>61</x:v>
      </x:c>
      <x:c r="NA30" s="14" t="n">
        <x:v>16</x:v>
      </x:c>
      <x:c r="NB30" s="14" t="n">
        <x:v>1</x:v>
      </x:c>
      <x:c r="NC30" s="14" t="str">
        <x:v>未收錄</x:v>
      </x:c>
      <x:c r="ND30" s="14" t="str">
        <x:v>28226</x:v>
      </x:c>
      <x:c r="NE30" s="14" t="n">
        <x:v>2</x:v>
      </x:c>
      <x:c r="NF30" s="14" t="n">
        <x:v>1710</x:v>
      </x:c>
      <x:c r="NG30" s="14" t="n">
        <x:v>62</x:v>
      </x:c>
      <x:c r="NH30" s="14" t="n">
        <x:v>16</x:v>
      </x:c>
      <x:c r="NI30" s="14" t="n">
        <x:v>2</x:v>
      </x:c>
      <x:c r="NJ30" s="14" t="str">
        <x:v>未收錄</x:v>
      </x:c>
      <x:c r="NK30" s="14" t="str">
        <x:v>29165</x:v>
      </x:c>
      <x:c r="NL30" s="14" t="n">
        <x:v>2</x:v>
      </x:c>
      <x:c r="NM30" s="14" t="n">
        <x:v>1711</x:v>
      </x:c>
      <x:c r="NN30" s="14" t="n">
        <x:v>63</x:v>
      </x:c>
      <x:c r="NO30" s="14" t="n">
        <x:v>16</x:v>
      </x:c>
      <x:c r="NP30" s="14" t="n">
        <x:v>3</x:v>
      </x:c>
      <x:c r="NQ30" s="14" t="str">
        <x:v>未收錄</x:v>
      </x:c>
      <x:c r="NR30" s="14" t="str">
        <x:v>29853</x:v>
      </x:c>
      <x:c r="NS30" s="14" t="n">
        <x:v>2</x:v>
      </x:c>
      <x:c r="NT30" s="14" t="n">
        <x:v>1712</x:v>
      </x:c>
      <x:c r="NU30" s="14" t="n">
        <x:v>64</x:v>
      </x:c>
      <x:c r="NV30" s="14" t="n">
        <x:v>16</x:v>
      </x:c>
      <x:c r="NW30" s="14" t="n">
        <x:v>4</x:v>
      </x:c>
      <x:c r="NX30" s="14" t="str">
        <x:v>未收錄</x:v>
      </x:c>
      <x:c r="NY30" s="14" t="str">
        <x:v>30554</x:v>
      </x:c>
      <x:c r="NZ30" s="14" t="n">
        <x:v>2</x:v>
      </x:c>
      <x:c r="OA30" s="14" t="n">
        <x:v>2162</x:v>
      </x:c>
      <x:c r="OB30" s="14" t="n">
        <x:v>61</x:v>
      </x:c>
      <x:c r="OC30" s="14" t="n">
        <x:v>16</x:v>
      </x:c>
      <x:c r="OD30" s="14" t="n">
        <x:v>1</x:v>
      </x:c>
      <x:c r="OE30" s="14" t="str">
        <x:v>未收錄</x:v>
      </x:c>
      <x:c r="OF30" s="14" t="str">
        <x:v>21421</x:v>
      </x:c>
      <x:c r="OG30" s="14" t="n">
        <x:v>3</x:v>
      </x:c>
      <x:c r="OH30" s="14" t="n">
        <x:v>2163</x:v>
      </x:c>
      <x:c r="OI30" s="14" t="n">
        <x:v>62</x:v>
      </x:c>
      <x:c r="OJ30" s="14" t="n">
        <x:v>16</x:v>
      </x:c>
      <x:c r="OK30" s="14" t="n">
        <x:v>2</x:v>
      </x:c>
      <x:c r="OL30" s="14" t="str">
        <x:v>未收錄</x:v>
      </x:c>
      <x:c r="OM30" s="14" t="str">
        <x:v>21882</x:v>
      </x:c>
      <x:c r="ON30" s="14" t="n">
        <x:v>3</x:v>
      </x:c>
      <x:c r="OO30" s="14" t="n">
        <x:v>2164</x:v>
      </x:c>
      <x:c r="OP30" s="14" t="n">
        <x:v>63</x:v>
      </x:c>
      <x:c r="OQ30" s="14" t="n">
        <x:v>16</x:v>
      </x:c>
      <x:c r="OR30" s="14" t="n">
        <x:v>3</x:v>
      </x:c>
      <x:c r="OS30" s="14" t="str">
        <x:v>未收錄</x:v>
      </x:c>
      <x:c r="OT30" s="14" t="str">
        <x:v>21884</x:v>
      </x:c>
      <x:c r="OU30" s="14" t="n">
        <x:v>3</x:v>
      </x:c>
      <x:c r="OV30" s="14" t="n">
        <x:v>2165</x:v>
      </x:c>
      <x:c r="OW30" s="14" t="n">
        <x:v>64</x:v>
      </x:c>
      <x:c r="OX30" s="14" t="n">
        <x:v>16</x:v>
      </x:c>
      <x:c r="OY30" s="14" t="n">
        <x:v>4</x:v>
      </x:c>
      <x:c r="OZ30" s="14" t="str">
        <x:v>未收錄</x:v>
      </x:c>
      <x:c r="PA30" s="14" t="str">
        <x:v>21513</x:v>
      </x:c>
      <x:c r="PB30" s="14" t="n">
        <x:v>5</x:v>
      </x:c>
      <x:c r="PC30" s="14" t="n">
        <x:v>2708</x:v>
      </x:c>
      <x:c r="PD30" s="14" t="n">
        <x:v>61</x:v>
      </x:c>
      <x:c r="PE30" s="14" t="n">
        <x:v>16</x:v>
      </x:c>
      <x:c r="PF30" s="14" t="n">
        <x:v>1</x:v>
      </x:c>
      <x:c r="PG30" s="14" t="str">
        <x:v>未收錄</x:v>
      </x:c>
      <x:c r="PH30" s="14" t="str">
        <x:v>21514</x:v>
      </x:c>
      <x:c r="PI30" s="14" t="n">
        <x:v>5</x:v>
      </x:c>
      <x:c r="PJ30" s="14" t="n">
        <x:v>2709</x:v>
      </x:c>
      <x:c r="PK30" s="14" t="n">
        <x:v>62</x:v>
      </x:c>
      <x:c r="PL30" s="14" t="n">
        <x:v>16</x:v>
      </x:c>
      <x:c r="PM30" s="14" t="n">
        <x:v>2</x:v>
      </x:c>
      <x:c r="PN30" s="14" t="str">
        <x:v>未收錄</x:v>
      </x:c>
      <x:c r="PO30" s="14" t="str">
        <x:v>21515</x:v>
      </x:c>
      <x:c r="PP30" s="14" t="n">
        <x:v>5</x:v>
      </x:c>
      <x:c r="PQ30" s="14" t="n">
        <x:v>2710</x:v>
      </x:c>
      <x:c r="PR30" s="14" t="n">
        <x:v>63</x:v>
      </x:c>
      <x:c r="PS30" s="14" t="n">
        <x:v>16</x:v>
      </x:c>
      <x:c r="PT30" s="14" t="n">
        <x:v>3</x:v>
      </x:c>
      <x:c r="PU30" s="14" t="str">
        <x:v>未收錄</x:v>
      </x:c>
      <x:c r="PV30" s="14" t="str">
        <x:v>21516</x:v>
      </x:c>
      <x:c r="PW30" s="14" t="n">
        <x:v>5</x:v>
      </x:c>
      <x:c r="PX30" s="14" t="n">
        <x:v>2711</x:v>
      </x:c>
      <x:c r="PY30" s="14" t="n">
        <x:v>64</x:v>
      </x:c>
      <x:c r="PZ30" s="14" t="n">
        <x:v>16</x:v>
      </x:c>
      <x:c r="QA30" s="14" t="n">
        <x:v>4</x:v>
      </x:c>
      <x:c r="QB30" s="14" t="str">
        <x:v>未收錄</x:v>
      </x:c>
      <x:c r="QC30" s="14" t="str">
        <x:v>21527</x:v>
      </x:c>
      <x:c r="QD30" s="14" t="n">
        <x:v>5</x:v>
      </x:c>
      <x:c r="QE30" s="14" t="n">
        <x:v>3145</x:v>
      </x:c>
      <x:c r="QF30" s="14" t="n">
        <x:v>61</x:v>
      </x:c>
      <x:c r="QG30" s="14" t="n">
        <x:v>16</x:v>
      </x:c>
      <x:c r="QH30" s="14" t="n">
        <x:v>1</x:v>
      </x:c>
      <x:c r="QI30" s="14" t="str">
        <x:v>未收錄</x:v>
      </x:c>
      <x:c r="QJ30" s="14" t="str">
        <x:v>21528</x:v>
      </x:c>
      <x:c r="QK30" s="14" t="n">
        <x:v>5</x:v>
      </x:c>
      <x:c r="QL30" s="14" t="n">
        <x:v>3146</x:v>
      </x:c>
      <x:c r="QM30" s="14" t="n">
        <x:v>62</x:v>
      </x:c>
      <x:c r="QN30" s="14" t="n">
        <x:v>16</x:v>
      </x:c>
      <x:c r="QO30" s="14" t="n">
        <x:v>2</x:v>
      </x:c>
      <x:c r="QP30" s="14" t="str">
        <x:v>未收錄</x:v>
      </x:c>
      <x:c r="QQ30" s="14" t="str">
        <x:v>21529</x:v>
      </x:c>
      <x:c r="QR30" s="14" t="n">
        <x:v>5</x:v>
      </x:c>
      <x:c r="QS30" s="14" t="n">
        <x:v>3147</x:v>
      </x:c>
      <x:c r="QT30" s="14" t="n">
        <x:v>63</x:v>
      </x:c>
      <x:c r="QU30" s="14" t="n">
        <x:v>16</x:v>
      </x:c>
      <x:c r="QV30" s="14" t="n">
        <x:v>3</x:v>
      </x:c>
      <x:c r="QW30" s="14" t="str">
        <x:v>未收錄</x:v>
      </x:c>
      <x:c r="QX30" s="14" t="str">
        <x:v>21530</x:v>
      </x:c>
      <x:c r="QY30" s="14" t="n">
        <x:v>5</x:v>
      </x:c>
      <x:c r="QZ30" s="14" t="n">
        <x:v>3148</x:v>
      </x:c>
      <x:c r="RA30" s="14" t="n">
        <x:v>64</x:v>
      </x:c>
      <x:c r="RB30" s="14" t="n">
        <x:v>16</x:v>
      </x:c>
      <x:c r="RC30" s="14" t="n">
        <x:v>4</x:v>
      </x:c>
      <x:c r="RD30" s="14" t="str">
        <x:v>未收錄</x:v>
      </x:c>
      <x:c r="RE30" s="14" t="str">
        <x:v>21142</x:v>
      </x:c>
      <x:c r="RF30" s="14" t="n">
        <x:v>5</x:v>
      </x:c>
      <x:c r="RG30" s="14" t="n">
        <x:v>3606</x:v>
      </x:c>
      <x:c r="RH30" s="14" t="n">
        <x:v>61</x:v>
      </x:c>
      <x:c r="RI30" s="14" t="n">
        <x:v>16</x:v>
      </x:c>
      <x:c r="RJ30" s="14" t="n">
        <x:v>1</x:v>
      </x:c>
      <x:c r="RK30" s="14" t="str">
        <x:v>未收錄</x:v>
      </x:c>
      <x:c r="RL30" s="14" t="str">
        <x:v>21143</x:v>
      </x:c>
      <x:c r="RM30" s="14" t="n">
        <x:v>5</x:v>
      </x:c>
      <x:c r="RN30" s="14" t="n">
        <x:v>3607</x:v>
      </x:c>
      <x:c r="RO30" s="14" t="n">
        <x:v>62</x:v>
      </x:c>
      <x:c r="RP30" s="14" t="n">
        <x:v>16</x:v>
      </x:c>
      <x:c r="RQ30" s="14" t="n">
        <x:v>2</x:v>
      </x:c>
      <x:c r="RR30" s="14" t="str">
        <x:v>未收錄</x:v>
      </x:c>
      <x:c r="RS30" s="14" t="str">
        <x:v>21144</x:v>
      </x:c>
      <x:c r="RT30" s="14" t="n">
        <x:v>5</x:v>
      </x:c>
      <x:c r="RU30" s="14" t="n">
        <x:v>3608</x:v>
      </x:c>
      <x:c r="RV30" s="14" t="n">
        <x:v>63</x:v>
      </x:c>
      <x:c r="RW30" s="14" t="n">
        <x:v>16</x:v>
      </x:c>
      <x:c r="RX30" s="14" t="n">
        <x:v>3</x:v>
      </x:c>
      <x:c r="RY30" s="14" t="str">
        <x:v>未收錄</x:v>
      </x:c>
      <x:c r="RZ30" s="14" t="str">
        <x:v>21145</x:v>
      </x:c>
      <x:c r="SA30" s="14" t="n">
        <x:v>5</x:v>
      </x:c>
      <x:c r="SB30" s="14" t="n">
        <x:v>3609</x:v>
      </x:c>
      <x:c r="SC30" s="14" t="n">
        <x:v>64</x:v>
      </x:c>
      <x:c r="SD30" s="14" t="n">
        <x:v>16</x:v>
      </x:c>
      <x:c r="SE30" s="14" t="n">
        <x:v>4</x:v>
      </x:c>
      <x:c r="SF30" s="14" t="str">
        <x:v>未收錄</x:v>
      </x:c>
      <x:c r="SG30" s="14" t="str">
        <x:v>30170</x:v>
      </x:c>
      <x:c r="SH30" s="14" t="n">
        <x:v>10</x:v>
      </x:c>
      <x:c r="SI30" s="14" t="n">
        <x:v>4030</x:v>
      </x:c>
      <x:c r="SJ30" s="14" t="n">
        <x:v>61</x:v>
      </x:c>
      <x:c r="SK30" s="14" t="n">
        <x:v>16</x:v>
      </x:c>
      <x:c r="SL30" s="14" t="n">
        <x:v>1</x:v>
      </x:c>
      <x:c r="SM30" s="14" t="str">
        <x:v>未收錄</x:v>
      </x:c>
      <x:c r="SN30" s="14" t="str">
        <x:v>30171</x:v>
      </x:c>
      <x:c r="SO30" s="14" t="n">
        <x:v>10</x:v>
      </x:c>
      <x:c r="SP30" s="14" t="n">
        <x:v>4031</x:v>
      </x:c>
      <x:c r="SQ30" s="14" t="n">
        <x:v>62</x:v>
      </x:c>
      <x:c r="SR30" s="14" t="n">
        <x:v>16</x:v>
      </x:c>
      <x:c r="SS30" s="14" t="n">
        <x:v>2</x:v>
      </x:c>
      <x:c r="ST30" s="14" t="str">
        <x:v>未收錄</x:v>
      </x:c>
      <x:c r="SU30" s="14" t="str">
        <x:v>30610</x:v>
      </x:c>
      <x:c r="SV30" s="14" t="n">
        <x:v>20</x:v>
      </x:c>
      <x:c r="SW30" s="14" t="n">
        <x:v>4032</x:v>
      </x:c>
      <x:c r="SX30" s="14" t="n">
        <x:v>63</x:v>
      </x:c>
      <x:c r="SY30" s="14" t="n">
        <x:v>16</x:v>
      </x:c>
      <x:c r="SZ30" s="14" t="n">
        <x:v>3</x:v>
      </x:c>
      <x:c r="TA30" s="14" t="str">
        <x:v>未收錄</x:v>
      </x:c>
      <x:c r="TB30" s="14" t="str">
        <x:v>30636</x:v>
      </x:c>
      <x:c r="TC30" s="14" t="n">
        <x:v>10</x:v>
      </x:c>
      <x:c r="TD30" s="14" t="n">
        <x:v>4033</x:v>
      </x:c>
      <x:c r="TE30" s="14" t="n">
        <x:v>64</x:v>
      </x:c>
      <x:c r="TF30" s="14" t="n">
        <x:v>16</x:v>
      </x:c>
      <x:c r="TG30" s="14" t="n">
        <x:v>4</x:v>
      </x:c>
      <x:c r="TH30" s="14" t="str">
        <x:v>未收錄</x:v>
      </x:c>
    </x:row>
    <x:row r="31" ht="15" customHeight="1">
      <x:c r="A31" s="17" t="str">
        <x:v>御雷劍</x:v>
      </x:c>
      <x:c r="B31" s="17" t="str">
        <x:v>地靈御雷劍</x:v>
      </x:c>
      <x:c r="C31" s="17" t="str">
        <x:v>絕世御雷劍</x:v>
      </x:c>
      <x:c r="D31" s="17" t="str">
        <x:v>辟鬼劍</x:v>
      </x:c>
      <x:c r="E31" s="14"/>
      <x:c r="F31" s="17" t="str">
        <x:v>末日刀</x:v>
      </x:c>
      <x:c r="G31" s="17" t="str">
        <x:v>斷水刀</x:v>
      </x:c>
      <x:c r="H31" s="17" t="str">
        <x:v>海神刃</x:v>
      </x:c>
      <x:c r="I31" s="17" t="str">
        <x:v>畫影刀</x:v>
      </x:c>
      <x:c r="J31" s="14"/>
      <x:c r="K31" s="17" t="str">
        <x:v>太古歲光暈</x:v>
      </x:c>
      <x:c r="L31" s="17" t="str">
        <x:v>仙庭九華珥</x:v>
      </x:c>
      <x:c r="M31" s="17" t="str">
        <x:v>琉光八雲冕</x:v>
      </x:c>
      <x:c r="N31" s="17" t="str">
        <x:v>金火夜叉輪</x:v>
      </x:c>
      <x:c r="O31" s="14"/>
      <x:c r="P31" s="17" t="str">
        <x:v>隍土鎮剎拂</x:v>
      </x:c>
      <x:c r="Q31" s="17" t="str">
        <x:v>喚魂白幡</x:v>
      </x:c>
      <x:c r="R31" s="17" t="str">
        <x:v>贖世淨業幡</x:v>
      </x:c>
      <x:c r="S31" s="17" t="str">
        <x:v>慈護超生幡</x:v>
      </x:c>
      <x:c r="T31" s="14"/>
      <x:c r="U31" s="17" t="str">
        <x:v>永絕輪迴杖</x:v>
      </x:c>
      <x:c r="V31" s="17" t="str">
        <x:v>焦土魔靨杖</x:v>
      </x:c>
      <x:c r="W31" s="17" t="str">
        <x:v>天儀幡杖</x:v>
      </x:c>
      <x:c r="X31" s="17" t="str">
        <x:v>極樂往生杖</x:v>
      </x:c>
      <x:c r="Y31" s="14"/>
      <x:c r="Z31" s="17" t="str">
        <x:v>無雙妖龍槍</x:v>
      </x:c>
      <x:c r="AA31" s="17" t="str">
        <x:v>皇邪戮神槍</x:v>
      </x:c>
      <x:c r="AB31" s="17" t="str">
        <x:v>妖滅天殛魔槍</x:v>
      </x:c>
      <x:c r="AC31" s="17" t="str">
        <x:v>凶亡天殛魔槍</x:v>
      </x:c>
      <x:c r="AD31" s="14"/>
      <x:c r="AE31" s="17" t="str">
        <x:v>惡斬天殛魔棍</x:v>
      </x:c>
      <x:c r="AF31" s="17" t="str">
        <x:v>獸殺天殛魔棍</x:v>
      </x:c>
      <x:c r="AG31" s="17" t="str">
        <x:v>貫雲雙雷棍</x:v>
      </x:c>
      <x:c r="AH31" s="17" t="str">
        <x:v>太古貫雲雙雷棍</x:v>
      </x:c>
      <x:c r="AI31" s="14"/>
      <x:c r="AJ31" s="17" t="str">
        <x:v>元宙‧轟雷錘</x:v>
      </x:c>
      <x:c r="AK31" s="17" t="str">
        <x:v>真宇傲轟雷錘</x:v>
      </x:c>
      <x:c r="AL31" s="17" t="str">
        <x:v>九河錘★</x:v>
      </x:c>
      <x:c r="AM31" s="17" t="str">
        <x:v>九河錘★★</x:v>
      </x:c>
      <x:c r="AN31" s="14"/>
      <x:c r="AO31" s="17" t="str">
        <x:v>瑤月斧★</x:v>
      </x:c>
      <x:c r="AP31" s="17" t="str">
        <x:v>瑤月斧★★</x:v>
      </x:c>
      <x:c r="AQ31" s="17" t="str">
        <x:v>瑤月斧★★★</x:v>
      </x:c>
      <x:c r="AR31" s="17" t="str">
        <x:v>帛度斧☆</x:v>
      </x:c>
      <x:c r="AS31" s="14"/>
      <x:c r="AT31" s="17" t="str">
        <x:v>天紀盾☆☆</x:v>
      </x:c>
      <x:c r="AU31" s="17" t="str">
        <x:v>天紀盾☆☆☆</x:v>
      </x:c>
      <x:c r="AV31" s="17" t="str">
        <x:v>疆嶽盾☆</x:v>
      </x:c>
      <x:c r="AW31" s="17" t="str">
        <x:v>疆嶽盾★</x:v>
      </x:c>
      <x:c r="AX31" s="14"/>
      <x:c r="AY31" s="17" t="str">
        <x:v>長疆戰盔</x:v>
      </x:c>
      <x:c r="AZ31" s="17" t="str">
        <x:v>南遼護盔</x:v>
      </x:c>
      <x:c r="BA31" s="17" t="str">
        <x:v>侏人面盔</x:v>
      </x:c>
      <x:c r="BB31" s="17" t="str">
        <x:v>刺客面具</x:v>
      </x:c>
      <x:c r="BC31" s="14"/>
      <x:c r="BD31" s="17" t="str">
        <x:v>虎王鎧</x:v>
      </x:c>
      <x:c r="BE31" s="17" t="str">
        <x:v>鬼王鎧</x:v>
      </x:c>
      <x:c r="BF31" s="17" t="str">
        <x:v>百眼法袍</x:v>
      </x:c>
      <x:c r="BG31" s="17" t="str">
        <x:v>土行者之甲</x:v>
      </x:c>
      <x:c r="BH31" s="14"/>
      <x:c r="BI31" s="17" t="str">
        <x:v>豹紋護腕</x:v>
      </x:c>
      <x:c r="BJ31" s="17" t="str">
        <x:v>鳳雉護腕</x:v>
      </x:c>
      <x:c r="BK31" s="17" t="str">
        <x:v>雁翎護腕</x:v>
      </x:c>
      <x:c r="BL31" s="17" t="str">
        <x:v>千鶴護腕</x:v>
      </x:c>
      <x:c r="BM31" s="14"/>
      <x:c r="BN31" s="17" t="str">
        <x:v>蝶紋靴</x:v>
      </x:c>
      <x:c r="BO31" s="17" t="str">
        <x:v>虎紋靴</x:v>
      </x:c>
      <x:c r="BP31" s="17" t="str">
        <x:v>豹紋靴</x:v>
      </x:c>
      <x:c r="BQ31" s="17" t="str">
        <x:v>鳳雉靴</x:v>
      </x:c>
      <x:c r="BR31" s="14"/>
      <x:c r="BS31" s="17" t="str">
        <x:v>水晶掛鍊</x:v>
      </x:c>
      <x:c r="BT31" s="17" t="str">
        <x:v>地火寶袋</x:v>
      </x:c>
      <x:c r="BU31" s="17" t="str">
        <x:v>玄冰地靈護符</x:v>
      </x:c>
      <x:c r="BV31" s="17" t="str">
        <x:v>真火地靈護符</x:v>
      </x:c>
      <x:c r="BW31" s="14"/>
      <x:c r="BX31" s="17" t="str">
        <x:v>顛夢虛幻抄</x:v>
      </x:c>
      <x:c r="BY31" s="17" t="str">
        <x:v>王狼淵壑檄</x:v>
      </x:c>
      <x:c r="BZ31" s="17" t="str">
        <x:v>王狼連山檄</x:v>
      </x:c>
      <x:c r="CA31" s="17" t="str">
        <x:v>王狼雪川檄</x:v>
      </x:c>
      <x:c r="CB31" s="14"/>
      <x:c r="CC31" s="14" t="str">
        <x:v>20763</x:v>
      </x:c>
      <x:c r="CD31" s="14" t="n">
        <x:v>8</x:v>
      </x:c>
      <x:c r="CE31" s="14" t="n">
        <x:v>65</x:v>
      </x:c>
      <x:c r="CF31" s="14" t="n">
        <x:v>65</x:v>
      </x:c>
      <x:c r="CG31" s="14" t="n">
        <x:v>17</x:v>
      </x:c>
      <x:c r="CH31" s="14" t="n">
        <x:v>1</x:v>
      </x:c>
      <x:c r="CI31" s="14" t="str">
        <x:v>未收錄</x:v>
      </x:c>
      <x:c r="CJ31" s="14" t="str">
        <x:v>21993</x:v>
      </x:c>
      <x:c r="CK31" s="14" t="n">
        <x:v>8</x:v>
      </x:c>
      <x:c r="CL31" s="14" t="n">
        <x:v>66</x:v>
      </x:c>
      <x:c r="CM31" s="14" t="n">
        <x:v>66</x:v>
      </x:c>
      <x:c r="CN31" s="14" t="n">
        <x:v>17</x:v>
      </x:c>
      <x:c r="CO31" s="14" t="n">
        <x:v>2</x:v>
      </x:c>
      <x:c r="CP31" s="14" t="str">
        <x:v>未收錄</x:v>
      </x:c>
      <x:c r="CQ31" s="14" t="str">
        <x:v>22036</x:v>
      </x:c>
      <x:c r="CR31" s="14" t="n">
        <x:v>8</x:v>
      </x:c>
      <x:c r="CS31" s="14" t="n">
        <x:v>67</x:v>
      </x:c>
      <x:c r="CT31" s="14" t="n">
        <x:v>67</x:v>
      </x:c>
      <x:c r="CU31" s="14" t="n">
        <x:v>17</x:v>
      </x:c>
      <x:c r="CV31" s="14" t="n">
        <x:v>3</x:v>
      </x:c>
      <x:c r="CW31" s="14" t="str">
        <x:v>未收錄</x:v>
      </x:c>
      <x:c r="CX31" s="14" t="str">
        <x:v>20764</x:v>
      </x:c>
      <x:c r="CY31" s="14" t="n">
        <x:v>8</x:v>
      </x:c>
      <x:c r="CZ31" s="14" t="n">
        <x:v>68</x:v>
      </x:c>
      <x:c r="DA31" s="14" t="n">
        <x:v>68</x:v>
      </x:c>
      <x:c r="DB31" s="14" t="n">
        <x:v>17</x:v>
      </x:c>
      <x:c r="DC31" s="14" t="n">
        <x:v>4</x:v>
      </x:c>
      <x:c r="DD31" s="14" t="str">
        <x:v>未收錄</x:v>
      </x:c>
      <x:c r="DE31" s="14" t="str">
        <x:v>21085</x:v>
      </x:c>
      <x:c r="DF31" s="14" t="n">
        <x:v>8</x:v>
      </x:c>
      <x:c r="DG31" s="14" t="n">
        <x:v>310</x:v>
      </x:c>
      <x:c r="DH31" s="14" t="n">
        <x:v>65</x:v>
      </x:c>
      <x:c r="DI31" s="14" t="n">
        <x:v>17</x:v>
      </x:c>
      <x:c r="DJ31" s="14" t="n">
        <x:v>1</x:v>
      </x:c>
      <x:c r="DK31" s="14" t="str">
        <x:v>未收錄</x:v>
      </x:c>
      <x:c r="DL31" s="14" t="str">
        <x:v>21308</x:v>
      </x:c>
      <x:c r="DM31" s="14" t="n">
        <x:v>8</x:v>
      </x:c>
      <x:c r="DN31" s="14" t="n">
        <x:v>311</x:v>
      </x:c>
      <x:c r="DO31" s="14" t="n">
        <x:v>66</x:v>
      </x:c>
      <x:c r="DP31" s="14" t="n">
        <x:v>17</x:v>
      </x:c>
      <x:c r="DQ31" s="14" t="n">
        <x:v>2</x:v>
      </x:c>
      <x:c r="DR31" s="14" t="str">
        <x:v>未收錄</x:v>
      </x:c>
      <x:c r="DS31" s="14" t="str">
        <x:v>21309</x:v>
      </x:c>
      <x:c r="DT31" s="14" t="n">
        <x:v>8</x:v>
      </x:c>
      <x:c r="DU31" s="14" t="n">
        <x:v>312</x:v>
      </x:c>
      <x:c r="DV31" s="14" t="n">
        <x:v>67</x:v>
      </x:c>
      <x:c r="DW31" s="14" t="n">
        <x:v>17</x:v>
      </x:c>
      <x:c r="DX31" s="14" t="n">
        <x:v>3</x:v>
      </x:c>
      <x:c r="DY31" s="14" t="str">
        <x:v>未收錄</x:v>
      </x:c>
      <x:c r="DZ31" s="14" t="str">
        <x:v>21543</x:v>
      </x:c>
      <x:c r="EA31" s="14" t="n">
        <x:v>8</x:v>
      </x:c>
      <x:c r="EB31" s="14" t="n">
        <x:v>313</x:v>
      </x:c>
      <x:c r="EC31" s="14" t="n">
        <x:v>68</x:v>
      </x:c>
      <x:c r="ED31" s="14" t="n">
        <x:v>17</x:v>
      </x:c>
      <x:c r="EE31" s="14" t="n">
        <x:v>4</x:v>
      </x:c>
      <x:c r="EF31" s="14" t="str">
        <x:v>未收錄</x:v>
      </x:c>
      <x:c r="EG31" s="14" t="str">
        <x:v>26733</x:v>
      </x:c>
      <x:c r="EH31" s="14" t="n">
        <x:v>3</x:v>
      </x:c>
      <x:c r="EI31" s="14" t="n">
        <x:v>546</x:v>
      </x:c>
      <x:c r="EJ31" s="14" t="n">
        <x:v>65</x:v>
      </x:c>
      <x:c r="EK31" s="14" t="n">
        <x:v>17</x:v>
      </x:c>
      <x:c r="EL31" s="14" t="n">
        <x:v>1</x:v>
      </x:c>
      <x:c r="EM31" s="14" t="str">
        <x:v>未收錄</x:v>
      </x:c>
      <x:c r="EN31" s="14" t="str">
        <x:v>26628</x:v>
      </x:c>
      <x:c r="EO31" s="14" t="n">
        <x:v>8</x:v>
      </x:c>
      <x:c r="EP31" s="14" t="n">
        <x:v>547</x:v>
      </x:c>
      <x:c r="EQ31" s="14" t="n">
        <x:v>66</x:v>
      </x:c>
      <x:c r="ER31" s="14" t="n">
        <x:v>17</x:v>
      </x:c>
      <x:c r="ES31" s="14" t="n">
        <x:v>2</x:v>
      </x:c>
      <x:c r="ET31" s="14" t="str">
        <x:v>未收錄</x:v>
      </x:c>
      <x:c r="EU31" s="14" t="str">
        <x:v>26629</x:v>
      </x:c>
      <x:c r="EV31" s="14" t="n">
        <x:v>8</x:v>
      </x:c>
      <x:c r="EW31" s="14" t="n">
        <x:v>548</x:v>
      </x:c>
      <x:c r="EX31" s="14" t="n">
        <x:v>67</x:v>
      </x:c>
      <x:c r="EY31" s="14" t="n">
        <x:v>17</x:v>
      </x:c>
      <x:c r="EZ31" s="14" t="n">
        <x:v>3</x:v>
      </x:c>
      <x:c r="FA31" s="14" t="str">
        <x:v>未收錄</x:v>
      </x:c>
      <x:c r="FB31" s="14" t="str">
        <x:v>26938</x:v>
      </x:c>
      <x:c r="FC31" s="14" t="n">
        <x:v>8</x:v>
      </x:c>
      <x:c r="FD31" s="14" t="n">
        <x:v>549</x:v>
      </x:c>
      <x:c r="FE31" s="14" t="n">
        <x:v>68</x:v>
      </x:c>
      <x:c r="FF31" s="14" t="n">
        <x:v>17</x:v>
      </x:c>
      <x:c r="FG31" s="14" t="n">
        <x:v>4</x:v>
      </x:c>
      <x:c r="FH31" s="14" t="str">
        <x:v>未收錄</x:v>
      </x:c>
      <x:c r="FI31" s="14" t="str">
        <x:v>23600</x:v>
      </x:c>
      <x:c r="FJ31" s="14" t="n">
        <x:v>8</x:v>
      </x:c>
      <x:c r="FK31" s="14" t="n">
        <x:v>696</x:v>
      </x:c>
      <x:c r="FL31" s="14" t="n">
        <x:v>65</x:v>
      </x:c>
      <x:c r="FM31" s="14" t="n">
        <x:v>17</x:v>
      </x:c>
      <x:c r="FN31" s="14" t="n">
        <x:v>1</x:v>
      </x:c>
      <x:c r="FO31" s="14" t="str">
        <x:v>未收錄</x:v>
      </x:c>
      <x:c r="FP31" s="14" t="str">
        <x:v>23601</x:v>
      </x:c>
      <x:c r="FQ31" s="14" t="n">
        <x:v>8</x:v>
      </x:c>
      <x:c r="FR31" s="14" t="n">
        <x:v>697</x:v>
      </x:c>
      <x:c r="FS31" s="14" t="n">
        <x:v>66</x:v>
      </x:c>
      <x:c r="FT31" s="14" t="n">
        <x:v>17</x:v>
      </x:c>
      <x:c r="FU31" s="14" t="n">
        <x:v>2</x:v>
      </x:c>
      <x:c r="FV31" s="14" t="str">
        <x:v>未收錄</x:v>
      </x:c>
      <x:c r="FW31" s="14" t="str">
        <x:v>23602</x:v>
      </x:c>
      <x:c r="FX31" s="14" t="n">
        <x:v>8</x:v>
      </x:c>
      <x:c r="FY31" s="14" t="n">
        <x:v>698</x:v>
      </x:c>
      <x:c r="FZ31" s="14" t="n">
        <x:v>67</x:v>
      </x:c>
      <x:c r="GA31" s="14" t="n">
        <x:v>17</x:v>
      </x:c>
      <x:c r="GB31" s="14" t="n">
        <x:v>3</x:v>
      </x:c>
      <x:c r="GC31" s="14" t="str">
        <x:v>未收錄</x:v>
      </x:c>
      <x:c r="GD31" s="14" t="str">
        <x:v>23603</x:v>
      </x:c>
      <x:c r="GE31" s="14" t="n">
        <x:v>8</x:v>
      </x:c>
      <x:c r="GF31" s="14" t="n">
        <x:v>699</x:v>
      </x:c>
      <x:c r="GG31" s="14" t="n">
        <x:v>68</x:v>
      </x:c>
      <x:c r="GH31" s="14" t="n">
        <x:v>17</x:v>
      </x:c>
      <x:c r="GI31" s="14" t="n">
        <x:v>4</x:v>
      </x:c>
      <x:c r="GJ31" s="14" t="str">
        <x:v>未收錄</x:v>
      </x:c>
      <x:c r="GK31" s="14" t="str">
        <x:v>23605</x:v>
      </x:c>
      <x:c r="GL31" s="14" t="n">
        <x:v>8</x:v>
      </x:c>
      <x:c r="GM31" s="14" t="n">
        <x:v>868</x:v>
      </x:c>
      <x:c r="GN31" s="14" t="n">
        <x:v>65</x:v>
      </x:c>
      <x:c r="GO31" s="14" t="n">
        <x:v>17</x:v>
      </x:c>
      <x:c r="GP31" s="14" t="n">
        <x:v>1</x:v>
      </x:c>
      <x:c r="GQ31" s="14" t="str">
        <x:v>未收錄</x:v>
      </x:c>
      <x:c r="GR31" s="14" t="str">
        <x:v>23606</x:v>
      </x:c>
      <x:c r="GS31" s="14" t="n">
        <x:v>8</x:v>
      </x:c>
      <x:c r="GT31" s="14" t="n">
        <x:v>869</x:v>
      </x:c>
      <x:c r="GU31" s="14" t="n">
        <x:v>66</x:v>
      </x:c>
      <x:c r="GV31" s="14" t="n">
        <x:v>17</x:v>
      </x:c>
      <x:c r="GW31" s="14" t="n">
        <x:v>2</x:v>
      </x:c>
      <x:c r="GX31" s="14" t="str">
        <x:v>未收錄</x:v>
      </x:c>
      <x:c r="GY31" s="14" t="str">
        <x:v>23607</x:v>
      </x:c>
      <x:c r="GZ31" s="14" t="n">
        <x:v>8</x:v>
      </x:c>
      <x:c r="HA31" s="14" t="n">
        <x:v>870</x:v>
      </x:c>
      <x:c r="HB31" s="14" t="n">
        <x:v>67</x:v>
      </x:c>
      <x:c r="HC31" s="14" t="n">
        <x:v>17</x:v>
      </x:c>
      <x:c r="HD31" s="14" t="n">
        <x:v>3</x:v>
      </x:c>
      <x:c r="HE31" s="14" t="str">
        <x:v>未收錄</x:v>
      </x:c>
      <x:c r="HF31" s="14" t="str">
        <x:v>23608</x:v>
      </x:c>
      <x:c r="HG31" s="14" t="n">
        <x:v>8</x:v>
      </x:c>
      <x:c r="HH31" s="14" t="n">
        <x:v>871</x:v>
      </x:c>
      <x:c r="HI31" s="14" t="n">
        <x:v>68</x:v>
      </x:c>
      <x:c r="HJ31" s="14" t="n">
        <x:v>17</x:v>
      </x:c>
      <x:c r="HK31" s="14" t="n">
        <x:v>4</x:v>
      </x:c>
      <x:c r="HL31" s="14" t="str">
        <x:v>未收錄</x:v>
      </x:c>
      <x:c r="HM31" s="14" t="str">
        <x:v>24105</x:v>
      </x:c>
      <x:c r="HN31" s="14" t="n">
        <x:v>3</x:v>
      </x:c>
      <x:c r="HO31" s="14" t="n">
        <x:v>1041</x:v>
      </x:c>
      <x:c r="HP31" s="14" t="n">
        <x:v>65</x:v>
      </x:c>
      <x:c r="HQ31" s="14" t="n">
        <x:v>17</x:v>
      </x:c>
      <x:c r="HR31" s="14" t="n">
        <x:v>1</x:v>
      </x:c>
      <x:c r="HS31" s="14" t="str">
        <x:v>未收錄</x:v>
      </x:c>
      <x:c r="HT31" s="14" t="str">
        <x:v>23615</x:v>
      </x:c>
      <x:c r="HU31" s="14" t="n">
        <x:v>8</x:v>
      </x:c>
      <x:c r="HV31" s="14" t="n">
        <x:v>1042</x:v>
      </x:c>
      <x:c r="HW31" s="14" t="n">
        <x:v>66</x:v>
      </x:c>
      <x:c r="HX31" s="14" t="n">
        <x:v>17</x:v>
      </x:c>
      <x:c r="HY31" s="14" t="n">
        <x:v>2</x:v>
      </x:c>
      <x:c r="HZ31" s="14" t="str">
        <x:v>未收錄</x:v>
      </x:c>
      <x:c r="IA31" s="14" t="str">
        <x:v>23928</x:v>
      </x:c>
      <x:c r="IB31" s="14" t="n">
        <x:v>8</x:v>
      </x:c>
      <x:c r="IC31" s="14" t="n">
        <x:v>1043</x:v>
      </x:c>
      <x:c r="ID31" s="14" t="n">
        <x:v>67</x:v>
      </x:c>
      <x:c r="IE31" s="14" t="n">
        <x:v>17</x:v>
      </x:c>
      <x:c r="IF31" s="14" t="n">
        <x:v>3</x:v>
      </x:c>
      <x:c r="IG31" s="14" t="str">
        <x:v>未收錄</x:v>
      </x:c>
      <x:c r="IH31" s="14" t="str">
        <x:v>23929</x:v>
      </x:c>
      <x:c r="II31" s="14" t="n">
        <x:v>8</x:v>
      </x:c>
      <x:c r="IJ31" s="14" t="n">
        <x:v>1044</x:v>
      </x:c>
      <x:c r="IK31" s="14" t="n">
        <x:v>68</x:v>
      </x:c>
      <x:c r="IL31" s="14" t="n">
        <x:v>17</x:v>
      </x:c>
      <x:c r="IM31" s="14" t="n">
        <x:v>4</x:v>
      </x:c>
      <x:c r="IN31" s="14" t="str">
        <x:v>未收錄</x:v>
      </x:c>
      <x:c r="IO31" s="14" t="str">
        <x:v>23934</x:v>
      </x:c>
      <x:c r="IP31" s="14" t="n">
        <x:v>8</x:v>
      </x:c>
      <x:c r="IQ31" s="14" t="n">
        <x:v>1209</x:v>
      </x:c>
      <x:c r="IR31" s="14" t="n">
        <x:v>65</x:v>
      </x:c>
      <x:c r="IS31" s="14" t="n">
        <x:v>17</x:v>
      </x:c>
      <x:c r="IT31" s="14" t="n">
        <x:v>1</x:v>
      </x:c>
      <x:c r="IU31" s="14" t="str">
        <x:v>未收錄</x:v>
      </x:c>
      <x:c r="IV31" s="14" t="str">
        <x:v>23935</x:v>
      </x:c>
      <x:c r="IW31" s="14" t="n">
        <x:v>8</x:v>
      </x:c>
      <x:c r="IX31" s="14" t="n">
        <x:v>1210</x:v>
      </x:c>
      <x:c r="IY31" s="14" t="n">
        <x:v>66</x:v>
      </x:c>
      <x:c r="IZ31" s="14" t="n">
        <x:v>17</x:v>
      </x:c>
      <x:c r="JA31" s="14" t="n">
        <x:v>2</x:v>
      </x:c>
      <x:c r="JB31" s="14" t="str">
        <x:v>未收錄</x:v>
      </x:c>
      <x:c r="JC31" s="14" t="str">
        <x:v>24074</x:v>
      </x:c>
      <x:c r="JD31" s="14" t="n">
        <x:v>8</x:v>
      </x:c>
      <x:c r="JE31" s="14" t="n">
        <x:v>1211</x:v>
      </x:c>
      <x:c r="JF31" s="14" t="n">
        <x:v>67</x:v>
      </x:c>
      <x:c r="JG31" s="14" t="n">
        <x:v>17</x:v>
      </x:c>
      <x:c r="JH31" s="14" t="n">
        <x:v>3</x:v>
      </x:c>
      <x:c r="JI31" s="14" t="str">
        <x:v>未收錄</x:v>
      </x:c>
      <x:c r="JJ31" s="14" t="str">
        <x:v>24146</x:v>
      </x:c>
      <x:c r="JK31" s="14" t="n">
        <x:v>3</x:v>
      </x:c>
      <x:c r="JL31" s="14" t="n">
        <x:v>1212</x:v>
      </x:c>
      <x:c r="JM31" s="14" t="n">
        <x:v>68</x:v>
      </x:c>
      <x:c r="JN31" s="14" t="n">
        <x:v>17</x:v>
      </x:c>
      <x:c r="JO31" s="14" t="n">
        <x:v>4</x:v>
      </x:c>
      <x:c r="JP31" s="14" t="str">
        <x:v>未收錄</x:v>
      </x:c>
      <x:c r="JQ31" s="14" t="str">
        <x:v>27634</x:v>
      </x:c>
      <x:c r="JR31" s="14" t="n">
        <x:v>8</x:v>
      </x:c>
      <x:c r="JS31" s="14" t="n">
        <x:v>1376</x:v>
      </x:c>
      <x:c r="JT31" s="14" t="n">
        <x:v>65</x:v>
      </x:c>
      <x:c r="JU31" s="14" t="n">
        <x:v>17</x:v>
      </x:c>
      <x:c r="JV31" s="14" t="n">
        <x:v>1</x:v>
      </x:c>
      <x:c r="JW31" s="14" t="str">
        <x:v>未收錄</x:v>
      </x:c>
      <x:c r="JX31" s="14" t="str">
        <x:v>27635</x:v>
      </x:c>
      <x:c r="JY31" s="14" t="n">
        <x:v>8</x:v>
      </x:c>
      <x:c r="JZ31" s="14" t="n">
        <x:v>1377</x:v>
      </x:c>
      <x:c r="KA31" s="14" t="n">
        <x:v>66</x:v>
      </x:c>
      <x:c r="KB31" s="14" t="n">
        <x:v>17</x:v>
      </x:c>
      <x:c r="KC31" s="14" t="n">
        <x:v>2</x:v>
      </x:c>
      <x:c r="KD31" s="14" t="str">
        <x:v>未收錄</x:v>
      </x:c>
      <x:c r="KE31" s="14" t="str">
        <x:v>28370</x:v>
      </x:c>
      <x:c r="KF31" s="14" t="n">
        <x:v>8</x:v>
      </x:c>
      <x:c r="KG31" s="14" t="n">
        <x:v>1378</x:v>
      </x:c>
      <x:c r="KH31" s="14" t="n">
        <x:v>67</x:v>
      </x:c>
      <x:c r="KI31" s="14" t="n">
        <x:v>17</x:v>
      </x:c>
      <x:c r="KJ31" s="14" t="n">
        <x:v>3</x:v>
      </x:c>
      <x:c r="KK31" s="14" t="str">
        <x:v>未收錄</x:v>
      </x:c>
      <x:c r="KL31" s="14" t="str">
        <x:v>28371</x:v>
      </x:c>
      <x:c r="KM31" s="14" t="n">
        <x:v>8</x:v>
      </x:c>
      <x:c r="KN31" s="14" t="n">
        <x:v>1379</x:v>
      </x:c>
      <x:c r="KO31" s="14" t="n">
        <x:v>68</x:v>
      </x:c>
      <x:c r="KP31" s="14" t="n">
        <x:v>17</x:v>
      </x:c>
      <x:c r="KQ31" s="14" t="n">
        <x:v>4</x:v>
      </x:c>
      <x:c r="KR31" s="14" t="str">
        <x:v>未收錄</x:v>
      </x:c>
      <x:c r="KS31" s="14" t="str">
        <x:v>28373</x:v>
      </x:c>
      <x:c r="KT31" s="14" t="n">
        <x:v>8</x:v>
      </x:c>
      <x:c r="KU31" s="14" t="n">
        <x:v>1491</x:v>
      </x:c>
      <x:c r="KV31" s="14" t="n">
        <x:v>65</x:v>
      </x:c>
      <x:c r="KW31" s="14" t="n">
        <x:v>17</x:v>
      </x:c>
      <x:c r="KX31" s="14" t="n">
        <x:v>1</x:v>
      </x:c>
      <x:c r="KY31" s="14" t="str">
        <x:v>未收錄</x:v>
      </x:c>
      <x:c r="KZ31" s="14" t="str">
        <x:v>28374</x:v>
      </x:c>
      <x:c r="LA31" s="14" t="n">
        <x:v>8</x:v>
      </x:c>
      <x:c r="LB31" s="14" t="n">
        <x:v>1492</x:v>
      </x:c>
      <x:c r="LC31" s="14" t="n">
        <x:v>66</x:v>
      </x:c>
      <x:c r="LD31" s="14" t="n">
        <x:v>17</x:v>
      </x:c>
      <x:c r="LE31" s="14" t="n">
        <x:v>2</x:v>
      </x:c>
      <x:c r="LF31" s="14" t="str">
        <x:v>未收錄</x:v>
      </x:c>
      <x:c r="LG31" s="14" t="str">
        <x:v>28375</x:v>
      </x:c>
      <x:c r="LH31" s="14" t="n">
        <x:v>8</x:v>
      </x:c>
      <x:c r="LI31" s="14" t="n">
        <x:v>1493</x:v>
      </x:c>
      <x:c r="LJ31" s="14" t="n">
        <x:v>67</x:v>
      </x:c>
      <x:c r="LK31" s="14" t="n">
        <x:v>17</x:v>
      </x:c>
      <x:c r="LL31" s="14" t="n">
        <x:v>3</x:v>
      </x:c>
      <x:c r="LM31" s="14" t="str">
        <x:v>未收錄</x:v>
      </x:c>
      <x:c r="LN31" s="14" t="str">
        <x:v>28835</x:v>
      </x:c>
      <x:c r="LO31" s="14" t="n">
        <x:v>8</x:v>
      </x:c>
      <x:c r="LP31" s="14" t="n">
        <x:v>1494</x:v>
      </x:c>
      <x:c r="LQ31" s="14" t="n">
        <x:v>68</x:v>
      </x:c>
      <x:c r="LR31" s="14" t="n">
        <x:v>17</x:v>
      </x:c>
      <x:c r="LS31" s="14" t="n">
        <x:v>4</x:v>
      </x:c>
      <x:c r="LT31" s="14" t="str">
        <x:v>未收錄</x:v>
      </x:c>
      <x:c r="LU31" s="14" t="str">
        <x:v>28839</x:v>
      </x:c>
      <x:c r="LV31" s="14" t="n">
        <x:v>8</x:v>
      </x:c>
      <x:c r="LW31" s="14" t="n">
        <x:v>1604</x:v>
      </x:c>
      <x:c r="LX31" s="14" t="n">
        <x:v>65</x:v>
      </x:c>
      <x:c r="LY31" s="14" t="n">
        <x:v>17</x:v>
      </x:c>
      <x:c r="LZ31" s="14" t="n">
        <x:v>1</x:v>
      </x:c>
      <x:c r="MA31" s="14" t="str">
        <x:v>未收錄</x:v>
      </x:c>
      <x:c r="MB31" s="14" t="str">
        <x:v>28840</x:v>
      </x:c>
      <x:c r="MC31" s="14" t="n">
        <x:v>8</x:v>
      </x:c>
      <x:c r="MD31" s="14" t="n">
        <x:v>1605</x:v>
      </x:c>
      <x:c r="ME31" s="14" t="n">
        <x:v>66</x:v>
      </x:c>
      <x:c r="MF31" s="14" t="n">
        <x:v>17</x:v>
      </x:c>
      <x:c r="MG31" s="14" t="n">
        <x:v>2</x:v>
      </x:c>
      <x:c r="MH31" s="14" t="str">
        <x:v>未收錄</x:v>
      </x:c>
      <x:c r="MI31" s="14" t="str">
        <x:v>29397</x:v>
      </x:c>
      <x:c r="MJ31" s="14" t="n">
        <x:v>8</x:v>
      </x:c>
      <x:c r="MK31" s="14" t="n">
        <x:v>1606</x:v>
      </x:c>
      <x:c r="ML31" s="14" t="n">
        <x:v>67</x:v>
      </x:c>
      <x:c r="MM31" s="14" t="n">
        <x:v>17</x:v>
      </x:c>
      <x:c r="MN31" s="14" t="n">
        <x:v>3</x:v>
      </x:c>
      <x:c r="MO31" s="14" t="str">
        <x:v>未收錄</x:v>
      </x:c>
      <x:c r="MP31" s="14" t="str">
        <x:v>29398</x:v>
      </x:c>
      <x:c r="MQ31" s="14" t="n">
        <x:v>8</x:v>
      </x:c>
      <x:c r="MR31" s="14" t="n">
        <x:v>1607</x:v>
      </x:c>
      <x:c r="MS31" s="14" t="n">
        <x:v>68</x:v>
      </x:c>
      <x:c r="MT31" s="14" t="n">
        <x:v>17</x:v>
      </x:c>
      <x:c r="MU31" s="14" t="n">
        <x:v>4</x:v>
      </x:c>
      <x:c r="MV31" s="14" t="str">
        <x:v>未收錄</x:v>
      </x:c>
      <x:c r="MW31" s="14" t="str">
        <x:v>30069</x:v>
      </x:c>
      <x:c r="MX31" s="14" t="n">
        <x:v>2</x:v>
      </x:c>
      <x:c r="MY31" s="14" t="n">
        <x:v>1713</x:v>
      </x:c>
      <x:c r="MZ31" s="14" t="n">
        <x:v>65</x:v>
      </x:c>
      <x:c r="NA31" s="14" t="n">
        <x:v>17</x:v>
      </x:c>
      <x:c r="NB31" s="14" t="n">
        <x:v>1</x:v>
      </x:c>
      <x:c r="NC31" s="14" t="str">
        <x:v>未收錄</x:v>
      </x:c>
      <x:c r="ND31" s="14" t="str">
        <x:v>30553</x:v>
      </x:c>
      <x:c r="NE31" s="14" t="n">
        <x:v>2</x:v>
      </x:c>
      <x:c r="NF31" s="14" t="n">
        <x:v>1714</x:v>
      </x:c>
      <x:c r="NG31" s="14" t="n">
        <x:v>66</x:v>
      </x:c>
      <x:c r="NH31" s="14" t="n">
        <x:v>17</x:v>
      </x:c>
      <x:c r="NI31" s="14" t="n">
        <x:v>2</x:v>
      </x:c>
      <x:c r="NJ31" s="14" t="str">
        <x:v>未收錄</x:v>
      </x:c>
      <x:c r="NK31" s="14" t="str">
        <x:v>21881</x:v>
      </x:c>
      <x:c r="NL31" s="14" t="n">
        <x:v>3</x:v>
      </x:c>
      <x:c r="NM31" s="14" t="n">
        <x:v>1715</x:v>
      </x:c>
      <x:c r="NN31" s="14" t="n">
        <x:v>67</x:v>
      </x:c>
      <x:c r="NO31" s="14" t="n">
        <x:v>17</x:v>
      </x:c>
      <x:c r="NP31" s="14" t="n">
        <x:v>3</x:v>
      </x:c>
      <x:c r="NQ31" s="14" t="str">
        <x:v>未收錄</x:v>
      </x:c>
      <x:c r="NR31" s="14" t="str">
        <x:v>20945</x:v>
      </x:c>
      <x:c r="NS31" s="14" t="n">
        <x:v>3</x:v>
      </x:c>
      <x:c r="NT31" s="14" t="n">
        <x:v>1716</x:v>
      </x:c>
      <x:c r="NU31" s="14" t="n">
        <x:v>68</x:v>
      </x:c>
      <x:c r="NV31" s="14" t="n">
        <x:v>17</x:v>
      </x:c>
      <x:c r="NW31" s="14" t="n">
        <x:v>4</x:v>
      </x:c>
      <x:c r="NX31" s="14" t="str">
        <x:v>未收錄</x:v>
      </x:c>
      <x:c r="NY31" s="14" t="str">
        <x:v>20948</x:v>
      </x:c>
      <x:c r="NZ31" s="14" t="n">
        <x:v>5</x:v>
      </x:c>
      <x:c r="OA31" s="14" t="n">
        <x:v>2166</x:v>
      </x:c>
      <x:c r="OB31" s="14" t="n">
        <x:v>65</x:v>
      </x:c>
      <x:c r="OC31" s="14" t="n">
        <x:v>17</x:v>
      </x:c>
      <x:c r="OD31" s="14" t="n">
        <x:v>1</x:v>
      </x:c>
      <x:c r="OE31" s="14" t="str">
        <x:v>未收錄</x:v>
      </x:c>
      <x:c r="OF31" s="14" t="str">
        <x:v>20949</x:v>
      </x:c>
      <x:c r="OG31" s="14" t="n">
        <x:v>5</x:v>
      </x:c>
      <x:c r="OH31" s="14" t="n">
        <x:v>2167</x:v>
      </x:c>
      <x:c r="OI31" s="14" t="n">
        <x:v>66</x:v>
      </x:c>
      <x:c r="OJ31" s="14" t="n">
        <x:v>17</x:v>
      </x:c>
      <x:c r="OK31" s="14" t="n">
        <x:v>2</x:v>
      </x:c>
      <x:c r="OL31" s="14" t="str">
        <x:v>未收錄</x:v>
      </x:c>
      <x:c r="OM31" s="14" t="str">
        <x:v>20951</x:v>
      </x:c>
      <x:c r="ON31" s="14" t="n">
        <x:v>5</x:v>
      </x:c>
      <x:c r="OO31" s="14" t="n">
        <x:v>2168</x:v>
      </x:c>
      <x:c r="OP31" s="14" t="n">
        <x:v>67</x:v>
      </x:c>
      <x:c r="OQ31" s="14" t="n">
        <x:v>17</x:v>
      </x:c>
      <x:c r="OR31" s="14" t="n">
        <x:v>3</x:v>
      </x:c>
      <x:c r="OS31" s="14" t="str">
        <x:v>未收錄</x:v>
      </x:c>
      <x:c r="OT31" s="14" t="str">
        <x:v>20952</x:v>
      </x:c>
      <x:c r="OU31" s="14" t="n">
        <x:v>5</x:v>
      </x:c>
      <x:c r="OV31" s="14" t="n">
        <x:v>2169</x:v>
      </x:c>
      <x:c r="OW31" s="14" t="n">
        <x:v>68</x:v>
      </x:c>
      <x:c r="OX31" s="14" t="n">
        <x:v>17</x:v>
      </x:c>
      <x:c r="OY31" s="14" t="n">
        <x:v>4</x:v>
      </x:c>
      <x:c r="OZ31" s="14" t="str">
        <x:v>未收錄</x:v>
      </x:c>
      <x:c r="PA31" s="14" t="str">
        <x:v>21517</x:v>
      </x:c>
      <x:c r="PB31" s="14" t="n">
        <x:v>5</x:v>
      </x:c>
      <x:c r="PC31" s="14" t="n">
        <x:v>2712</x:v>
      </x:c>
      <x:c r="PD31" s="14" t="n">
        <x:v>65</x:v>
      </x:c>
      <x:c r="PE31" s="14" t="n">
        <x:v>17</x:v>
      </x:c>
      <x:c r="PF31" s="14" t="n">
        <x:v>1</x:v>
      </x:c>
      <x:c r="PG31" s="14" t="str">
        <x:v>未收錄</x:v>
      </x:c>
      <x:c r="PH31" s="14" t="str">
        <x:v>21518</x:v>
      </x:c>
      <x:c r="PI31" s="14" t="n">
        <x:v>5</x:v>
      </x:c>
      <x:c r="PJ31" s="14" t="n">
        <x:v>2713</x:v>
      </x:c>
      <x:c r="PK31" s="14" t="n">
        <x:v>66</x:v>
      </x:c>
      <x:c r="PL31" s="14" t="n">
        <x:v>17</x:v>
      </x:c>
      <x:c r="PM31" s="14" t="n">
        <x:v>2</x:v>
      </x:c>
      <x:c r="PN31" s="14" t="str">
        <x:v>未收錄</x:v>
      </x:c>
      <x:c r="PO31" s="14" t="str">
        <x:v>21519</x:v>
      </x:c>
      <x:c r="PP31" s="14" t="n">
        <x:v>5</x:v>
      </x:c>
      <x:c r="PQ31" s="14" t="n">
        <x:v>2714</x:v>
      </x:c>
      <x:c r="PR31" s="14" t="n">
        <x:v>67</x:v>
      </x:c>
      <x:c r="PS31" s="14" t="n">
        <x:v>17</x:v>
      </x:c>
      <x:c r="PT31" s="14" t="n">
        <x:v>3</x:v>
      </x:c>
      <x:c r="PU31" s="14" t="str">
        <x:v>未收錄</x:v>
      </x:c>
      <x:c r="PV31" s="14" t="str">
        <x:v>21520</x:v>
      </x:c>
      <x:c r="PW31" s="14" t="n">
        <x:v>5</x:v>
      </x:c>
      <x:c r="PX31" s="14" t="n">
        <x:v>2715</x:v>
      </x:c>
      <x:c r="PY31" s="14" t="n">
        <x:v>68</x:v>
      </x:c>
      <x:c r="PZ31" s="14" t="n">
        <x:v>17</x:v>
      </x:c>
      <x:c r="QA31" s="14" t="n">
        <x:v>4</x:v>
      </x:c>
      <x:c r="QB31" s="14" t="str">
        <x:v>未收錄</x:v>
      </x:c>
      <x:c r="QC31" s="14" t="str">
        <x:v>21531</x:v>
      </x:c>
      <x:c r="QD31" s="14" t="n">
        <x:v>5</x:v>
      </x:c>
      <x:c r="QE31" s="14" t="n">
        <x:v>3149</x:v>
      </x:c>
      <x:c r="QF31" s="14" t="n">
        <x:v>65</x:v>
      </x:c>
      <x:c r="QG31" s="14" t="n">
        <x:v>17</x:v>
      </x:c>
      <x:c r="QH31" s="14" t="n">
        <x:v>1</x:v>
      </x:c>
      <x:c r="QI31" s="14" t="str">
        <x:v>未收錄</x:v>
      </x:c>
      <x:c r="QJ31" s="14" t="str">
        <x:v>21532</x:v>
      </x:c>
      <x:c r="QK31" s="14" t="n">
        <x:v>5</x:v>
      </x:c>
      <x:c r="QL31" s="14" t="n">
        <x:v>3150</x:v>
      </x:c>
      <x:c r="QM31" s="14" t="n">
        <x:v>66</x:v>
      </x:c>
      <x:c r="QN31" s="14" t="n">
        <x:v>17</x:v>
      </x:c>
      <x:c r="QO31" s="14" t="n">
        <x:v>2</x:v>
      </x:c>
      <x:c r="QP31" s="14" t="str">
        <x:v>未收錄</x:v>
      </x:c>
      <x:c r="QQ31" s="14" t="str">
        <x:v>21533</x:v>
      </x:c>
      <x:c r="QR31" s="14" t="n">
        <x:v>5</x:v>
      </x:c>
      <x:c r="QS31" s="14" t="n">
        <x:v>3151</x:v>
      </x:c>
      <x:c r="QT31" s="14" t="n">
        <x:v>67</x:v>
      </x:c>
      <x:c r="QU31" s="14" t="n">
        <x:v>17</x:v>
      </x:c>
      <x:c r="QV31" s="14" t="n">
        <x:v>3</x:v>
      </x:c>
      <x:c r="QW31" s="14" t="str">
        <x:v>未收錄</x:v>
      </x:c>
      <x:c r="QX31" s="14" t="str">
        <x:v>21534</x:v>
      </x:c>
      <x:c r="QY31" s="14" t="n">
        <x:v>5</x:v>
      </x:c>
      <x:c r="QZ31" s="14" t="n">
        <x:v>3152</x:v>
      </x:c>
      <x:c r="RA31" s="14" t="n">
        <x:v>68</x:v>
      </x:c>
      <x:c r="RB31" s="14" t="n">
        <x:v>17</x:v>
      </x:c>
      <x:c r="RC31" s="14" t="n">
        <x:v>4</x:v>
      </x:c>
      <x:c r="RD31" s="14" t="str">
        <x:v>未收錄</x:v>
      </x:c>
      <x:c r="RE31" s="14" t="str">
        <x:v>21960</x:v>
      </x:c>
      <x:c r="RF31" s="14" t="n">
        <x:v>5</x:v>
      </x:c>
      <x:c r="RG31" s="14" t="n">
        <x:v>3610</x:v>
      </x:c>
      <x:c r="RH31" s="14" t="n">
        <x:v>65</x:v>
      </x:c>
      <x:c r="RI31" s="14" t="n">
        <x:v>17</x:v>
      </x:c>
      <x:c r="RJ31" s="14" t="n">
        <x:v>1</x:v>
      </x:c>
      <x:c r="RK31" s="14" t="str">
        <x:v>未收錄</x:v>
      </x:c>
      <x:c r="RL31" s="14" t="str">
        <x:v>21977</x:v>
      </x:c>
      <x:c r="RM31" s="14" t="n">
        <x:v>5</x:v>
      </x:c>
      <x:c r="RN31" s="14" t="n">
        <x:v>3611</x:v>
      </x:c>
      <x:c r="RO31" s="14" t="n">
        <x:v>66</x:v>
      </x:c>
      <x:c r="RP31" s="14" t="n">
        <x:v>17</x:v>
      </x:c>
      <x:c r="RQ31" s="14" t="n">
        <x:v>2</x:v>
      </x:c>
      <x:c r="RR31" s="14" t="str">
        <x:v>未收錄</x:v>
      </x:c>
      <x:c r="RS31" s="14" t="str">
        <x:v>22003</x:v>
      </x:c>
      <x:c r="RT31" s="14" t="n">
        <x:v>5</x:v>
      </x:c>
      <x:c r="RU31" s="14" t="n">
        <x:v>3612</x:v>
      </x:c>
      <x:c r="RV31" s="14" t="n">
        <x:v>67</x:v>
      </x:c>
      <x:c r="RW31" s="14" t="n">
        <x:v>17</x:v>
      </x:c>
      <x:c r="RX31" s="14" t="n">
        <x:v>3</x:v>
      </x:c>
      <x:c r="RY31" s="14" t="str">
        <x:v>未收錄</x:v>
      </x:c>
      <x:c r="RZ31" s="14" t="str">
        <x:v>22004</x:v>
      </x:c>
      <x:c r="SA31" s="14" t="n">
        <x:v>5</x:v>
      </x:c>
      <x:c r="SB31" s="14" t="n">
        <x:v>3613</x:v>
      </x:c>
      <x:c r="SC31" s="14" t="n">
        <x:v>68</x:v>
      </x:c>
      <x:c r="SD31" s="14" t="n">
        <x:v>17</x:v>
      </x:c>
      <x:c r="SE31" s="14" t="n">
        <x:v>4</x:v>
      </x:c>
      <x:c r="SF31" s="14" t="str">
        <x:v>未收錄</x:v>
      </x:c>
      <x:c r="SG31" s="14" t="str">
        <x:v>30931</x:v>
      </x:c>
      <x:c r="SH31" s="14" t="n">
        <x:v>15</x:v>
      </x:c>
      <x:c r="SI31" s="14" t="n">
        <x:v>4034</x:v>
      </x:c>
      <x:c r="SJ31" s="14" t="n">
        <x:v>65</x:v>
      </x:c>
      <x:c r="SK31" s="14" t="n">
        <x:v>17</x:v>
      </x:c>
      <x:c r="SL31" s="14" t="n">
        <x:v>1</x:v>
      </x:c>
      <x:c r="SM31" s="14" t="str">
        <x:v>未收錄</x:v>
      </x:c>
      <x:c r="SN31" s="14" t="str">
        <x:v>30901</x:v>
      </x:c>
      <x:c r="SO31" s="14" t="n">
        <x:v>10</x:v>
      </x:c>
      <x:c r="SP31" s="14" t="n">
        <x:v>4035</x:v>
      </x:c>
      <x:c r="SQ31" s="14" t="n">
        <x:v>66</x:v>
      </x:c>
      <x:c r="SR31" s="14" t="n">
        <x:v>17</x:v>
      </x:c>
      <x:c r="SS31" s="14" t="n">
        <x:v>2</x:v>
      </x:c>
      <x:c r="ST31" s="14" t="str">
        <x:v>未收錄</x:v>
      </x:c>
      <x:c r="SU31" s="14" t="str">
        <x:v>30902</x:v>
      </x:c>
      <x:c r="SV31" s="14" t="n">
        <x:v>10</x:v>
      </x:c>
      <x:c r="SW31" s="14" t="n">
        <x:v>4036</x:v>
      </x:c>
      <x:c r="SX31" s="14" t="n">
        <x:v>67</x:v>
      </x:c>
      <x:c r="SY31" s="14" t="n">
        <x:v>17</x:v>
      </x:c>
      <x:c r="SZ31" s="14" t="n">
        <x:v>3</x:v>
      </x:c>
      <x:c r="TA31" s="14" t="str">
        <x:v>未收錄</x:v>
      </x:c>
      <x:c r="TB31" s="14" t="str">
        <x:v>30903</x:v>
      </x:c>
      <x:c r="TC31" s="14" t="n">
        <x:v>10</x:v>
      </x:c>
      <x:c r="TD31" s="14" t="n">
        <x:v>4037</x:v>
      </x:c>
      <x:c r="TE31" s="14" t="n">
        <x:v>68</x:v>
      </x:c>
      <x:c r="TF31" s="14" t="n">
        <x:v>17</x:v>
      </x:c>
      <x:c r="TG31" s="14" t="n">
        <x:v>4</x:v>
      </x:c>
      <x:c r="TH31" s="14" t="str">
        <x:v>未收錄</x:v>
      </x:c>
    </x:row>
    <x:row r="32" ht="15" customHeight="1">
      <x:c r="A32" s="18" t="str">
        <x:v>地靈辟鬼劍</x:v>
      </x:c>
      <x:c r="B32" s="18" t="str">
        <x:v>絕世辟鬼劍</x:v>
      </x:c>
      <x:c r="C32" s="18" t="str">
        <x:v>弒神劍</x:v>
      </x:c>
      <x:c r="D32" s="18" t="str">
        <x:v>天晶弒神劍</x:v>
      </x:c>
      <x:c r="E32" s="14"/>
      <x:c r="F32" s="18" t="str">
        <x:v>絕世畫影刀</x:v>
      </x:c>
      <x:c r="G32" s="18" t="str">
        <x:v>蟠龍刀</x:v>
      </x:c>
      <x:c r="H32" s="18" t="str">
        <x:v>絕世蟠龍刀</x:v>
      </x:c>
      <x:c r="I32" s="18" t="str">
        <x:v>蟾蜍刀</x:v>
      </x:c>
      <x:c r="J32" s="14"/>
      <x:c r="K32" s="18" t="str">
        <x:v>不空成就環</x:v>
      </x:c>
      <x:c r="L32" s="18" t="str">
        <x:v>天鍛‧亂蝶花</x:v>
      </x:c>
      <x:c r="M32" s="18" t="str">
        <x:v>仙鑄‧亂蝶花</x:v>
      </x:c>
      <x:c r="N32" s="18" t="str">
        <x:v>神煉‧亂蝶花</x:v>
      </x:c>
      <x:c r="O32" s="14"/>
      <x:c r="P32" s="18" t="str">
        <x:v>魔泣天殛魔器</x:v>
      </x:c>
      <x:c r="Q32" s="18" t="str">
        <x:v>凶亡天殛魔器</x:v>
      </x:c>
      <x:c r="R32" s="18" t="str">
        <x:v>惡斬天殛魔器</x:v>
      </x:c>
      <x:c r="S32" s="18" t="str">
        <x:v>獸殺天殛魔器</x:v>
      </x:c>
      <x:c r="T32" s="14"/>
      <x:c r="U32" s="18" t="str">
        <x:v>淨土大幡杖</x:v>
      </x:c>
      <x:c r="V32" s="18" t="str">
        <x:v>妖滅天殛魔杖</x:v>
      </x:c>
      <x:c r="W32" s="18" t="str">
        <x:v>邪破天殛魔杖</x:v>
      </x:c>
      <x:c r="X32" s="18" t="str">
        <x:v>惡斬天殛魔杖</x:v>
      </x:c>
      <x:c r="Y32" s="14"/>
      <x:c r="Z32" s="18" t="str">
        <x:v>惡斬天殛魔槍</x:v>
      </x:c>
      <x:c r="AA32" s="18" t="str">
        <x:v>獸殺天殛魔槍</x:v>
      </x:c>
      <x:c r="AB32" s="18" t="str">
        <x:v>天嶄五煞槍</x:v>
      </x:c>
      <x:c r="AC32" s="18" t="str">
        <x:v>太古天嶄五煞槍</x:v>
      </x:c>
      <x:c r="AD32" s="14"/>
      <x:c r="AE32" s="18" t="str">
        <x:v>無雙貫雲棍</x:v>
      </x:c>
      <x:c r="AF32" s="18" t="str">
        <x:v>擎天雙龍棍</x:v>
      </x:c>
      <x:c r="AG32" s="18" t="str">
        <x:v>太古擎天雙龍棍</x:v>
      </x:c>
      <x:c r="AH32" s="18" t="str">
        <x:v>無雙兇骸棍</x:v>
      </x:c>
      <x:c r="AI32" s="14"/>
      <x:c r="AJ32" s="18" t="str">
        <x:v>九河錘★★★</x:v>
      </x:c>
      <x:c r="AK32" s="18" t="str">
        <x:v>侯欽錘☆</x:v>
      </x:c>
      <x:c r="AL32" s="18" t="str">
        <x:v>侯欽錘☆☆</x:v>
      </x:c>
      <x:c r="AM32" s="18" t="str">
        <x:v>侯欽錘☆☆☆</x:v>
      </x:c>
      <x:c r="AN32" s="14"/>
      <x:c r="AO32" s="18" t="str">
        <x:v>帛度斧☆☆</x:v>
      </x:c>
      <x:c r="AP32" s="18" t="str">
        <x:v>帛度斧☆☆☆</x:v>
      </x:c>
      <x:c r="AQ32" s="18" t="str">
        <x:v>河山斧☆</x:v>
      </x:c>
      <x:c r="AR32" s="18" t="str">
        <x:v>河山斧★</x:v>
      </x:c>
      <x:c r="AS32" s="14"/>
      <x:c r="AT32" s="18" t="str">
        <x:v>疆嶽盾★☆</x:v>
      </x:c>
      <x:c r="AU32" s="18" t="str">
        <x:v>疆嶽盾★★</x:v>
      </x:c>
      <x:c r="AV32" s="18" t="str">
        <x:v>疆嶽盾★★☆</x:v>
      </x:c>
      <x:c r="AW32" s="18" t="str">
        <x:v>疆嶽盾★★★</x:v>
      </x:c>
      <x:c r="AX32" s="14"/>
      <x:c r="AY32" s="18" t="str">
        <x:v>護法頭箍</x:v>
      </x:c>
      <x:c r="AZ32" s="18" t="str">
        <x:v>鷹揚戰盔</x:v>
      </x:c>
      <x:c r="BA32" s="18" t="str">
        <x:v>龍紋戰盔</x:v>
      </x:c>
      <x:c r="BB32" s="18" t="str">
        <x:v>仙靈道冠</x:v>
      </x:c>
      <x:c r="BC32" s="14"/>
      <x:c r="BD32" s="18" t="str">
        <x:v>隱遁軟甲</x:v>
      </x:c>
      <x:c r="BE32" s="18" t="str">
        <x:v>水琉裟</x:v>
      </x:c>
      <x:c r="BF32" s="18" t="str">
        <x:v>龍紋戰甲</x:v>
      </x:c>
      <x:c r="BG32" s="18" t="str">
        <x:v>蛇靈皮甲</x:v>
      </x:c>
      <x:c r="BH32" s="14"/>
      <x:c r="BI32" s="18" t="str">
        <x:v>擒龍護腕</x:v>
      </x:c>
      <x:c r="BJ32" s="18" t="str">
        <x:v>伏虎護腕</x:v>
      </x:c>
      <x:c r="BK32" s="18" t="str">
        <x:v>除妖護腕</x:v>
      </x:c>
      <x:c r="BL32" s="18" t="str">
        <x:v>斬蛟護腕</x:v>
      </x:c>
      <x:c r="BM32" s="14"/>
      <x:c r="BN32" s="18" t="str">
        <x:v>雁翎靴</x:v>
      </x:c>
      <x:c r="BO32" s="18" t="str">
        <x:v>千鶴靴</x:v>
      </x:c>
      <x:c r="BP32" s="18" t="str">
        <x:v>擒龍靴</x:v>
      </x:c>
      <x:c r="BQ32" s="18" t="str">
        <x:v>伏虎靴</x:v>
      </x:c>
      <x:c r="BR32" s="14"/>
      <x:c r="BS32" s="18" t="str">
        <x:v>天雷地靈護符</x:v>
      </x:c>
      <x:c r="BT32" s="18" t="str">
        <x:v>歸冥地靈護符</x:v>
      </x:c>
      <x:c r="BU32" s="18" t="str">
        <x:v>玄冰天晶護符</x:v>
      </x:c>
      <x:c r="BV32" s="18" t="str">
        <x:v>真火天晶護符</x:v>
      </x:c>
      <x:c r="BW32" s="14"/>
      <x:c r="BX32" s="18" t="str">
        <x:v>王狼千風檄</x:v>
      </x:c>
      <x:c r="BY32" s="18" t="str">
        <x:v>守一仙領域</x:v>
      </x:c>
      <x:c r="BZ32" s="18" t="str">
        <x:v>丹田仙引芯</x:v>
      </x:c>
      <x:c r="CA32" s="18" t="str">
        <x:v>無方虛衡尺</x:v>
      </x:c>
      <x:c r="CB32" s="14"/>
      <x:c r="CC32" s="14" t="str">
        <x:v>21994</x:v>
      </x:c>
      <x:c r="CD32" s="14" t="n">
        <x:v>8</x:v>
      </x:c>
      <x:c r="CE32" s="14" t="n">
        <x:v>69</x:v>
      </x:c>
      <x:c r="CF32" s="14" t="n">
        <x:v>69</x:v>
      </x:c>
      <x:c r="CG32" s="14" t="n">
        <x:v>18</x:v>
      </x:c>
      <x:c r="CH32" s="14" t="n">
        <x:v>1</x:v>
      </x:c>
      <x:c r="CI32" s="14" t="str">
        <x:v>未收錄</x:v>
      </x:c>
      <x:c r="CJ32" s="14" t="str">
        <x:v>22037</x:v>
      </x:c>
      <x:c r="CK32" s="14" t="n">
        <x:v>8</x:v>
      </x:c>
      <x:c r="CL32" s="14" t="n">
        <x:v>70</x:v>
      </x:c>
      <x:c r="CM32" s="14" t="n">
        <x:v>70</x:v>
      </x:c>
      <x:c r="CN32" s="14" t="n">
        <x:v>18</x:v>
      </x:c>
      <x:c r="CO32" s="14" t="n">
        <x:v>2</x:v>
      </x:c>
      <x:c r="CP32" s="14" t="str">
        <x:v>未收錄</x:v>
      </x:c>
      <x:c r="CQ32" s="14" t="str">
        <x:v>20765</x:v>
      </x:c>
      <x:c r="CR32" s="14" t="n">
        <x:v>8</x:v>
      </x:c>
      <x:c r="CS32" s="14" t="n">
        <x:v>71</x:v>
      </x:c>
      <x:c r="CT32" s="14" t="n">
        <x:v>71</x:v>
      </x:c>
      <x:c r="CU32" s="14" t="n">
        <x:v>18</x:v>
      </x:c>
      <x:c r="CV32" s="14" t="n">
        <x:v>3</x:v>
      </x:c>
      <x:c r="CW32" s="14" t="str">
        <x:v>未收錄</x:v>
      </x:c>
      <x:c r="CX32" s="14" t="str">
        <x:v>22011</x:v>
      </x:c>
      <x:c r="CY32" s="14" t="n">
        <x:v>8</x:v>
      </x:c>
      <x:c r="CZ32" s="14" t="n">
        <x:v>72</x:v>
      </x:c>
      <x:c r="DA32" s="14" t="n">
        <x:v>72</x:v>
      </x:c>
      <x:c r="DB32" s="14" t="n">
        <x:v>18</x:v>
      </x:c>
      <x:c r="DC32" s="14" t="n">
        <x:v>4</x:v>
      </x:c>
      <x:c r="DD32" s="14" t="str">
        <x:v>未收錄</x:v>
      </x:c>
      <x:c r="DE32" s="14" t="str">
        <x:v>23296</x:v>
      </x:c>
      <x:c r="DF32" s="14" t="n">
        <x:v>8</x:v>
      </x:c>
      <x:c r="DG32" s="14" t="n">
        <x:v>314</x:v>
      </x:c>
      <x:c r="DH32" s="14" t="n">
        <x:v>69</x:v>
      </x:c>
      <x:c r="DI32" s="14" t="n">
        <x:v>18</x:v>
      </x:c>
      <x:c r="DJ32" s="14" t="n">
        <x:v>1</x:v>
      </x:c>
      <x:c r="DK32" s="14" t="str">
        <x:v>未收錄</x:v>
      </x:c>
      <x:c r="DL32" s="14" t="str">
        <x:v>21544</x:v>
      </x:c>
      <x:c r="DM32" s="14" t="n">
        <x:v>8</x:v>
      </x:c>
      <x:c r="DN32" s="14" t="n">
        <x:v>315</x:v>
      </x:c>
      <x:c r="DO32" s="14" t="n">
        <x:v>70</x:v>
      </x:c>
      <x:c r="DP32" s="14" t="n">
        <x:v>18</x:v>
      </x:c>
      <x:c r="DQ32" s="14" t="n">
        <x:v>2</x:v>
      </x:c>
      <x:c r="DR32" s="14" t="str">
        <x:v>未收錄</x:v>
      </x:c>
      <x:c r="DS32" s="14" t="str">
        <x:v>23297</x:v>
      </x:c>
      <x:c r="DT32" s="14" t="n">
        <x:v>8</x:v>
      </x:c>
      <x:c r="DU32" s="14" t="n">
        <x:v>316</x:v>
      </x:c>
      <x:c r="DV32" s="14" t="n">
        <x:v>71</x:v>
      </x:c>
      <x:c r="DW32" s="14" t="n">
        <x:v>18</x:v>
      </x:c>
      <x:c r="DX32" s="14" t="n">
        <x:v>3</x:v>
      </x:c>
      <x:c r="DY32" s="14" t="str">
        <x:v>未收錄</x:v>
      </x:c>
      <x:c r="DZ32" s="14" t="str">
        <x:v>21560</x:v>
      </x:c>
      <x:c r="EA32" s="14" t="n">
        <x:v>8</x:v>
      </x:c>
      <x:c r="EB32" s="14" t="n">
        <x:v>317</x:v>
      </x:c>
      <x:c r="EC32" s="14" t="n">
        <x:v>72</x:v>
      </x:c>
      <x:c r="ED32" s="14" t="n">
        <x:v>18</x:v>
      </x:c>
      <x:c r="EE32" s="14" t="n">
        <x:v>4</x:v>
      </x:c>
      <x:c r="EF32" s="14" t="str">
        <x:v>未收錄</x:v>
      </x:c>
      <x:c r="EG32" s="14" t="str">
        <x:v>26939</x:v>
      </x:c>
      <x:c r="EH32" s="14" t="n">
        <x:v>8</x:v>
      </x:c>
      <x:c r="EI32" s="14" t="n">
        <x:v>550</x:v>
      </x:c>
      <x:c r="EJ32" s="14" t="n">
        <x:v>69</x:v>
      </x:c>
      <x:c r="EK32" s="14" t="n">
        <x:v>18</x:v>
      </x:c>
      <x:c r="EL32" s="14" t="n">
        <x:v>1</x:v>
      </x:c>
      <x:c r="EM32" s="14" t="str">
        <x:v>未收錄</x:v>
      </x:c>
      <x:c r="EN32" s="14" t="str">
        <x:v>27042</x:v>
      </x:c>
      <x:c r="EO32" s="14" t="n">
        <x:v>8</x:v>
      </x:c>
      <x:c r="EP32" s="14" t="n">
        <x:v>551</x:v>
      </x:c>
      <x:c r="EQ32" s="14" t="n">
        <x:v>70</x:v>
      </x:c>
      <x:c r="ER32" s="14" t="n">
        <x:v>18</x:v>
      </x:c>
      <x:c r="ES32" s="14" t="n">
        <x:v>2</x:v>
      </x:c>
      <x:c r="ET32" s="14" t="str">
        <x:v>未收錄</x:v>
      </x:c>
      <x:c r="EU32" s="14" t="str">
        <x:v>27043</x:v>
      </x:c>
      <x:c r="EV32" s="14" t="n">
        <x:v>8</x:v>
      </x:c>
      <x:c r="EW32" s="14" t="n">
        <x:v>552</x:v>
      </x:c>
      <x:c r="EX32" s="14" t="n">
        <x:v>71</x:v>
      </x:c>
      <x:c r="EY32" s="14" t="n">
        <x:v>18</x:v>
      </x:c>
      <x:c r="EZ32" s="14" t="n">
        <x:v>3</x:v>
      </x:c>
      <x:c r="FA32" s="14" t="str">
        <x:v>未收錄</x:v>
      </x:c>
      <x:c r="FB32" s="14" t="str">
        <x:v>27044</x:v>
      </x:c>
      <x:c r="FC32" s="14" t="n">
        <x:v>8</x:v>
      </x:c>
      <x:c r="FD32" s="14" t="n">
        <x:v>553</x:v>
      </x:c>
      <x:c r="FE32" s="14" t="n">
        <x:v>72</x:v>
      </x:c>
      <x:c r="FF32" s="14" t="n">
        <x:v>18</x:v>
      </x:c>
      <x:c r="FG32" s="14" t="n">
        <x:v>4</x:v>
      </x:c>
      <x:c r="FH32" s="14" t="str">
        <x:v>未收錄</x:v>
      </x:c>
      <x:c r="FI32" s="14" t="str">
        <x:v>23916</x:v>
      </x:c>
      <x:c r="FJ32" s="14" t="n">
        <x:v>8</x:v>
      </x:c>
      <x:c r="FK32" s="14" t="n">
        <x:v>700</x:v>
      </x:c>
      <x:c r="FL32" s="14" t="n">
        <x:v>69</x:v>
      </x:c>
      <x:c r="FM32" s="14" t="n">
        <x:v>18</x:v>
      </x:c>
      <x:c r="FN32" s="14" t="n">
        <x:v>1</x:v>
      </x:c>
      <x:c r="FO32" s="14" t="str">
        <x:v>未收錄</x:v>
      </x:c>
      <x:c r="FP32" s="14" t="str">
        <x:v>23917</x:v>
      </x:c>
      <x:c r="FQ32" s="14" t="n">
        <x:v>8</x:v>
      </x:c>
      <x:c r="FR32" s="14" t="n">
        <x:v>701</x:v>
      </x:c>
      <x:c r="FS32" s="14" t="n">
        <x:v>70</x:v>
      </x:c>
      <x:c r="FT32" s="14" t="n">
        <x:v>18</x:v>
      </x:c>
      <x:c r="FU32" s="14" t="n">
        <x:v>2</x:v>
      </x:c>
      <x:c r="FV32" s="14" t="str">
        <x:v>未收錄</x:v>
      </x:c>
      <x:c r="FW32" s="14" t="str">
        <x:v>23918</x:v>
      </x:c>
      <x:c r="FX32" s="14" t="n">
        <x:v>8</x:v>
      </x:c>
      <x:c r="FY32" s="14" t="n">
        <x:v>702</x:v>
      </x:c>
      <x:c r="FZ32" s="14" t="n">
        <x:v>71</x:v>
      </x:c>
      <x:c r="GA32" s="14" t="n">
        <x:v>18</x:v>
      </x:c>
      <x:c r="GB32" s="14" t="n">
        <x:v>3</x:v>
      </x:c>
      <x:c r="GC32" s="14" t="str">
        <x:v>未收錄</x:v>
      </x:c>
      <x:c r="GD32" s="14" t="str">
        <x:v>23919</x:v>
      </x:c>
      <x:c r="GE32" s="14" t="n">
        <x:v>8</x:v>
      </x:c>
      <x:c r="GF32" s="14" t="n">
        <x:v>703</x:v>
      </x:c>
      <x:c r="GG32" s="14" t="n">
        <x:v>72</x:v>
      </x:c>
      <x:c r="GH32" s="14" t="n">
        <x:v>18</x:v>
      </x:c>
      <x:c r="GI32" s="14" t="n">
        <x:v>4</x:v>
      </x:c>
      <x:c r="GJ32" s="14" t="str">
        <x:v>未收錄</x:v>
      </x:c>
      <x:c r="GK32" s="14" t="str">
        <x:v>23609</x:v>
      </x:c>
      <x:c r="GL32" s="14" t="n">
        <x:v>8</x:v>
      </x:c>
      <x:c r="GM32" s="14" t="n">
        <x:v>872</x:v>
      </x:c>
      <x:c r="GN32" s="14" t="n">
        <x:v>69</x:v>
      </x:c>
      <x:c r="GO32" s="14" t="n">
        <x:v>18</x:v>
      </x:c>
      <x:c r="GP32" s="14" t="n">
        <x:v>1</x:v>
      </x:c>
      <x:c r="GQ32" s="14" t="str">
        <x:v>未收錄</x:v>
      </x:c>
      <x:c r="GR32" s="14" t="str">
        <x:v>23920</x:v>
      </x:c>
      <x:c r="GS32" s="14" t="n">
        <x:v>8</x:v>
      </x:c>
      <x:c r="GT32" s="14" t="n">
        <x:v>873</x:v>
      </x:c>
      <x:c r="GU32" s="14" t="n">
        <x:v>70</x:v>
      </x:c>
      <x:c r="GV32" s="14" t="n">
        <x:v>18</x:v>
      </x:c>
      <x:c r="GW32" s="14" t="n">
        <x:v>2</x:v>
      </x:c>
      <x:c r="GX32" s="14" t="str">
        <x:v>未收錄</x:v>
      </x:c>
      <x:c r="GY32" s="14" t="str">
        <x:v>23921</x:v>
      </x:c>
      <x:c r="GZ32" s="14" t="n">
        <x:v>8</x:v>
      </x:c>
      <x:c r="HA32" s="14" t="n">
        <x:v>874</x:v>
      </x:c>
      <x:c r="HB32" s="14" t="n">
        <x:v>71</x:v>
      </x:c>
      <x:c r="HC32" s="14" t="n">
        <x:v>18</x:v>
      </x:c>
      <x:c r="HD32" s="14" t="n">
        <x:v>3</x:v>
      </x:c>
      <x:c r="HE32" s="14" t="str">
        <x:v>未收錄</x:v>
      </x:c>
      <x:c r="HF32" s="14" t="str">
        <x:v>23922</x:v>
      </x:c>
      <x:c r="HG32" s="14" t="n">
        <x:v>8</x:v>
      </x:c>
      <x:c r="HH32" s="14" t="n">
        <x:v>875</x:v>
      </x:c>
      <x:c r="HI32" s="14" t="n">
        <x:v>72</x:v>
      </x:c>
      <x:c r="HJ32" s="14" t="n">
        <x:v>18</x:v>
      </x:c>
      <x:c r="HK32" s="14" t="n">
        <x:v>4</x:v>
      </x:c>
      <x:c r="HL32" s="14" t="str">
        <x:v>未收錄</x:v>
      </x:c>
      <x:c r="HM32" s="14" t="str">
        <x:v>23930</x:v>
      </x:c>
      <x:c r="HN32" s="14" t="n">
        <x:v>8</x:v>
      </x:c>
      <x:c r="HO32" s="14" t="n">
        <x:v>1045</x:v>
      </x:c>
      <x:c r="HP32" s="14" t="n">
        <x:v>69</x:v>
      </x:c>
      <x:c r="HQ32" s="14" t="n">
        <x:v>18</x:v>
      </x:c>
      <x:c r="HR32" s="14" t="n">
        <x:v>1</x:v>
      </x:c>
      <x:c r="HS32" s="14" t="str">
        <x:v>未收錄</x:v>
      </x:c>
      <x:c r="HT32" s="14" t="str">
        <x:v>23931</x:v>
      </x:c>
      <x:c r="HU32" s="14" t="n">
        <x:v>8</x:v>
      </x:c>
      <x:c r="HV32" s="14" t="n">
        <x:v>1046</x:v>
      </x:c>
      <x:c r="HW32" s="14" t="n">
        <x:v>70</x:v>
      </x:c>
      <x:c r="HX32" s="14" t="n">
        <x:v>18</x:v>
      </x:c>
      <x:c r="HY32" s="14" t="n">
        <x:v>2</x:v>
      </x:c>
      <x:c r="HZ32" s="14" t="str">
        <x:v>未收錄</x:v>
      </x:c>
      <x:c r="IA32" s="14" t="str">
        <x:v>24072</x:v>
      </x:c>
      <x:c r="IB32" s="14" t="n">
        <x:v>8</x:v>
      </x:c>
      <x:c r="IC32" s="14" t="n">
        <x:v>1047</x:v>
      </x:c>
      <x:c r="ID32" s="14" t="n">
        <x:v>71</x:v>
      </x:c>
      <x:c r="IE32" s="14" t="n">
        <x:v>18</x:v>
      </x:c>
      <x:c r="IF32" s="14" t="n">
        <x:v>3</x:v>
      </x:c>
      <x:c r="IG32" s="14" t="str">
        <x:v>未收錄</x:v>
      </x:c>
      <x:c r="IH32" s="14" t="str">
        <x:v>24145</x:v>
      </x:c>
      <x:c r="II32" s="14" t="n">
        <x:v>3</x:v>
      </x:c>
      <x:c r="IJ32" s="14" t="n">
        <x:v>1048</x:v>
      </x:c>
      <x:c r="IK32" s="14" t="n">
        <x:v>72</x:v>
      </x:c>
      <x:c r="IL32" s="14" t="n">
        <x:v>18</x:v>
      </x:c>
      <x:c r="IM32" s="14" t="n">
        <x:v>4</x:v>
      </x:c>
      <x:c r="IN32" s="14" t="str">
        <x:v>未收錄</x:v>
      </x:c>
      <x:c r="IO32" s="14" t="str">
        <x:v>24564</x:v>
      </x:c>
      <x:c r="IP32" s="14" t="n">
        <x:v>8</x:v>
      </x:c>
      <x:c r="IQ32" s="14" t="n">
        <x:v>1213</x:v>
      </x:c>
      <x:c r="IR32" s="14" t="n">
        <x:v>69</x:v>
      </x:c>
      <x:c r="IS32" s="14" t="n">
        <x:v>18</x:v>
      </x:c>
      <x:c r="IT32" s="14" t="n">
        <x:v>1</x:v>
      </x:c>
      <x:c r="IU32" s="14" t="str">
        <x:v>未收錄</x:v>
      </x:c>
      <x:c r="IV32" s="14" t="str">
        <x:v>24075</x:v>
      </x:c>
      <x:c r="IW32" s="14" t="n">
        <x:v>8</x:v>
      </x:c>
      <x:c r="IX32" s="14" t="n">
        <x:v>1214</x:v>
      </x:c>
      <x:c r="IY32" s="14" t="n">
        <x:v>70</x:v>
      </x:c>
      <x:c r="IZ32" s="14" t="n">
        <x:v>18</x:v>
      </x:c>
      <x:c r="JA32" s="14" t="n">
        <x:v>2</x:v>
      </x:c>
      <x:c r="JB32" s="14" t="str">
        <x:v>未收錄</x:v>
      </x:c>
      <x:c r="JC32" s="14" t="str">
        <x:v>24665</x:v>
      </x:c>
      <x:c r="JD32" s="14" t="n">
        <x:v>3</x:v>
      </x:c>
      <x:c r="JE32" s="14" t="n">
        <x:v>1215</x:v>
      </x:c>
      <x:c r="JF32" s="14" t="n">
        <x:v>71</x:v>
      </x:c>
      <x:c r="JG32" s="14" t="n">
        <x:v>18</x:v>
      </x:c>
      <x:c r="JH32" s="14" t="n">
        <x:v>3</x:v>
      </x:c>
      <x:c r="JI32" s="14" t="str">
        <x:v>未收錄</x:v>
      </x:c>
      <x:c r="JJ32" s="14" t="str">
        <x:v>24106</x:v>
      </x:c>
      <x:c r="JK32" s="14" t="n">
        <x:v>8</x:v>
      </x:c>
      <x:c r="JL32" s="14" t="n">
        <x:v>1216</x:v>
      </x:c>
      <x:c r="JM32" s="14" t="n">
        <x:v>72</x:v>
      </x:c>
      <x:c r="JN32" s="14" t="n">
        <x:v>18</x:v>
      </x:c>
      <x:c r="JO32" s="14" t="n">
        <x:v>4</x:v>
      </x:c>
      <x:c r="JP32" s="14" t="str">
        <x:v>未收錄</x:v>
      </x:c>
      <x:c r="JQ32" s="14" t="str">
        <x:v>28372</x:v>
      </x:c>
      <x:c r="JR32" s="14" t="n">
        <x:v>8</x:v>
      </x:c>
      <x:c r="JS32" s="14" t="n">
        <x:v>1380</x:v>
      </x:c>
      <x:c r="JT32" s="14" t="n">
        <x:v>69</x:v>
      </x:c>
      <x:c r="JU32" s="14" t="n">
        <x:v>18</x:v>
      </x:c>
      <x:c r="JV32" s="14" t="n">
        <x:v>1</x:v>
      </x:c>
      <x:c r="JW32" s="14" t="str">
        <x:v>未收錄</x:v>
      </x:c>
      <x:c r="JX32" s="14" t="str">
        <x:v>28832</x:v>
      </x:c>
      <x:c r="JY32" s="14" t="n">
        <x:v>8</x:v>
      </x:c>
      <x:c r="JZ32" s="14" t="n">
        <x:v>1381</x:v>
      </x:c>
      <x:c r="KA32" s="14" t="n">
        <x:v>70</x:v>
      </x:c>
      <x:c r="KB32" s="14" t="n">
        <x:v>18</x:v>
      </x:c>
      <x:c r="KC32" s="14" t="n">
        <x:v>2</x:v>
      </x:c>
      <x:c r="KD32" s="14" t="str">
        <x:v>未收錄</x:v>
      </x:c>
      <x:c r="KE32" s="14" t="str">
        <x:v>28833</x:v>
      </x:c>
      <x:c r="KF32" s="14" t="n">
        <x:v>8</x:v>
      </x:c>
      <x:c r="KG32" s="14" t="n">
        <x:v>1382</x:v>
      </x:c>
      <x:c r="KH32" s="14" t="n">
        <x:v>71</x:v>
      </x:c>
      <x:c r="KI32" s="14" t="n">
        <x:v>18</x:v>
      </x:c>
      <x:c r="KJ32" s="14" t="n">
        <x:v>3</x:v>
      </x:c>
      <x:c r="KK32" s="14" t="str">
        <x:v>未收錄</x:v>
      </x:c>
      <x:c r="KL32" s="14" t="str">
        <x:v>28834</x:v>
      </x:c>
      <x:c r="KM32" s="14" t="n">
        <x:v>8</x:v>
      </x:c>
      <x:c r="KN32" s="14" t="n">
        <x:v>1383</x:v>
      </x:c>
      <x:c r="KO32" s="14" t="n">
        <x:v>72</x:v>
      </x:c>
      <x:c r="KP32" s="14" t="n">
        <x:v>18</x:v>
      </x:c>
      <x:c r="KQ32" s="14" t="n">
        <x:v>4</x:v>
      </x:c>
      <x:c r="KR32" s="14" t="str">
        <x:v>未收錄</x:v>
      </x:c>
      <x:c r="KS32" s="14" t="str">
        <x:v>28836</x:v>
      </x:c>
      <x:c r="KT32" s="14" t="n">
        <x:v>8</x:v>
      </x:c>
      <x:c r="KU32" s="14" t="n">
        <x:v>1495</x:v>
      </x:c>
      <x:c r="KV32" s="14" t="n">
        <x:v>69</x:v>
      </x:c>
      <x:c r="KW32" s="14" t="n">
        <x:v>18</x:v>
      </x:c>
      <x:c r="KX32" s="14" t="n">
        <x:v>1</x:v>
      </x:c>
      <x:c r="KY32" s="14" t="str">
        <x:v>未收錄</x:v>
      </x:c>
      <x:c r="KZ32" s="14" t="str">
        <x:v>28837</x:v>
      </x:c>
      <x:c r="LA32" s="14" t="n">
        <x:v>8</x:v>
      </x:c>
      <x:c r="LB32" s="14" t="n">
        <x:v>1496</x:v>
      </x:c>
      <x:c r="LC32" s="14" t="n">
        <x:v>70</x:v>
      </x:c>
      <x:c r="LD32" s="14" t="n">
        <x:v>18</x:v>
      </x:c>
      <x:c r="LE32" s="14" t="n">
        <x:v>2</x:v>
      </x:c>
      <x:c r="LF32" s="14" t="str">
        <x:v>未收錄</x:v>
      </x:c>
      <x:c r="LG32" s="14" t="str">
        <x:v>29391</x:v>
      </x:c>
      <x:c r="LH32" s="14" t="n">
        <x:v>8</x:v>
      </x:c>
      <x:c r="LI32" s="14" t="n">
        <x:v>1497</x:v>
      </x:c>
      <x:c r="LJ32" s="14" t="n">
        <x:v>71</x:v>
      </x:c>
      <x:c r="LK32" s="14" t="n">
        <x:v>18</x:v>
      </x:c>
      <x:c r="LL32" s="14" t="n">
        <x:v>3</x:v>
      </x:c>
      <x:c r="LM32" s="14" t="str">
        <x:v>未收錄</x:v>
      </x:c>
      <x:c r="LN32" s="14" t="str">
        <x:v>29392</x:v>
      </x:c>
      <x:c r="LO32" s="14" t="n">
        <x:v>8</x:v>
      </x:c>
      <x:c r="LP32" s="14" t="n">
        <x:v>1498</x:v>
      </x:c>
      <x:c r="LQ32" s="14" t="n">
        <x:v>72</x:v>
      </x:c>
      <x:c r="LR32" s="14" t="n">
        <x:v>18</x:v>
      </x:c>
      <x:c r="LS32" s="14" t="n">
        <x:v>4</x:v>
      </x:c>
      <x:c r="LT32" s="14" t="str">
        <x:v>未收錄</x:v>
      </x:c>
      <x:c r="LU32" s="14" t="str">
        <x:v>29399</x:v>
      </x:c>
      <x:c r="LV32" s="14" t="n">
        <x:v>8</x:v>
      </x:c>
      <x:c r="LW32" s="14" t="n">
        <x:v>1608</x:v>
      </x:c>
      <x:c r="LX32" s="14" t="n">
        <x:v>69</x:v>
      </x:c>
      <x:c r="LY32" s="14" t="n">
        <x:v>18</x:v>
      </x:c>
      <x:c r="LZ32" s="14" t="n">
        <x:v>1</x:v>
      </x:c>
      <x:c r="MA32" s="14" t="str">
        <x:v>未收錄</x:v>
      </x:c>
      <x:c r="MB32" s="14" t="str">
        <x:v>29400</x:v>
      </x:c>
      <x:c r="MC32" s="14" t="n">
        <x:v>8</x:v>
      </x:c>
      <x:c r="MD32" s="14" t="n">
        <x:v>1609</x:v>
      </x:c>
      <x:c r="ME32" s="14" t="n">
        <x:v>70</x:v>
      </x:c>
      <x:c r="MF32" s="14" t="n">
        <x:v>18</x:v>
      </x:c>
      <x:c r="MG32" s="14" t="n">
        <x:v>2</x:v>
      </x:c>
      <x:c r="MH32" s="14" t="str">
        <x:v>未收錄</x:v>
      </x:c>
      <x:c r="MI32" s="14" t="str">
        <x:v>29401</x:v>
      </x:c>
      <x:c r="MJ32" s="14" t="n">
        <x:v>8</x:v>
      </x:c>
      <x:c r="MK32" s="14" t="n">
        <x:v>1610</x:v>
      </x:c>
      <x:c r="ML32" s="14" t="n">
        <x:v>71</x:v>
      </x:c>
      <x:c r="MM32" s="14" t="n">
        <x:v>18</x:v>
      </x:c>
      <x:c r="MN32" s="14" t="n">
        <x:v>3</x:v>
      </x:c>
      <x:c r="MO32" s="14" t="str">
        <x:v>未收錄</x:v>
      </x:c>
      <x:c r="MP32" s="14" t="str">
        <x:v>29402</x:v>
      </x:c>
      <x:c r="MQ32" s="14" t="n">
        <x:v>8</x:v>
      </x:c>
      <x:c r="MR32" s="14" t="n">
        <x:v>1611</x:v>
      </x:c>
      <x:c r="MS32" s="14" t="n">
        <x:v>72</x:v>
      </x:c>
      <x:c r="MT32" s="14" t="n">
        <x:v>18</x:v>
      </x:c>
      <x:c r="MU32" s="14" t="n">
        <x:v>4</x:v>
      </x:c>
      <x:c r="MV32" s="14" t="str">
        <x:v>未收錄</x:v>
      </x:c>
      <x:c r="MW32" s="14" t="str">
        <x:v>20946</x:v>
      </x:c>
      <x:c r="MX32" s="14" t="n">
        <x:v>3</x:v>
      </x:c>
      <x:c r="MY32" s="14" t="n">
        <x:v>1717</x:v>
      </x:c>
      <x:c r="MZ32" s="14" t="n">
        <x:v>69</x:v>
      </x:c>
      <x:c r="NA32" s="14" t="n">
        <x:v>18</x:v>
      </x:c>
      <x:c r="NB32" s="14" t="n">
        <x:v>1</x:v>
      </x:c>
      <x:c r="NC32" s="14" t="str">
        <x:v>未收錄</x:v>
      </x:c>
      <x:c r="ND32" s="14" t="str">
        <x:v>20947</x:v>
      </x:c>
      <x:c r="NE32" s="14" t="n">
        <x:v>3</x:v>
      </x:c>
      <x:c r="NF32" s="14" t="n">
        <x:v>1718</x:v>
      </x:c>
      <x:c r="NG32" s="14" t="n">
        <x:v>70</x:v>
      </x:c>
      <x:c r="NH32" s="14" t="n">
        <x:v>18</x:v>
      </x:c>
      <x:c r="NI32" s="14" t="n">
        <x:v>2</x:v>
      </x:c>
      <x:c r="NJ32" s="14" t="str">
        <x:v>未收錄</x:v>
      </x:c>
      <x:c r="NK32" s="14" t="str">
        <x:v>21168</x:v>
      </x:c>
      <x:c r="NL32" s="14" t="n">
        <x:v>5</x:v>
      </x:c>
      <x:c r="NM32" s="14" t="n">
        <x:v>1719</x:v>
      </x:c>
      <x:c r="NN32" s="14" t="n">
        <x:v>71</x:v>
      </x:c>
      <x:c r="NO32" s="14" t="n">
        <x:v>18</x:v>
      </x:c>
      <x:c r="NP32" s="14" t="n">
        <x:v>3</x:v>
      </x:c>
      <x:c r="NQ32" s="14" t="str">
        <x:v>未收錄</x:v>
      </x:c>
      <x:c r="NR32" s="14" t="str">
        <x:v>21169</x:v>
      </x:c>
      <x:c r="NS32" s="14" t="n">
        <x:v>5</x:v>
      </x:c>
      <x:c r="NT32" s="14" t="n">
        <x:v>1720</x:v>
      </x:c>
      <x:c r="NU32" s="14" t="n">
        <x:v>72</x:v>
      </x:c>
      <x:c r="NV32" s="14" t="n">
        <x:v>18</x:v>
      </x:c>
      <x:c r="NW32" s="14" t="n">
        <x:v>4</x:v>
      </x:c>
      <x:c r="NX32" s="14" t="str">
        <x:v>未收錄</x:v>
      </x:c>
      <x:c r="NY32" s="14" t="str">
        <x:v>20950</x:v>
      </x:c>
      <x:c r="NZ32" s="14" t="n">
        <x:v>10</x:v>
      </x:c>
      <x:c r="OA32" s="14" t="n">
        <x:v>2170</x:v>
      </x:c>
      <x:c r="OB32" s="14" t="n">
        <x:v>69</x:v>
      </x:c>
      <x:c r="OC32" s="14" t="n">
        <x:v>18</x:v>
      </x:c>
      <x:c r="OD32" s="14" t="n">
        <x:v>1</x:v>
      </x:c>
      <x:c r="OE32" s="14" t="str">
        <x:v>未收錄</x:v>
      </x:c>
      <x:c r="OF32" s="14" t="str">
        <x:v>21231</x:v>
      </x:c>
      <x:c r="OG32" s="14" t="n">
        <x:v>5</x:v>
      </x:c>
      <x:c r="OH32" s="14" t="n">
        <x:v>2171</x:v>
      </x:c>
      <x:c r="OI32" s="14" t="n">
        <x:v>70</x:v>
      </x:c>
      <x:c r="OJ32" s="14" t="n">
        <x:v>18</x:v>
      </x:c>
      <x:c r="OK32" s="14" t="n">
        <x:v>2</x:v>
      </x:c>
      <x:c r="OL32" s="14" t="str">
        <x:v>未收錄</x:v>
      </x:c>
      <x:c r="OM32" s="14" t="str">
        <x:v>21232</x:v>
      </x:c>
      <x:c r="ON32" s="14" t="n">
        <x:v>5</x:v>
      </x:c>
      <x:c r="OO32" s="14" t="n">
        <x:v>2172</x:v>
      </x:c>
      <x:c r="OP32" s="14" t="n">
        <x:v>71</x:v>
      </x:c>
      <x:c r="OQ32" s="14" t="n">
        <x:v>18</x:v>
      </x:c>
      <x:c r="OR32" s="14" t="n">
        <x:v>3</x:v>
      </x:c>
      <x:c r="OS32" s="14" t="str">
        <x:v>未收錄</x:v>
      </x:c>
      <x:c r="OT32" s="14" t="str">
        <x:v>21233</x:v>
      </x:c>
      <x:c r="OU32" s="14" t="n">
        <x:v>5</x:v>
      </x:c>
      <x:c r="OV32" s="14" t="n">
        <x:v>2173</x:v>
      </x:c>
      <x:c r="OW32" s="14" t="n">
        <x:v>72</x:v>
      </x:c>
      <x:c r="OX32" s="14" t="n">
        <x:v>18</x:v>
      </x:c>
      <x:c r="OY32" s="14" t="n">
        <x:v>4</x:v>
      </x:c>
      <x:c r="OZ32" s="14" t="str">
        <x:v>未收錄</x:v>
      </x:c>
      <x:c r="PA32" s="14" t="str">
        <x:v>21521</x:v>
      </x:c>
      <x:c r="PB32" s="14" t="n">
        <x:v>5</x:v>
      </x:c>
      <x:c r="PC32" s="14" t="n">
        <x:v>2716</x:v>
      </x:c>
      <x:c r="PD32" s="14" t="n">
        <x:v>69</x:v>
      </x:c>
      <x:c r="PE32" s="14" t="n">
        <x:v>18</x:v>
      </x:c>
      <x:c r="PF32" s="14" t="n">
        <x:v>1</x:v>
      </x:c>
      <x:c r="PG32" s="14" t="str">
        <x:v>未收錄</x:v>
      </x:c>
      <x:c r="PH32" s="14" t="str">
        <x:v>21522</x:v>
      </x:c>
      <x:c r="PI32" s="14" t="n">
        <x:v>5</x:v>
      </x:c>
      <x:c r="PJ32" s="14" t="n">
        <x:v>2717</x:v>
      </x:c>
      <x:c r="PK32" s="14" t="n">
        <x:v>70</x:v>
      </x:c>
      <x:c r="PL32" s="14" t="n">
        <x:v>18</x:v>
      </x:c>
      <x:c r="PM32" s="14" t="n">
        <x:v>2</x:v>
      </x:c>
      <x:c r="PN32" s="14" t="str">
        <x:v>未收錄</x:v>
      </x:c>
      <x:c r="PO32" s="14" t="str">
        <x:v>21523</x:v>
      </x:c>
      <x:c r="PP32" s="14" t="n">
        <x:v>5</x:v>
      </x:c>
      <x:c r="PQ32" s="14" t="n">
        <x:v>2718</x:v>
      </x:c>
      <x:c r="PR32" s="14" t="n">
        <x:v>71</x:v>
      </x:c>
      <x:c r="PS32" s="14" t="n">
        <x:v>18</x:v>
      </x:c>
      <x:c r="PT32" s="14" t="n">
        <x:v>3</x:v>
      </x:c>
      <x:c r="PU32" s="14" t="str">
        <x:v>未收錄</x:v>
      </x:c>
      <x:c r="PV32" s="14" t="str">
        <x:v>21524</x:v>
      </x:c>
      <x:c r="PW32" s="14" t="n">
        <x:v>5</x:v>
      </x:c>
      <x:c r="PX32" s="14" t="n">
        <x:v>2719</x:v>
      </x:c>
      <x:c r="PY32" s="14" t="n">
        <x:v>72</x:v>
      </x:c>
      <x:c r="PZ32" s="14" t="n">
        <x:v>18</x:v>
      </x:c>
      <x:c r="QA32" s="14" t="n">
        <x:v>4</x:v>
      </x:c>
      <x:c r="QB32" s="14" t="str">
        <x:v>未收錄</x:v>
      </x:c>
      <x:c r="QC32" s="14" t="str">
        <x:v>21535</x:v>
      </x:c>
      <x:c r="QD32" s="14" t="n">
        <x:v>5</x:v>
      </x:c>
      <x:c r="QE32" s="14" t="n">
        <x:v>3153</x:v>
      </x:c>
      <x:c r="QF32" s="14" t="n">
        <x:v>69</x:v>
      </x:c>
      <x:c r="QG32" s="14" t="n">
        <x:v>18</x:v>
      </x:c>
      <x:c r="QH32" s="14" t="n">
        <x:v>1</x:v>
      </x:c>
      <x:c r="QI32" s="14" t="str">
        <x:v>未收錄</x:v>
      </x:c>
      <x:c r="QJ32" s="14" t="str">
        <x:v>21536</x:v>
      </x:c>
      <x:c r="QK32" s="14" t="n">
        <x:v>5</x:v>
      </x:c>
      <x:c r="QL32" s="14" t="n">
        <x:v>3154</x:v>
      </x:c>
      <x:c r="QM32" s="14" t="n">
        <x:v>70</x:v>
      </x:c>
      <x:c r="QN32" s="14" t="n">
        <x:v>18</x:v>
      </x:c>
      <x:c r="QO32" s="14" t="n">
        <x:v>2</x:v>
      </x:c>
      <x:c r="QP32" s="14" t="str">
        <x:v>未收錄</x:v>
      </x:c>
      <x:c r="QQ32" s="14" t="str">
        <x:v>21537</x:v>
      </x:c>
      <x:c r="QR32" s="14" t="n">
        <x:v>5</x:v>
      </x:c>
      <x:c r="QS32" s="14" t="n">
        <x:v>3155</x:v>
      </x:c>
      <x:c r="QT32" s="14" t="n">
        <x:v>71</x:v>
      </x:c>
      <x:c r="QU32" s="14" t="n">
        <x:v>18</x:v>
      </x:c>
      <x:c r="QV32" s="14" t="n">
        <x:v>3</x:v>
      </x:c>
      <x:c r="QW32" s="14" t="str">
        <x:v>未收錄</x:v>
      </x:c>
      <x:c r="QX32" s="14" t="str">
        <x:v>21538</x:v>
      </x:c>
      <x:c r="QY32" s="14" t="n">
        <x:v>5</x:v>
      </x:c>
      <x:c r="QZ32" s="14" t="n">
        <x:v>3156</x:v>
      </x:c>
      <x:c r="RA32" s="14" t="n">
        <x:v>72</x:v>
      </x:c>
      <x:c r="RB32" s="14" t="n">
        <x:v>18</x:v>
      </x:c>
      <x:c r="RC32" s="14" t="n">
        <x:v>4</x:v>
      </x:c>
      <x:c r="RD32" s="14" t="str">
        <x:v>未收錄</x:v>
      </x:c>
      <x:c r="RE32" s="14" t="str">
        <x:v>22005</x:v>
      </x:c>
      <x:c r="RF32" s="14" t="n">
        <x:v>5</x:v>
      </x:c>
      <x:c r="RG32" s="14" t="n">
        <x:v>3614</x:v>
      </x:c>
      <x:c r="RH32" s="14" t="n">
        <x:v>69</x:v>
      </x:c>
      <x:c r="RI32" s="14" t="n">
        <x:v>18</x:v>
      </x:c>
      <x:c r="RJ32" s="14" t="n">
        <x:v>1</x:v>
      </x:c>
      <x:c r="RK32" s="14" t="str">
        <x:v>未收錄</x:v>
      </x:c>
      <x:c r="RL32" s="14" t="str">
        <x:v>22006</x:v>
      </x:c>
      <x:c r="RM32" s="14" t="n">
        <x:v>5</x:v>
      </x:c>
      <x:c r="RN32" s="14" t="n">
        <x:v>3615</x:v>
      </x:c>
      <x:c r="RO32" s="14" t="n">
        <x:v>70</x:v>
      </x:c>
      <x:c r="RP32" s="14" t="n">
        <x:v>18</x:v>
      </x:c>
      <x:c r="RQ32" s="14" t="n">
        <x:v>2</x:v>
      </x:c>
      <x:c r="RR32" s="14" t="str">
        <x:v>未收錄</x:v>
      </x:c>
      <x:c r="RS32" s="14" t="str">
        <x:v>22023</x:v>
      </x:c>
      <x:c r="RT32" s="14" t="n">
        <x:v>5</x:v>
      </x:c>
      <x:c r="RU32" s="14" t="n">
        <x:v>3616</x:v>
      </x:c>
      <x:c r="RV32" s="14" t="n">
        <x:v>71</x:v>
      </x:c>
      <x:c r="RW32" s="14" t="n">
        <x:v>18</x:v>
      </x:c>
      <x:c r="RX32" s="14" t="n">
        <x:v>3</x:v>
      </x:c>
      <x:c r="RY32" s="14" t="str">
        <x:v>未收錄</x:v>
      </x:c>
      <x:c r="RZ32" s="14" t="str">
        <x:v>22024</x:v>
      </x:c>
      <x:c r="SA32" s="14" t="n">
        <x:v>5</x:v>
      </x:c>
      <x:c r="SB32" s="14" t="n">
        <x:v>3617</x:v>
      </x:c>
      <x:c r="SC32" s="14" t="n">
        <x:v>72</x:v>
      </x:c>
      <x:c r="SD32" s="14" t="n">
        <x:v>18</x:v>
      </x:c>
      <x:c r="SE32" s="14" t="n">
        <x:v>4</x:v>
      </x:c>
      <x:c r="SF32" s="14" t="str">
        <x:v>未收錄</x:v>
      </x:c>
      <x:c r="SG32" s="14" t="str">
        <x:v>30904</x:v>
      </x:c>
      <x:c r="SH32" s="14" t="n">
        <x:v>10</x:v>
      </x:c>
      <x:c r="SI32" s="14" t="n">
        <x:v>4038</x:v>
      </x:c>
      <x:c r="SJ32" s="14" t="n">
        <x:v>69</x:v>
      </x:c>
      <x:c r="SK32" s="14" t="n">
        <x:v>18</x:v>
      </x:c>
      <x:c r="SL32" s="14" t="n">
        <x:v>1</x:v>
      </x:c>
      <x:c r="SM32" s="14" t="str">
        <x:v>未收錄</x:v>
      </x:c>
      <x:c r="SN32" s="14" t="str">
        <x:v>30971</x:v>
      </x:c>
      <x:c r="SO32" s="14" t="n">
        <x:v>20</x:v>
      </x:c>
      <x:c r="SP32" s="14" t="n">
        <x:v>4039</x:v>
      </x:c>
      <x:c r="SQ32" s="14" t="n">
        <x:v>70</x:v>
      </x:c>
      <x:c r="SR32" s="14" t="n">
        <x:v>18</x:v>
      </x:c>
      <x:c r="SS32" s="14" t="n">
        <x:v>2</x:v>
      </x:c>
      <x:c r="ST32" s="14" t="str">
        <x:v>未收錄</x:v>
      </x:c>
      <x:c r="SU32" s="14" t="str">
        <x:v>30972</x:v>
      </x:c>
      <x:c r="SV32" s="14" t="n">
        <x:v>10</x:v>
      </x:c>
      <x:c r="SW32" s="14" t="n">
        <x:v>4040</x:v>
      </x:c>
      <x:c r="SX32" s="14" t="n">
        <x:v>71</x:v>
      </x:c>
      <x:c r="SY32" s="14" t="n">
        <x:v>18</x:v>
      </x:c>
      <x:c r="SZ32" s="14" t="n">
        <x:v>3</x:v>
      </x:c>
      <x:c r="TA32" s="14" t="str">
        <x:v>未收錄</x:v>
      </x:c>
      <x:c r="TB32" s="14" t="str">
        <x:v>31055</x:v>
      </x:c>
      <x:c r="TC32" s="14" t="n">
        <x:v>15</x:v>
      </x:c>
      <x:c r="TD32" s="14" t="n">
        <x:v>4041</x:v>
      </x:c>
      <x:c r="TE32" s="14" t="n">
        <x:v>72</x:v>
      </x:c>
      <x:c r="TF32" s="14" t="n">
        <x:v>18</x:v>
      </x:c>
      <x:c r="TG32" s="14" t="n">
        <x:v>4</x:v>
      </x:c>
      <x:c r="TH32" s="14" t="str">
        <x:v>未收錄</x:v>
      </x:c>
    </x:row>
    <x:row r="33" ht="15" customHeight="1">
      <x:c r="A33" s="17" t="str">
        <x:v>誅仙劍</x:v>
      </x:c>
      <x:c r="B33" s="17" t="str">
        <x:v>天晶誅仙劍</x:v>
      </x:c>
      <x:c r="C33" s="17" t="str">
        <x:v>滅佛劍</x:v>
      </x:c>
      <x:c r="D33" s="17" t="str">
        <x:v>天晶滅佛劍</x:v>
      </x:c>
      <x:c r="E33" s="14"/>
      <x:c r="F33" s="17" t="str">
        <x:v>追魂刀</x:v>
      </x:c>
      <x:c r="G33" s="17" t="str">
        <x:v>靈猿刀</x:v>
      </x:c>
      <x:c r="H33" s="17" t="str">
        <x:v>赤火刃</x:v>
      </x:c>
      <x:c r="I33" s="17" t="str">
        <x:v>天晶刀</x:v>
      </x:c>
      <x:c r="J33" s="14"/>
      <x:c r="K33" s="17" t="str">
        <x:v>宇傲‧亂蝶花</x:v>
      </x:c>
      <x:c r="L33" s="17" t="str">
        <x:v>峻霆‧亂蝶花</x:v>
      </x:c>
      <x:c r="M33" s="17" t="str">
        <x:v>窮極‧亂蝶花</x:v>
      </x:c>
      <x:c r="N33" s="17" t="str">
        <x:v>元宙‧亂蝶花</x:v>
      </x:c>
      <x:c r="O33" s="14"/>
      <x:c r="P33" s="17" t="str">
        <x:v>妙音角</x:v>
      </x:c>
      <x:c r="Q33" s="17" t="str">
        <x:v>太古妙音角</x:v>
      </x:c>
      <x:c r="R33" s="17" t="str">
        <x:v>玉韻妙音角</x:v>
      </x:c>
      <x:c r="S33" s="17" t="str">
        <x:v>仙律妙音角</x:v>
      </x:c>
      <x:c r="T33" s="14"/>
      <x:c r="U33" s="17" t="str">
        <x:v>獸殺天殛魔杖</x:v>
      </x:c>
      <x:c r="V33" s="17" t="str">
        <x:v>藏宗禪杖</x:v>
      </x:c>
      <x:c r="W33" s="17" t="str">
        <x:v>太古藏宗禪杖</x:v>
      </x:c>
      <x:c r="X33" s="17" t="str">
        <x:v>藏宗大明禪杖</x:v>
      </x:c>
      <x:c r="Y33" s="14"/>
      <x:c r="Z33" s="17" t="str">
        <x:v>無雙五煞槍</x:v>
      </x:c>
      <x:c r="AA33" s="17" t="str">
        <x:v>碎峰鬥仙槍</x:v>
      </x:c>
      <x:c r="AB33" s="17" t="str">
        <x:v>太古碎峰鬥仙槍</x:v>
      </x:c>
      <x:c r="AC33" s="17" t="str">
        <x:v>聖槍天龍八部</x:v>
      </x:c>
      <x:c r="AD33" s="14"/>
      <x:c r="AE33" s="17" t="str">
        <x:v>執金剛神杵</x:v>
      </x:c>
      <x:c r="AF33" s="17" t="str">
        <x:v>瓦爾那刑棍</x:v>
      </x:c>
      <x:c r="AG33" s="17" t="str">
        <x:v>四尊歸元棍</x:v>
      </x:c>
      <x:c r="AH33" s="17" t="str">
        <x:v>太古四尊歸元棍</x:v>
      </x:c>
      <x:c r="AI33" s="14"/>
      <x:c r="AJ33" s="17" t="str">
        <x:v>界王錘☆</x:v>
      </x:c>
      <x:c r="AK33" s="17" t="str">
        <x:v>界王錘★</x:v>
      </x:c>
      <x:c r="AL33" s="17" t="str">
        <x:v>界王錘★☆</x:v>
      </x:c>
      <x:c r="AM33" s="17" t="str">
        <x:v>界王錘★★</x:v>
      </x:c>
      <x:c r="AN33" s="14"/>
      <x:c r="AO33" s="17" t="str">
        <x:v>河山斧★☆</x:v>
      </x:c>
      <x:c r="AP33" s="17" t="str">
        <x:v>河山斧★★</x:v>
      </x:c>
      <x:c r="AQ33" s="17" t="str">
        <x:v>河山斧★★☆</x:v>
      </x:c>
      <x:c r="AR33" s="17" t="str">
        <x:v>河山斧★★★</x:v>
      </x:c>
      <x:c r="AS33" s="14"/>
      <x:c r="AT33" s="17" t="str">
        <x:v>碧瓶翠印盾</x:v>
      </x:c>
      <x:c r="AU33" s="17" t="str">
        <x:v>海克力斯盾</x:v>
      </x:c>
      <x:c r="AV33" s="17" t="str">
        <x:v>海克力斯盾</x:v>
      </x:c>
      <x:c r="AW33" s="17" t="str">
        <x:v>八卦形意盾</x:v>
      </x:c>
      <x:c r="AX33" s="14"/>
      <x:c r="AY33" s="17" t="str">
        <x:v>蛇靈頭箍</x:v>
      </x:c>
      <x:c r="AZ33" s="17" t="str">
        <x:v>桃花僧帽</x:v>
      </x:c>
      <x:c r="BA33" s="17" t="str">
        <x:v>鯊皮帽</x:v>
      </x:c>
      <x:c r="BB33" s="17" t="str">
        <x:v>紫珊面</x:v>
      </x:c>
      <x:c r="BC33" s="14"/>
      <x:c r="BD33" s="17" t="str">
        <x:v>龍駻甲</x:v>
      </x:c>
      <x:c r="BE33" s="17" t="str">
        <x:v>百靈道袍</x:v>
      </x:c>
      <x:c r="BF33" s="17" t="str">
        <x:v>虎妖甲</x:v>
      </x:c>
      <x:c r="BG33" s="17" t="str">
        <x:v>悟法服</x:v>
      </x:c>
      <x:c r="BH33" s="14"/>
      <x:c r="BI33" s="17" t="str">
        <x:v>冰侏護腕</x:v>
      </x:c>
      <x:c r="BJ33" s="17" t="str">
        <x:v>火侏護腕</x:v>
      </x:c>
      <x:c r="BK33" s="17" t="str">
        <x:v>雷侏護腕</x:v>
      </x:c>
      <x:c r="BL33" s="17" t="str">
        <x:v>冥侏護腕</x:v>
      </x:c>
      <x:c r="BM33" s="14"/>
      <x:c r="BN33" s="17" t="str">
        <x:v>除妖靴</x:v>
      </x:c>
      <x:c r="BO33" s="17" t="str">
        <x:v>斬蛟靴</x:v>
      </x:c>
      <x:c r="BP33" s="17" t="str">
        <x:v>侏紋冰靴</x:v>
      </x:c>
      <x:c r="BQ33" s="17" t="str">
        <x:v>侏紋火靴</x:v>
      </x:c>
      <x:c r="BR33" s="14"/>
      <x:c r="BS33" s="17" t="str">
        <x:v>天雷天晶護符</x:v>
      </x:c>
      <x:c r="BT33" s="17" t="str">
        <x:v>歸冥天晶護符</x:v>
      </x:c>
      <x:c r="BU33" s="17" t="str">
        <x:v>西域幸運手鐲</x:v>
      </x:c>
      <x:c r="BV33" s="17" t="str">
        <x:v>十全晶鍊</x:v>
      </x:c>
      <x:c r="BW33" s="14"/>
      <x:c r="BX33" s="17" t="str">
        <x:v>觀宇虛天鏡</x:v>
      </x:c>
      <x:c r="BY33" s="17" t="str">
        <x:v>費解虛迴圈</x:v>
      </x:c>
      <x:c r="BZ33" s="17" t="str">
        <x:v>落魂虛敕幡</x:v>
      </x:c>
      <x:c r="CA33" s="17" t="str">
        <x:v>無度虛量衡</x:v>
      </x:c>
      <x:c r="CB33" s="14"/>
      <x:c r="CC33" s="14" t="str">
        <x:v>20766</x:v>
      </x:c>
      <x:c r="CD33" s="14" t="n">
        <x:v>8</x:v>
      </x:c>
      <x:c r="CE33" s="14" t="n">
        <x:v>73</x:v>
      </x:c>
      <x:c r="CF33" s="14" t="n">
        <x:v>73</x:v>
      </x:c>
      <x:c r="CG33" s="14" t="n">
        <x:v>19</x:v>
      </x:c>
      <x:c r="CH33" s="14" t="n">
        <x:v>1</x:v>
      </x:c>
      <x:c r="CI33" s="14" t="str">
        <x:v>未收錄</x:v>
      </x:c>
      <x:c r="CJ33" s="14" t="str">
        <x:v>22012</x:v>
      </x:c>
      <x:c r="CK33" s="14" t="n">
        <x:v>8</x:v>
      </x:c>
      <x:c r="CL33" s="14" t="n">
        <x:v>74</x:v>
      </x:c>
      <x:c r="CM33" s="14" t="n">
        <x:v>74</x:v>
      </x:c>
      <x:c r="CN33" s="14" t="n">
        <x:v>19</x:v>
      </x:c>
      <x:c r="CO33" s="14" t="n">
        <x:v>2</x:v>
      </x:c>
      <x:c r="CP33" s="14" t="str">
        <x:v>未收錄</x:v>
      </x:c>
      <x:c r="CQ33" s="14" t="str">
        <x:v>20767</x:v>
      </x:c>
      <x:c r="CR33" s="14" t="n">
        <x:v>8</x:v>
      </x:c>
      <x:c r="CS33" s="14" t="n">
        <x:v>75</x:v>
      </x:c>
      <x:c r="CT33" s="14" t="n">
        <x:v>75</x:v>
      </x:c>
      <x:c r="CU33" s="14" t="n">
        <x:v>19</x:v>
      </x:c>
      <x:c r="CV33" s="14" t="n">
        <x:v>3</x:v>
      </x:c>
      <x:c r="CW33" s="14" t="str">
        <x:v>未收錄</x:v>
      </x:c>
      <x:c r="CX33" s="14" t="str">
        <x:v>22013</x:v>
      </x:c>
      <x:c r="CY33" s="14" t="n">
        <x:v>8</x:v>
      </x:c>
      <x:c r="CZ33" s="14" t="n">
        <x:v>76</x:v>
      </x:c>
      <x:c r="DA33" s="14" t="n">
        <x:v>76</x:v>
      </x:c>
      <x:c r="DB33" s="14" t="n">
        <x:v>19</x:v>
      </x:c>
      <x:c r="DC33" s="14" t="n">
        <x:v>4</x:v>
      </x:c>
      <x:c r="DD33" s="14" t="str">
        <x:v>未收錄</x:v>
      </x:c>
      <x:c r="DE33" s="14" t="str">
        <x:v>21561</x:v>
      </x:c>
      <x:c r="DF33" s="14" t="n">
        <x:v>8</x:v>
      </x:c>
      <x:c r="DG33" s="14" t="n">
        <x:v>318</x:v>
      </x:c>
      <x:c r="DH33" s="14" t="n">
        <x:v>73</x:v>
      </x:c>
      <x:c r="DI33" s="14" t="n">
        <x:v>19</x:v>
      </x:c>
      <x:c r="DJ33" s="14" t="n">
        <x:v>1</x:v>
      </x:c>
      <x:c r="DK33" s="14" t="str">
        <x:v>未收錄</x:v>
      </x:c>
      <x:c r="DL33" s="14" t="str">
        <x:v>21562</x:v>
      </x:c>
      <x:c r="DM33" s="14" t="n">
        <x:v>8</x:v>
      </x:c>
      <x:c r="DN33" s="14" t="n">
        <x:v>319</x:v>
      </x:c>
      <x:c r="DO33" s="14" t="n">
        <x:v>74</x:v>
      </x:c>
      <x:c r="DP33" s="14" t="n">
        <x:v>19</x:v>
      </x:c>
      <x:c r="DQ33" s="14" t="n">
        <x:v>2</x:v>
      </x:c>
      <x:c r="DR33" s="14" t="str">
        <x:v>未收錄</x:v>
      </x:c>
      <x:c r="DS33" s="14" t="str">
        <x:v>21795</x:v>
      </x:c>
      <x:c r="DT33" s="14" t="n">
        <x:v>8</x:v>
      </x:c>
      <x:c r="DU33" s="14" t="n">
        <x:v>320</x:v>
      </x:c>
      <x:c r="DV33" s="14" t="n">
        <x:v>75</x:v>
      </x:c>
      <x:c r="DW33" s="14" t="n">
        <x:v>19</x:v>
      </x:c>
      <x:c r="DX33" s="14" t="n">
        <x:v>3</x:v>
      </x:c>
      <x:c r="DY33" s="14" t="str">
        <x:v>未收錄</x:v>
      </x:c>
      <x:c r="DZ33" s="14" t="str">
        <x:v>21861</x:v>
      </x:c>
      <x:c r="EA33" s="14" t="n">
        <x:v>8</x:v>
      </x:c>
      <x:c r="EB33" s="14" t="n">
        <x:v>321</x:v>
      </x:c>
      <x:c r="EC33" s="14" t="n">
        <x:v>76</x:v>
      </x:c>
      <x:c r="ED33" s="14" t="n">
        <x:v>19</x:v>
      </x:c>
      <x:c r="EE33" s="14" t="n">
        <x:v>4</x:v>
      </x:c>
      <x:c r="EF33" s="14" t="str">
        <x:v>未收錄</x:v>
      </x:c>
      <x:c r="EG33" s="14" t="str">
        <x:v>27045</x:v>
      </x:c>
      <x:c r="EH33" s="14" t="n">
        <x:v>8</x:v>
      </x:c>
      <x:c r="EI33" s="14" t="n">
        <x:v>554</x:v>
      </x:c>
      <x:c r="EJ33" s="14" t="n">
        <x:v>73</x:v>
      </x:c>
      <x:c r="EK33" s="14" t="n">
        <x:v>19</x:v>
      </x:c>
      <x:c r="EL33" s="14" t="n">
        <x:v>1</x:v>
      </x:c>
      <x:c r="EM33" s="14" t="str">
        <x:v>未收錄</x:v>
      </x:c>
      <x:c r="EN33" s="14" t="str">
        <x:v>27608</x:v>
      </x:c>
      <x:c r="EO33" s="14" t="n">
        <x:v>8</x:v>
      </x:c>
      <x:c r="EP33" s="14" t="n">
        <x:v>555</x:v>
      </x:c>
      <x:c r="EQ33" s="14" t="n">
        <x:v>74</x:v>
      </x:c>
      <x:c r="ER33" s="14" t="n">
        <x:v>19</x:v>
      </x:c>
      <x:c r="ES33" s="14" t="n">
        <x:v>2</x:v>
      </x:c>
      <x:c r="ET33" s="14" t="str">
        <x:v>未收錄</x:v>
      </x:c>
      <x:c r="EU33" s="14" t="str">
        <x:v>27609</x:v>
      </x:c>
      <x:c r="EV33" s="14" t="n">
        <x:v>8</x:v>
      </x:c>
      <x:c r="EW33" s="14" t="n">
        <x:v>556</x:v>
      </x:c>
      <x:c r="EX33" s="14" t="n">
        <x:v>75</x:v>
      </x:c>
      <x:c r="EY33" s="14" t="n">
        <x:v>19</x:v>
      </x:c>
      <x:c r="EZ33" s="14" t="n">
        <x:v>3</x:v>
      </x:c>
      <x:c r="FA33" s="14" t="str">
        <x:v>未收錄</x:v>
      </x:c>
      <x:c r="FB33" s="14" t="str">
        <x:v>27610</x:v>
      </x:c>
      <x:c r="FC33" s="14" t="n">
        <x:v>8</x:v>
      </x:c>
      <x:c r="FD33" s="14" t="n">
        <x:v>557</x:v>
      </x:c>
      <x:c r="FE33" s="14" t="n">
        <x:v>76</x:v>
      </x:c>
      <x:c r="FF33" s="14" t="n">
        <x:v>19</x:v>
      </x:c>
      <x:c r="FG33" s="14" t="n">
        <x:v>4</x:v>
      </x:c>
      <x:c r="FH33" s="14" t="str">
        <x:v>未收錄</x:v>
      </x:c>
      <x:c r="FI33" s="14" t="str">
        <x:v>24056</x:v>
      </x:c>
      <x:c r="FJ33" s="14" t="n">
        <x:v>8</x:v>
      </x:c>
      <x:c r="FK33" s="14" t="n">
        <x:v>704</x:v>
      </x:c>
      <x:c r="FL33" s="14" t="n">
        <x:v>73</x:v>
      </x:c>
      <x:c r="FM33" s="14" t="n">
        <x:v>19</x:v>
      </x:c>
      <x:c r="FN33" s="14" t="n">
        <x:v>1</x:v>
      </x:c>
      <x:c r="FO33" s="14" t="str">
        <x:v>未收錄</x:v>
      </x:c>
      <x:c r="FP33" s="14" t="str">
        <x:v>24142</x:v>
      </x:c>
      <x:c r="FQ33" s="14" t="n">
        <x:v>3</x:v>
      </x:c>
      <x:c r="FR33" s="14" t="n">
        <x:v>705</x:v>
      </x:c>
      <x:c r="FS33" s="14" t="n">
        <x:v>74</x:v>
      </x:c>
      <x:c r="FT33" s="14" t="n">
        <x:v>19</x:v>
      </x:c>
      <x:c r="FU33" s="14" t="n">
        <x:v>2</x:v>
      </x:c>
      <x:c r="FV33" s="14" t="str">
        <x:v>未收錄</x:v>
      </x:c>
      <x:c r="FW33" s="14" t="str">
        <x:v>24058</x:v>
      </x:c>
      <x:c r="FX33" s="14" t="n">
        <x:v>8</x:v>
      </x:c>
      <x:c r="FY33" s="14" t="n">
        <x:v>706</x:v>
      </x:c>
      <x:c r="FZ33" s="14" t="n">
        <x:v>75</x:v>
      </x:c>
      <x:c r="GA33" s="14" t="n">
        <x:v>19</x:v>
      </x:c>
      <x:c r="GB33" s="14" t="n">
        <x:v>3</x:v>
      </x:c>
      <x:c r="GC33" s="14" t="str">
        <x:v>未收錄</x:v>
      </x:c>
      <x:c r="GD33" s="14" t="str">
        <x:v>24059</x:v>
      </x:c>
      <x:c r="GE33" s="14" t="n">
        <x:v>8</x:v>
      </x:c>
      <x:c r="GF33" s="14" t="n">
        <x:v>707</x:v>
      </x:c>
      <x:c r="GG33" s="14" t="n">
        <x:v>76</x:v>
      </x:c>
      <x:c r="GH33" s="14" t="n">
        <x:v>19</x:v>
      </x:c>
      <x:c r="GI33" s="14" t="n">
        <x:v>4</x:v>
      </x:c>
      <x:c r="GJ33" s="14" t="str">
        <x:v>未收錄</x:v>
      </x:c>
      <x:c r="GK33" s="14" t="str">
        <x:v>23923</x:v>
      </x:c>
      <x:c r="GL33" s="14" t="n">
        <x:v>8</x:v>
      </x:c>
      <x:c r="GM33" s="14" t="n">
        <x:v>876</x:v>
      </x:c>
      <x:c r="GN33" s="14" t="n">
        <x:v>73</x:v>
      </x:c>
      <x:c r="GO33" s="14" t="n">
        <x:v>19</x:v>
      </x:c>
      <x:c r="GP33" s="14" t="n">
        <x:v>1</x:v>
      </x:c>
      <x:c r="GQ33" s="14" t="str">
        <x:v>未收錄</x:v>
      </x:c>
      <x:c r="GR33" s="14" t="str">
        <x:v>24062</x:v>
      </x:c>
      <x:c r="GS33" s="14" t="n">
        <x:v>8</x:v>
      </x:c>
      <x:c r="GT33" s="14" t="n">
        <x:v>877</x:v>
      </x:c>
      <x:c r="GU33" s="14" t="n">
        <x:v>74</x:v>
      </x:c>
      <x:c r="GV33" s="14" t="n">
        <x:v>19</x:v>
      </x:c>
      <x:c r="GW33" s="14" t="n">
        <x:v>2</x:v>
      </x:c>
      <x:c r="GX33" s="14" t="str">
        <x:v>未收錄</x:v>
      </x:c>
      <x:c r="GY33" s="14" t="str">
        <x:v>24143</x:v>
      </x:c>
      <x:c r="GZ33" s="14" t="n">
        <x:v>3</x:v>
      </x:c>
      <x:c r="HA33" s="14" t="n">
        <x:v>878</x:v>
      </x:c>
      <x:c r="HB33" s="14" t="n">
        <x:v>75</x:v>
      </x:c>
      <x:c r="HC33" s="14" t="n">
        <x:v>19</x:v>
      </x:c>
      <x:c r="HD33" s="14" t="n">
        <x:v>3</x:v>
      </x:c>
      <x:c r="HE33" s="14" t="str">
        <x:v>未收錄</x:v>
      </x:c>
      <x:c r="HF33" s="14" t="str">
        <x:v>24064</x:v>
      </x:c>
      <x:c r="HG33" s="14" t="n">
        <x:v>8</x:v>
      </x:c>
      <x:c r="HH33" s="14" t="n">
        <x:v>879</x:v>
      </x:c>
      <x:c r="HI33" s="14" t="n">
        <x:v>76</x:v>
      </x:c>
      <x:c r="HJ33" s="14" t="n">
        <x:v>19</x:v>
      </x:c>
      <x:c r="HK33" s="14" t="n">
        <x:v>4</x:v>
      </x:c>
      <x:c r="HL33" s="14" t="str">
        <x:v>未收錄</x:v>
      </x:c>
      <x:c r="HM33" s="14" t="str">
        <x:v>24563</x:v>
      </x:c>
      <x:c r="HN33" s="14" t="n">
        <x:v>8</x:v>
      </x:c>
      <x:c r="HO33" s="14" t="n">
        <x:v>1049</x:v>
      </x:c>
      <x:c r="HP33" s="14" t="n">
        <x:v>73</x:v>
      </x:c>
      <x:c r="HQ33" s="14" t="n">
        <x:v>19</x:v>
      </x:c>
      <x:c r="HR33" s="14" t="n">
        <x:v>1</x:v>
      </x:c>
      <x:c r="HS33" s="14" t="str">
        <x:v>未收錄</x:v>
      </x:c>
      <x:c r="HT33" s="14" t="str">
        <x:v>24073</x:v>
      </x:c>
      <x:c r="HU33" s="14" t="n">
        <x:v>8</x:v>
      </x:c>
      <x:c r="HV33" s="14" t="n">
        <x:v>1050</x:v>
      </x:c>
      <x:c r="HW33" s="14" t="n">
        <x:v>74</x:v>
      </x:c>
      <x:c r="HX33" s="14" t="n">
        <x:v>19</x:v>
      </x:c>
      <x:c r="HY33" s="14" t="n">
        <x:v>2</x:v>
      </x:c>
      <x:c r="HZ33" s="14" t="str">
        <x:v>未收錄</x:v>
      </x:c>
      <x:c r="IA33" s="14" t="str">
        <x:v>24664</x:v>
      </x:c>
      <x:c r="IB33" s="14" t="n">
        <x:v>3</x:v>
      </x:c>
      <x:c r="IC33" s="14" t="n">
        <x:v>1051</x:v>
      </x:c>
      <x:c r="ID33" s="14" t="n">
        <x:v>75</x:v>
      </x:c>
      <x:c r="IE33" s="14" t="n">
        <x:v>19</x:v>
      </x:c>
      <x:c r="IF33" s="14" t="n">
        <x:v>3</x:v>
      </x:c>
      <x:c r="IG33" s="14" t="str">
        <x:v>未收錄</x:v>
      </x:c>
      <x:c r="IH33" s="14" t="str">
        <x:v>24494</x:v>
      </x:c>
      <x:c r="II33" s="14" t="n">
        <x:v>8</x:v>
      </x:c>
      <x:c r="IJ33" s="14" t="n">
        <x:v>1052</x:v>
      </x:c>
      <x:c r="IK33" s="14" t="n">
        <x:v>76</x:v>
      </x:c>
      <x:c r="IL33" s="14" t="n">
        <x:v>19</x:v>
      </x:c>
      <x:c r="IM33" s="14" t="n">
        <x:v>4</x:v>
      </x:c>
      <x:c r="IN33" s="14" t="str">
        <x:v>未收錄</x:v>
      </x:c>
      <x:c r="IO33" s="14" t="str">
        <x:v>24496</x:v>
      </x:c>
      <x:c r="IP33" s="14" t="n">
        <x:v>8</x:v>
      </x:c>
      <x:c r="IQ33" s="14" t="n">
        <x:v>1217</x:v>
      </x:c>
      <x:c r="IR33" s="14" t="n">
        <x:v>73</x:v>
      </x:c>
      <x:c r="IS33" s="14" t="n">
        <x:v>19</x:v>
      </x:c>
      <x:c r="IT33" s="14" t="n">
        <x:v>1</x:v>
      </x:c>
      <x:c r="IU33" s="14" t="str">
        <x:v>未收錄</x:v>
      </x:c>
      <x:c r="IV33" s="14" t="str">
        <x:v>24497</x:v>
      </x:c>
      <x:c r="IW33" s="14" t="n">
        <x:v>8</x:v>
      </x:c>
      <x:c r="IX33" s="14" t="n">
        <x:v>1218</x:v>
      </x:c>
      <x:c r="IY33" s="14" t="n">
        <x:v>74</x:v>
      </x:c>
      <x:c r="IZ33" s="14" t="n">
        <x:v>19</x:v>
      </x:c>
      <x:c r="JA33" s="14" t="n">
        <x:v>2</x:v>
      </x:c>
      <x:c r="JB33" s="14" t="str">
        <x:v>未收錄</x:v>
      </x:c>
      <x:c r="JC33" s="14" t="str">
        <x:v>24649</x:v>
      </x:c>
      <x:c r="JD33" s="14" t="n">
        <x:v>8</x:v>
      </x:c>
      <x:c r="JE33" s="14" t="n">
        <x:v>1219</x:v>
      </x:c>
      <x:c r="JF33" s="14" t="n">
        <x:v>75</x:v>
      </x:c>
      <x:c r="JG33" s="14" t="n">
        <x:v>19</x:v>
      </x:c>
      <x:c r="JH33" s="14" t="n">
        <x:v>3</x:v>
      </x:c>
      <x:c r="JI33" s="14" t="str">
        <x:v>未收錄</x:v>
      </x:c>
      <x:c r="JJ33" s="14" t="str">
        <x:v>26191</x:v>
      </x:c>
      <x:c r="JK33" s="14" t="n">
        <x:v>3</x:v>
      </x:c>
      <x:c r="JL33" s="14" t="n">
        <x:v>1220</x:v>
      </x:c>
      <x:c r="JM33" s="14" t="n">
        <x:v>76</x:v>
      </x:c>
      <x:c r="JN33" s="14" t="n">
        <x:v>19</x:v>
      </x:c>
      <x:c r="JO33" s="14" t="n">
        <x:v>4</x:v>
      </x:c>
      <x:c r="JP33" s="14" t="str">
        <x:v>未收錄</x:v>
      </x:c>
      <x:c r="JQ33" s="14" t="str">
        <x:v>29385</x:v>
      </x:c>
      <x:c r="JR33" s="14" t="n">
        <x:v>8</x:v>
      </x:c>
      <x:c r="JS33" s="14" t="n">
        <x:v>1384</x:v>
      </x:c>
      <x:c r="JT33" s="14" t="n">
        <x:v>73</x:v>
      </x:c>
      <x:c r="JU33" s="14" t="n">
        <x:v>19</x:v>
      </x:c>
      <x:c r="JV33" s="14" t="n">
        <x:v>1</x:v>
      </x:c>
      <x:c r="JW33" s="14" t="str">
        <x:v>未收錄</x:v>
      </x:c>
      <x:c r="JX33" s="14" t="str">
        <x:v>29386</x:v>
      </x:c>
      <x:c r="JY33" s="14" t="n">
        <x:v>8</x:v>
      </x:c>
      <x:c r="JZ33" s="14" t="n">
        <x:v>1385</x:v>
      </x:c>
      <x:c r="KA33" s="14" t="n">
        <x:v>74</x:v>
      </x:c>
      <x:c r="KB33" s="14" t="n">
        <x:v>19</x:v>
      </x:c>
      <x:c r="KC33" s="14" t="n">
        <x:v>2</x:v>
      </x:c>
      <x:c r="KD33" s="14" t="str">
        <x:v>未收錄</x:v>
      </x:c>
      <x:c r="KE33" s="14" t="str">
        <x:v>29387</x:v>
      </x:c>
      <x:c r="KF33" s="14" t="n">
        <x:v>8</x:v>
      </x:c>
      <x:c r="KG33" s="14" t="n">
        <x:v>1386</x:v>
      </x:c>
      <x:c r="KH33" s="14" t="n">
        <x:v>75</x:v>
      </x:c>
      <x:c r="KI33" s="14" t="n">
        <x:v>19</x:v>
      </x:c>
      <x:c r="KJ33" s="14" t="n">
        <x:v>3</x:v>
      </x:c>
      <x:c r="KK33" s="14" t="str">
        <x:v>未收錄</x:v>
      </x:c>
      <x:c r="KL33" s="14" t="str">
        <x:v>29388</x:v>
      </x:c>
      <x:c r="KM33" s="14" t="n">
        <x:v>8</x:v>
      </x:c>
      <x:c r="KN33" s="14" t="n">
        <x:v>1387</x:v>
      </x:c>
      <x:c r="KO33" s="14" t="n">
        <x:v>76</x:v>
      </x:c>
      <x:c r="KP33" s="14" t="n">
        <x:v>19</x:v>
      </x:c>
      <x:c r="KQ33" s="14" t="n">
        <x:v>4</x:v>
      </x:c>
      <x:c r="KR33" s="14" t="str">
        <x:v>未收錄</x:v>
      </x:c>
      <x:c r="KS33" s="14" t="str">
        <x:v>29393</x:v>
      </x:c>
      <x:c r="KT33" s="14" t="n">
        <x:v>8</x:v>
      </x:c>
      <x:c r="KU33" s="14" t="n">
        <x:v>1499</x:v>
      </x:c>
      <x:c r="KV33" s="14" t="n">
        <x:v>73</x:v>
      </x:c>
      <x:c r="KW33" s="14" t="n">
        <x:v>19</x:v>
      </x:c>
      <x:c r="KX33" s="14" t="n">
        <x:v>1</x:v>
      </x:c>
      <x:c r="KY33" s="14" t="str">
        <x:v>未收錄</x:v>
      </x:c>
      <x:c r="KZ33" s="14" t="str">
        <x:v>29394</x:v>
      </x:c>
      <x:c r="LA33" s="14" t="n">
        <x:v>8</x:v>
      </x:c>
      <x:c r="LB33" s="14" t="n">
        <x:v>1500</x:v>
      </x:c>
      <x:c r="LC33" s="14" t="n">
        <x:v>74</x:v>
      </x:c>
      <x:c r="LD33" s="14" t="n">
        <x:v>19</x:v>
      </x:c>
      <x:c r="LE33" s="14" t="n">
        <x:v>2</x:v>
      </x:c>
      <x:c r="LF33" s="14" t="str">
        <x:v>未收錄</x:v>
      </x:c>
      <x:c r="LG33" s="14" t="str">
        <x:v>29395</x:v>
      </x:c>
      <x:c r="LH33" s="14" t="n">
        <x:v>8</x:v>
      </x:c>
      <x:c r="LI33" s="14" t="n">
        <x:v>1501</x:v>
      </x:c>
      <x:c r="LJ33" s="14" t="n">
        <x:v>75</x:v>
      </x:c>
      <x:c r="LK33" s="14" t="n">
        <x:v>19</x:v>
      </x:c>
      <x:c r="LL33" s="14" t="n">
        <x:v>3</x:v>
      </x:c>
      <x:c r="LM33" s="14" t="str">
        <x:v>未收錄</x:v>
      </x:c>
      <x:c r="LN33" s="14" t="str">
        <x:v>29396</x:v>
      </x:c>
      <x:c r="LO33" s="14" t="n">
        <x:v>8</x:v>
      </x:c>
      <x:c r="LP33" s="14" t="n">
        <x:v>1502</x:v>
      </x:c>
      <x:c r="LQ33" s="14" t="n">
        <x:v>76</x:v>
      </x:c>
      <x:c r="LR33" s="14" t="n">
        <x:v>19</x:v>
      </x:c>
      <x:c r="LS33" s="14" t="n">
        <x:v>4</x:v>
      </x:c>
      <x:c r="LT33" s="14" t="str">
        <x:v>未收錄</x:v>
      </x:c>
      <x:c r="LU33" s="14" t="str">
        <x:v>24811</x:v>
      </x:c>
      <x:c r="LV33" s="14" t="n">
        <x:v>20</x:v>
      </x:c>
      <x:c r="LW33" s="14" t="n">
        <x:v>1612</x:v>
      </x:c>
      <x:c r="LX33" s="14" t="n">
        <x:v>73</x:v>
      </x:c>
      <x:c r="LY33" s="14" t="n">
        <x:v>19</x:v>
      </x:c>
      <x:c r="LZ33" s="14" t="n">
        <x:v>1</x:v>
      </x:c>
      <x:c r="MA33" s="14" t="str">
        <x:v>未收錄</x:v>
      </x:c>
      <x:c r="MB33" s="14" t="str">
        <x:v>26296</x:v>
      </x:c>
      <x:c r="MC33" s="14" t="n">
        <x:v>20</x:v>
      </x:c>
      <x:c r="MD33" s="14" t="n">
        <x:v>1613</x:v>
      </x:c>
      <x:c r="ME33" s="14" t="n">
        <x:v>74</x:v>
      </x:c>
      <x:c r="MF33" s="14" t="n">
        <x:v>19</x:v>
      </x:c>
      <x:c r="MG33" s="14" t="n">
        <x:v>2</x:v>
      </x:c>
      <x:c r="MH33" s="14" t="str">
        <x:v>未收錄</x:v>
      </x:c>
      <x:c r="MI33" s="14" t="str">
        <x:v>26501</x:v>
      </x:c>
      <x:c r="MJ33" s="14" t="n">
        <x:v>20</x:v>
      </x:c>
      <x:c r="MK33" s="14" t="n">
        <x:v>1614</x:v>
      </x:c>
      <x:c r="ML33" s="14" t="n">
        <x:v>75</x:v>
      </x:c>
      <x:c r="MM33" s="14" t="n">
        <x:v>19</x:v>
      </x:c>
      <x:c r="MN33" s="14" t="n">
        <x:v>3</x:v>
      </x:c>
      <x:c r="MO33" s="14" t="str">
        <x:v>未收錄</x:v>
      </x:c>
      <x:c r="MP33" s="14" t="str">
        <x:v>26793</x:v>
      </x:c>
      <x:c r="MQ33" s="14" t="n">
        <x:v>20</x:v>
      </x:c>
      <x:c r="MR33" s="14" t="n">
        <x:v>1615</x:v>
      </x:c>
      <x:c r="MS33" s="14" t="n">
        <x:v>76</x:v>
      </x:c>
      <x:c r="MT33" s="14" t="n">
        <x:v>19</x:v>
      </x:c>
      <x:c r="MU33" s="14" t="n">
        <x:v>4</x:v>
      </x:c>
      <x:c r="MV33" s="14" t="str">
        <x:v>未收錄</x:v>
      </x:c>
      <x:c r="MW33" s="14" t="str">
        <x:v>21170</x:v>
      </x:c>
      <x:c r="MX33" s="14" t="n">
        <x:v>5</x:v>
      </x:c>
      <x:c r="MY33" s="14" t="n">
        <x:v>1721</x:v>
      </x:c>
      <x:c r="MZ33" s="14" t="n">
        <x:v>73</x:v>
      </x:c>
      <x:c r="NA33" s="14" t="n">
        <x:v>19</x:v>
      </x:c>
      <x:c r="NB33" s="14" t="n">
        <x:v>1</x:v>
      </x:c>
      <x:c r="NC33" s="14" t="str">
        <x:v>未收錄</x:v>
      </x:c>
      <x:c r="ND33" s="14" t="str">
        <x:v>21171</x:v>
      </x:c>
      <x:c r="NE33" s="14" t="n">
        <x:v>5</x:v>
      </x:c>
      <x:c r="NF33" s="14" t="n">
        <x:v>1722</x:v>
      </x:c>
      <x:c r="NG33" s="14" t="n">
        <x:v>74</x:v>
      </x:c>
      <x:c r="NH33" s="14" t="n">
        <x:v>19</x:v>
      </x:c>
      <x:c r="NI33" s="14" t="n">
        <x:v>2</x:v>
      </x:c>
      <x:c r="NJ33" s="14" t="str">
        <x:v>未收錄</x:v>
      </x:c>
      <x:c r="NK33" s="14" t="str">
        <x:v>21214</x:v>
      </x:c>
      <x:c r="NL33" s="14" t="n">
        <x:v>5</x:v>
      </x:c>
      <x:c r="NM33" s="14" t="n">
        <x:v>1723</x:v>
      </x:c>
      <x:c r="NN33" s="14" t="n">
        <x:v>75</x:v>
      </x:c>
      <x:c r="NO33" s="14" t="n">
        <x:v>19</x:v>
      </x:c>
      <x:c r="NP33" s="14" t="n">
        <x:v>3</x:v>
      </x:c>
      <x:c r="NQ33" s="14" t="str">
        <x:v>未收錄</x:v>
      </x:c>
      <x:c r="NR33" s="14" t="str">
        <x:v>21215</x:v>
      </x:c>
      <x:c r="NS33" s="14" t="n">
        <x:v>5</x:v>
      </x:c>
      <x:c r="NT33" s="14" t="n">
        <x:v>1724</x:v>
      </x:c>
      <x:c r="NU33" s="14" t="n">
        <x:v>76</x:v>
      </x:c>
      <x:c r="NV33" s="14" t="n">
        <x:v>19</x:v>
      </x:c>
      <x:c r="NW33" s="14" t="n">
        <x:v>4</x:v>
      </x:c>
      <x:c r="NX33" s="14" t="str">
        <x:v>未收錄</x:v>
      </x:c>
      <x:c r="NY33" s="14" t="str">
        <x:v>21236</x:v>
      </x:c>
      <x:c r="NZ33" s="14" t="n">
        <x:v>5</x:v>
      </x:c>
      <x:c r="OA33" s="14" t="n">
        <x:v>2174</x:v>
      </x:c>
      <x:c r="OB33" s="14" t="n">
        <x:v>73</x:v>
      </x:c>
      <x:c r="OC33" s="14" t="n">
        <x:v>19</x:v>
      </x:c>
      <x:c r="OD33" s="14" t="n">
        <x:v>1</x:v>
      </x:c>
      <x:c r="OE33" s="14" t="str">
        <x:v>未收錄</x:v>
      </x:c>
      <x:c r="OF33" s="14" t="str">
        <x:v>21237</x:v>
      </x:c>
      <x:c r="OG33" s="14" t="n">
        <x:v>5</x:v>
      </x:c>
      <x:c r="OH33" s="14" t="n">
        <x:v>2175</x:v>
      </x:c>
      <x:c r="OI33" s="14" t="n">
        <x:v>74</x:v>
      </x:c>
      <x:c r="OJ33" s="14" t="n">
        <x:v>19</x:v>
      </x:c>
      <x:c r="OK33" s="14" t="n">
        <x:v>2</x:v>
      </x:c>
      <x:c r="OL33" s="14" t="str">
        <x:v>未收錄</x:v>
      </x:c>
      <x:c r="OM33" s="14" t="str">
        <x:v>21238</x:v>
      </x:c>
      <x:c r="ON33" s="14" t="n">
        <x:v>5</x:v>
      </x:c>
      <x:c r="OO33" s="14" t="n">
        <x:v>2176</x:v>
      </x:c>
      <x:c r="OP33" s="14" t="n">
        <x:v>75</x:v>
      </x:c>
      <x:c r="OQ33" s="14" t="n">
        <x:v>19</x:v>
      </x:c>
      <x:c r="OR33" s="14" t="n">
        <x:v>3</x:v>
      </x:c>
      <x:c r="OS33" s="14" t="str">
        <x:v>未收錄</x:v>
      </x:c>
      <x:c r="OT33" s="14" t="str">
        <x:v>21239</x:v>
      </x:c>
      <x:c r="OU33" s="14" t="n">
        <x:v>5</x:v>
      </x:c>
      <x:c r="OV33" s="14" t="n">
        <x:v>2177</x:v>
      </x:c>
      <x:c r="OW33" s="14" t="n">
        <x:v>76</x:v>
      </x:c>
      <x:c r="OX33" s="14" t="n">
        <x:v>19</x:v>
      </x:c>
      <x:c r="OY33" s="14" t="n">
        <x:v>4</x:v>
      </x:c>
      <x:c r="OZ33" s="14" t="str">
        <x:v>未收錄</x:v>
      </x:c>
      <x:c r="PA33" s="14" t="str">
        <x:v>21944</x:v>
      </x:c>
      <x:c r="PB33" s="14" t="n">
        <x:v>5</x:v>
      </x:c>
      <x:c r="PC33" s="14" t="n">
        <x:v>2720</x:v>
      </x:c>
      <x:c r="PD33" s="14" t="n">
        <x:v>73</x:v>
      </x:c>
      <x:c r="PE33" s="14" t="n">
        <x:v>19</x:v>
      </x:c>
      <x:c r="PF33" s="14" t="n">
        <x:v>1</x:v>
      </x:c>
      <x:c r="PG33" s="14" t="str">
        <x:v>未收錄</x:v>
      </x:c>
      <x:c r="PH33" s="14" t="str">
        <x:v>21945</x:v>
      </x:c>
      <x:c r="PI33" s="14" t="n">
        <x:v>5</x:v>
      </x:c>
      <x:c r="PJ33" s="14" t="n">
        <x:v>2721</x:v>
      </x:c>
      <x:c r="PK33" s="14" t="n">
        <x:v>74</x:v>
      </x:c>
      <x:c r="PL33" s="14" t="n">
        <x:v>19</x:v>
      </x:c>
      <x:c r="PM33" s="14" t="n">
        <x:v>2</x:v>
      </x:c>
      <x:c r="PN33" s="14" t="str">
        <x:v>未收錄</x:v>
      </x:c>
      <x:c r="PO33" s="14" t="str">
        <x:v>21946</x:v>
      </x:c>
      <x:c r="PP33" s="14" t="n">
        <x:v>5</x:v>
      </x:c>
      <x:c r="PQ33" s="14" t="n">
        <x:v>2722</x:v>
      </x:c>
      <x:c r="PR33" s="14" t="n">
        <x:v>75</x:v>
      </x:c>
      <x:c r="PS33" s="14" t="n">
        <x:v>19</x:v>
      </x:c>
      <x:c r="PT33" s="14" t="n">
        <x:v>3</x:v>
      </x:c>
      <x:c r="PU33" s="14" t="str">
        <x:v>未收錄</x:v>
      </x:c>
      <x:c r="PV33" s="14" t="str">
        <x:v>21947</x:v>
      </x:c>
      <x:c r="PW33" s="14" t="n">
        <x:v>5</x:v>
      </x:c>
      <x:c r="PX33" s="14" t="n">
        <x:v>2723</x:v>
      </x:c>
      <x:c r="PY33" s="14" t="n">
        <x:v>76</x:v>
      </x:c>
      <x:c r="PZ33" s="14" t="n">
        <x:v>19</x:v>
      </x:c>
      <x:c r="QA33" s="14" t="n">
        <x:v>4</x:v>
      </x:c>
      <x:c r="QB33" s="14" t="str">
        <x:v>未收錄</x:v>
      </x:c>
      <x:c r="QC33" s="14" t="str">
        <x:v>21539</x:v>
      </x:c>
      <x:c r="QD33" s="14" t="n">
        <x:v>5</x:v>
      </x:c>
      <x:c r="QE33" s="14" t="n">
        <x:v>3157</x:v>
      </x:c>
      <x:c r="QF33" s="14" t="n">
        <x:v>73</x:v>
      </x:c>
      <x:c r="QG33" s="14" t="n">
        <x:v>19</x:v>
      </x:c>
      <x:c r="QH33" s="14" t="n">
        <x:v>1</x:v>
      </x:c>
      <x:c r="QI33" s="14" t="str">
        <x:v>未收錄</x:v>
      </x:c>
      <x:c r="QJ33" s="14" t="str">
        <x:v>21540</x:v>
      </x:c>
      <x:c r="QK33" s="14" t="n">
        <x:v>5</x:v>
      </x:c>
      <x:c r="QL33" s="14" t="n">
        <x:v>3158</x:v>
      </x:c>
      <x:c r="QM33" s="14" t="n">
        <x:v>74</x:v>
      </x:c>
      <x:c r="QN33" s="14" t="n">
        <x:v>19</x:v>
      </x:c>
      <x:c r="QO33" s="14" t="n">
        <x:v>2</x:v>
      </x:c>
      <x:c r="QP33" s="14" t="str">
        <x:v>未收錄</x:v>
      </x:c>
      <x:c r="QQ33" s="14" t="str">
        <x:v>21924</x:v>
      </x:c>
      <x:c r="QR33" s="14" t="n">
        <x:v>5</x:v>
      </x:c>
      <x:c r="QS33" s="14" t="n">
        <x:v>3159</x:v>
      </x:c>
      <x:c r="QT33" s="14" t="n">
        <x:v>75</x:v>
      </x:c>
      <x:c r="QU33" s="14" t="n">
        <x:v>19</x:v>
      </x:c>
      <x:c r="QV33" s="14" t="n">
        <x:v>3</x:v>
      </x:c>
      <x:c r="QW33" s="14" t="str">
        <x:v>未收錄</x:v>
      </x:c>
      <x:c r="QX33" s="14" t="str">
        <x:v>21925</x:v>
      </x:c>
      <x:c r="QY33" s="14" t="n">
        <x:v>5</x:v>
      </x:c>
      <x:c r="QZ33" s="14" t="n">
        <x:v>3160</x:v>
      </x:c>
      <x:c r="RA33" s="14" t="n">
        <x:v>76</x:v>
      </x:c>
      <x:c r="RB33" s="14" t="n">
        <x:v>19</x:v>
      </x:c>
      <x:c r="RC33" s="14" t="n">
        <x:v>4</x:v>
      </x:c>
      <x:c r="RD33" s="14" t="str">
        <x:v>未收錄</x:v>
      </x:c>
      <x:c r="RE33" s="14" t="str">
        <x:v>22025</x:v>
      </x:c>
      <x:c r="RF33" s="14" t="n">
        <x:v>5</x:v>
      </x:c>
      <x:c r="RG33" s="14" t="n">
        <x:v>3618</x:v>
      </x:c>
      <x:c r="RH33" s="14" t="n">
        <x:v>73</x:v>
      </x:c>
      <x:c r="RI33" s="14" t="n">
        <x:v>19</x:v>
      </x:c>
      <x:c r="RJ33" s="14" t="n">
        <x:v>1</x:v>
      </x:c>
      <x:c r="RK33" s="14" t="str">
        <x:v>未收錄</x:v>
      </x:c>
      <x:c r="RL33" s="14" t="str">
        <x:v>22026</x:v>
      </x:c>
      <x:c r="RM33" s="14" t="n">
        <x:v>5</x:v>
      </x:c>
      <x:c r="RN33" s="14" t="n">
        <x:v>3619</x:v>
      </x:c>
      <x:c r="RO33" s="14" t="n">
        <x:v>74</x:v>
      </x:c>
      <x:c r="RP33" s="14" t="n">
        <x:v>19</x:v>
      </x:c>
      <x:c r="RQ33" s="14" t="n">
        <x:v>2</x:v>
      </x:c>
      <x:c r="RR33" s="14" t="str">
        <x:v>未收錄</x:v>
      </x:c>
      <x:c r="RS33" s="14" t="str">
        <x:v>22096</x:v>
      </x:c>
      <x:c r="RT33" s="14" t="n">
        <x:v>10</x:v>
      </x:c>
      <x:c r="RU33" s="14" t="n">
        <x:v>3620</x:v>
      </x:c>
      <x:c r="RV33" s="14" t="n">
        <x:v>75</x:v>
      </x:c>
      <x:c r="RW33" s="14" t="n">
        <x:v>19</x:v>
      </x:c>
      <x:c r="RX33" s="14" t="n">
        <x:v>3</x:v>
      </x:c>
      <x:c r="RY33" s="14" t="str">
        <x:v>未收錄</x:v>
      </x:c>
      <x:c r="RZ33" s="14" t="str">
        <x:v>22181</x:v>
      </x:c>
      <x:c r="SA33" s="14" t="n">
        <x:v>5</x:v>
      </x:c>
      <x:c r="SB33" s="14" t="n">
        <x:v>3621</x:v>
      </x:c>
      <x:c r="SC33" s="14" t="n">
        <x:v>76</x:v>
      </x:c>
      <x:c r="SD33" s="14" t="n">
        <x:v>19</x:v>
      </x:c>
      <x:c r="SE33" s="14" t="n">
        <x:v>4</x:v>
      </x:c>
      <x:c r="SF33" s="14" t="str">
        <x:v>未收錄</x:v>
      </x:c>
      <x:c r="SG33" s="14" t="str">
        <x:v>31474</x:v>
      </x:c>
      <x:c r="SH33" s="14" t="n">
        <x:v>15</x:v>
      </x:c>
      <x:c r="SI33" s="14" t="n">
        <x:v>4042</x:v>
      </x:c>
      <x:c r="SJ33" s="14" t="n">
        <x:v>73</x:v>
      </x:c>
      <x:c r="SK33" s="14" t="n">
        <x:v>19</x:v>
      </x:c>
      <x:c r="SL33" s="14" t="n">
        <x:v>1</x:v>
      </x:c>
      <x:c r="SM33" s="14" t="str">
        <x:v>未收錄</x:v>
      </x:c>
      <x:c r="SN33" s="14" t="str">
        <x:v>31652</x:v>
      </x:c>
      <x:c r="SO33" s="14" t="n">
        <x:v>15</x:v>
      </x:c>
      <x:c r="SP33" s="14" t="n">
        <x:v>4043</x:v>
      </x:c>
      <x:c r="SQ33" s="14" t="n">
        <x:v>74</x:v>
      </x:c>
      <x:c r="SR33" s="14" t="n">
        <x:v>19</x:v>
      </x:c>
      <x:c r="SS33" s="14" t="n">
        <x:v>2</x:v>
      </x:c>
      <x:c r="ST33" s="14" t="str">
        <x:v>未收錄</x:v>
      </x:c>
      <x:c r="SU33" s="14" t="str">
        <x:v>31747</x:v>
      </x:c>
      <x:c r="SV33" s="14" t="n">
        <x:v>15</x:v>
      </x:c>
      <x:c r="SW33" s="14" t="n">
        <x:v>4044</x:v>
      </x:c>
      <x:c r="SX33" s="14" t="n">
        <x:v>75</x:v>
      </x:c>
      <x:c r="SY33" s="14" t="n">
        <x:v>19</x:v>
      </x:c>
      <x:c r="SZ33" s="14" t="n">
        <x:v>3</x:v>
      </x:c>
      <x:c r="TA33" s="14" t="str">
        <x:v>未收錄</x:v>
      </x:c>
      <x:c r="TB33" s="14" t="str">
        <x:v>32154</x:v>
      </x:c>
      <x:c r="TC33" s="14" t="n">
        <x:v>15</x:v>
      </x:c>
      <x:c r="TD33" s="14" t="n">
        <x:v>4045</x:v>
      </x:c>
      <x:c r="TE33" s="14" t="n">
        <x:v>76</x:v>
      </x:c>
      <x:c r="TF33" s="14" t="n">
        <x:v>19</x:v>
      </x:c>
      <x:c r="TG33" s="14" t="n">
        <x:v>4</x:v>
      </x:c>
      <x:c r="TH33" s="14" t="str">
        <x:v>未收錄</x:v>
      </x:c>
    </x:row>
    <x:row r="34" ht="15" customHeight="1">
      <x:c r="A34" s="18" t="str">
        <x:v>鬼煞劍</x:v>
      </x:c>
      <x:c r="B34" s="18" t="str">
        <x:v>絕世鬼煞劍</x:v>
      </x:c>
      <x:c r="C34" s="18" t="str">
        <x:v>天晶鬼煞劍</x:v>
      </x:c>
      <x:c r="D34" s="18" t="str">
        <x:v>幽靈劍</x:v>
      </x:c>
      <x:c r="E34" s="14"/>
      <x:c r="F34" s="18" t="str">
        <x:v>無雙天晶刀</x:v>
      </x:c>
      <x:c r="G34" s="18" t="str">
        <x:v>地炙刃</x:v>
      </x:c>
      <x:c r="H34" s="18" t="str">
        <x:v>無雙地炙刃</x:v>
      </x:c>
      <x:c r="I34" s="18" t="str">
        <x:v>天晶雷刀</x:v>
      </x:c>
      <x:c r="J34" s="14"/>
      <x:c r="K34" s="18" t="str">
        <x:v>真宇傲亂蝶花</x:v>
      </x:c>
      <x:c r="L34" s="18" t="str">
        <x:v>瞬光劃★</x:v>
      </x:c>
      <x:c r="M34" s="18" t="str">
        <x:v>瞬光劃★★</x:v>
      </x:c>
      <x:c r="N34" s="18" t="str">
        <x:v>瞬光劃★★★</x:v>
      </x:c>
      <x:c r="O34" s="14"/>
      <x:c r="P34" s="18" t="str">
        <x:v>聖儀拂塵</x:v>
      </x:c>
      <x:c r="Q34" s="18" t="str">
        <x:v>太古聖儀拂塵</x:v>
      </x:c>
      <x:c r="R34" s="18" t="str">
        <x:v>崇輝聖儀拂塵</x:v>
      </x:c>
      <x:c r="S34" s="18" t="str">
        <x:v>慈光聖儀拂塵</x:v>
      </x:c>
      <x:c r="T34" s="14"/>
      <x:c r="U34" s="18" t="str">
        <x:v>藏宗真言禪杖</x:v>
      </x:c>
      <x:c r="V34" s="18" t="str">
        <x:v>天樓禪杖</x:v>
      </x:c>
      <x:c r="W34" s="18" t="str">
        <x:v>太古天樓禪杖</x:v>
      </x:c>
      <x:c r="X34" s="18" t="str">
        <x:v>三界天樓禪杖</x:v>
      </x:c>
      <x:c r="Y34" s="14"/>
      <x:c r="Z34" s="18" t="str">
        <x:v>魔戟跋伊羅婆</x:v>
      </x:c>
      <x:c r="AA34" s="18" t="str">
        <x:v>不敗神冕槍</x:v>
      </x:c>
      <x:c r="AB34" s="18" t="str">
        <x:v>太古不敗神冕槍</x:v>
      </x:c>
      <x:c r="AC34" s="18" t="str">
        <x:v>無雙不敗神槍</x:v>
      </x:c>
      <x:c r="AD34" s="14"/>
      <x:c r="AE34" s="18" t="str">
        <x:v>無雙四尊元棍</x:v>
      </x:c>
      <x:c r="AF34" s="18" t="str">
        <x:v>琉璃天君棍</x:v>
      </x:c>
      <x:c r="AG34" s="18" t="str">
        <x:v>太古琉璃天君棍</x:v>
      </x:c>
      <x:c r="AH34" s="18" t="str">
        <x:v>炎龍雙舞棍</x:v>
      </x:c>
      <x:c r="AI34" s="14"/>
      <x:c r="AJ34" s="18" t="str">
        <x:v>界王錘★★☆</x:v>
      </x:c>
      <x:c r="AK34" s="18" t="str">
        <x:v>界王錘★★★</x:v>
      </x:c>
      <x:c r="AL34" s="18" t="str">
        <x:v>聖女天禱錘</x:v>
      </x:c>
      <x:c r="AM34" s="18" t="str">
        <x:v>赫菲煉炎錘</x:v>
      </x:c>
      <x:c r="AN34" s="14"/>
      <x:c r="AO34" s="18" t="str">
        <x:v>魔蟹碎命斧</x:v>
      </x:c>
      <x:c r="AP34" s="18" t="str">
        <x:v>蓋亞碎界斧</x:v>
      </x:c>
      <x:c r="AQ34" s="18" t="str">
        <x:v>蓋亞碎界斧</x:v>
      </x:c>
      <x:c r="AR34" s="18" t="str">
        <x:v>七政太歲斧</x:v>
      </x:c>
      <x:c r="AS34" s="14"/>
      <x:c r="AT34" s="18" t="str">
        <x:v>八卦形意盾</x:v>
      </x:c>
      <x:c r="AU34" s="18" t="str">
        <x:v>貪狼天樞盾</x:v>
      </x:c>
      <x:c r="AV34" s="18" t="str">
        <x:v>玄武宮古魄盾</x:v>
      </x:c>
      <x:c r="AW34" s="18" t="str">
        <x:v>平后句龍盾</x:v>
      </x:c>
      <x:c r="AX34" s="14"/>
      <x:c r="AY34" s="18" t="str">
        <x:v>銅石戰盔</x:v>
      </x:c>
      <x:c r="AZ34" s="18" t="str">
        <x:v>戰神盔</x:v>
      </x:c>
      <x:c r="BA34" s="18" t="str">
        <x:v>白虎戰盔</x:v>
      </x:c>
      <x:c r="BB34" s="18" t="str">
        <x:v>九尾頭箍</x:v>
      </x:c>
      <x:c r="BC34" s="14"/>
      <x:c r="BD34" s="18" t="str">
        <x:v>黑龍戰甲</x:v>
      </x:c>
      <x:c r="BE34" s="18" t="str">
        <x:v>龍骨甲</x:v>
      </x:c>
      <x:c r="BF34" s="18" t="str">
        <x:v>真人羽袍</x:v>
      </x:c>
      <x:c r="BG34" s="18" t="str">
        <x:v>七彩僧衣</x:v>
      </x:c>
      <x:c r="BH34" s="14"/>
      <x:c r="BI34" s="18" t="str">
        <x:v>玄冰地靈護腕</x:v>
      </x:c>
      <x:c r="BJ34" s="18" t="str">
        <x:v>真火地靈護腕</x:v>
      </x:c>
      <x:c r="BK34" s="18" t="str">
        <x:v>天雷地靈護腕</x:v>
      </x:c>
      <x:c r="BL34" s="18" t="str">
        <x:v>歸冥地靈護腕</x:v>
      </x:c>
      <x:c r="BM34" s="14"/>
      <x:c r="BN34" s="18" t="str">
        <x:v>侏紋雷靴</x:v>
      </x:c>
      <x:c r="BO34" s="18" t="str">
        <x:v>侏紋冥靴</x:v>
      </x:c>
      <x:c r="BP34" s="18" t="str">
        <x:v>地靈冰靴</x:v>
      </x:c>
      <x:c r="BQ34" s="18" t="str">
        <x:v>地靈火靴</x:v>
      </x:c>
      <x:c r="BR34" s="14"/>
      <x:c r="BS34" s="18" t="str">
        <x:v>十界墜鍊</x:v>
      </x:c>
      <x:c r="BT34" s="18" t="str">
        <x:v>琉璃戒指</x:v>
      </x:c>
      <x:c r="BU34" s="18" t="str">
        <x:v>流光戒指</x:v>
      </x:c>
      <x:c r="BV34" s="18" t="str">
        <x:v>百匯晶鍊</x:v>
      </x:c>
      <x:c r="BW34" s="14"/>
      <x:c r="BX34" s="18" t="str">
        <x:v>九日仙塹環</x:v>
      </x:c>
      <x:c r="BY34" s="18" t="str">
        <x:v>九日仙海環</x:v>
      </x:c>
      <x:c r="BZ34" s="18" t="str">
        <x:v>九日仙松環</x:v>
      </x:c>
      <x:c r="CA34" s="18" t="str">
        <x:v>九日仙幽環</x:v>
      </x:c>
      <x:c r="CB34" s="14"/>
      <x:c r="CC34" s="14" t="str">
        <x:v>20768</x:v>
      </x:c>
      <x:c r="CD34" s="14" t="n">
        <x:v>8</x:v>
      </x:c>
      <x:c r="CE34" s="14" t="n">
        <x:v>77</x:v>
      </x:c>
      <x:c r="CF34" s="14" t="n">
        <x:v>77</x:v>
      </x:c>
      <x:c r="CG34" s="14" t="n">
        <x:v>20</x:v>
      </x:c>
      <x:c r="CH34" s="14" t="n">
        <x:v>1</x:v>
      </x:c>
      <x:c r="CI34" s="14" t="str">
        <x:v>未收錄</x:v>
      </x:c>
      <x:c r="CJ34" s="14" t="str">
        <x:v>22378</x:v>
      </x:c>
      <x:c r="CK34" s="14" t="n">
        <x:v>8</x:v>
      </x:c>
      <x:c r="CL34" s="14" t="n">
        <x:v>78</x:v>
      </x:c>
      <x:c r="CM34" s="14" t="n">
        <x:v>78</x:v>
      </x:c>
      <x:c r="CN34" s="14" t="n">
        <x:v>20</x:v>
      </x:c>
      <x:c r="CO34" s="14" t="n">
        <x:v>2</x:v>
      </x:c>
      <x:c r="CP34" s="14" t="str">
        <x:v>未收錄</x:v>
      </x:c>
      <x:c r="CQ34" s="14" t="str">
        <x:v>22014</x:v>
      </x:c>
      <x:c r="CR34" s="14" t="n">
        <x:v>8</x:v>
      </x:c>
      <x:c r="CS34" s="14" t="n">
        <x:v>79</x:v>
      </x:c>
      <x:c r="CT34" s="14" t="n">
        <x:v>79</x:v>
      </x:c>
      <x:c r="CU34" s="14" t="n">
        <x:v>20</x:v>
      </x:c>
      <x:c r="CV34" s="14" t="n">
        <x:v>3</x:v>
      </x:c>
      <x:c r="CW34" s="14" t="str">
        <x:v>未收錄</x:v>
      </x:c>
      <x:c r="CX34" s="14" t="str">
        <x:v>21093</x:v>
      </x:c>
      <x:c r="CY34" s="14" t="n">
        <x:v>8</x:v>
      </x:c>
      <x:c r="CZ34" s="14" t="n">
        <x:v>80</x:v>
      </x:c>
      <x:c r="DA34" s="14" t="n">
        <x:v>80</x:v>
      </x:c>
      <x:c r="DB34" s="14" t="n">
        <x:v>20</x:v>
      </x:c>
      <x:c r="DC34" s="14" t="n">
        <x:v>4</x:v>
      </x:c>
      <x:c r="DD34" s="14" t="str">
        <x:v>未收錄</x:v>
      </x:c>
      <x:c r="DE34" s="14" t="str">
        <x:v>22044</x:v>
      </x:c>
      <x:c r="DF34" s="14" t="n">
        <x:v>8</x:v>
      </x:c>
      <x:c r="DG34" s="14" t="n">
        <x:v>322</x:v>
      </x:c>
      <x:c r="DH34" s="14" t="n">
        <x:v>77</x:v>
      </x:c>
      <x:c r="DI34" s="14" t="n">
        <x:v>20</x:v>
      </x:c>
      <x:c r="DJ34" s="14" t="n">
        <x:v>1</x:v>
      </x:c>
      <x:c r="DK34" s="14" t="str">
        <x:v>未收錄</x:v>
      </x:c>
      <x:c r="DL34" s="14" t="str">
        <x:v>21862</x:v>
      </x:c>
      <x:c r="DM34" s="14" t="n">
        <x:v>8</x:v>
      </x:c>
      <x:c r="DN34" s="14" t="n">
        <x:v>323</x:v>
      </x:c>
      <x:c r="DO34" s="14" t="n">
        <x:v>78</x:v>
      </x:c>
      <x:c r="DP34" s="14" t="n">
        <x:v>20</x:v>
      </x:c>
      <x:c r="DQ34" s="14" t="n">
        <x:v>2</x:v>
      </x:c>
      <x:c r="DR34" s="14" t="str">
        <x:v>未收錄</x:v>
      </x:c>
      <x:c r="DS34" s="14" t="str">
        <x:v>22045</x:v>
      </x:c>
      <x:c r="DT34" s="14" t="n">
        <x:v>8</x:v>
      </x:c>
      <x:c r="DU34" s="14" t="n">
        <x:v>324</x:v>
      </x:c>
      <x:c r="DV34" s="14" t="n">
        <x:v>79</x:v>
      </x:c>
      <x:c r="DW34" s="14" t="n">
        <x:v>20</x:v>
      </x:c>
      <x:c r="DX34" s="14" t="n">
        <x:v>3</x:v>
      </x:c>
      <x:c r="DY34" s="14" t="str">
        <x:v>未收錄</x:v>
      </x:c>
      <x:c r="DZ34" s="14" t="str">
        <x:v>21863</x:v>
      </x:c>
      <x:c r="EA34" s="14" t="n">
        <x:v>8</x:v>
      </x:c>
      <x:c r="EB34" s="14" t="n">
        <x:v>325</x:v>
      </x:c>
      <x:c r="EC34" s="14" t="n">
        <x:v>80</x:v>
      </x:c>
      <x:c r="ED34" s="14" t="n">
        <x:v>20</x:v>
      </x:c>
      <x:c r="EE34" s="14" t="n">
        <x:v>4</x:v>
      </x:c>
      <x:c r="EF34" s="14" t="str">
        <x:v>未收錄</x:v>
      </x:c>
      <x:c r="EG34" s="14" t="str">
        <x:v>27611</x:v>
      </x:c>
      <x:c r="EH34" s="14" t="n">
        <x:v>8</x:v>
      </x:c>
      <x:c r="EI34" s="14" t="n">
        <x:v>558</x:v>
      </x:c>
      <x:c r="EJ34" s="14" t="n">
        <x:v>77</x:v>
      </x:c>
      <x:c r="EK34" s="14" t="n">
        <x:v>20</x:v>
      </x:c>
      <x:c r="EL34" s="14" t="n">
        <x:v>1</x:v>
      </x:c>
      <x:c r="EM34" s="14" t="str">
        <x:v>未收錄</x:v>
      </x:c>
      <x:c r="EN34" s="14" t="str">
        <x:v>28355</x:v>
      </x:c>
      <x:c r="EO34" s="14" t="n">
        <x:v>8</x:v>
      </x:c>
      <x:c r="EP34" s="14" t="n">
        <x:v>559</x:v>
      </x:c>
      <x:c r="EQ34" s="14" t="n">
        <x:v>78</x:v>
      </x:c>
      <x:c r="ER34" s="14" t="n">
        <x:v>20</x:v>
      </x:c>
      <x:c r="ES34" s="14" t="n">
        <x:v>2</x:v>
      </x:c>
      <x:c r="ET34" s="14" t="str">
        <x:v>未收錄</x:v>
      </x:c>
      <x:c r="EU34" s="14" t="str">
        <x:v>28356</x:v>
      </x:c>
      <x:c r="EV34" s="14" t="n">
        <x:v>8</x:v>
      </x:c>
      <x:c r="EW34" s="14" t="n">
        <x:v>560</x:v>
      </x:c>
      <x:c r="EX34" s="14" t="n">
        <x:v>79</x:v>
      </x:c>
      <x:c r="EY34" s="14" t="n">
        <x:v>20</x:v>
      </x:c>
      <x:c r="EZ34" s="14" t="n">
        <x:v>3</x:v>
      </x:c>
      <x:c r="FA34" s="14" t="str">
        <x:v>未收錄</x:v>
      </x:c>
      <x:c r="FB34" s="14" t="str">
        <x:v>28357</x:v>
      </x:c>
      <x:c r="FC34" s="14" t="n">
        <x:v>8</x:v>
      </x:c>
      <x:c r="FD34" s="14" t="n">
        <x:v>561</x:v>
      </x:c>
      <x:c r="FE34" s="14" t="n">
        <x:v>80</x:v>
      </x:c>
      <x:c r="FF34" s="14" t="n">
        <x:v>20</x:v>
      </x:c>
      <x:c r="FG34" s="14" t="n">
        <x:v>4</x:v>
      </x:c>
      <x:c r="FH34" s="14" t="str">
        <x:v>未收錄</x:v>
      </x:c>
      <x:c r="FI34" s="14" t="str">
        <x:v>24057</x:v>
      </x:c>
      <x:c r="FJ34" s="14" t="n">
        <x:v>8</x:v>
      </x:c>
      <x:c r="FK34" s="14" t="n">
        <x:v>708</x:v>
      </x:c>
      <x:c r="FL34" s="14" t="n">
        <x:v>77</x:v>
      </x:c>
      <x:c r="FM34" s="14" t="n">
        <x:v>20</x:v>
      </x:c>
      <x:c r="FN34" s="14" t="n">
        <x:v>1</x:v>
      </x:c>
      <x:c r="FO34" s="14" t="str">
        <x:v>未收錄</x:v>
      </x:c>
      <x:c r="FP34" s="14" t="str">
        <x:v>24661</x:v>
      </x:c>
      <x:c r="FQ34" s="14" t="n">
        <x:v>3</x:v>
      </x:c>
      <x:c r="FR34" s="14" t="n">
        <x:v>709</x:v>
      </x:c>
      <x:c r="FS34" s="14" t="n">
        <x:v>78</x:v>
      </x:c>
      <x:c r="FT34" s="14" t="n">
        <x:v>20</x:v>
      </x:c>
      <x:c r="FU34" s="14" t="n">
        <x:v>2</x:v>
      </x:c>
      <x:c r="FV34" s="14" t="str">
        <x:v>未收錄</x:v>
      </x:c>
      <x:c r="FW34" s="14" t="str">
        <x:v>24060</x:v>
      </x:c>
      <x:c r="FX34" s="14" t="n">
        <x:v>8</x:v>
      </x:c>
      <x:c r="FY34" s="14" t="n">
        <x:v>710</x:v>
      </x:c>
      <x:c r="FZ34" s="14" t="n">
        <x:v>79</x:v>
      </x:c>
      <x:c r="GA34" s="14" t="n">
        <x:v>20</x:v>
      </x:c>
      <x:c r="GB34" s="14" t="n">
        <x:v>3</x:v>
      </x:c>
      <x:c r="GC34" s="14" t="str">
        <x:v>未收錄</x:v>
      </x:c>
      <x:c r="GD34" s="14" t="str">
        <x:v>24061</x:v>
      </x:c>
      <x:c r="GE34" s="14" t="n">
        <x:v>8</x:v>
      </x:c>
      <x:c r="GF34" s="14" t="n">
        <x:v>711</x:v>
      </x:c>
      <x:c r="GG34" s="14" t="n">
        <x:v>80</x:v>
      </x:c>
      <x:c r="GH34" s="14" t="n">
        <x:v>20</x:v>
      </x:c>
      <x:c r="GI34" s="14" t="n">
        <x:v>4</x:v>
      </x:c>
      <x:c r="GJ34" s="14" t="str">
        <x:v>未收錄</x:v>
      </x:c>
      <x:c r="GK34" s="14" t="str">
        <x:v>24065</x:v>
      </x:c>
      <x:c r="GL34" s="14" t="n">
        <x:v>8</x:v>
      </x:c>
      <x:c r="GM34" s="14" t="n">
        <x:v>880</x:v>
      </x:c>
      <x:c r="GN34" s="14" t="n">
        <x:v>77</x:v>
      </x:c>
      <x:c r="GO34" s="14" t="n">
        <x:v>20</x:v>
      </x:c>
      <x:c r="GP34" s="14" t="n">
        <x:v>1</x:v>
      </x:c>
      <x:c r="GQ34" s="14" t="str">
        <x:v>未收錄</x:v>
      </x:c>
      <x:c r="GR34" s="14" t="str">
        <x:v>24063</x:v>
      </x:c>
      <x:c r="GS34" s="14" t="n">
        <x:v>8</x:v>
      </x:c>
      <x:c r="GT34" s="14" t="n">
        <x:v>881</x:v>
      </x:c>
      <x:c r="GU34" s="14" t="n">
        <x:v>78</x:v>
      </x:c>
      <x:c r="GV34" s="14" t="n">
        <x:v>20</x:v>
      </x:c>
      <x:c r="GW34" s="14" t="n">
        <x:v>2</x:v>
      </x:c>
      <x:c r="GX34" s="14" t="str">
        <x:v>未收錄</x:v>
      </x:c>
      <x:c r="GY34" s="14" t="str">
        <x:v>24662</x:v>
      </x:c>
      <x:c r="GZ34" s="14" t="n">
        <x:v>3</x:v>
      </x:c>
      <x:c r="HA34" s="14" t="n">
        <x:v>882</x:v>
      </x:c>
      <x:c r="HB34" s="14" t="n">
        <x:v>79</x:v>
      </x:c>
      <x:c r="HC34" s="14" t="n">
        <x:v>20</x:v>
      </x:c>
      <x:c r="HD34" s="14" t="n">
        <x:v>3</x:v>
      </x:c>
      <x:c r="HE34" s="14" t="str">
        <x:v>未收錄</x:v>
      </x:c>
      <x:c r="HF34" s="14" t="str">
        <x:v>24066</x:v>
      </x:c>
      <x:c r="HG34" s="14" t="n">
        <x:v>8</x:v>
      </x:c>
      <x:c r="HH34" s="14" t="n">
        <x:v>883</x:v>
      </x:c>
      <x:c r="HI34" s="14" t="n">
        <x:v>80</x:v>
      </x:c>
      <x:c r="HJ34" s="14" t="n">
        <x:v>20</x:v>
      </x:c>
      <x:c r="HK34" s="14" t="n">
        <x:v>4</x:v>
      </x:c>
      <x:c r="HL34" s="14" t="str">
        <x:v>未收錄</x:v>
      </x:c>
      <x:c r="HM34" s="14" t="str">
        <x:v>24495</x:v>
      </x:c>
      <x:c r="HN34" s="14" t="n">
        <x:v>8</x:v>
      </x:c>
      <x:c r="HO34" s="14" t="n">
        <x:v>1053</x:v>
      </x:c>
      <x:c r="HP34" s="14" t="n">
        <x:v>77</x:v>
      </x:c>
      <x:c r="HQ34" s="14" t="n">
        <x:v>20</x:v>
      </x:c>
      <x:c r="HR34" s="14" t="n">
        <x:v>1</x:v>
      </x:c>
      <x:c r="HS34" s="14" t="str">
        <x:v>未收錄</x:v>
      </x:c>
      <x:c r="HT34" s="14" t="str">
        <x:v>24647</x:v>
      </x:c>
      <x:c r="HU34" s="14" t="n">
        <x:v>8</x:v>
      </x:c>
      <x:c r="HV34" s="14" t="n">
        <x:v>1054</x:v>
      </x:c>
      <x:c r="HW34" s="14" t="n">
        <x:v>78</x:v>
      </x:c>
      <x:c r="HX34" s="14" t="n">
        <x:v>20</x:v>
      </x:c>
      <x:c r="HY34" s="14" t="n">
        <x:v>2</x:v>
      </x:c>
      <x:c r="HZ34" s="14" t="str">
        <x:v>未收錄</x:v>
      </x:c>
      <x:c r="IA34" s="14" t="str">
        <x:v>26190</x:v>
      </x:c>
      <x:c r="IB34" s="14" t="n">
        <x:v>3</x:v>
      </x:c>
      <x:c r="IC34" s="14" t="n">
        <x:v>1055</x:v>
      </x:c>
      <x:c r="ID34" s="14" t="n">
        <x:v>79</x:v>
      </x:c>
      <x:c r="IE34" s="14" t="n">
        <x:v>20</x:v>
      </x:c>
      <x:c r="IF34" s="14" t="n">
        <x:v>3</x:v>
      </x:c>
      <x:c r="IG34" s="14" t="str">
        <x:v>未收錄</x:v>
      </x:c>
      <x:c r="IH34" s="14" t="str">
        <x:v>26096</x:v>
      </x:c>
      <x:c r="II34" s="14" t="n">
        <x:v>8</x:v>
      </x:c>
      <x:c r="IJ34" s="14" t="n">
        <x:v>1056</x:v>
      </x:c>
      <x:c r="IK34" s="14" t="n">
        <x:v>80</x:v>
      </x:c>
      <x:c r="IL34" s="14" t="n">
        <x:v>20</x:v>
      </x:c>
      <x:c r="IM34" s="14" t="n">
        <x:v>4</x:v>
      </x:c>
      <x:c r="IN34" s="14" t="str">
        <x:v>未收錄</x:v>
      </x:c>
      <x:c r="IO34" s="14" t="str">
        <x:v>26097</x:v>
      </x:c>
      <x:c r="IP34" s="14" t="n">
        <x:v>8</x:v>
      </x:c>
      <x:c r="IQ34" s="14" t="n">
        <x:v>1221</x:v>
      </x:c>
      <x:c r="IR34" s="14" t="n">
        <x:v>77</x:v>
      </x:c>
      <x:c r="IS34" s="14" t="n">
        <x:v>20</x:v>
      </x:c>
      <x:c r="IT34" s="14" t="n">
        <x:v>1</x:v>
      </x:c>
      <x:c r="IU34" s="14" t="str">
        <x:v>未收錄</x:v>
      </x:c>
      <x:c r="IV34" s="14" t="str">
        <x:v>24650</x:v>
      </x:c>
      <x:c r="IW34" s="14" t="n">
        <x:v>8</x:v>
      </x:c>
      <x:c r="IX34" s="14" t="n">
        <x:v>1222</x:v>
      </x:c>
      <x:c r="IY34" s="14" t="n">
        <x:v>78</x:v>
      </x:c>
      <x:c r="IZ34" s="14" t="n">
        <x:v>20</x:v>
      </x:c>
      <x:c r="JA34" s="14" t="n">
        <x:v>2</x:v>
      </x:c>
      <x:c r="JB34" s="14" t="str">
        <x:v>未收錄</x:v>
      </x:c>
      <x:c r="JC34" s="14" t="str">
        <x:v>26200</x:v>
      </x:c>
      <x:c r="JD34" s="14" t="n">
        <x:v>3</x:v>
      </x:c>
      <x:c r="JE34" s="14" t="n">
        <x:v>1223</x:v>
      </x:c>
      <x:c r="JF34" s="14" t="n">
        <x:v>79</x:v>
      </x:c>
      <x:c r="JG34" s="14" t="n">
        <x:v>20</x:v>
      </x:c>
      <x:c r="JH34" s="14" t="n">
        <x:v>3</x:v>
      </x:c>
      <x:c r="JI34" s="14" t="str">
        <x:v>未收錄</x:v>
      </x:c>
      <x:c r="JJ34" s="14" t="str">
        <x:v>26086</x:v>
      </x:c>
      <x:c r="JK34" s="14" t="n">
        <x:v>8</x:v>
      </x:c>
      <x:c r="JL34" s="14" t="n">
        <x:v>1224</x:v>
      </x:c>
      <x:c r="JM34" s="14" t="n">
        <x:v>80</x:v>
      </x:c>
      <x:c r="JN34" s="14" t="n">
        <x:v>20</x:v>
      </x:c>
      <x:c r="JO34" s="14" t="n">
        <x:v>4</x:v>
      </x:c>
      <x:c r="JP34" s="14" t="str">
        <x:v>未收錄</x:v>
      </x:c>
      <x:c r="JQ34" s="14" t="str">
        <x:v>29389</x:v>
      </x:c>
      <x:c r="JR34" s="14" t="n">
        <x:v>8</x:v>
      </x:c>
      <x:c r="JS34" s="14" t="n">
        <x:v>1388</x:v>
      </x:c>
      <x:c r="JT34" s="14" t="n">
        <x:v>77</x:v>
      </x:c>
      <x:c r="JU34" s="14" t="n">
        <x:v>20</x:v>
      </x:c>
      <x:c r="JV34" s="14" t="n">
        <x:v>1</x:v>
      </x:c>
      <x:c r="JW34" s="14" t="str">
        <x:v>未收錄</x:v>
      </x:c>
      <x:c r="JX34" s="14" t="str">
        <x:v>29390</x:v>
      </x:c>
      <x:c r="JY34" s="14" t="n">
        <x:v>8</x:v>
      </x:c>
      <x:c r="JZ34" s="14" t="n">
        <x:v>1389</x:v>
      </x:c>
      <x:c r="KA34" s="14" t="n">
        <x:v>78</x:v>
      </x:c>
      <x:c r="KB34" s="14" t="n">
        <x:v>20</x:v>
      </x:c>
      <x:c r="KC34" s="14" t="n">
        <x:v>2</x:v>
      </x:c>
      <x:c r="KD34" s="14" t="str">
        <x:v>未收錄</x:v>
      </x:c>
      <x:c r="KE34" s="14" t="str">
        <x:v>24809</x:v>
      </x:c>
      <x:c r="KF34" s="14" t="n">
        <x:v>20</x:v>
      </x:c>
      <x:c r="KG34" s="14" t="n">
        <x:v>1390</x:v>
      </x:c>
      <x:c r="KH34" s="14" t="n">
        <x:v>79</x:v>
      </x:c>
      <x:c r="KI34" s="14" t="n">
        <x:v>20</x:v>
      </x:c>
      <x:c r="KJ34" s="14" t="n">
        <x:v>3</x:v>
      </x:c>
      <x:c r="KK34" s="14" t="str">
        <x:v>未收錄</x:v>
      </x:c>
      <x:c r="KL34" s="14" t="str">
        <x:v>26294</x:v>
      </x:c>
      <x:c r="KM34" s="14" t="n">
        <x:v>20</x:v>
      </x:c>
      <x:c r="KN34" s="14" t="n">
        <x:v>1391</x:v>
      </x:c>
      <x:c r="KO34" s="14" t="n">
        <x:v>80</x:v>
      </x:c>
      <x:c r="KP34" s="14" t="n">
        <x:v>20</x:v>
      </x:c>
      <x:c r="KQ34" s="14" t="n">
        <x:v>4</x:v>
      </x:c>
      <x:c r="KR34" s="14" t="str">
        <x:v>未收錄</x:v>
      </x:c>
      <x:c r="KS34" s="14" t="str">
        <x:v>24810</x:v>
      </x:c>
      <x:c r="KT34" s="14" t="n">
        <x:v>20</x:v>
      </x:c>
      <x:c r="KU34" s="14" t="n">
        <x:v>1503</x:v>
      </x:c>
      <x:c r="KV34" s="14" t="n">
        <x:v>77</x:v>
      </x:c>
      <x:c r="KW34" s="14" t="n">
        <x:v>20</x:v>
      </x:c>
      <x:c r="KX34" s="14" t="n">
        <x:v>1</x:v>
      </x:c>
      <x:c r="KY34" s="14" t="str">
        <x:v>未收錄</x:v>
      </x:c>
      <x:c r="KZ34" s="14" t="str">
        <x:v>26295</x:v>
      </x:c>
      <x:c r="LA34" s="14" t="n">
        <x:v>20</x:v>
      </x:c>
      <x:c r="LB34" s="14" t="n">
        <x:v>1504</x:v>
      </x:c>
      <x:c r="LC34" s="14" t="n">
        <x:v>78</x:v>
      </x:c>
      <x:c r="LD34" s="14" t="n">
        <x:v>20</x:v>
      </x:c>
      <x:c r="LE34" s="14" t="n">
        <x:v>2</x:v>
      </x:c>
      <x:c r="LF34" s="14" t="str">
        <x:v>未收錄</x:v>
      </x:c>
      <x:c r="LG34" s="14" t="str">
        <x:v>26500</x:v>
      </x:c>
      <x:c r="LH34" s="14" t="n">
        <x:v>20</x:v>
      </x:c>
      <x:c r="LI34" s="14" t="n">
        <x:v>1505</x:v>
      </x:c>
      <x:c r="LJ34" s="14" t="n">
        <x:v>79</x:v>
      </x:c>
      <x:c r="LK34" s="14" t="n">
        <x:v>20</x:v>
      </x:c>
      <x:c r="LL34" s="14" t="n">
        <x:v>3</x:v>
      </x:c>
      <x:c r="LM34" s="14" t="str">
        <x:v>未收錄</x:v>
      </x:c>
      <x:c r="LN34" s="14" t="str">
        <x:v>26792</x:v>
      </x:c>
      <x:c r="LO34" s="14" t="n">
        <x:v>20</x:v>
      </x:c>
      <x:c r="LP34" s="14" t="n">
        <x:v>1506</x:v>
      </x:c>
      <x:c r="LQ34" s="14" t="n">
        <x:v>80</x:v>
      </x:c>
      <x:c r="LR34" s="14" t="n">
        <x:v>20</x:v>
      </x:c>
      <x:c r="LS34" s="14" t="n">
        <x:v>4</x:v>
      </x:c>
      <x:c r="LT34" s="14" t="str">
        <x:v>未收錄</x:v>
      </x:c>
      <x:c r="LU34" s="14" t="str">
        <x:v>26967</x:v>
      </x:c>
      <x:c r="LV34" s="14" t="n">
        <x:v>20</x:v>
      </x:c>
      <x:c r="LW34" s="14" t="n">
        <x:v>1616</x:v>
      </x:c>
      <x:c r="LX34" s="14" t="n">
        <x:v>77</x:v>
      </x:c>
      <x:c r="LY34" s="14" t="n">
        <x:v>20</x:v>
      </x:c>
      <x:c r="LZ34" s="14" t="n">
        <x:v>1</x:v>
      </x:c>
      <x:c r="MA34" s="14" t="str">
        <x:v>未收錄</x:v>
      </x:c>
      <x:c r="MB34" s="14" t="str">
        <x:v>27362</x:v>
      </x:c>
      <x:c r="MC34" s="14" t="n">
        <x:v>20</x:v>
      </x:c>
      <x:c r="MD34" s="14" t="n">
        <x:v>1617</x:v>
      </x:c>
      <x:c r="ME34" s="14" t="n">
        <x:v>78</x:v>
      </x:c>
      <x:c r="MF34" s="14" t="n">
        <x:v>20</x:v>
      </x:c>
      <x:c r="MG34" s="14" t="n">
        <x:v>2</x:v>
      </x:c>
      <x:c r="MH34" s="14" t="str">
        <x:v>未收錄</x:v>
      </x:c>
      <x:c r="MI34" s="14" t="str">
        <x:v>27576</x:v>
      </x:c>
      <x:c r="MJ34" s="14" t="n">
        <x:v>20</x:v>
      </x:c>
      <x:c r="MK34" s="14" t="n">
        <x:v>1618</x:v>
      </x:c>
      <x:c r="ML34" s="14" t="n">
        <x:v>79</x:v>
      </x:c>
      <x:c r="MM34" s="14" t="n">
        <x:v>20</x:v>
      </x:c>
      <x:c r="MN34" s="14" t="n">
        <x:v>3</x:v>
      </x:c>
      <x:c r="MO34" s="14" t="str">
        <x:v>未收錄</x:v>
      </x:c>
      <x:c r="MP34" s="14" t="str">
        <x:v>28003</x:v>
      </x:c>
      <x:c r="MQ34" s="14" t="n">
        <x:v>20</x:v>
      </x:c>
      <x:c r="MR34" s="14" t="n">
        <x:v>1619</x:v>
      </x:c>
      <x:c r="MS34" s="14" t="n">
        <x:v>80</x:v>
      </x:c>
      <x:c r="MT34" s="14" t="n">
        <x:v>20</x:v>
      </x:c>
      <x:c r="MU34" s="14" t="n">
        <x:v>4</x:v>
      </x:c>
      <x:c r="MV34" s="14" t="str">
        <x:v>未收錄</x:v>
      </x:c>
      <x:c r="MW34" s="14" t="str">
        <x:v>21216</x:v>
      </x:c>
      <x:c r="MX34" s="14" t="n">
        <x:v>5</x:v>
      </x:c>
      <x:c r="MY34" s="14" t="n">
        <x:v>1725</x:v>
      </x:c>
      <x:c r="MZ34" s="14" t="n">
        <x:v>77</x:v>
      </x:c>
      <x:c r="NA34" s="14" t="n">
        <x:v>20</x:v>
      </x:c>
      <x:c r="NB34" s="14" t="n">
        <x:v>1</x:v>
      </x:c>
      <x:c r="NC34" s="14" t="str">
        <x:v>未收錄</x:v>
      </x:c>
      <x:c r="ND34" s="14" t="str">
        <x:v>21217</x:v>
      </x:c>
      <x:c r="NE34" s="14" t="n">
        <x:v>5</x:v>
      </x:c>
      <x:c r="NF34" s="14" t="n">
        <x:v>1726</x:v>
      </x:c>
      <x:c r="NG34" s="14" t="n">
        <x:v>78</x:v>
      </x:c>
      <x:c r="NH34" s="14" t="n">
        <x:v>20</x:v>
      </x:c>
      <x:c r="NI34" s="14" t="n">
        <x:v>2</x:v>
      </x:c>
      <x:c r="NJ34" s="14" t="str">
        <x:v>未收錄</x:v>
      </x:c>
      <x:c r="NK34" s="14" t="str">
        <x:v>21218</x:v>
      </x:c>
      <x:c r="NL34" s="14" t="n">
        <x:v>5</x:v>
      </x:c>
      <x:c r="NM34" s="14" t="n">
        <x:v>1727</x:v>
      </x:c>
      <x:c r="NN34" s="14" t="n">
        <x:v>79</x:v>
      </x:c>
      <x:c r="NO34" s="14" t="n">
        <x:v>20</x:v>
      </x:c>
      <x:c r="NP34" s="14" t="n">
        <x:v>3</x:v>
      </x:c>
      <x:c r="NQ34" s="14" t="str">
        <x:v>未收錄</x:v>
      </x:c>
      <x:c r="NR34" s="14" t="str">
        <x:v>21219</x:v>
      </x:c>
      <x:c r="NS34" s="14" t="n">
        <x:v>5</x:v>
      </x:c>
      <x:c r="NT34" s="14" t="n">
        <x:v>1728</x:v>
      </x:c>
      <x:c r="NU34" s="14" t="n">
        <x:v>80</x:v>
      </x:c>
      <x:c r="NV34" s="14" t="n">
        <x:v>20</x:v>
      </x:c>
      <x:c r="NW34" s="14" t="n">
        <x:v>4</x:v>
      </x:c>
      <x:c r="NX34" s="14" t="str">
        <x:v>未收錄</x:v>
      </x:c>
      <x:c r="NY34" s="14" t="str">
        <x:v>21240</x:v>
      </x:c>
      <x:c r="NZ34" s="14" t="n">
        <x:v>5</x:v>
      </x:c>
      <x:c r="OA34" s="14" t="n">
        <x:v>2178</x:v>
      </x:c>
      <x:c r="OB34" s="14" t="n">
        <x:v>77</x:v>
      </x:c>
      <x:c r="OC34" s="14" t="n">
        <x:v>20</x:v>
      </x:c>
      <x:c r="OD34" s="14" t="n">
        <x:v>1</x:v>
      </x:c>
      <x:c r="OE34" s="14" t="str">
        <x:v>未收錄</x:v>
      </x:c>
      <x:c r="OF34" s="14" t="str">
        <x:v>21241</x:v>
      </x:c>
      <x:c r="OG34" s="14" t="n">
        <x:v>5</x:v>
      </x:c>
      <x:c r="OH34" s="14" t="n">
        <x:v>2179</x:v>
      </x:c>
      <x:c r="OI34" s="14" t="n">
        <x:v>78</x:v>
      </x:c>
      <x:c r="OJ34" s="14" t="n">
        <x:v>20</x:v>
      </x:c>
      <x:c r="OK34" s="14" t="n">
        <x:v>2</x:v>
      </x:c>
      <x:c r="OL34" s="14" t="str">
        <x:v>未收錄</x:v>
      </x:c>
      <x:c r="OM34" s="14" t="str">
        <x:v>21242</x:v>
      </x:c>
      <x:c r="ON34" s="14" t="n">
        <x:v>5</x:v>
      </x:c>
      <x:c r="OO34" s="14" t="n">
        <x:v>2180</x:v>
      </x:c>
      <x:c r="OP34" s="14" t="n">
        <x:v>79</x:v>
      </x:c>
      <x:c r="OQ34" s="14" t="n">
        <x:v>20</x:v>
      </x:c>
      <x:c r="OR34" s="14" t="n">
        <x:v>3</x:v>
      </x:c>
      <x:c r="OS34" s="14" t="str">
        <x:v>未收錄</x:v>
      </x:c>
      <x:c r="OT34" s="14" t="str">
        <x:v>21243</x:v>
      </x:c>
      <x:c r="OU34" s="14" t="n">
        <x:v>5</x:v>
      </x:c>
      <x:c r="OV34" s="14" t="n">
        <x:v>2181</x:v>
      </x:c>
      <x:c r="OW34" s="14" t="n">
        <x:v>80</x:v>
      </x:c>
      <x:c r="OX34" s="14" t="n">
        <x:v>20</x:v>
      </x:c>
      <x:c r="OY34" s="14" t="n">
        <x:v>4</x:v>
      </x:c>
      <x:c r="OZ34" s="14" t="str">
        <x:v>未收錄</x:v>
      </x:c>
      <x:c r="PA34" s="14" t="str">
        <x:v>22007</x:v>
      </x:c>
      <x:c r="PB34" s="14" t="n">
        <x:v>5</x:v>
      </x:c>
      <x:c r="PC34" s="14" t="n">
        <x:v>2724</x:v>
      </x:c>
      <x:c r="PD34" s="14" t="n">
        <x:v>77</x:v>
      </x:c>
      <x:c r="PE34" s="14" t="n">
        <x:v>20</x:v>
      </x:c>
      <x:c r="PF34" s="14" t="n">
        <x:v>1</x:v>
      </x:c>
      <x:c r="PG34" s="14" t="str">
        <x:v>未收錄</x:v>
      </x:c>
      <x:c r="PH34" s="14" t="str">
        <x:v>22008</x:v>
      </x:c>
      <x:c r="PI34" s="14" t="n">
        <x:v>5</x:v>
      </x:c>
      <x:c r="PJ34" s="14" t="n">
        <x:v>2725</x:v>
      </x:c>
      <x:c r="PK34" s="14" t="n">
        <x:v>78</x:v>
      </x:c>
      <x:c r="PL34" s="14" t="n">
        <x:v>20</x:v>
      </x:c>
      <x:c r="PM34" s="14" t="n">
        <x:v>2</x:v>
      </x:c>
      <x:c r="PN34" s="14" t="str">
        <x:v>未收錄</x:v>
      </x:c>
      <x:c r="PO34" s="14" t="str">
        <x:v>22009</x:v>
      </x:c>
      <x:c r="PP34" s="14" t="n">
        <x:v>5</x:v>
      </x:c>
      <x:c r="PQ34" s="14" t="n">
        <x:v>2726</x:v>
      </x:c>
      <x:c r="PR34" s="14" t="n">
        <x:v>79</x:v>
      </x:c>
      <x:c r="PS34" s="14" t="n">
        <x:v>20</x:v>
      </x:c>
      <x:c r="PT34" s="14" t="n">
        <x:v>3</x:v>
      </x:c>
      <x:c r="PU34" s="14" t="str">
        <x:v>未收錄</x:v>
      </x:c>
      <x:c r="PV34" s="14" t="str">
        <x:v>22010</x:v>
      </x:c>
      <x:c r="PW34" s="14" t="n">
        <x:v>5</x:v>
      </x:c>
      <x:c r="PX34" s="14" t="n">
        <x:v>2727</x:v>
      </x:c>
      <x:c r="PY34" s="14" t="n">
        <x:v>80</x:v>
      </x:c>
      <x:c r="PZ34" s="14" t="n">
        <x:v>20</x:v>
      </x:c>
      <x:c r="QA34" s="14" t="n">
        <x:v>4</x:v>
      </x:c>
      <x:c r="QB34" s="14" t="str">
        <x:v>未收錄</x:v>
      </x:c>
      <x:c r="QC34" s="14" t="str">
        <x:v>21926</x:v>
      </x:c>
      <x:c r="QD34" s="14" t="n">
        <x:v>5</x:v>
      </x:c>
      <x:c r="QE34" s="14" t="n">
        <x:v>3161</x:v>
      </x:c>
      <x:c r="QF34" s="14" t="n">
        <x:v>77</x:v>
      </x:c>
      <x:c r="QG34" s="14" t="n">
        <x:v>20</x:v>
      </x:c>
      <x:c r="QH34" s="14" t="n">
        <x:v>1</x:v>
      </x:c>
      <x:c r="QI34" s="14" t="str">
        <x:v>未收錄</x:v>
      </x:c>
      <x:c r="QJ34" s="14" t="str">
        <x:v>21927</x:v>
      </x:c>
      <x:c r="QK34" s="14" t="n">
        <x:v>5</x:v>
      </x:c>
      <x:c r="QL34" s="14" t="n">
        <x:v>3162</x:v>
      </x:c>
      <x:c r="QM34" s="14" t="n">
        <x:v>78</x:v>
      </x:c>
      <x:c r="QN34" s="14" t="n">
        <x:v>20</x:v>
      </x:c>
      <x:c r="QO34" s="14" t="n">
        <x:v>2</x:v>
      </x:c>
      <x:c r="QP34" s="14" t="str">
        <x:v>未收錄</x:v>
      </x:c>
      <x:c r="QQ34" s="14" t="str">
        <x:v>21999</x:v>
      </x:c>
      <x:c r="QR34" s="14" t="n">
        <x:v>5</x:v>
      </x:c>
      <x:c r="QS34" s="14" t="n">
        <x:v>3163</x:v>
      </x:c>
      <x:c r="QT34" s="14" t="n">
        <x:v>79</x:v>
      </x:c>
      <x:c r="QU34" s="14" t="n">
        <x:v>20</x:v>
      </x:c>
      <x:c r="QV34" s="14" t="n">
        <x:v>3</x:v>
      </x:c>
      <x:c r="QW34" s="14" t="str">
        <x:v>未收錄</x:v>
      </x:c>
      <x:c r="QX34" s="14" t="str">
        <x:v>22000</x:v>
      </x:c>
      <x:c r="QY34" s="14" t="n">
        <x:v>5</x:v>
      </x:c>
      <x:c r="QZ34" s="14" t="n">
        <x:v>3164</x:v>
      </x:c>
      <x:c r="RA34" s="14" t="n">
        <x:v>80</x:v>
      </x:c>
      <x:c r="RB34" s="14" t="n">
        <x:v>20</x:v>
      </x:c>
      <x:c r="RC34" s="14" t="n">
        <x:v>4</x:v>
      </x:c>
      <x:c r="RD34" s="14" t="str">
        <x:v>未收錄</x:v>
      </x:c>
      <x:c r="RE34" s="14" t="str">
        <x:v>22182</x:v>
      </x:c>
      <x:c r="RF34" s="14" t="n">
        <x:v>5</x:v>
      </x:c>
      <x:c r="RG34" s="14" t="n">
        <x:v>3622</x:v>
      </x:c>
      <x:c r="RH34" s="14" t="n">
        <x:v>77</x:v>
      </x:c>
      <x:c r="RI34" s="14" t="n">
        <x:v>20</x:v>
      </x:c>
      <x:c r="RJ34" s="14" t="n">
        <x:v>1</x:v>
      </x:c>
      <x:c r="RK34" s="14" t="str">
        <x:v>未收錄</x:v>
      </x:c>
      <x:c r="RL34" s="14" t="str">
        <x:v>22183</x:v>
      </x:c>
      <x:c r="RM34" s="14" t="n">
        <x:v>5</x:v>
      </x:c>
      <x:c r="RN34" s="14" t="n">
        <x:v>3623</x:v>
      </x:c>
      <x:c r="RO34" s="14" t="n">
        <x:v>78</x:v>
      </x:c>
      <x:c r="RP34" s="14" t="n">
        <x:v>20</x:v>
      </x:c>
      <x:c r="RQ34" s="14" t="n">
        <x:v>2</x:v>
      </x:c>
      <x:c r="RR34" s="14" t="str">
        <x:v>未收錄</x:v>
      </x:c>
      <x:c r="RS34" s="14" t="str">
        <x:v>22184</x:v>
      </x:c>
      <x:c r="RT34" s="14" t="n">
        <x:v>5</x:v>
      </x:c>
      <x:c r="RU34" s="14" t="n">
        <x:v>3624</x:v>
      </x:c>
      <x:c r="RV34" s="14" t="n">
        <x:v>79</x:v>
      </x:c>
      <x:c r="RW34" s="14" t="n">
        <x:v>20</x:v>
      </x:c>
      <x:c r="RX34" s="14" t="n">
        <x:v>3</x:v>
      </x:c>
      <x:c r="RY34" s="14" t="str">
        <x:v>未收錄</x:v>
      </x:c>
      <x:c r="RZ34" s="14" t="str">
        <x:v>22185</x:v>
      </x:c>
      <x:c r="SA34" s="14" t="n">
        <x:v>5</x:v>
      </x:c>
      <x:c r="SB34" s="14" t="n">
        <x:v>3625</x:v>
      </x:c>
      <x:c r="SC34" s="14" t="n">
        <x:v>80</x:v>
      </x:c>
      <x:c r="SD34" s="14" t="n">
        <x:v>20</x:v>
      </x:c>
      <x:c r="SE34" s="14" t="n">
        <x:v>4</x:v>
      </x:c>
      <x:c r="SF34" s="14" t="str">
        <x:v>未收錄</x:v>
      </x:c>
      <x:c r="SG34" s="14" t="str">
        <x:v>31445</x:v>
      </x:c>
      <x:c r="SH34" s="14" t="n">
        <x:v>10</x:v>
      </x:c>
      <x:c r="SI34" s="14" t="n">
        <x:v>4046</x:v>
      </x:c>
      <x:c r="SJ34" s="14" t="n">
        <x:v>77</x:v>
      </x:c>
      <x:c r="SK34" s="14" t="n">
        <x:v>20</x:v>
      </x:c>
      <x:c r="SL34" s="14" t="n">
        <x:v>1</x:v>
      </x:c>
      <x:c r="SM34" s="14" t="str">
        <x:v>未收錄</x:v>
      </x:c>
      <x:c r="SN34" s="14" t="str">
        <x:v>31446</x:v>
      </x:c>
      <x:c r="SO34" s="14" t="n">
        <x:v>10</x:v>
      </x:c>
      <x:c r="SP34" s="14" t="n">
        <x:v>4047</x:v>
      </x:c>
      <x:c r="SQ34" s="14" t="n">
        <x:v>78</x:v>
      </x:c>
      <x:c r="SR34" s="14" t="n">
        <x:v>20</x:v>
      </x:c>
      <x:c r="SS34" s="14" t="n">
        <x:v>2</x:v>
      </x:c>
      <x:c r="ST34" s="14" t="str">
        <x:v>未收錄</x:v>
      </x:c>
      <x:c r="SU34" s="14" t="str">
        <x:v>31447</x:v>
      </x:c>
      <x:c r="SV34" s="14" t="n">
        <x:v>10</x:v>
      </x:c>
      <x:c r="SW34" s="14" t="n">
        <x:v>4048</x:v>
      </x:c>
      <x:c r="SX34" s="14" t="n">
        <x:v>79</x:v>
      </x:c>
      <x:c r="SY34" s="14" t="n">
        <x:v>20</x:v>
      </x:c>
      <x:c r="SZ34" s="14" t="n">
        <x:v>3</x:v>
      </x:c>
      <x:c r="TA34" s="14" t="str">
        <x:v>未收錄</x:v>
      </x:c>
      <x:c r="TB34" s="14" t="str">
        <x:v>31448</x:v>
      </x:c>
      <x:c r="TC34" s="14" t="n">
        <x:v>10</x:v>
      </x:c>
      <x:c r="TD34" s="14" t="n">
        <x:v>4049</x:v>
      </x:c>
      <x:c r="TE34" s="14" t="n">
        <x:v>80</x:v>
      </x:c>
      <x:c r="TF34" s="14" t="n">
        <x:v>20</x:v>
      </x:c>
      <x:c r="TG34" s="14" t="n">
        <x:v>4</x:v>
      </x:c>
      <x:c r="TH34" s="14" t="str">
        <x:v>未收錄</x:v>
      </x:c>
    </x:row>
    <x:row r="35" ht="15" customHeight="1">
      <x:c r="A35" s="17" t="str">
        <x:v>降龍劍</x:v>
      </x:c>
      <x:c r="B35" s="17" t="str">
        <x:v>青冥劍</x:v>
      </x:c>
      <x:c r="C35" s="17" t="str">
        <x:v>洛神劍</x:v>
      </x:c>
      <x:c r="D35" s="17" t="str">
        <x:v>絕世洛神劍</x:v>
      </x:c>
      <x:c r="E35" s="14"/>
      <x:c r="F35" s="17" t="str">
        <x:v>絕世天晶雷刀</x:v>
      </x:c>
      <x:c r="G35" s="17" t="str">
        <x:v>地火炙刃</x:v>
      </x:c>
      <x:c r="H35" s="17" t="str">
        <x:v>絕世地火炙刃</x:v>
      </x:c>
      <x:c r="I35" s="17" t="str">
        <x:v>羅剎刀</x:v>
      </x:c>
      <x:c r="J35" s="14"/>
      <x:c r="K35" s="17" t="str">
        <x:v>宗正裁☆</x:v>
      </x:c>
      <x:c r="L35" s="17" t="str">
        <x:v>宗正裁☆☆</x:v>
      </x:c>
      <x:c r="M35" s="17" t="str">
        <x:v>宗正裁☆☆☆</x:v>
      </x:c>
      <x:c r="N35" s="17" t="str">
        <x:v>龍掣爪☆</x:v>
      </x:c>
      <x:c r="O35" s="14"/>
      <x:c r="P35" s="17" t="str">
        <x:v>淨法觀自在</x:v>
      </x:c>
      <x:c r="Q35" s="17" t="str">
        <x:v>逆法羅波那</x:v>
      </x:c>
      <x:c r="R35" s="17" t="str">
        <x:v>仙雀翼</x:v>
      </x:c>
      <x:c r="S35" s="17" t="str">
        <x:v>太古仙雀翼</x:v>
      </x:c>
      <x:c r="T35" s="14"/>
      <x:c r="U35" s="17" t="str">
        <x:v>九重天樓禪杖</x:v>
      </x:c>
      <x:c r="V35" s="17" t="str">
        <x:v>伽藍尊王杖</x:v>
      </x:c>
      <x:c r="W35" s="17" t="str">
        <x:v>訶利帝母杖</x:v>
      </x:c>
      <x:c r="X35" s="17" t="str">
        <x:v>真知權杖</x:v>
      </x:c>
      <x:c r="Y35" s="14"/>
      <x:c r="Z35" s="17" t="str">
        <x:v>絕震武皇槍</x:v>
      </x:c>
      <x:c r="AA35" s="17" t="str">
        <x:v>太古絕震武皇槍</x:v>
      </x:c>
      <x:c r="AB35" s="17" t="str">
        <x:v>破獄光陣槍</x:v>
      </x:c>
      <x:c r="AC35" s="17" t="str">
        <x:v>太古破獄光陣槍</x:v>
      </x:c>
      <x:c r="AD35" s="14"/>
      <x:c r="AE35" s="17" t="str">
        <x:v>太古炎龍雙舞棍</x:v>
      </x:c>
      <x:c r="AF35" s="17" t="str">
        <x:v>無雙炎龍棍</x:v>
      </x:c>
      <x:c r="AG35" s="17" t="str">
        <x:v>龍喉吼天棍</x:v>
      </x:c>
      <x:c r="AH35" s="17" t="str">
        <x:v>太古龍喉吼天棍</x:v>
      </x:c>
      <x:c r="AI35" s="14"/>
      <x:c r="AJ35" s="17" t="str">
        <x:v>赫菲煉炎錘</x:v>
      </x:c>
      <x:c r="AK35" s="17" t="str">
        <x:v>六爻初陽錘</x:v>
      </x:c>
      <x:c r="AL35" s="17" t="str">
        <x:v>六爻初陽錘</x:v>
      </x:c>
      <x:c r="AM35" s="17" t="str">
        <x:v>鳳閣紅鸞錘</x:v>
      </x:c>
      <x:c r="AN35" s="14"/>
      <x:c r="AO35" s="17" t="str">
        <x:v>七政太歲斧</x:v>
      </x:c>
      <x:c r="AP35" s="17" t="str">
        <x:v>龍池天虛斧</x:v>
      </x:c>
      <x:c r="AQ35" s="17" t="str">
        <x:v>赤龍宮天麟斧</x:v>
      </x:c>
      <x:c r="AR35" s="17" t="str">
        <x:v>東皇雷夔斧</x:v>
      </x:c>
      <x:c r="AS35" s="14"/>
      <x:c r="AT35" s="17" t="str">
        <x:v>浩星盾‧精武</x:v>
      </x:c>
      <x:c r="AU35" s="17" t="str">
        <x:v>恆盾‧梅吉奧</x:v>
      </x:c>
      <x:c r="AV35" s="17" t="str">
        <x:v>恆盾‧梅吉奧</x:v>
      </x:c>
      <x:c r="AW35" s="17" t="str">
        <x:v>壑盾伊‧西斯</x:v>
      </x:c>
      <x:c r="AX35" s="14"/>
      <x:c r="AY35" s="17" t="str">
        <x:v>聖者僧帽</x:v>
      </x:c>
      <x:c r="AZ35" s="17" t="str">
        <x:v>真人羽冠</x:v>
      </x:c>
      <x:c r="BA35" s="17" t="str">
        <x:v>龍骨盔</x:v>
      </x:c>
      <x:c r="BB35" s="17" t="str">
        <x:v>黑石戰盔</x:v>
      </x:c>
      <x:c r="BC35" s="14"/>
      <x:c r="BD35" s="17" t="str">
        <x:v>黑石戰鎧</x:v>
      </x:c>
      <x:c r="BE35" s="17" t="str">
        <x:v>黑武戰鎧</x:v>
      </x:c>
      <x:c r="BF35" s="17" t="str">
        <x:v>黑捷戰鎧</x:v>
      </x:c>
      <x:c r="BG35" s="17" t="str">
        <x:v>血翼戰甲</x:v>
      </x:c>
      <x:c r="BH35" s="14"/>
      <x:c r="BI35" s="17" t="str">
        <x:v>玄冰天晶護腕</x:v>
      </x:c>
      <x:c r="BJ35" s="17" t="str">
        <x:v>真火天晶護腕</x:v>
      </x:c>
      <x:c r="BK35" s="17" t="str">
        <x:v>天雷天晶護腕</x:v>
      </x:c>
      <x:c r="BL35" s="17" t="str">
        <x:v>歸冥天晶護腕</x:v>
      </x:c>
      <x:c r="BM35" s="14"/>
      <x:c r="BN35" s="17" t="str">
        <x:v>地靈雷靴</x:v>
      </x:c>
      <x:c r="BO35" s="17" t="str">
        <x:v>地靈冥靴</x:v>
      </x:c>
      <x:c r="BP35" s="17" t="str">
        <x:v>天晶冰靴</x:v>
      </x:c>
      <x:c r="BQ35" s="17" t="str">
        <x:v>天晶火靴</x:v>
      </x:c>
      <x:c r="BR35" s="14"/>
      <x:c r="BS35" s="17" t="str">
        <x:v>百靈墜鍊</x:v>
      </x:c>
      <x:c r="BT35" s="17" t="str">
        <x:v>戰神負重鍊</x:v>
      </x:c>
      <x:c r="BU35" s="17" t="str">
        <x:v>鐵聖佛珠</x:v>
      </x:c>
      <x:c r="BV35" s="17" t="str">
        <x:v>力聖佛珠</x:v>
      </x:c>
      <x:c r="BW35" s="14"/>
      <x:c r="BX35" s="17" t="str">
        <x:v>藏龍仙晶洞</x:v>
      </x:c>
      <x:c r="BY35" s="17" t="str">
        <x:v>重力平衡器</x:v>
      </x:c>
      <x:c r="BZ35" s="17" t="str">
        <x:v>低溫防護罩</x:v>
      </x:c>
      <x:c r="CA35" s="17" t="str">
        <x:v>西狩仙麟角</x:v>
      </x:c>
      <x:c r="CB35" s="14"/>
      <x:c r="CC35" s="14" t="str">
        <x:v>21094</x:v>
      </x:c>
      <x:c r="CD35" s="14" t="n">
        <x:v>8</x:v>
      </x:c>
      <x:c r="CE35" s="14" t="n">
        <x:v>81</x:v>
      </x:c>
      <x:c r="CF35" s="14" t="n">
        <x:v>81</x:v>
      </x:c>
      <x:c r="CG35" s="14" t="n">
        <x:v>21</x:v>
      </x:c>
      <x:c r="CH35" s="14" t="n">
        <x:v>1</x:v>
      </x:c>
      <x:c r="CI35" s="14" t="str">
        <x:v>未收錄</x:v>
      </x:c>
      <x:c r="CJ35" s="14" t="str">
        <x:v>21794</x:v>
      </x:c>
      <x:c r="CK35" s="14" t="n">
        <x:v>8</x:v>
      </x:c>
      <x:c r="CL35" s="14" t="n">
        <x:v>82</x:v>
      </x:c>
      <x:c r="CM35" s="14" t="n">
        <x:v>82</x:v>
      </x:c>
      <x:c r="CN35" s="14" t="n">
        <x:v>21</x:v>
      </x:c>
      <x:c r="CO35" s="14" t="n">
        <x:v>2</x:v>
      </x:c>
      <x:c r="CP35" s="14" t="str">
        <x:v>未收錄</x:v>
      </x:c>
      <x:c r="CQ35" s="14" t="str">
        <x:v>21541</x:v>
      </x:c>
      <x:c r="CR35" s="14" t="n">
        <x:v>8</x:v>
      </x:c>
      <x:c r="CS35" s="14" t="n">
        <x:v>83</x:v>
      </x:c>
      <x:c r="CT35" s="14" t="n">
        <x:v>83</x:v>
      </x:c>
      <x:c r="CU35" s="14" t="n">
        <x:v>21</x:v>
      </x:c>
      <x:c r="CV35" s="14" t="n">
        <x:v>3</x:v>
      </x:c>
      <x:c r="CW35" s="14" t="str">
        <x:v>未收錄</x:v>
      </x:c>
      <x:c r="CX35" s="14" t="str">
        <x:v>23294</x:v>
      </x:c>
      <x:c r="CY35" s="14" t="n">
        <x:v>8</x:v>
      </x:c>
      <x:c r="CZ35" s="14" t="n">
        <x:v>84</x:v>
      </x:c>
      <x:c r="DA35" s="14" t="n">
        <x:v>84</x:v>
      </x:c>
      <x:c r="DB35" s="14" t="n">
        <x:v>21</x:v>
      </x:c>
      <x:c r="DC35" s="14" t="n">
        <x:v>4</x:v>
      </x:c>
      <x:c r="DD35" s="14" t="str">
        <x:v>未收錄</x:v>
      </x:c>
      <x:c r="DE35" s="14" t="str">
        <x:v>22878</x:v>
      </x:c>
      <x:c r="DF35" s="14" t="n">
        <x:v>8</x:v>
      </x:c>
      <x:c r="DG35" s="14" t="n">
        <x:v>326</x:v>
      </x:c>
      <x:c r="DH35" s="14" t="n">
        <x:v>81</x:v>
      </x:c>
      <x:c r="DI35" s="14" t="n">
        <x:v>21</x:v>
      </x:c>
      <x:c r="DJ35" s="14" t="n">
        <x:v>1</x:v>
      </x:c>
      <x:c r="DK35" s="14" t="str">
        <x:v>未收錄</x:v>
      </x:c>
      <x:c r="DL35" s="14" t="str">
        <x:v>21864</x:v>
      </x:c>
      <x:c r="DM35" s="14" t="n">
        <x:v>8</x:v>
      </x:c>
      <x:c r="DN35" s="14" t="n">
        <x:v>327</x:v>
      </x:c>
      <x:c r="DO35" s="14" t="n">
        <x:v>82</x:v>
      </x:c>
      <x:c r="DP35" s="14" t="n">
        <x:v>21</x:v>
      </x:c>
      <x:c r="DQ35" s="14" t="n">
        <x:v>2</x:v>
      </x:c>
      <x:c r="DR35" s="14" t="str">
        <x:v>未收錄</x:v>
      </x:c>
      <x:c r="DS35" s="14" t="str">
        <x:v>22879</x:v>
      </x:c>
      <x:c r="DT35" s="14" t="n">
        <x:v>8</x:v>
      </x:c>
      <x:c r="DU35" s="14" t="n">
        <x:v>328</x:v>
      </x:c>
      <x:c r="DV35" s="14" t="n">
        <x:v>83</x:v>
      </x:c>
      <x:c r="DW35" s="14" t="n">
        <x:v>21</x:v>
      </x:c>
      <x:c r="DX35" s="14" t="n">
        <x:v>3</x:v>
      </x:c>
      <x:c r="DY35" s="14" t="str">
        <x:v>未收錄</x:v>
      </x:c>
      <x:c r="DZ35" s="14" t="str">
        <x:v>22114</x:v>
      </x:c>
      <x:c r="EA35" s="14" t="n">
        <x:v>8</x:v>
      </x:c>
      <x:c r="EB35" s="14" t="n">
        <x:v>329</x:v>
      </x:c>
      <x:c r="EC35" s="14" t="n">
        <x:v>84</x:v>
      </x:c>
      <x:c r="ED35" s="14" t="n">
        <x:v>21</x:v>
      </x:c>
      <x:c r="EE35" s="14" t="n">
        <x:v>4</x:v>
      </x:c>
      <x:c r="EF35" s="14" t="str">
        <x:v>未收錄</x:v>
      </x:c>
      <x:c r="EG35" s="14" t="str">
        <x:v>28817</x:v>
      </x:c>
      <x:c r="EH35" s="14" t="n">
        <x:v>8</x:v>
      </x:c>
      <x:c r="EI35" s="14" t="n">
        <x:v>562</x:v>
      </x:c>
      <x:c r="EJ35" s="14" t="n">
        <x:v>81</x:v>
      </x:c>
      <x:c r="EK35" s="14" t="n">
        <x:v>21</x:v>
      </x:c>
      <x:c r="EL35" s="14" t="n">
        <x:v>1</x:v>
      </x:c>
      <x:c r="EM35" s="14" t="str">
        <x:v>未收錄</x:v>
      </x:c>
      <x:c r="EN35" s="14" t="str">
        <x:v>28818</x:v>
      </x:c>
      <x:c r="EO35" s="14" t="n">
        <x:v>8</x:v>
      </x:c>
      <x:c r="EP35" s="14" t="n">
        <x:v>563</x:v>
      </x:c>
      <x:c r="EQ35" s="14" t="n">
        <x:v>82</x:v>
      </x:c>
      <x:c r="ER35" s="14" t="n">
        <x:v>21</x:v>
      </x:c>
      <x:c r="ES35" s="14" t="n">
        <x:v>2</x:v>
      </x:c>
      <x:c r="ET35" s="14" t="str">
        <x:v>未收錄</x:v>
      </x:c>
      <x:c r="EU35" s="14" t="str">
        <x:v>28819</x:v>
      </x:c>
      <x:c r="EV35" s="14" t="n">
        <x:v>8</x:v>
      </x:c>
      <x:c r="EW35" s="14" t="n">
        <x:v>564</x:v>
      </x:c>
      <x:c r="EX35" s="14" t="n">
        <x:v>83</x:v>
      </x:c>
      <x:c r="EY35" s="14" t="n">
        <x:v>21</x:v>
      </x:c>
      <x:c r="EZ35" s="14" t="n">
        <x:v>3</x:v>
      </x:c>
      <x:c r="FA35" s="14" t="str">
        <x:v>未收錄</x:v>
      </x:c>
      <x:c r="FB35" s="14" t="str">
        <x:v>29355</x:v>
      </x:c>
      <x:c r="FC35" s="14" t="n">
        <x:v>8</x:v>
      </x:c>
      <x:c r="FD35" s="14" t="n">
        <x:v>565</x:v>
      </x:c>
      <x:c r="FE35" s="14" t="n">
        <x:v>84</x:v>
      </x:c>
      <x:c r="FF35" s="14" t="n">
        <x:v>21</x:v>
      </x:c>
      <x:c r="FG35" s="14" t="n">
        <x:v>4</x:v>
      </x:c>
      <x:c r="FH35" s="14" t="str">
        <x:v>未收錄</x:v>
      </x:c>
      <x:c r="FI35" s="14" t="str">
        <x:v>24488</x:v>
      </x:c>
      <x:c r="FJ35" s="14" t="n">
        <x:v>8</x:v>
      </x:c>
      <x:c r="FK35" s="14" t="n">
        <x:v>712</x:v>
      </x:c>
      <x:c r="FL35" s="14" t="n">
        <x:v>81</x:v>
      </x:c>
      <x:c r="FM35" s="14" t="n">
        <x:v>21</x:v>
      </x:c>
      <x:c r="FN35" s="14" t="n">
        <x:v>1</x:v>
      </x:c>
      <x:c r="FO35" s="14" t="str">
        <x:v>未收錄</x:v>
      </x:c>
      <x:c r="FP35" s="14" t="str">
        <x:v>24489</x:v>
      </x:c>
      <x:c r="FQ35" s="14" t="n">
        <x:v>8</x:v>
      </x:c>
      <x:c r="FR35" s="14" t="n">
        <x:v>713</x:v>
      </x:c>
      <x:c r="FS35" s="14" t="n">
        <x:v>82</x:v>
      </x:c>
      <x:c r="FT35" s="14" t="n">
        <x:v>21</x:v>
      </x:c>
      <x:c r="FU35" s="14" t="n">
        <x:v>2</x:v>
      </x:c>
      <x:c r="FV35" s="14" t="str">
        <x:v>未收錄</x:v>
      </x:c>
      <x:c r="FW35" s="14" t="str">
        <x:v>24631</x:v>
      </x:c>
      <x:c r="FX35" s="14" t="n">
        <x:v>8</x:v>
      </x:c>
      <x:c r="FY35" s="14" t="n">
        <x:v>714</x:v>
      </x:c>
      <x:c r="FZ35" s="14" t="n">
        <x:v>83</x:v>
      </x:c>
      <x:c r="GA35" s="14" t="n">
        <x:v>21</x:v>
      </x:c>
      <x:c r="GB35" s="14" t="n">
        <x:v>3</x:v>
      </x:c>
      <x:c r="GC35" s="14" t="str">
        <x:v>未收錄</x:v>
      </x:c>
      <x:c r="GD35" s="14" t="str">
        <x:v>26187</x:v>
      </x:c>
      <x:c r="GE35" s="14" t="n">
        <x:v>3</x:v>
      </x:c>
      <x:c r="GF35" s="14" t="n">
        <x:v>715</x:v>
      </x:c>
      <x:c r="GG35" s="14" t="n">
        <x:v>84</x:v>
      </x:c>
      <x:c r="GH35" s="14" t="n">
        <x:v>21</x:v>
      </x:c>
      <x:c r="GI35" s="14" t="n">
        <x:v>4</x:v>
      </x:c>
      <x:c r="GJ35" s="14" t="str">
        <x:v>未收錄</x:v>
      </x:c>
      <x:c r="GK35" s="14" t="str">
        <x:v>24067</x:v>
      </x:c>
      <x:c r="GL35" s="14" t="n">
        <x:v>8</x:v>
      </x:c>
      <x:c r="GM35" s="14" t="n">
        <x:v>884</x:v>
      </x:c>
      <x:c r="GN35" s="14" t="n">
        <x:v>81</x:v>
      </x:c>
      <x:c r="GO35" s="14" t="n">
        <x:v>21</x:v>
      </x:c>
      <x:c r="GP35" s="14" t="n">
        <x:v>1</x:v>
      </x:c>
      <x:c r="GQ35" s="14" t="str">
        <x:v>未收錄</x:v>
      </x:c>
      <x:c r="GR35" s="14" t="str">
        <x:v>24490</x:v>
      </x:c>
      <x:c r="GS35" s="14" t="n">
        <x:v>8</x:v>
      </x:c>
      <x:c r="GT35" s="14" t="n">
        <x:v>885</x:v>
      </x:c>
      <x:c r="GU35" s="14" t="n">
        <x:v>82</x:v>
      </x:c>
      <x:c r="GV35" s="14" t="n">
        <x:v>21</x:v>
      </x:c>
      <x:c r="GW35" s="14" t="n">
        <x:v>2</x:v>
      </x:c>
      <x:c r="GX35" s="14" t="str">
        <x:v>未收錄</x:v>
      </x:c>
      <x:c r="GY35" s="14" t="str">
        <x:v>24491</x:v>
      </x:c>
      <x:c r="GZ35" s="14" t="n">
        <x:v>8</x:v>
      </x:c>
      <x:c r="HA35" s="14" t="n">
        <x:v>886</x:v>
      </x:c>
      <x:c r="HB35" s="14" t="n">
        <x:v>83</x:v>
      </x:c>
      <x:c r="HC35" s="14" t="n">
        <x:v>21</x:v>
      </x:c>
      <x:c r="HD35" s="14" t="n">
        <x:v>3</x:v>
      </x:c>
      <x:c r="HE35" s="14" t="str">
        <x:v>未收錄</x:v>
      </x:c>
      <x:c r="HF35" s="14" t="str">
        <x:v>24637</x:v>
      </x:c>
      <x:c r="HG35" s="14" t="n">
        <x:v>8</x:v>
      </x:c>
      <x:c r="HH35" s="14" t="n">
        <x:v>887</x:v>
      </x:c>
      <x:c r="HI35" s="14" t="n">
        <x:v>84</x:v>
      </x:c>
      <x:c r="HJ35" s="14" t="n">
        <x:v>21</x:v>
      </x:c>
      <x:c r="HK35" s="14" t="n">
        <x:v>4</x:v>
      </x:c>
      <x:c r="HL35" s="14" t="str">
        <x:v>未收錄</x:v>
      </x:c>
      <x:c r="HM35" s="14" t="str">
        <x:v>24648</x:v>
      </x:c>
      <x:c r="HN35" s="14" t="n">
        <x:v>8</x:v>
      </x:c>
      <x:c r="HO35" s="14" t="n">
        <x:v>1057</x:v>
      </x:c>
      <x:c r="HP35" s="14" t="n">
        <x:v>81</x:v>
      </x:c>
      <x:c r="HQ35" s="14" t="n">
        <x:v>21</x:v>
      </x:c>
      <x:c r="HR35" s="14" t="n">
        <x:v>1</x:v>
      </x:c>
      <x:c r="HS35" s="14" t="str">
        <x:v>未收錄</x:v>
      </x:c>
      <x:c r="HT35" s="14" t="str">
        <x:v>26199</x:v>
      </x:c>
      <x:c r="HU35" s="14" t="n">
        <x:v>3</x:v>
      </x:c>
      <x:c r="HV35" s="14" t="n">
        <x:v>1058</x:v>
      </x:c>
      <x:c r="HW35" s="14" t="n">
        <x:v>82</x:v>
      </x:c>
      <x:c r="HX35" s="14" t="n">
        <x:v>21</x:v>
      </x:c>
      <x:c r="HY35" s="14" t="n">
        <x:v>2</x:v>
      </x:c>
      <x:c r="HZ35" s="14" t="str">
        <x:v>未收錄</x:v>
      </x:c>
      <x:c r="IA35" s="14" t="str">
        <x:v>26084</x:v>
      </x:c>
      <x:c r="IB35" s="14" t="n">
        <x:v>8</x:v>
      </x:c>
      <x:c r="IC35" s="14" t="n">
        <x:v>1059</x:v>
      </x:c>
      <x:c r="ID35" s="14" t="n">
        <x:v>83</x:v>
      </x:c>
      <x:c r="IE35" s="14" t="n">
        <x:v>21</x:v>
      </x:c>
      <x:c r="IF35" s="14" t="n">
        <x:v>3</x:v>
      </x:c>
      <x:c r="IG35" s="14" t="str">
        <x:v>未收錄</x:v>
      </x:c>
      <x:c r="IH35" s="14" t="str">
        <x:v>26208</x:v>
      </x:c>
      <x:c r="II35" s="14" t="n">
        <x:v>3</x:v>
      </x:c>
      <x:c r="IJ35" s="14" t="n">
        <x:v>1060</x:v>
      </x:c>
      <x:c r="IK35" s="14" t="n">
        <x:v>84</x:v>
      </x:c>
      <x:c r="IL35" s="14" t="n">
        <x:v>21</x:v>
      </x:c>
      <x:c r="IM35" s="14" t="n">
        <x:v>4</x:v>
      </x:c>
      <x:c r="IN35" s="14" t="str">
        <x:v>未收錄</x:v>
      </x:c>
      <x:c r="IO35" s="14" t="str">
        <x:v>26209</x:v>
      </x:c>
      <x:c r="IP35" s="14" t="n">
        <x:v>3</x:v>
      </x:c>
      <x:c r="IQ35" s="14" t="n">
        <x:v>1225</x:v>
      </x:c>
      <x:c r="IR35" s="14" t="n">
        <x:v>81</x:v>
      </x:c>
      <x:c r="IS35" s="14" t="n">
        <x:v>21</x:v>
      </x:c>
      <x:c r="IT35" s="14" t="n">
        <x:v>1</x:v>
      </x:c>
      <x:c r="IU35" s="14" t="str">
        <x:v>未收錄</x:v>
      </x:c>
      <x:c r="IV35" s="14" t="str">
        <x:v>26550</x:v>
      </x:c>
      <x:c r="IW35" s="14" t="n">
        <x:v>8</x:v>
      </x:c>
      <x:c r="IX35" s="14" t="n">
        <x:v>1226</x:v>
      </x:c>
      <x:c r="IY35" s="14" t="n">
        <x:v>82</x:v>
      </x:c>
      <x:c r="IZ35" s="14" t="n">
        <x:v>21</x:v>
      </x:c>
      <x:c r="JA35" s="14" t="n">
        <x:v>2</x:v>
      </x:c>
      <x:c r="JB35" s="14" t="str">
        <x:v>未收錄</x:v>
      </x:c>
      <x:c r="JC35" s="14" t="str">
        <x:v>26087</x:v>
      </x:c>
      <x:c r="JD35" s="14" t="n">
        <x:v>8</x:v>
      </x:c>
      <x:c r="JE35" s="14" t="n">
        <x:v>1227</x:v>
      </x:c>
      <x:c r="JF35" s="14" t="n">
        <x:v>83</x:v>
      </x:c>
      <x:c r="JG35" s="14" t="n">
        <x:v>21</x:v>
      </x:c>
      <x:c r="JH35" s="14" t="n">
        <x:v>3</x:v>
      </x:c>
      <x:c r="JI35" s="14" t="str">
        <x:v>未收錄</x:v>
      </x:c>
      <x:c r="JJ35" s="14" t="str">
        <x:v>26717</x:v>
      </x:c>
      <x:c r="JK35" s="14" t="n">
        <x:v>3</x:v>
      </x:c>
      <x:c r="JL35" s="14" t="n">
        <x:v>1228</x:v>
      </x:c>
      <x:c r="JM35" s="14" t="n">
        <x:v>84</x:v>
      </x:c>
      <x:c r="JN35" s="14" t="n">
        <x:v>21</x:v>
      </x:c>
      <x:c r="JO35" s="14" t="n">
        <x:v>4</x:v>
      </x:c>
      <x:c r="JP35" s="14" t="str">
        <x:v>未收錄</x:v>
      </x:c>
      <x:c r="JQ35" s="14" t="str">
        <x:v>26499</x:v>
      </x:c>
      <x:c r="JR35" s="14" t="n">
        <x:v>20</x:v>
      </x:c>
      <x:c r="JS35" s="14" t="n">
        <x:v>1392</x:v>
      </x:c>
      <x:c r="JT35" s="14" t="n">
        <x:v>81</x:v>
      </x:c>
      <x:c r="JU35" s="14" t="n">
        <x:v>21</x:v>
      </x:c>
      <x:c r="JV35" s="14" t="n">
        <x:v>1</x:v>
      </x:c>
      <x:c r="JW35" s="14" t="str">
        <x:v>未收錄</x:v>
      </x:c>
      <x:c r="JX35" s="14" t="str">
        <x:v>26791</x:v>
      </x:c>
      <x:c r="JY35" s="14" t="n">
        <x:v>20</x:v>
      </x:c>
      <x:c r="JZ35" s="14" t="n">
        <x:v>1393</x:v>
      </x:c>
      <x:c r="KA35" s="14" t="n">
        <x:v>82</x:v>
      </x:c>
      <x:c r="KB35" s="14" t="n">
        <x:v>21</x:v>
      </x:c>
      <x:c r="KC35" s="14" t="n">
        <x:v>2</x:v>
      </x:c>
      <x:c r="KD35" s="14" t="str">
        <x:v>未收錄</x:v>
      </x:c>
      <x:c r="KE35" s="14" t="str">
        <x:v>26965</x:v>
      </x:c>
      <x:c r="KF35" s="14" t="n">
        <x:v>20</x:v>
      </x:c>
      <x:c r="KG35" s="14" t="n">
        <x:v>1394</x:v>
      </x:c>
      <x:c r="KH35" s="14" t="n">
        <x:v>83</x:v>
      </x:c>
      <x:c r="KI35" s="14" t="n">
        <x:v>21</x:v>
      </x:c>
      <x:c r="KJ35" s="14" t="n">
        <x:v>3</x:v>
      </x:c>
      <x:c r="KK35" s="14" t="str">
        <x:v>未收錄</x:v>
      </x:c>
      <x:c r="KL35" s="14" t="str">
        <x:v>27360</x:v>
      </x:c>
      <x:c r="KM35" s="14" t="n">
        <x:v>20</x:v>
      </x:c>
      <x:c r="KN35" s="14" t="n">
        <x:v>1395</x:v>
      </x:c>
      <x:c r="KO35" s="14" t="n">
        <x:v>84</x:v>
      </x:c>
      <x:c r="KP35" s="14" t="n">
        <x:v>21</x:v>
      </x:c>
      <x:c r="KQ35" s="14" t="n">
        <x:v>4</x:v>
      </x:c>
      <x:c r="KR35" s="14" t="str">
        <x:v>未收錄</x:v>
      </x:c>
      <x:c r="KS35" s="14" t="str">
        <x:v>26966</x:v>
      </x:c>
      <x:c r="KT35" s="14" t="n">
        <x:v>20</x:v>
      </x:c>
      <x:c r="KU35" s="14" t="n">
        <x:v>1507</x:v>
      </x:c>
      <x:c r="KV35" s="14" t="n">
        <x:v>81</x:v>
      </x:c>
      <x:c r="KW35" s="14" t="n">
        <x:v>21</x:v>
      </x:c>
      <x:c r="KX35" s="14" t="n">
        <x:v>1</x:v>
      </x:c>
      <x:c r="KY35" s="14" t="str">
        <x:v>未收錄</x:v>
      </x:c>
      <x:c r="KZ35" s="14" t="str">
        <x:v>27361</x:v>
      </x:c>
      <x:c r="LA35" s="14" t="n">
        <x:v>20</x:v>
      </x:c>
      <x:c r="LB35" s="14" t="n">
        <x:v>1508</x:v>
      </x:c>
      <x:c r="LC35" s="14" t="n">
        <x:v>82</x:v>
      </x:c>
      <x:c r="LD35" s="14" t="n">
        <x:v>21</x:v>
      </x:c>
      <x:c r="LE35" s="14" t="n">
        <x:v>2</x:v>
      </x:c>
      <x:c r="LF35" s="14" t="str">
        <x:v>未收錄</x:v>
      </x:c>
      <x:c r="LG35" s="14" t="str">
        <x:v>27575</x:v>
      </x:c>
      <x:c r="LH35" s="14" t="n">
        <x:v>20</x:v>
      </x:c>
      <x:c r="LI35" s="14" t="n">
        <x:v>1509</x:v>
      </x:c>
      <x:c r="LJ35" s="14" t="n">
        <x:v>83</x:v>
      </x:c>
      <x:c r="LK35" s="14" t="n">
        <x:v>21</x:v>
      </x:c>
      <x:c r="LL35" s="14" t="n">
        <x:v>3</x:v>
      </x:c>
      <x:c r="LM35" s="14" t="str">
        <x:v>未收錄</x:v>
      </x:c>
      <x:c r="LN35" s="14" t="str">
        <x:v>28002</x:v>
      </x:c>
      <x:c r="LO35" s="14" t="n">
        <x:v>20</x:v>
      </x:c>
      <x:c r="LP35" s="14" t="n">
        <x:v>1510</x:v>
      </x:c>
      <x:c r="LQ35" s="14" t="n">
        <x:v>84</x:v>
      </x:c>
      <x:c r="LR35" s="14" t="n">
        <x:v>21</x:v>
      </x:c>
      <x:c r="LS35" s="14" t="n">
        <x:v>4</x:v>
      </x:c>
      <x:c r="LT35" s="14" t="str">
        <x:v>未收錄</x:v>
      </x:c>
      <x:c r="LU35" s="14" t="str">
        <x:v>28161</x:v>
      </x:c>
      <x:c r="LV35" s="14" t="n">
        <x:v>20</x:v>
      </x:c>
      <x:c r="LW35" s="14" t="n">
        <x:v>1620</x:v>
      </x:c>
      <x:c r="LX35" s="14" t="n">
        <x:v>81</x:v>
      </x:c>
      <x:c r="LY35" s="14" t="n">
        <x:v>21</x:v>
      </x:c>
      <x:c r="LZ35" s="14" t="n">
        <x:v>1</x:v>
      </x:c>
      <x:c r="MA35" s="14" t="str">
        <x:v>未收錄</x:v>
      </x:c>
      <x:c r="MB35" s="14" t="str">
        <x:v>28498</x:v>
      </x:c>
      <x:c r="MC35" s="14" t="n">
        <x:v>20</x:v>
      </x:c>
      <x:c r="MD35" s="14" t="n">
        <x:v>1621</x:v>
      </x:c>
      <x:c r="ME35" s="14" t="n">
        <x:v>82</x:v>
      </x:c>
      <x:c r="MF35" s="14" t="n">
        <x:v>21</x:v>
      </x:c>
      <x:c r="MG35" s="14" t="n">
        <x:v>2</x:v>
      </x:c>
      <x:c r="MH35" s="14" t="str">
        <x:v>未收錄</x:v>
      </x:c>
      <x:c r="MI35" s="14" t="str">
        <x:v>28785</x:v>
      </x:c>
      <x:c r="MJ35" s="14" t="n">
        <x:v>20</x:v>
      </x:c>
      <x:c r="MK35" s="14" t="n">
        <x:v>1622</x:v>
      </x:c>
      <x:c r="ML35" s="14" t="n">
        <x:v>83</x:v>
      </x:c>
      <x:c r="MM35" s="14" t="n">
        <x:v>21</x:v>
      </x:c>
      <x:c r="MN35" s="14" t="n">
        <x:v>3</x:v>
      </x:c>
      <x:c r="MO35" s="14" t="str">
        <x:v>未收錄</x:v>
      </x:c>
      <x:c r="MP35" s="14" t="str">
        <x:v>29010</x:v>
      </x:c>
      <x:c r="MQ35" s="14" t="n">
        <x:v>20</x:v>
      </x:c>
      <x:c r="MR35" s="14" t="n">
        <x:v>1623</x:v>
      </x:c>
      <x:c r="MS35" s="14" t="n">
        <x:v>84</x:v>
      </x:c>
      <x:c r="MT35" s="14" t="n">
        <x:v>21</x:v>
      </x:c>
      <x:c r="MU35" s="14" t="n">
        <x:v>4</x:v>
      </x:c>
      <x:c r="MV35" s="14" t="str">
        <x:v>未收錄</x:v>
      </x:c>
      <x:c r="MW35" s="14" t="str">
        <x:v>21220</x:v>
      </x:c>
      <x:c r="MX35" s="14" t="n">
        <x:v>5</x:v>
      </x:c>
      <x:c r="MY35" s="14" t="n">
        <x:v>1729</x:v>
      </x:c>
      <x:c r="MZ35" s="14" t="n">
        <x:v>81</x:v>
      </x:c>
      <x:c r="NA35" s="14" t="n">
        <x:v>21</x:v>
      </x:c>
      <x:c r="NB35" s="14" t="n">
        <x:v>1</x:v>
      </x:c>
      <x:c r="NC35" s="14" t="str">
        <x:v>未收錄</x:v>
      </x:c>
      <x:c r="ND35" s="14" t="str">
        <x:v>21221</x:v>
      </x:c>
      <x:c r="NE35" s="14" t="n">
        <x:v>5</x:v>
      </x:c>
      <x:c r="NF35" s="14" t="n">
        <x:v>1730</x:v>
      </x:c>
      <x:c r="NG35" s="14" t="n">
        <x:v>82</x:v>
      </x:c>
      <x:c r="NH35" s="14" t="n">
        <x:v>21</x:v>
      </x:c>
      <x:c r="NI35" s="14" t="n">
        <x:v>2</x:v>
      </x:c>
      <x:c r="NJ35" s="14" t="str">
        <x:v>未收錄</x:v>
      </x:c>
      <x:c r="NK35" s="14" t="str">
        <x:v>21319</x:v>
      </x:c>
      <x:c r="NL35" s="14" t="n">
        <x:v>5</x:v>
      </x:c>
      <x:c r="NM35" s="14" t="n">
        <x:v>1731</x:v>
      </x:c>
      <x:c r="NN35" s="14" t="n">
        <x:v>83</x:v>
      </x:c>
      <x:c r="NO35" s="14" t="n">
        <x:v>21</x:v>
      </x:c>
      <x:c r="NP35" s="14" t="n">
        <x:v>3</x:v>
      </x:c>
      <x:c r="NQ35" s="14" t="str">
        <x:v>未收錄</x:v>
      </x:c>
      <x:c r="NR35" s="14" t="str">
        <x:v>21477</x:v>
      </x:c>
      <x:c r="NS35" s="14" t="n">
        <x:v>5</x:v>
      </x:c>
      <x:c r="NT35" s="14" t="n">
        <x:v>1732</x:v>
      </x:c>
      <x:c r="NU35" s="14" t="n">
        <x:v>84</x:v>
      </x:c>
      <x:c r="NV35" s="14" t="n">
        <x:v>21</x:v>
      </x:c>
      <x:c r="NW35" s="14" t="n">
        <x:v>4</x:v>
      </x:c>
      <x:c r="NX35" s="14" t="str">
        <x:v>未收錄</x:v>
      </x:c>
      <x:c r="NY35" s="14" t="str">
        <x:v>21493</x:v>
      </x:c>
      <x:c r="NZ35" s="14" t="n">
        <x:v>5</x:v>
      </x:c>
      <x:c r="OA35" s="14" t="n">
        <x:v>2182</x:v>
      </x:c>
      <x:c r="OB35" s="14" t="n">
        <x:v>81</x:v>
      </x:c>
      <x:c r="OC35" s="14" t="n">
        <x:v>21</x:v>
      </x:c>
      <x:c r="OD35" s="14" t="n">
        <x:v>1</x:v>
      </x:c>
      <x:c r="OE35" s="14" t="str">
        <x:v>未收錄</x:v>
      </x:c>
      <x:c r="OF35" s="14" t="str">
        <x:v>21494</x:v>
      </x:c>
      <x:c r="OG35" s="14" t="n">
        <x:v>5</x:v>
      </x:c>
      <x:c r="OH35" s="14" t="n">
        <x:v>2183</x:v>
      </x:c>
      <x:c r="OI35" s="14" t="n">
        <x:v>82</x:v>
      </x:c>
      <x:c r="OJ35" s="14" t="n">
        <x:v>21</x:v>
      </x:c>
      <x:c r="OK35" s="14" t="n">
        <x:v>2</x:v>
      </x:c>
      <x:c r="OL35" s="14" t="str">
        <x:v>未收錄</x:v>
      </x:c>
      <x:c r="OM35" s="14" t="str">
        <x:v>21495</x:v>
      </x:c>
      <x:c r="ON35" s="14" t="n">
        <x:v>5</x:v>
      </x:c>
      <x:c r="OO35" s="14" t="n">
        <x:v>2184</x:v>
      </x:c>
      <x:c r="OP35" s="14" t="n">
        <x:v>83</x:v>
      </x:c>
      <x:c r="OQ35" s="14" t="n">
        <x:v>21</x:v>
      </x:c>
      <x:c r="OR35" s="14" t="n">
        <x:v>3</x:v>
      </x:c>
      <x:c r="OS35" s="14" t="str">
        <x:v>未收錄</x:v>
      </x:c>
      <x:c r="OT35" s="14" t="str">
        <x:v>21496</x:v>
      </x:c>
      <x:c r="OU35" s="14" t="n">
        <x:v>5</x:v>
      </x:c>
      <x:c r="OV35" s="14" t="n">
        <x:v>2185</x:v>
      </x:c>
      <x:c r="OW35" s="14" t="n">
        <x:v>84</x:v>
      </x:c>
      <x:c r="OX35" s="14" t="n">
        <x:v>21</x:v>
      </x:c>
      <x:c r="OY35" s="14" t="n">
        <x:v>4</x:v>
      </x:c>
      <x:c r="OZ35" s="14" t="str">
        <x:v>未收錄</x:v>
      </x:c>
      <x:c r="PA35" s="14" t="str">
        <x:v>22027</x:v>
      </x:c>
      <x:c r="PB35" s="14" t="n">
        <x:v>5</x:v>
      </x:c>
      <x:c r="PC35" s="14" t="n">
        <x:v>2728</x:v>
      </x:c>
      <x:c r="PD35" s="14" t="n">
        <x:v>81</x:v>
      </x:c>
      <x:c r="PE35" s="14" t="n">
        <x:v>21</x:v>
      </x:c>
      <x:c r="PF35" s="14" t="n">
        <x:v>1</x:v>
      </x:c>
      <x:c r="PG35" s="14" t="str">
        <x:v>未收錄</x:v>
      </x:c>
      <x:c r="PH35" s="14" t="str">
        <x:v>22028</x:v>
      </x:c>
      <x:c r="PI35" s="14" t="n">
        <x:v>5</x:v>
      </x:c>
      <x:c r="PJ35" s="14" t="n">
        <x:v>2729</x:v>
      </x:c>
      <x:c r="PK35" s="14" t="n">
        <x:v>82</x:v>
      </x:c>
      <x:c r="PL35" s="14" t="n">
        <x:v>21</x:v>
      </x:c>
      <x:c r="PM35" s="14" t="n">
        <x:v>2</x:v>
      </x:c>
      <x:c r="PN35" s="14" t="str">
        <x:v>未收錄</x:v>
      </x:c>
      <x:c r="PO35" s="14" t="str">
        <x:v>22029</x:v>
      </x:c>
      <x:c r="PP35" s="14" t="n">
        <x:v>5</x:v>
      </x:c>
      <x:c r="PQ35" s="14" t="n">
        <x:v>2730</x:v>
      </x:c>
      <x:c r="PR35" s="14" t="n">
        <x:v>83</x:v>
      </x:c>
      <x:c r="PS35" s="14" t="n">
        <x:v>21</x:v>
      </x:c>
      <x:c r="PT35" s="14" t="n">
        <x:v>3</x:v>
      </x:c>
      <x:c r="PU35" s="14" t="str">
        <x:v>未收錄</x:v>
      </x:c>
      <x:c r="PV35" s="14" t="str">
        <x:v>22030</x:v>
      </x:c>
      <x:c r="PW35" s="14" t="n">
        <x:v>5</x:v>
      </x:c>
      <x:c r="PX35" s="14" t="n">
        <x:v>2731</x:v>
      </x:c>
      <x:c r="PY35" s="14" t="n">
        <x:v>84</x:v>
      </x:c>
      <x:c r="PZ35" s="14" t="n">
        <x:v>21</x:v>
      </x:c>
      <x:c r="QA35" s="14" t="n">
        <x:v>4</x:v>
      </x:c>
      <x:c r="QB35" s="14" t="str">
        <x:v>未收錄</x:v>
      </x:c>
      <x:c r="QC35" s="14" t="str">
        <x:v>22001</x:v>
      </x:c>
      <x:c r="QD35" s="14" t="n">
        <x:v>5</x:v>
      </x:c>
      <x:c r="QE35" s="14" t="n">
        <x:v>3165</x:v>
      </x:c>
      <x:c r="QF35" s="14" t="n">
        <x:v>81</x:v>
      </x:c>
      <x:c r="QG35" s="14" t="n">
        <x:v>21</x:v>
      </x:c>
      <x:c r="QH35" s="14" t="n">
        <x:v>1</x:v>
      </x:c>
      <x:c r="QI35" s="14" t="str">
        <x:v>未收錄</x:v>
      </x:c>
      <x:c r="QJ35" s="14" t="str">
        <x:v>22002</x:v>
      </x:c>
      <x:c r="QK35" s="14" t="n">
        <x:v>5</x:v>
      </x:c>
      <x:c r="QL35" s="14" t="n">
        <x:v>3166</x:v>
      </x:c>
      <x:c r="QM35" s="14" t="n">
        <x:v>82</x:v>
      </x:c>
      <x:c r="QN35" s="14" t="n">
        <x:v>21</x:v>
      </x:c>
      <x:c r="QO35" s="14" t="n">
        <x:v>2</x:v>
      </x:c>
      <x:c r="QP35" s="14" t="str">
        <x:v>未收錄</x:v>
      </x:c>
      <x:c r="QQ35" s="14" t="str">
        <x:v>22019</x:v>
      </x:c>
      <x:c r="QR35" s="14" t="n">
        <x:v>5</x:v>
      </x:c>
      <x:c r="QS35" s="14" t="n">
        <x:v>3167</x:v>
      </x:c>
      <x:c r="QT35" s="14" t="n">
        <x:v>83</x:v>
      </x:c>
      <x:c r="QU35" s="14" t="n">
        <x:v>21</x:v>
      </x:c>
      <x:c r="QV35" s="14" t="n">
        <x:v>3</x:v>
      </x:c>
      <x:c r="QW35" s="14" t="str">
        <x:v>未收錄</x:v>
      </x:c>
      <x:c r="QX35" s="14" t="str">
        <x:v>22020</x:v>
      </x:c>
      <x:c r="QY35" s="14" t="n">
        <x:v>5</x:v>
      </x:c>
      <x:c r="QZ35" s="14" t="n">
        <x:v>3168</x:v>
      </x:c>
      <x:c r="RA35" s="14" t="n">
        <x:v>84</x:v>
      </x:c>
      <x:c r="RB35" s="14" t="n">
        <x:v>21</x:v>
      </x:c>
      <x:c r="RC35" s="14" t="n">
        <x:v>4</x:v>
      </x:c>
      <x:c r="RD35" s="14" t="str">
        <x:v>未收錄</x:v>
      </x:c>
      <x:c r="RE35" s="14" t="str">
        <x:v>22186</x:v>
      </x:c>
      <x:c r="RF35" s="14" t="n">
        <x:v>5</x:v>
      </x:c>
      <x:c r="RG35" s="14" t="n">
        <x:v>3626</x:v>
      </x:c>
      <x:c r="RH35" s="14" t="n">
        <x:v>81</x:v>
      </x:c>
      <x:c r="RI35" s="14" t="n">
        <x:v>21</x:v>
      </x:c>
      <x:c r="RJ35" s="14" t="n">
        <x:v>1</x:v>
      </x:c>
      <x:c r="RK35" s="14" t="str">
        <x:v>未收錄</x:v>
      </x:c>
      <x:c r="RL35" s="14" t="str">
        <x:v>22412</x:v>
      </x:c>
      <x:c r="RM35" s="14" t="n">
        <x:v>5</x:v>
      </x:c>
      <x:c r="RN35" s="14" t="n">
        <x:v>3627</x:v>
      </x:c>
      <x:c r="RO35" s="14" t="n">
        <x:v>82</x:v>
      </x:c>
      <x:c r="RP35" s="14" t="n">
        <x:v>21</x:v>
      </x:c>
      <x:c r="RQ35" s="14" t="n">
        <x:v>2</x:v>
      </x:c>
      <x:c r="RR35" s="14" t="str">
        <x:v>未收錄</x:v>
      </x:c>
      <x:c r="RS35" s="14" t="str">
        <x:v>22455</x:v>
      </x:c>
      <x:c r="RT35" s="14" t="n">
        <x:v>3</x:v>
      </x:c>
      <x:c r="RU35" s="14" t="n">
        <x:v>3628</x:v>
      </x:c>
      <x:c r="RV35" s="14" t="n">
        <x:v>83</x:v>
      </x:c>
      <x:c r="RW35" s="14" t="n">
        <x:v>21</x:v>
      </x:c>
      <x:c r="RX35" s="14" t="n">
        <x:v>3</x:v>
      </x:c>
      <x:c r="RY35" s="14" t="str">
        <x:v>未收錄</x:v>
      </x:c>
      <x:c r="RZ35" s="14" t="str">
        <x:v>22456</x:v>
      </x:c>
      <x:c r="SA35" s="14" t="n">
        <x:v>3</x:v>
      </x:c>
      <x:c r="SB35" s="14" t="n">
        <x:v>3629</x:v>
      </x:c>
      <x:c r="SC35" s="14" t="n">
        <x:v>84</x:v>
      </x:c>
      <x:c r="SD35" s="14" t="n">
        <x:v>21</x:v>
      </x:c>
      <x:c r="SE35" s="14" t="n">
        <x:v>4</x:v>
      </x:c>
      <x:c r="SF35" s="14" t="str">
        <x:v>未收錄</x:v>
      </x:c>
      <x:c r="SG35" s="14" t="str">
        <x:v>31908</x:v>
      </x:c>
      <x:c r="SH35" s="14" t="n">
        <x:v>10</x:v>
      </x:c>
      <x:c r="SI35" s="14" t="n">
        <x:v>4050</x:v>
      </x:c>
      <x:c r="SJ35" s="14" t="n">
        <x:v>81</x:v>
      </x:c>
      <x:c r="SK35" s="14" t="n">
        <x:v>21</x:v>
      </x:c>
      <x:c r="SL35" s="14" t="n">
        <x:v>1</x:v>
      </x:c>
      <x:c r="SM35" s="14" t="str">
        <x:v>未收錄</x:v>
      </x:c>
      <x:c r="SN35" s="14" t="str">
        <x:v>31574</x:v>
      </x:c>
      <x:c r="SO35" s="14" t="n">
        <x:v>20</x:v>
      </x:c>
      <x:c r="SP35" s="14" t="n">
        <x:v>4051</x:v>
      </x:c>
      <x:c r="SQ35" s="14" t="n">
        <x:v>82</x:v>
      </x:c>
      <x:c r="SR35" s="14" t="n">
        <x:v>21</x:v>
      </x:c>
      <x:c r="SS35" s="14" t="n">
        <x:v>2</x:v>
      </x:c>
      <x:c r="ST35" s="14" t="str">
        <x:v>未收錄</x:v>
      </x:c>
      <x:c r="SU35" s="14" t="str">
        <x:v>31575</x:v>
      </x:c>
      <x:c r="SV35" s="14" t="n">
        <x:v>10</x:v>
      </x:c>
      <x:c r="SW35" s="14" t="n">
        <x:v>4052</x:v>
      </x:c>
      <x:c r="SX35" s="14" t="n">
        <x:v>83</x:v>
      </x:c>
      <x:c r="SY35" s="14" t="n">
        <x:v>21</x:v>
      </x:c>
      <x:c r="SZ35" s="14" t="n">
        <x:v>3</x:v>
      </x:c>
      <x:c r="TA35" s="14" t="str">
        <x:v>未收錄</x:v>
      </x:c>
      <x:c r="TB35" s="14" t="str">
        <x:v>31857</x:v>
      </x:c>
      <x:c r="TC35" s="14" t="n">
        <x:v>20</x:v>
      </x:c>
      <x:c r="TD35" s="14" t="n">
        <x:v>4053</x:v>
      </x:c>
      <x:c r="TE35" s="14" t="n">
        <x:v>84</x:v>
      </x:c>
      <x:c r="TF35" s="14" t="n">
        <x:v>21</x:v>
      </x:c>
      <x:c r="TG35" s="14" t="n">
        <x:v>4</x:v>
      </x:c>
      <x:c r="TH35" s="14" t="str">
        <x:v>未收錄</x:v>
      </x:c>
    </x:row>
    <x:row r="36" ht="15" customHeight="1">
      <x:c r="A36" s="18" t="str">
        <x:v>龍泉劍</x:v>
      </x:c>
      <x:c r="B36" s="18" t="str">
        <x:v>絕世龍泉劍</x:v>
      </x:c>
      <x:c r="C36" s="18" t="str">
        <x:v>太阿劍</x:v>
      </x:c>
      <x:c r="D36" s="18" t="str">
        <x:v>無雙太阿劍</x:v>
      </x:c>
      <x:c r="E36" s="14"/>
      <x:c r="F36" s="18" t="str">
        <x:v>無雙羅剎刀</x:v>
      </x:c>
      <x:c r="G36" s="18" t="str">
        <x:v>精鋼羅剎刀</x:v>
      </x:c>
      <x:c r="H36" s="18" t="str">
        <x:v>暴怒羅剎刀</x:v>
      </x:c>
      <x:c r="I36" s="18" t="str">
        <x:v>鬼頭羅剎刀</x:v>
      </x:c>
      <x:c r="J36" s="14"/>
      <x:c r="K36" s="18" t="str">
        <x:v>龍掣爪★</x:v>
      </x:c>
      <x:c r="L36" s="18" t="str">
        <x:v>龍掣爪★☆</x:v>
      </x:c>
      <x:c r="M36" s="18" t="str">
        <x:v>龍掣爪★★</x:v>
      </x:c>
      <x:c r="N36" s="18" t="str">
        <x:v>龍掣爪★★☆</x:v>
      </x:c>
      <x:c r="O36" s="14"/>
      <x:c r="P36" s="18" t="str">
        <x:v>萬識金雀令</x:v>
      </x:c>
      <x:c r="Q36" s="18" t="str">
        <x:v>爍羽雀華扇</x:v>
      </x:c>
      <x:c r="R36" s="18" t="str">
        <x:v>時光儀</x:v>
      </x:c>
      <x:c r="S36" s="18" t="str">
        <x:v>太古時光儀</x:v>
      </x:c>
      <x:c r="T36" s="14"/>
      <x:c r="U36" s="18" t="str">
        <x:v>太古真知權杖</x:v>
      </x:c>
      <x:c r="V36" s="18" t="str">
        <x:v>輝煌天權杖</x:v>
      </x:c>
      <x:c r="W36" s="18" t="str">
        <x:v>碧耀神律杖</x:v>
      </x:c>
      <x:c r="X36" s="18" t="str">
        <x:v>星宮聖杖</x:v>
      </x:c>
      <x:c r="Y36" s="14"/>
      <x:c r="Z36" s="18" t="str">
        <x:v>無雙光陣槍</x:v>
      </x:c>
      <x:c r="AA36" s="18" t="str">
        <x:v>魔絕天法槍</x:v>
      </x:c>
      <x:c r="AB36" s="18" t="str">
        <x:v>太古魔絕天法槍</x:v>
      </x:c>
      <x:c r="AC36" s="18" t="str">
        <x:v>斬惡聖衛長槍</x:v>
      </x:c>
      <x:c r="AD36" s="14"/>
      <x:c r="AE36" s="18" t="str">
        <x:v>正法聖衛執棍</x:v>
      </x:c>
      <x:c r="AF36" s="18" t="str">
        <x:v>伏妖聖衛執棍</x:v>
      </x:c>
      <x:c r="AG36" s="18" t="str">
        <x:v>淨穢聖衛執棍</x:v>
      </x:c>
      <x:c r="AH36" s="18" t="str">
        <x:v>落鳳聖衛執棍</x:v>
      </x:c>
      <x:c r="AI36" s="14"/>
      <x:c r="AJ36" s="18" t="str">
        <x:v>朱雀宮魔流擊</x:v>
      </x:c>
      <x:c r="AK36" s="18" t="str">
        <x:v>英招虎翼碎</x:v>
      </x:c>
      <x:c r="AL36" s="18" t="str">
        <x:v>夜龍擊‧殺風</x:v>
      </x:c>
      <x:c r="AM36" s="18" t="str">
        <x:v>神槌‧妙尼爾</x:v>
      </x:c>
      <x:c r="AN36" s="14"/>
      <x:c r="AO36" s="18" t="str">
        <x:v>光鋒斧‧疏狂</x:v>
      </x:c>
      <x:c r="AP36" s="18" t="str">
        <x:v>冥斧‧提爾鋒</x:v>
      </x:c>
      <x:c r="AQ36" s="18" t="str">
        <x:v>冥斧‧提爾鋒</x:v>
      </x:c>
      <x:c r="AR36" s="18" t="str">
        <x:v>闢斧烏‧涅特</x:v>
      </x:c>
      <x:c r="AS36" s="14"/>
      <x:c r="AT36" s="18" t="str">
        <x:v>壑盾伊‧西斯</x:v>
      </x:c>
      <x:c r="AU36" s="18" t="str">
        <x:v>蘭陵破陣盾</x:v>
      </x:c>
      <x:c r="AV36" s="18" t="str">
        <x:v>蘭陵破陣盾</x:v>
      </x:c>
      <x:c r="AW36" s="18" t="str">
        <x:v>東極通鑑盾</x:v>
      </x:c>
      <x:c r="AX36" s="14"/>
      <x:c r="AY36" s="18" t="str">
        <x:v>黑武戰盔</x:v>
      </x:c>
      <x:c r="AZ36" s="18" t="str">
        <x:v>黑捷戰盔</x:v>
      </x:c>
      <x:c r="BA36" s="18" t="str">
        <x:v>血翼戰盔</x:v>
      </x:c>
      <x:c r="BB36" s="18" t="str">
        <x:v>虎翼戰盔</x:v>
      </x:c>
      <x:c r="BC36" s="14"/>
      <x:c r="BD36" s="18" t="str">
        <x:v>虎翼戰甲</x:v>
      </x:c>
      <x:c r="BE36" s="18" t="str">
        <x:v>風翼戰甲</x:v>
      </x:c>
      <x:c r="BF36" s="18" t="str">
        <x:v>蝶紋勁袍</x:v>
      </x:c>
      <x:c r="BG36" s="18" t="str">
        <x:v>虎紋勁袍</x:v>
      </x:c>
      <x:c r="BH36" s="14"/>
      <x:c r="BI36" s="18" t="str">
        <x:v>青鋼護手</x:v>
      </x:c>
      <x:c r="BJ36" s="18" t="str">
        <x:v>金鏈護腕</x:v>
      </x:c>
      <x:c r="BK36" s="18" t="str">
        <x:v>樓蘭織護手</x:v>
      </x:c>
      <x:c r="BL36" s="18" t="str">
        <x:v>千手護腕</x:v>
      </x:c>
      <x:c r="BM36" s="14"/>
      <x:c r="BN36" s="18" t="str">
        <x:v>天晶雷靴</x:v>
      </x:c>
      <x:c r="BO36" s="18" t="str">
        <x:v>天晶冥靴</x:v>
      </x:c>
      <x:c r="BP36" s="18" t="str">
        <x:v>青鋼護腿</x:v>
      </x:c>
      <x:c r="BQ36" s="18" t="str">
        <x:v>金鏈靴</x:v>
      </x:c>
      <x:c r="BR36" s="14"/>
      <x:c r="BS36" s="18" t="str">
        <x:v>智聖佛珠</x:v>
      </x:c>
      <x:c r="BT36" s="18" t="str">
        <x:v>風聖佛珠</x:v>
      </x:c>
      <x:c r="BU36" s="18" t="str">
        <x:v>昴泉戒指</x:v>
      </x:c>
      <x:c r="BV36" s="18" t="str">
        <x:v>姬月戒指</x:v>
      </x:c>
      <x:c r="BW36" s="14"/>
      <x:c r="BX36" s="18" t="str">
        <x:v>風水仙律盤</x:v>
      </x:c>
      <x:c r="BY36" s="18" t="str">
        <x:v>龍川仙鉛華</x:v>
      </x:c>
      <x:c r="BZ36" s="18"/>
      <x:c r="CA36" s="18"/>
      <x:c r="CB36" s="14"/>
      <x:c r="CC36" s="14" t="str">
        <x:v>21542</x:v>
      </x:c>
      <x:c r="CD36" s="14" t="n">
        <x:v>8</x:v>
      </x:c>
      <x:c r="CE36" s="14" t="n">
        <x:v>85</x:v>
      </x:c>
      <x:c r="CF36" s="14" t="n">
        <x:v>85</x:v>
      </x:c>
      <x:c r="CG36" s="14" t="n">
        <x:v>22</x:v>
      </x:c>
      <x:c r="CH36" s="14" t="n">
        <x:v>1</x:v>
      </x:c>
      <x:c r="CI36" s="14" t="str">
        <x:v>未收錄</x:v>
      </x:c>
      <x:c r="CJ36" s="14" t="str">
        <x:v>23295</x:v>
      </x:c>
      <x:c r="CK36" s="14" t="n">
        <x:v>8</x:v>
      </x:c>
      <x:c r="CL36" s="14" t="n">
        <x:v>86</x:v>
      </x:c>
      <x:c r="CM36" s="14" t="n">
        <x:v>86</x:v>
      </x:c>
      <x:c r="CN36" s="14" t="n">
        <x:v>22</x:v>
      </x:c>
      <x:c r="CO36" s="14" t="n">
        <x:v>2</x:v>
      </x:c>
      <x:c r="CP36" s="14" t="str">
        <x:v>未收錄</x:v>
      </x:c>
      <x:c r="CQ36" s="14" t="str">
        <x:v>21857</x:v>
      </x:c>
      <x:c r="CR36" s="14" t="n">
        <x:v>8</x:v>
      </x:c>
      <x:c r="CS36" s="14" t="n">
        <x:v>87</x:v>
      </x:c>
      <x:c r="CT36" s="14" t="n">
        <x:v>87</x:v>
      </x:c>
      <x:c r="CU36" s="14" t="n">
        <x:v>22</x:v>
      </x:c>
      <x:c r="CV36" s="14" t="n">
        <x:v>3</x:v>
      </x:c>
      <x:c r="CW36" s="14" t="str">
        <x:v>未收錄</x:v>
      </x:c>
      <x:c r="CX36" s="14" t="str">
        <x:v>22042</x:v>
      </x:c>
      <x:c r="CY36" s="14" t="n">
        <x:v>8</x:v>
      </x:c>
      <x:c r="CZ36" s="14" t="n">
        <x:v>88</x:v>
      </x:c>
      <x:c r="DA36" s="14" t="n">
        <x:v>88</x:v>
      </x:c>
      <x:c r="DB36" s="14" t="n">
        <x:v>22</x:v>
      </x:c>
      <x:c r="DC36" s="14" t="n">
        <x:v>4</x:v>
      </x:c>
      <x:c r="DD36" s="14" t="str">
        <x:v>未收錄</x:v>
      </x:c>
      <x:c r="DE36" s="14" t="str">
        <x:v>22662</x:v>
      </x:c>
      <x:c r="DF36" s="14" t="n">
        <x:v>8</x:v>
      </x:c>
      <x:c r="DG36" s="14" t="n">
        <x:v>330</x:v>
      </x:c>
      <x:c r="DH36" s="14" t="n">
        <x:v>85</x:v>
      </x:c>
      <x:c r="DI36" s="14" t="n">
        <x:v>22</x:v>
      </x:c>
      <x:c r="DJ36" s="14" t="n">
        <x:v>1</x:v>
      </x:c>
      <x:c r="DK36" s="14" t="str">
        <x:v>未收錄</x:v>
      </x:c>
      <x:c r="DL36" s="14" t="str">
        <x:v>22115</x:v>
      </x:c>
      <x:c r="DM36" s="14" t="n">
        <x:v>8</x:v>
      </x:c>
      <x:c r="DN36" s="14" t="n">
        <x:v>331</x:v>
      </x:c>
      <x:c r="DO36" s="14" t="n">
        <x:v>86</x:v>
      </x:c>
      <x:c r="DP36" s="14" t="n">
        <x:v>22</x:v>
      </x:c>
      <x:c r="DQ36" s="14" t="n">
        <x:v>2</x:v>
      </x:c>
      <x:c r="DR36" s="14" t="str">
        <x:v>未收錄</x:v>
      </x:c>
      <x:c r="DS36" s="14" t="str">
        <x:v>22116</x:v>
      </x:c>
      <x:c r="DT36" s="14" t="n">
        <x:v>8</x:v>
      </x:c>
      <x:c r="DU36" s="14" t="n">
        <x:v>332</x:v>
      </x:c>
      <x:c r="DV36" s="14" t="n">
        <x:v>87</x:v>
      </x:c>
      <x:c r="DW36" s="14" t="n">
        <x:v>22</x:v>
      </x:c>
      <x:c r="DX36" s="14" t="n">
        <x:v>3</x:v>
      </x:c>
      <x:c r="DY36" s="14" t="str">
        <x:v>未收錄</x:v>
      </x:c>
      <x:c r="DZ36" s="14" t="str">
        <x:v>22117</x:v>
      </x:c>
      <x:c r="EA36" s="14" t="n">
        <x:v>8</x:v>
      </x:c>
      <x:c r="EB36" s="14" t="n">
        <x:v>333</x:v>
      </x:c>
      <x:c r="EC36" s="14" t="n">
        <x:v>88</x:v>
      </x:c>
      <x:c r="ED36" s="14" t="n">
        <x:v>22</x:v>
      </x:c>
      <x:c r="EE36" s="14" t="n">
        <x:v>4</x:v>
      </x:c>
      <x:c r="EF36" s="14" t="str">
        <x:v>未收錄</x:v>
      </x:c>
      <x:c r="EG36" s="14" t="str">
        <x:v>29356</x:v>
      </x:c>
      <x:c r="EH36" s="14" t="n">
        <x:v>8</x:v>
      </x:c>
      <x:c r="EI36" s="14" t="n">
        <x:v>566</x:v>
      </x:c>
      <x:c r="EJ36" s="14" t="n">
        <x:v>85</x:v>
      </x:c>
      <x:c r="EK36" s="14" t="n">
        <x:v>22</x:v>
      </x:c>
      <x:c r="EL36" s="14" t="n">
        <x:v>1</x:v>
      </x:c>
      <x:c r="EM36" s="14" t="str">
        <x:v>未收錄</x:v>
      </x:c>
      <x:c r="EN36" s="14" t="str">
        <x:v>29357</x:v>
      </x:c>
      <x:c r="EO36" s="14" t="n">
        <x:v>8</x:v>
      </x:c>
      <x:c r="EP36" s="14" t="n">
        <x:v>567</x:v>
      </x:c>
      <x:c r="EQ36" s="14" t="n">
        <x:v>86</x:v>
      </x:c>
      <x:c r="ER36" s="14" t="n">
        <x:v>22</x:v>
      </x:c>
      <x:c r="ES36" s="14" t="n">
        <x:v>2</x:v>
      </x:c>
      <x:c r="ET36" s="14" t="str">
        <x:v>未收錄</x:v>
      </x:c>
      <x:c r="EU36" s="14" t="str">
        <x:v>29358</x:v>
      </x:c>
      <x:c r="EV36" s="14" t="n">
        <x:v>8</x:v>
      </x:c>
      <x:c r="EW36" s="14" t="n">
        <x:v>568</x:v>
      </x:c>
      <x:c r="EX36" s="14" t="n">
        <x:v>87</x:v>
      </x:c>
      <x:c r="EY36" s="14" t="n">
        <x:v>22</x:v>
      </x:c>
      <x:c r="EZ36" s="14" t="n">
        <x:v>3</x:v>
      </x:c>
      <x:c r="FA36" s="14" t="str">
        <x:v>未收錄</x:v>
      </x:c>
      <x:c r="FB36" s="14" t="str">
        <x:v>29359</x:v>
      </x:c>
      <x:c r="FC36" s="14" t="n">
        <x:v>8</x:v>
      </x:c>
      <x:c r="FD36" s="14" t="n">
        <x:v>569</x:v>
      </x:c>
      <x:c r="FE36" s="14" t="n">
        <x:v>88</x:v>
      </x:c>
      <x:c r="FF36" s="14" t="n">
        <x:v>22</x:v>
      </x:c>
      <x:c r="FG36" s="14" t="n">
        <x:v>4</x:v>
      </x:c>
      <x:c r="FH36" s="14" t="str">
        <x:v>未收錄</x:v>
      </x:c>
      <x:c r="FI36" s="14" t="str">
        <x:v>24632</x:v>
      </x:c>
      <x:c r="FJ36" s="14" t="n">
        <x:v>8</x:v>
      </x:c>
      <x:c r="FK36" s="14" t="n">
        <x:v>716</x:v>
      </x:c>
      <x:c r="FL36" s="14" t="n">
        <x:v>85</x:v>
      </x:c>
      <x:c r="FM36" s="14" t="n">
        <x:v>22</x:v>
      </x:c>
      <x:c r="FN36" s="14" t="n">
        <x:v>1</x:v>
      </x:c>
      <x:c r="FO36" s="14" t="str">
        <x:v>未收錄</x:v>
      </x:c>
      <x:c r="FP36" s="14" t="str">
        <x:v>24633</x:v>
      </x:c>
      <x:c r="FQ36" s="14" t="n">
        <x:v>8</x:v>
      </x:c>
      <x:c r="FR36" s="14" t="n">
        <x:v>717</x:v>
      </x:c>
      <x:c r="FS36" s="14" t="n">
        <x:v>86</x:v>
      </x:c>
      <x:c r="FT36" s="14" t="n">
        <x:v>22</x:v>
      </x:c>
      <x:c r="FU36" s="14" t="n">
        <x:v>2</x:v>
      </x:c>
      <x:c r="FV36" s="14" t="str">
        <x:v>未收錄</x:v>
      </x:c>
      <x:c r="FW36" s="14" t="str">
        <x:v>24634</x:v>
      </x:c>
      <x:c r="FX36" s="14" t="n">
        <x:v>8</x:v>
      </x:c>
      <x:c r="FY36" s="14" t="n">
        <x:v>718</x:v>
      </x:c>
      <x:c r="FZ36" s="14" t="n">
        <x:v>87</x:v>
      </x:c>
      <x:c r="GA36" s="14" t="n">
        <x:v>22</x:v>
      </x:c>
      <x:c r="GB36" s="14" t="n">
        <x:v>3</x:v>
      </x:c>
      <x:c r="GC36" s="14" t="str">
        <x:v>未收錄</x:v>
      </x:c>
      <x:c r="GD36" s="14" t="str">
        <x:v>26196</x:v>
      </x:c>
      <x:c r="GE36" s="14" t="n">
        <x:v>3</x:v>
      </x:c>
      <x:c r="GF36" s="14" t="n">
        <x:v>719</x:v>
      </x:c>
      <x:c r="GG36" s="14" t="n">
        <x:v>88</x:v>
      </x:c>
      <x:c r="GH36" s="14" t="n">
        <x:v>22</x:v>
      </x:c>
      <x:c r="GI36" s="14" t="n">
        <x:v>4</x:v>
      </x:c>
      <x:c r="GJ36" s="14" t="str">
        <x:v>未收錄</x:v>
      </x:c>
      <x:c r="GK36" s="14" t="str">
        <x:v>26188</x:v>
      </x:c>
      <x:c r="GL36" s="14" t="n">
        <x:v>3</x:v>
      </x:c>
      <x:c r="GM36" s="14" t="n">
        <x:v>888</x:v>
      </x:c>
      <x:c r="GN36" s="14" t="n">
        <x:v>85</x:v>
      </x:c>
      <x:c r="GO36" s="14" t="n">
        <x:v>22</x:v>
      </x:c>
      <x:c r="GP36" s="14" t="n">
        <x:v>1</x:v>
      </x:c>
      <x:c r="GQ36" s="14" t="str">
        <x:v>未收錄</x:v>
      </x:c>
      <x:c r="GR36" s="14" t="str">
        <x:v>24638</x:v>
      </x:c>
      <x:c r="GS36" s="14" t="n">
        <x:v>8</x:v>
      </x:c>
      <x:c r="GT36" s="14" t="n">
        <x:v>889</x:v>
      </x:c>
      <x:c r="GU36" s="14" t="n">
        <x:v>86</x:v>
      </x:c>
      <x:c r="GV36" s="14" t="n">
        <x:v>22</x:v>
      </x:c>
      <x:c r="GW36" s="14" t="n">
        <x:v>2</x:v>
      </x:c>
      <x:c r="GX36" s="14" t="str">
        <x:v>未收錄</x:v>
      </x:c>
      <x:c r="GY36" s="14" t="str">
        <x:v>24639</x:v>
      </x:c>
      <x:c r="GZ36" s="14" t="n">
        <x:v>8</x:v>
      </x:c>
      <x:c r="HA36" s="14" t="n">
        <x:v>890</x:v>
      </x:c>
      <x:c r="HB36" s="14" t="n">
        <x:v>87</x:v>
      </x:c>
      <x:c r="HC36" s="14" t="n">
        <x:v>22</x:v>
      </x:c>
      <x:c r="HD36" s="14" t="n">
        <x:v>3</x:v>
      </x:c>
      <x:c r="HE36" s="14" t="str">
        <x:v>未收錄</x:v>
      </x:c>
      <x:c r="HF36" s="14" t="str">
        <x:v>24640</x:v>
      </x:c>
      <x:c r="HG36" s="14" t="n">
        <x:v>8</x:v>
      </x:c>
      <x:c r="HH36" s="14" t="n">
        <x:v>891</x:v>
      </x:c>
      <x:c r="HI36" s="14" t="n">
        <x:v>88</x:v>
      </x:c>
      <x:c r="HJ36" s="14" t="n">
        <x:v>22</x:v>
      </x:c>
      <x:c r="HK36" s="14" t="n">
        <x:v>4</x:v>
      </x:c>
      <x:c r="HL36" s="14" t="str">
        <x:v>未收錄</x:v>
      </x:c>
      <x:c r="HM36" s="14" t="str">
        <x:v>26549</x:v>
      </x:c>
      <x:c r="HN36" s="14" t="n">
        <x:v>8</x:v>
      </x:c>
      <x:c r="HO36" s="14" t="n">
        <x:v>1061</x:v>
      </x:c>
      <x:c r="HP36" s="14" t="n">
        <x:v>85</x:v>
      </x:c>
      <x:c r="HQ36" s="14" t="n">
        <x:v>22</x:v>
      </x:c>
      <x:c r="HR36" s="14" t="n">
        <x:v>1</x:v>
      </x:c>
      <x:c r="HS36" s="14" t="str">
        <x:v>未收錄</x:v>
      </x:c>
      <x:c r="HT36" s="14" t="str">
        <x:v>26085</x:v>
      </x:c>
      <x:c r="HU36" s="14" t="n">
        <x:v>8</x:v>
      </x:c>
      <x:c r="HV36" s="14" t="n">
        <x:v>1062</x:v>
      </x:c>
      <x:c r="HW36" s="14" t="n">
        <x:v>86</x:v>
      </x:c>
      <x:c r="HX36" s="14" t="n">
        <x:v>22</x:v>
      </x:c>
      <x:c r="HY36" s="14" t="n">
        <x:v>2</x:v>
      </x:c>
      <x:c r="HZ36" s="14" t="str">
        <x:v>未收錄</x:v>
      </x:c>
      <x:c r="IA36" s="14" t="str">
        <x:v>26716</x:v>
      </x:c>
      <x:c r="IB36" s="14" t="n">
        <x:v>3</x:v>
      </x:c>
      <x:c r="IC36" s="14" t="n">
        <x:v>1063</x:v>
      </x:c>
      <x:c r="ID36" s="14" t="n">
        <x:v>87</x:v>
      </x:c>
      <x:c r="IE36" s="14" t="n">
        <x:v>22</x:v>
      </x:c>
      <x:c r="IF36" s="14" t="n">
        <x:v>3</x:v>
      </x:c>
      <x:c r="IG36" s="14" t="str">
        <x:v>未收錄</x:v>
      </x:c>
      <x:c r="IH36" s="14" t="str">
        <x:v>26464</x:v>
      </x:c>
      <x:c r="II36" s="14" t="n">
        <x:v>8</x:v>
      </x:c>
      <x:c r="IJ36" s="14" t="n">
        <x:v>1064</x:v>
      </x:c>
      <x:c r="IK36" s="14" t="n">
        <x:v>88</x:v>
      </x:c>
      <x:c r="IL36" s="14" t="n">
        <x:v>22</x:v>
      </x:c>
      <x:c r="IM36" s="14" t="n">
        <x:v>4</x:v>
      </x:c>
      <x:c r="IN36" s="14" t="str">
        <x:v>未收錄</x:v>
      </x:c>
      <x:c r="IO36" s="14" t="str">
        <x:v>26468</x:v>
      </x:c>
      <x:c r="IP36" s="14" t="n">
        <x:v>8</x:v>
      </x:c>
      <x:c r="IQ36" s="14" t="n">
        <x:v>1229</x:v>
      </x:c>
      <x:c r="IR36" s="14" t="n">
        <x:v>85</x:v>
      </x:c>
      <x:c r="IS36" s="14" t="n">
        <x:v>22</x:v>
      </x:c>
      <x:c r="IT36" s="14" t="n">
        <x:v>1</x:v>
      </x:c>
      <x:c r="IU36" s="14" t="str">
        <x:v>未收錄</x:v>
      </x:c>
      <x:c r="IV36" s="14" t="str">
        <x:v>26469</x:v>
      </x:c>
      <x:c r="IW36" s="14" t="n">
        <x:v>8</x:v>
      </x:c>
      <x:c r="IX36" s="14" t="n">
        <x:v>1230</x:v>
      </x:c>
      <x:c r="IY36" s="14" t="n">
        <x:v>86</x:v>
      </x:c>
      <x:c r="IZ36" s="14" t="n">
        <x:v>22</x:v>
      </x:c>
      <x:c r="JA36" s="14" t="n">
        <x:v>2</x:v>
      </x:c>
      <x:c r="JB36" s="14" t="str">
        <x:v>未收錄</x:v>
      </x:c>
      <x:c r="JC36" s="14" t="str">
        <x:v>26470</x:v>
      </x:c>
      <x:c r="JD36" s="14" t="n">
        <x:v>8</x:v>
      </x:c>
      <x:c r="JE36" s="14" t="n">
        <x:v>1231</x:v>
      </x:c>
      <x:c r="JF36" s="14" t="n">
        <x:v>87</x:v>
      </x:c>
      <x:c r="JG36" s="14" t="n">
        <x:v>22</x:v>
      </x:c>
      <x:c r="JH36" s="14" t="n">
        <x:v>3</x:v>
      </x:c>
      <x:c r="JI36" s="14" t="str">
        <x:v>未收錄</x:v>
      </x:c>
      <x:c r="JJ36" s="14" t="str">
        <x:v>26471</x:v>
      </x:c>
      <x:c r="JK36" s="14" t="n">
        <x:v>8</x:v>
      </x:c>
      <x:c r="JL36" s="14" t="n">
        <x:v>1232</x:v>
      </x:c>
      <x:c r="JM36" s="14" t="n">
        <x:v>88</x:v>
      </x:c>
      <x:c r="JN36" s="14" t="n">
        <x:v>22</x:v>
      </x:c>
      <x:c r="JO36" s="14" t="n">
        <x:v>4</x:v>
      </x:c>
      <x:c r="JP36" s="14" t="str">
        <x:v>未收錄</x:v>
      </x:c>
      <x:c r="JQ36" s="14" t="str">
        <x:v>27574</x:v>
      </x:c>
      <x:c r="JR36" s="14" t="n">
        <x:v>20</x:v>
      </x:c>
      <x:c r="JS36" s="14" t="n">
        <x:v>1396</x:v>
      </x:c>
      <x:c r="JT36" s="14" t="n">
        <x:v>85</x:v>
      </x:c>
      <x:c r="JU36" s="14" t="n">
        <x:v>22</x:v>
      </x:c>
      <x:c r="JV36" s="14" t="n">
        <x:v>1</x:v>
      </x:c>
      <x:c r="JW36" s="14" t="str">
        <x:v>未收錄</x:v>
      </x:c>
      <x:c r="JX36" s="14" t="str">
        <x:v>28001</x:v>
      </x:c>
      <x:c r="JY36" s="14" t="n">
        <x:v>20</x:v>
      </x:c>
      <x:c r="JZ36" s="14" t="n">
        <x:v>1397</x:v>
      </x:c>
      <x:c r="KA36" s="14" t="n">
        <x:v>86</x:v>
      </x:c>
      <x:c r="KB36" s="14" t="n">
        <x:v>22</x:v>
      </x:c>
      <x:c r="KC36" s="14" t="n">
        <x:v>2</x:v>
      </x:c>
      <x:c r="KD36" s="14" t="str">
        <x:v>未收錄</x:v>
      </x:c>
      <x:c r="KE36" s="14" t="str">
        <x:v>28159</x:v>
      </x:c>
      <x:c r="KF36" s="14" t="n">
        <x:v>20</x:v>
      </x:c>
      <x:c r="KG36" s="14" t="n">
        <x:v>1398</x:v>
      </x:c>
      <x:c r="KH36" s="14" t="n">
        <x:v>87</x:v>
      </x:c>
      <x:c r="KI36" s="14" t="n">
        <x:v>22</x:v>
      </x:c>
      <x:c r="KJ36" s="14" t="n">
        <x:v>3</x:v>
      </x:c>
      <x:c r="KK36" s="14" t="str">
        <x:v>未收錄</x:v>
      </x:c>
      <x:c r="KL36" s="14" t="str">
        <x:v>28496</x:v>
      </x:c>
      <x:c r="KM36" s="14" t="n">
        <x:v>20</x:v>
      </x:c>
      <x:c r="KN36" s="14" t="n">
        <x:v>1399</x:v>
      </x:c>
      <x:c r="KO36" s="14" t="n">
        <x:v>88</x:v>
      </x:c>
      <x:c r="KP36" s="14" t="n">
        <x:v>22</x:v>
      </x:c>
      <x:c r="KQ36" s="14" t="n">
        <x:v>4</x:v>
      </x:c>
      <x:c r="KR36" s="14" t="str">
        <x:v>未收錄</x:v>
      </x:c>
      <x:c r="KS36" s="14" t="str">
        <x:v>28160</x:v>
      </x:c>
      <x:c r="KT36" s="14" t="n">
        <x:v>20</x:v>
      </x:c>
      <x:c r="KU36" s="14" t="n">
        <x:v>1511</x:v>
      </x:c>
      <x:c r="KV36" s="14" t="n">
        <x:v>85</x:v>
      </x:c>
      <x:c r="KW36" s="14" t="n">
        <x:v>22</x:v>
      </x:c>
      <x:c r="KX36" s="14" t="n">
        <x:v>1</x:v>
      </x:c>
      <x:c r="KY36" s="14" t="str">
        <x:v>未收錄</x:v>
      </x:c>
      <x:c r="KZ36" s="14" t="str">
        <x:v>28497</x:v>
      </x:c>
      <x:c r="LA36" s="14" t="n">
        <x:v>20</x:v>
      </x:c>
      <x:c r="LB36" s="14" t="n">
        <x:v>1512</x:v>
      </x:c>
      <x:c r="LC36" s="14" t="n">
        <x:v>86</x:v>
      </x:c>
      <x:c r="LD36" s="14" t="n">
        <x:v>22</x:v>
      </x:c>
      <x:c r="LE36" s="14" t="n">
        <x:v>2</x:v>
      </x:c>
      <x:c r="LF36" s="14" t="str">
        <x:v>未收錄</x:v>
      </x:c>
      <x:c r="LG36" s="14" t="str">
        <x:v>28784</x:v>
      </x:c>
      <x:c r="LH36" s="14" t="n">
        <x:v>20</x:v>
      </x:c>
      <x:c r="LI36" s="14" t="n">
        <x:v>1513</x:v>
      </x:c>
      <x:c r="LJ36" s="14" t="n">
        <x:v>87</x:v>
      </x:c>
      <x:c r="LK36" s="14" t="n">
        <x:v>22</x:v>
      </x:c>
      <x:c r="LL36" s="14" t="n">
        <x:v>3</x:v>
      </x:c>
      <x:c r="LM36" s="14" t="str">
        <x:v>未收錄</x:v>
      </x:c>
      <x:c r="LN36" s="14" t="str">
        <x:v>29009</x:v>
      </x:c>
      <x:c r="LO36" s="14" t="n">
        <x:v>20</x:v>
      </x:c>
      <x:c r="LP36" s="14" t="n">
        <x:v>1514</x:v>
      </x:c>
      <x:c r="LQ36" s="14" t="n">
        <x:v>88</x:v>
      </x:c>
      <x:c r="LR36" s="14" t="n">
        <x:v>22</x:v>
      </x:c>
      <x:c r="LS36" s="14" t="n">
        <x:v>4</x:v>
      </x:c>
      <x:c r="LT36" s="14" t="str">
        <x:v>未收錄</x:v>
      </x:c>
      <x:c r="LU36" s="14" t="str">
        <x:v>29023</x:v>
      </x:c>
      <x:c r="LV36" s="14" t="n">
        <x:v>20</x:v>
      </x:c>
      <x:c r="LW36" s="14" t="n">
        <x:v>1624</x:v>
      </x:c>
      <x:c r="LX36" s="14" t="n">
        <x:v>85</x:v>
      </x:c>
      <x:c r="LY36" s="14" t="n">
        <x:v>22</x:v>
      </x:c>
      <x:c r="LZ36" s="14" t="n">
        <x:v>1</x:v>
      </x:c>
      <x:c r="MA36" s="14" t="str">
        <x:v>未收錄</x:v>
      </x:c>
      <x:c r="MB36" s="14" t="str">
        <x:v>29663</x:v>
      </x:c>
      <x:c r="MC36" s="14" t="n">
        <x:v>20</x:v>
      </x:c>
      <x:c r="MD36" s="14" t="n">
        <x:v>1625</x:v>
      </x:c>
      <x:c r="ME36" s="14" t="n">
        <x:v>86</x:v>
      </x:c>
      <x:c r="MF36" s="14" t="n">
        <x:v>22</x:v>
      </x:c>
      <x:c r="MG36" s="14" t="n">
        <x:v>2</x:v>
      </x:c>
      <x:c r="MH36" s="14" t="str">
        <x:v>未收錄</x:v>
      </x:c>
      <x:c r="MI36" s="14" t="str">
        <x:v>29673</x:v>
      </x:c>
      <x:c r="MJ36" s="14" t="n">
        <x:v>20</x:v>
      </x:c>
      <x:c r="MK36" s="14" t="n">
        <x:v>1626</x:v>
      </x:c>
      <x:c r="ML36" s="14" t="n">
        <x:v>87</x:v>
      </x:c>
      <x:c r="MM36" s="14" t="n">
        <x:v>22</x:v>
      </x:c>
      <x:c r="MN36" s="14" t="n">
        <x:v>3</x:v>
      </x:c>
      <x:c r="MO36" s="14" t="str">
        <x:v>未收錄</x:v>
      </x:c>
      <x:c r="MP36" s="14" t="str">
        <x:v>29922</x:v>
      </x:c>
      <x:c r="MQ36" s="14" t="n">
        <x:v>20</x:v>
      </x:c>
      <x:c r="MR36" s="14" t="n">
        <x:v>1627</x:v>
      </x:c>
      <x:c r="MS36" s="14" t="n">
        <x:v>88</x:v>
      </x:c>
      <x:c r="MT36" s="14" t="n">
        <x:v>22</x:v>
      </x:c>
      <x:c r="MU36" s="14" t="n">
        <x:v>4</x:v>
      </x:c>
      <x:c r="MV36" s="14" t="str">
        <x:v>未收錄</x:v>
      </x:c>
      <x:c r="MW36" s="14" t="str">
        <x:v>21478</x:v>
      </x:c>
      <x:c r="MX36" s="14" t="n">
        <x:v>5</x:v>
      </x:c>
      <x:c r="MY36" s="14" t="n">
        <x:v>1733</x:v>
      </x:c>
      <x:c r="MZ36" s="14" t="n">
        <x:v>85</x:v>
      </x:c>
      <x:c r="NA36" s="14" t="n">
        <x:v>22</x:v>
      </x:c>
      <x:c r="NB36" s="14" t="n">
        <x:v>1</x:v>
      </x:c>
      <x:c r="NC36" s="14" t="str">
        <x:v>未收錄</x:v>
      </x:c>
      <x:c r="ND36" s="14" t="str">
        <x:v>21479</x:v>
      </x:c>
      <x:c r="NE36" s="14" t="n">
        <x:v>5</x:v>
      </x:c>
      <x:c r="NF36" s="14" t="n">
        <x:v>1734</x:v>
      </x:c>
      <x:c r="NG36" s="14" t="n">
        <x:v>86</x:v>
      </x:c>
      <x:c r="NH36" s="14" t="n">
        <x:v>22</x:v>
      </x:c>
      <x:c r="NI36" s="14" t="n">
        <x:v>2</x:v>
      </x:c>
      <x:c r="NJ36" s="14" t="str">
        <x:v>未收錄</x:v>
      </x:c>
      <x:c r="NK36" s="14" t="str">
        <x:v>21480</x:v>
      </x:c>
      <x:c r="NL36" s="14" t="n">
        <x:v>5</x:v>
      </x:c>
      <x:c r="NM36" s="14" t="n">
        <x:v>1735</x:v>
      </x:c>
      <x:c r="NN36" s="14" t="n">
        <x:v>87</x:v>
      </x:c>
      <x:c r="NO36" s="14" t="n">
        <x:v>22</x:v>
      </x:c>
      <x:c r="NP36" s="14" t="n">
        <x:v>3</x:v>
      </x:c>
      <x:c r="NQ36" s="14" t="str">
        <x:v>未收錄</x:v>
      </x:c>
      <x:c r="NR36" s="14" t="str">
        <x:v>21481</x:v>
      </x:c>
      <x:c r="NS36" s="14" t="n">
        <x:v>5</x:v>
      </x:c>
      <x:c r="NT36" s="14" t="n">
        <x:v>1736</x:v>
      </x:c>
      <x:c r="NU36" s="14" t="n">
        <x:v>88</x:v>
      </x:c>
      <x:c r="NV36" s="14" t="n">
        <x:v>22</x:v>
      </x:c>
      <x:c r="NW36" s="14" t="n">
        <x:v>4</x:v>
      </x:c>
      <x:c r="NX36" s="14" t="str">
        <x:v>未收錄</x:v>
      </x:c>
      <x:c r="NY36" s="14" t="str">
        <x:v>21497</x:v>
      </x:c>
      <x:c r="NZ36" s="14" t="n">
        <x:v>5</x:v>
      </x:c>
      <x:c r="OA36" s="14" t="n">
        <x:v>2186</x:v>
      </x:c>
      <x:c r="OB36" s="14" t="n">
        <x:v>85</x:v>
      </x:c>
      <x:c r="OC36" s="14" t="n">
        <x:v>22</x:v>
      </x:c>
      <x:c r="OD36" s="14" t="n">
        <x:v>1</x:v>
      </x:c>
      <x:c r="OE36" s="14" t="str">
        <x:v>未收錄</x:v>
      </x:c>
      <x:c r="OF36" s="14" t="str">
        <x:v>21498</x:v>
      </x:c>
      <x:c r="OG36" s="14" t="n">
        <x:v>5</x:v>
      </x:c>
      <x:c r="OH36" s="14" t="n">
        <x:v>2187</x:v>
      </x:c>
      <x:c r="OI36" s="14" t="n">
        <x:v>86</x:v>
      </x:c>
      <x:c r="OJ36" s="14" t="n">
        <x:v>22</x:v>
      </x:c>
      <x:c r="OK36" s="14" t="n">
        <x:v>2</x:v>
      </x:c>
      <x:c r="OL36" s="14" t="str">
        <x:v>未收錄</x:v>
      </x:c>
      <x:c r="OM36" s="14" t="str">
        <x:v>21499</x:v>
      </x:c>
      <x:c r="ON36" s="14" t="n">
        <x:v>5</x:v>
      </x:c>
      <x:c r="OO36" s="14" t="n">
        <x:v>2188</x:v>
      </x:c>
      <x:c r="OP36" s="14" t="n">
        <x:v>87</x:v>
      </x:c>
      <x:c r="OQ36" s="14" t="n">
        <x:v>22</x:v>
      </x:c>
      <x:c r="OR36" s="14" t="n">
        <x:v>3</x:v>
      </x:c>
      <x:c r="OS36" s="14" t="str">
        <x:v>未收錄</x:v>
      </x:c>
      <x:c r="OT36" s="14" t="str">
        <x:v>21500</x:v>
      </x:c>
      <x:c r="OU36" s="14" t="n">
        <x:v>5</x:v>
      </x:c>
      <x:c r="OV36" s="14" t="n">
        <x:v>2189</x:v>
      </x:c>
      <x:c r="OW36" s="14" t="n">
        <x:v>88</x:v>
      </x:c>
      <x:c r="OX36" s="14" t="n">
        <x:v>22</x:v>
      </x:c>
      <x:c r="OY36" s="14" t="n">
        <x:v>4</x:v>
      </x:c>
      <x:c r="OZ36" s="14" t="str">
        <x:v>未收錄</x:v>
      </x:c>
      <x:c r="PA36" s="14" t="str">
        <x:v>22161</x:v>
      </x:c>
      <x:c r="PB36" s="14" t="n">
        <x:v>5</x:v>
      </x:c>
      <x:c r="PC36" s="14" t="n">
        <x:v>2732</x:v>
      </x:c>
      <x:c r="PD36" s="14" t="n">
        <x:v>85</x:v>
      </x:c>
      <x:c r="PE36" s="14" t="n">
        <x:v>22</x:v>
      </x:c>
      <x:c r="PF36" s="14" t="n">
        <x:v>1</x:v>
      </x:c>
      <x:c r="PG36" s="14" t="str">
        <x:v>未收錄</x:v>
      </x:c>
      <x:c r="PH36" s="14" t="str">
        <x:v>22162</x:v>
      </x:c>
      <x:c r="PI36" s="14" t="n">
        <x:v>5</x:v>
      </x:c>
      <x:c r="PJ36" s="14" t="n">
        <x:v>2733</x:v>
      </x:c>
      <x:c r="PK36" s="14" t="n">
        <x:v>86</x:v>
      </x:c>
      <x:c r="PL36" s="14" t="n">
        <x:v>22</x:v>
      </x:c>
      <x:c r="PM36" s="14" t="n">
        <x:v>2</x:v>
      </x:c>
      <x:c r="PN36" s="14" t="str">
        <x:v>未收錄</x:v>
      </x:c>
      <x:c r="PO36" s="14" t="str">
        <x:v>22163</x:v>
      </x:c>
      <x:c r="PP36" s="14" t="n">
        <x:v>5</x:v>
      </x:c>
      <x:c r="PQ36" s="14" t="n">
        <x:v>2734</x:v>
      </x:c>
      <x:c r="PR36" s="14" t="n">
        <x:v>87</x:v>
      </x:c>
      <x:c r="PS36" s="14" t="n">
        <x:v>22</x:v>
      </x:c>
      <x:c r="PT36" s="14" t="n">
        <x:v>3</x:v>
      </x:c>
      <x:c r="PU36" s="14" t="str">
        <x:v>未收錄</x:v>
      </x:c>
      <x:c r="PV36" s="14" t="str">
        <x:v>22164</x:v>
      </x:c>
      <x:c r="PW36" s="14" t="n">
        <x:v>5</x:v>
      </x:c>
      <x:c r="PX36" s="14" t="n">
        <x:v>2735</x:v>
      </x:c>
      <x:c r="PY36" s="14" t="n">
        <x:v>88</x:v>
      </x:c>
      <x:c r="PZ36" s="14" t="n">
        <x:v>22</x:v>
      </x:c>
      <x:c r="QA36" s="14" t="n">
        <x:v>4</x:v>
      </x:c>
      <x:c r="QB36" s="14" t="str">
        <x:v>未收錄</x:v>
      </x:c>
      <x:c r="QC36" s="14" t="str">
        <x:v>22021</x:v>
      </x:c>
      <x:c r="QD36" s="14" t="n">
        <x:v>5</x:v>
      </x:c>
      <x:c r="QE36" s="14" t="n">
        <x:v>3169</x:v>
      </x:c>
      <x:c r="QF36" s="14" t="n">
        <x:v>85</x:v>
      </x:c>
      <x:c r="QG36" s="14" t="n">
        <x:v>22</x:v>
      </x:c>
      <x:c r="QH36" s="14" t="n">
        <x:v>1</x:v>
      </x:c>
      <x:c r="QI36" s="14" t="str">
        <x:v>未收錄</x:v>
      </x:c>
      <x:c r="QJ36" s="14" t="str">
        <x:v>22022</x:v>
      </x:c>
      <x:c r="QK36" s="14" t="n">
        <x:v>5</x:v>
      </x:c>
      <x:c r="QL36" s="14" t="n">
        <x:v>3170</x:v>
      </x:c>
      <x:c r="QM36" s="14" t="n">
        <x:v>86</x:v>
      </x:c>
      <x:c r="QN36" s="14" t="n">
        <x:v>22</x:v>
      </x:c>
      <x:c r="QO36" s="14" t="n">
        <x:v>2</x:v>
      </x:c>
      <x:c r="QP36" s="14" t="str">
        <x:v>未收錄</x:v>
      </x:c>
      <x:c r="QQ36" s="14" t="str">
        <x:v>22171</x:v>
      </x:c>
      <x:c r="QR36" s="14" t="n">
        <x:v>5</x:v>
      </x:c>
      <x:c r="QS36" s="14" t="n">
        <x:v>3171</x:v>
      </x:c>
      <x:c r="QT36" s="14" t="n">
        <x:v>87</x:v>
      </x:c>
      <x:c r="QU36" s="14" t="n">
        <x:v>22</x:v>
      </x:c>
      <x:c r="QV36" s="14" t="n">
        <x:v>3</x:v>
      </x:c>
      <x:c r="QW36" s="14" t="str">
        <x:v>未收錄</x:v>
      </x:c>
      <x:c r="QX36" s="14" t="str">
        <x:v>22172</x:v>
      </x:c>
      <x:c r="QY36" s="14" t="n">
        <x:v>5</x:v>
      </x:c>
      <x:c r="QZ36" s="14" t="n">
        <x:v>3172</x:v>
      </x:c>
      <x:c r="RA36" s="14" t="n">
        <x:v>88</x:v>
      </x:c>
      <x:c r="RB36" s="14" t="n">
        <x:v>22</x:v>
      </x:c>
      <x:c r="RC36" s="14" t="n">
        <x:v>4</x:v>
      </x:c>
      <x:c r="RD36" s="14" t="str">
        <x:v>未收錄</x:v>
      </x:c>
      <x:c r="RE36" s="14" t="str">
        <x:v>22457</x:v>
      </x:c>
      <x:c r="RF36" s="14" t="n">
        <x:v>3</x:v>
      </x:c>
      <x:c r="RG36" s="14" t="n">
        <x:v>3630</x:v>
      </x:c>
      <x:c r="RH36" s="14" t="n">
        <x:v>85</x:v>
      </x:c>
      <x:c r="RI36" s="14" t="n">
        <x:v>22</x:v>
      </x:c>
      <x:c r="RJ36" s="14" t="n">
        <x:v>1</x:v>
      </x:c>
      <x:c r="RK36" s="14" t="str">
        <x:v>未收錄</x:v>
      </x:c>
      <x:c r="RL36" s="14" t="str">
        <x:v>22458</x:v>
      </x:c>
      <x:c r="RM36" s="14" t="n">
        <x:v>3</x:v>
      </x:c>
      <x:c r="RN36" s="14" t="n">
        <x:v>3631</x:v>
      </x:c>
      <x:c r="RO36" s="14" t="n">
        <x:v>86</x:v>
      </x:c>
      <x:c r="RP36" s="14" t="n">
        <x:v>22</x:v>
      </x:c>
      <x:c r="RQ36" s="14" t="n">
        <x:v>2</x:v>
      </x:c>
      <x:c r="RR36" s="14" t="str">
        <x:v>未收錄</x:v>
      </x:c>
      <x:c r="RS36" s="14" t="str">
        <x:v>22562</x:v>
      </x:c>
      <x:c r="RT36" s="14" t="n">
        <x:v>5</x:v>
      </x:c>
      <x:c r="RU36" s="14" t="n">
        <x:v>3632</x:v>
      </x:c>
      <x:c r="RV36" s="14" t="n">
        <x:v>87</x:v>
      </x:c>
      <x:c r="RW36" s="14" t="n">
        <x:v>22</x:v>
      </x:c>
      <x:c r="RX36" s="14" t="n">
        <x:v>3</x:v>
      </x:c>
      <x:c r="RY36" s="14" t="str">
        <x:v>未收錄</x:v>
      </x:c>
      <x:c r="RZ36" s="14" t="str">
        <x:v>22563</x:v>
      </x:c>
      <x:c r="SA36" s="14" t="n">
        <x:v>5</x:v>
      </x:c>
      <x:c r="SB36" s="14" t="n">
        <x:v>3633</x:v>
      </x:c>
      <x:c r="SC36" s="14" t="n">
        <x:v>88</x:v>
      </x:c>
      <x:c r="SD36" s="14" t="n">
        <x:v>22</x:v>
      </x:c>
      <x:c r="SE36" s="14" t="n">
        <x:v>4</x:v>
      </x:c>
      <x:c r="SF36" s="14" t="str">
        <x:v>未收錄</x:v>
      </x:c>
      <x:c r="SG36" s="14" t="str">
        <x:v>31858</x:v>
      </x:c>
      <x:c r="SH36" s="14" t="n">
        <x:v>10</x:v>
      </x:c>
      <x:c r="SI36" s="14" t="n">
        <x:v>4054</x:v>
      </x:c>
      <x:c r="SJ36" s="14" t="n">
        <x:v>85</x:v>
      </x:c>
      <x:c r="SK36" s="14" t="n">
        <x:v>22</x:v>
      </x:c>
      <x:c r="SL36" s="14" t="n">
        <x:v>1</x:v>
      </x:c>
      <x:c r="SM36" s="14" t="str">
        <x:v>未收錄</x:v>
      </x:c>
      <x:c r="SN36" s="14" t="str">
        <x:v>31544</x:v>
      </x:c>
      <x:c r="SO36" s="14" t="n">
        <x:v>5</x:v>
      </x:c>
      <x:c r="SP36" s="14" t="n">
        <x:v>4055</x:v>
      </x:c>
      <x:c r="SQ36" s="14" t="n">
        <x:v>86</x:v>
      </x:c>
      <x:c r="SR36" s="14" t="n">
        <x:v>22</x:v>
      </x:c>
      <x:c r="SS36" s="14" t="n">
        <x:v>2</x:v>
      </x:c>
      <x:c r="ST36" s="14" t="str">
        <x:v>未收錄</x:v>
      </x:c>
      <x:c r="SU36" s="14"/>
      <x:c r="SV36" s="14"/>
      <x:c r="SW36" s="14"/>
      <x:c r="SX36" s="14"/>
      <x:c r="SY36" s="14"/>
      <x:c r="SZ36" s="14"/>
      <x:c r="TA36" s="14"/>
      <x:c r="TB36" s="14"/>
      <x:c r="TC36" s="14"/>
      <x:c r="TD36" s="14"/>
      <x:c r="TE36" s="14"/>
      <x:c r="TF36" s="14"/>
      <x:c r="TG36" s="14"/>
      <x:c r="TH36" s="14"/>
    </x:row>
    <x:row r="37" ht="15" customHeight="1">
      <x:c r="A37" s="17" t="str">
        <x:v>太阿神劍</x:v>
      </x:c>
      <x:c r="B37" s="17" t="str">
        <x:v>絕世太阿神劍</x:v>
      </x:c>
      <x:c r="C37" s="17" t="str">
        <x:v>湛盧劍</x:v>
      </x:c>
      <x:c r="D37" s="17" t="str">
        <x:v>無雙湛盧劍</x:v>
      </x:c>
      <x:c r="E37" s="14"/>
      <x:c r="F37" s="17" t="str">
        <x:v>鬼渡刀</x:v>
      </x:c>
      <x:c r="G37" s="17" t="str">
        <x:v>無雙鬼渡刀</x:v>
      </x:c>
      <x:c r="H37" s="17" t="str">
        <x:v>虎徹刀</x:v>
      </x:c>
      <x:c r="I37" s="17" t="str">
        <x:v>村雨刀</x:v>
      </x:c>
      <x:c r="J37" s="14"/>
      <x:c r="K37" s="17" t="str">
        <x:v>龍掣爪★★★</x:v>
      </x:c>
      <x:c r="L37" s="17" t="str">
        <x:v>紫凰無限翼</x:v>
      </x:c>
      <x:c r="M37" s="17" t="str">
        <x:v>火鳳無限翼</x:v>
      </x:c>
      <x:c r="N37" s="17" t="str">
        <x:v>幽凰無限翼</x:v>
      </x:c>
      <x:c r="O37" s="14"/>
      <x:c r="P37" s="17" t="str">
        <x:v>奔歲騰月儀</x:v>
      </x:c>
      <x:c r="Q37" s="17" t="str">
        <x:v>縱古橫今儀</x:v>
      </x:c>
      <x:c r="R37" s="17" t="str">
        <x:v>魔戾骨</x:v>
      </x:c>
      <x:c r="S37" s="17" t="str">
        <x:v>太古魔戾骨</x:v>
      </x:c>
      <x:c r="T37" s="14"/>
      <x:c r="U37" s="17" t="str">
        <x:v>太古星宮聖杖</x:v>
      </x:c>
      <x:c r="V37" s="17" t="str">
        <x:v>紫宿雙流杖</x:v>
      </x:c>
      <x:c r="W37" s="17" t="str">
        <x:v>慧軫天羊杖</x:v>
      </x:c>
      <x:c r="X37" s="17" t="str">
        <x:v>獄魔杖</x:v>
      </x:c>
      <x:c r="Y37" s="14"/>
      <x:c r="Z37" s="17" t="str">
        <x:v>誅魔聖衛長槍</x:v>
      </x:c>
      <x:c r="AA37" s="17" t="str">
        <x:v>滅元聖衛長槍</x:v>
      </x:c>
      <x:c r="AB37" s="17" t="str">
        <x:v>屠龍聖衛長槍</x:v>
      </x:c>
      <x:c r="AC37" s="17" t="str">
        <x:v>炬龍鱗尖</x:v>
      </x:c>
      <x:c r="AD37" s="14"/>
      <x:c r="AE37" s="17" t="str">
        <x:v>華蝶翠棍</x:v>
      </x:c>
      <x:c r="AF37" s="17" t="str">
        <x:v>太古華蝶翠棍</x:v>
      </x:c>
      <x:c r="AG37" s="17" t="str">
        <x:v>影蝶逸蹤棍</x:v>
      </x:c>
      <x:c r="AH37" s="17" t="str">
        <x:v>太古影蝶逸蹤棍</x:v>
      </x:c>
      <x:c r="AI37" s="14"/>
      <x:c r="AJ37" s="17" t="str">
        <x:v>神槌‧妙尼爾</x:v>
      </x:c>
      <x:c r="AK37" s="17" t="str">
        <x:v>甦錘納‧努特</x:v>
      </x:c>
      <x:c r="AL37" s="17" t="str">
        <x:v>甦錘納‧努特</x:v>
      </x:c>
      <x:c r="AM37" s="17" t="str">
        <x:v>莽王新朝錘</x:v>
      </x:c>
      <x:c r="AN37" s="14"/>
      <x:c r="AO37" s="17" t="str">
        <x:v>闢斧烏‧涅特</x:v>
      </x:c>
      <x:c r="AP37" s="17" t="str">
        <x:v>商紂暴政斧</x:v>
      </x:c>
      <x:c r="AQ37" s="17" t="str">
        <x:v>商紂暴政斧</x:v>
      </x:c>
      <x:c r="AR37" s="17" t="str">
        <x:v>尼師今尊斧</x:v>
      </x:c>
      <x:c r="AS37" s="14"/>
      <x:c r="AT37" s="17" t="str">
        <x:v>東極通鑑盾</x:v>
      </x:c>
      <x:c r="AU37" s="17" t="str">
        <x:v>新星之旭霆盾</x:v>
      </x:c>
      <x:c r="AV37" s="17" t="str">
        <x:v>複合盾</x:v>
      </x:c>
      <x:c r="AW37" s="17" t="str">
        <x:v>鋼鵬衛盾Ⅰ</x:v>
      </x:c>
      <x:c r="AX37" s="14"/>
      <x:c r="AY37" s="17" t="str">
        <x:v>風翼戰盔</x:v>
      </x:c>
      <x:c r="AZ37" s="17" t="str">
        <x:v>蝶紋頭巾</x:v>
      </x:c>
      <x:c r="BA37" s="17" t="str">
        <x:v>虎紋頭巾</x:v>
      </x:c>
      <x:c r="BB37" s="17" t="str">
        <x:v>豹紋頭巾</x:v>
      </x:c>
      <x:c r="BC37" s="14"/>
      <x:c r="BD37" s="17" t="str">
        <x:v>豹紋勁袍</x:v>
      </x:c>
      <x:c r="BE37" s="17" t="str">
        <x:v>鳳雉羽袍</x:v>
      </x:c>
      <x:c r="BF37" s="17" t="str">
        <x:v>雁翎羽袍</x:v>
      </x:c>
      <x:c r="BG37" s="17" t="str">
        <x:v>千鶴羽袍</x:v>
      </x:c>
      <x:c r="BH37" s="14"/>
      <x:c r="BI37" s="17" t="str">
        <x:v>羅剎護腕</x:v>
      </x:c>
      <x:c r="BJ37" s="17" t="str">
        <x:v>玄武爪</x:v>
      </x:c>
      <x:c r="BK37" s="17" t="str">
        <x:v>玉鱗護腕</x:v>
      </x:c>
      <x:c r="BL37" s="17" t="str">
        <x:v>翡翠錦護手</x:v>
      </x:c>
      <x:c r="BM37" s="14"/>
      <x:c r="BN37" s="17" t="str">
        <x:v>樓蘭織鞋</x:v>
      </x:c>
      <x:c r="BO37" s="17" t="str">
        <x:v>千手鞋</x:v>
      </x:c>
      <x:c r="BP37" s="17" t="str">
        <x:v>羅剎皮靴</x:v>
      </x:c>
      <x:c r="BQ37" s="17" t="str">
        <x:v>玄武戰靴</x:v>
      </x:c>
      <x:c r="BR37" s="14"/>
      <x:c r="BS37" s="17" t="str">
        <x:v>坤雨珠鍊</x:v>
      </x:c>
      <x:c r="BT37" s="17" t="str">
        <x:v>震流珠鍊</x:v>
      </x:c>
      <x:c r="BU37" s="17" t="str">
        <x:v>五蘊指環</x:v>
      </x:c>
      <x:c r="BV37" s="17" t="str">
        <x:v>碧血天珠</x:v>
      </x:c>
      <x:c r="BW37" s="14"/>
      <x:c r="BX37" s="14"/>
      <x:c r="BY37" s="14"/>
      <x:c r="BZ37" s="14"/>
      <x:c r="CA37" s="14"/>
      <x:c r="CB37" s="14"/>
      <x:c r="CC37" s="14" t="str">
        <x:v>21858</x:v>
      </x:c>
      <x:c r="CD37" s="14" t="n">
        <x:v>8</x:v>
      </x:c>
      <x:c r="CE37" s="14" t="n">
        <x:v>89</x:v>
      </x:c>
      <x:c r="CF37" s="14" t="n">
        <x:v>89</x:v>
      </x:c>
      <x:c r="CG37" s="14" t="n">
        <x:v>23</x:v>
      </x:c>
      <x:c r="CH37" s="14" t="n">
        <x:v>1</x:v>
      </x:c>
      <x:c r="CI37" s="14" t="str">
        <x:v>未收錄</x:v>
      </x:c>
      <x:c r="CJ37" s="14" t="str">
        <x:v>22876</x:v>
      </x:c>
      <x:c r="CK37" s="14" t="n">
        <x:v>8</x:v>
      </x:c>
      <x:c r="CL37" s="14" t="n">
        <x:v>90</x:v>
      </x:c>
      <x:c r="CM37" s="14" t="n">
        <x:v>90</x:v>
      </x:c>
      <x:c r="CN37" s="14" t="n">
        <x:v>23</x:v>
      </x:c>
      <x:c r="CO37" s="14" t="n">
        <x:v>2</x:v>
      </x:c>
      <x:c r="CP37" s="14" t="str">
        <x:v>未收錄</x:v>
      </x:c>
      <x:c r="CQ37" s="14" t="str">
        <x:v>21859</x:v>
      </x:c>
      <x:c r="CR37" s="14" t="n">
        <x:v>8</x:v>
      </x:c>
      <x:c r="CS37" s="14" t="n">
        <x:v>91</x:v>
      </x:c>
      <x:c r="CT37" s="14" t="n">
        <x:v>91</x:v>
      </x:c>
      <x:c r="CU37" s="14" t="n">
        <x:v>23</x:v>
      </x:c>
      <x:c r="CV37" s="14" t="n">
        <x:v>3</x:v>
      </x:c>
      <x:c r="CW37" s="14" t="str">
        <x:v>未收錄</x:v>
      </x:c>
      <x:c r="CX37" s="14" t="str">
        <x:v>22043</x:v>
      </x:c>
      <x:c r="CY37" s="14" t="n">
        <x:v>8</x:v>
      </x:c>
      <x:c r="CZ37" s="14" t="n">
        <x:v>92</x:v>
      </x:c>
      <x:c r="DA37" s="14" t="n">
        <x:v>92</x:v>
      </x:c>
      <x:c r="DB37" s="14" t="n">
        <x:v>23</x:v>
      </x:c>
      <x:c r="DC37" s="14" t="n">
        <x:v>4</x:v>
      </x:c>
      <x:c r="DD37" s="14" t="str">
        <x:v>未收錄</x:v>
      </x:c>
      <x:c r="DE37" s="14" t="str">
        <x:v>22500</x:v>
      </x:c>
      <x:c r="DF37" s="14" t="n">
        <x:v>8</x:v>
      </x:c>
      <x:c r="DG37" s="14" t="n">
        <x:v>334</x:v>
      </x:c>
      <x:c r="DH37" s="14" t="n">
        <x:v>89</x:v>
      </x:c>
      <x:c r="DI37" s="14" t="n">
        <x:v>23</x:v>
      </x:c>
      <x:c r="DJ37" s="14" t="n">
        <x:v>1</x:v>
      </x:c>
      <x:c r="DK37" s="14" t="str">
        <x:v>未收錄</x:v>
      </x:c>
      <x:c r="DL37" s="14" t="str">
        <x:v>22992</x:v>
      </x:c>
      <x:c r="DM37" s="14" t="n">
        <x:v>8</x:v>
      </x:c>
      <x:c r="DN37" s="14" t="n">
        <x:v>335</x:v>
      </x:c>
      <x:c r="DO37" s="14" t="n">
        <x:v>90</x:v>
      </x:c>
      <x:c r="DP37" s="14" t="n">
        <x:v>23</x:v>
      </x:c>
      <x:c r="DQ37" s="14" t="n">
        <x:v>2</x:v>
      </x:c>
      <x:c r="DR37" s="14" t="str">
        <x:v>未收錄</x:v>
      </x:c>
      <x:c r="DS37" s="14" t="str">
        <x:v>22501</x:v>
      </x:c>
      <x:c r="DT37" s="14" t="n">
        <x:v>8</x:v>
      </x:c>
      <x:c r="DU37" s="14" t="n">
        <x:v>336</x:v>
      </x:c>
      <x:c r="DV37" s="14" t="n">
        <x:v>91</x:v>
      </x:c>
      <x:c r="DW37" s="14" t="n">
        <x:v>23</x:v>
      </x:c>
      <x:c r="DX37" s="14" t="n">
        <x:v>3</x:v>
      </x:c>
      <x:c r="DY37" s="14" t="str">
        <x:v>未收錄</x:v>
      </x:c>
      <x:c r="DZ37" s="14" t="str">
        <x:v>22502</x:v>
      </x:c>
      <x:c r="EA37" s="14" t="n">
        <x:v>8</x:v>
      </x:c>
      <x:c r="EB37" s="14" t="n">
        <x:v>337</x:v>
      </x:c>
      <x:c r="EC37" s="14" t="n">
        <x:v>92</x:v>
      </x:c>
      <x:c r="ED37" s="14" t="n">
        <x:v>23</x:v>
      </x:c>
      <x:c r="EE37" s="14" t="n">
        <x:v>4</x:v>
      </x:c>
      <x:c r="EF37" s="14" t="str">
        <x:v>未收錄</x:v>
      </x:c>
      <x:c r="EG37" s="14" t="str">
        <x:v>29360</x:v>
      </x:c>
      <x:c r="EH37" s="14" t="n">
        <x:v>8</x:v>
      </x:c>
      <x:c r="EI37" s="14" t="n">
        <x:v>570</x:v>
      </x:c>
      <x:c r="EJ37" s="14" t="n">
        <x:v>89</x:v>
      </x:c>
      <x:c r="EK37" s="14" t="n">
        <x:v>23</x:v>
      </x:c>
      <x:c r="EL37" s="14" t="n">
        <x:v>1</x:v>
      </x:c>
      <x:c r="EM37" s="14" t="str">
        <x:v>未收錄</x:v>
      </x:c>
      <x:c r="EN37" s="14" t="str">
        <x:v>24407</x:v>
      </x:c>
      <x:c r="EO37" s="14" t="n">
        <x:v>10</x:v>
      </x:c>
      <x:c r="EP37" s="14" t="n">
        <x:v>571</x:v>
      </x:c>
      <x:c r="EQ37" s="14" t="n">
        <x:v>90</x:v>
      </x:c>
      <x:c r="ER37" s="14" t="n">
        <x:v>23</x:v>
      </x:c>
      <x:c r="ES37" s="14" t="n">
        <x:v>2</x:v>
      </x:c>
      <x:c r="ET37" s="14" t="str">
        <x:v>未收錄</x:v>
      </x:c>
      <x:c r="EU37" s="14" t="str">
        <x:v>23320</x:v>
      </x:c>
      <x:c r="EV37" s="14" t="n">
        <x:v>10</x:v>
      </x:c>
      <x:c r="EW37" s="14" t="n">
        <x:v>572</x:v>
      </x:c>
      <x:c r="EX37" s="14" t="n">
        <x:v>91</x:v>
      </x:c>
      <x:c r="EY37" s="14" t="n">
        <x:v>23</x:v>
      </x:c>
      <x:c r="EZ37" s="14" t="n">
        <x:v>3</x:v>
      </x:c>
      <x:c r="FA37" s="14" t="str">
        <x:v>未收錄</x:v>
      </x:c>
      <x:c r="FB37" s="14" t="str">
        <x:v>24983</x:v>
      </x:c>
      <x:c r="FC37" s="14" t="n">
        <x:v>10</x:v>
      </x:c>
      <x:c r="FD37" s="14" t="n">
        <x:v>573</x:v>
      </x:c>
      <x:c r="FE37" s="14" t="n">
        <x:v>92</x:v>
      </x:c>
      <x:c r="FF37" s="14" t="n">
        <x:v>23</x:v>
      </x:c>
      <x:c r="FG37" s="14" t="n">
        <x:v>4</x:v>
      </x:c>
      <x:c r="FH37" s="14" t="str">
        <x:v>未收錄</x:v>
      </x:c>
      <x:c r="FI37" s="14" t="str">
        <x:v>24635</x:v>
      </x:c>
      <x:c r="FJ37" s="14" t="n">
        <x:v>8</x:v>
      </x:c>
      <x:c r="FK37" s="14" t="n">
        <x:v>720</x:v>
      </x:c>
      <x:c r="FL37" s="14" t="n">
        <x:v>89</x:v>
      </x:c>
      <x:c r="FM37" s="14" t="n">
        <x:v>23</x:v>
      </x:c>
      <x:c r="FN37" s="14" t="n">
        <x:v>1</x:v>
      </x:c>
      <x:c r="FO37" s="14" t="str">
        <x:v>未收錄</x:v>
      </x:c>
      <x:c r="FP37" s="14" t="str">
        <x:v>24636</x:v>
      </x:c>
      <x:c r="FQ37" s="14" t="n">
        <x:v>8</x:v>
      </x:c>
      <x:c r="FR37" s="14" t="n">
        <x:v>721</x:v>
      </x:c>
      <x:c r="FS37" s="14" t="n">
        <x:v>90</x:v>
      </x:c>
      <x:c r="FT37" s="14" t="n">
        <x:v>23</x:v>
      </x:c>
      <x:c r="FU37" s="14" t="n">
        <x:v>2</x:v>
      </x:c>
      <x:c r="FV37" s="14" t="str">
        <x:v>未收錄</x:v>
      </x:c>
      <x:c r="FW37" s="14" t="str">
        <x:v>26066</x:v>
      </x:c>
      <x:c r="FX37" s="14" t="n">
        <x:v>8</x:v>
      </x:c>
      <x:c r="FY37" s="14" t="n">
        <x:v>722</x:v>
      </x:c>
      <x:c r="FZ37" s="14" t="n">
        <x:v>91</x:v>
      </x:c>
      <x:c r="GA37" s="14" t="n">
        <x:v>23</x:v>
      </x:c>
      <x:c r="GB37" s="14" t="n">
        <x:v>3</x:v>
      </x:c>
      <x:c r="GC37" s="14" t="str">
        <x:v>未收錄</x:v>
      </x:c>
      <x:c r="GD37" s="14" t="str">
        <x:v>26205</x:v>
      </x:c>
      <x:c r="GE37" s="14" t="n">
        <x:v>3</x:v>
      </x:c>
      <x:c r="GF37" s="14" t="n">
        <x:v>723</x:v>
      </x:c>
      <x:c r="GG37" s="14" t="n">
        <x:v>92</x:v>
      </x:c>
      <x:c r="GH37" s="14" t="n">
        <x:v>23</x:v>
      </x:c>
      <x:c r="GI37" s="14" t="n">
        <x:v>4</x:v>
      </x:c>
      <x:c r="GJ37" s="14" t="str">
        <x:v>未收錄</x:v>
      </x:c>
      <x:c r="GK37" s="14" t="str">
        <x:v>26197</x:v>
      </x:c>
      <x:c r="GL37" s="14" t="n">
        <x:v>3</x:v>
      </x:c>
      <x:c r="GM37" s="14" t="n">
        <x:v>892</x:v>
      </x:c>
      <x:c r="GN37" s="14" t="n">
        <x:v>89</x:v>
      </x:c>
      <x:c r="GO37" s="14" t="n">
        <x:v>23</x:v>
      </x:c>
      <x:c r="GP37" s="14" t="n">
        <x:v>1</x:v>
      </x:c>
      <x:c r="GQ37" s="14" t="str">
        <x:v>未收錄</x:v>
      </x:c>
      <x:c r="GR37" s="14" t="str">
        <x:v>24641</x:v>
      </x:c>
      <x:c r="GS37" s="14" t="n">
        <x:v>8</x:v>
      </x:c>
      <x:c r="GT37" s="14" t="n">
        <x:v>893</x:v>
      </x:c>
      <x:c r="GU37" s="14" t="n">
        <x:v>90</x:v>
      </x:c>
      <x:c r="GV37" s="14" t="n">
        <x:v>23</x:v>
      </x:c>
      <x:c r="GW37" s="14" t="n">
        <x:v>2</x:v>
      </x:c>
      <x:c r="GX37" s="14" t="str">
        <x:v>未收錄</x:v>
      </x:c>
      <x:c r="GY37" s="14" t="str">
        <x:v>24642</x:v>
      </x:c>
      <x:c r="GZ37" s="14" t="n">
        <x:v>8</x:v>
      </x:c>
      <x:c r="HA37" s="14" t="n">
        <x:v>894</x:v>
      </x:c>
      <x:c r="HB37" s="14" t="n">
        <x:v>91</x:v>
      </x:c>
      <x:c r="HC37" s="14" t="n">
        <x:v>23</x:v>
      </x:c>
      <x:c r="HD37" s="14" t="n">
        <x:v>3</x:v>
      </x:c>
      <x:c r="HE37" s="14" t="str">
        <x:v>未收錄</x:v>
      </x:c>
      <x:c r="HF37" s="14" t="str">
        <x:v>26072</x:v>
      </x:c>
      <x:c r="HG37" s="14" t="n">
        <x:v>8</x:v>
      </x:c>
      <x:c r="HH37" s="14" t="n">
        <x:v>895</x:v>
      </x:c>
      <x:c r="HI37" s="14" t="n">
        <x:v>92</x:v>
      </x:c>
      <x:c r="HJ37" s="14" t="n">
        <x:v>23</x:v>
      </x:c>
      <x:c r="HK37" s="14" t="n">
        <x:v>4</x:v>
      </x:c>
      <x:c r="HL37" s="14" t="str">
        <x:v>未收錄</x:v>
      </x:c>
      <x:c r="HM37" s="14" t="str">
        <x:v>26465</x:v>
      </x:c>
      <x:c r="HN37" s="14" t="n">
        <x:v>8</x:v>
      </x:c>
      <x:c r="HO37" s="14" t="n">
        <x:v>1065</x:v>
      </x:c>
      <x:c r="HP37" s="14" t="n">
        <x:v>89</x:v>
      </x:c>
      <x:c r="HQ37" s="14" t="n">
        <x:v>23</x:v>
      </x:c>
      <x:c r="HR37" s="14" t="n">
        <x:v>1</x:v>
      </x:c>
      <x:c r="HS37" s="14" t="str">
        <x:v>未收錄</x:v>
      </x:c>
      <x:c r="HT37" s="14" t="str">
        <x:v>26466</x:v>
      </x:c>
      <x:c r="HU37" s="14" t="n">
        <x:v>8</x:v>
      </x:c>
      <x:c r="HV37" s="14" t="n">
        <x:v>1066</x:v>
      </x:c>
      <x:c r="HW37" s="14" t="n">
        <x:v>90</x:v>
      </x:c>
      <x:c r="HX37" s="14" t="n">
        <x:v>23</x:v>
      </x:c>
      <x:c r="HY37" s="14" t="n">
        <x:v>2</x:v>
      </x:c>
      <x:c r="HZ37" s="14" t="str">
        <x:v>未收錄</x:v>
      </x:c>
      <x:c r="IA37" s="14" t="str">
        <x:v>26467</x:v>
      </x:c>
      <x:c r="IB37" s="14" t="n">
        <x:v>8</x:v>
      </x:c>
      <x:c r="IC37" s="14" t="n">
        <x:v>1067</x:v>
      </x:c>
      <x:c r="ID37" s="14" t="n">
        <x:v>91</x:v>
      </x:c>
      <x:c r="IE37" s="14" t="n">
        <x:v>23</x:v>
      </x:c>
      <x:c r="IF37" s="14" t="n">
        <x:v>3</x:v>
      </x:c>
      <x:c r="IG37" s="14" t="str">
        <x:v>未收錄</x:v>
      </x:c>
      <x:c r="IH37" s="14" t="str">
        <x:v>26630</x:v>
      </x:c>
      <x:c r="II37" s="14" t="n">
        <x:v>8</x:v>
      </x:c>
      <x:c r="IJ37" s="14" t="n">
        <x:v>1068</x:v>
      </x:c>
      <x:c r="IK37" s="14" t="n">
        <x:v>92</x:v>
      </x:c>
      <x:c r="IL37" s="14" t="n">
        <x:v>23</x:v>
      </x:c>
      <x:c r="IM37" s="14" t="n">
        <x:v>4</x:v>
      </x:c>
      <x:c r="IN37" s="14" t="str">
        <x:v>未收錄</x:v>
      </x:c>
      <x:c r="IO37" s="14" t="str">
        <x:v>26632</x:v>
      </x:c>
      <x:c r="IP37" s="14" t="n">
        <x:v>8</x:v>
      </x:c>
      <x:c r="IQ37" s="14" t="n">
        <x:v>1233</x:v>
      </x:c>
      <x:c r="IR37" s="14" t="n">
        <x:v>89</x:v>
      </x:c>
      <x:c r="IS37" s="14" t="n">
        <x:v>23</x:v>
      </x:c>
      <x:c r="IT37" s="14" t="n">
        <x:v>1</x:v>
      </x:c>
      <x:c r="IU37" s="14" t="str">
        <x:v>未收錄</x:v>
      </x:c>
      <x:c r="IV37" s="14" t="str">
        <x:v>26726</x:v>
      </x:c>
      <x:c r="IW37" s="14" t="n">
        <x:v>3</x:v>
      </x:c>
      <x:c r="IX37" s="14" t="n">
        <x:v>1234</x:v>
      </x:c>
      <x:c r="IY37" s="14" t="n">
        <x:v>90</x:v>
      </x:c>
      <x:c r="IZ37" s="14" t="n">
        <x:v>23</x:v>
      </x:c>
      <x:c r="JA37" s="14" t="n">
        <x:v>2</x:v>
      </x:c>
      <x:c r="JB37" s="14" t="str">
        <x:v>未收錄</x:v>
      </x:c>
      <x:c r="JC37" s="14" t="str">
        <x:v>26633</x:v>
      </x:c>
      <x:c r="JD37" s="14" t="n">
        <x:v>8</x:v>
      </x:c>
      <x:c r="JE37" s="14" t="n">
        <x:v>1235</x:v>
      </x:c>
      <x:c r="JF37" s="14" t="n">
        <x:v>91</x:v>
      </x:c>
      <x:c r="JG37" s="14" t="n">
        <x:v>23</x:v>
      </x:c>
      <x:c r="JH37" s="14" t="n">
        <x:v>3</x:v>
      </x:c>
      <x:c r="JI37" s="14" t="str">
        <x:v>未收錄</x:v>
      </x:c>
      <x:c r="JJ37" s="14" t="str">
        <x:v>26735</x:v>
      </x:c>
      <x:c r="JK37" s="14" t="n">
        <x:v>3</x:v>
      </x:c>
      <x:c r="JL37" s="14" t="n">
        <x:v>1236</x:v>
      </x:c>
      <x:c r="JM37" s="14" t="n">
        <x:v>92</x:v>
      </x:c>
      <x:c r="JN37" s="14" t="n">
        <x:v>23</x:v>
      </x:c>
      <x:c r="JO37" s="14" t="n">
        <x:v>4</x:v>
      </x:c>
      <x:c r="JP37" s="14" t="str">
        <x:v>未收錄</x:v>
      </x:c>
      <x:c r="JQ37" s="14" t="str">
        <x:v>28783</x:v>
      </x:c>
      <x:c r="JR37" s="14" t="n">
        <x:v>20</x:v>
      </x:c>
      <x:c r="JS37" s="14" t="n">
        <x:v>1400</x:v>
      </x:c>
      <x:c r="JT37" s="14" t="n">
        <x:v>89</x:v>
      </x:c>
      <x:c r="JU37" s="14" t="n">
        <x:v>23</x:v>
      </x:c>
      <x:c r="JV37" s="14" t="n">
        <x:v>1</x:v>
      </x:c>
      <x:c r="JW37" s="14" t="str">
        <x:v>未收錄</x:v>
      </x:c>
      <x:c r="JX37" s="14" t="str">
        <x:v>29008</x:v>
      </x:c>
      <x:c r="JY37" s="14" t="n">
        <x:v>20</x:v>
      </x:c>
      <x:c r="JZ37" s="14" t="n">
        <x:v>1401</x:v>
      </x:c>
      <x:c r="KA37" s="14" t="n">
        <x:v>90</x:v>
      </x:c>
      <x:c r="KB37" s="14" t="n">
        <x:v>23</x:v>
      </x:c>
      <x:c r="KC37" s="14" t="n">
        <x:v>2</x:v>
      </x:c>
      <x:c r="KD37" s="14" t="str">
        <x:v>未收錄</x:v>
      </x:c>
      <x:c r="KE37" s="14" t="str">
        <x:v>29021</x:v>
      </x:c>
      <x:c r="KF37" s="14" t="n">
        <x:v>20</x:v>
      </x:c>
      <x:c r="KG37" s="14" t="n">
        <x:v>1402</x:v>
      </x:c>
      <x:c r="KH37" s="14" t="n">
        <x:v>91</x:v>
      </x:c>
      <x:c r="KI37" s="14" t="n">
        <x:v>23</x:v>
      </x:c>
      <x:c r="KJ37" s="14" t="n">
        <x:v>3</x:v>
      </x:c>
      <x:c r="KK37" s="14" t="str">
        <x:v>未收錄</x:v>
      </x:c>
      <x:c r="KL37" s="14" t="str">
        <x:v>29661</x:v>
      </x:c>
      <x:c r="KM37" s="14" t="n">
        <x:v>20</x:v>
      </x:c>
      <x:c r="KN37" s="14" t="n">
        <x:v>1403</x:v>
      </x:c>
      <x:c r="KO37" s="14" t="n">
        <x:v>92</x:v>
      </x:c>
      <x:c r="KP37" s="14" t="n">
        <x:v>23</x:v>
      </x:c>
      <x:c r="KQ37" s="14" t="n">
        <x:v>4</x:v>
      </x:c>
      <x:c r="KR37" s="14" t="str">
        <x:v>未收錄</x:v>
      </x:c>
      <x:c r="KS37" s="14" t="str">
        <x:v>29022</x:v>
      </x:c>
      <x:c r="KT37" s="14" t="n">
        <x:v>20</x:v>
      </x:c>
      <x:c r="KU37" s="14" t="n">
        <x:v>1515</x:v>
      </x:c>
      <x:c r="KV37" s="14" t="n">
        <x:v>89</x:v>
      </x:c>
      <x:c r="KW37" s="14" t="n">
        <x:v>23</x:v>
      </x:c>
      <x:c r="KX37" s="14" t="n">
        <x:v>1</x:v>
      </x:c>
      <x:c r="KY37" s="14" t="str">
        <x:v>未收錄</x:v>
      </x:c>
      <x:c r="KZ37" s="14" t="str">
        <x:v>29662</x:v>
      </x:c>
      <x:c r="LA37" s="14" t="n">
        <x:v>20</x:v>
      </x:c>
      <x:c r="LB37" s="14" t="n">
        <x:v>1516</x:v>
      </x:c>
      <x:c r="LC37" s="14" t="n">
        <x:v>90</x:v>
      </x:c>
      <x:c r="LD37" s="14" t="n">
        <x:v>23</x:v>
      </x:c>
      <x:c r="LE37" s="14" t="n">
        <x:v>2</x:v>
      </x:c>
      <x:c r="LF37" s="14" t="str">
        <x:v>未收錄</x:v>
      </x:c>
      <x:c r="LG37" s="14" t="str">
        <x:v>29672</x:v>
      </x:c>
      <x:c r="LH37" s="14" t="n">
        <x:v>20</x:v>
      </x:c>
      <x:c r="LI37" s="14" t="n">
        <x:v>1517</x:v>
      </x:c>
      <x:c r="LJ37" s="14" t="n">
        <x:v>91</x:v>
      </x:c>
      <x:c r="LK37" s="14" t="n">
        <x:v>23</x:v>
      </x:c>
      <x:c r="LL37" s="14" t="n">
        <x:v>3</x:v>
      </x:c>
      <x:c r="LM37" s="14" t="str">
        <x:v>未收錄</x:v>
      </x:c>
      <x:c r="LN37" s="14" t="str">
        <x:v>29921</x:v>
      </x:c>
      <x:c r="LO37" s="14" t="n">
        <x:v>20</x:v>
      </x:c>
      <x:c r="LP37" s="14" t="n">
        <x:v>1518</x:v>
      </x:c>
      <x:c r="LQ37" s="14" t="n">
        <x:v>92</x:v>
      </x:c>
      <x:c r="LR37" s="14" t="n">
        <x:v>23</x:v>
      </x:c>
      <x:c r="LS37" s="14" t="n">
        <x:v>4</x:v>
      </x:c>
      <x:c r="LT37" s="14" t="str">
        <x:v>未收錄</x:v>
      </x:c>
      <x:c r="LU37" s="14" t="str">
        <x:v>29932</x:v>
      </x:c>
      <x:c r="LV37" s="14" t="n">
        <x:v>20</x:v>
      </x:c>
      <x:c r="LW37" s="14" t="n">
        <x:v>1628</x:v>
      </x:c>
      <x:c r="LX37" s="14" t="n">
        <x:v>89</x:v>
      </x:c>
      <x:c r="LY37" s="14" t="n">
        <x:v>23</x:v>
      </x:c>
      <x:c r="LZ37" s="14" t="n">
        <x:v>1</x:v>
      </x:c>
      <x:c r="MA37" s="14" t="str">
        <x:v>未收錄</x:v>
      </x:c>
      <x:c r="MB37" s="14" t="str">
        <x:v>27268</x:v>
      </x:c>
      <x:c r="MC37" s="14" t="n">
        <x:v>8</x:v>
      </x:c>
      <x:c r="MD37" s="14" t="n">
        <x:v>1629</x:v>
      </x:c>
      <x:c r="ME37" s="14" t="n">
        <x:v>90</x:v>
      </x:c>
      <x:c r="MF37" s="14" t="n">
        <x:v>23</x:v>
      </x:c>
      <x:c r="MG37" s="14" t="n">
        <x:v>2</x:v>
      </x:c>
      <x:c r="MH37" s="14" t="str">
        <x:v>未收錄</x:v>
      </x:c>
      <x:c r="MI37" s="14" t="str">
        <x:v>31081</x:v>
      </x:c>
      <x:c r="MJ37" s="14" t="n">
        <x:v>1</x:v>
      </x:c>
      <x:c r="MK37" s="14" t="n">
        <x:v>1630</x:v>
      </x:c>
      <x:c r="ML37" s="14" t="n">
        <x:v>91</x:v>
      </x:c>
      <x:c r="MM37" s="14" t="n">
        <x:v>23</x:v>
      </x:c>
      <x:c r="MN37" s="14" t="n">
        <x:v>3</x:v>
      </x:c>
      <x:c r="MO37" s="14" t="str">
        <x:v>未收錄</x:v>
      </x:c>
      <x:c r="MP37" s="14" t="str">
        <x:v>30246</x:v>
      </x:c>
      <x:c r="MQ37" s="14" t="n">
        <x:v>8</x:v>
      </x:c>
      <x:c r="MR37" s="14" t="n">
        <x:v>1631</x:v>
      </x:c>
      <x:c r="MS37" s="14" t="n">
        <x:v>92</x:v>
      </x:c>
      <x:c r="MT37" s="14" t="n">
        <x:v>23</x:v>
      </x:c>
      <x:c r="MU37" s="14" t="n">
        <x:v>4</x:v>
      </x:c>
      <x:c r="MV37" s="14" t="str">
        <x:v>未收錄</x:v>
      </x:c>
      <x:c r="MW37" s="14" t="str">
        <x:v>21482</x:v>
      </x:c>
      <x:c r="MX37" s="14" t="n">
        <x:v>5</x:v>
      </x:c>
      <x:c r="MY37" s="14" t="n">
        <x:v>1737</x:v>
      </x:c>
      <x:c r="MZ37" s="14" t="n">
        <x:v>89</x:v>
      </x:c>
      <x:c r="NA37" s="14" t="n">
        <x:v>23</x:v>
      </x:c>
      <x:c r="NB37" s="14" t="n">
        <x:v>1</x:v>
      </x:c>
      <x:c r="NC37" s="14" t="str">
        <x:v>未收錄</x:v>
      </x:c>
      <x:c r="ND37" s="14" t="str">
        <x:v>21483</x:v>
      </x:c>
      <x:c r="NE37" s="14" t="n">
        <x:v>5</x:v>
      </x:c>
      <x:c r="NF37" s="14" t="n">
        <x:v>1738</x:v>
      </x:c>
      <x:c r="NG37" s="14" t="n">
        <x:v>90</x:v>
      </x:c>
      <x:c r="NH37" s="14" t="n">
        <x:v>23</x:v>
      </x:c>
      <x:c r="NI37" s="14" t="n">
        <x:v>2</x:v>
      </x:c>
      <x:c r="NJ37" s="14" t="str">
        <x:v>未收錄</x:v>
      </x:c>
      <x:c r="NK37" s="14" t="str">
        <x:v>21484</x:v>
      </x:c>
      <x:c r="NL37" s="14" t="n">
        <x:v>5</x:v>
      </x:c>
      <x:c r="NM37" s="14" t="n">
        <x:v>1739</x:v>
      </x:c>
      <x:c r="NN37" s="14" t="n">
        <x:v>91</x:v>
      </x:c>
      <x:c r="NO37" s="14" t="n">
        <x:v>23</x:v>
      </x:c>
      <x:c r="NP37" s="14" t="n">
        <x:v>3</x:v>
      </x:c>
      <x:c r="NQ37" s="14" t="str">
        <x:v>未收錄</x:v>
      </x:c>
      <x:c r="NR37" s="14" t="str">
        <x:v>21485</x:v>
      </x:c>
      <x:c r="NS37" s="14" t="n">
        <x:v>5</x:v>
      </x:c>
      <x:c r="NT37" s="14" t="n">
        <x:v>1740</x:v>
      </x:c>
      <x:c r="NU37" s="14" t="n">
        <x:v>92</x:v>
      </x:c>
      <x:c r="NV37" s="14" t="n">
        <x:v>23</x:v>
      </x:c>
      <x:c r="NW37" s="14" t="n">
        <x:v>4</x:v>
      </x:c>
      <x:c r="NX37" s="14" t="str">
        <x:v>未收錄</x:v>
      </x:c>
      <x:c r="NY37" s="14" t="str">
        <x:v>21501</x:v>
      </x:c>
      <x:c r="NZ37" s="14" t="n">
        <x:v>5</x:v>
      </x:c>
      <x:c r="OA37" s="14" t="n">
        <x:v>2190</x:v>
      </x:c>
      <x:c r="OB37" s="14" t="n">
        <x:v>89</x:v>
      </x:c>
      <x:c r="OC37" s="14" t="n">
        <x:v>23</x:v>
      </x:c>
      <x:c r="OD37" s="14" t="n">
        <x:v>1</x:v>
      </x:c>
      <x:c r="OE37" s="14" t="str">
        <x:v>未收錄</x:v>
      </x:c>
      <x:c r="OF37" s="14" t="str">
        <x:v>21502</x:v>
      </x:c>
      <x:c r="OG37" s="14" t="n">
        <x:v>5</x:v>
      </x:c>
      <x:c r="OH37" s="14" t="n">
        <x:v>2191</x:v>
      </x:c>
      <x:c r="OI37" s="14" t="n">
        <x:v>90</x:v>
      </x:c>
      <x:c r="OJ37" s="14" t="n">
        <x:v>23</x:v>
      </x:c>
      <x:c r="OK37" s="14" t="n">
        <x:v>2</x:v>
      </x:c>
      <x:c r="OL37" s="14" t="str">
        <x:v>未收錄</x:v>
      </x:c>
      <x:c r="OM37" s="14" t="str">
        <x:v>21503</x:v>
      </x:c>
      <x:c r="ON37" s="14" t="n">
        <x:v>5</x:v>
      </x:c>
      <x:c r="OO37" s="14" t="n">
        <x:v>2192</x:v>
      </x:c>
      <x:c r="OP37" s="14" t="n">
        <x:v>91</x:v>
      </x:c>
      <x:c r="OQ37" s="14" t="n">
        <x:v>23</x:v>
      </x:c>
      <x:c r="OR37" s="14" t="n">
        <x:v>3</x:v>
      </x:c>
      <x:c r="OS37" s="14" t="str">
        <x:v>未收錄</x:v>
      </x:c>
      <x:c r="OT37" s="14" t="str">
        <x:v>21504</x:v>
      </x:c>
      <x:c r="OU37" s="14" t="n">
        <x:v>5</x:v>
      </x:c>
      <x:c r="OV37" s="14" t="n">
        <x:v>2193</x:v>
      </x:c>
      <x:c r="OW37" s="14" t="n">
        <x:v>92</x:v>
      </x:c>
      <x:c r="OX37" s="14" t="n">
        <x:v>23</x:v>
      </x:c>
      <x:c r="OY37" s="14" t="n">
        <x:v>4</x:v>
      </x:c>
      <x:c r="OZ37" s="14" t="str">
        <x:v>未收錄</x:v>
      </x:c>
      <x:c r="PA37" s="14" t="str">
        <x:v>22165</x:v>
      </x:c>
      <x:c r="PB37" s="14" t="n">
        <x:v>5</x:v>
      </x:c>
      <x:c r="PC37" s="14" t="n">
        <x:v>2736</x:v>
      </x:c>
      <x:c r="PD37" s="14" t="n">
        <x:v>89</x:v>
      </x:c>
      <x:c r="PE37" s="14" t="n">
        <x:v>23</x:v>
      </x:c>
      <x:c r="PF37" s="14" t="n">
        <x:v>1</x:v>
      </x:c>
      <x:c r="PG37" s="14" t="str">
        <x:v>未收錄</x:v>
      </x:c>
      <x:c r="PH37" s="14" t="str">
        <x:v>22166</x:v>
      </x:c>
      <x:c r="PI37" s="14" t="n">
        <x:v>5</x:v>
      </x:c>
      <x:c r="PJ37" s="14" t="n">
        <x:v>2737</x:v>
      </x:c>
      <x:c r="PK37" s="14" t="n">
        <x:v>90</x:v>
      </x:c>
      <x:c r="PL37" s="14" t="n">
        <x:v>23</x:v>
      </x:c>
      <x:c r="PM37" s="14" t="n">
        <x:v>2</x:v>
      </x:c>
      <x:c r="PN37" s="14" t="str">
        <x:v>未收錄</x:v>
      </x:c>
      <x:c r="PO37" s="14" t="str">
        <x:v>22167</x:v>
      </x:c>
      <x:c r="PP37" s="14" t="n">
        <x:v>5</x:v>
      </x:c>
      <x:c r="PQ37" s="14" t="n">
        <x:v>2738</x:v>
      </x:c>
      <x:c r="PR37" s="14" t="n">
        <x:v>91</x:v>
      </x:c>
      <x:c r="PS37" s="14" t="n">
        <x:v>23</x:v>
      </x:c>
      <x:c r="PT37" s="14" t="n">
        <x:v>3</x:v>
      </x:c>
      <x:c r="PU37" s="14" t="str">
        <x:v>未收錄</x:v>
      </x:c>
      <x:c r="PV37" s="14" t="str">
        <x:v>22168</x:v>
      </x:c>
      <x:c r="PW37" s="14" t="n">
        <x:v>5</x:v>
      </x:c>
      <x:c r="PX37" s="14" t="n">
        <x:v>2739</x:v>
      </x:c>
      <x:c r="PY37" s="14" t="n">
        <x:v>92</x:v>
      </x:c>
      <x:c r="PZ37" s="14" t="n">
        <x:v>23</x:v>
      </x:c>
      <x:c r="QA37" s="14" t="n">
        <x:v>4</x:v>
      </x:c>
      <x:c r="QB37" s="14" t="str">
        <x:v>未收錄</x:v>
      </x:c>
      <x:c r="QC37" s="14" t="str">
        <x:v>22173</x:v>
      </x:c>
      <x:c r="QD37" s="14" t="n">
        <x:v>5</x:v>
      </x:c>
      <x:c r="QE37" s="14" t="n">
        <x:v>3173</x:v>
      </x:c>
      <x:c r="QF37" s="14" t="n">
        <x:v>89</x:v>
      </x:c>
      <x:c r="QG37" s="14" t="n">
        <x:v>23</x:v>
      </x:c>
      <x:c r="QH37" s="14" t="n">
        <x:v>1</x:v>
      </x:c>
      <x:c r="QI37" s="14" t="str">
        <x:v>未收錄</x:v>
      </x:c>
      <x:c r="QJ37" s="14" t="str">
        <x:v>22174</x:v>
      </x:c>
      <x:c r="QK37" s="14" t="n">
        <x:v>5</x:v>
      </x:c>
      <x:c r="QL37" s="14" t="n">
        <x:v>3174</x:v>
      </x:c>
      <x:c r="QM37" s="14" t="n">
        <x:v>90</x:v>
      </x:c>
      <x:c r="QN37" s="14" t="n">
        <x:v>23</x:v>
      </x:c>
      <x:c r="QO37" s="14" t="n">
        <x:v>2</x:v>
      </x:c>
      <x:c r="QP37" s="14" t="str">
        <x:v>未收錄</x:v>
      </x:c>
      <x:c r="QQ37" s="14" t="str">
        <x:v>22175</x:v>
      </x:c>
      <x:c r="QR37" s="14" t="n">
        <x:v>5</x:v>
      </x:c>
      <x:c r="QS37" s="14" t="n">
        <x:v>3175</x:v>
      </x:c>
      <x:c r="QT37" s="14" t="n">
        <x:v>91</x:v>
      </x:c>
      <x:c r="QU37" s="14" t="n">
        <x:v>23</x:v>
      </x:c>
      <x:c r="QV37" s="14" t="n">
        <x:v>3</x:v>
      </x:c>
      <x:c r="QW37" s="14" t="str">
        <x:v>未收錄</x:v>
      </x:c>
      <x:c r="QX37" s="14" t="str">
        <x:v>22176</x:v>
      </x:c>
      <x:c r="QY37" s="14" t="n">
        <x:v>5</x:v>
      </x:c>
      <x:c r="QZ37" s="14" t="n">
        <x:v>3176</x:v>
      </x:c>
      <x:c r="RA37" s="14" t="n">
        <x:v>92</x:v>
      </x:c>
      <x:c r="RB37" s="14" t="n">
        <x:v>23</x:v>
      </x:c>
      <x:c r="RC37" s="14" t="n">
        <x:v>4</x:v>
      </x:c>
      <x:c r="RD37" s="14" t="str">
        <x:v>未收錄</x:v>
      </x:c>
      <x:c r="RE37" s="14" t="str">
        <x:v>22564</x:v>
      </x:c>
      <x:c r="RF37" s="14" t="n">
        <x:v>5</x:v>
      </x:c>
      <x:c r="RG37" s="14" t="n">
        <x:v>3634</x:v>
      </x:c>
      <x:c r="RH37" s="14" t="n">
        <x:v>89</x:v>
      </x:c>
      <x:c r="RI37" s="14" t="n">
        <x:v>23</x:v>
      </x:c>
      <x:c r="RJ37" s="14" t="n">
        <x:v>1</x:v>
      </x:c>
      <x:c r="RK37" s="14" t="str">
        <x:v>未收錄</x:v>
      </x:c>
      <x:c r="RL37" s="14" t="str">
        <x:v>22565</x:v>
      </x:c>
      <x:c r="RM37" s="14" t="n">
        <x:v>5</x:v>
      </x:c>
      <x:c r="RN37" s="14" t="n">
        <x:v>3635</x:v>
      </x:c>
      <x:c r="RO37" s="14" t="n">
        <x:v>90</x:v>
      </x:c>
      <x:c r="RP37" s="14" t="n">
        <x:v>23</x:v>
      </x:c>
      <x:c r="RQ37" s="14" t="n">
        <x:v>2</x:v>
      </x:c>
      <x:c r="RR37" s="14" t="str">
        <x:v>未收錄</x:v>
      </x:c>
      <x:c r="RS37" s="14" t="str">
        <x:v>23212</x:v>
      </x:c>
      <x:c r="RT37" s="14" t="n">
        <x:v>5</x:v>
      </x:c>
      <x:c r="RU37" s="14" t="n">
        <x:v>3636</x:v>
      </x:c>
      <x:c r="RV37" s="14" t="n">
        <x:v>91</x:v>
      </x:c>
      <x:c r="RW37" s="14" t="n">
        <x:v>23</x:v>
      </x:c>
      <x:c r="RX37" s="14" t="n">
        <x:v>3</x:v>
      </x:c>
      <x:c r="RY37" s="14" t="str">
        <x:v>未收錄</x:v>
      </x:c>
      <x:c r="RZ37" s="14" t="str">
        <x:v>23213</x:v>
      </x:c>
      <x:c r="SA37" s="14" t="n">
        <x:v>5</x:v>
      </x:c>
      <x:c r="SB37" s="14" t="n">
        <x:v>3637</x:v>
      </x:c>
      <x:c r="SC37" s="14" t="n">
        <x:v>92</x:v>
      </x:c>
      <x:c r="SD37" s="14" t="n">
        <x:v>23</x:v>
      </x:c>
      <x:c r="SE37" s="14" t="n">
        <x:v>4</x:v>
      </x:c>
      <x:c r="SF37" s="14" t="str">
        <x:v>未收錄</x:v>
      </x:c>
      <x:c r="SG37" s="14"/>
      <x:c r="SH37" s="14"/>
      <x:c r="SI37" s="14"/>
      <x:c r="SJ37" s="14"/>
      <x:c r="SK37" s="14"/>
      <x:c r="SL37" s="14"/>
      <x:c r="SM37" s="14"/>
      <x:c r="SN37" s="14"/>
      <x:c r="SO37" s="14"/>
      <x:c r="SP37" s="14"/>
      <x:c r="SQ37" s="14"/>
      <x:c r="SR37" s="14"/>
      <x:c r="SS37" s="14"/>
      <x:c r="ST37" s="14"/>
      <x:c r="SU37" s="14"/>
      <x:c r="SV37" s="14"/>
      <x:c r="SW37" s="14"/>
      <x:c r="SX37" s="14"/>
      <x:c r="SY37" s="14"/>
      <x:c r="SZ37" s="14"/>
      <x:c r="TA37" s="14"/>
      <x:c r="TB37" s="14"/>
      <x:c r="TC37" s="14"/>
      <x:c r="TD37" s="14"/>
      <x:c r="TE37" s="14"/>
      <x:c r="TF37" s="14"/>
      <x:c r="TG37" s="14"/>
      <x:c r="TH37" s="14"/>
    </x:row>
    <x:row r="38" ht="15" customHeight="1">
      <x:c r="A38" s="18" t="str">
        <x:v>湛盧神劍</x:v>
      </x:c>
      <x:c r="B38" s="18" t="str">
        <x:v>絕世湛盧神劍</x:v>
      </x:c>
      <x:c r="C38" s="18" t="str">
        <x:v>樓蘭劍</x:v>
      </x:c>
      <x:c r="D38" s="18" t="str">
        <x:v>無雙樓蘭劍</x:v>
      </x:c>
      <x:c r="E38" s="14"/>
      <x:c r="F38" s="18" t="str">
        <x:v>昆吾刀</x:v>
      </x:c>
      <x:c r="G38" s="18" t="str">
        <x:v>秋水太刀</x:v>
      </x:c>
      <x:c r="H38" s="18" t="str">
        <x:v>雲燿太刀</x:v>
      </x:c>
      <x:c r="I38" s="18" t="str">
        <x:v>斬業刀</x:v>
      </x:c>
      <x:c r="J38" s="14"/>
      <x:c r="K38" s="18" t="str">
        <x:v>光凰無限翼</x:v>
      </x:c>
      <x:c r="L38" s="18" t="str">
        <x:v>涅槃無限翼</x:v>
      </x:c>
      <x:c r="M38" s="18" t="str">
        <x:v>激光滅辰剎</x:v>
      </x:c>
      <x:c r="N38" s="18" t="str">
        <x:v>九界樹聖箭</x:v>
      </x:c>
      <x:c r="O38" s="14"/>
      <x:c r="P38" s="18" t="str">
        <x:v>朱煉絕邪骨</x:v>
      </x:c>
      <x:c r="Q38" s="18" t="str">
        <x:v>魔塵赫權骨</x:v>
      </x:c>
      <x:c r="R38" s="18" t="str">
        <x:v>天使心</x:v>
      </x:c>
      <x:c r="S38" s="18" t="str">
        <x:v>太古天使心</x:v>
      </x:c>
      <x:c r="T38" s="14"/>
      <x:c r="U38" s="18" t="str">
        <x:v>太古獄魔杖</x:v>
      </x:c>
      <x:c r="V38" s="18" t="str">
        <x:v>煉獄魔導杖</x:v>
      </x:c>
      <x:c r="W38" s="18" t="str">
        <x:v>妖骸禁咒杖</x:v>
      </x:c>
      <x:c r="X38" s="18" t="str">
        <x:v>天羽杖</x:v>
      </x:c>
      <x:c r="Y38" s="14"/>
      <x:c r="Z38" s="18" t="str">
        <x:v>太古炬龍鱗尖</x:v>
      </x:c>
      <x:c r="AA38" s="18" t="str">
        <x:v>燦天煌龍尖</x:v>
      </x:c>
      <x:c r="AB38" s="18" t="str">
        <x:v>太古燦天煌龍尖</x:v>
      </x:c>
      <x:c r="AC38" s="18" t="str">
        <x:v>聖樂空行槍</x:v>
      </x:c>
      <x:c r="AD38" s="14"/>
      <x:c r="AE38" s="18" t="str">
        <x:v>羯磨壇城棍</x:v>
      </x:c>
      <x:c r="AF38" s="18" t="str">
        <x:v>雙界輪圓棍</x:v>
      </x:c>
      <x:c r="AG38" s="18" t="str">
        <x:v>天鍛‧織霧棍</x:v>
      </x:c>
      <x:c r="AH38" s="18" t="str">
        <x:v>仙鑄‧織霧棍</x:v>
      </x:c>
      <x:c r="AI38" s="14"/>
      <x:c r="AJ38" s="18" t="str">
        <x:v>莽王新朝錘</x:v>
      </x:c>
      <x:c r="AK38" s="18" t="str">
        <x:v>首露伽耶錘</x:v>
      </x:c>
      <x:c r="AL38" s="18" t="str">
        <x:v>首露伽耶錘</x:v>
      </x:c>
      <x:c r="AM38" s="18" t="str">
        <x:v>新星之鳴雷錘</x:v>
      </x:c>
      <x:c r="AN38" s="14"/>
      <x:c r="AO38" s="18" t="str">
        <x:v>尼師今尊斧</x:v>
      </x:c>
      <x:c r="AP38" s="18" t="str">
        <x:v>新星之昇塵斧</x:v>
      </x:c>
      <x:c r="AQ38" s="18" t="str">
        <x:v>鬥羅斧</x:v>
      </x:c>
      <x:c r="AR38" s="18" t="str">
        <x:v>葬月梟斧Ⅰ</x:v>
      </x:c>
      <x:c r="AS38" s="14"/>
      <x:c r="AT38" s="18" t="str">
        <x:v>鋼鵬衛盾Ⅱ</x:v>
      </x:c>
      <x:c r="AU38" s="18" t="str">
        <x:v>鋼鵬衛盾Ⅲ</x:v>
      </x:c>
      <x:c r="AV38" s="18" t="str">
        <x:v>鋼鵬衛盾Ⅳ</x:v>
      </x:c>
      <x:c r="AW38" s="18" t="str">
        <x:v>鋼鵬衛盾Ⅴ</x:v>
      </x:c>
      <x:c r="AX38" s="14"/>
      <x:c r="AY38" s="18" t="str">
        <x:v>鳳雉冠</x:v>
      </x:c>
      <x:c r="AZ38" s="18" t="str">
        <x:v>雁翎冠</x:v>
      </x:c>
      <x:c r="BA38" s="18" t="str">
        <x:v>千鶴冠</x:v>
      </x:c>
      <x:c r="BB38" s="18" t="str">
        <x:v>擒龍斗笠</x:v>
      </x:c>
      <x:c r="BC38" s="14"/>
      <x:c r="BD38" s="18" t="str">
        <x:v>擒龍僧衣</x:v>
      </x:c>
      <x:c r="BE38" s="18" t="str">
        <x:v>伏虎僧衣</x:v>
      </x:c>
      <x:c r="BF38" s="18" t="str">
        <x:v>除妖僧衣</x:v>
      </x:c>
      <x:c r="BG38" s="18" t="str">
        <x:v>斬蛟僧衣</x:v>
      </x:c>
      <x:c r="BH38" s="14"/>
      <x:c r="BI38" s="18" t="str">
        <x:v>萬佛護腕</x:v>
      </x:c>
      <x:c r="BJ38" s="18" t="str">
        <x:v>天羅護腕</x:v>
      </x:c>
      <x:c r="BK38" s="18" t="str">
        <x:v>摘星護腕</x:v>
      </x:c>
      <x:c r="BL38" s="18" t="str">
        <x:v>德津護腕</x:v>
      </x:c>
      <x:c r="BM38" s="14"/>
      <x:c r="BN38" s="18" t="str">
        <x:v>玉鱗戰靴</x:v>
      </x:c>
      <x:c r="BO38" s="18" t="str">
        <x:v>翡翠錦鞋</x:v>
      </x:c>
      <x:c r="BP38" s="18" t="str">
        <x:v>萬佛靴</x:v>
      </x:c>
      <x:c r="BQ38" s="18" t="str">
        <x:v>天羅皮靴</x:v>
      </x:c>
      <x:c r="BR38" s="14"/>
      <x:c r="BS38" s="18" t="str">
        <x:v>四真項鍊</x:v>
      </x:c>
      <x:c r="BT38" s="18" t="str">
        <x:v>常寂墜鍊</x:v>
      </x:c>
      <x:c r="BU38" s="18" t="str">
        <x:v>十念指環</x:v>
      </x:c>
      <x:c r="BV38" s="18" t="str">
        <x:v>赦生天珠</x:v>
      </x:c>
      <x:c r="BW38" s="14"/>
      <x:c r="BX38" s="14"/>
      <x:c r="BY38" s="14"/>
      <x:c r="BZ38" s="14"/>
      <x:c r="CA38" s="14"/>
      <x:c r="CB38" s="14"/>
      <x:c r="CC38" s="14" t="str">
        <x:v>21860</x:v>
      </x:c>
      <x:c r="CD38" s="14" t="n">
        <x:v>8</x:v>
      </x:c>
      <x:c r="CE38" s="14" t="n">
        <x:v>93</x:v>
      </x:c>
      <x:c r="CF38" s="14" t="n">
        <x:v>93</x:v>
      </x:c>
      <x:c r="CG38" s="14" t="n">
        <x:v>24</x:v>
      </x:c>
      <x:c r="CH38" s="14" t="n">
        <x:v>1</x:v>
      </x:c>
      <x:c r="CI38" s="14" t="str">
        <x:v>未收錄</x:v>
      </x:c>
      <x:c r="CJ38" s="14" t="str">
        <x:v>22877</x:v>
      </x:c>
      <x:c r="CK38" s="14" t="n">
        <x:v>8</x:v>
      </x:c>
      <x:c r="CL38" s="14" t="n">
        <x:v>94</x:v>
      </x:c>
      <x:c r="CM38" s="14" t="n">
        <x:v>94</x:v>
      </x:c>
      <x:c r="CN38" s="14" t="n">
        <x:v>24</x:v>
      </x:c>
      <x:c r="CO38" s="14" t="n">
        <x:v>2</x:v>
      </x:c>
      <x:c r="CP38" s="14" t="str">
        <x:v>未收錄</x:v>
      </x:c>
      <x:c r="CQ38" s="14" t="str">
        <x:v>22110</x:v>
      </x:c>
      <x:c r="CR38" s="14" t="n">
        <x:v>8</x:v>
      </x:c>
      <x:c r="CS38" s="14" t="n">
        <x:v>95</x:v>
      </x:c>
      <x:c r="CT38" s="14" t="n">
        <x:v>95</x:v>
      </x:c>
      <x:c r="CU38" s="14" t="n">
        <x:v>24</x:v>
      </x:c>
      <x:c r="CV38" s="14" t="n">
        <x:v>3</x:v>
      </x:c>
      <x:c r="CW38" s="14" t="str">
        <x:v>未收錄</x:v>
      </x:c>
      <x:c r="CX38" s="14" t="str">
        <x:v>22661</x:v>
      </x:c>
      <x:c r="CY38" s="14" t="n">
        <x:v>8</x:v>
      </x:c>
      <x:c r="CZ38" s="14" t="n">
        <x:v>96</x:v>
      </x:c>
      <x:c r="DA38" s="14" t="n">
        <x:v>96</x:v>
      </x:c>
      <x:c r="DB38" s="14" t="n">
        <x:v>24</x:v>
      </x:c>
      <x:c r="DC38" s="14" t="n">
        <x:v>4</x:v>
      </x:c>
      <x:c r="DD38" s="14" t="str">
        <x:v>未收錄</x:v>
      </x:c>
      <x:c r="DE38" s="14" t="str">
        <x:v>22503</x:v>
      </x:c>
      <x:c r="DF38" s="14" t="n">
        <x:v>8</x:v>
      </x:c>
      <x:c r="DG38" s="14" t="n">
        <x:v>338</x:v>
      </x:c>
      <x:c r="DH38" s="14" t="n">
        <x:v>93</x:v>
      </x:c>
      <x:c r="DI38" s="14" t="n">
        <x:v>24</x:v>
      </x:c>
      <x:c r="DJ38" s="14" t="n">
        <x:v>1</x:v>
      </x:c>
      <x:c r="DK38" s="14" t="str">
        <x:v>未收錄</x:v>
      </x:c>
      <x:c r="DL38" s="14" t="str">
        <x:v>22867</x:v>
      </x:c>
      <x:c r="DM38" s="14" t="n">
        <x:v>8</x:v>
      </x:c>
      <x:c r="DN38" s="14" t="n">
        <x:v>339</x:v>
      </x:c>
      <x:c r="DO38" s="14" t="n">
        <x:v>94</x:v>
      </x:c>
      <x:c r="DP38" s="14" t="n">
        <x:v>24</x:v>
      </x:c>
      <x:c r="DQ38" s="14" t="n">
        <x:v>2</x:v>
      </x:c>
      <x:c r="DR38" s="14" t="str">
        <x:v>未收錄</x:v>
      </x:c>
      <x:c r="DS38" s="14" t="str">
        <x:v>22868</x:v>
      </x:c>
      <x:c r="DT38" s="14" t="n">
        <x:v>8</x:v>
      </x:c>
      <x:c r="DU38" s="14" t="n">
        <x:v>340</x:v>
      </x:c>
      <x:c r="DV38" s="14" t="n">
        <x:v>95</x:v>
      </x:c>
      <x:c r="DW38" s="14" t="n">
        <x:v>24</x:v>
      </x:c>
      <x:c r="DX38" s="14" t="n">
        <x:v>3</x:v>
      </x:c>
      <x:c r="DY38" s="14" t="str">
        <x:v>未收錄</x:v>
      </x:c>
      <x:c r="DZ38" s="14" t="str">
        <x:v>23146</x:v>
      </x:c>
      <x:c r="EA38" s="14" t="n">
        <x:v>8</x:v>
      </x:c>
      <x:c r="EB38" s="14" t="n">
        <x:v>341</x:v>
      </x:c>
      <x:c r="EC38" s="14" t="n">
        <x:v>96</x:v>
      </x:c>
      <x:c r="ED38" s="14" t="n">
        <x:v>24</x:v>
      </x:c>
      <x:c r="EE38" s="14" t="n">
        <x:v>4</x:v>
      </x:c>
      <x:c r="EF38" s="14" t="str">
        <x:v>未收錄</x:v>
      </x:c>
      <x:c r="EG38" s="14" t="str">
        <x:v>26806</x:v>
      </x:c>
      <x:c r="EH38" s="14" t="n">
        <x:v>10</x:v>
      </x:c>
      <x:c r="EI38" s="14" t="n">
        <x:v>574</x:v>
      </x:c>
      <x:c r="EJ38" s="14" t="n">
        <x:v>93</x:v>
      </x:c>
      <x:c r="EK38" s="14" t="n">
        <x:v>24</x:v>
      </x:c>
      <x:c r="EL38" s="14" t="n">
        <x:v>1</x:v>
      </x:c>
      <x:c r="EM38" s="14" t="str">
        <x:v>未收錄</x:v>
      </x:c>
      <x:c r="EN38" s="14" t="str">
        <x:v>27981</x:v>
      </x:c>
      <x:c r="EO38" s="14" t="n">
        <x:v>10</x:v>
      </x:c>
      <x:c r="EP38" s="14" t="n">
        <x:v>575</x:v>
      </x:c>
      <x:c r="EQ38" s="14" t="n">
        <x:v>94</x:v>
      </x:c>
      <x:c r="ER38" s="14" t="n">
        <x:v>24</x:v>
      </x:c>
      <x:c r="ES38" s="14" t="n">
        <x:v>2</x:v>
      </x:c>
      <x:c r="ET38" s="14" t="str">
        <x:v>未收錄</x:v>
      </x:c>
      <x:c r="EU38" s="14" t="str">
        <x:v>28191</x:v>
      </x:c>
      <x:c r="EV38" s="14" t="n">
        <x:v>10</x:v>
      </x:c>
      <x:c r="EW38" s="14" t="n">
        <x:v>576</x:v>
      </x:c>
      <x:c r="EX38" s="14" t="n">
        <x:v>95</x:v>
      </x:c>
      <x:c r="EY38" s="14" t="n">
        <x:v>24</x:v>
      </x:c>
      <x:c r="EZ38" s="14" t="n">
        <x:v>3</x:v>
      </x:c>
      <x:c r="FA38" s="14" t="str">
        <x:v>未收錄</x:v>
      </x:c>
      <x:c r="FB38" s="14" t="str">
        <x:v>28576</x:v>
      </x:c>
      <x:c r="FC38" s="14" t="n">
        <x:v>10</x:v>
      </x:c>
      <x:c r="FD38" s="14" t="n">
        <x:v>577</x:v>
      </x:c>
      <x:c r="FE38" s="14" t="n">
        <x:v>96</x:v>
      </x:c>
      <x:c r="FF38" s="14" t="n">
        <x:v>24</x:v>
      </x:c>
      <x:c r="FG38" s="14" t="n">
        <x:v>4</x:v>
      </x:c>
      <x:c r="FH38" s="14" t="str">
        <x:v>未收錄</x:v>
      </x:c>
      <x:c r="FI38" s="14" t="str">
        <x:v>26067</x:v>
      </x:c>
      <x:c r="FJ38" s="14" t="n">
        <x:v>8</x:v>
      </x:c>
      <x:c r="FK38" s="14" t="n">
        <x:v>724</x:v>
      </x:c>
      <x:c r="FL38" s="14" t="n">
        <x:v>93</x:v>
      </x:c>
      <x:c r="FM38" s="14" t="n">
        <x:v>24</x:v>
      </x:c>
      <x:c r="FN38" s="14" t="n">
        <x:v>1</x:v>
      </x:c>
      <x:c r="FO38" s="14" t="str">
        <x:v>未收錄</x:v>
      </x:c>
      <x:c r="FP38" s="14" t="str">
        <x:v>26068</x:v>
      </x:c>
      <x:c r="FQ38" s="14" t="n">
        <x:v>8</x:v>
      </x:c>
      <x:c r="FR38" s="14" t="n">
        <x:v>725</x:v>
      </x:c>
      <x:c r="FS38" s="14" t="n">
        <x:v>94</x:v>
      </x:c>
      <x:c r="FT38" s="14" t="n">
        <x:v>24</x:v>
      </x:c>
      <x:c r="FU38" s="14" t="n">
        <x:v>2</x:v>
      </x:c>
      <x:c r="FV38" s="14" t="str">
        <x:v>未收錄</x:v>
      </x:c>
      <x:c r="FW38" s="14" t="str">
        <x:v>26069</x:v>
      </x:c>
      <x:c r="FX38" s="14" t="n">
        <x:v>8</x:v>
      </x:c>
      <x:c r="FY38" s="14" t="n">
        <x:v>726</x:v>
      </x:c>
      <x:c r="FZ38" s="14" t="n">
        <x:v>95</x:v>
      </x:c>
      <x:c r="GA38" s="14" t="n">
        <x:v>24</x:v>
      </x:c>
      <x:c r="GB38" s="14" t="n">
        <x:v>3</x:v>
      </x:c>
      <x:c r="GC38" s="14" t="str">
        <x:v>未收錄</x:v>
      </x:c>
      <x:c r="GD38" s="14" t="str">
        <x:v>26713</x:v>
      </x:c>
      <x:c r="GE38" s="14" t="n">
        <x:v>3</x:v>
      </x:c>
      <x:c r="GF38" s="14" t="n">
        <x:v>727</x:v>
      </x:c>
      <x:c r="GG38" s="14" t="n">
        <x:v>96</x:v>
      </x:c>
      <x:c r="GH38" s="14" t="n">
        <x:v>24</x:v>
      </x:c>
      <x:c r="GI38" s="14" t="n">
        <x:v>4</x:v>
      </x:c>
      <x:c r="GJ38" s="14" t="str">
        <x:v>未收錄</x:v>
      </x:c>
      <x:c r="GK38" s="14" t="str">
        <x:v>26206</x:v>
      </x:c>
      <x:c r="GL38" s="14" t="n">
        <x:v>3</x:v>
      </x:c>
      <x:c r="GM38" s="14" t="n">
        <x:v>896</x:v>
      </x:c>
      <x:c r="GN38" s="14" t="n">
        <x:v>93</x:v>
      </x:c>
      <x:c r="GO38" s="14" t="n">
        <x:v>24</x:v>
      </x:c>
      <x:c r="GP38" s="14" t="n">
        <x:v>1</x:v>
      </x:c>
      <x:c r="GQ38" s="14" t="str">
        <x:v>未收錄</x:v>
      </x:c>
      <x:c r="GR38" s="14" t="str">
        <x:v>26073</x:v>
      </x:c>
      <x:c r="GS38" s="14" t="n">
        <x:v>8</x:v>
      </x:c>
      <x:c r="GT38" s="14" t="n">
        <x:v>897</x:v>
      </x:c>
      <x:c r="GU38" s="14" t="n">
        <x:v>94</x:v>
      </x:c>
      <x:c r="GV38" s="14" t="n">
        <x:v>24</x:v>
      </x:c>
      <x:c r="GW38" s="14" t="n">
        <x:v>2</x:v>
      </x:c>
      <x:c r="GX38" s="14" t="str">
        <x:v>未收錄</x:v>
      </x:c>
      <x:c r="GY38" s="14" t="str">
        <x:v>26074</x:v>
      </x:c>
      <x:c r="GZ38" s="14" t="n">
        <x:v>8</x:v>
      </x:c>
      <x:c r="HA38" s="14" t="n">
        <x:v>898</x:v>
      </x:c>
      <x:c r="HB38" s="14" t="n">
        <x:v>95</x:v>
      </x:c>
      <x:c r="HC38" s="14" t="n">
        <x:v>24</x:v>
      </x:c>
      <x:c r="HD38" s="14" t="n">
        <x:v>3</x:v>
      </x:c>
      <x:c r="HE38" s="14" t="str">
        <x:v>未收錄</x:v>
      </x:c>
      <x:c r="HF38" s="14" t="str">
        <x:v>26075</x:v>
      </x:c>
      <x:c r="HG38" s="14" t="n">
        <x:v>8</x:v>
      </x:c>
      <x:c r="HH38" s="14" t="n">
        <x:v>899</x:v>
      </x:c>
      <x:c r="HI38" s="14" t="n">
        <x:v>96</x:v>
      </x:c>
      <x:c r="HJ38" s="14" t="n">
        <x:v>24</x:v>
      </x:c>
      <x:c r="HK38" s="14" t="n">
        <x:v>4</x:v>
      </x:c>
      <x:c r="HL38" s="14" t="str">
        <x:v>未收錄</x:v>
      </x:c>
      <x:c r="HM38" s="14" t="str">
        <x:v>26725</x:v>
      </x:c>
      <x:c r="HN38" s="14" t="n">
        <x:v>3</x:v>
      </x:c>
      <x:c r="HO38" s="14" t="n">
        <x:v>1069</x:v>
      </x:c>
      <x:c r="HP38" s="14" t="n">
        <x:v>93</x:v>
      </x:c>
      <x:c r="HQ38" s="14" t="n">
        <x:v>24</x:v>
      </x:c>
      <x:c r="HR38" s="14" t="n">
        <x:v>1</x:v>
      </x:c>
      <x:c r="HS38" s="14" t="str">
        <x:v>未收錄</x:v>
      </x:c>
      <x:c r="HT38" s="14" t="str">
        <x:v>26631</x:v>
      </x:c>
      <x:c r="HU38" s="14" t="n">
        <x:v>8</x:v>
      </x:c>
      <x:c r="HV38" s="14" t="n">
        <x:v>1070</x:v>
      </x:c>
      <x:c r="HW38" s="14" t="n">
        <x:v>94</x:v>
      </x:c>
      <x:c r="HX38" s="14" t="n">
        <x:v>24</x:v>
      </x:c>
      <x:c r="HY38" s="14" t="n">
        <x:v>2</x:v>
      </x:c>
      <x:c r="HZ38" s="14" t="str">
        <x:v>未收錄</x:v>
      </x:c>
      <x:c r="IA38" s="14" t="str">
        <x:v>26734</x:v>
      </x:c>
      <x:c r="IB38" s="14" t="n">
        <x:v>3</x:v>
      </x:c>
      <x:c r="IC38" s="14" t="n">
        <x:v>1071</x:v>
      </x:c>
      <x:c r="ID38" s="14" t="n">
        <x:v>95</x:v>
      </x:c>
      <x:c r="IE38" s="14" t="n">
        <x:v>24</x:v>
      </x:c>
      <x:c r="IF38" s="14" t="n">
        <x:v>3</x:v>
      </x:c>
      <x:c r="IG38" s="14" t="str">
        <x:v>未收錄</x:v>
      </x:c>
      <x:c r="IH38" s="14" t="str">
        <x:v>26940</x:v>
      </x:c>
      <x:c r="II38" s="14" t="n">
        <x:v>8</x:v>
      </x:c>
      <x:c r="IJ38" s="14" t="n">
        <x:v>1072</x:v>
      </x:c>
      <x:c r="IK38" s="14" t="n">
        <x:v>96</x:v>
      </x:c>
      <x:c r="IL38" s="14" t="n">
        <x:v>24</x:v>
      </x:c>
      <x:c r="IM38" s="14" t="n">
        <x:v>4</x:v>
      </x:c>
      <x:c r="IN38" s="14" t="str">
        <x:v>未收錄</x:v>
      </x:c>
      <x:c r="IO38" s="14" t="str">
        <x:v>26942</x:v>
      </x:c>
      <x:c r="IP38" s="14" t="n">
        <x:v>8</x:v>
      </x:c>
      <x:c r="IQ38" s="14" t="n">
        <x:v>1237</x:v>
      </x:c>
      <x:c r="IR38" s="14" t="n">
        <x:v>93</x:v>
      </x:c>
      <x:c r="IS38" s="14" t="n">
        <x:v>24</x:v>
      </x:c>
      <x:c r="IT38" s="14" t="n">
        <x:v>1</x:v>
      </x:c>
      <x:c r="IU38" s="14" t="str">
        <x:v>未收錄</x:v>
      </x:c>
      <x:c r="IV38" s="14" t="str">
        <x:v>26943</x:v>
      </x:c>
      <x:c r="IW38" s="14" t="n">
        <x:v>8</x:v>
      </x:c>
      <x:c r="IX38" s="14" t="n">
        <x:v>1238</x:v>
      </x:c>
      <x:c r="IY38" s="14" t="n">
        <x:v>94</x:v>
      </x:c>
      <x:c r="IZ38" s="14" t="n">
        <x:v>24</x:v>
      </x:c>
      <x:c r="JA38" s="14" t="n">
        <x:v>2</x:v>
      </x:c>
      <x:c r="JB38" s="14" t="str">
        <x:v>未收錄</x:v>
      </x:c>
      <x:c r="JC38" s="14" t="str">
        <x:v>27058</x:v>
      </x:c>
      <x:c r="JD38" s="14" t="n">
        <x:v>8</x:v>
      </x:c>
      <x:c r="JE38" s="14" t="n">
        <x:v>1239</x:v>
      </x:c>
      <x:c r="JF38" s="14" t="n">
        <x:v>95</x:v>
      </x:c>
      <x:c r="JG38" s="14" t="n">
        <x:v>24</x:v>
      </x:c>
      <x:c r="JH38" s="14" t="n">
        <x:v>3</x:v>
      </x:c>
      <x:c r="JI38" s="14" t="str">
        <x:v>未收錄</x:v>
      </x:c>
      <x:c r="JJ38" s="14" t="str">
        <x:v>27059</x:v>
      </x:c>
      <x:c r="JK38" s="14" t="n">
        <x:v>8</x:v>
      </x:c>
      <x:c r="JL38" s="14" t="n">
        <x:v>1240</x:v>
      </x:c>
      <x:c r="JM38" s="14" t="n">
        <x:v>96</x:v>
      </x:c>
      <x:c r="JN38" s="14" t="n">
        <x:v>24</x:v>
      </x:c>
      <x:c r="JO38" s="14" t="n">
        <x:v>4</x:v>
      </x:c>
      <x:c r="JP38" s="14" t="str">
        <x:v>未收錄</x:v>
      </x:c>
      <x:c r="JQ38" s="14" t="str">
        <x:v>29671</x:v>
      </x:c>
      <x:c r="JR38" s="14" t="n">
        <x:v>20</x:v>
      </x:c>
      <x:c r="JS38" s="14" t="n">
        <x:v>1404</x:v>
      </x:c>
      <x:c r="JT38" s="14" t="n">
        <x:v>93</x:v>
      </x:c>
      <x:c r="JU38" s="14" t="n">
        <x:v>24</x:v>
      </x:c>
      <x:c r="JV38" s="14" t="n">
        <x:v>1</x:v>
      </x:c>
      <x:c r="JW38" s="14" t="str">
        <x:v>未收錄</x:v>
      </x:c>
      <x:c r="JX38" s="14" t="str">
        <x:v>29920</x:v>
      </x:c>
      <x:c r="JY38" s="14" t="n">
        <x:v>20</x:v>
      </x:c>
      <x:c r="JZ38" s="14" t="n">
        <x:v>1405</x:v>
      </x:c>
      <x:c r="KA38" s="14" t="n">
        <x:v>94</x:v>
      </x:c>
      <x:c r="KB38" s="14" t="n">
        <x:v>24</x:v>
      </x:c>
      <x:c r="KC38" s="14" t="n">
        <x:v>2</x:v>
      </x:c>
      <x:c r="KD38" s="14" t="str">
        <x:v>未收錄</x:v>
      </x:c>
      <x:c r="KE38" s="14" t="str">
        <x:v>29930</x:v>
      </x:c>
      <x:c r="KF38" s="14" t="n">
        <x:v>20</x:v>
      </x:c>
      <x:c r="KG38" s="14" t="n">
        <x:v>1406</x:v>
      </x:c>
      <x:c r="KH38" s="14" t="n">
        <x:v>95</x:v>
      </x:c>
      <x:c r="KI38" s="14" t="n">
        <x:v>24</x:v>
      </x:c>
      <x:c r="KJ38" s="14" t="n">
        <x:v>3</x:v>
      </x:c>
      <x:c r="KK38" s="14" t="str">
        <x:v>未收錄</x:v>
      </x:c>
      <x:c r="KL38" s="14" t="str">
        <x:v>27264</x:v>
      </x:c>
      <x:c r="KM38" s="14" t="n">
        <x:v>8</x:v>
      </x:c>
      <x:c r="KN38" s="14" t="n">
        <x:v>1407</x:v>
      </x:c>
      <x:c r="KO38" s="14" t="n">
        <x:v>96</x:v>
      </x:c>
      <x:c r="KP38" s="14" t="n">
        <x:v>24</x:v>
      </x:c>
      <x:c r="KQ38" s="14" t="n">
        <x:v>4</x:v>
      </x:c>
      <x:c r="KR38" s="14" t="str">
        <x:v>未收錄</x:v>
      </x:c>
      <x:c r="KS38" s="14" t="str">
        <x:v>29931</x:v>
      </x:c>
      <x:c r="KT38" s="14" t="n">
        <x:v>20</x:v>
      </x:c>
      <x:c r="KU38" s="14" t="n">
        <x:v>1519</x:v>
      </x:c>
      <x:c r="KV38" s="14" t="n">
        <x:v>93</x:v>
      </x:c>
      <x:c r="KW38" s="14" t="n">
        <x:v>24</x:v>
      </x:c>
      <x:c r="KX38" s="14" t="n">
        <x:v>1</x:v>
      </x:c>
      <x:c r="KY38" s="14" t="str">
        <x:v>未收錄</x:v>
      </x:c>
      <x:c r="KZ38" s="14" t="str">
        <x:v>27260</x:v>
      </x:c>
      <x:c r="LA38" s="14" t="n">
        <x:v>8</x:v>
      </x:c>
      <x:c r="LB38" s="14" t="n">
        <x:v>1520</x:v>
      </x:c>
      <x:c r="LC38" s="14" t="n">
        <x:v>94</x:v>
      </x:c>
      <x:c r="LD38" s="14" t="n">
        <x:v>24</x:v>
      </x:c>
      <x:c r="LE38" s="14" t="n">
        <x:v>2</x:v>
      </x:c>
      <x:c r="LF38" s="14" t="str">
        <x:v>未收錄</x:v>
      </x:c>
      <x:c r="LG38" s="14" t="str">
        <x:v>31078</x:v>
      </x:c>
      <x:c r="LH38" s="14" t="n">
        <x:v>1</x:v>
      </x:c>
      <x:c r="LI38" s="14" t="n">
        <x:v>1521</x:v>
      </x:c>
      <x:c r="LJ38" s="14" t="n">
        <x:v>95</x:v>
      </x:c>
      <x:c r="LK38" s="14" t="n">
        <x:v>24</x:v>
      </x:c>
      <x:c r="LL38" s="14" t="n">
        <x:v>3</x:v>
      </x:c>
      <x:c r="LM38" s="14" t="str">
        <x:v>未收錄</x:v>
      </x:c>
      <x:c r="LN38" s="14" t="str">
        <x:v>30241</x:v>
      </x:c>
      <x:c r="LO38" s="14" t="n">
        <x:v>8</x:v>
      </x:c>
      <x:c r="LP38" s="14" t="n">
        <x:v>1522</x:v>
      </x:c>
      <x:c r="LQ38" s="14" t="n">
        <x:v>96</x:v>
      </x:c>
      <x:c r="LR38" s="14" t="n">
        <x:v>24</x:v>
      </x:c>
      <x:c r="LS38" s="14" t="n">
        <x:v>4</x:v>
      </x:c>
      <x:c r="LT38" s="14" t="str">
        <x:v>未收錄</x:v>
      </x:c>
      <x:c r="LU38" s="14" t="str">
        <x:v>30247</x:v>
      </x:c>
      <x:c r="LV38" s="14" t="n">
        <x:v>8</x:v>
      </x:c>
      <x:c r="LW38" s="14" t="n">
        <x:v>1632</x:v>
      </x:c>
      <x:c r="LX38" s="14" t="n">
        <x:v>93</x:v>
      </x:c>
      <x:c r="LY38" s="14" t="n">
        <x:v>24</x:v>
      </x:c>
      <x:c r="LZ38" s="14" t="n">
        <x:v>1</x:v>
      </x:c>
      <x:c r="MA38" s="14" t="str">
        <x:v>未收錄</x:v>
      </x:c>
      <x:c r="MB38" s="14" t="str">
        <x:v>30248</x:v>
      </x:c>
      <x:c r="MC38" s="14" t="n">
        <x:v>8</x:v>
      </x:c>
      <x:c r="MD38" s="14" t="n">
        <x:v>1633</x:v>
      </x:c>
      <x:c r="ME38" s="14" t="n">
        <x:v>94</x:v>
      </x:c>
      <x:c r="MF38" s="14" t="n">
        <x:v>24</x:v>
      </x:c>
      <x:c r="MG38" s="14" t="n">
        <x:v>2</x:v>
      </x:c>
      <x:c r="MH38" s="14" t="str">
        <x:v>未收錄</x:v>
      </x:c>
      <x:c r="MI38" s="14" t="str">
        <x:v>30249</x:v>
      </x:c>
      <x:c r="MJ38" s="14" t="n">
        <x:v>8</x:v>
      </x:c>
      <x:c r="MK38" s="14" t="n">
        <x:v>1634</x:v>
      </x:c>
      <x:c r="ML38" s="14" t="n">
        <x:v>95</x:v>
      </x:c>
      <x:c r="MM38" s="14" t="n">
        <x:v>24</x:v>
      </x:c>
      <x:c r="MN38" s="14" t="n">
        <x:v>3</x:v>
      </x:c>
      <x:c r="MO38" s="14" t="str">
        <x:v>未收錄</x:v>
      </x:c>
      <x:c r="MP38" s="14" t="str">
        <x:v>30250</x:v>
      </x:c>
      <x:c r="MQ38" s="14" t="n">
        <x:v>8</x:v>
      </x:c>
      <x:c r="MR38" s="14" t="n">
        <x:v>1635</x:v>
      </x:c>
      <x:c r="MS38" s="14" t="n">
        <x:v>96</x:v>
      </x:c>
      <x:c r="MT38" s="14" t="n">
        <x:v>24</x:v>
      </x:c>
      <x:c r="MU38" s="14" t="n">
        <x:v>4</x:v>
      </x:c>
      <x:c r="MV38" s="14" t="str">
        <x:v>未收錄</x:v>
      </x:c>
      <x:c r="MW38" s="14" t="str">
        <x:v>21486</x:v>
      </x:c>
      <x:c r="MX38" s="14" t="n">
        <x:v>5</x:v>
      </x:c>
      <x:c r="MY38" s="14" t="n">
        <x:v>1741</x:v>
      </x:c>
      <x:c r="MZ38" s="14" t="n">
        <x:v>93</x:v>
      </x:c>
      <x:c r="NA38" s="14" t="n">
        <x:v>24</x:v>
      </x:c>
      <x:c r="NB38" s="14" t="n">
        <x:v>1</x:v>
      </x:c>
      <x:c r="NC38" s="14" t="str">
        <x:v>未收錄</x:v>
      </x:c>
      <x:c r="ND38" s="14" t="str">
        <x:v>21487</x:v>
      </x:c>
      <x:c r="NE38" s="14" t="n">
        <x:v>5</x:v>
      </x:c>
      <x:c r="NF38" s="14" t="n">
        <x:v>1742</x:v>
      </x:c>
      <x:c r="NG38" s="14" t="n">
        <x:v>94</x:v>
      </x:c>
      <x:c r="NH38" s="14" t="n">
        <x:v>24</x:v>
      </x:c>
      <x:c r="NI38" s="14" t="n">
        <x:v>2</x:v>
      </x:c>
      <x:c r="NJ38" s="14" t="str">
        <x:v>未收錄</x:v>
      </x:c>
      <x:c r="NK38" s="14" t="str">
        <x:v>21488</x:v>
      </x:c>
      <x:c r="NL38" s="14" t="n">
        <x:v>5</x:v>
      </x:c>
      <x:c r="NM38" s="14" t="n">
        <x:v>1743</x:v>
      </x:c>
      <x:c r="NN38" s="14" t="n">
        <x:v>95</x:v>
      </x:c>
      <x:c r="NO38" s="14" t="n">
        <x:v>24</x:v>
      </x:c>
      <x:c r="NP38" s="14" t="n">
        <x:v>3</x:v>
      </x:c>
      <x:c r="NQ38" s="14" t="str">
        <x:v>未收錄</x:v>
      </x:c>
      <x:c r="NR38" s="14" t="str">
        <x:v>21489</x:v>
      </x:c>
      <x:c r="NS38" s="14" t="n">
        <x:v>5</x:v>
      </x:c>
      <x:c r="NT38" s="14" t="n">
        <x:v>1744</x:v>
      </x:c>
      <x:c r="NU38" s="14" t="n">
        <x:v>96</x:v>
      </x:c>
      <x:c r="NV38" s="14" t="n">
        <x:v>24</x:v>
      </x:c>
      <x:c r="NW38" s="14" t="n">
        <x:v>4</x:v>
      </x:c>
      <x:c r="NX38" s="14" t="str">
        <x:v>未收錄</x:v>
      </x:c>
      <x:c r="NY38" s="14" t="str">
        <x:v>21505</x:v>
      </x:c>
      <x:c r="NZ38" s="14" t="n">
        <x:v>5</x:v>
      </x:c>
      <x:c r="OA38" s="14" t="n">
        <x:v>2194</x:v>
      </x:c>
      <x:c r="OB38" s="14" t="n">
        <x:v>93</x:v>
      </x:c>
      <x:c r="OC38" s="14" t="n">
        <x:v>24</x:v>
      </x:c>
      <x:c r="OD38" s="14" t="n">
        <x:v>1</x:v>
      </x:c>
      <x:c r="OE38" s="14" t="str">
        <x:v>未收錄</x:v>
      </x:c>
      <x:c r="OF38" s="14" t="str">
        <x:v>21506</x:v>
      </x:c>
      <x:c r="OG38" s="14" t="n">
        <x:v>5</x:v>
      </x:c>
      <x:c r="OH38" s="14" t="n">
        <x:v>2195</x:v>
      </x:c>
      <x:c r="OI38" s="14" t="n">
        <x:v>94</x:v>
      </x:c>
      <x:c r="OJ38" s="14" t="n">
        <x:v>24</x:v>
      </x:c>
      <x:c r="OK38" s="14" t="n">
        <x:v>2</x:v>
      </x:c>
      <x:c r="OL38" s="14" t="str">
        <x:v>未收錄</x:v>
      </x:c>
      <x:c r="OM38" s="14" t="str">
        <x:v>21507</x:v>
      </x:c>
      <x:c r="ON38" s="14" t="n">
        <x:v>5</x:v>
      </x:c>
      <x:c r="OO38" s="14" t="n">
        <x:v>2196</x:v>
      </x:c>
      <x:c r="OP38" s="14" t="n">
        <x:v>95</x:v>
      </x:c>
      <x:c r="OQ38" s="14" t="n">
        <x:v>24</x:v>
      </x:c>
      <x:c r="OR38" s="14" t="n">
        <x:v>3</x:v>
      </x:c>
      <x:c r="OS38" s="14" t="str">
        <x:v>未收錄</x:v>
      </x:c>
      <x:c r="OT38" s="14" t="str">
        <x:v>21508</x:v>
      </x:c>
      <x:c r="OU38" s="14" t="n">
        <x:v>5</x:v>
      </x:c>
      <x:c r="OV38" s="14" t="n">
        <x:v>2197</x:v>
      </x:c>
      <x:c r="OW38" s="14" t="n">
        <x:v>96</x:v>
      </x:c>
      <x:c r="OX38" s="14" t="n">
        <x:v>24</x:v>
      </x:c>
      <x:c r="OY38" s="14" t="n">
        <x:v>4</x:v>
      </x:c>
      <x:c r="OZ38" s="14" t="str">
        <x:v>未收錄</x:v>
      </x:c>
      <x:c r="PA38" s="14" t="str">
        <x:v>22169</x:v>
      </x:c>
      <x:c r="PB38" s="14" t="n">
        <x:v>5</x:v>
      </x:c>
      <x:c r="PC38" s="14" t="n">
        <x:v>2740</x:v>
      </x:c>
      <x:c r="PD38" s="14" t="n">
        <x:v>93</x:v>
      </x:c>
      <x:c r="PE38" s="14" t="n">
        <x:v>24</x:v>
      </x:c>
      <x:c r="PF38" s="14" t="n">
        <x:v>1</x:v>
      </x:c>
      <x:c r="PG38" s="14" t="str">
        <x:v>未收錄</x:v>
      </x:c>
      <x:c r="PH38" s="14" t="str">
        <x:v>22170</x:v>
      </x:c>
      <x:c r="PI38" s="14" t="n">
        <x:v>5</x:v>
      </x:c>
      <x:c r="PJ38" s="14" t="n">
        <x:v>2741</x:v>
      </x:c>
      <x:c r="PK38" s="14" t="n">
        <x:v>94</x:v>
      </x:c>
      <x:c r="PL38" s="14" t="n">
        <x:v>24</x:v>
      </x:c>
      <x:c r="PM38" s="14" t="n">
        <x:v>2</x:v>
      </x:c>
      <x:c r="PN38" s="14" t="str">
        <x:v>未收錄</x:v>
      </x:c>
      <x:c r="PO38" s="14" t="str">
        <x:v>22410</x:v>
      </x:c>
      <x:c r="PP38" s="14" t="n">
        <x:v>5</x:v>
      </x:c>
      <x:c r="PQ38" s="14" t="n">
        <x:v>2742</x:v>
      </x:c>
      <x:c r="PR38" s="14" t="n">
        <x:v>95</x:v>
      </x:c>
      <x:c r="PS38" s="14" t="n">
        <x:v>24</x:v>
      </x:c>
      <x:c r="PT38" s="14" t="n">
        <x:v>3</x:v>
      </x:c>
      <x:c r="PU38" s="14" t="str">
        <x:v>未收錄</x:v>
      </x:c>
      <x:c r="PV38" s="14" t="str">
        <x:v>22542</x:v>
      </x:c>
      <x:c r="PW38" s="14" t="n">
        <x:v>5</x:v>
      </x:c>
      <x:c r="PX38" s="14" t="n">
        <x:v>2743</x:v>
      </x:c>
      <x:c r="PY38" s="14" t="n">
        <x:v>96</x:v>
      </x:c>
      <x:c r="PZ38" s="14" t="n">
        <x:v>24</x:v>
      </x:c>
      <x:c r="QA38" s="14" t="n">
        <x:v>4</x:v>
      </x:c>
      <x:c r="QB38" s="14" t="str">
        <x:v>未收錄</x:v>
      </x:c>
      <x:c r="QC38" s="14" t="str">
        <x:v>22177</x:v>
      </x:c>
      <x:c r="QD38" s="14" t="n">
        <x:v>5</x:v>
      </x:c>
      <x:c r="QE38" s="14" t="n">
        <x:v>3177</x:v>
      </x:c>
      <x:c r="QF38" s="14" t="n">
        <x:v>93</x:v>
      </x:c>
      <x:c r="QG38" s="14" t="n">
        <x:v>24</x:v>
      </x:c>
      <x:c r="QH38" s="14" t="n">
        <x:v>1</x:v>
      </x:c>
      <x:c r="QI38" s="14" t="str">
        <x:v>未收錄</x:v>
      </x:c>
      <x:c r="QJ38" s="14" t="str">
        <x:v>22178</x:v>
      </x:c>
      <x:c r="QK38" s="14" t="n">
        <x:v>5</x:v>
      </x:c>
      <x:c r="QL38" s="14" t="n">
        <x:v>3178</x:v>
      </x:c>
      <x:c r="QM38" s="14" t="n">
        <x:v>94</x:v>
      </x:c>
      <x:c r="QN38" s="14" t="n">
        <x:v>24</x:v>
      </x:c>
      <x:c r="QO38" s="14" t="n">
        <x:v>2</x:v>
      </x:c>
      <x:c r="QP38" s="14" t="str">
        <x:v>未收錄</x:v>
      </x:c>
      <x:c r="QQ38" s="14" t="str">
        <x:v>22179</x:v>
      </x:c>
      <x:c r="QR38" s="14" t="n">
        <x:v>5</x:v>
      </x:c>
      <x:c r="QS38" s="14" t="n">
        <x:v>3179</x:v>
      </x:c>
      <x:c r="QT38" s="14" t="n">
        <x:v>95</x:v>
      </x:c>
      <x:c r="QU38" s="14" t="n">
        <x:v>24</x:v>
      </x:c>
      <x:c r="QV38" s="14" t="n">
        <x:v>3</x:v>
      </x:c>
      <x:c r="QW38" s="14" t="str">
        <x:v>未收錄</x:v>
      </x:c>
      <x:c r="QX38" s="14" t="str">
        <x:v>22180</x:v>
      </x:c>
      <x:c r="QY38" s="14" t="n">
        <x:v>5</x:v>
      </x:c>
      <x:c r="QZ38" s="14" t="n">
        <x:v>3180</x:v>
      </x:c>
      <x:c r="RA38" s="14" t="n">
        <x:v>96</x:v>
      </x:c>
      <x:c r="RB38" s="14" t="n">
        <x:v>24</x:v>
      </x:c>
      <x:c r="RC38" s="14" t="n">
        <x:v>4</x:v>
      </x:c>
      <x:c r="RD38" s="14" t="str">
        <x:v>未收錄</x:v>
      </x:c>
      <x:c r="RE38" s="14" t="str">
        <x:v>23214</x:v>
      </x:c>
      <x:c r="RF38" s="14" t="n">
        <x:v>5</x:v>
      </x:c>
      <x:c r="RG38" s="14" t="n">
        <x:v>3638</x:v>
      </x:c>
      <x:c r="RH38" s="14" t="n">
        <x:v>93</x:v>
      </x:c>
      <x:c r="RI38" s="14" t="n">
        <x:v>24</x:v>
      </x:c>
      <x:c r="RJ38" s="14" t="n">
        <x:v>1</x:v>
      </x:c>
      <x:c r="RK38" s="14" t="str">
        <x:v>未收錄</x:v>
      </x:c>
      <x:c r="RL38" s="14" t="str">
        <x:v>23215</x:v>
      </x:c>
      <x:c r="RM38" s="14" t="n">
        <x:v>5</x:v>
      </x:c>
      <x:c r="RN38" s="14" t="n">
        <x:v>3639</x:v>
      </x:c>
      <x:c r="RO38" s="14" t="n">
        <x:v>94</x:v>
      </x:c>
      <x:c r="RP38" s="14" t="n">
        <x:v>24</x:v>
      </x:c>
      <x:c r="RQ38" s="14" t="n">
        <x:v>2</x:v>
      </x:c>
      <x:c r="RR38" s="14" t="str">
        <x:v>未收錄</x:v>
      </x:c>
      <x:c r="RS38" s="14" t="str">
        <x:v>23216</x:v>
      </x:c>
      <x:c r="RT38" s="14" t="n">
        <x:v>5</x:v>
      </x:c>
      <x:c r="RU38" s="14" t="n">
        <x:v>3640</x:v>
      </x:c>
      <x:c r="RV38" s="14" t="n">
        <x:v>95</x:v>
      </x:c>
      <x:c r="RW38" s="14" t="n">
        <x:v>24</x:v>
      </x:c>
      <x:c r="RX38" s="14" t="n">
        <x:v>3</x:v>
      </x:c>
      <x:c r="RY38" s="14" t="str">
        <x:v>未收錄</x:v>
      </x:c>
      <x:c r="RZ38" s="14" t="str">
        <x:v>23217</x:v>
      </x:c>
      <x:c r="SA38" s="14" t="n">
        <x:v>5</x:v>
      </x:c>
      <x:c r="SB38" s="14" t="n">
        <x:v>3641</x:v>
      </x:c>
      <x:c r="SC38" s="14" t="n">
        <x:v>96</x:v>
      </x:c>
      <x:c r="SD38" s="14" t="n">
        <x:v>24</x:v>
      </x:c>
      <x:c r="SE38" s="14" t="n">
        <x:v>4</x:v>
      </x:c>
      <x:c r="SF38" s="14" t="str">
        <x:v>未收錄</x:v>
      </x:c>
      <x:c r="SG38" s="14"/>
      <x:c r="SH38" s="14"/>
      <x:c r="SI38" s="14"/>
      <x:c r="SJ38" s="14"/>
      <x:c r="SK38" s="14"/>
      <x:c r="SL38" s="14"/>
      <x:c r="SM38" s="14"/>
      <x:c r="SN38" s="14"/>
      <x:c r="SO38" s="14"/>
      <x:c r="SP38" s="14"/>
      <x:c r="SQ38" s="14"/>
      <x:c r="SR38" s="14"/>
      <x:c r="SS38" s="14"/>
      <x:c r="ST38" s="14"/>
      <x:c r="SU38" s="14"/>
      <x:c r="SV38" s="14"/>
      <x:c r="SW38" s="14"/>
      <x:c r="SX38" s="14"/>
      <x:c r="SY38" s="14"/>
      <x:c r="SZ38" s="14"/>
      <x:c r="TA38" s="14"/>
      <x:c r="TB38" s="14"/>
      <x:c r="TC38" s="14"/>
      <x:c r="TD38" s="14"/>
      <x:c r="TE38" s="14"/>
      <x:c r="TF38" s="14"/>
      <x:c r="TG38" s="14"/>
      <x:c r="TH38" s="14"/>
    </x:row>
    <x:row r="39">
      <x:c r="A39" s="14"/>
      <x:c r="B39" s="14"/>
      <x:c r="C39" s="14"/>
      <x:c r="D39" s="14"/>
      <x:c r="E39" s="14"/>
      <x:c r="F39" s="14"/>
      <x:c r="G39" s="14"/>
      <x:c r="H39" s="14"/>
      <x:c r="I39" s="14"/>
      <x:c r="J39" s="14"/>
      <x:c r="K39" s="14"/>
      <x:c r="L39" s="14"/>
      <x:c r="M39" s="14"/>
      <x:c r="N39" s="14"/>
      <x:c r="O39" s="14"/>
      <x:c r="P39" s="14"/>
      <x:c r="Q39" s="14"/>
      <x:c r="R39" s="14"/>
      <x:c r="S39" s="14"/>
      <x:c r="T39" s="14"/>
      <x:c r="U39" s="14"/>
      <x:c r="V39" s="14"/>
      <x:c r="W39" s="14"/>
      <x:c r="X39" s="14"/>
      <x:c r="Y39" s="14"/>
      <x:c r="Z39" s="14"/>
      <x:c r="AA39" s="14"/>
      <x:c r="AB39" s="14"/>
      <x:c r="AC39" s="14"/>
      <x:c r="AD39" s="14"/>
      <x:c r="AE39" s="14"/>
      <x:c r="AF39" s="14"/>
      <x:c r="AG39" s="14"/>
      <x:c r="AH39" s="14"/>
      <x:c r="AI39" s="14"/>
      <x:c r="AJ39" s="14"/>
      <x:c r="AK39" s="14"/>
      <x:c r="AL39" s="14"/>
      <x:c r="AM39" s="14"/>
      <x:c r="AN39" s="14"/>
      <x:c r="AO39" s="14"/>
      <x:c r="AP39" s="14"/>
      <x:c r="AQ39" s="14"/>
      <x:c r="AR39" s="14"/>
      <x:c r="AS39" s="14"/>
      <x:c r="AT39" s="14"/>
      <x:c r="AU39" s="14"/>
      <x:c r="AV39" s="14"/>
      <x:c r="AW39" s="14"/>
      <x:c r="AX39" s="14"/>
      <x:c r="AY39" s="14"/>
      <x:c r="AZ39" s="14"/>
      <x:c r="BA39" s="14"/>
      <x:c r="BB39" s="14"/>
      <x:c r="BC39" s="14"/>
      <x:c r="BD39" s="14"/>
      <x:c r="BE39" s="14"/>
      <x:c r="BF39" s="14"/>
      <x:c r="BG39" s="14"/>
      <x:c r="BH39" s="14"/>
      <x:c r="BI39" s="14"/>
      <x:c r="BJ39" s="14"/>
      <x:c r="BK39" s="14"/>
      <x:c r="BL39" s="14"/>
      <x:c r="BM39" s="14"/>
      <x:c r="BN39" s="14"/>
      <x:c r="BO39" s="14"/>
      <x:c r="BP39" s="14"/>
      <x:c r="BQ39" s="14"/>
      <x:c r="BR39" s="14"/>
      <x:c r="BS39" s="14"/>
      <x:c r="BT39" s="14"/>
      <x:c r="BU39" s="14"/>
      <x:c r="BV39" s="14"/>
      <x:c r="BW39" s="14"/>
      <x:c r="BX39" s="14"/>
      <x:c r="BY39" s="14"/>
      <x:c r="BZ39" s="14"/>
      <x:c r="CA39" s="14"/>
      <x:c r="CB39" s="14"/>
      <x:c r="CC39" s="14"/>
      <x:c r="CD39" s="14"/>
      <x:c r="CE39" s="14"/>
      <x:c r="CF39" s="14"/>
      <x:c r="CG39" s="14"/>
      <x:c r="CH39" s="14"/>
      <x:c r="CI39" s="14"/>
      <x:c r="CJ39" s="14"/>
      <x:c r="CK39" s="14"/>
      <x:c r="CL39" s="14"/>
      <x:c r="CM39" s="14"/>
      <x:c r="CN39" s="14"/>
      <x:c r="CO39" s="14"/>
      <x:c r="CP39" s="14"/>
      <x:c r="CQ39" s="14"/>
      <x:c r="CR39" s="14"/>
      <x:c r="CS39" s="14"/>
      <x:c r="CT39" s="14"/>
      <x:c r="CU39" s="14"/>
      <x:c r="CV39" s="14"/>
      <x:c r="CW39" s="14"/>
      <x:c r="CX39" s="14"/>
      <x:c r="CY39" s="14"/>
      <x:c r="CZ39" s="14"/>
      <x:c r="DA39" s="14"/>
      <x:c r="DB39" s="14"/>
      <x:c r="DC39" s="14"/>
      <x:c r="DD39" s="14"/>
      <x:c r="DE39" s="14"/>
      <x:c r="DF39" s="14"/>
      <x:c r="DG39" s="14"/>
      <x:c r="DH39" s="14"/>
      <x:c r="DI39" s="14"/>
      <x:c r="DJ39" s="14"/>
      <x:c r="DK39" s="14"/>
      <x:c r="DL39" s="14"/>
      <x:c r="DM39" s="14"/>
      <x:c r="DN39" s="14"/>
      <x:c r="DO39" s="14"/>
      <x:c r="DP39" s="14"/>
      <x:c r="DQ39" s="14"/>
      <x:c r="DR39" s="14"/>
      <x:c r="DS39" s="14"/>
      <x:c r="DT39" s="14"/>
      <x:c r="DU39" s="14"/>
      <x:c r="DV39" s="14"/>
      <x:c r="DW39" s="14"/>
      <x:c r="DX39" s="14"/>
      <x:c r="DY39" s="14"/>
      <x:c r="DZ39" s="14"/>
      <x:c r="EA39" s="14"/>
      <x:c r="EB39" s="14"/>
      <x:c r="EC39" s="14"/>
      <x:c r="ED39" s="14"/>
      <x:c r="EE39" s="14"/>
      <x:c r="EF39" s="14"/>
      <x:c r="EG39" s="14"/>
      <x:c r="EH39" s="14"/>
      <x:c r="EI39" s="14"/>
      <x:c r="EJ39" s="14"/>
      <x:c r="EK39" s="14"/>
      <x:c r="EL39" s="14"/>
      <x:c r="EM39" s="14"/>
      <x:c r="EN39" s="14"/>
      <x:c r="EO39" s="14"/>
      <x:c r="EP39" s="14"/>
      <x:c r="EQ39" s="14"/>
      <x:c r="ER39" s="14"/>
      <x:c r="ES39" s="14"/>
      <x:c r="ET39" s="14"/>
      <x:c r="EU39" s="14"/>
      <x:c r="EV39" s="14"/>
      <x:c r="EW39" s="14"/>
      <x:c r="EX39" s="14"/>
      <x:c r="EY39" s="14"/>
      <x:c r="EZ39" s="14"/>
      <x:c r="FA39" s="14"/>
      <x:c r="FB39" s="14"/>
      <x:c r="FC39" s="14"/>
      <x:c r="FD39" s="14"/>
      <x:c r="FE39" s="14"/>
      <x:c r="FF39" s="14"/>
      <x:c r="FG39" s="14"/>
      <x:c r="FH39" s="14"/>
      <x:c r="FI39" s="14"/>
      <x:c r="FJ39" s="14"/>
      <x:c r="FK39" s="14"/>
      <x:c r="FL39" s="14"/>
      <x:c r="FM39" s="14"/>
      <x:c r="FN39" s="14"/>
      <x:c r="FO39" s="14"/>
      <x:c r="FP39" s="14"/>
      <x:c r="FQ39" s="14"/>
      <x:c r="FR39" s="14"/>
      <x:c r="FS39" s="14"/>
      <x:c r="FT39" s="14"/>
      <x:c r="FU39" s="14"/>
      <x:c r="FV39" s="14"/>
      <x:c r="FW39" s="14"/>
      <x:c r="FX39" s="14"/>
      <x:c r="FY39" s="14"/>
      <x:c r="FZ39" s="14"/>
      <x:c r="GA39" s="14"/>
      <x:c r="GB39" s="14"/>
      <x:c r="GC39" s="14"/>
      <x:c r="GD39" s="14"/>
      <x:c r="GE39" s="14"/>
      <x:c r="GF39" s="14"/>
      <x:c r="GG39" s="14"/>
      <x:c r="GH39" s="14"/>
      <x:c r="GI39" s="14"/>
      <x:c r="GJ39" s="14"/>
      <x:c r="GK39" s="14"/>
      <x:c r="GL39" s="14"/>
      <x:c r="GM39" s="14"/>
      <x:c r="GN39" s="14"/>
      <x:c r="GO39" s="14"/>
      <x:c r="GP39" s="14"/>
      <x:c r="GQ39" s="14"/>
      <x:c r="GR39" s="14"/>
      <x:c r="GS39" s="14"/>
      <x:c r="GT39" s="14"/>
      <x:c r="GU39" s="14"/>
      <x:c r="GV39" s="14"/>
      <x:c r="GW39" s="14"/>
      <x:c r="GX39" s="14"/>
      <x:c r="GY39" s="14"/>
      <x:c r="GZ39" s="14"/>
      <x:c r="HA39" s="14"/>
      <x:c r="HB39" s="14"/>
      <x:c r="HC39" s="14"/>
      <x:c r="HD39" s="14"/>
      <x:c r="HE39" s="14"/>
      <x:c r="HF39" s="14"/>
      <x:c r="HG39" s="14"/>
      <x:c r="HH39" s="14"/>
      <x:c r="HI39" s="14"/>
      <x:c r="HJ39" s="14"/>
      <x:c r="HK39" s="14"/>
      <x:c r="HL39" s="14"/>
      <x:c r="HM39" s="14"/>
      <x:c r="HN39" s="14"/>
      <x:c r="HO39" s="14"/>
      <x:c r="HP39" s="14"/>
      <x:c r="HQ39" s="14"/>
      <x:c r="HR39" s="14"/>
      <x:c r="HS39" s="14"/>
      <x:c r="HT39" s="14"/>
      <x:c r="HU39" s="14"/>
      <x:c r="HV39" s="14"/>
      <x:c r="HW39" s="14"/>
      <x:c r="HX39" s="14"/>
      <x:c r="HY39" s="14"/>
      <x:c r="HZ39" s="14"/>
      <x:c r="IA39" s="14"/>
      <x:c r="IB39" s="14"/>
      <x:c r="IC39" s="14"/>
      <x:c r="ID39" s="14"/>
      <x:c r="IE39" s="14"/>
      <x:c r="IF39" s="14"/>
      <x:c r="IG39" s="14"/>
      <x:c r="IH39" s="14"/>
      <x:c r="II39" s="14"/>
      <x:c r="IJ39" s="14"/>
      <x:c r="IK39" s="14"/>
      <x:c r="IL39" s="14"/>
      <x:c r="IM39" s="14"/>
      <x:c r="IN39" s="14"/>
      <x:c r="IO39" s="14"/>
      <x:c r="IP39" s="14"/>
      <x:c r="IQ39" s="14"/>
      <x:c r="IR39" s="14"/>
      <x:c r="IS39" s="14"/>
      <x:c r="IT39" s="14"/>
      <x:c r="IU39" s="14"/>
      <x:c r="IV39" s="14"/>
      <x:c r="IW39" s="14"/>
      <x:c r="IX39" s="14"/>
      <x:c r="IY39" s="14"/>
      <x:c r="IZ39" s="14"/>
      <x:c r="JA39" s="14"/>
      <x:c r="JB39" s="14"/>
      <x:c r="JC39" s="14"/>
      <x:c r="JD39" s="14"/>
      <x:c r="JE39" s="14"/>
      <x:c r="JF39" s="14"/>
      <x:c r="JG39" s="14"/>
      <x:c r="JH39" s="14"/>
      <x:c r="JI39" s="14"/>
      <x:c r="JJ39" s="14"/>
      <x:c r="JK39" s="14"/>
      <x:c r="JL39" s="14"/>
      <x:c r="JM39" s="14"/>
      <x:c r="JN39" s="14"/>
      <x:c r="JO39" s="14"/>
      <x:c r="JP39" s="14"/>
      <x:c r="JQ39" s="14"/>
      <x:c r="JR39" s="14"/>
      <x:c r="JS39" s="14"/>
      <x:c r="JT39" s="14"/>
      <x:c r="JU39" s="14"/>
      <x:c r="JV39" s="14"/>
      <x:c r="JW39" s="14"/>
      <x:c r="JX39" s="14"/>
      <x:c r="JY39" s="14"/>
      <x:c r="JZ39" s="14"/>
      <x:c r="KA39" s="14"/>
      <x:c r="KB39" s="14"/>
      <x:c r="KC39" s="14"/>
      <x:c r="KD39" s="14"/>
      <x:c r="KE39" s="14"/>
      <x:c r="KF39" s="14"/>
      <x:c r="KG39" s="14"/>
      <x:c r="KH39" s="14"/>
      <x:c r="KI39" s="14"/>
      <x:c r="KJ39" s="14"/>
      <x:c r="KK39" s="14"/>
      <x:c r="KL39" s="14"/>
      <x:c r="KM39" s="14"/>
      <x:c r="KN39" s="14"/>
      <x:c r="KO39" s="14"/>
      <x:c r="KP39" s="14"/>
      <x:c r="KQ39" s="14"/>
      <x:c r="KR39" s="14"/>
      <x:c r="KS39" s="14"/>
      <x:c r="KT39" s="14"/>
      <x:c r="KU39" s="14"/>
      <x:c r="KV39" s="14"/>
      <x:c r="KW39" s="14"/>
      <x:c r="KX39" s="14"/>
      <x:c r="KY39" s="14"/>
      <x:c r="KZ39" s="14"/>
      <x:c r="LA39" s="14"/>
      <x:c r="LB39" s="14"/>
      <x:c r="LC39" s="14"/>
      <x:c r="LD39" s="14"/>
      <x:c r="LE39" s="14"/>
      <x:c r="LF39" s="14"/>
      <x:c r="LG39" s="14"/>
      <x:c r="LH39" s="14"/>
      <x:c r="LI39" s="14"/>
      <x:c r="LJ39" s="14"/>
      <x:c r="LK39" s="14"/>
      <x:c r="LL39" s="14"/>
      <x:c r="LM39" s="14"/>
      <x:c r="LN39" s="14"/>
      <x:c r="LO39" s="14"/>
      <x:c r="LP39" s="14"/>
      <x:c r="LQ39" s="14"/>
      <x:c r="LR39" s="14"/>
      <x:c r="LS39" s="14"/>
      <x:c r="LT39" s="14"/>
      <x:c r="LU39" s="14"/>
      <x:c r="LV39" s="14"/>
      <x:c r="LW39" s="14"/>
      <x:c r="LX39" s="14"/>
      <x:c r="LY39" s="14"/>
      <x:c r="LZ39" s="14"/>
      <x:c r="MA39" s="14"/>
      <x:c r="MB39" s="14"/>
      <x:c r="MC39" s="14"/>
      <x:c r="MD39" s="14"/>
      <x:c r="ME39" s="14"/>
      <x:c r="MF39" s="14"/>
      <x:c r="MG39" s="14"/>
      <x:c r="MH39" s="14"/>
      <x:c r="MI39" s="14"/>
      <x:c r="MJ39" s="14"/>
      <x:c r="MK39" s="14"/>
      <x:c r="ML39" s="14"/>
      <x:c r="MM39" s="14"/>
      <x:c r="MN39" s="14"/>
      <x:c r="MO39" s="14"/>
      <x:c r="MP39" s="14"/>
      <x:c r="MQ39" s="14"/>
      <x:c r="MR39" s="14"/>
      <x:c r="MS39" s="14"/>
      <x:c r="MT39" s="14"/>
      <x:c r="MU39" s="14"/>
      <x:c r="MV39" s="14"/>
      <x:c r="MW39" s="14"/>
      <x:c r="MX39" s="14"/>
      <x:c r="MY39" s="14"/>
      <x:c r="MZ39" s="14"/>
      <x:c r="NA39" s="14"/>
      <x:c r="NB39" s="14"/>
      <x:c r="NC39" s="14"/>
      <x:c r="ND39" s="14"/>
      <x:c r="NE39" s="14"/>
      <x:c r="NF39" s="14"/>
      <x:c r="NG39" s="14"/>
      <x:c r="NH39" s="14"/>
      <x:c r="NI39" s="14"/>
      <x:c r="NJ39" s="14"/>
      <x:c r="NK39" s="14"/>
      <x:c r="NL39" s="14"/>
      <x:c r="NM39" s="14"/>
      <x:c r="NN39" s="14"/>
      <x:c r="NO39" s="14"/>
      <x:c r="NP39" s="14"/>
      <x:c r="NQ39" s="14"/>
      <x:c r="NR39" s="14"/>
      <x:c r="NS39" s="14"/>
      <x:c r="NT39" s="14"/>
      <x:c r="NU39" s="14"/>
      <x:c r="NV39" s="14"/>
      <x:c r="NW39" s="14"/>
      <x:c r="NX39" s="14"/>
      <x:c r="NY39" s="14"/>
      <x:c r="NZ39" s="14"/>
      <x:c r="OA39" s="14"/>
      <x:c r="OB39" s="14"/>
      <x:c r="OC39" s="14"/>
      <x:c r="OD39" s="14"/>
      <x:c r="OE39" s="14"/>
      <x:c r="OF39" s="14"/>
      <x:c r="OG39" s="14"/>
      <x:c r="OH39" s="14"/>
      <x:c r="OI39" s="14"/>
      <x:c r="OJ39" s="14"/>
      <x:c r="OK39" s="14"/>
      <x:c r="OL39" s="14"/>
      <x:c r="OM39" s="14"/>
      <x:c r="ON39" s="14"/>
      <x:c r="OO39" s="14"/>
      <x:c r="OP39" s="14"/>
      <x:c r="OQ39" s="14"/>
      <x:c r="OR39" s="14"/>
      <x:c r="OS39" s="14"/>
      <x:c r="OT39" s="14"/>
      <x:c r="OU39" s="14"/>
      <x:c r="OV39" s="14"/>
      <x:c r="OW39" s="14"/>
      <x:c r="OX39" s="14"/>
      <x:c r="OY39" s="14"/>
      <x:c r="OZ39" s="14"/>
      <x:c r="PA39" s="14"/>
      <x:c r="PB39" s="14"/>
      <x:c r="PC39" s="14"/>
      <x:c r="PD39" s="14"/>
      <x:c r="PE39" s="14"/>
      <x:c r="PF39" s="14"/>
      <x:c r="PG39" s="14"/>
      <x:c r="PH39" s="14"/>
      <x:c r="PI39" s="14"/>
      <x:c r="PJ39" s="14"/>
      <x:c r="PK39" s="14"/>
      <x:c r="PL39" s="14"/>
      <x:c r="PM39" s="14"/>
      <x:c r="PN39" s="14"/>
      <x:c r="PO39" s="14"/>
      <x:c r="PP39" s="14"/>
      <x:c r="PQ39" s="14"/>
      <x:c r="PR39" s="14"/>
      <x:c r="PS39" s="14"/>
      <x:c r="PT39" s="14"/>
      <x:c r="PU39" s="14"/>
      <x:c r="PV39" s="14"/>
      <x:c r="PW39" s="14"/>
      <x:c r="PX39" s="14"/>
      <x:c r="PY39" s="14"/>
      <x:c r="PZ39" s="14"/>
      <x:c r="QA39" s="14"/>
      <x:c r="QB39" s="14"/>
      <x:c r="QC39" s="14"/>
      <x:c r="QD39" s="14"/>
      <x:c r="QE39" s="14"/>
      <x:c r="QF39" s="14"/>
      <x:c r="QG39" s="14"/>
      <x:c r="QH39" s="14"/>
      <x:c r="QI39" s="14"/>
      <x:c r="QJ39" s="14"/>
      <x:c r="QK39" s="14"/>
      <x:c r="QL39" s="14"/>
      <x:c r="QM39" s="14"/>
      <x:c r="QN39" s="14"/>
      <x:c r="QO39" s="14"/>
      <x:c r="QP39" s="14"/>
      <x:c r="QQ39" s="14"/>
      <x:c r="QR39" s="14"/>
      <x:c r="QS39" s="14"/>
      <x:c r="QT39" s="14"/>
      <x:c r="QU39" s="14"/>
      <x:c r="QV39" s="14"/>
      <x:c r="QW39" s="14"/>
      <x:c r="QX39" s="14"/>
      <x:c r="QY39" s="14"/>
      <x:c r="QZ39" s="14"/>
      <x:c r="RA39" s="14"/>
      <x:c r="RB39" s="14"/>
      <x:c r="RC39" s="14"/>
      <x:c r="RD39" s="14"/>
      <x:c r="RE39" s="14"/>
      <x:c r="RF39" s="14"/>
      <x:c r="RG39" s="14"/>
      <x:c r="RH39" s="14"/>
      <x:c r="RI39" s="14"/>
      <x:c r="RJ39" s="14"/>
      <x:c r="RK39" s="14"/>
      <x:c r="RL39" s="14"/>
      <x:c r="RM39" s="14"/>
      <x:c r="RN39" s="14"/>
      <x:c r="RO39" s="14"/>
      <x:c r="RP39" s="14"/>
      <x:c r="RQ39" s="14"/>
      <x:c r="RR39" s="14"/>
      <x:c r="RS39" s="14"/>
      <x:c r="RT39" s="14"/>
      <x:c r="RU39" s="14"/>
      <x:c r="RV39" s="14"/>
      <x:c r="RW39" s="14"/>
      <x:c r="RX39" s="14"/>
      <x:c r="RY39" s="14"/>
      <x:c r="RZ39" s="14"/>
      <x:c r="SA39" s="14"/>
      <x:c r="SB39" s="14"/>
      <x:c r="SC39" s="14"/>
      <x:c r="SD39" s="14"/>
      <x:c r="SE39" s="14"/>
      <x:c r="SF39" s="14"/>
      <x:c r="SG39" s="14"/>
      <x:c r="SH39" s="14"/>
      <x:c r="SI39" s="14"/>
      <x:c r="SJ39" s="14"/>
      <x:c r="SK39" s="14"/>
      <x:c r="SL39" s="14"/>
      <x:c r="SM39" s="14"/>
      <x:c r="SN39" s="14"/>
      <x:c r="SO39" s="14"/>
      <x:c r="SP39" s="14"/>
      <x:c r="SQ39" s="14"/>
      <x:c r="SR39" s="14"/>
      <x:c r="SS39" s="14"/>
      <x:c r="ST39" s="14"/>
      <x:c r="SU39" s="14"/>
      <x:c r="SV39" s="14"/>
      <x:c r="SW39" s="14"/>
      <x:c r="SX39" s="14"/>
      <x:c r="SY39" s="14"/>
      <x:c r="SZ39" s="14"/>
      <x:c r="TA39" s="14"/>
      <x:c r="TB39" s="14"/>
      <x:c r="TC39" s="14"/>
      <x:c r="TD39" s="14"/>
      <x:c r="TE39" s="14"/>
      <x:c r="TF39" s="14"/>
      <x:c r="TG39" s="14"/>
      <x:c r="TH39" s="14"/>
    </x:row>
    <x:row r="40" ht="25" customHeight="1">
      <x:c r="A40" s="16" t="str">
        <x:v>劍類2　／　96 筆</x:v>
      </x:c>
      <x:c r="B40" s="16"/>
      <x:c r="C40" s="16"/>
      <x:c r="D40" s="16"/>
      <x:c r="E40" s="14"/>
      <x:c r="F40" s="16" t="str">
        <x:v>刀類2　／　96 筆</x:v>
      </x:c>
      <x:c r="G40" s="16"/>
      <x:c r="H40" s="16"/>
      <x:c r="I40" s="16"/>
      <x:c r="J40" s="14"/>
      <x:c r="K40" s="16" t="str">
        <x:v>暗器類2　／　54 筆</x:v>
      </x:c>
      <x:c r="L40" s="16"/>
      <x:c r="M40" s="16"/>
      <x:c r="N40" s="16"/>
      <x:c r="O40" s="14"/>
      <x:c r="P40" s="16" t="str">
        <x:v>拂塵類2　／　76 筆</x:v>
      </x:c>
      <x:c r="Q40" s="16"/>
      <x:c r="R40" s="16"/>
      <x:c r="S40" s="16"/>
      <x:c r="T40" s="14"/>
      <x:c r="U40" s="16" t="str">
        <x:v>杖類2　／　77 筆</x:v>
      </x:c>
      <x:c r="V40" s="16"/>
      <x:c r="W40" s="16"/>
      <x:c r="X40" s="16"/>
      <x:c r="Y40" s="14"/>
      <x:c r="Z40" s="16" t="str">
        <x:v>槍類2　／　72 筆</x:v>
      </x:c>
      <x:c r="AA40" s="16"/>
      <x:c r="AB40" s="16"/>
      <x:c r="AC40" s="16"/>
      <x:c r="AD40" s="14"/>
      <x:c r="AE40" s="16" t="str">
        <x:v>棍類2　／　71 筆</x:v>
      </x:c>
      <x:c r="AF40" s="16"/>
      <x:c r="AG40" s="16"/>
      <x:c r="AH40" s="16"/>
      <x:c r="AI40" s="14"/>
      <x:c r="AJ40" s="16" t="str">
        <x:v>錘類2　／　19 筆</x:v>
      </x:c>
      <x:c r="AK40" s="16"/>
      <x:c r="AL40" s="16"/>
      <x:c r="AM40" s="16"/>
      <x:c r="AN40" s="14"/>
      <x:c r="AO40" s="16" t="str">
        <x:v>斧類2　／　17 筆</x:v>
      </x:c>
      <x:c r="AP40" s="16"/>
      <x:c r="AQ40" s="16"/>
      <x:c r="AR40" s="16"/>
      <x:c r="AS40" s="14"/>
      <x:c r="AT40" s="16" t="str">
        <x:v>盾類2　／　13 筆</x:v>
      </x:c>
      <x:c r="AU40" s="16"/>
      <x:c r="AV40" s="16"/>
      <x:c r="AW40" s="16"/>
      <x:c r="AX40" s="14"/>
      <x:c r="AY40" s="16" t="str">
        <x:v>帽子類2　／　96 筆</x:v>
      </x:c>
      <x:c r="AZ40" s="16"/>
      <x:c r="BA40" s="16"/>
      <x:c r="BB40" s="16"/>
      <x:c r="BC40" s="14"/>
      <x:c r="BD40" s="16" t="str">
        <x:v>衣服類2　／　96 筆</x:v>
      </x:c>
      <x:c r="BE40" s="16"/>
      <x:c r="BF40" s="16"/>
      <x:c r="BG40" s="16"/>
      <x:c r="BH40" s="14"/>
      <x:c r="BI40" s="16" t="str">
        <x:v>護腕類2　／　96 筆</x:v>
      </x:c>
      <x:c r="BJ40" s="16"/>
      <x:c r="BK40" s="16"/>
      <x:c r="BL40" s="16"/>
      <x:c r="BM40" s="14"/>
      <x:c r="BN40" s="16" t="str">
        <x:v>鞋子類2　／　96 筆</x:v>
      </x:c>
      <x:c r="BO40" s="16"/>
      <x:c r="BP40" s="16"/>
      <x:c r="BQ40" s="16"/>
      <x:c r="BR40" s="14"/>
      <x:c r="BS40" s="16" t="str">
        <x:v>飾品類2　／　96 筆</x:v>
      </x:c>
      <x:c r="BT40" s="16"/>
      <x:c r="BU40" s="16"/>
      <x:c r="BV40" s="16"/>
      <x:c r="BW40" s="14"/>
      <x:c r="BX40" s="14"/>
      <x:c r="BY40" s="14"/>
      <x:c r="BZ40" s="14"/>
      <x:c r="CA40" s="14"/>
      <x:c r="CB40" s="14"/>
      <x:c r="CC40" s="14"/>
      <x:c r="CD40" s="14"/>
      <x:c r="CE40" s="14"/>
      <x:c r="CF40" s="14"/>
      <x:c r="CG40" s="14"/>
      <x:c r="CH40" s="14"/>
      <x:c r="CI40" s="14"/>
      <x:c r="CJ40" s="14"/>
      <x:c r="CK40" s="14"/>
      <x:c r="CL40" s="14"/>
      <x:c r="CM40" s="14"/>
      <x:c r="CN40" s="14"/>
      <x:c r="CO40" s="14"/>
      <x:c r="CP40" s="14"/>
      <x:c r="CQ40" s="14"/>
      <x:c r="CR40" s="14"/>
      <x:c r="CS40" s="14"/>
      <x:c r="CT40" s="14"/>
      <x:c r="CU40" s="14"/>
      <x:c r="CV40" s="14"/>
      <x:c r="CW40" s="14"/>
      <x:c r="CX40" s="14"/>
      <x:c r="CY40" s="14"/>
      <x:c r="CZ40" s="14"/>
      <x:c r="DA40" s="14"/>
      <x:c r="DB40" s="14"/>
      <x:c r="DC40" s="14"/>
      <x:c r="DD40" s="14"/>
      <x:c r="DE40" s="14"/>
      <x:c r="DF40" s="14"/>
      <x:c r="DG40" s="14"/>
      <x:c r="DH40" s="14"/>
      <x:c r="DI40" s="14"/>
      <x:c r="DJ40" s="14"/>
      <x:c r="DK40" s="14"/>
      <x:c r="DL40" s="14"/>
      <x:c r="DM40" s="14"/>
      <x:c r="DN40" s="14"/>
      <x:c r="DO40" s="14"/>
      <x:c r="DP40" s="14"/>
      <x:c r="DQ40" s="14"/>
      <x:c r="DR40" s="14"/>
      <x:c r="DS40" s="14"/>
      <x:c r="DT40" s="14"/>
      <x:c r="DU40" s="14"/>
      <x:c r="DV40" s="14"/>
      <x:c r="DW40" s="14"/>
      <x:c r="DX40" s="14"/>
      <x:c r="DY40" s="14"/>
      <x:c r="DZ40" s="14"/>
      <x:c r="EA40" s="14"/>
      <x:c r="EB40" s="14"/>
      <x:c r="EC40" s="14"/>
      <x:c r="ED40" s="14"/>
      <x:c r="EE40" s="14"/>
      <x:c r="EF40" s="14"/>
      <x:c r="EG40" s="14"/>
      <x:c r="EH40" s="14"/>
      <x:c r="EI40" s="14"/>
      <x:c r="EJ40" s="14"/>
      <x:c r="EK40" s="14"/>
      <x:c r="EL40" s="14"/>
      <x:c r="EM40" s="14"/>
      <x:c r="EN40" s="14"/>
      <x:c r="EO40" s="14"/>
      <x:c r="EP40" s="14"/>
      <x:c r="EQ40" s="14"/>
      <x:c r="ER40" s="14"/>
      <x:c r="ES40" s="14"/>
      <x:c r="ET40" s="14"/>
      <x:c r="EU40" s="14"/>
      <x:c r="EV40" s="14"/>
      <x:c r="EW40" s="14"/>
      <x:c r="EX40" s="14"/>
      <x:c r="EY40" s="14"/>
      <x:c r="EZ40" s="14"/>
      <x:c r="FA40" s="14"/>
      <x:c r="FB40" s="14"/>
      <x:c r="FC40" s="14"/>
      <x:c r="FD40" s="14"/>
      <x:c r="FE40" s="14"/>
      <x:c r="FF40" s="14"/>
      <x:c r="FG40" s="14"/>
      <x:c r="FH40" s="14"/>
      <x:c r="FI40" s="14"/>
      <x:c r="FJ40" s="14"/>
      <x:c r="FK40" s="14"/>
      <x:c r="FL40" s="14"/>
      <x:c r="FM40" s="14"/>
      <x:c r="FN40" s="14"/>
      <x:c r="FO40" s="14"/>
      <x:c r="FP40" s="14"/>
      <x:c r="FQ40" s="14"/>
      <x:c r="FR40" s="14"/>
      <x:c r="FS40" s="14"/>
      <x:c r="FT40" s="14"/>
      <x:c r="FU40" s="14"/>
      <x:c r="FV40" s="14"/>
      <x:c r="FW40" s="14"/>
      <x:c r="FX40" s="14"/>
      <x:c r="FY40" s="14"/>
      <x:c r="FZ40" s="14"/>
      <x:c r="GA40" s="14"/>
      <x:c r="GB40" s="14"/>
      <x:c r="GC40" s="14"/>
      <x:c r="GD40" s="14"/>
      <x:c r="GE40" s="14"/>
      <x:c r="GF40" s="14"/>
      <x:c r="GG40" s="14"/>
      <x:c r="GH40" s="14"/>
      <x:c r="GI40" s="14"/>
      <x:c r="GJ40" s="14"/>
      <x:c r="GK40" s="14"/>
      <x:c r="GL40" s="14"/>
      <x:c r="GM40" s="14"/>
      <x:c r="GN40" s="14"/>
      <x:c r="GO40" s="14"/>
      <x:c r="GP40" s="14"/>
      <x:c r="GQ40" s="14"/>
      <x:c r="GR40" s="14"/>
      <x:c r="GS40" s="14"/>
      <x:c r="GT40" s="14"/>
      <x:c r="GU40" s="14"/>
      <x:c r="GV40" s="14"/>
      <x:c r="GW40" s="14"/>
      <x:c r="GX40" s="14"/>
      <x:c r="GY40" s="14"/>
      <x:c r="GZ40" s="14"/>
      <x:c r="HA40" s="14"/>
      <x:c r="HB40" s="14"/>
      <x:c r="HC40" s="14"/>
      <x:c r="HD40" s="14"/>
      <x:c r="HE40" s="14"/>
      <x:c r="HF40" s="14"/>
      <x:c r="HG40" s="14"/>
      <x:c r="HH40" s="14"/>
      <x:c r="HI40" s="14"/>
      <x:c r="HJ40" s="14"/>
      <x:c r="HK40" s="14"/>
      <x:c r="HL40" s="14"/>
      <x:c r="HM40" s="14"/>
      <x:c r="HN40" s="14"/>
      <x:c r="HO40" s="14"/>
      <x:c r="HP40" s="14"/>
      <x:c r="HQ40" s="14"/>
      <x:c r="HR40" s="14"/>
      <x:c r="HS40" s="14"/>
      <x:c r="HT40" s="14"/>
      <x:c r="HU40" s="14"/>
      <x:c r="HV40" s="14"/>
      <x:c r="HW40" s="14"/>
      <x:c r="HX40" s="14"/>
      <x:c r="HY40" s="14"/>
      <x:c r="HZ40" s="14"/>
      <x:c r="IA40" s="14"/>
      <x:c r="IB40" s="14"/>
      <x:c r="IC40" s="14"/>
      <x:c r="ID40" s="14"/>
      <x:c r="IE40" s="14"/>
      <x:c r="IF40" s="14"/>
      <x:c r="IG40" s="14"/>
      <x:c r="IH40" s="14"/>
      <x:c r="II40" s="14"/>
      <x:c r="IJ40" s="14"/>
      <x:c r="IK40" s="14"/>
      <x:c r="IL40" s="14"/>
      <x:c r="IM40" s="14"/>
      <x:c r="IN40" s="14"/>
      <x:c r="IO40" s="14"/>
      <x:c r="IP40" s="14"/>
      <x:c r="IQ40" s="14"/>
      <x:c r="IR40" s="14"/>
      <x:c r="IS40" s="14"/>
      <x:c r="IT40" s="14"/>
      <x:c r="IU40" s="14"/>
      <x:c r="IV40" s="14"/>
      <x:c r="IW40" s="14"/>
      <x:c r="IX40" s="14"/>
      <x:c r="IY40" s="14"/>
      <x:c r="IZ40" s="14"/>
      <x:c r="JA40" s="14"/>
      <x:c r="JB40" s="14"/>
      <x:c r="JC40" s="14"/>
      <x:c r="JD40" s="14"/>
      <x:c r="JE40" s="14"/>
      <x:c r="JF40" s="14"/>
      <x:c r="JG40" s="14"/>
      <x:c r="JH40" s="14"/>
      <x:c r="JI40" s="14"/>
      <x:c r="JJ40" s="14"/>
      <x:c r="JK40" s="14"/>
      <x:c r="JL40" s="14"/>
      <x:c r="JM40" s="14"/>
      <x:c r="JN40" s="14"/>
      <x:c r="JO40" s="14"/>
      <x:c r="JP40" s="14"/>
      <x:c r="JQ40" s="14"/>
      <x:c r="JR40" s="14"/>
      <x:c r="JS40" s="14"/>
      <x:c r="JT40" s="14"/>
      <x:c r="JU40" s="14"/>
      <x:c r="JV40" s="14"/>
      <x:c r="JW40" s="14"/>
      <x:c r="JX40" s="14"/>
      <x:c r="JY40" s="14"/>
      <x:c r="JZ40" s="14"/>
      <x:c r="KA40" s="14"/>
      <x:c r="KB40" s="14"/>
      <x:c r="KC40" s="14"/>
      <x:c r="KD40" s="14"/>
      <x:c r="KE40" s="14"/>
      <x:c r="KF40" s="14"/>
      <x:c r="KG40" s="14"/>
      <x:c r="KH40" s="14"/>
      <x:c r="KI40" s="14"/>
      <x:c r="KJ40" s="14"/>
      <x:c r="KK40" s="14"/>
      <x:c r="KL40" s="14"/>
      <x:c r="KM40" s="14"/>
      <x:c r="KN40" s="14"/>
      <x:c r="KO40" s="14"/>
      <x:c r="KP40" s="14"/>
      <x:c r="KQ40" s="14"/>
      <x:c r="KR40" s="14"/>
      <x:c r="KS40" s="14"/>
      <x:c r="KT40" s="14"/>
      <x:c r="KU40" s="14"/>
      <x:c r="KV40" s="14"/>
      <x:c r="KW40" s="14"/>
      <x:c r="KX40" s="14"/>
      <x:c r="KY40" s="14"/>
      <x:c r="KZ40" s="14"/>
      <x:c r="LA40" s="14"/>
      <x:c r="LB40" s="14"/>
      <x:c r="LC40" s="14"/>
      <x:c r="LD40" s="14"/>
      <x:c r="LE40" s="14"/>
      <x:c r="LF40" s="14"/>
      <x:c r="LG40" s="14"/>
      <x:c r="LH40" s="14"/>
      <x:c r="LI40" s="14"/>
      <x:c r="LJ40" s="14"/>
      <x:c r="LK40" s="14"/>
      <x:c r="LL40" s="14"/>
      <x:c r="LM40" s="14"/>
      <x:c r="LN40" s="14"/>
      <x:c r="LO40" s="14"/>
      <x:c r="LP40" s="14"/>
      <x:c r="LQ40" s="14"/>
      <x:c r="LR40" s="14"/>
      <x:c r="LS40" s="14"/>
      <x:c r="LT40" s="14"/>
      <x:c r="LU40" s="14"/>
      <x:c r="LV40" s="14"/>
      <x:c r="LW40" s="14"/>
      <x:c r="LX40" s="14"/>
      <x:c r="LY40" s="14"/>
      <x:c r="LZ40" s="14"/>
      <x:c r="MA40" s="14"/>
      <x:c r="MB40" s="14"/>
      <x:c r="MC40" s="14"/>
      <x:c r="MD40" s="14"/>
      <x:c r="ME40" s="14"/>
      <x:c r="MF40" s="14"/>
      <x:c r="MG40" s="14"/>
      <x:c r="MH40" s="14"/>
      <x:c r="MI40" s="14"/>
      <x:c r="MJ40" s="14"/>
      <x:c r="MK40" s="14"/>
      <x:c r="ML40" s="14"/>
      <x:c r="MM40" s="14"/>
      <x:c r="MN40" s="14"/>
      <x:c r="MO40" s="14"/>
      <x:c r="MP40" s="14"/>
      <x:c r="MQ40" s="14"/>
      <x:c r="MR40" s="14"/>
      <x:c r="MS40" s="14"/>
      <x:c r="MT40" s="14"/>
      <x:c r="MU40" s="14"/>
      <x:c r="MV40" s="14"/>
      <x:c r="MW40" s="14"/>
      <x:c r="MX40" s="14"/>
      <x:c r="MY40" s="14"/>
      <x:c r="MZ40" s="14"/>
      <x:c r="NA40" s="14"/>
      <x:c r="NB40" s="14"/>
      <x:c r="NC40" s="14"/>
      <x:c r="ND40" s="14"/>
      <x:c r="NE40" s="14"/>
      <x:c r="NF40" s="14"/>
      <x:c r="NG40" s="14"/>
      <x:c r="NH40" s="14"/>
      <x:c r="NI40" s="14"/>
      <x:c r="NJ40" s="14"/>
      <x:c r="NK40" s="14"/>
      <x:c r="NL40" s="14"/>
      <x:c r="NM40" s="14"/>
      <x:c r="NN40" s="14"/>
      <x:c r="NO40" s="14"/>
      <x:c r="NP40" s="14"/>
      <x:c r="NQ40" s="14"/>
      <x:c r="NR40" s="14"/>
      <x:c r="NS40" s="14"/>
      <x:c r="NT40" s="14"/>
      <x:c r="NU40" s="14"/>
      <x:c r="NV40" s="14"/>
      <x:c r="NW40" s="14"/>
      <x:c r="NX40" s="14"/>
      <x:c r="NY40" s="14"/>
      <x:c r="NZ40" s="14"/>
      <x:c r="OA40" s="14"/>
      <x:c r="OB40" s="14"/>
      <x:c r="OC40" s="14"/>
      <x:c r="OD40" s="14"/>
      <x:c r="OE40" s="14"/>
      <x:c r="OF40" s="14"/>
      <x:c r="OG40" s="14"/>
      <x:c r="OH40" s="14"/>
      <x:c r="OI40" s="14"/>
      <x:c r="OJ40" s="14"/>
      <x:c r="OK40" s="14"/>
      <x:c r="OL40" s="14"/>
      <x:c r="OM40" s="14"/>
      <x:c r="ON40" s="14"/>
      <x:c r="OO40" s="14"/>
      <x:c r="OP40" s="14"/>
      <x:c r="OQ40" s="14"/>
      <x:c r="OR40" s="14"/>
      <x:c r="OS40" s="14"/>
      <x:c r="OT40" s="14"/>
      <x:c r="OU40" s="14"/>
      <x:c r="OV40" s="14"/>
      <x:c r="OW40" s="14"/>
      <x:c r="OX40" s="14"/>
      <x:c r="OY40" s="14"/>
      <x:c r="OZ40" s="14"/>
      <x:c r="PA40" s="14"/>
      <x:c r="PB40" s="14"/>
      <x:c r="PC40" s="14"/>
      <x:c r="PD40" s="14"/>
      <x:c r="PE40" s="14"/>
      <x:c r="PF40" s="14"/>
      <x:c r="PG40" s="14"/>
      <x:c r="PH40" s="14"/>
      <x:c r="PI40" s="14"/>
      <x:c r="PJ40" s="14"/>
      <x:c r="PK40" s="14"/>
      <x:c r="PL40" s="14"/>
      <x:c r="PM40" s="14"/>
      <x:c r="PN40" s="14"/>
      <x:c r="PO40" s="14"/>
      <x:c r="PP40" s="14"/>
      <x:c r="PQ40" s="14"/>
      <x:c r="PR40" s="14"/>
      <x:c r="PS40" s="14"/>
      <x:c r="PT40" s="14"/>
      <x:c r="PU40" s="14"/>
      <x:c r="PV40" s="14"/>
      <x:c r="PW40" s="14"/>
      <x:c r="PX40" s="14"/>
      <x:c r="PY40" s="14"/>
      <x:c r="PZ40" s="14"/>
      <x:c r="QA40" s="14"/>
      <x:c r="QB40" s="14"/>
      <x:c r="QC40" s="14"/>
      <x:c r="QD40" s="14"/>
      <x:c r="QE40" s="14"/>
      <x:c r="QF40" s="14"/>
      <x:c r="QG40" s="14"/>
      <x:c r="QH40" s="14"/>
      <x:c r="QI40" s="14"/>
      <x:c r="QJ40" s="14"/>
      <x:c r="QK40" s="14"/>
      <x:c r="QL40" s="14"/>
      <x:c r="QM40" s="14"/>
      <x:c r="QN40" s="14"/>
      <x:c r="QO40" s="14"/>
      <x:c r="QP40" s="14"/>
      <x:c r="QQ40" s="14"/>
      <x:c r="QR40" s="14"/>
      <x:c r="QS40" s="14"/>
      <x:c r="QT40" s="14"/>
      <x:c r="QU40" s="14"/>
      <x:c r="QV40" s="14"/>
      <x:c r="QW40" s="14"/>
      <x:c r="QX40" s="14"/>
      <x:c r="QY40" s="14"/>
      <x:c r="QZ40" s="14"/>
      <x:c r="RA40" s="14"/>
      <x:c r="RB40" s="14"/>
      <x:c r="RC40" s="14"/>
      <x:c r="RD40" s="14"/>
      <x:c r="RE40" s="14"/>
      <x:c r="RF40" s="14"/>
      <x:c r="RG40" s="14"/>
      <x:c r="RH40" s="14"/>
      <x:c r="RI40" s="14"/>
      <x:c r="RJ40" s="14"/>
      <x:c r="RK40" s="14"/>
      <x:c r="RL40" s="14"/>
      <x:c r="RM40" s="14"/>
      <x:c r="RN40" s="14"/>
      <x:c r="RO40" s="14"/>
      <x:c r="RP40" s="14"/>
      <x:c r="RQ40" s="14"/>
      <x:c r="RR40" s="14"/>
      <x:c r="RS40" s="14"/>
      <x:c r="RT40" s="14"/>
      <x:c r="RU40" s="14"/>
      <x:c r="RV40" s="14"/>
      <x:c r="RW40" s="14"/>
      <x:c r="RX40" s="14"/>
      <x:c r="RY40" s="14"/>
      <x:c r="RZ40" s="14"/>
      <x:c r="SA40" s="14"/>
      <x:c r="SB40" s="14"/>
      <x:c r="SC40" s="14"/>
      <x:c r="SD40" s="14"/>
      <x:c r="SE40" s="14"/>
      <x:c r="SF40" s="14"/>
      <x:c r="SG40" s="14"/>
      <x:c r="SH40" s="14"/>
      <x:c r="SI40" s="14"/>
      <x:c r="SJ40" s="14"/>
      <x:c r="SK40" s="14"/>
      <x:c r="SL40" s="14"/>
      <x:c r="SM40" s="14"/>
      <x:c r="SN40" s="14"/>
      <x:c r="SO40" s="14"/>
      <x:c r="SP40" s="14"/>
      <x:c r="SQ40" s="14"/>
      <x:c r="SR40" s="14"/>
      <x:c r="SS40" s="14"/>
      <x:c r="ST40" s="14"/>
      <x:c r="SU40" s="14"/>
      <x:c r="SV40" s="14"/>
      <x:c r="SW40" s="14"/>
      <x:c r="SX40" s="14"/>
      <x:c r="SY40" s="14"/>
      <x:c r="SZ40" s="14"/>
      <x:c r="TA40" s="14"/>
      <x:c r="TB40" s="14"/>
      <x:c r="TC40" s="14"/>
      <x:c r="TD40" s="14"/>
      <x:c r="TE40" s="14"/>
      <x:c r="TF40" s="14"/>
      <x:c r="TG40" s="14"/>
      <x:c r="TH40" s="14"/>
    </x:row>
    <x:row r="41" ht="15" customHeight="1">
      <x:c r="A41" s="17" t="str">
        <x:v>精鋼樓蘭劍</x:v>
      </x:c>
      <x:c r="B41" s="17" t="str">
        <x:v>撕天樓蘭劍</x:v>
      </x:c>
      <x:c r="C41" s="17" t="str">
        <x:v>裂雲樓蘭劍</x:v>
      </x:c>
      <x:c r="D41" s="17" t="str">
        <x:v>泉戶劍</x:v>
      </x:c>
      <x:c r="E41" s="14"/>
      <x:c r="F41" s="17" t="str">
        <x:v>無雙斬業刀</x:v>
      </x:c>
      <x:c r="G41" s="17" t="str">
        <x:v>計都奔烈刀</x:v>
      </x:c>
      <x:c r="H41" s="17" t="str">
        <x:v>羅喉霸絕刀</x:v>
      </x:c>
      <x:c r="I41" s="17" t="str">
        <x:v>修羅刀</x:v>
      </x:c>
      <x:c r="J41" s="14"/>
      <x:c r="K41" s="17" t="str">
        <x:v>亞圖姆王柄</x:v>
      </x:c>
      <x:c r="L41" s="17" t="str">
        <x:v>藏意龍翔穿</x:v>
      </x:c>
      <x:c r="M41" s="17" t="str">
        <x:v>諸尊神雷杵</x:v>
      </x:c>
      <x:c r="N41" s="17" t="str">
        <x:v>混沌大兇星</x:v>
      </x:c>
      <x:c r="O41" s="14"/>
      <x:c r="P41" s="17" t="str">
        <x:v>博愛聖母心</x:v>
      </x:c>
      <x:c r="Q41" s="17" t="str">
        <x:v>聖臨神子心</x:v>
      </x:c>
      <x:c r="R41" s="17" t="str">
        <x:v>斬惡聖衛寶斗</x:v>
      </x:c>
      <x:c r="S41" s="17" t="str">
        <x:v>誅魔聖衛寶斗</x:v>
      </x:c>
      <x:c r="T41" s="14"/>
      <x:c r="U41" s="17" t="str">
        <x:v>太古天羽杖</x:v>
      </x:c>
      <x:c r="V41" s="17" t="str">
        <x:v>天國福音杖</x:v>
      </x:c>
      <x:c r="W41" s="17" t="str">
        <x:v>聖翼極光杖</x:v>
      </x:c>
      <x:c r="X41" s="17" t="str">
        <x:v>斬惡聖衛權杖</x:v>
      </x:c>
      <x:c r="Y41" s="14"/>
      <x:c r="Z41" s="17" t="str">
        <x:v>六嚴龍樹槍</x:v>
      </x:c>
      <x:c r="AA41" s="17" t="str">
        <x:v>天鍛‧冰王槍</x:v>
      </x:c>
      <x:c r="AB41" s="17" t="str">
        <x:v>仙鑄‧冰王槍</x:v>
      </x:c>
      <x:c r="AC41" s="17" t="str">
        <x:v>神煉‧冰王槍</x:v>
      </x:c>
      <x:c r="AD41" s="14"/>
      <x:c r="AE41" s="17" t="str">
        <x:v>神煉‧織霧棍</x:v>
      </x:c>
      <x:c r="AF41" s="17" t="str">
        <x:v>宇傲‧織霧棍</x:v>
      </x:c>
      <x:c r="AG41" s="17" t="str">
        <x:v>峻霆‧織霧棍</x:v>
      </x:c>
      <x:c r="AH41" s="17" t="str">
        <x:v>窮極‧織霧棍</x:v>
      </x:c>
      <x:c r="AI41" s="14"/>
      <x:c r="AJ41" s="17" t="str">
        <x:v>奇眼錘</x:v>
      </x:c>
      <x:c r="AK41" s="17" t="str">
        <x:v>鵑雪傾錘Ⅰ</x:v>
      </x:c>
      <x:c r="AL41" s="17" t="str">
        <x:v>鵑雪傾錘Ⅱ</x:v>
      </x:c>
      <x:c r="AM41" s="17" t="str">
        <x:v>鵑雪傾錘Ⅲ</x:v>
      </x:c>
      <x:c r="AN41" s="14"/>
      <x:c r="AO41" s="17" t="str">
        <x:v>葬月梟斧Ⅱ</x:v>
      </x:c>
      <x:c r="AP41" s="17" t="str">
        <x:v>葬月梟斧Ⅲ</x:v>
      </x:c>
      <x:c r="AQ41" s="17" t="str">
        <x:v>葬月梟斧Ⅳ</x:v>
      </x:c>
      <x:c r="AR41" s="17" t="str">
        <x:v>葬月梟斧Ⅴ</x:v>
      </x:c>
      <x:c r="AS41" s="14"/>
      <x:c r="AT41" s="17" t="str">
        <x:v>冥淵血鷲盾</x:v>
      </x:c>
      <x:c r="AU41" s="17" t="str">
        <x:v>冥淵血鷲盾</x:v>
      </x:c>
      <x:c r="AV41" s="17" t="str">
        <x:v>撐犁孤屠盾</x:v>
      </x:c>
      <x:c r="AW41" s="17" t="str">
        <x:v>撐犁孤屠盾</x:v>
      </x:c>
      <x:c r="AX41" s="14"/>
      <x:c r="AY41" s="17" t="str">
        <x:v>伏虎斗笠</x:v>
      </x:c>
      <x:c r="AZ41" s="17" t="str">
        <x:v>除妖斗笠</x:v>
      </x:c>
      <x:c r="BA41" s="17" t="str">
        <x:v>斬蛟斗笠</x:v>
      </x:c>
      <x:c r="BB41" s="17" t="str">
        <x:v>青鋼兜帽</x:v>
      </x:c>
      <x:c r="BC41" s="14"/>
      <x:c r="BD41" s="17" t="str">
        <x:v>智者聖甲</x:v>
      </x:c>
      <x:c r="BE41" s="17" t="str">
        <x:v>仁者聖甲</x:v>
      </x:c>
      <x:c r="BF41" s="17" t="str">
        <x:v>勇者聖甲</x:v>
      </x:c>
      <x:c r="BG41" s="17" t="str">
        <x:v>義者聖甲</x:v>
      </x:c>
      <x:c r="BH41" s="14"/>
      <x:c r="BI41" s="17" t="str">
        <x:v>綱岐護腕</x:v>
      </x:c>
      <x:c r="BJ41" s="17" t="str">
        <x:v>葵越護腕</x:v>
      </x:c>
      <x:c r="BK41" s="17" t="str">
        <x:v>笠紀護腕</x:v>
      </x:c>
      <x:c r="BL41" s="17" t="str">
        <x:v>伏藏護腕</x:v>
      </x:c>
      <x:c r="BM41" s="14"/>
      <x:c r="BN41" s="17" t="str">
        <x:v>御雲戰靴</x:v>
      </x:c>
      <x:c r="BO41" s="17" t="str">
        <x:v>德津戰靴</x:v>
      </x:c>
      <x:c r="BP41" s="17" t="str">
        <x:v>綱岐戰靴</x:v>
      </x:c>
      <x:c r="BQ41" s="17" t="str">
        <x:v>葵越紋靴</x:v>
      </x:c>
      <x:c r="BR41" s="14"/>
      <x:c r="BS41" s="17" t="str">
        <x:v>八聖項鍊</x:v>
      </x:c>
      <x:c r="BT41" s="17" t="str">
        <x:v>光淨墜鍊</x:v>
      </x:c>
      <x:c r="BU41" s="17" t="str">
        <x:v>辯才天墜鍊</x:v>
      </x:c>
      <x:c r="BV41" s="17" t="str">
        <x:v>鐵曜佛珠</x:v>
      </x:c>
      <x:c r="BW41" s="14"/>
      <x:c r="BX41" s="14"/>
      <x:c r="BY41" s="14"/>
      <x:c r="BZ41" s="14"/>
      <x:c r="CA41" s="14"/>
      <x:c r="CB41" s="14"/>
      <x:c r="CC41" s="14" t="str">
        <x:v>22111</x:v>
      </x:c>
      <x:c r="CD41" s="14" t="n">
        <x:v>8</x:v>
      </x:c>
      <x:c r="CE41" s="14" t="n">
        <x:v>97</x:v>
      </x:c>
      <x:c r="CF41" s="14" t="n">
        <x:v>97</x:v>
      </x:c>
      <x:c r="CG41" s="14" t="n">
        <x:v>1</x:v>
      </x:c>
      <x:c r="CH41" s="14" t="n">
        <x:v>1</x:v>
      </x:c>
      <x:c r="CI41" s="14" t="str">
        <x:v>未收錄</x:v>
      </x:c>
      <x:c r="CJ41" s="14" t="str">
        <x:v>22112</x:v>
      </x:c>
      <x:c r="CK41" s="14" t="n">
        <x:v>8</x:v>
      </x:c>
      <x:c r="CL41" s="14" t="n">
        <x:v>98</x:v>
      </x:c>
      <x:c r="CM41" s="14" t="n">
        <x:v>98</x:v>
      </x:c>
      <x:c r="CN41" s="14" t="n">
        <x:v>1</x:v>
      </x:c>
      <x:c r="CO41" s="14" t="n">
        <x:v>2</x:v>
      </x:c>
      <x:c r="CP41" s="14" t="str">
        <x:v>未收錄</x:v>
      </x:c>
      <x:c r="CQ41" s="14" t="str">
        <x:v>22113</x:v>
      </x:c>
      <x:c r="CR41" s="14" t="n">
        <x:v>8</x:v>
      </x:c>
      <x:c r="CS41" s="14" t="n">
        <x:v>99</x:v>
      </x:c>
      <x:c r="CT41" s="14" t="n">
        <x:v>99</x:v>
      </x:c>
      <x:c r="CU41" s="14" t="n">
        <x:v>1</x:v>
      </x:c>
      <x:c r="CV41" s="14" t="n">
        <x:v>3</x:v>
      </x:c>
      <x:c r="CW41" s="14" t="str">
        <x:v>未收錄</x:v>
      </x:c>
      <x:c r="CX41" s="14" t="str">
        <x:v>22496</x:v>
      </x:c>
      <x:c r="CY41" s="14" t="n">
        <x:v>8</x:v>
      </x:c>
      <x:c r="CZ41" s="14" t="n">
        <x:v>100</x:v>
      </x:c>
      <x:c r="DA41" s="14" t="n">
        <x:v>100</x:v>
      </x:c>
      <x:c r="DB41" s="14" t="n">
        <x:v>1</x:v>
      </x:c>
      <x:c r="DC41" s="14" t="n">
        <x:v>4</x:v>
      </x:c>
      <x:c r="DD41" s="14" t="str">
        <x:v>未收錄</x:v>
      </x:c>
      <x:c r="DE41" s="14" t="str">
        <x:v>23657</x:v>
      </x:c>
      <x:c r="DF41" s="14" t="n">
        <x:v>8</x:v>
      </x:c>
      <x:c r="DG41" s="14" t="n">
        <x:v>342</x:v>
      </x:c>
      <x:c r="DH41" s="14" t="n">
        <x:v>97</x:v>
      </x:c>
      <x:c r="DI41" s="14" t="n">
        <x:v>1</x:v>
      </x:c>
      <x:c r="DJ41" s="14" t="n">
        <x:v>1</x:v>
      </x:c>
      <x:c r="DK41" s="14" t="str">
        <x:v>未收錄</x:v>
      </x:c>
      <x:c r="DL41" s="14" t="str">
        <x:v>23147</x:v>
      </x:c>
      <x:c r="DM41" s="14" t="n">
        <x:v>8</x:v>
      </x:c>
      <x:c r="DN41" s="14" t="n">
        <x:v>343</x:v>
      </x:c>
      <x:c r="DO41" s="14" t="n">
        <x:v>98</x:v>
      </x:c>
      <x:c r="DP41" s="14" t="n">
        <x:v>1</x:v>
      </x:c>
      <x:c r="DQ41" s="14" t="n">
        <x:v>2</x:v>
      </x:c>
      <x:c r="DR41" s="14" t="str">
        <x:v>未收錄</x:v>
      </x:c>
      <x:c r="DS41" s="14" t="str">
        <x:v>23148</x:v>
      </x:c>
      <x:c r="DT41" s="14" t="n">
        <x:v>8</x:v>
      </x:c>
      <x:c r="DU41" s="14" t="n">
        <x:v>344</x:v>
      </x:c>
      <x:c r="DV41" s="14" t="n">
        <x:v>99</x:v>
      </x:c>
      <x:c r="DW41" s="14" t="n">
        <x:v>1</x:v>
      </x:c>
      <x:c r="DX41" s="14" t="n">
        <x:v>3</x:v>
      </x:c>
      <x:c r="DY41" s="14" t="str">
        <x:v>未收錄</x:v>
      </x:c>
      <x:c r="DZ41" s="14" t="str">
        <x:v>23149</x:v>
      </x:c>
      <x:c r="EA41" s="14" t="n">
        <x:v>8</x:v>
      </x:c>
      <x:c r="EB41" s="14" t="n">
        <x:v>345</x:v>
      </x:c>
      <x:c r="EC41" s="14" t="n">
        <x:v>100</x:v>
      </x:c>
      <x:c r="ED41" s="14" t="n">
        <x:v>1</x:v>
      </x:c>
      <x:c r="EE41" s="14" t="n">
        <x:v>4</x:v>
      </x:c>
      <x:c r="EF41" s="14" t="str">
        <x:v>未收錄</x:v>
      </x:c>
      <x:c r="EG41" s="14" t="str">
        <x:v>28993</x:v>
      </x:c>
      <x:c r="EH41" s="14" t="n">
        <x:v>10</x:v>
      </x:c>
      <x:c r="EI41" s="14" t="n">
        <x:v>578</x:v>
      </x:c>
      <x:c r="EJ41" s="14" t="n">
        <x:v>97</x:v>
      </x:c>
      <x:c r="EK41" s="14" t="n">
        <x:v>1</x:v>
      </x:c>
      <x:c r="EL41" s="14" t="n">
        <x:v>1</x:v>
      </x:c>
      <x:c r="EM41" s="14" t="str">
        <x:v>未收錄</x:v>
      </x:c>
      <x:c r="EN41" s="14" t="str">
        <x:v>29819</x:v>
      </x:c>
      <x:c r="EO41" s="14" t="n">
        <x:v>10</x:v>
      </x:c>
      <x:c r="EP41" s="14" t="n">
        <x:v>579</x:v>
      </x:c>
      <x:c r="EQ41" s="14" t="n">
        <x:v>98</x:v>
      </x:c>
      <x:c r="ER41" s="14" t="n">
        <x:v>1</x:v>
      </x:c>
      <x:c r="ES41" s="14" t="n">
        <x:v>2</x:v>
      </x:c>
      <x:c r="ET41" s="14" t="str">
        <x:v>未收錄</x:v>
      </x:c>
      <x:c r="EU41" s="14" t="str">
        <x:v>23384</x:v>
      </x:c>
      <x:c r="EV41" s="14" t="n">
        <x:v>20</x:v>
      </x:c>
      <x:c r="EW41" s="14" t="n">
        <x:v>580</x:v>
      </x:c>
      <x:c r="EX41" s="14" t="n">
        <x:v>99</x:v>
      </x:c>
      <x:c r="EY41" s="14" t="n">
        <x:v>1</x:v>
      </x:c>
      <x:c r="EZ41" s="14" t="n">
        <x:v>3</x:v>
      </x:c>
      <x:c r="FA41" s="14" t="str">
        <x:v>未收錄</x:v>
      </x:c>
      <x:c r="FB41" s="14" t="str">
        <x:v>23777</x:v>
      </x:c>
      <x:c r="FC41" s="14" t="n">
        <x:v>20</x:v>
      </x:c>
      <x:c r="FD41" s="14" t="n">
        <x:v>581</x:v>
      </x:c>
      <x:c r="FE41" s="14" t="n">
        <x:v>100</x:v>
      </x:c>
      <x:c r="FF41" s="14" t="n">
        <x:v>1</x:v>
      </x:c>
      <x:c r="FG41" s="14" t="n">
        <x:v>4</x:v>
      </x:c>
      <x:c r="FH41" s="14" t="str">
        <x:v>未收錄</x:v>
      </x:c>
      <x:c r="FI41" s="14" t="str">
        <x:v>26070</x:v>
      </x:c>
      <x:c r="FJ41" s="14" t="n">
        <x:v>8</x:v>
      </x:c>
      <x:c r="FK41" s="14" t="n">
        <x:v>728</x:v>
      </x:c>
      <x:c r="FL41" s="14" t="n">
        <x:v>97</x:v>
      </x:c>
      <x:c r="FM41" s="14" t="n">
        <x:v>1</x:v>
      </x:c>
      <x:c r="FN41" s="14" t="n">
        <x:v>1</x:v>
      </x:c>
      <x:c r="FO41" s="14" t="str">
        <x:v>未收錄</x:v>
      </x:c>
      <x:c r="FP41" s="14" t="str">
        <x:v>26071</x:v>
      </x:c>
      <x:c r="FQ41" s="14" t="n">
        <x:v>8</x:v>
      </x:c>
      <x:c r="FR41" s="14" t="n">
        <x:v>729</x:v>
      </x:c>
      <x:c r="FS41" s="14" t="n">
        <x:v>98</x:v>
      </x:c>
      <x:c r="FT41" s="14" t="n">
        <x:v>1</x:v>
      </x:c>
      <x:c r="FU41" s="14" t="n">
        <x:v>2</x:v>
      </x:c>
      <x:c r="FV41" s="14" t="str">
        <x:v>未收錄</x:v>
      </x:c>
      <x:c r="FW41" s="14" t="str">
        <x:v>26452</x:v>
      </x:c>
      <x:c r="FX41" s="14" t="n">
        <x:v>8</x:v>
      </x:c>
      <x:c r="FY41" s="14" t="n">
        <x:v>730</x:v>
      </x:c>
      <x:c r="FZ41" s="14" t="n">
        <x:v>99</x:v>
      </x:c>
      <x:c r="GA41" s="14" t="n">
        <x:v>1</x:v>
      </x:c>
      <x:c r="GB41" s="14" t="n">
        <x:v>3</x:v>
      </x:c>
      <x:c r="GC41" s="14" t="str">
        <x:v>未收錄</x:v>
      </x:c>
      <x:c r="GD41" s="14" t="str">
        <x:v>26453</x:v>
      </x:c>
      <x:c r="GE41" s="14" t="n">
        <x:v>8</x:v>
      </x:c>
      <x:c r="GF41" s="14" t="n">
        <x:v>731</x:v>
      </x:c>
      <x:c r="GG41" s="14" t="n">
        <x:v>100</x:v>
      </x:c>
      <x:c r="GH41" s="14" t="n">
        <x:v>1</x:v>
      </x:c>
      <x:c r="GI41" s="14" t="n">
        <x:v>4</x:v>
      </x:c>
      <x:c r="GJ41" s="14" t="str">
        <x:v>未收錄</x:v>
      </x:c>
      <x:c r="GK41" s="14" t="str">
        <x:v>26714</x:v>
      </x:c>
      <x:c r="GL41" s="14" t="n">
        <x:v>3</x:v>
      </x:c>
      <x:c r="GM41" s="14" t="n">
        <x:v>900</x:v>
      </x:c>
      <x:c r="GN41" s="14" t="n">
        <x:v>97</x:v>
      </x:c>
      <x:c r="GO41" s="14" t="n">
        <x:v>1</x:v>
      </x:c>
      <x:c r="GP41" s="14" t="n">
        <x:v>1</x:v>
      </x:c>
      <x:c r="GQ41" s="14" t="str">
        <x:v>未收錄</x:v>
      </x:c>
      <x:c r="GR41" s="14" t="str">
        <x:v>26076</x:v>
      </x:c>
      <x:c r="GS41" s="14" t="n">
        <x:v>8</x:v>
      </x:c>
      <x:c r="GT41" s="14" t="n">
        <x:v>901</x:v>
      </x:c>
      <x:c r="GU41" s="14" t="n">
        <x:v>98</x:v>
      </x:c>
      <x:c r="GV41" s="14" t="n">
        <x:v>1</x:v>
      </x:c>
      <x:c r="GW41" s="14" t="n">
        <x:v>2</x:v>
      </x:c>
      <x:c r="GX41" s="14" t="str">
        <x:v>未收錄</x:v>
      </x:c>
      <x:c r="GY41" s="14" t="str">
        <x:v>26077</x:v>
      </x:c>
      <x:c r="GZ41" s="14" t="n">
        <x:v>8</x:v>
      </x:c>
      <x:c r="HA41" s="14" t="n">
        <x:v>902</x:v>
      </x:c>
      <x:c r="HB41" s="14" t="n">
        <x:v>99</x:v>
      </x:c>
      <x:c r="HC41" s="14" t="n">
        <x:v>1</x:v>
      </x:c>
      <x:c r="HD41" s="14" t="n">
        <x:v>3</x:v>
      </x:c>
      <x:c r="HE41" s="14" t="str">
        <x:v>未收錄</x:v>
      </x:c>
      <x:c r="HF41" s="14" t="str">
        <x:v>26456</x:v>
      </x:c>
      <x:c r="HG41" s="14" t="n">
        <x:v>8</x:v>
      </x:c>
      <x:c r="HH41" s="14" t="n">
        <x:v>903</x:v>
      </x:c>
      <x:c r="HI41" s="14" t="n">
        <x:v>100</x:v>
      </x:c>
      <x:c r="HJ41" s="14" t="n">
        <x:v>1</x:v>
      </x:c>
      <x:c r="HK41" s="14" t="n">
        <x:v>4</x:v>
      </x:c>
      <x:c r="HL41" s="14" t="str">
        <x:v>未收錄</x:v>
      </x:c>
      <x:c r="HM41" s="14" t="str">
        <x:v>26941</x:v>
      </x:c>
      <x:c r="HN41" s="14" t="n">
        <x:v>8</x:v>
      </x:c>
      <x:c r="HO41" s="14" t="n">
        <x:v>1073</x:v>
      </x:c>
      <x:c r="HP41" s="14" t="n">
        <x:v>97</x:v>
      </x:c>
      <x:c r="HQ41" s="14" t="n">
        <x:v>1</x:v>
      </x:c>
      <x:c r="HR41" s="14" t="n">
        <x:v>1</x:v>
      </x:c>
      <x:c r="HS41" s="14" t="str">
        <x:v>未收錄</x:v>
      </x:c>
      <x:c r="HT41" s="14" t="str">
        <x:v>27054</x:v>
      </x:c>
      <x:c r="HU41" s="14" t="n">
        <x:v>8</x:v>
      </x:c>
      <x:c r="HV41" s="14" t="n">
        <x:v>1074</x:v>
      </x:c>
      <x:c r="HW41" s="14" t="n">
        <x:v>98</x:v>
      </x:c>
      <x:c r="HX41" s="14" t="n">
        <x:v>1</x:v>
      </x:c>
      <x:c r="HY41" s="14" t="n">
        <x:v>2</x:v>
      </x:c>
      <x:c r="HZ41" s="14" t="str">
        <x:v>未收錄</x:v>
      </x:c>
      <x:c r="IA41" s="14" t="str">
        <x:v>27055</x:v>
      </x:c>
      <x:c r="IB41" s="14" t="n">
        <x:v>8</x:v>
      </x:c>
      <x:c r="IC41" s="14" t="n">
        <x:v>1075</x:v>
      </x:c>
      <x:c r="ID41" s="14" t="n">
        <x:v>99</x:v>
      </x:c>
      <x:c r="IE41" s="14" t="n">
        <x:v>1</x:v>
      </x:c>
      <x:c r="IF41" s="14" t="n">
        <x:v>3</x:v>
      </x:c>
      <x:c r="IG41" s="14" t="str">
        <x:v>未收錄</x:v>
      </x:c>
      <x:c r="IH41" s="14" t="str">
        <x:v>27056</x:v>
      </x:c>
      <x:c r="II41" s="14" t="n">
        <x:v>8</x:v>
      </x:c>
      <x:c r="IJ41" s="14" t="n">
        <x:v>1076</x:v>
      </x:c>
      <x:c r="IK41" s="14" t="n">
        <x:v>100</x:v>
      </x:c>
      <x:c r="IL41" s="14" t="n">
        <x:v>1</x:v>
      </x:c>
      <x:c r="IM41" s="14" t="n">
        <x:v>4</x:v>
      </x:c>
      <x:c r="IN41" s="14" t="str">
        <x:v>未收錄</x:v>
      </x:c>
      <x:c r="IO41" s="14" t="str">
        <x:v>27060</x:v>
      </x:c>
      <x:c r="IP41" s="14" t="n">
        <x:v>8</x:v>
      </x:c>
      <x:c r="IQ41" s="14" t="n">
        <x:v>1241</x:v>
      </x:c>
      <x:c r="IR41" s="14" t="n">
        <x:v>97</x:v>
      </x:c>
      <x:c r="IS41" s="14" t="n">
        <x:v>1</x:v>
      </x:c>
      <x:c r="IT41" s="14" t="n">
        <x:v>1</x:v>
      </x:c>
      <x:c r="IU41" s="14" t="str">
        <x:v>未收錄</x:v>
      </x:c>
      <x:c r="IV41" s="14" t="str">
        <x:v>27061</x:v>
      </x:c>
      <x:c r="IW41" s="14" t="n">
        <x:v>8</x:v>
      </x:c>
      <x:c r="IX41" s="14" t="n">
        <x:v>1242</x:v>
      </x:c>
      <x:c r="IY41" s="14" t="n">
        <x:v>98</x:v>
      </x:c>
      <x:c r="IZ41" s="14" t="n">
        <x:v>1</x:v>
      </x:c>
      <x:c r="JA41" s="14" t="n">
        <x:v>2</x:v>
      </x:c>
      <x:c r="JB41" s="14" t="str">
        <x:v>未收錄</x:v>
      </x:c>
      <x:c r="JC41" s="14" t="str">
        <x:v>27624</x:v>
      </x:c>
      <x:c r="JD41" s="14" t="n">
        <x:v>8</x:v>
      </x:c>
      <x:c r="JE41" s="14" t="n">
        <x:v>1243</x:v>
      </x:c>
      <x:c r="JF41" s="14" t="n">
        <x:v>99</x:v>
      </x:c>
      <x:c r="JG41" s="14" t="n">
        <x:v>1</x:v>
      </x:c>
      <x:c r="JH41" s="14" t="n">
        <x:v>3</x:v>
      </x:c>
      <x:c r="JI41" s="14" t="str">
        <x:v>未收錄</x:v>
      </x:c>
      <x:c r="JJ41" s="14" t="str">
        <x:v>27625</x:v>
      </x:c>
      <x:c r="JK41" s="14" t="n">
        <x:v>8</x:v>
      </x:c>
      <x:c r="JL41" s="14" t="n">
        <x:v>1244</x:v>
      </x:c>
      <x:c r="JM41" s="14" t="n">
        <x:v>100</x:v>
      </x:c>
      <x:c r="JN41" s="14" t="n">
        <x:v>1</x:v>
      </x:c>
      <x:c r="JO41" s="14" t="n">
        <x:v>4</x:v>
      </x:c>
      <x:c r="JP41" s="14" t="str">
        <x:v>未收錄</x:v>
      </x:c>
      <x:c r="JQ41" s="14" t="str">
        <x:v>31079</x:v>
      </x:c>
      <x:c r="JR41" s="14" t="n">
        <x:v>1</x:v>
      </x:c>
      <x:c r="JS41" s="14" t="n">
        <x:v>1408</x:v>
      </x:c>
      <x:c r="JT41" s="14" t="n">
        <x:v>97</x:v>
      </x:c>
      <x:c r="JU41" s="14" t="n">
        <x:v>1</x:v>
      </x:c>
      <x:c r="JV41" s="14" t="n">
        <x:v>1</x:v>
      </x:c>
      <x:c r="JW41" s="14" t="str">
        <x:v>未收錄</x:v>
      </x:c>
      <x:c r="JX41" s="14" t="str">
        <x:v>30236</x:v>
      </x:c>
      <x:c r="JY41" s="14" t="n">
        <x:v>8</x:v>
      </x:c>
      <x:c r="JZ41" s="14" t="n">
        <x:v>1409</x:v>
      </x:c>
      <x:c r="KA41" s="14" t="n">
        <x:v>98</x:v>
      </x:c>
      <x:c r="KB41" s="14" t="n">
        <x:v>1</x:v>
      </x:c>
      <x:c r="KC41" s="14" t="n">
        <x:v>2</x:v>
      </x:c>
      <x:c r="KD41" s="14" t="str">
        <x:v>未收錄</x:v>
      </x:c>
      <x:c r="KE41" s="14" t="str">
        <x:v>30237</x:v>
      </x:c>
      <x:c r="KF41" s="14" t="n">
        <x:v>8</x:v>
      </x:c>
      <x:c r="KG41" s="14" t="n">
        <x:v>1410</x:v>
      </x:c>
      <x:c r="KH41" s="14" t="n">
        <x:v>99</x:v>
      </x:c>
      <x:c r="KI41" s="14" t="n">
        <x:v>1</x:v>
      </x:c>
      <x:c r="KJ41" s="14" t="n">
        <x:v>3</x:v>
      </x:c>
      <x:c r="KK41" s="14" t="str">
        <x:v>未收錄</x:v>
      </x:c>
      <x:c r="KL41" s="14" t="str">
        <x:v>30238</x:v>
      </x:c>
      <x:c r="KM41" s="14" t="n">
        <x:v>8</x:v>
      </x:c>
      <x:c r="KN41" s="14" t="n">
        <x:v>1411</x:v>
      </x:c>
      <x:c r="KO41" s="14" t="n">
        <x:v>100</x:v>
      </x:c>
      <x:c r="KP41" s="14" t="n">
        <x:v>1</x:v>
      </x:c>
      <x:c r="KQ41" s="14" t="n">
        <x:v>4</x:v>
      </x:c>
      <x:c r="KR41" s="14" t="str">
        <x:v>未收錄</x:v>
      </x:c>
      <x:c r="KS41" s="14" t="str">
        <x:v>30242</x:v>
      </x:c>
      <x:c r="KT41" s="14" t="n">
        <x:v>8</x:v>
      </x:c>
      <x:c r="KU41" s="14" t="n">
        <x:v>1523</x:v>
      </x:c>
      <x:c r="KV41" s="14" t="n">
        <x:v>97</x:v>
      </x:c>
      <x:c r="KW41" s="14" t="n">
        <x:v>1</x:v>
      </x:c>
      <x:c r="KX41" s="14" t="n">
        <x:v>1</x:v>
      </x:c>
      <x:c r="KY41" s="14" t="str">
        <x:v>未收錄</x:v>
      </x:c>
      <x:c r="KZ41" s="14" t="str">
        <x:v>30243</x:v>
      </x:c>
      <x:c r="LA41" s="14" t="n">
        <x:v>8</x:v>
      </x:c>
      <x:c r="LB41" s="14" t="n">
        <x:v>1524</x:v>
      </x:c>
      <x:c r="LC41" s="14" t="n">
        <x:v>98</x:v>
      </x:c>
      <x:c r="LD41" s="14" t="n">
        <x:v>1</x:v>
      </x:c>
      <x:c r="LE41" s="14" t="n">
        <x:v>2</x:v>
      </x:c>
      <x:c r="LF41" s="14" t="str">
        <x:v>未收錄</x:v>
      </x:c>
      <x:c r="LG41" s="14" t="str">
        <x:v>30244</x:v>
      </x:c>
      <x:c r="LH41" s="14" t="n">
        <x:v>8</x:v>
      </x:c>
      <x:c r="LI41" s="14" t="n">
        <x:v>1525</x:v>
      </x:c>
      <x:c r="LJ41" s="14" t="n">
        <x:v>99</x:v>
      </x:c>
      <x:c r="LK41" s="14" t="n">
        <x:v>1</x:v>
      </x:c>
      <x:c r="LL41" s="14" t="n">
        <x:v>3</x:v>
      </x:c>
      <x:c r="LM41" s="14" t="str">
        <x:v>未收錄</x:v>
      </x:c>
      <x:c r="LN41" s="14" t="str">
        <x:v>30245</x:v>
      </x:c>
      <x:c r="LO41" s="14" t="n">
        <x:v>8</x:v>
      </x:c>
      <x:c r="LP41" s="14" t="n">
        <x:v>1526</x:v>
      </x:c>
      <x:c r="LQ41" s="14" t="n">
        <x:v>100</x:v>
      </x:c>
      <x:c r="LR41" s="14" t="n">
        <x:v>1</x:v>
      </x:c>
      <x:c r="LS41" s="14" t="n">
        <x:v>4</x:v>
      </x:c>
      <x:c r="LT41" s="14" t="str">
        <x:v>未收錄</x:v>
      </x:c>
      <x:c r="LU41" s="14" t="str">
        <x:v>30620</x:v>
      </x:c>
      <x:c r="LV41" s="14" t="n">
        <x:v>20</x:v>
      </x:c>
      <x:c r="LW41" s="14" t="n">
        <x:v>1636</x:v>
      </x:c>
      <x:c r="LX41" s="14" t="n">
        <x:v>97</x:v>
      </x:c>
      <x:c r="LY41" s="14" t="n">
        <x:v>1</x:v>
      </x:c>
      <x:c r="LZ41" s="14" t="n">
        <x:v>1</x:v>
      </x:c>
      <x:c r="MA41" s="14" t="str">
        <x:v>未收錄</x:v>
      </x:c>
      <x:c r="MB41" s="14" t="str">
        <x:v>30630</x:v>
      </x:c>
      <x:c r="MC41" s="14" t="n">
        <x:v>20</x:v>
      </x:c>
      <x:c r="MD41" s="14" t="n">
        <x:v>1637</x:v>
      </x:c>
      <x:c r="ME41" s="14" t="n">
        <x:v>98</x:v>
      </x:c>
      <x:c r="MF41" s="14" t="n">
        <x:v>1</x:v>
      </x:c>
      <x:c r="MG41" s="14" t="n">
        <x:v>2</x:v>
      </x:c>
      <x:c r="MH41" s="14" t="str">
        <x:v>未收錄</x:v>
      </x:c>
      <x:c r="MI41" s="14" t="str">
        <x:v>30958</x:v>
      </x:c>
      <x:c r="MJ41" s="14" t="n">
        <x:v>20</x:v>
      </x:c>
      <x:c r="MK41" s="14" t="n">
        <x:v>1638</x:v>
      </x:c>
      <x:c r="ML41" s="14" t="n">
        <x:v>99</x:v>
      </x:c>
      <x:c r="MM41" s="14" t="n">
        <x:v>1</x:v>
      </x:c>
      <x:c r="MN41" s="14" t="n">
        <x:v>3</x:v>
      </x:c>
      <x:c r="MO41" s="14" t="str">
        <x:v>未收錄</x:v>
      </x:c>
      <x:c r="MP41" s="14" t="str">
        <x:v>30968</x:v>
      </x:c>
      <x:c r="MQ41" s="14" t="n">
        <x:v>20</x:v>
      </x:c>
      <x:c r="MR41" s="14" t="n">
        <x:v>1639</x:v>
      </x:c>
      <x:c r="MS41" s="14" t="n">
        <x:v>100</x:v>
      </x:c>
      <x:c r="MT41" s="14" t="n">
        <x:v>1</x:v>
      </x:c>
      <x:c r="MU41" s="14" t="n">
        <x:v>4</x:v>
      </x:c>
      <x:c r="MV41" s="14" t="str">
        <x:v>未收錄</x:v>
      </x:c>
      <x:c r="MW41" s="14" t="str">
        <x:v>21490</x:v>
      </x:c>
      <x:c r="MX41" s="14" t="n">
        <x:v>5</x:v>
      </x:c>
      <x:c r="MY41" s="14" t="n">
        <x:v>1745</x:v>
      </x:c>
      <x:c r="MZ41" s="14" t="n">
        <x:v>97</x:v>
      </x:c>
      <x:c r="NA41" s="14" t="n">
        <x:v>1</x:v>
      </x:c>
      <x:c r="NB41" s="14" t="n">
        <x:v>1</x:v>
      </x:c>
      <x:c r="NC41" s="14" t="str">
        <x:v>未收錄</x:v>
      </x:c>
      <x:c r="ND41" s="14" t="str">
        <x:v>21491</x:v>
      </x:c>
      <x:c r="NE41" s="14" t="n">
        <x:v>5</x:v>
      </x:c>
      <x:c r="NF41" s="14" t="n">
        <x:v>1746</x:v>
      </x:c>
      <x:c r="NG41" s="14" t="n">
        <x:v>98</x:v>
      </x:c>
      <x:c r="NH41" s="14" t="n">
        <x:v>1</x:v>
      </x:c>
      <x:c r="NI41" s="14" t="n">
        <x:v>2</x:v>
      </x:c>
      <x:c r="NJ41" s="14" t="str">
        <x:v>未收錄</x:v>
      </x:c>
      <x:c r="NK41" s="14" t="str">
        <x:v>21492</x:v>
      </x:c>
      <x:c r="NL41" s="14" t="n">
        <x:v>5</x:v>
      </x:c>
      <x:c r="NM41" s="14" t="n">
        <x:v>1747</x:v>
      </x:c>
      <x:c r="NN41" s="14" t="n">
        <x:v>99</x:v>
      </x:c>
      <x:c r="NO41" s="14" t="n">
        <x:v>1</x:v>
      </x:c>
      <x:c r="NP41" s="14" t="n">
        <x:v>3</x:v>
      </x:c>
      <x:c r="NQ41" s="14" t="str">
        <x:v>未收錄</x:v>
      </x:c>
      <x:c r="NR41" s="14" t="str">
        <x:v>22141</x:v>
      </x:c>
      <x:c r="NS41" s="14" t="n">
        <x:v>5</x:v>
      </x:c>
      <x:c r="NT41" s="14" t="n">
        <x:v>1748</x:v>
      </x:c>
      <x:c r="NU41" s="14" t="n">
        <x:v>100</x:v>
      </x:c>
      <x:c r="NV41" s="14" t="n">
        <x:v>1</x:v>
      </x:c>
      <x:c r="NW41" s="14" t="n">
        <x:v>4</x:v>
      </x:c>
      <x:c r="NX41" s="14" t="str">
        <x:v>未收錄</x:v>
      </x:c>
      <x:c r="NY41" s="14" t="str">
        <x:v>21761</x:v>
      </x:c>
      <x:c r="NZ41" s="14" t="n">
        <x:v>10</x:v>
      </x:c>
      <x:c r="OA41" s="14" t="n">
        <x:v>2198</x:v>
      </x:c>
      <x:c r="OB41" s="14" t="n">
        <x:v>97</x:v>
      </x:c>
      <x:c r="OC41" s="14" t="n">
        <x:v>1</x:v>
      </x:c>
      <x:c r="OD41" s="14" t="n">
        <x:v>1</x:v>
      </x:c>
      <x:c r="OE41" s="14" t="str">
        <x:v>未收錄</x:v>
      </x:c>
      <x:c r="OF41" s="14" t="str">
        <x:v>21762</x:v>
      </x:c>
      <x:c r="OG41" s="14" t="n">
        <x:v>10</x:v>
      </x:c>
      <x:c r="OH41" s="14" t="n">
        <x:v>2199</x:v>
      </x:c>
      <x:c r="OI41" s="14" t="n">
        <x:v>98</x:v>
      </x:c>
      <x:c r="OJ41" s="14" t="n">
        <x:v>1</x:v>
      </x:c>
      <x:c r="OK41" s="14" t="n">
        <x:v>2</x:v>
      </x:c>
      <x:c r="OL41" s="14" t="str">
        <x:v>未收錄</x:v>
      </x:c>
      <x:c r="OM41" s="14" t="str">
        <x:v>21763</x:v>
      </x:c>
      <x:c r="ON41" s="14" t="n">
        <x:v>10</x:v>
      </x:c>
      <x:c r="OO41" s="14" t="n">
        <x:v>2200</x:v>
      </x:c>
      <x:c r="OP41" s="14" t="n">
        <x:v>99</x:v>
      </x:c>
      <x:c r="OQ41" s="14" t="n">
        <x:v>1</x:v>
      </x:c>
      <x:c r="OR41" s="14" t="n">
        <x:v>3</x:v>
      </x:c>
      <x:c r="OS41" s="14" t="str">
        <x:v>未收錄</x:v>
      </x:c>
      <x:c r="OT41" s="14" t="str">
        <x:v>23993</x:v>
      </x:c>
      <x:c r="OU41" s="14" t="n">
        <x:v>10</x:v>
      </x:c>
      <x:c r="OV41" s="14" t="n">
        <x:v>2201</x:v>
      </x:c>
      <x:c r="OW41" s="14" t="n">
        <x:v>100</x:v>
      </x:c>
      <x:c r="OX41" s="14" t="n">
        <x:v>1</x:v>
      </x:c>
      <x:c r="OY41" s="14" t="n">
        <x:v>4</x:v>
      </x:c>
      <x:c r="OZ41" s="14" t="str">
        <x:v>未收錄</x:v>
      </x:c>
      <x:c r="PA41" s="14" t="str">
        <x:v>22543</x:v>
      </x:c>
      <x:c r="PB41" s="14" t="n">
        <x:v>5</x:v>
      </x:c>
      <x:c r="PC41" s="14" t="n">
        <x:v>2744</x:v>
      </x:c>
      <x:c r="PD41" s="14" t="n">
        <x:v>97</x:v>
      </x:c>
      <x:c r="PE41" s="14" t="n">
        <x:v>1</x:v>
      </x:c>
      <x:c r="PF41" s="14" t="n">
        <x:v>1</x:v>
      </x:c>
      <x:c r="PG41" s="14" t="str">
        <x:v>未收錄</x:v>
      </x:c>
      <x:c r="PH41" s="14" t="str">
        <x:v>22544</x:v>
      </x:c>
      <x:c r="PI41" s="14" t="n">
        <x:v>5</x:v>
      </x:c>
      <x:c r="PJ41" s="14" t="n">
        <x:v>2745</x:v>
      </x:c>
      <x:c r="PK41" s="14" t="n">
        <x:v>98</x:v>
      </x:c>
      <x:c r="PL41" s="14" t="n">
        <x:v>1</x:v>
      </x:c>
      <x:c r="PM41" s="14" t="n">
        <x:v>2</x:v>
      </x:c>
      <x:c r="PN41" s="14" t="str">
        <x:v>未收錄</x:v>
      </x:c>
      <x:c r="PO41" s="14" t="str">
        <x:v>22545</x:v>
      </x:c>
      <x:c r="PP41" s="14" t="n">
        <x:v>5</x:v>
      </x:c>
      <x:c r="PQ41" s="14" t="n">
        <x:v>2746</x:v>
      </x:c>
      <x:c r="PR41" s="14" t="n">
        <x:v>99</x:v>
      </x:c>
      <x:c r="PS41" s="14" t="n">
        <x:v>1</x:v>
      </x:c>
      <x:c r="PT41" s="14" t="n">
        <x:v>3</x:v>
      </x:c>
      <x:c r="PU41" s="14" t="str">
        <x:v>未收錄</x:v>
      </x:c>
      <x:c r="PV41" s="14" t="str">
        <x:v>22546</x:v>
      </x:c>
      <x:c r="PW41" s="14" t="n">
        <x:v>5</x:v>
      </x:c>
      <x:c r="PX41" s="14" t="n">
        <x:v>2747</x:v>
      </x:c>
      <x:c r="PY41" s="14" t="n">
        <x:v>100</x:v>
      </x:c>
      <x:c r="PZ41" s="14" t="n">
        <x:v>1</x:v>
      </x:c>
      <x:c r="QA41" s="14" t="n">
        <x:v>4</x:v>
      </x:c>
      <x:c r="QB41" s="14" t="str">
        <x:v>未收錄</x:v>
      </x:c>
      <x:c r="QC41" s="14" t="str">
        <x:v>22411</x:v>
      </x:c>
      <x:c r="QD41" s="14" t="n">
        <x:v>10</x:v>
      </x:c>
      <x:c r="QE41" s="14" t="n">
        <x:v>3181</x:v>
      </x:c>
      <x:c r="QF41" s="14" t="n">
        <x:v>97</x:v>
      </x:c>
      <x:c r="QG41" s="14" t="n">
        <x:v>1</x:v>
      </x:c>
      <x:c r="QH41" s="14" t="n">
        <x:v>1</x:v>
      </x:c>
      <x:c r="QI41" s="14" t="str">
        <x:v>未收錄</x:v>
      </x:c>
      <x:c r="QJ41" s="14" t="str">
        <x:v>22552</x:v>
      </x:c>
      <x:c r="QK41" s="14" t="n">
        <x:v>5</x:v>
      </x:c>
      <x:c r="QL41" s="14" t="n">
        <x:v>3182</x:v>
      </x:c>
      <x:c r="QM41" s="14" t="n">
        <x:v>98</x:v>
      </x:c>
      <x:c r="QN41" s="14" t="n">
        <x:v>1</x:v>
      </x:c>
      <x:c r="QO41" s="14" t="n">
        <x:v>2</x:v>
      </x:c>
      <x:c r="QP41" s="14" t="str">
        <x:v>未收錄</x:v>
      </x:c>
      <x:c r="QQ41" s="14" t="str">
        <x:v>22553</x:v>
      </x:c>
      <x:c r="QR41" s="14" t="n">
        <x:v>5</x:v>
      </x:c>
      <x:c r="QS41" s="14" t="n">
        <x:v>3183</x:v>
      </x:c>
      <x:c r="QT41" s="14" t="n">
        <x:v>99</x:v>
      </x:c>
      <x:c r="QU41" s="14" t="n">
        <x:v>1</x:v>
      </x:c>
      <x:c r="QV41" s="14" t="n">
        <x:v>3</x:v>
      </x:c>
      <x:c r="QW41" s="14" t="str">
        <x:v>未收錄</x:v>
      </x:c>
      <x:c r="QX41" s="14" t="str">
        <x:v>22554</x:v>
      </x:c>
      <x:c r="QY41" s="14" t="n">
        <x:v>5</x:v>
      </x:c>
      <x:c r="QZ41" s="14" t="n">
        <x:v>3184</x:v>
      </x:c>
      <x:c r="RA41" s="14" t="n">
        <x:v>100</x:v>
      </x:c>
      <x:c r="RB41" s="14" t="n">
        <x:v>1</x:v>
      </x:c>
      <x:c r="RC41" s="14" t="n">
        <x:v>4</x:v>
      </x:c>
      <x:c r="RD41" s="14" t="str">
        <x:v>未收錄</x:v>
      </x:c>
      <x:c r="RE41" s="14" t="str">
        <x:v>23218</x:v>
      </x:c>
      <x:c r="RF41" s="14" t="n">
        <x:v>5</x:v>
      </x:c>
      <x:c r="RG41" s="14" t="n">
        <x:v>3642</x:v>
      </x:c>
      <x:c r="RH41" s="14" t="n">
        <x:v>97</x:v>
      </x:c>
      <x:c r="RI41" s="14" t="n">
        <x:v>1</x:v>
      </x:c>
      <x:c r="RJ41" s="14" t="n">
        <x:v>1</x:v>
      </x:c>
      <x:c r="RK41" s="14" t="str">
        <x:v>未收錄</x:v>
      </x:c>
      <x:c r="RL41" s="14" t="str">
        <x:v>23219</x:v>
      </x:c>
      <x:c r="RM41" s="14" t="n">
        <x:v>5</x:v>
      </x:c>
      <x:c r="RN41" s="14" t="n">
        <x:v>3643</x:v>
      </x:c>
      <x:c r="RO41" s="14" t="n">
        <x:v>98</x:v>
      </x:c>
      <x:c r="RP41" s="14" t="n">
        <x:v>1</x:v>
      </x:c>
      <x:c r="RQ41" s="14" t="n">
        <x:v>2</x:v>
      </x:c>
      <x:c r="RR41" s="14" t="str">
        <x:v>未收錄</x:v>
      </x:c>
      <x:c r="RS41" s="14" t="str">
        <x:v>23232</x:v>
      </x:c>
      <x:c r="RT41" s="14" t="n">
        <x:v>5</x:v>
      </x:c>
      <x:c r="RU41" s="14" t="n">
        <x:v>3644</x:v>
      </x:c>
      <x:c r="RV41" s="14" t="n">
        <x:v>99</x:v>
      </x:c>
      <x:c r="RW41" s="14" t="n">
        <x:v>1</x:v>
      </x:c>
      <x:c r="RX41" s="14" t="n">
        <x:v>3</x:v>
      </x:c>
      <x:c r="RY41" s="14" t="str">
        <x:v>未收錄</x:v>
      </x:c>
      <x:c r="RZ41" s="14" t="str">
        <x:v>23270</x:v>
      </x:c>
      <x:c r="SA41" s="14" t="n">
        <x:v>3</x:v>
      </x:c>
      <x:c r="SB41" s="14" t="n">
        <x:v>3645</x:v>
      </x:c>
      <x:c r="SC41" s="14" t="n">
        <x:v>100</x:v>
      </x:c>
      <x:c r="SD41" s="14" t="n">
        <x:v>1</x:v>
      </x:c>
      <x:c r="SE41" s="14" t="n">
        <x:v>4</x:v>
      </x:c>
      <x:c r="SF41" s="14" t="str">
        <x:v>未收錄</x:v>
      </x:c>
      <x:c r="SG41" s="14"/>
      <x:c r="SH41" s="14"/>
      <x:c r="SI41" s="14"/>
      <x:c r="SJ41" s="14"/>
      <x:c r="SK41" s="14"/>
      <x:c r="SL41" s="14"/>
      <x:c r="SM41" s="14"/>
      <x:c r="SN41" s="14"/>
      <x:c r="SO41" s="14"/>
      <x:c r="SP41" s="14"/>
      <x:c r="SQ41" s="14"/>
      <x:c r="SR41" s="14"/>
      <x:c r="SS41" s="14"/>
      <x:c r="ST41" s="14"/>
      <x:c r="SU41" s="14"/>
      <x:c r="SV41" s="14"/>
      <x:c r="SW41" s="14"/>
      <x:c r="SX41" s="14"/>
      <x:c r="SY41" s="14"/>
      <x:c r="SZ41" s="14"/>
      <x:c r="TA41" s="14"/>
      <x:c r="TB41" s="14"/>
      <x:c r="TC41" s="14"/>
      <x:c r="TD41" s="14"/>
      <x:c r="TE41" s="14"/>
      <x:c r="TF41" s="14"/>
      <x:c r="TG41" s="14"/>
      <x:c r="TH41" s="14"/>
    </x:row>
    <x:row r="42" ht="15" customHeight="1">
      <x:c r="A42" s="18" t="str">
        <x:v>無雙泉戶劍</x:v>
      </x:c>
      <x:c r="B42" s="18" t="str">
        <x:v>神隱劍</x:v>
      </x:c>
      <x:c r="C42" s="18" t="str">
        <x:v>村正劍</x:v>
      </x:c>
      <x:c r="D42" s="18" t="str">
        <x:v>赤霄劍</x:v>
      </x:c>
      <x:c r="E42" s="14"/>
      <x:c r="F42" s="18" t="str">
        <x:v>黑天閻魔刀</x:v>
      </x:c>
      <x:c r="G42" s="18" t="str">
        <x:v>白夜獸神刀</x:v>
      </x:c>
      <x:c r="H42" s="18" t="str">
        <x:v>正勝速日刀</x:v>
      </x:c>
      <x:c r="I42" s="18" t="str">
        <x:v>魔哭冥斬刀</x:v>
      </x:c>
      <x:c r="J42" s="14"/>
      <x:c r="K42" s="18" t="str">
        <x:v>皇龍乾坤圈</x:v>
      </x:c>
      <x:c r="L42" s="18" t="str">
        <x:v>天蠍逆刃盤</x:v>
      </x:c>
      <x:c r="M42" s="18" t="str">
        <x:v>哈帝斯魔銃</x:v>
      </x:c>
      <x:c r="N42" s="18" t="str">
        <x:v>哈帝斯魔銃</x:v>
      </x:c>
      <x:c r="O42" s="14"/>
      <x:c r="P42" s="18" t="str">
        <x:v>破邪聖衛寶斗</x:v>
      </x:c>
      <x:c r="Q42" s="18" t="str">
        <x:v>滅元聖衛寶斗</x:v>
      </x:c>
      <x:c r="R42" s="18" t="str">
        <x:v>青蓮燈</x:v>
      </x:c>
      <x:c r="S42" s="18" t="str">
        <x:v>太古青蓮燈</x:v>
      </x:c>
      <x:c r="T42" s="14"/>
      <x:c r="U42" s="18" t="str">
        <x:v>誅魔聖衛權杖</x:v>
      </x:c>
      <x:c r="V42" s="18" t="str">
        <x:v>伏妖聖衛權杖</x:v>
      </x:c>
      <x:c r="W42" s="18" t="str">
        <x:v>獸魂聖衛權杖</x:v>
      </x:c>
      <x:c r="X42" s="18" t="str">
        <x:v>影凰杖</x:v>
      </x:c>
      <x:c r="Y42" s="14"/>
      <x:c r="Z42" s="18" t="str">
        <x:v>宇傲‧冰王槍</x:v>
      </x:c>
      <x:c r="AA42" s="18" t="str">
        <x:v>峻霆‧冰王槍</x:v>
      </x:c>
      <x:c r="AB42" s="18" t="str">
        <x:v>窮極‧冰王槍</x:v>
      </x:c>
      <x:c r="AC42" s="18" t="str">
        <x:v>元宙‧冰王槍</x:v>
      </x:c>
      <x:c r="AD42" s="14"/>
      <x:c r="AE42" s="18" t="str">
        <x:v>元宙‧織霧棍</x:v>
      </x:c>
      <x:c r="AF42" s="18" t="str">
        <x:v>真宇傲織霧棍</x:v>
      </x:c>
      <x:c r="AG42" s="18" t="str">
        <x:v>太微棍★</x:v>
      </x:c>
      <x:c r="AH42" s="18" t="str">
        <x:v>太微棍★★</x:v>
      </x:c>
      <x:c r="AI42" s="14"/>
      <x:c r="AJ42" s="18" t="str">
        <x:v>鵑雪傾錘Ⅳ</x:v>
      </x:c>
      <x:c r="AK42" s="18" t="str">
        <x:v>鵑雪傾錘Ⅴ</x:v>
      </x:c>
      <x:c r="AL42" s="18" t="str">
        <x:v>六仙流轉錘</x:v>
      </x:c>
      <x:c r="AM42" s="18" t="str">
        <x:v>六仙流轉錘</x:v>
      </x:c>
      <x:c r="AN42" s="14"/>
      <x:c r="AO42" s="18" t="str">
        <x:v>八裂叛伐斧</x:v>
      </x:c>
      <x:c r="AP42" s="18" t="str">
        <x:v>八裂叛伐斧</x:v>
      </x:c>
      <x:c r="AQ42" s="18" t="str">
        <x:v>奪政無道斧</x:v>
      </x:c>
      <x:c r="AR42" s="18" t="str">
        <x:v>奪政無道斧</x:v>
      </x:c>
      <x:c r="AS42" s="14"/>
      <x:c r="AT42" s="18" t="str">
        <x:v>無極天靈擋</x:v>
      </x:c>
      <x:c r="AU42" s="18" t="str">
        <x:v>無極天靈擋</x:v>
      </x:c>
      <x:c r="AV42" s="18" t="str">
        <x:v>贔屭支天盾</x:v>
      </x:c>
      <x:c r="AW42" s="18" t="str">
        <x:v>贔屭支天盾</x:v>
      </x:c>
      <x:c r="AX42" s="14"/>
      <x:c r="AY42" s="18" t="str">
        <x:v>金鏈盔</x:v>
      </x:c>
      <x:c r="AZ42" s="18" t="str">
        <x:v>樓蘭織巾</x:v>
      </x:c>
      <x:c r="BA42" s="18" t="str">
        <x:v>千手僧帽</x:v>
      </x:c>
      <x:c r="BB42" s="18" t="str">
        <x:v>羅剎覆面</x:v>
      </x:c>
      <x:c r="BC42" s="14"/>
      <x:c r="BD42" s="18" t="str">
        <x:v>霸王甲</x:v>
      </x:c>
      <x:c r="BE42" s="18" t="str">
        <x:v>青鋼戰甲</x:v>
      </x:c>
      <x:c r="BF42" s="18" t="str">
        <x:v>金鏈甲</x:v>
      </x:c>
      <x:c r="BG42" s="18" t="str">
        <x:v>樓蘭織袍</x:v>
      </x:c>
      <x:c r="BH42" s="14"/>
      <x:c r="BI42" s="18" t="str">
        <x:v>武幕護腕</x:v>
      </x:c>
      <x:c r="BJ42" s="18" t="str">
        <x:v>霸統護腕</x:v>
      </x:c>
      <x:c r="BK42" s="18" t="str">
        <x:v>陣澤護腕</x:v>
      </x:c>
      <x:c r="BL42" s="18" t="str">
        <x:v>伊幡護腕</x:v>
      </x:c>
      <x:c r="BM42" s="14"/>
      <x:c r="BN42" s="18" t="str">
        <x:v>笠紀禪靴</x:v>
      </x:c>
      <x:c r="BO42" s="18" t="str">
        <x:v>伏藏護靴</x:v>
      </x:c>
      <x:c r="BP42" s="18" t="str">
        <x:v>武幕戰靴</x:v>
      </x:c>
      <x:c r="BQ42" s="18" t="str">
        <x:v>霸統戰靴</x:v>
      </x:c>
      <x:c r="BR42" s="14"/>
      <x:c r="BS42" s="18" t="str">
        <x:v>力曜佛珠</x:v>
      </x:c>
      <x:c r="BT42" s="18" t="str">
        <x:v>智曜佛珠</x:v>
      </x:c>
      <x:c r="BU42" s="18" t="str">
        <x:v>風曜佛珠</x:v>
      </x:c>
      <x:c r="BV42" s="18" t="str">
        <x:v>六滅化神</x:v>
      </x:c>
      <x:c r="BW42" s="14"/>
      <x:c r="BX42" s="14"/>
      <x:c r="BY42" s="14"/>
      <x:c r="BZ42" s="14"/>
      <x:c r="CA42" s="14"/>
      <x:c r="CB42" s="14"/>
      <x:c r="CC42" s="14" t="str">
        <x:v>22991</x:v>
      </x:c>
      <x:c r="CD42" s="14" t="n">
        <x:v>8</x:v>
      </x:c>
      <x:c r="CE42" s="14" t="n">
        <x:v>101</x:v>
      </x:c>
      <x:c r="CF42" s="14" t="n">
        <x:v>101</x:v>
      </x:c>
      <x:c r="CG42" s="14" t="n">
        <x:v>2</x:v>
      </x:c>
      <x:c r="CH42" s="14" t="n">
        <x:v>1</x:v>
      </x:c>
      <x:c r="CI42" s="14" t="str">
        <x:v>未收錄</x:v>
      </x:c>
      <x:c r="CJ42" s="14" t="str">
        <x:v>22497</x:v>
      </x:c>
      <x:c r="CK42" s="14" t="n">
        <x:v>8</x:v>
      </x:c>
      <x:c r="CL42" s="14" t="n">
        <x:v>102</x:v>
      </x:c>
      <x:c r="CM42" s="14" t="n">
        <x:v>102</x:v>
      </x:c>
      <x:c r="CN42" s="14" t="n">
        <x:v>2</x:v>
      </x:c>
      <x:c r="CO42" s="14" t="n">
        <x:v>2</x:v>
      </x:c>
      <x:c r="CP42" s="14" t="str">
        <x:v>未收錄</x:v>
      </x:c>
      <x:c r="CQ42" s="14" t="str">
        <x:v>22498</x:v>
      </x:c>
      <x:c r="CR42" s="14" t="n">
        <x:v>8</x:v>
      </x:c>
      <x:c r="CS42" s="14" t="n">
        <x:v>103</x:v>
      </x:c>
      <x:c r="CT42" s="14" t="n">
        <x:v>103</x:v>
      </x:c>
      <x:c r="CU42" s="14" t="n">
        <x:v>2</x:v>
      </x:c>
      <x:c r="CV42" s="14" t="n">
        <x:v>3</x:v>
      </x:c>
      <x:c r="CW42" s="14" t="str">
        <x:v>未收錄</x:v>
      </x:c>
      <x:c r="CX42" s="14" t="str">
        <x:v>22499</x:v>
      </x:c>
      <x:c r="CY42" s="14" t="n">
        <x:v>8</x:v>
      </x:c>
      <x:c r="CZ42" s="14" t="n">
        <x:v>104</x:v>
      </x:c>
      <x:c r="DA42" s="14" t="n">
        <x:v>104</x:v>
      </x:c>
      <x:c r="DB42" s="14" t="n">
        <x:v>2</x:v>
      </x:c>
      <x:c r="DC42" s="14" t="n">
        <x:v>4</x:v>
      </x:c>
      <x:c r="DD42" s="14" t="str">
        <x:v>未收錄</x:v>
      </x:c>
      <x:c r="DE42" s="14" t="str">
        <x:v>23150</x:v>
      </x:c>
      <x:c r="DF42" s="14" t="n">
        <x:v>8</x:v>
      </x:c>
      <x:c r="DG42" s="14" t="n">
        <x:v>346</x:v>
      </x:c>
      <x:c r="DH42" s="14" t="n">
        <x:v>101</x:v>
      </x:c>
      <x:c r="DI42" s="14" t="n">
        <x:v>2</x:v>
      </x:c>
      <x:c r="DJ42" s="14" t="n">
        <x:v>1</x:v>
      </x:c>
      <x:c r="DK42" s="14" t="str">
        <x:v>未收錄</x:v>
      </x:c>
      <x:c r="DL42" s="14" t="str">
        <x:v>23151</x:v>
      </x:c>
      <x:c r="DM42" s="14" t="n">
        <x:v>8</x:v>
      </x:c>
      <x:c r="DN42" s="14" t="n">
        <x:v>347</x:v>
      </x:c>
      <x:c r="DO42" s="14" t="n">
        <x:v>102</x:v>
      </x:c>
      <x:c r="DP42" s="14" t="n">
        <x:v>2</x:v>
      </x:c>
      <x:c r="DQ42" s="14" t="n">
        <x:v>2</x:v>
      </x:c>
      <x:c r="DR42" s="14" t="str">
        <x:v>未收錄</x:v>
      </x:c>
      <x:c r="DS42" s="14" t="str">
        <x:v>23503</x:v>
      </x:c>
      <x:c r="DT42" s="14" t="n">
        <x:v>8</x:v>
      </x:c>
      <x:c r="DU42" s="14" t="n">
        <x:v>348</x:v>
      </x:c>
      <x:c r="DV42" s="14" t="n">
        <x:v>103</x:v>
      </x:c>
      <x:c r="DW42" s="14" t="n">
        <x:v>2</x:v>
      </x:c>
      <x:c r="DX42" s="14" t="n">
        <x:v>3</x:v>
      </x:c>
      <x:c r="DY42" s="14" t="str">
        <x:v>未收錄</x:v>
      </x:c>
      <x:c r="DZ42" s="14" t="str">
        <x:v>23504</x:v>
      </x:c>
      <x:c r="EA42" s="14" t="n">
        <x:v>8</x:v>
      </x:c>
      <x:c r="EB42" s="14" t="n">
        <x:v>349</x:v>
      </x:c>
      <x:c r="EC42" s="14" t="n">
        <x:v>104</x:v>
      </x:c>
      <x:c r="ED42" s="14" t="n">
        <x:v>2</x:v>
      </x:c>
      <x:c r="EE42" s="14" t="n">
        <x:v>4</x:v>
      </x:c>
      <x:c r="EF42" s="14" t="str">
        <x:v>未收錄</x:v>
      </x:c>
      <x:c r="EG42" s="14" t="str">
        <x:v>24244</x:v>
      </x:c>
      <x:c r="EH42" s="14" t="n">
        <x:v>20</x:v>
      </x:c>
      <x:c r="EI42" s="14" t="n">
        <x:v>582</x:v>
      </x:c>
      <x:c r="EJ42" s="14" t="n">
        <x:v>101</x:v>
      </x:c>
      <x:c r="EK42" s="14" t="n">
        <x:v>2</x:v>
      </x:c>
      <x:c r="EL42" s="14" t="n">
        <x:v>1</x:v>
      </x:c>
      <x:c r="EM42" s="14" t="str">
        <x:v>未收錄</x:v>
      </x:c>
      <x:c r="EN42" s="14" t="str">
        <x:v>24760</x:v>
      </x:c>
      <x:c r="EO42" s="14" t="n">
        <x:v>20</x:v>
      </x:c>
      <x:c r="EP42" s="14" t="n">
        <x:v>583</x:v>
      </x:c>
      <x:c r="EQ42" s="14" t="n">
        <x:v>102</x:v>
      </x:c>
      <x:c r="ER42" s="14" t="n">
        <x:v>2</x:v>
      </x:c>
      <x:c r="ES42" s="14" t="n">
        <x:v>2</x:v>
      </x:c>
      <x:c r="ET42" s="14" t="str">
        <x:v>未收錄</x:v>
      </x:c>
      <x:c r="EU42" s="14" t="str">
        <x:v>26289</x:v>
      </x:c>
      <x:c r="EV42" s="14" t="n">
        <x:v>20</x:v>
      </x:c>
      <x:c r="EW42" s="14" t="n">
        <x:v>584</x:v>
      </x:c>
      <x:c r="EX42" s="14" t="n">
        <x:v>103</x:v>
      </x:c>
      <x:c r="EY42" s="14" t="n">
        <x:v>2</x:v>
      </x:c>
      <x:c r="EZ42" s="14" t="n">
        <x:v>3</x:v>
      </x:c>
      <x:c r="FA42" s="14" t="str">
        <x:v>未收錄</x:v>
      </x:c>
      <x:c r="FB42" s="14" t="str">
        <x:v>26494</x:v>
      </x:c>
      <x:c r="FC42" s="14" t="n">
        <x:v>20</x:v>
      </x:c>
      <x:c r="FD42" s="14" t="n">
        <x:v>585</x:v>
      </x:c>
      <x:c r="FE42" s="14" t="n">
        <x:v>104</x:v>
      </x:c>
      <x:c r="FF42" s="14" t="n">
        <x:v>2</x:v>
      </x:c>
      <x:c r="FG42" s="14" t="n">
        <x:v>4</x:v>
      </x:c>
      <x:c r="FH42" s="14" t="str">
        <x:v>未收錄</x:v>
      </x:c>
      <x:c r="FI42" s="14" t="str">
        <x:v>26454</x:v>
      </x:c>
      <x:c r="FJ42" s="14" t="n">
        <x:v>8</x:v>
      </x:c>
      <x:c r="FK42" s="14" t="n">
        <x:v>732</x:v>
      </x:c>
      <x:c r="FL42" s="14" t="n">
        <x:v>101</x:v>
      </x:c>
      <x:c r="FM42" s="14" t="n">
        <x:v>2</x:v>
      </x:c>
      <x:c r="FN42" s="14" t="n">
        <x:v>1</x:v>
      </x:c>
      <x:c r="FO42" s="14" t="str">
        <x:v>未收錄</x:v>
      </x:c>
      <x:c r="FP42" s="14" t="str">
        <x:v>26455</x:v>
      </x:c>
      <x:c r="FQ42" s="14" t="n">
        <x:v>8</x:v>
      </x:c>
      <x:c r="FR42" s="14" t="n">
        <x:v>733</x:v>
      </x:c>
      <x:c r="FS42" s="14" t="n">
        <x:v>102</x:v>
      </x:c>
      <x:c r="FT42" s="14" t="n">
        <x:v>2</x:v>
      </x:c>
      <x:c r="FU42" s="14" t="n">
        <x:v>2</x:v>
      </x:c>
      <x:c r="FV42" s="14" t="str">
        <x:v>未收錄</x:v>
      </x:c>
      <x:c r="FW42" s="14" t="str">
        <x:v>26612</x:v>
      </x:c>
      <x:c r="FX42" s="14" t="n">
        <x:v>8</x:v>
      </x:c>
      <x:c r="FY42" s="14" t="n">
        <x:v>734</x:v>
      </x:c>
      <x:c r="FZ42" s="14" t="n">
        <x:v>103</x:v>
      </x:c>
      <x:c r="GA42" s="14" t="n">
        <x:v>2</x:v>
      </x:c>
      <x:c r="GB42" s="14" t="n">
        <x:v>3</x:v>
      </x:c>
      <x:c r="GC42" s="14" t="str">
        <x:v>未收錄</x:v>
      </x:c>
      <x:c r="GD42" s="14" t="str">
        <x:v>26722</x:v>
      </x:c>
      <x:c r="GE42" s="14" t="n">
        <x:v>3</x:v>
      </x:c>
      <x:c r="GF42" s="14" t="n">
        <x:v>735</x:v>
      </x:c>
      <x:c r="GG42" s="14" t="n">
        <x:v>104</x:v>
      </x:c>
      <x:c r="GH42" s="14" t="n">
        <x:v>2</x:v>
      </x:c>
      <x:c r="GI42" s="14" t="n">
        <x:v>4</x:v>
      </x:c>
      <x:c r="GJ42" s="14" t="str">
        <x:v>未收錄</x:v>
      </x:c>
      <x:c r="GK42" s="14" t="str">
        <x:v>26457</x:v>
      </x:c>
      <x:c r="GL42" s="14" t="n">
        <x:v>8</x:v>
      </x:c>
      <x:c r="GM42" s="14" t="n">
        <x:v>904</x:v>
      </x:c>
      <x:c r="GN42" s="14" t="n">
        <x:v>101</x:v>
      </x:c>
      <x:c r="GO42" s="14" t="n">
        <x:v>2</x:v>
      </x:c>
      <x:c r="GP42" s="14" t="n">
        <x:v>1</x:v>
      </x:c>
      <x:c r="GQ42" s="14" t="str">
        <x:v>未收錄</x:v>
      </x:c>
      <x:c r="GR42" s="14" t="str">
        <x:v>26458</x:v>
      </x:c>
      <x:c r="GS42" s="14" t="n">
        <x:v>8</x:v>
      </x:c>
      <x:c r="GT42" s="14" t="n">
        <x:v>905</x:v>
      </x:c>
      <x:c r="GU42" s="14" t="n">
        <x:v>102</x:v>
      </x:c>
      <x:c r="GV42" s="14" t="n">
        <x:v>2</x:v>
      </x:c>
      <x:c r="GW42" s="14" t="n">
        <x:v>2</x:v>
      </x:c>
      <x:c r="GX42" s="14" t="str">
        <x:v>未收錄</x:v>
      </x:c>
      <x:c r="GY42" s="14" t="str">
        <x:v>26459</x:v>
      </x:c>
      <x:c r="GZ42" s="14" t="n">
        <x:v>8</x:v>
      </x:c>
      <x:c r="HA42" s="14" t="n">
        <x:v>906</x:v>
      </x:c>
      <x:c r="HB42" s="14" t="n">
        <x:v>103</x:v>
      </x:c>
      <x:c r="HC42" s="14" t="n">
        <x:v>2</x:v>
      </x:c>
      <x:c r="HD42" s="14" t="n">
        <x:v>3</x:v>
      </x:c>
      <x:c r="HE42" s="14" t="str">
        <x:v>未收錄</x:v>
      </x:c>
      <x:c r="HF42" s="14" t="str">
        <x:v>26618</x:v>
      </x:c>
      <x:c r="HG42" s="14" t="n">
        <x:v>8</x:v>
      </x:c>
      <x:c r="HH42" s="14" t="n">
        <x:v>907</x:v>
      </x:c>
      <x:c r="HI42" s="14" t="n">
        <x:v>104</x:v>
      </x:c>
      <x:c r="HJ42" s="14" t="n">
        <x:v>2</x:v>
      </x:c>
      <x:c r="HK42" s="14" t="n">
        <x:v>4</x:v>
      </x:c>
      <x:c r="HL42" s="14" t="str">
        <x:v>未收錄</x:v>
      </x:c>
      <x:c r="HM42" s="14" t="str">
        <x:v>27057</x:v>
      </x:c>
      <x:c r="HN42" s="14" t="n">
        <x:v>8</x:v>
      </x:c>
      <x:c r="HO42" s="14" t="n">
        <x:v>1077</x:v>
      </x:c>
      <x:c r="HP42" s="14" t="n">
        <x:v>101</x:v>
      </x:c>
      <x:c r="HQ42" s="14" t="n">
        <x:v>2</x:v>
      </x:c>
      <x:c r="HR42" s="14" t="n">
        <x:v>1</x:v>
      </x:c>
      <x:c r="HS42" s="14" t="str">
        <x:v>未收錄</x:v>
      </x:c>
      <x:c r="HT42" s="14" t="str">
        <x:v>27620</x:v>
      </x:c>
      <x:c r="HU42" s="14" t="n">
        <x:v>8</x:v>
      </x:c>
      <x:c r="HV42" s="14" t="n">
        <x:v>1078</x:v>
      </x:c>
      <x:c r="HW42" s="14" t="n">
        <x:v>102</x:v>
      </x:c>
      <x:c r="HX42" s="14" t="n">
        <x:v>2</x:v>
      </x:c>
      <x:c r="HY42" s="14" t="n">
        <x:v>2</x:v>
      </x:c>
      <x:c r="HZ42" s="14" t="str">
        <x:v>未收錄</x:v>
      </x:c>
      <x:c r="IA42" s="14" t="str">
        <x:v>27621</x:v>
      </x:c>
      <x:c r="IB42" s="14" t="n">
        <x:v>8</x:v>
      </x:c>
      <x:c r="IC42" s="14" t="n">
        <x:v>1079</x:v>
      </x:c>
      <x:c r="ID42" s="14" t="n">
        <x:v>103</x:v>
      </x:c>
      <x:c r="IE42" s="14" t="n">
        <x:v>2</x:v>
      </x:c>
      <x:c r="IF42" s="14" t="n">
        <x:v>3</x:v>
      </x:c>
      <x:c r="IG42" s="14" t="str">
        <x:v>未收錄</x:v>
      </x:c>
      <x:c r="IH42" s="14" t="str">
        <x:v>27622</x:v>
      </x:c>
      <x:c r="II42" s="14" t="n">
        <x:v>8</x:v>
      </x:c>
      <x:c r="IJ42" s="14" t="n">
        <x:v>1080</x:v>
      </x:c>
      <x:c r="IK42" s="14" t="n">
        <x:v>104</x:v>
      </x:c>
      <x:c r="IL42" s="14" t="n">
        <x:v>2</x:v>
      </x:c>
      <x:c r="IM42" s="14" t="n">
        <x:v>4</x:v>
      </x:c>
      <x:c r="IN42" s="14" t="str">
        <x:v>未收錄</x:v>
      </x:c>
      <x:c r="IO42" s="14" t="str">
        <x:v>27626</x:v>
      </x:c>
      <x:c r="IP42" s="14" t="n">
        <x:v>8</x:v>
      </x:c>
      <x:c r="IQ42" s="14" t="n">
        <x:v>1245</x:v>
      </x:c>
      <x:c r="IR42" s="14" t="n">
        <x:v>101</x:v>
      </x:c>
      <x:c r="IS42" s="14" t="n">
        <x:v>2</x:v>
      </x:c>
      <x:c r="IT42" s="14" t="n">
        <x:v>1</x:v>
      </x:c>
      <x:c r="IU42" s="14" t="str">
        <x:v>未收錄</x:v>
      </x:c>
      <x:c r="IV42" s="14" t="str">
        <x:v>27627</x:v>
      </x:c>
      <x:c r="IW42" s="14" t="n">
        <x:v>8</x:v>
      </x:c>
      <x:c r="IX42" s="14" t="n">
        <x:v>1246</x:v>
      </x:c>
      <x:c r="IY42" s="14" t="n">
        <x:v>102</x:v>
      </x:c>
      <x:c r="IZ42" s="14" t="n">
        <x:v>2</x:v>
      </x:c>
      <x:c r="JA42" s="14" t="n">
        <x:v>2</x:v>
      </x:c>
      <x:c r="JB42" s="14" t="str">
        <x:v>未收錄</x:v>
      </x:c>
      <x:c r="JC42" s="14" t="str">
        <x:v>28367</x:v>
      </x:c>
      <x:c r="JD42" s="14" t="n">
        <x:v>8</x:v>
      </x:c>
      <x:c r="JE42" s="14" t="n">
        <x:v>1247</x:v>
      </x:c>
      <x:c r="JF42" s="14" t="n">
        <x:v>103</x:v>
      </x:c>
      <x:c r="JG42" s="14" t="n">
        <x:v>2</x:v>
      </x:c>
      <x:c r="JH42" s="14" t="n">
        <x:v>3</x:v>
      </x:c>
      <x:c r="JI42" s="14" t="str">
        <x:v>未收錄</x:v>
      </x:c>
      <x:c r="JJ42" s="14" t="str">
        <x:v>28368</x:v>
      </x:c>
      <x:c r="JK42" s="14" t="n">
        <x:v>8</x:v>
      </x:c>
      <x:c r="JL42" s="14" t="n">
        <x:v>1248</x:v>
      </x:c>
      <x:c r="JM42" s="14" t="n">
        <x:v>104</x:v>
      </x:c>
      <x:c r="JN42" s="14" t="n">
        <x:v>2</x:v>
      </x:c>
      <x:c r="JO42" s="14" t="n">
        <x:v>4</x:v>
      </x:c>
      <x:c r="JP42" s="14" t="str">
        <x:v>未收錄</x:v>
      </x:c>
      <x:c r="JQ42" s="14" t="str">
        <x:v>30239</x:v>
      </x:c>
      <x:c r="JR42" s="14" t="n">
        <x:v>8</x:v>
      </x:c>
      <x:c r="JS42" s="14" t="n">
        <x:v>1412</x:v>
      </x:c>
      <x:c r="JT42" s="14" t="n">
        <x:v>101</x:v>
      </x:c>
      <x:c r="JU42" s="14" t="n">
        <x:v>2</x:v>
      </x:c>
      <x:c r="JV42" s="14" t="n">
        <x:v>1</x:v>
      </x:c>
      <x:c r="JW42" s="14" t="str">
        <x:v>未收錄</x:v>
      </x:c>
      <x:c r="JX42" s="14" t="str">
        <x:v>30240</x:v>
      </x:c>
      <x:c r="JY42" s="14" t="n">
        <x:v>8</x:v>
      </x:c>
      <x:c r="JZ42" s="14" t="n">
        <x:v>1413</x:v>
      </x:c>
      <x:c r="KA42" s="14" t="n">
        <x:v>102</x:v>
      </x:c>
      <x:c r="KB42" s="14" t="n">
        <x:v>2</x:v>
      </x:c>
      <x:c r="KC42" s="14" t="n">
        <x:v>2</x:v>
      </x:c>
      <x:c r="KD42" s="14" t="str">
        <x:v>未收錄</x:v>
      </x:c>
      <x:c r="KE42" s="14" t="str">
        <x:v>30618</x:v>
      </x:c>
      <x:c r="KF42" s="14" t="n">
        <x:v>20</x:v>
      </x:c>
      <x:c r="KG42" s="14" t="n">
        <x:v>1414</x:v>
      </x:c>
      <x:c r="KH42" s="14" t="n">
        <x:v>103</x:v>
      </x:c>
      <x:c r="KI42" s="14" t="n">
        <x:v>2</x:v>
      </x:c>
      <x:c r="KJ42" s="14" t="n">
        <x:v>3</x:v>
      </x:c>
      <x:c r="KK42" s="14" t="str">
        <x:v>未收錄</x:v>
      </x:c>
      <x:c r="KL42" s="14" t="str">
        <x:v>30628</x:v>
      </x:c>
      <x:c r="KM42" s="14" t="n">
        <x:v>20</x:v>
      </x:c>
      <x:c r="KN42" s="14" t="n">
        <x:v>1415</x:v>
      </x:c>
      <x:c r="KO42" s="14" t="n">
        <x:v>104</x:v>
      </x:c>
      <x:c r="KP42" s="14" t="n">
        <x:v>2</x:v>
      </x:c>
      <x:c r="KQ42" s="14" t="n">
        <x:v>4</x:v>
      </x:c>
      <x:c r="KR42" s="14" t="str">
        <x:v>未收錄</x:v>
      </x:c>
      <x:c r="KS42" s="14" t="str">
        <x:v>30619</x:v>
      </x:c>
      <x:c r="KT42" s="14" t="n">
        <x:v>20</x:v>
      </x:c>
      <x:c r="KU42" s="14" t="n">
        <x:v>1527</x:v>
      </x:c>
      <x:c r="KV42" s="14" t="n">
        <x:v>101</x:v>
      </x:c>
      <x:c r="KW42" s="14" t="n">
        <x:v>2</x:v>
      </x:c>
      <x:c r="KX42" s="14" t="n">
        <x:v>1</x:v>
      </x:c>
      <x:c r="KY42" s="14" t="str">
        <x:v>未收錄</x:v>
      </x:c>
      <x:c r="KZ42" s="14" t="str">
        <x:v>30629</x:v>
      </x:c>
      <x:c r="LA42" s="14" t="n">
        <x:v>20</x:v>
      </x:c>
      <x:c r="LB42" s="14" t="n">
        <x:v>1528</x:v>
      </x:c>
      <x:c r="LC42" s="14" t="n">
        <x:v>102</x:v>
      </x:c>
      <x:c r="LD42" s="14" t="n">
        <x:v>2</x:v>
      </x:c>
      <x:c r="LE42" s="14" t="n">
        <x:v>2</x:v>
      </x:c>
      <x:c r="LF42" s="14" t="str">
        <x:v>未收錄</x:v>
      </x:c>
      <x:c r="LG42" s="14" t="str">
        <x:v>30957</x:v>
      </x:c>
      <x:c r="LH42" s="14" t="n">
        <x:v>20</x:v>
      </x:c>
      <x:c r="LI42" s="14" t="n">
        <x:v>1529</x:v>
      </x:c>
      <x:c r="LJ42" s="14" t="n">
        <x:v>103</x:v>
      </x:c>
      <x:c r="LK42" s="14" t="n">
        <x:v>2</x:v>
      </x:c>
      <x:c r="LL42" s="14" t="n">
        <x:v>3</x:v>
      </x:c>
      <x:c r="LM42" s="14" t="str">
        <x:v>未收錄</x:v>
      </x:c>
      <x:c r="LN42" s="14" t="str">
        <x:v>30967</x:v>
      </x:c>
      <x:c r="LO42" s="14" t="n">
        <x:v>20</x:v>
      </x:c>
      <x:c r="LP42" s="14" t="n">
        <x:v>1530</x:v>
      </x:c>
      <x:c r="LQ42" s="14" t="n">
        <x:v>104</x:v>
      </x:c>
      <x:c r="LR42" s="14" t="n">
        <x:v>2</x:v>
      </x:c>
      <x:c r="LS42" s="14" t="n">
        <x:v>4</x:v>
      </x:c>
      <x:c r="LT42" s="14" t="str">
        <x:v>未收錄</x:v>
      </x:c>
      <x:c r="LU42" s="14" t="str">
        <x:v>31561</x:v>
      </x:c>
      <x:c r="LV42" s="14" t="n">
        <x:v>20</x:v>
      </x:c>
      <x:c r="LW42" s="14" t="n">
        <x:v>1640</x:v>
      </x:c>
      <x:c r="LX42" s="14" t="n">
        <x:v>101</x:v>
      </x:c>
      <x:c r="LY42" s="14" t="n">
        <x:v>2</x:v>
      </x:c>
      <x:c r="LZ42" s="14" t="n">
        <x:v>1</x:v>
      </x:c>
      <x:c r="MA42" s="14" t="str">
        <x:v>未收錄</x:v>
      </x:c>
      <x:c r="MB42" s="14" t="str">
        <x:v>31571</x:v>
      </x:c>
      <x:c r="MC42" s="14" t="n">
        <x:v>20</x:v>
      </x:c>
      <x:c r="MD42" s="14" t="n">
        <x:v>1641</x:v>
      </x:c>
      <x:c r="ME42" s="14" t="n">
        <x:v>102</x:v>
      </x:c>
      <x:c r="MF42" s="14" t="n">
        <x:v>2</x:v>
      </x:c>
      <x:c r="MG42" s="14" t="n">
        <x:v>2</x:v>
      </x:c>
      <x:c r="MH42" s="14" t="str">
        <x:v>未收錄</x:v>
      </x:c>
      <x:c r="MI42" s="14" t="str">
        <x:v>31844</x:v>
      </x:c>
      <x:c r="MJ42" s="14" t="n">
        <x:v>20</x:v>
      </x:c>
      <x:c r="MK42" s="14" t="n">
        <x:v>1642</x:v>
      </x:c>
      <x:c r="ML42" s="14" t="n">
        <x:v>103</x:v>
      </x:c>
      <x:c r="MM42" s="14" t="n">
        <x:v>2</x:v>
      </x:c>
      <x:c r="MN42" s="14" t="n">
        <x:v>3</x:v>
      </x:c>
      <x:c r="MO42" s="14" t="str">
        <x:v>未收錄</x:v>
      </x:c>
      <x:c r="MP42" s="14" t="str">
        <x:v>31854</x:v>
      </x:c>
      <x:c r="MQ42" s="14" t="n">
        <x:v>20</x:v>
      </x:c>
      <x:c r="MR42" s="14" t="n">
        <x:v>1643</x:v>
      </x:c>
      <x:c r="MS42" s="14" t="n">
        <x:v>104</x:v>
      </x:c>
      <x:c r="MT42" s="14" t="n">
        <x:v>2</x:v>
      </x:c>
      <x:c r="MU42" s="14" t="n">
        <x:v>4</x:v>
      </x:c>
      <x:c r="MV42" s="14" t="str">
        <x:v>未收錄</x:v>
      </x:c>
      <x:c r="MW42" s="14" t="str">
        <x:v>22142</x:v>
      </x:c>
      <x:c r="MX42" s="14" t="n">
        <x:v>5</x:v>
      </x:c>
      <x:c r="MY42" s="14" t="n">
        <x:v>1749</x:v>
      </x:c>
      <x:c r="MZ42" s="14" t="n">
        <x:v>101</x:v>
      </x:c>
      <x:c r="NA42" s="14" t="n">
        <x:v>2</x:v>
      </x:c>
      <x:c r="NB42" s="14" t="n">
        <x:v>1</x:v>
      </x:c>
      <x:c r="NC42" s="14" t="str">
        <x:v>未收錄</x:v>
      </x:c>
      <x:c r="ND42" s="14" t="str">
        <x:v>22143</x:v>
      </x:c>
      <x:c r="NE42" s="14" t="n">
        <x:v>5</x:v>
      </x:c>
      <x:c r="NF42" s="14" t="n">
        <x:v>1750</x:v>
      </x:c>
      <x:c r="NG42" s="14" t="n">
        <x:v>102</x:v>
      </x:c>
      <x:c r="NH42" s="14" t="n">
        <x:v>2</x:v>
      </x:c>
      <x:c r="NI42" s="14" t="n">
        <x:v>2</x:v>
      </x:c>
      <x:c r="NJ42" s="14" t="str">
        <x:v>未收錄</x:v>
      </x:c>
      <x:c r="NK42" s="14" t="str">
        <x:v>22144</x:v>
      </x:c>
      <x:c r="NL42" s="14" t="n">
        <x:v>5</x:v>
      </x:c>
      <x:c r="NM42" s="14" t="n">
        <x:v>1751</x:v>
      </x:c>
      <x:c r="NN42" s="14" t="n">
        <x:v>103</x:v>
      </x:c>
      <x:c r="NO42" s="14" t="n">
        <x:v>2</x:v>
      </x:c>
      <x:c r="NP42" s="14" t="n">
        <x:v>3</x:v>
      </x:c>
      <x:c r="NQ42" s="14" t="str">
        <x:v>未收錄</x:v>
      </x:c>
      <x:c r="NR42" s="14" t="str">
        <x:v>22145</x:v>
      </x:c>
      <x:c r="NS42" s="14" t="n">
        <x:v>5</x:v>
      </x:c>
      <x:c r="NT42" s="14" t="n">
        <x:v>1752</x:v>
      </x:c>
      <x:c r="NU42" s="14" t="n">
        <x:v>104</x:v>
      </x:c>
      <x:c r="NV42" s="14" t="n">
        <x:v>2</x:v>
      </x:c>
      <x:c r="NW42" s="14" t="n">
        <x:v>4</x:v>
      </x:c>
      <x:c r="NX42" s="14" t="str">
        <x:v>未收錄</x:v>
      </x:c>
      <x:c r="NY42" s="14" t="str">
        <x:v>21780</x:v>
      </x:c>
      <x:c r="NZ42" s="14" t="n">
        <x:v>5</x:v>
      </x:c>
      <x:c r="OA42" s="14" t="n">
        <x:v>2202</x:v>
      </x:c>
      <x:c r="OB42" s="14" t="n">
        <x:v>101</x:v>
      </x:c>
      <x:c r="OC42" s="14" t="n">
        <x:v>2</x:v>
      </x:c>
      <x:c r="OD42" s="14" t="n">
        <x:v>1</x:v>
      </x:c>
      <x:c r="OE42" s="14" t="str">
        <x:v>未收錄</x:v>
      </x:c>
      <x:c r="OF42" s="14" t="str">
        <x:v>22151</x:v>
      </x:c>
      <x:c r="OG42" s="14" t="n">
        <x:v>5</x:v>
      </x:c>
      <x:c r="OH42" s="14" t="n">
        <x:v>2203</x:v>
      </x:c>
      <x:c r="OI42" s="14" t="n">
        <x:v>102</x:v>
      </x:c>
      <x:c r="OJ42" s="14" t="n">
        <x:v>2</x:v>
      </x:c>
      <x:c r="OK42" s="14" t="n">
        <x:v>2</x:v>
      </x:c>
      <x:c r="OL42" s="14" t="str">
        <x:v>未收錄</x:v>
      </x:c>
      <x:c r="OM42" s="14" t="str">
        <x:v>22152</x:v>
      </x:c>
      <x:c r="ON42" s="14" t="n">
        <x:v>5</x:v>
      </x:c>
      <x:c r="OO42" s="14" t="n">
        <x:v>2204</x:v>
      </x:c>
      <x:c r="OP42" s="14" t="n">
        <x:v>103</x:v>
      </x:c>
      <x:c r="OQ42" s="14" t="n">
        <x:v>2</x:v>
      </x:c>
      <x:c r="OR42" s="14" t="n">
        <x:v>3</x:v>
      </x:c>
      <x:c r="OS42" s="14" t="str">
        <x:v>未收錄</x:v>
      </x:c>
      <x:c r="OT42" s="14" t="str">
        <x:v>22153</x:v>
      </x:c>
      <x:c r="OU42" s="14" t="n">
        <x:v>5</x:v>
      </x:c>
      <x:c r="OV42" s="14" t="n">
        <x:v>2205</x:v>
      </x:c>
      <x:c r="OW42" s="14" t="n">
        <x:v>104</x:v>
      </x:c>
      <x:c r="OX42" s="14" t="n">
        <x:v>2</x:v>
      </x:c>
      <x:c r="OY42" s="14" t="n">
        <x:v>4</x:v>
      </x:c>
      <x:c r="OZ42" s="14" t="str">
        <x:v>未收錄</x:v>
      </x:c>
      <x:c r="PA42" s="14" t="str">
        <x:v>22547</x:v>
      </x:c>
      <x:c r="PB42" s="14" t="n">
        <x:v>5</x:v>
      </x:c>
      <x:c r="PC42" s="14" t="n">
        <x:v>2748</x:v>
      </x:c>
      <x:c r="PD42" s="14" t="n">
        <x:v>101</x:v>
      </x:c>
      <x:c r="PE42" s="14" t="n">
        <x:v>2</x:v>
      </x:c>
      <x:c r="PF42" s="14" t="n">
        <x:v>1</x:v>
      </x:c>
      <x:c r="PG42" s="14" t="str">
        <x:v>未收錄</x:v>
      </x:c>
      <x:c r="PH42" s="14" t="str">
        <x:v>22548</x:v>
      </x:c>
      <x:c r="PI42" s="14" t="n">
        <x:v>5</x:v>
      </x:c>
      <x:c r="PJ42" s="14" t="n">
        <x:v>2749</x:v>
      </x:c>
      <x:c r="PK42" s="14" t="n">
        <x:v>102</x:v>
      </x:c>
      <x:c r="PL42" s="14" t="n">
        <x:v>2</x:v>
      </x:c>
      <x:c r="PM42" s="14" t="n">
        <x:v>2</x:v>
      </x:c>
      <x:c r="PN42" s="14" t="str">
        <x:v>未收錄</x:v>
      </x:c>
      <x:c r="PO42" s="14" t="str">
        <x:v>22549</x:v>
      </x:c>
      <x:c r="PP42" s="14" t="n">
        <x:v>5</x:v>
      </x:c>
      <x:c r="PQ42" s="14" t="n">
        <x:v>2750</x:v>
      </x:c>
      <x:c r="PR42" s="14" t="n">
        <x:v>103</x:v>
      </x:c>
      <x:c r="PS42" s="14" t="n">
        <x:v>2</x:v>
      </x:c>
      <x:c r="PT42" s="14" t="n">
        <x:v>3</x:v>
      </x:c>
      <x:c r="PU42" s="14" t="str">
        <x:v>未收錄</x:v>
      </x:c>
      <x:c r="PV42" s="14" t="str">
        <x:v>22550</x:v>
      </x:c>
      <x:c r="PW42" s="14" t="n">
        <x:v>5</x:v>
      </x:c>
      <x:c r="PX42" s="14" t="n">
        <x:v>2751</x:v>
      </x:c>
      <x:c r="PY42" s="14" t="n">
        <x:v>104</x:v>
      </x:c>
      <x:c r="PZ42" s="14" t="n">
        <x:v>2</x:v>
      </x:c>
      <x:c r="QA42" s="14" t="n">
        <x:v>4</x:v>
      </x:c>
      <x:c r="QB42" s="14" t="str">
        <x:v>未收錄</x:v>
      </x:c>
      <x:c r="QC42" s="14" t="str">
        <x:v>22555</x:v>
      </x:c>
      <x:c r="QD42" s="14" t="n">
        <x:v>5</x:v>
      </x:c>
      <x:c r="QE42" s="14" t="n">
        <x:v>3185</x:v>
      </x:c>
      <x:c r="QF42" s="14" t="n">
        <x:v>101</x:v>
      </x:c>
      <x:c r="QG42" s="14" t="n">
        <x:v>2</x:v>
      </x:c>
      <x:c r="QH42" s="14" t="n">
        <x:v>1</x:v>
      </x:c>
      <x:c r="QI42" s="14" t="str">
        <x:v>未收錄</x:v>
      </x:c>
      <x:c r="QJ42" s="14" t="str">
        <x:v>22556</x:v>
      </x:c>
      <x:c r="QK42" s="14" t="n">
        <x:v>5</x:v>
      </x:c>
      <x:c r="QL42" s="14" t="n">
        <x:v>3186</x:v>
      </x:c>
      <x:c r="QM42" s="14" t="n">
        <x:v>102</x:v>
      </x:c>
      <x:c r="QN42" s="14" t="n">
        <x:v>2</x:v>
      </x:c>
      <x:c r="QO42" s="14" t="n">
        <x:v>2</x:v>
      </x:c>
      <x:c r="QP42" s="14" t="str">
        <x:v>未收錄</x:v>
      </x:c>
      <x:c r="QQ42" s="14" t="str">
        <x:v>22557</x:v>
      </x:c>
      <x:c r="QR42" s="14" t="n">
        <x:v>5</x:v>
      </x:c>
      <x:c r="QS42" s="14" t="n">
        <x:v>3187</x:v>
      </x:c>
      <x:c r="QT42" s="14" t="n">
        <x:v>103</x:v>
      </x:c>
      <x:c r="QU42" s="14" t="n">
        <x:v>2</x:v>
      </x:c>
      <x:c r="QV42" s="14" t="n">
        <x:v>3</x:v>
      </x:c>
      <x:c r="QW42" s="14" t="str">
        <x:v>未收錄</x:v>
      </x:c>
      <x:c r="QX42" s="14" t="str">
        <x:v>22558</x:v>
      </x:c>
      <x:c r="QY42" s="14" t="n">
        <x:v>5</x:v>
      </x:c>
      <x:c r="QZ42" s="14" t="n">
        <x:v>3188</x:v>
      </x:c>
      <x:c r="RA42" s="14" t="n">
        <x:v>104</x:v>
      </x:c>
      <x:c r="RB42" s="14" t="n">
        <x:v>2</x:v>
      </x:c>
      <x:c r="RC42" s="14" t="n">
        <x:v>4</x:v>
      </x:c>
      <x:c r="RD42" s="14" t="str">
        <x:v>未收錄</x:v>
      </x:c>
      <x:c r="RE42" s="14" t="str">
        <x:v>23271</x:v>
      </x:c>
      <x:c r="RF42" s="14" t="n">
        <x:v>3</x:v>
      </x:c>
      <x:c r="RG42" s="14" t="n">
        <x:v>3646</x:v>
      </x:c>
      <x:c r="RH42" s="14" t="n">
        <x:v>101</x:v>
      </x:c>
      <x:c r="RI42" s="14" t="n">
        <x:v>2</x:v>
      </x:c>
      <x:c r="RJ42" s="14" t="n">
        <x:v>1</x:v>
      </x:c>
      <x:c r="RK42" s="14" t="str">
        <x:v>未收錄</x:v>
      </x:c>
      <x:c r="RL42" s="14" t="str">
        <x:v>23272</x:v>
      </x:c>
      <x:c r="RM42" s="14" t="n">
        <x:v>3</x:v>
      </x:c>
      <x:c r="RN42" s="14" t="n">
        <x:v>3647</x:v>
      </x:c>
      <x:c r="RO42" s="14" t="n">
        <x:v>102</x:v>
      </x:c>
      <x:c r="RP42" s="14" t="n">
        <x:v>2</x:v>
      </x:c>
      <x:c r="RQ42" s="14" t="n">
        <x:v>2</x:v>
      </x:c>
      <x:c r="RR42" s="14" t="str">
        <x:v>未收錄</x:v>
      </x:c>
      <x:c r="RS42" s="14" t="str">
        <x:v>23273</x:v>
      </x:c>
      <x:c r="RT42" s="14" t="n">
        <x:v>3</x:v>
      </x:c>
      <x:c r="RU42" s="14" t="n">
        <x:v>3648</x:v>
      </x:c>
      <x:c r="RV42" s="14" t="n">
        <x:v>103</x:v>
      </x:c>
      <x:c r="RW42" s="14" t="n">
        <x:v>2</x:v>
      </x:c>
      <x:c r="RX42" s="14" t="n">
        <x:v>3</x:v>
      </x:c>
      <x:c r="RY42" s="14" t="str">
        <x:v>未收錄</x:v>
      </x:c>
      <x:c r="RZ42" s="14" t="str">
        <x:v>23630</x:v>
      </x:c>
      <x:c r="SA42" s="14" t="n">
        <x:v>10</x:v>
      </x:c>
      <x:c r="SB42" s="14" t="n">
        <x:v>3649</x:v>
      </x:c>
      <x:c r="SC42" s="14" t="n">
        <x:v>104</x:v>
      </x:c>
      <x:c r="SD42" s="14" t="n">
        <x:v>2</x:v>
      </x:c>
      <x:c r="SE42" s="14" t="n">
        <x:v>4</x:v>
      </x:c>
      <x:c r="SF42" s="14" t="str">
        <x:v>未收錄</x:v>
      </x:c>
      <x:c r="SG42" s="14"/>
      <x:c r="SH42" s="14"/>
      <x:c r="SI42" s="14"/>
      <x:c r="SJ42" s="14"/>
      <x:c r="SK42" s="14"/>
      <x:c r="SL42" s="14"/>
      <x:c r="SM42" s="14"/>
      <x:c r="SN42" s="14"/>
      <x:c r="SO42" s="14"/>
      <x:c r="SP42" s="14"/>
      <x:c r="SQ42" s="14"/>
      <x:c r="SR42" s="14"/>
      <x:c r="SS42" s="14"/>
      <x:c r="ST42" s="14"/>
      <x:c r="SU42" s="14"/>
      <x:c r="SV42" s="14"/>
      <x:c r="SW42" s="14"/>
      <x:c r="SX42" s="14"/>
      <x:c r="SY42" s="14"/>
      <x:c r="SZ42" s="14"/>
      <x:c r="TA42" s="14"/>
      <x:c r="TB42" s="14"/>
      <x:c r="TC42" s="14"/>
      <x:c r="TD42" s="14"/>
      <x:c r="TE42" s="14"/>
      <x:c r="TF42" s="14"/>
      <x:c r="TG42" s="14"/>
      <x:c r="TH42" s="14"/>
    </x:row>
    <x:row r="43" ht="15" customHeight="1">
      <x:c r="A43" s="17" t="str">
        <x:v>天之叢雲劍</x:v>
      </x:c>
      <x:c r="B43" s="17" t="str">
        <x:v>神度無量劍</x:v>
      </x:c>
      <x:c r="C43" s="17" t="str">
        <x:v>誡罪劍</x:v>
      </x:c>
      <x:c r="D43" s="17" t="str">
        <x:v>無雙誡罪劍</x:v>
      </x:c>
      <x:c r="E43" s="14"/>
      <x:c r="F43" s="17" t="str">
        <x:v>熾獄刀</x:v>
      </x:c>
      <x:c r="G43" s="17" t="str">
        <x:v>無雙熾獄刀</x:v>
      </x:c>
      <x:c r="H43" s="17" t="str">
        <x:v>無盡灼熱刀</x:v>
      </x:c>
      <x:c r="I43" s="17" t="str">
        <x:v>無窮業障刀</x:v>
      </x:c>
      <x:c r="J43" s="14"/>
      <x:c r="K43" s="17" t="str">
        <x:v>九龍翔瑞爪</x:v>
      </x:c>
      <x:c r="L43" s="17" t="str">
        <x:v>九龍翔瑞爪</x:v>
      </x:c>
      <x:c r="M43" s="17" t="str">
        <x:v>天相星宿輪</x:v>
      </x:c>
      <x:c r="N43" s="17" t="str">
        <x:v>蒼鷹宮絕流破</x:v>
      </x:c>
      <x:c r="O43" s="14"/>
      <x:c r="P43" s="17" t="str">
        <x:v>白露蓮舫燈</x:v>
      </x:c>
      <x:c r="Q43" s="17" t="str">
        <x:v>青虹蓮座燈</x:v>
      </x:c>
      <x:c r="R43" s="17" t="str">
        <x:v>蒼雀扇</x:v>
      </x:c>
      <x:c r="S43" s="17" t="str">
        <x:v>太古蒼雀扇</x:v>
      </x:c>
      <x:c r="T43" s="14"/>
      <x:c r="U43" s="17" t="str">
        <x:v>太古影凰杖</x:v>
      </x:c>
      <x:c r="V43" s="17" t="str">
        <x:v>太陰鳳麟杖</x:v>
      </x:c>
      <x:c r="W43" s="17" t="str">
        <x:v>月影夜凰杖</x:v>
      </x:c>
      <x:c r="X43" s="17" t="str">
        <x:v>松明杖</x:v>
      </x:c>
      <x:c r="Y43" s="14"/>
      <x:c r="Z43" s="17" t="str">
        <x:v>真宇傲冰王槍</x:v>
      </x:c>
      <x:c r="AA43" s="17" t="str">
        <x:v>商宿槍★</x:v>
      </x:c>
      <x:c r="AB43" s="17" t="str">
        <x:v>商宿槍★★</x:v>
      </x:c>
      <x:c r="AC43" s="17" t="str">
        <x:v>商宿槍★★★</x:v>
      </x:c>
      <x:c r="AD43" s="14"/>
      <x:c r="AE43" s="17" t="str">
        <x:v>太微棍★★★</x:v>
      </x:c>
      <x:c r="AF43" s="17" t="str">
        <x:v>市樓棍☆</x:v>
      </x:c>
      <x:c r="AG43" s="17" t="str">
        <x:v>市樓棍☆☆</x:v>
      </x:c>
      <x:c r="AH43" s="17" t="str">
        <x:v>市樓棍☆☆☆</x:v>
      </x:c>
      <x:c r="AI43" s="14"/>
      <x:c r="AJ43" s="17" t="str">
        <x:v>輝譽三公錘</x:v>
      </x:c>
      <x:c r="AK43" s="17" t="str">
        <x:v>輝譽三公錘</x:v>
      </x:c>
      <x:c r="AL43" s="17" t="str">
        <x:v>地獄守門者</x:v>
      </x:c>
      <x:c r="AM43" s="17" t="str">
        <x:v>地獄守門者</x:v>
      </x:c>
      <x:c r="AN43" s="14"/>
      <x:c r="AO43" s="17" t="str">
        <x:v>斧〔魔神破〕</x:v>
      </x:c>
      <x:c r="AP43" s="17" t="str">
        <x:v>斧〔魔神破〕</x:v>
      </x:c>
      <x:c r="AQ43" s="17" t="str">
        <x:v>虎門憲章斧</x:v>
      </x:c>
      <x:c r="AR43" s="17" t="str">
        <x:v>虎門憲章斧</x:v>
      </x:c>
      <x:c r="AS43" s="14"/>
      <x:c r="AT43" s="17" t="str">
        <x:v>古主臨盾Ⅰ</x:v>
      </x:c>
      <x:c r="AU43" s="17" t="str">
        <x:v>古主臨盾Ⅱ</x:v>
      </x:c>
      <x:c r="AV43" s="17" t="str">
        <x:v>古主臨盾Ⅲ</x:v>
      </x:c>
      <x:c r="AW43" s="17" t="str">
        <x:v>古主臨盾Ⅳ</x:v>
      </x:c>
      <x:c r="AX43" s="14"/>
      <x:c r="AY43" s="17" t="str">
        <x:v>玄武戰盔</x:v>
      </x:c>
      <x:c r="AZ43" s="17" t="str">
        <x:v>玉鱗戰盔</x:v>
      </x:c>
      <x:c r="BA43" s="17" t="str">
        <x:v>翡翠錦冠</x:v>
      </x:c>
      <x:c r="BB43" s="17" t="str">
        <x:v>萬佛禪帽</x:v>
      </x:c>
      <x:c r="BC43" s="14"/>
      <x:c r="BD43" s="17" t="str">
        <x:v>千手僧衣</x:v>
      </x:c>
      <x:c r="BE43" s="17" t="str">
        <x:v>羅剎輕甲</x:v>
      </x:c>
      <x:c r="BF43" s="17" t="str">
        <x:v>玄武重鎧</x:v>
      </x:c>
      <x:c r="BG43" s="17" t="str">
        <x:v>玉鱗戰甲</x:v>
      </x:c>
      <x:c r="BH43" s="14"/>
      <x:c r="BI43" s="17" t="str">
        <x:v>丸勢護腕</x:v>
      </x:c>
      <x:c r="BJ43" s="17" t="str">
        <x:v>素盞鳴鋼腕</x:v>
      </x:c>
      <x:c r="BK43" s="17" t="str">
        <x:v>烈雷腕胄</x:v>
      </x:c>
      <x:c r="BL43" s="17" t="str">
        <x:v>震雷腕胄</x:v>
      </x:c>
      <x:c r="BM43" s="14"/>
      <x:c r="BN43" s="17" t="str">
        <x:v>陣澤紋靴</x:v>
      </x:c>
      <x:c r="BO43" s="17" t="str">
        <x:v>伊幡禪靴</x:v>
      </x:c>
      <x:c r="BP43" s="17" t="str">
        <x:v>丸勢護靴</x:v>
      </x:c>
      <x:c r="BQ43" s="17" t="str">
        <x:v>韋駝天足具</x:v>
      </x:c>
      <x:c r="BR43" s="14"/>
      <x:c r="BS43" s="17" t="str">
        <x:v>五逆指環</x:v>
      </x:c>
      <x:c r="BT43" s="17" t="str">
        <x:v>墮業墜鍊</x:v>
      </x:c>
      <x:c r="BU43" s="17" t="str">
        <x:v>十重天珠</x:v>
      </x:c>
      <x:c r="BV43" s="17" t="str">
        <x:v>叫喚墜鍊</x:v>
      </x:c>
      <x:c r="BW43" s="14"/>
      <x:c r="BX43" s="14"/>
      <x:c r="BY43" s="14"/>
      <x:c r="BZ43" s="14"/>
      <x:c r="CA43" s="14"/>
      <x:c r="CB43" s="14"/>
      <x:c r="CC43" s="14" t="str">
        <x:v>22865</x:v>
      </x:c>
      <x:c r="CD43" s="14" t="n">
        <x:v>8</x:v>
      </x:c>
      <x:c r="CE43" s="14" t="n">
        <x:v>105</x:v>
      </x:c>
      <x:c r="CF43" s="14" t="n">
        <x:v>105</x:v>
      </x:c>
      <x:c r="CG43" s="14" t="n">
        <x:v>3</x:v>
      </x:c>
      <x:c r="CH43" s="14" t="n">
        <x:v>1</x:v>
      </x:c>
      <x:c r="CI43" s="14" t="str">
        <x:v>未收錄</x:v>
      </x:c>
      <x:c r="CJ43" s="14" t="str">
        <x:v>22866</x:v>
      </x:c>
      <x:c r="CK43" s="14" t="n">
        <x:v>8</x:v>
      </x:c>
      <x:c r="CL43" s="14" t="n">
        <x:v>106</x:v>
      </x:c>
      <x:c r="CM43" s="14" t="n">
        <x:v>106</x:v>
      </x:c>
      <x:c r="CN43" s="14" t="n">
        <x:v>3</x:v>
      </x:c>
      <x:c r="CO43" s="14" t="n">
        <x:v>2</x:v>
      </x:c>
      <x:c r="CP43" s="14" t="str">
        <x:v>未收錄</x:v>
      </x:c>
      <x:c r="CQ43" s="14" t="str">
        <x:v>23140</x:v>
      </x:c>
      <x:c r="CR43" s="14" t="n">
        <x:v>8</x:v>
      </x:c>
      <x:c r="CS43" s="14" t="n">
        <x:v>107</x:v>
      </x:c>
      <x:c r="CT43" s="14" t="n">
        <x:v>107</x:v>
      </x:c>
      <x:c r="CU43" s="14" t="n">
        <x:v>3</x:v>
      </x:c>
      <x:c r="CV43" s="14" t="n">
        <x:v>3</x:v>
      </x:c>
      <x:c r="CW43" s="14" t="str">
        <x:v>未收錄</x:v>
      </x:c>
      <x:c r="CX43" s="14" t="str">
        <x:v>23656</x:v>
      </x:c>
      <x:c r="CY43" s="14" t="n">
        <x:v>8</x:v>
      </x:c>
      <x:c r="CZ43" s="14" t="n">
        <x:v>108</x:v>
      </x:c>
      <x:c r="DA43" s="14" t="n">
        <x:v>108</x:v>
      </x:c>
      <x:c r="DB43" s="14" t="n">
        <x:v>3</x:v>
      </x:c>
      <x:c r="DC43" s="14" t="n">
        <x:v>4</x:v>
      </x:c>
      <x:c r="DD43" s="14" t="str">
        <x:v>未收錄</x:v>
      </x:c>
      <x:c r="DE43" s="14" t="str">
        <x:v>23592</x:v>
      </x:c>
      <x:c r="DF43" s="14" t="n">
        <x:v>8</x:v>
      </x:c>
      <x:c r="DG43" s="14" t="n">
        <x:v>350</x:v>
      </x:c>
      <x:c r="DH43" s="14" t="n">
        <x:v>105</x:v>
      </x:c>
      <x:c r="DI43" s="14" t="n">
        <x:v>3</x:v>
      </x:c>
      <x:c r="DJ43" s="14" t="n">
        <x:v>1</x:v>
      </x:c>
      <x:c r="DK43" s="14" t="str">
        <x:v>未收錄</x:v>
      </x:c>
      <x:c r="DL43" s="14" t="str">
        <x:v>24104</x:v>
      </x:c>
      <x:c r="DM43" s="14" t="n">
        <x:v>8</x:v>
      </x:c>
      <x:c r="DN43" s="14" t="n">
        <x:v>351</x:v>
      </x:c>
      <x:c r="DO43" s="14" t="n">
        <x:v>106</x:v>
      </x:c>
      <x:c r="DP43" s="14" t="n">
        <x:v>3</x:v>
      </x:c>
      <x:c r="DQ43" s="14" t="n">
        <x:v>2</x:v>
      </x:c>
      <x:c r="DR43" s="14" t="str">
        <x:v>未收錄</x:v>
      </x:c>
      <x:c r="DS43" s="14" t="str">
        <x:v>23593</x:v>
      </x:c>
      <x:c r="DT43" s="14" t="n">
        <x:v>8</x:v>
      </x:c>
      <x:c r="DU43" s="14" t="n">
        <x:v>352</x:v>
      </x:c>
      <x:c r="DV43" s="14" t="n">
        <x:v>107</x:v>
      </x:c>
      <x:c r="DW43" s="14" t="n">
        <x:v>3</x:v>
      </x:c>
      <x:c r="DX43" s="14" t="n">
        <x:v>3</x:v>
      </x:c>
      <x:c r="DY43" s="14" t="str">
        <x:v>未收錄</x:v>
      </x:c>
      <x:c r="DZ43" s="14" t="str">
        <x:v>23594</x:v>
      </x:c>
      <x:c r="EA43" s="14" t="n">
        <x:v>8</x:v>
      </x:c>
      <x:c r="EB43" s="14" t="n">
        <x:v>353</x:v>
      </x:c>
      <x:c r="EC43" s="14" t="n">
        <x:v>108</x:v>
      </x:c>
      <x:c r="ED43" s="14" t="n">
        <x:v>3</x:v>
      </x:c>
      <x:c r="EE43" s="14" t="n">
        <x:v>4</x:v>
      </x:c>
      <x:c r="EF43" s="14" t="str">
        <x:v>未收錄</x:v>
      </x:c>
      <x:c r="EG43" s="14" t="str">
        <x:v>26786</x:v>
      </x:c>
      <x:c r="EH43" s="14" t="n">
        <x:v>20</x:v>
      </x:c>
      <x:c r="EI43" s="14" t="n">
        <x:v>586</x:v>
      </x:c>
      <x:c r="EJ43" s="14" t="n">
        <x:v>105</x:v>
      </x:c>
      <x:c r="EK43" s="14" t="n">
        <x:v>3</x:v>
      </x:c>
      <x:c r="EL43" s="14" t="n">
        <x:v>1</x:v>
      </x:c>
      <x:c r="EM43" s="14" t="str">
        <x:v>未收錄</x:v>
      </x:c>
      <x:c r="EN43" s="14" t="str">
        <x:v>27437</x:v>
      </x:c>
      <x:c r="EO43" s="14" t="n">
        <x:v>20</x:v>
      </x:c>
      <x:c r="EP43" s="14" t="n">
        <x:v>587</x:v>
      </x:c>
      <x:c r="EQ43" s="14" t="n">
        <x:v>106</x:v>
      </x:c>
      <x:c r="ER43" s="14" t="n">
        <x:v>3</x:v>
      </x:c>
      <x:c r="ES43" s="14" t="n">
        <x:v>2</x:v>
      </x:c>
      <x:c r="ET43" s="14" t="str">
        <x:v>未收錄</x:v>
      </x:c>
      <x:c r="EU43" s="14" t="str">
        <x:v>27355</x:v>
      </x:c>
      <x:c r="EV43" s="14" t="n">
        <x:v>20</x:v>
      </x:c>
      <x:c r="EW43" s="14" t="n">
        <x:v>588</x:v>
      </x:c>
      <x:c r="EX43" s="14" t="n">
        <x:v>107</x:v>
      </x:c>
      <x:c r="EY43" s="14" t="n">
        <x:v>3</x:v>
      </x:c>
      <x:c r="EZ43" s="14" t="n">
        <x:v>3</x:v>
      </x:c>
      <x:c r="FA43" s="14" t="str">
        <x:v>未收錄</x:v>
      </x:c>
      <x:c r="FB43" s="14" t="str">
        <x:v>27569</x:v>
      </x:c>
      <x:c r="FC43" s="14" t="n">
        <x:v>20</x:v>
      </x:c>
      <x:c r="FD43" s="14" t="n">
        <x:v>589</x:v>
      </x:c>
      <x:c r="FE43" s="14" t="n">
        <x:v>108</x:v>
      </x:c>
      <x:c r="FF43" s="14" t="n">
        <x:v>3</x:v>
      </x:c>
      <x:c r="FG43" s="14" t="n">
        <x:v>4</x:v>
      </x:c>
      <x:c r="FH43" s="14" t="str">
        <x:v>未收錄</x:v>
      </x:c>
      <x:c r="FI43" s="14" t="str">
        <x:v>26613</x:v>
      </x:c>
      <x:c r="FJ43" s="14" t="n">
        <x:v>8</x:v>
      </x:c>
      <x:c r="FK43" s="14" t="n">
        <x:v>736</x:v>
      </x:c>
      <x:c r="FL43" s="14" t="n">
        <x:v>105</x:v>
      </x:c>
      <x:c r="FM43" s="14" t="n">
        <x:v>3</x:v>
      </x:c>
      <x:c r="FN43" s="14" t="n">
        <x:v>1</x:v>
      </x:c>
      <x:c r="FO43" s="14" t="str">
        <x:v>未收錄</x:v>
      </x:c>
      <x:c r="FP43" s="14" t="str">
        <x:v>26614</x:v>
      </x:c>
      <x:c r="FQ43" s="14" t="n">
        <x:v>8</x:v>
      </x:c>
      <x:c r="FR43" s="14" t="n">
        <x:v>737</x:v>
      </x:c>
      <x:c r="FS43" s="14" t="n">
        <x:v>106</x:v>
      </x:c>
      <x:c r="FT43" s="14" t="n">
        <x:v>3</x:v>
      </x:c>
      <x:c r="FU43" s="14" t="n">
        <x:v>2</x:v>
      </x:c>
      <x:c r="FV43" s="14" t="str">
        <x:v>未收錄</x:v>
      </x:c>
      <x:c r="FW43" s="14" t="str">
        <x:v>26615</x:v>
      </x:c>
      <x:c r="FX43" s="14" t="n">
        <x:v>8</x:v>
      </x:c>
      <x:c r="FY43" s="14" t="n">
        <x:v>738</x:v>
      </x:c>
      <x:c r="FZ43" s="14" t="n">
        <x:v>107</x:v>
      </x:c>
      <x:c r="GA43" s="14" t="n">
        <x:v>3</x:v>
      </x:c>
      <x:c r="GB43" s="14" t="n">
        <x:v>3</x:v>
      </x:c>
      <x:c r="GC43" s="14" t="str">
        <x:v>未收錄</x:v>
      </x:c>
      <x:c r="GD43" s="14" t="str">
        <x:v>26731</x:v>
      </x:c>
      <x:c r="GE43" s="14" t="n">
        <x:v>3</x:v>
      </x:c>
      <x:c r="GF43" s="14" t="n">
        <x:v>739</x:v>
      </x:c>
      <x:c r="GG43" s="14" t="n">
        <x:v>108</x:v>
      </x:c>
      <x:c r="GH43" s="14" t="n">
        <x:v>3</x:v>
      </x:c>
      <x:c r="GI43" s="14" t="n">
        <x:v>4</x:v>
      </x:c>
      <x:c r="GJ43" s="14" t="str">
        <x:v>未收錄</x:v>
      </x:c>
      <x:c r="GK43" s="14" t="str">
        <x:v>26723</x:v>
      </x:c>
      <x:c r="GL43" s="14" t="n">
        <x:v>3</x:v>
      </x:c>
      <x:c r="GM43" s="14" t="n">
        <x:v>908</x:v>
      </x:c>
      <x:c r="GN43" s="14" t="n">
        <x:v>105</x:v>
      </x:c>
      <x:c r="GO43" s="14" t="n">
        <x:v>3</x:v>
      </x:c>
      <x:c r="GP43" s="14" t="n">
        <x:v>1</x:v>
      </x:c>
      <x:c r="GQ43" s="14" t="str">
        <x:v>未收錄</x:v>
      </x:c>
      <x:c r="GR43" s="14" t="str">
        <x:v>26619</x:v>
      </x:c>
      <x:c r="GS43" s="14" t="n">
        <x:v>8</x:v>
      </x:c>
      <x:c r="GT43" s="14" t="n">
        <x:v>909</x:v>
      </x:c>
      <x:c r="GU43" s="14" t="n">
        <x:v>106</x:v>
      </x:c>
      <x:c r="GV43" s="14" t="n">
        <x:v>3</x:v>
      </x:c>
      <x:c r="GW43" s="14" t="n">
        <x:v>2</x:v>
      </x:c>
      <x:c r="GX43" s="14" t="str">
        <x:v>未收錄</x:v>
      </x:c>
      <x:c r="GY43" s="14" t="str">
        <x:v>26620</x:v>
      </x:c>
      <x:c r="GZ43" s="14" t="n">
        <x:v>8</x:v>
      </x:c>
      <x:c r="HA43" s="14" t="n">
        <x:v>910</x:v>
      </x:c>
      <x:c r="HB43" s="14" t="n">
        <x:v>107</x:v>
      </x:c>
      <x:c r="HC43" s="14" t="n">
        <x:v>3</x:v>
      </x:c>
      <x:c r="HD43" s="14" t="n">
        <x:v>3</x:v>
      </x:c>
      <x:c r="HE43" s="14" t="str">
        <x:v>未收錄</x:v>
      </x:c>
      <x:c r="HF43" s="14" t="str">
        <x:v>26621</x:v>
      </x:c>
      <x:c r="HG43" s="14" t="n">
        <x:v>8</x:v>
      </x:c>
      <x:c r="HH43" s="14" t="n">
        <x:v>911</x:v>
      </x:c>
      <x:c r="HI43" s="14" t="n">
        <x:v>108</x:v>
      </x:c>
      <x:c r="HJ43" s="14" t="n">
        <x:v>3</x:v>
      </x:c>
      <x:c r="HK43" s="14" t="n">
        <x:v>4</x:v>
      </x:c>
      <x:c r="HL43" s="14" t="str">
        <x:v>未收錄</x:v>
      </x:c>
      <x:c r="HM43" s="14" t="str">
        <x:v>27623</x:v>
      </x:c>
      <x:c r="HN43" s="14" t="n">
        <x:v>8</x:v>
      </x:c>
      <x:c r="HO43" s="14" t="n">
        <x:v>1081</x:v>
      </x:c>
      <x:c r="HP43" s="14" t="n">
        <x:v>105</x:v>
      </x:c>
      <x:c r="HQ43" s="14" t="n">
        <x:v>3</x:v>
      </x:c>
      <x:c r="HR43" s="14" t="n">
        <x:v>1</x:v>
      </x:c>
      <x:c r="HS43" s="14" t="str">
        <x:v>未收錄</x:v>
      </x:c>
      <x:c r="HT43" s="14" t="str">
        <x:v>28364</x:v>
      </x:c>
      <x:c r="HU43" s="14" t="n">
        <x:v>8</x:v>
      </x:c>
      <x:c r="HV43" s="14" t="n">
        <x:v>1082</x:v>
      </x:c>
      <x:c r="HW43" s="14" t="n">
        <x:v>106</x:v>
      </x:c>
      <x:c r="HX43" s="14" t="n">
        <x:v>3</x:v>
      </x:c>
      <x:c r="HY43" s="14" t="n">
        <x:v>2</x:v>
      </x:c>
      <x:c r="HZ43" s="14" t="str">
        <x:v>未收錄</x:v>
      </x:c>
      <x:c r="IA43" s="14" t="str">
        <x:v>28365</x:v>
      </x:c>
      <x:c r="IB43" s="14" t="n">
        <x:v>8</x:v>
      </x:c>
      <x:c r="IC43" s="14" t="n">
        <x:v>1083</x:v>
      </x:c>
      <x:c r="ID43" s="14" t="n">
        <x:v>107</x:v>
      </x:c>
      <x:c r="IE43" s="14" t="n">
        <x:v>3</x:v>
      </x:c>
      <x:c r="IF43" s="14" t="n">
        <x:v>3</x:v>
      </x:c>
      <x:c r="IG43" s="14" t="str">
        <x:v>未收錄</x:v>
      </x:c>
      <x:c r="IH43" s="14" t="str">
        <x:v>28366</x:v>
      </x:c>
      <x:c r="II43" s="14" t="n">
        <x:v>8</x:v>
      </x:c>
      <x:c r="IJ43" s="14" t="n">
        <x:v>1084</x:v>
      </x:c>
      <x:c r="IK43" s="14" t="n">
        <x:v>108</x:v>
      </x:c>
      <x:c r="IL43" s="14" t="n">
        <x:v>3</x:v>
      </x:c>
      <x:c r="IM43" s="14" t="n">
        <x:v>4</x:v>
      </x:c>
      <x:c r="IN43" s="14" t="str">
        <x:v>未收錄</x:v>
      </x:c>
      <x:c r="IO43" s="14" t="str">
        <x:v>28369</x:v>
      </x:c>
      <x:c r="IP43" s="14" t="n">
        <x:v>8</x:v>
      </x:c>
      <x:c r="IQ43" s="14" t="n">
        <x:v>1249</x:v>
      </x:c>
      <x:c r="IR43" s="14" t="n">
        <x:v>105</x:v>
      </x:c>
      <x:c r="IS43" s="14" t="n">
        <x:v>3</x:v>
      </x:c>
      <x:c r="IT43" s="14" t="n">
        <x:v>1</x:v>
      </x:c>
      <x:c r="IU43" s="14" t="str">
        <x:v>未收錄</x:v>
      </x:c>
      <x:c r="IV43" s="14" t="str">
        <x:v>28829</x:v>
      </x:c>
      <x:c r="IW43" s="14" t="n">
        <x:v>8</x:v>
      </x:c>
      <x:c r="IX43" s="14" t="n">
        <x:v>1250</x:v>
      </x:c>
      <x:c r="IY43" s="14" t="n">
        <x:v>106</x:v>
      </x:c>
      <x:c r="IZ43" s="14" t="n">
        <x:v>3</x:v>
      </x:c>
      <x:c r="JA43" s="14" t="n">
        <x:v>2</x:v>
      </x:c>
      <x:c r="JB43" s="14" t="str">
        <x:v>未收錄</x:v>
      </x:c>
      <x:c r="JC43" s="14" t="str">
        <x:v>28830</x:v>
      </x:c>
      <x:c r="JD43" s="14" t="n">
        <x:v>8</x:v>
      </x:c>
      <x:c r="JE43" s="14" t="n">
        <x:v>1251</x:v>
      </x:c>
      <x:c r="JF43" s="14" t="n">
        <x:v>107</x:v>
      </x:c>
      <x:c r="JG43" s="14" t="n">
        <x:v>3</x:v>
      </x:c>
      <x:c r="JH43" s="14" t="n">
        <x:v>3</x:v>
      </x:c>
      <x:c r="JI43" s="14" t="str">
        <x:v>未收錄</x:v>
      </x:c>
      <x:c r="JJ43" s="14" t="str">
        <x:v>28831</x:v>
      </x:c>
      <x:c r="JK43" s="14" t="n">
        <x:v>8</x:v>
      </x:c>
      <x:c r="JL43" s="14" t="n">
        <x:v>1252</x:v>
      </x:c>
      <x:c r="JM43" s="14" t="n">
        <x:v>108</x:v>
      </x:c>
      <x:c r="JN43" s="14" t="n">
        <x:v>3</x:v>
      </x:c>
      <x:c r="JO43" s="14" t="n">
        <x:v>4</x:v>
      </x:c>
      <x:c r="JP43" s="14" t="str">
        <x:v>未收錄</x:v>
      </x:c>
      <x:c r="JQ43" s="14" t="str">
        <x:v>30956</x:v>
      </x:c>
      <x:c r="JR43" s="14" t="n">
        <x:v>20</x:v>
      </x:c>
      <x:c r="JS43" s="14" t="n">
        <x:v>1416</x:v>
      </x:c>
      <x:c r="JT43" s="14" t="n">
        <x:v>105</x:v>
      </x:c>
      <x:c r="JU43" s="14" t="n">
        <x:v>3</x:v>
      </x:c>
      <x:c r="JV43" s="14" t="n">
        <x:v>1</x:v>
      </x:c>
      <x:c r="JW43" s="14" t="str">
        <x:v>未收錄</x:v>
      </x:c>
      <x:c r="JX43" s="14" t="str">
        <x:v>30966</x:v>
      </x:c>
      <x:c r="JY43" s="14" t="n">
        <x:v>20</x:v>
      </x:c>
      <x:c r="JZ43" s="14" t="n">
        <x:v>1417</x:v>
      </x:c>
      <x:c r="KA43" s="14" t="n">
        <x:v>106</x:v>
      </x:c>
      <x:c r="KB43" s="14" t="n">
        <x:v>3</x:v>
      </x:c>
      <x:c r="KC43" s="14" t="n">
        <x:v>2</x:v>
      </x:c>
      <x:c r="KD43" s="14" t="str">
        <x:v>未收錄</x:v>
      </x:c>
      <x:c r="KE43" s="14" t="str">
        <x:v>31559</x:v>
      </x:c>
      <x:c r="KF43" s="14" t="n">
        <x:v>20</x:v>
      </x:c>
      <x:c r="KG43" s="14" t="n">
        <x:v>1418</x:v>
      </x:c>
      <x:c r="KH43" s="14" t="n">
        <x:v>107</x:v>
      </x:c>
      <x:c r="KI43" s="14" t="n">
        <x:v>3</x:v>
      </x:c>
      <x:c r="KJ43" s="14" t="n">
        <x:v>3</x:v>
      </x:c>
      <x:c r="KK43" s="14" t="str">
        <x:v>未收錄</x:v>
      </x:c>
      <x:c r="KL43" s="14" t="str">
        <x:v>31569</x:v>
      </x:c>
      <x:c r="KM43" s="14" t="n">
        <x:v>20</x:v>
      </x:c>
      <x:c r="KN43" s="14" t="n">
        <x:v>1419</x:v>
      </x:c>
      <x:c r="KO43" s="14" t="n">
        <x:v>108</x:v>
      </x:c>
      <x:c r="KP43" s="14" t="n">
        <x:v>3</x:v>
      </x:c>
      <x:c r="KQ43" s="14" t="n">
        <x:v>4</x:v>
      </x:c>
      <x:c r="KR43" s="14" t="str">
        <x:v>未收錄</x:v>
      </x:c>
      <x:c r="KS43" s="14" t="str">
        <x:v>31560</x:v>
      </x:c>
      <x:c r="KT43" s="14" t="n">
        <x:v>20</x:v>
      </x:c>
      <x:c r="KU43" s="14" t="n">
        <x:v>1531</x:v>
      </x:c>
      <x:c r="KV43" s="14" t="n">
        <x:v>105</x:v>
      </x:c>
      <x:c r="KW43" s="14" t="n">
        <x:v>3</x:v>
      </x:c>
      <x:c r="KX43" s="14" t="n">
        <x:v>1</x:v>
      </x:c>
      <x:c r="KY43" s="14" t="str">
        <x:v>未收錄</x:v>
      </x:c>
      <x:c r="KZ43" s="14" t="str">
        <x:v>31570</x:v>
      </x:c>
      <x:c r="LA43" s="14" t="n">
        <x:v>20</x:v>
      </x:c>
      <x:c r="LB43" s="14" t="n">
        <x:v>1532</x:v>
      </x:c>
      <x:c r="LC43" s="14" t="n">
        <x:v>106</x:v>
      </x:c>
      <x:c r="LD43" s="14" t="n">
        <x:v>3</x:v>
      </x:c>
      <x:c r="LE43" s="14" t="n">
        <x:v>2</x:v>
      </x:c>
      <x:c r="LF43" s="14" t="str">
        <x:v>未收錄</x:v>
      </x:c>
      <x:c r="LG43" s="14" t="str">
        <x:v>31843</x:v>
      </x:c>
      <x:c r="LH43" s="14" t="n">
        <x:v>20</x:v>
      </x:c>
      <x:c r="LI43" s="14" t="n">
        <x:v>1533</x:v>
      </x:c>
      <x:c r="LJ43" s="14" t="n">
        <x:v>107</x:v>
      </x:c>
      <x:c r="LK43" s="14" t="n">
        <x:v>3</x:v>
      </x:c>
      <x:c r="LL43" s="14" t="n">
        <x:v>3</x:v>
      </x:c>
      <x:c r="LM43" s="14" t="str">
        <x:v>未收錄</x:v>
      </x:c>
      <x:c r="LN43" s="14" t="str">
        <x:v>31853</x:v>
      </x:c>
      <x:c r="LO43" s="14" t="n">
        <x:v>20</x:v>
      </x:c>
      <x:c r="LP43" s="14" t="n">
        <x:v>1534</x:v>
      </x:c>
      <x:c r="LQ43" s="14" t="n">
        <x:v>108</x:v>
      </x:c>
      <x:c r="LR43" s="14" t="n">
        <x:v>3</x:v>
      </x:c>
      <x:c r="LS43" s="14" t="n">
        <x:v>4</x:v>
      </x:c>
      <x:c r="LT43" s="14" t="str">
        <x:v>未收錄</x:v>
      </x:c>
      <x:c r="LU43" s="14" t="str">
        <x:v>31146</x:v>
      </x:c>
      <x:c r="LV43" s="14" t="n">
        <x:v>8</x:v>
      </x:c>
      <x:c r="LW43" s="14" t="n">
        <x:v>1644</x:v>
      </x:c>
      <x:c r="LX43" s="14" t="n">
        <x:v>105</x:v>
      </x:c>
      <x:c r="LY43" s="14" t="n">
        <x:v>3</x:v>
      </x:c>
      <x:c r="LZ43" s="14" t="n">
        <x:v>1</x:v>
      </x:c>
      <x:c r="MA43" s="14" t="str">
        <x:v>未收錄</x:v>
      </x:c>
      <x:c r="MB43" s="14" t="str">
        <x:v>31147</x:v>
      </x:c>
      <x:c r="MC43" s="14" t="n">
        <x:v>8</x:v>
      </x:c>
      <x:c r="MD43" s="14" t="n">
        <x:v>1645</x:v>
      </x:c>
      <x:c r="ME43" s="14" t="n">
        <x:v>106</x:v>
      </x:c>
      <x:c r="MF43" s="14" t="n">
        <x:v>3</x:v>
      </x:c>
      <x:c r="MG43" s="14" t="n">
        <x:v>2</x:v>
      </x:c>
      <x:c r="MH43" s="14" t="str">
        <x:v>未收錄</x:v>
      </x:c>
      <x:c r="MI43" s="14" t="str">
        <x:v>31148</x:v>
      </x:c>
      <x:c r="MJ43" s="14" t="n">
        <x:v>8</x:v>
      </x:c>
      <x:c r="MK43" s="14" t="n">
        <x:v>1646</x:v>
      </x:c>
      <x:c r="ML43" s="14" t="n">
        <x:v>107</x:v>
      </x:c>
      <x:c r="MM43" s="14" t="n">
        <x:v>3</x:v>
      </x:c>
      <x:c r="MN43" s="14" t="n">
        <x:v>3</x:v>
      </x:c>
      <x:c r="MO43" s="14" t="str">
        <x:v>未收錄</x:v>
      </x:c>
      <x:c r="MP43" s="14" t="str">
        <x:v>31149</x:v>
      </x:c>
      <x:c r="MQ43" s="14" t="n">
        <x:v>8</x:v>
      </x:c>
      <x:c r="MR43" s="14" t="n">
        <x:v>1647</x:v>
      </x:c>
      <x:c r="MS43" s="14" t="n">
        <x:v>108</x:v>
      </x:c>
      <x:c r="MT43" s="14" t="n">
        <x:v>3</x:v>
      </x:c>
      <x:c r="MU43" s="14" t="n">
        <x:v>4</x:v>
      </x:c>
      <x:c r="MV43" s="14" t="str">
        <x:v>未收錄</x:v>
      </x:c>
      <x:c r="MW43" s="14" t="str">
        <x:v>22146</x:v>
      </x:c>
      <x:c r="MX43" s="14" t="n">
        <x:v>5</x:v>
      </x:c>
      <x:c r="MY43" s="14" t="n">
        <x:v>1753</x:v>
      </x:c>
      <x:c r="MZ43" s="14" t="n">
        <x:v>105</x:v>
      </x:c>
      <x:c r="NA43" s="14" t="n">
        <x:v>3</x:v>
      </x:c>
      <x:c r="NB43" s="14" t="n">
        <x:v>1</x:v>
      </x:c>
      <x:c r="NC43" s="14" t="str">
        <x:v>未收錄</x:v>
      </x:c>
      <x:c r="ND43" s="14" t="str">
        <x:v>22147</x:v>
      </x:c>
      <x:c r="NE43" s="14" t="n">
        <x:v>5</x:v>
      </x:c>
      <x:c r="NF43" s="14" t="n">
        <x:v>1754</x:v>
      </x:c>
      <x:c r="NG43" s="14" t="n">
        <x:v>106</x:v>
      </x:c>
      <x:c r="NH43" s="14" t="n">
        <x:v>3</x:v>
      </x:c>
      <x:c r="NI43" s="14" t="n">
        <x:v>2</x:v>
      </x:c>
      <x:c r="NJ43" s="14" t="str">
        <x:v>未收錄</x:v>
      </x:c>
      <x:c r="NK43" s="14" t="str">
        <x:v>22148</x:v>
      </x:c>
      <x:c r="NL43" s="14" t="n">
        <x:v>5</x:v>
      </x:c>
      <x:c r="NM43" s="14" t="n">
        <x:v>1755</x:v>
      </x:c>
      <x:c r="NN43" s="14" t="n">
        <x:v>107</x:v>
      </x:c>
      <x:c r="NO43" s="14" t="n">
        <x:v>3</x:v>
      </x:c>
      <x:c r="NP43" s="14" t="n">
        <x:v>3</x:v>
      </x:c>
      <x:c r="NQ43" s="14" t="str">
        <x:v>未收錄</x:v>
      </x:c>
      <x:c r="NR43" s="14" t="str">
        <x:v>22149</x:v>
      </x:c>
      <x:c r="NS43" s="14" t="n">
        <x:v>5</x:v>
      </x:c>
      <x:c r="NT43" s="14" t="n">
        <x:v>1756</x:v>
      </x:c>
      <x:c r="NU43" s="14" t="n">
        <x:v>108</x:v>
      </x:c>
      <x:c r="NV43" s="14" t="n">
        <x:v>3</x:v>
      </x:c>
      <x:c r="NW43" s="14" t="n">
        <x:v>4</x:v>
      </x:c>
      <x:c r="NX43" s="14" t="str">
        <x:v>未收錄</x:v>
      </x:c>
      <x:c r="NY43" s="14" t="str">
        <x:v>22154</x:v>
      </x:c>
      <x:c r="NZ43" s="14" t="n">
        <x:v>5</x:v>
      </x:c>
      <x:c r="OA43" s="14" t="n">
        <x:v>2206</x:v>
      </x:c>
      <x:c r="OB43" s="14" t="n">
        <x:v>105</x:v>
      </x:c>
      <x:c r="OC43" s="14" t="n">
        <x:v>3</x:v>
      </x:c>
      <x:c r="OD43" s="14" t="n">
        <x:v>1</x:v>
      </x:c>
      <x:c r="OE43" s="14" t="str">
        <x:v>未收錄</x:v>
      </x:c>
      <x:c r="OF43" s="14" t="str">
        <x:v>22155</x:v>
      </x:c>
      <x:c r="OG43" s="14" t="n">
        <x:v>5</x:v>
      </x:c>
      <x:c r="OH43" s="14" t="n">
        <x:v>2207</x:v>
      </x:c>
      <x:c r="OI43" s="14" t="n">
        <x:v>106</x:v>
      </x:c>
      <x:c r="OJ43" s="14" t="n">
        <x:v>3</x:v>
      </x:c>
      <x:c r="OK43" s="14" t="n">
        <x:v>2</x:v>
      </x:c>
      <x:c r="OL43" s="14" t="str">
        <x:v>未收錄</x:v>
      </x:c>
      <x:c r="OM43" s="14" t="str">
        <x:v>22156</x:v>
      </x:c>
      <x:c r="ON43" s="14" t="n">
        <x:v>5</x:v>
      </x:c>
      <x:c r="OO43" s="14" t="n">
        <x:v>2208</x:v>
      </x:c>
      <x:c r="OP43" s="14" t="n">
        <x:v>107</x:v>
      </x:c>
      <x:c r="OQ43" s="14" t="n">
        <x:v>3</x:v>
      </x:c>
      <x:c r="OR43" s="14" t="n">
        <x:v>3</x:v>
      </x:c>
      <x:c r="OS43" s="14" t="str">
        <x:v>未收錄</x:v>
      </x:c>
      <x:c r="OT43" s="14" t="str">
        <x:v>22157</x:v>
      </x:c>
      <x:c r="OU43" s="14" t="n">
        <x:v>5</x:v>
      </x:c>
      <x:c r="OV43" s="14" t="n">
        <x:v>2209</x:v>
      </x:c>
      <x:c r="OW43" s="14" t="n">
        <x:v>108</x:v>
      </x:c>
      <x:c r="OX43" s="14" t="n">
        <x:v>3</x:v>
      </x:c>
      <x:c r="OY43" s="14" t="n">
        <x:v>4</x:v>
      </x:c>
      <x:c r="OZ43" s="14" t="str">
        <x:v>未收錄</x:v>
      </x:c>
      <x:c r="PA43" s="14" t="str">
        <x:v>22551</x:v>
      </x:c>
      <x:c r="PB43" s="14" t="n">
        <x:v>5</x:v>
      </x:c>
      <x:c r="PC43" s="14" t="n">
        <x:v>2752</x:v>
      </x:c>
      <x:c r="PD43" s="14" t="n">
        <x:v>105</x:v>
      </x:c>
      <x:c r="PE43" s="14" t="n">
        <x:v>3</x:v>
      </x:c>
      <x:c r="PF43" s="14" t="n">
        <x:v>1</x:v>
      </x:c>
      <x:c r="PG43" s="14" t="str">
        <x:v>未收錄</x:v>
      </x:c>
      <x:c r="PH43" s="14" t="str">
        <x:v>23365</x:v>
      </x:c>
      <x:c r="PI43" s="14" t="n">
        <x:v>10</x:v>
      </x:c>
      <x:c r="PJ43" s="14" t="n">
        <x:v>2753</x:v>
      </x:c>
      <x:c r="PK43" s="14" t="n">
        <x:v>106</x:v>
      </x:c>
      <x:c r="PL43" s="14" t="n">
        <x:v>3</x:v>
      </x:c>
      <x:c r="PM43" s="14" t="n">
        <x:v>2</x:v>
      </x:c>
      <x:c r="PN43" s="14" t="str">
        <x:v>未收錄</x:v>
      </x:c>
      <x:c r="PO43" s="14" t="str">
        <x:v>22961</x:v>
      </x:c>
      <x:c r="PP43" s="14" t="n">
        <x:v>5</x:v>
      </x:c>
      <x:c r="PQ43" s="14" t="n">
        <x:v>2754</x:v>
      </x:c>
      <x:c r="PR43" s="14" t="n">
        <x:v>107</x:v>
      </x:c>
      <x:c r="PS43" s="14" t="n">
        <x:v>3</x:v>
      </x:c>
      <x:c r="PT43" s="14" t="n">
        <x:v>3</x:v>
      </x:c>
      <x:c r="PU43" s="14" t="str">
        <x:v>未收錄</x:v>
      </x:c>
      <x:c r="PV43" s="14" t="str">
        <x:v>22962</x:v>
      </x:c>
      <x:c r="PW43" s="14" t="n">
        <x:v>5</x:v>
      </x:c>
      <x:c r="PX43" s="14" t="n">
        <x:v>2755</x:v>
      </x:c>
      <x:c r="PY43" s="14" t="n">
        <x:v>108</x:v>
      </x:c>
      <x:c r="PZ43" s="14" t="n">
        <x:v>3</x:v>
      </x:c>
      <x:c r="QA43" s="14" t="n">
        <x:v>4</x:v>
      </x:c>
      <x:c r="QB43" s="14" t="str">
        <x:v>未收錄</x:v>
      </x:c>
      <x:c r="QC43" s="14" t="str">
        <x:v>22559</x:v>
      </x:c>
      <x:c r="QD43" s="14" t="n">
        <x:v>5</x:v>
      </x:c>
      <x:c r="QE43" s="14" t="n">
        <x:v>3189</x:v>
      </x:c>
      <x:c r="QF43" s="14" t="n">
        <x:v>105</x:v>
      </x:c>
      <x:c r="QG43" s="14" t="n">
        <x:v>3</x:v>
      </x:c>
      <x:c r="QH43" s="14" t="n">
        <x:v>1</x:v>
      </x:c>
      <x:c r="QI43" s="14" t="str">
        <x:v>未收錄</x:v>
      </x:c>
      <x:c r="QJ43" s="14" t="str">
        <x:v>22560</x:v>
      </x:c>
      <x:c r="QK43" s="14" t="n">
        <x:v>5</x:v>
      </x:c>
      <x:c r="QL43" s="14" t="n">
        <x:v>3190</x:v>
      </x:c>
      <x:c r="QM43" s="14" t="n">
        <x:v>106</x:v>
      </x:c>
      <x:c r="QN43" s="14" t="n">
        <x:v>3</x:v>
      </x:c>
      <x:c r="QO43" s="14" t="n">
        <x:v>2</x:v>
      </x:c>
      <x:c r="QP43" s="14" t="str">
        <x:v>未收錄</x:v>
      </x:c>
      <x:c r="QQ43" s="14" t="str">
        <x:v>22561</x:v>
      </x:c>
      <x:c r="QR43" s="14" t="n">
        <x:v>5</x:v>
      </x:c>
      <x:c r="QS43" s="14" t="n">
        <x:v>3191</x:v>
      </x:c>
      <x:c r="QT43" s="14" t="n">
        <x:v>107</x:v>
      </x:c>
      <x:c r="QU43" s="14" t="n">
        <x:v>3</x:v>
      </x:c>
      <x:c r="QV43" s="14" t="n">
        <x:v>3</x:v>
      </x:c>
      <x:c r="QW43" s="14" t="str">
        <x:v>未收錄</x:v>
      </x:c>
      <x:c r="QX43" s="14" t="str">
        <x:v>22690</x:v>
      </x:c>
      <x:c r="QY43" s="14" t="n">
        <x:v>10</x:v>
      </x:c>
      <x:c r="QZ43" s="14" t="n">
        <x:v>3192</x:v>
      </x:c>
      <x:c r="RA43" s="14" t="n">
        <x:v>108</x:v>
      </x:c>
      <x:c r="RB43" s="14" t="n">
        <x:v>3</x:v>
      </x:c>
      <x:c r="RC43" s="14" t="n">
        <x:v>4</x:v>
      </x:c>
      <x:c r="RD43" s="14" t="str">
        <x:v>未收錄</x:v>
      </x:c>
      <x:c r="RE43" s="14" t="str">
        <x:v>23578</x:v>
      </x:c>
      <x:c r="RF43" s="14" t="n">
        <x:v>5</x:v>
      </x:c>
      <x:c r="RG43" s="14" t="n">
        <x:v>3650</x:v>
      </x:c>
      <x:c r="RH43" s="14" t="n">
        <x:v>105</x:v>
      </x:c>
      <x:c r="RI43" s="14" t="n">
        <x:v>3</x:v>
      </x:c>
      <x:c r="RJ43" s="14" t="n">
        <x:v>1</x:v>
      </x:c>
      <x:c r="RK43" s="14" t="str">
        <x:v>未收錄</x:v>
      </x:c>
      <x:c r="RL43" s="14" t="str">
        <x:v>23579</x:v>
      </x:c>
      <x:c r="RM43" s="14" t="n">
        <x:v>5</x:v>
      </x:c>
      <x:c r="RN43" s="14" t="n">
        <x:v>3651</x:v>
      </x:c>
      <x:c r="RO43" s="14" t="n">
        <x:v>106</x:v>
      </x:c>
      <x:c r="RP43" s="14" t="n">
        <x:v>3</x:v>
      </x:c>
      <x:c r="RQ43" s="14" t="n">
        <x:v>2</x:v>
      </x:c>
      <x:c r="RR43" s="14" t="str">
        <x:v>未收錄</x:v>
      </x:c>
      <x:c r="RS43" s="14" t="str">
        <x:v>23580</x:v>
      </x:c>
      <x:c r="RT43" s="14" t="n">
        <x:v>5</x:v>
      </x:c>
      <x:c r="RU43" s="14" t="n">
        <x:v>3652</x:v>
      </x:c>
      <x:c r="RV43" s="14" t="n">
        <x:v>107</x:v>
      </x:c>
      <x:c r="RW43" s="14" t="n">
        <x:v>3</x:v>
      </x:c>
      <x:c r="RX43" s="14" t="n">
        <x:v>3</x:v>
      </x:c>
      <x:c r="RY43" s="14" t="str">
        <x:v>未收錄</x:v>
      </x:c>
      <x:c r="RZ43" s="14" t="str">
        <x:v>23581</x:v>
      </x:c>
      <x:c r="SA43" s="14" t="n">
        <x:v>5</x:v>
      </x:c>
      <x:c r="SB43" s="14" t="n">
        <x:v>3653</x:v>
      </x:c>
      <x:c r="SC43" s="14" t="n">
        <x:v>108</x:v>
      </x:c>
      <x:c r="SD43" s="14" t="n">
        <x:v>3</x:v>
      </x:c>
      <x:c r="SE43" s="14" t="n">
        <x:v>4</x:v>
      </x:c>
      <x:c r="SF43" s="14" t="str">
        <x:v>未收錄</x:v>
      </x:c>
      <x:c r="SG43" s="14"/>
      <x:c r="SH43" s="14"/>
      <x:c r="SI43" s="14"/>
      <x:c r="SJ43" s="14"/>
      <x:c r="SK43" s="14"/>
      <x:c r="SL43" s="14"/>
      <x:c r="SM43" s="14"/>
      <x:c r="SN43" s="14"/>
      <x:c r="SO43" s="14"/>
      <x:c r="SP43" s="14"/>
      <x:c r="SQ43" s="14"/>
      <x:c r="SR43" s="14"/>
      <x:c r="SS43" s="14"/>
      <x:c r="ST43" s="14"/>
      <x:c r="SU43" s="14"/>
      <x:c r="SV43" s="14"/>
      <x:c r="SW43" s="14"/>
      <x:c r="SX43" s="14"/>
      <x:c r="SY43" s="14"/>
      <x:c r="SZ43" s="14"/>
      <x:c r="TA43" s="14"/>
      <x:c r="TB43" s="14"/>
      <x:c r="TC43" s="14"/>
      <x:c r="TD43" s="14"/>
      <x:c r="TE43" s="14"/>
      <x:c r="TF43" s="14"/>
      <x:c r="TG43" s="14"/>
      <x:c r="TH43" s="14"/>
    </x:row>
    <x:row r="44" ht="15" customHeight="1">
      <x:c r="A44" s="18" t="str">
        <x:v>動靜止觀劍</x:v>
      </x:c>
      <x:c r="B44" s="18" t="str">
        <x:v>心無罣礙劍</x:v>
      </x:c>
      <x:c r="C44" s="18" t="str">
        <x:v>蓮燁劍</x:v>
      </x:c>
      <x:c r="D44" s="18" t="str">
        <x:v>法界真皇劍</x:v>
      </x:c>
      <x:c r="E44" s="14"/>
      <x:c r="F44" s="18" t="str">
        <x:v>魑魅刀</x:v>
      </x:c>
      <x:c r="G44" s="18" t="str">
        <x:v>閻魔羅闍刀</x:v>
      </x:c>
      <x:c r="H44" s="18" t="str">
        <x:v>萬業江山刀</x:v>
      </x:c>
      <x:c r="I44" s="18" t="str">
        <x:v>妖滅天殛魔刀</x:v>
      </x:c>
      <x:c r="J44" s="14"/>
      <x:c r="K44" s="18" t="str">
        <x:v>騩山崇吾鋒</x:v>
      </x:c>
      <x:c r="L44" s="18" t="str">
        <x:v>地闇令‧獵命</x:v>
      </x:c>
      <x:c r="M44" s="18" t="str">
        <x:v>狼鎖‧格雷普</x:v>
      </x:c>
      <x:c r="N44" s="18" t="str">
        <x:v>狼鎖‧格雷普</x:v>
      </x:c>
      <x:c r="O44" s="14"/>
      <x:c r="P44" s="18" t="str">
        <x:v>舞真碧羽扇</x:v>
      </x:c>
      <x:c r="Q44" s="18" t="str">
        <x:v>仙導天督扇</x:v>
      </x:c>
      <x:c r="R44" s="18" t="str">
        <x:v>宗拂降三世</x:v>
      </x:c>
      <x:c r="S44" s="18" t="str">
        <x:v>無嗔阿觸絲</x:v>
      </x:c>
      <x:c r="T44" s="14"/>
      <x:c r="U44" s="18" t="str">
        <x:v>太古松明杖</x:v>
      </x:c>
      <x:c r="V44" s="18" t="str">
        <x:v>皇樓天燈杖</x:v>
      </x:c>
      <x:c r="W44" s="18" t="str">
        <x:v>普照九華杖</x:v>
      </x:c>
      <x:c r="X44" s="18" t="str">
        <x:v>恆杖明王尊</x:v>
      </x:c>
      <x:c r="Y44" s="14"/>
      <x:c r="Z44" s="18" t="str">
        <x:v>貫索槍☆</x:v>
      </x:c>
      <x:c r="AA44" s="18" t="str">
        <x:v>貫索槍☆☆</x:v>
      </x:c>
      <x:c r="AB44" s="18" t="str">
        <x:v>貫索槍☆☆☆</x:v>
      </x:c>
      <x:c r="AC44" s="18" t="str">
        <x:v>權霸槍☆</x:v>
      </x:c>
      <x:c r="AD44" s="14"/>
      <x:c r="AE44" s="18" t="str">
        <x:v>傾城棍☆</x:v>
      </x:c>
      <x:c r="AF44" s="18" t="str">
        <x:v>傾城棍★</x:v>
      </x:c>
      <x:c r="AG44" s="18" t="str">
        <x:v>傾城棍★☆</x:v>
      </x:c>
      <x:c r="AH44" s="18" t="str">
        <x:v>傾城棍★★</x:v>
      </x:c>
      <x:c r="AI44" s="14"/>
      <x:c r="AJ44" s="18" t="str">
        <x:v>嘲風逐黎錘</x:v>
      </x:c>
      <x:c r="AK44" s="18" t="str">
        <x:v>嘲風逐黎錘</x:v>
      </x:c>
      <x:c r="AL44" s="18" t="str">
        <x:v>破魔獨錘Ⅰ</x:v>
      </x:c>
      <x:c r="AM44" s="18" t="str">
        <x:v>破魔獨錘Ⅱ</x:v>
      </x:c>
      <x:c r="AN44" s="14"/>
      <x:c r="AO44" s="18" t="str">
        <x:v>方舟舵斧Ⅰ</x:v>
      </x:c>
      <x:c r="AP44" s="18" t="str">
        <x:v>方舟舵斧Ⅱ</x:v>
      </x:c>
      <x:c r="AQ44" s="18" t="str">
        <x:v>方舟舵斧Ⅲ</x:v>
      </x:c>
      <x:c r="AR44" s="18" t="str">
        <x:v>方舟舵斧Ⅳ</x:v>
      </x:c>
      <x:c r="AS44" s="14"/>
      <x:c r="AT44" s="18" t="str">
        <x:v>古主臨盾Ⅴ</x:v>
      </x:c>
      <x:c r="AU44" s="18"/>
      <x:c r="AV44" s="18"/>
      <x:c r="AW44" s="18"/>
      <x:c r="AX44" s="14"/>
      <x:c r="AY44" s="18" t="str">
        <x:v>天羅覆面</x:v>
      </x:c>
      <x:c r="AZ44" s="18" t="str">
        <x:v>鴻翼戰盔</x:v>
      </x:c>
      <x:c r="BA44" s="18" t="str">
        <x:v>德津戰盔</x:v>
      </x:c>
      <x:c r="BB44" s="18" t="str">
        <x:v>綱岐戰盔</x:v>
      </x:c>
      <x:c r="BC44" s="14"/>
      <x:c r="BD44" s="18" t="str">
        <x:v>翡翠錦袍</x:v>
      </x:c>
      <x:c r="BE44" s="18" t="str">
        <x:v>萬佛禪衣</x:v>
      </x:c>
      <x:c r="BF44" s="18" t="str">
        <x:v>天羅輕甲</x:v>
      </x:c>
      <x:c r="BG44" s="18" t="str">
        <x:v>無相袈裟</x:v>
      </x:c>
      <x:c r="BH44" s="14"/>
      <x:c r="BI44" s="18" t="str">
        <x:v>驚雷腕胄</x:v>
      </x:c>
      <x:c r="BJ44" s="18" t="str">
        <x:v>翔雲護腕</x:v>
      </x:c>
      <x:c r="BK44" s="18" t="str">
        <x:v>瑞雲護腕</x:v>
      </x:c>
      <x:c r="BL44" s="18" t="str">
        <x:v>飛雲護腕</x:v>
      </x:c>
      <x:c r="BM44" s="14"/>
      <x:c r="BN44" s="18" t="str">
        <x:v>烈雷脛甲</x:v>
      </x:c>
      <x:c r="BO44" s="18" t="str">
        <x:v>震雷脛甲</x:v>
      </x:c>
      <x:c r="BP44" s="18" t="str">
        <x:v>驚雷脛甲</x:v>
      </x:c>
      <x:c r="BQ44" s="18" t="str">
        <x:v>翔雲戰靴</x:v>
      </x:c>
      <x:c r="BR44" s="14"/>
      <x:c r="BS44" s="18" t="str">
        <x:v>永劫指環</x:v>
      </x:c>
      <x:c r="BT44" s="18" t="str">
        <x:v>神泣項鍊</x:v>
      </x:c>
      <x:c r="BU44" s="18" t="str">
        <x:v>墮業天珠</x:v>
      </x:c>
      <x:c r="BV44" s="18" t="str">
        <x:v>天慟墜鍊</x:v>
      </x:c>
      <x:c r="BW44" s="14"/>
      <x:c r="BX44" s="14"/>
      <x:c r="BY44" s="14"/>
      <x:c r="BZ44" s="14"/>
      <x:c r="CA44" s="14"/>
      <x:c r="CB44" s="14"/>
      <x:c r="CC44" s="14" t="str">
        <x:v>23141</x:v>
      </x:c>
      <x:c r="CD44" s="14" t="n">
        <x:v>8</x:v>
      </x:c>
      <x:c r="CE44" s="14" t="n">
        <x:v>109</x:v>
      </x:c>
      <x:c r="CF44" s="14" t="n">
        <x:v>109</x:v>
      </x:c>
      <x:c r="CG44" s="14" t="n">
        <x:v>4</x:v>
      </x:c>
      <x:c r="CH44" s="14" t="n">
        <x:v>1</x:v>
      </x:c>
      <x:c r="CI44" s="14" t="str">
        <x:v>未收錄</x:v>
      </x:c>
      <x:c r="CJ44" s="14" t="str">
        <x:v>23142</x:v>
      </x:c>
      <x:c r="CK44" s="14" t="n">
        <x:v>8</x:v>
      </x:c>
      <x:c r="CL44" s="14" t="n">
        <x:v>110</x:v>
      </x:c>
      <x:c r="CM44" s="14" t="n">
        <x:v>110</x:v>
      </x:c>
      <x:c r="CN44" s="14" t="n">
        <x:v>4</x:v>
      </x:c>
      <x:c r="CO44" s="14" t="n">
        <x:v>2</x:v>
      </x:c>
      <x:c r="CP44" s="14" t="str">
        <x:v>未收錄</x:v>
      </x:c>
      <x:c r="CQ44" s="14" t="str">
        <x:v>23143</x:v>
      </x:c>
      <x:c r="CR44" s="14" t="n">
        <x:v>8</x:v>
      </x:c>
      <x:c r="CS44" s="14" t="n">
        <x:v>111</x:v>
      </x:c>
      <x:c r="CT44" s="14" t="n">
        <x:v>111</x:v>
      </x:c>
      <x:c r="CU44" s="14" t="n">
        <x:v>4</x:v>
      </x:c>
      <x:c r="CV44" s="14" t="n">
        <x:v>3</x:v>
      </x:c>
      <x:c r="CW44" s="14" t="str">
        <x:v>未收錄</x:v>
      </x:c>
      <x:c r="CX44" s="14" t="str">
        <x:v>23144</x:v>
      </x:c>
      <x:c r="CY44" s="14" t="n">
        <x:v>8</x:v>
      </x:c>
      <x:c r="CZ44" s="14" t="n">
        <x:v>112</x:v>
      </x:c>
      <x:c r="DA44" s="14" t="n">
        <x:v>112</x:v>
      </x:c>
      <x:c r="DB44" s="14" t="n">
        <x:v>4</x:v>
      </x:c>
      <x:c r="DC44" s="14" t="n">
        <x:v>4</x:v>
      </x:c>
      <x:c r="DD44" s="14" t="str">
        <x:v>未收錄</x:v>
      </x:c>
      <x:c r="DE44" s="14" t="str">
        <x:v>23595</x:v>
      </x:c>
      <x:c r="DF44" s="14" t="n">
        <x:v>8</x:v>
      </x:c>
      <x:c r="DG44" s="14" t="n">
        <x:v>354</x:v>
      </x:c>
      <x:c r="DH44" s="14" t="n">
        <x:v>109</x:v>
      </x:c>
      <x:c r="DI44" s="14" t="n">
        <x:v>4</x:v>
      </x:c>
      <x:c r="DJ44" s="14" t="n">
        <x:v>1</x:v>
      </x:c>
      <x:c r="DK44" s="14" t="str">
        <x:v>未收錄</x:v>
      </x:c>
      <x:c r="DL44" s="14" t="str">
        <x:v>23596</x:v>
      </x:c>
      <x:c r="DM44" s="14" t="n">
        <x:v>8</x:v>
      </x:c>
      <x:c r="DN44" s="14" t="n">
        <x:v>355</x:v>
      </x:c>
      <x:c r="DO44" s="14" t="n">
        <x:v>110</x:v>
      </x:c>
      <x:c r="DP44" s="14" t="n">
        <x:v>4</x:v>
      </x:c>
      <x:c r="DQ44" s="14" t="n">
        <x:v>2</x:v>
      </x:c>
      <x:c r="DR44" s="14" t="str">
        <x:v>未收錄</x:v>
      </x:c>
      <x:c r="DS44" s="14" t="str">
        <x:v>23597</x:v>
      </x:c>
      <x:c r="DT44" s="14" t="n">
        <x:v>8</x:v>
      </x:c>
      <x:c r="DU44" s="14" t="n">
        <x:v>356</x:v>
      </x:c>
      <x:c r="DV44" s="14" t="n">
        <x:v>111</x:v>
      </x:c>
      <x:c r="DW44" s="14" t="n">
        <x:v>4</x:v>
      </x:c>
      <x:c r="DX44" s="14" t="n">
        <x:v>3</x:v>
      </x:c>
      <x:c r="DY44" s="14" t="str">
        <x:v>未收錄</x:v>
      </x:c>
      <x:c r="DZ44" s="14" t="str">
        <x:v>23912</x:v>
      </x:c>
      <x:c r="EA44" s="14" t="n">
        <x:v>8</x:v>
      </x:c>
      <x:c r="EB44" s="14" t="n">
        <x:v>357</x:v>
      </x:c>
      <x:c r="EC44" s="14" t="n">
        <x:v>112</x:v>
      </x:c>
      <x:c r="ED44" s="14" t="n">
        <x:v>4</x:v>
      </x:c>
      <x:c r="EE44" s="14" t="n">
        <x:v>4</x:v>
      </x:c>
      <x:c r="EF44" s="14" t="str">
        <x:v>未收錄</x:v>
      </x:c>
      <x:c r="EG44" s="14" t="str">
        <x:v>27996</x:v>
      </x:c>
      <x:c r="EH44" s="14" t="n">
        <x:v>20</x:v>
      </x:c>
      <x:c r="EI44" s="14" t="n">
        <x:v>590</x:v>
      </x:c>
      <x:c r="EJ44" s="14" t="n">
        <x:v>109</x:v>
      </x:c>
      <x:c r="EK44" s="14" t="n">
        <x:v>4</x:v>
      </x:c>
      <x:c r="EL44" s="14" t="n">
        <x:v>1</x:v>
      </x:c>
      <x:c r="EM44" s="14" t="str">
        <x:v>未收錄</x:v>
      </x:c>
      <x:c r="EN44" s="14" t="str">
        <x:v>28154</x:v>
      </x:c>
      <x:c r="EO44" s="14" t="n">
        <x:v>20</x:v>
      </x:c>
      <x:c r="EP44" s="14" t="n">
        <x:v>591</x:v>
      </x:c>
      <x:c r="EQ44" s="14" t="n">
        <x:v>110</x:v>
      </x:c>
      <x:c r="ER44" s="14" t="n">
        <x:v>4</x:v>
      </x:c>
      <x:c r="ES44" s="14" t="n">
        <x:v>2</x:v>
      </x:c>
      <x:c r="ET44" s="14" t="str">
        <x:v>未收錄</x:v>
      </x:c>
      <x:c r="EU44" s="14" t="str">
        <x:v>28491</x:v>
      </x:c>
      <x:c r="EV44" s="14" t="n">
        <x:v>20</x:v>
      </x:c>
      <x:c r="EW44" s="14" t="n">
        <x:v>592</x:v>
      </x:c>
      <x:c r="EX44" s="14" t="n">
        <x:v>111</x:v>
      </x:c>
      <x:c r="EY44" s="14" t="n">
        <x:v>4</x:v>
      </x:c>
      <x:c r="EZ44" s="14" t="n">
        <x:v>3</x:v>
      </x:c>
      <x:c r="FA44" s="14" t="str">
        <x:v>未收錄</x:v>
      </x:c>
      <x:c r="FB44" s="14" t="str">
        <x:v>28778</x:v>
      </x:c>
      <x:c r="FC44" s="14" t="n">
        <x:v>20</x:v>
      </x:c>
      <x:c r="FD44" s="14" t="n">
        <x:v>593</x:v>
      </x:c>
      <x:c r="FE44" s="14" t="n">
        <x:v>112</x:v>
      </x:c>
      <x:c r="FF44" s="14" t="n">
        <x:v>4</x:v>
      </x:c>
      <x:c r="FG44" s="14" t="n">
        <x:v>4</x:v>
      </x:c>
      <x:c r="FH44" s="14" t="str">
        <x:v>未收錄</x:v>
      </x:c>
      <x:c r="FI44" s="14" t="str">
        <x:v>26616</x:v>
      </x:c>
      <x:c r="FJ44" s="14" t="n">
        <x:v>8</x:v>
      </x:c>
      <x:c r="FK44" s="14" t="n">
        <x:v>740</x:v>
      </x:c>
      <x:c r="FL44" s="14" t="n">
        <x:v>109</x:v>
      </x:c>
      <x:c r="FM44" s="14" t="n">
        <x:v>4</x:v>
      </x:c>
      <x:c r="FN44" s="14" t="n">
        <x:v>1</x:v>
      </x:c>
      <x:c r="FO44" s="14" t="str">
        <x:v>未收錄</x:v>
      </x:c>
      <x:c r="FP44" s="14" t="str">
        <x:v>26617</x:v>
      </x:c>
      <x:c r="FQ44" s="14" t="n">
        <x:v>8</x:v>
      </x:c>
      <x:c r="FR44" s="14" t="n">
        <x:v>741</x:v>
      </x:c>
      <x:c r="FS44" s="14" t="n">
        <x:v>110</x:v>
      </x:c>
      <x:c r="FT44" s="14" t="n">
        <x:v>4</x:v>
      </x:c>
      <x:c r="FU44" s="14" t="n">
        <x:v>2</x:v>
      </x:c>
      <x:c r="FV44" s="14" t="str">
        <x:v>未收錄</x:v>
      </x:c>
      <x:c r="FW44" s="14" t="str">
        <x:v>26934</x:v>
      </x:c>
      <x:c r="FX44" s="14" t="n">
        <x:v>8</x:v>
      </x:c>
      <x:c r="FY44" s="14" t="n">
        <x:v>742</x:v>
      </x:c>
      <x:c r="FZ44" s="14" t="n">
        <x:v>111</x:v>
      </x:c>
      <x:c r="GA44" s="14" t="n">
        <x:v>4</x:v>
      </x:c>
      <x:c r="GB44" s="14" t="n">
        <x:v>3</x:v>
      </x:c>
      <x:c r="GC44" s="14" t="str">
        <x:v>未收錄</x:v>
      </x:c>
      <x:c r="GD44" s="14" t="str">
        <x:v>26935</x:v>
      </x:c>
      <x:c r="GE44" s="14" t="n">
        <x:v>8</x:v>
      </x:c>
      <x:c r="GF44" s="14" t="n">
        <x:v>743</x:v>
      </x:c>
      <x:c r="GG44" s="14" t="n">
        <x:v>112</x:v>
      </x:c>
      <x:c r="GH44" s="14" t="n">
        <x:v>4</x:v>
      </x:c>
      <x:c r="GI44" s="14" t="n">
        <x:v>4</x:v>
      </x:c>
      <x:c r="GJ44" s="14" t="str">
        <x:v>未收錄</x:v>
      </x:c>
      <x:c r="GK44" s="14" t="str">
        <x:v>26732</x:v>
      </x:c>
      <x:c r="GL44" s="14" t="n">
        <x:v>3</x:v>
      </x:c>
      <x:c r="GM44" s="14" t="n">
        <x:v>912</x:v>
      </x:c>
      <x:c r="GN44" s="14" t="n">
        <x:v>109</x:v>
      </x:c>
      <x:c r="GO44" s="14" t="n">
        <x:v>4</x:v>
      </x:c>
      <x:c r="GP44" s="14" t="n">
        <x:v>1</x:v>
      </x:c>
      <x:c r="GQ44" s="14" t="str">
        <x:v>未收錄</x:v>
      </x:c>
      <x:c r="GR44" s="14" t="str">
        <x:v>26622</x:v>
      </x:c>
      <x:c r="GS44" s="14" t="n">
        <x:v>8</x:v>
      </x:c>
      <x:c r="GT44" s="14" t="n">
        <x:v>913</x:v>
      </x:c>
      <x:c r="GU44" s="14" t="n">
        <x:v>110</x:v>
      </x:c>
      <x:c r="GV44" s="14" t="n">
        <x:v>4</x:v>
      </x:c>
      <x:c r="GW44" s="14" t="n">
        <x:v>2</x:v>
      </x:c>
      <x:c r="GX44" s="14" t="str">
        <x:v>未收錄</x:v>
      </x:c>
      <x:c r="GY44" s="14" t="str">
        <x:v>26623</x:v>
      </x:c>
      <x:c r="GZ44" s="14" t="n">
        <x:v>8</x:v>
      </x:c>
      <x:c r="HA44" s="14" t="n">
        <x:v>914</x:v>
      </x:c>
      <x:c r="HB44" s="14" t="n">
        <x:v>111</x:v>
      </x:c>
      <x:c r="HC44" s="14" t="n">
        <x:v>4</x:v>
      </x:c>
      <x:c r="HD44" s="14" t="n">
        <x:v>3</x:v>
      </x:c>
      <x:c r="HE44" s="14" t="str">
        <x:v>未收錄</x:v>
      </x:c>
      <x:c r="HF44" s="14" t="str">
        <x:v>26936</x:v>
      </x:c>
      <x:c r="HG44" s="14" t="n">
        <x:v>8</x:v>
      </x:c>
      <x:c r="HH44" s="14" t="n">
        <x:v>915</x:v>
      </x:c>
      <x:c r="HI44" s="14" t="n">
        <x:v>112</x:v>
      </x:c>
      <x:c r="HJ44" s="14" t="n">
        <x:v>4</x:v>
      </x:c>
      <x:c r="HK44" s="14" t="n">
        <x:v>4</x:v>
      </x:c>
      <x:c r="HL44" s="14" t="str">
        <x:v>未收錄</x:v>
      </x:c>
      <x:c r="HM44" s="14" t="str">
        <x:v>28826</x:v>
      </x:c>
      <x:c r="HN44" s="14" t="n">
        <x:v>8</x:v>
      </x:c>
      <x:c r="HO44" s="14" t="n">
        <x:v>1085</x:v>
      </x:c>
      <x:c r="HP44" s="14" t="n">
        <x:v>109</x:v>
      </x:c>
      <x:c r="HQ44" s="14" t="n">
        <x:v>4</x:v>
      </x:c>
      <x:c r="HR44" s="14" t="n">
        <x:v>1</x:v>
      </x:c>
      <x:c r="HS44" s="14" t="str">
        <x:v>未收錄</x:v>
      </x:c>
      <x:c r="HT44" s="14" t="str">
        <x:v>28827</x:v>
      </x:c>
      <x:c r="HU44" s="14" t="n">
        <x:v>8</x:v>
      </x:c>
      <x:c r="HV44" s="14" t="n">
        <x:v>1086</x:v>
      </x:c>
      <x:c r="HW44" s="14" t="n">
        <x:v>110</x:v>
      </x:c>
      <x:c r="HX44" s="14" t="n">
        <x:v>4</x:v>
      </x:c>
      <x:c r="HY44" s="14" t="n">
        <x:v>2</x:v>
      </x:c>
      <x:c r="HZ44" s="14" t="str">
        <x:v>未收錄</x:v>
      </x:c>
      <x:c r="IA44" s="14" t="str">
        <x:v>28828</x:v>
      </x:c>
      <x:c r="IB44" s="14" t="n">
        <x:v>8</x:v>
      </x:c>
      <x:c r="IC44" s="14" t="n">
        <x:v>1087</x:v>
      </x:c>
      <x:c r="ID44" s="14" t="n">
        <x:v>111</x:v>
      </x:c>
      <x:c r="IE44" s="14" t="n">
        <x:v>4</x:v>
      </x:c>
      <x:c r="IF44" s="14" t="n">
        <x:v>3</x:v>
      </x:c>
      <x:c r="IG44" s="14" t="str">
        <x:v>未收錄</x:v>
      </x:c>
      <x:c r="IH44" s="14" t="str">
        <x:v>29373</x:v>
      </x:c>
      <x:c r="II44" s="14" t="n">
        <x:v>8</x:v>
      </x:c>
      <x:c r="IJ44" s="14" t="n">
        <x:v>1088</x:v>
      </x:c>
      <x:c r="IK44" s="14" t="n">
        <x:v>112</x:v>
      </x:c>
      <x:c r="IL44" s="14" t="n">
        <x:v>4</x:v>
      </x:c>
      <x:c r="IM44" s="14" t="n">
        <x:v>4</x:v>
      </x:c>
      <x:c r="IN44" s="14" t="str">
        <x:v>未收錄</x:v>
      </x:c>
      <x:c r="IO44" s="14" t="str">
        <x:v>29379</x:v>
      </x:c>
      <x:c r="IP44" s="14" t="n">
        <x:v>8</x:v>
      </x:c>
      <x:c r="IQ44" s="14" t="n">
        <x:v>1253</x:v>
      </x:c>
      <x:c r="IR44" s="14" t="n">
        <x:v>109</x:v>
      </x:c>
      <x:c r="IS44" s="14" t="n">
        <x:v>4</x:v>
      </x:c>
      <x:c r="IT44" s="14" t="n">
        <x:v>1</x:v>
      </x:c>
      <x:c r="IU44" s="14" t="str">
        <x:v>未收錄</x:v>
      </x:c>
      <x:c r="IV44" s="14" t="str">
        <x:v>29380</x:v>
      </x:c>
      <x:c r="IW44" s="14" t="n">
        <x:v>8</x:v>
      </x:c>
      <x:c r="IX44" s="14" t="n">
        <x:v>1254</x:v>
      </x:c>
      <x:c r="IY44" s="14" t="n">
        <x:v>110</x:v>
      </x:c>
      <x:c r="IZ44" s="14" t="n">
        <x:v>4</x:v>
      </x:c>
      <x:c r="JA44" s="14" t="n">
        <x:v>2</x:v>
      </x:c>
      <x:c r="JB44" s="14" t="str">
        <x:v>未收錄</x:v>
      </x:c>
      <x:c r="JC44" s="14" t="str">
        <x:v>29381</x:v>
      </x:c>
      <x:c r="JD44" s="14" t="n">
        <x:v>8</x:v>
      </x:c>
      <x:c r="JE44" s="14" t="n">
        <x:v>1255</x:v>
      </x:c>
      <x:c r="JF44" s="14" t="n">
        <x:v>111</x:v>
      </x:c>
      <x:c r="JG44" s="14" t="n">
        <x:v>4</x:v>
      </x:c>
      <x:c r="JH44" s="14" t="n">
        <x:v>3</x:v>
      </x:c>
      <x:c r="JI44" s="14" t="str">
        <x:v>未收錄</x:v>
      </x:c>
      <x:c r="JJ44" s="14" t="str">
        <x:v>29382</x:v>
      </x:c>
      <x:c r="JK44" s="14" t="n">
        <x:v>8</x:v>
      </x:c>
      <x:c r="JL44" s="14" t="n">
        <x:v>1256</x:v>
      </x:c>
      <x:c r="JM44" s="14" t="n">
        <x:v>112</x:v>
      </x:c>
      <x:c r="JN44" s="14" t="n">
        <x:v>4</x:v>
      </x:c>
      <x:c r="JO44" s="14" t="n">
        <x:v>4</x:v>
      </x:c>
      <x:c r="JP44" s="14" t="str">
        <x:v>未收錄</x:v>
      </x:c>
      <x:c r="JQ44" s="14" t="str">
        <x:v>31842</x:v>
      </x:c>
      <x:c r="JR44" s="14" t="n">
        <x:v>20</x:v>
      </x:c>
      <x:c r="JS44" s="14" t="n">
        <x:v>1420</x:v>
      </x:c>
      <x:c r="JT44" s="14" t="n">
        <x:v>109</x:v>
      </x:c>
      <x:c r="JU44" s="14" t="n">
        <x:v>4</x:v>
      </x:c>
      <x:c r="JV44" s="14" t="n">
        <x:v>1</x:v>
      </x:c>
      <x:c r="JW44" s="14" t="str">
        <x:v>未收錄</x:v>
      </x:c>
      <x:c r="JX44" s="14" t="str">
        <x:v>31852</x:v>
      </x:c>
      <x:c r="JY44" s="14" t="n">
        <x:v>20</x:v>
      </x:c>
      <x:c r="JZ44" s="14" t="n">
        <x:v>1421</x:v>
      </x:c>
      <x:c r="KA44" s="14" t="n">
        <x:v>110</x:v>
      </x:c>
      <x:c r="KB44" s="14" t="n">
        <x:v>4</x:v>
      </x:c>
      <x:c r="KC44" s="14" t="n">
        <x:v>2</x:v>
      </x:c>
      <x:c r="KD44" s="14" t="str">
        <x:v>未收錄</x:v>
      </x:c>
      <x:c r="KE44" s="14" t="str">
        <x:v>31136</x:v>
      </x:c>
      <x:c r="KF44" s="14" t="n">
        <x:v>8</x:v>
      </x:c>
      <x:c r="KG44" s="14" t="n">
        <x:v>1422</x:v>
      </x:c>
      <x:c r="KH44" s="14" t="n">
        <x:v>111</x:v>
      </x:c>
      <x:c r="KI44" s="14" t="n">
        <x:v>4</x:v>
      </x:c>
      <x:c r="KJ44" s="14" t="n">
        <x:v>3</x:v>
      </x:c>
      <x:c r="KK44" s="14" t="str">
        <x:v>未收錄</x:v>
      </x:c>
      <x:c r="KL44" s="14" t="str">
        <x:v>31137</x:v>
      </x:c>
      <x:c r="KM44" s="14" t="n">
        <x:v>8</x:v>
      </x:c>
      <x:c r="KN44" s="14" t="n">
        <x:v>1423</x:v>
      </x:c>
      <x:c r="KO44" s="14" t="n">
        <x:v>112</x:v>
      </x:c>
      <x:c r="KP44" s="14" t="n">
        <x:v>4</x:v>
      </x:c>
      <x:c r="KQ44" s="14" t="n">
        <x:v>4</x:v>
      </x:c>
      <x:c r="KR44" s="14" t="str">
        <x:v>未收錄</x:v>
      </x:c>
      <x:c r="KS44" s="14" t="str">
        <x:v>31141</x:v>
      </x:c>
      <x:c r="KT44" s="14" t="n">
        <x:v>8</x:v>
      </x:c>
      <x:c r="KU44" s="14" t="n">
        <x:v>1535</x:v>
      </x:c>
      <x:c r="KV44" s="14" t="n">
        <x:v>109</x:v>
      </x:c>
      <x:c r="KW44" s="14" t="n">
        <x:v>4</x:v>
      </x:c>
      <x:c r="KX44" s="14" t="n">
        <x:v>1</x:v>
      </x:c>
      <x:c r="KY44" s="14" t="str">
        <x:v>未收錄</x:v>
      </x:c>
      <x:c r="KZ44" s="14" t="str">
        <x:v>31142</x:v>
      </x:c>
      <x:c r="LA44" s="14" t="n">
        <x:v>8</x:v>
      </x:c>
      <x:c r="LB44" s="14" t="n">
        <x:v>1536</x:v>
      </x:c>
      <x:c r="LC44" s="14" t="n">
        <x:v>110</x:v>
      </x:c>
      <x:c r="LD44" s="14" t="n">
        <x:v>4</x:v>
      </x:c>
      <x:c r="LE44" s="14" t="n">
        <x:v>2</x:v>
      </x:c>
      <x:c r="LF44" s="14" t="str">
        <x:v>未收錄</x:v>
      </x:c>
      <x:c r="LG44" s="14" t="str">
        <x:v>31143</x:v>
      </x:c>
      <x:c r="LH44" s="14" t="n">
        <x:v>8</x:v>
      </x:c>
      <x:c r="LI44" s="14" t="n">
        <x:v>1537</x:v>
      </x:c>
      <x:c r="LJ44" s="14" t="n">
        <x:v>111</x:v>
      </x:c>
      <x:c r="LK44" s="14" t="n">
        <x:v>4</x:v>
      </x:c>
      <x:c r="LL44" s="14" t="n">
        <x:v>3</x:v>
      </x:c>
      <x:c r="LM44" s="14" t="str">
        <x:v>未收錄</x:v>
      </x:c>
      <x:c r="LN44" s="14" t="str">
        <x:v>31144</x:v>
      </x:c>
      <x:c r="LO44" s="14" t="n">
        <x:v>8</x:v>
      </x:c>
      <x:c r="LP44" s="14" t="n">
        <x:v>1538</x:v>
      </x:c>
      <x:c r="LQ44" s="14" t="n">
        <x:v>112</x:v>
      </x:c>
      <x:c r="LR44" s="14" t="n">
        <x:v>4</x:v>
      </x:c>
      <x:c r="LS44" s="14" t="n">
        <x:v>4</x:v>
      </x:c>
      <x:c r="LT44" s="14" t="str">
        <x:v>未收錄</x:v>
      </x:c>
      <x:c r="LU44" s="14" t="str">
        <x:v>31150</x:v>
      </x:c>
      <x:c r="LV44" s="14" t="n">
        <x:v>8</x:v>
      </x:c>
      <x:c r="LW44" s="14" t="n">
        <x:v>1648</x:v>
      </x:c>
      <x:c r="LX44" s="14" t="n">
        <x:v>109</x:v>
      </x:c>
      <x:c r="LY44" s="14" t="n">
        <x:v>4</x:v>
      </x:c>
      <x:c r="LZ44" s="14" t="n">
        <x:v>1</x:v>
      </x:c>
      <x:c r="MA44" s="14" t="str">
        <x:v>未收錄</x:v>
      </x:c>
      <x:c r="MB44" s="14"/>
      <x:c r="MC44" s="14"/>
      <x:c r="MD44" s="14"/>
      <x:c r="ME44" s="14"/>
      <x:c r="MF44" s="14"/>
      <x:c r="MG44" s="14"/>
      <x:c r="MH44" s="14"/>
      <x:c r="MI44" s="14"/>
      <x:c r="MJ44" s="14"/>
      <x:c r="MK44" s="14"/>
      <x:c r="ML44" s="14"/>
      <x:c r="MM44" s="14"/>
      <x:c r="MN44" s="14"/>
      <x:c r="MO44" s="14"/>
      <x:c r="MP44" s="14"/>
      <x:c r="MQ44" s="14"/>
      <x:c r="MR44" s="14"/>
      <x:c r="MS44" s="14"/>
      <x:c r="MT44" s="14"/>
      <x:c r="MU44" s="14"/>
      <x:c r="MV44" s="14"/>
      <x:c r="MW44" s="14" t="str">
        <x:v>22150</x:v>
      </x:c>
      <x:c r="MX44" s="14" t="n">
        <x:v>5</x:v>
      </x:c>
      <x:c r="MY44" s="14" t="n">
        <x:v>1757</x:v>
      </x:c>
      <x:c r="MZ44" s="14" t="n">
        <x:v>109</x:v>
      </x:c>
      <x:c r="NA44" s="14" t="n">
        <x:v>4</x:v>
      </x:c>
      <x:c r="NB44" s="14" t="n">
        <x:v>1</x:v>
      </x:c>
      <x:c r="NC44" s="14" t="str">
        <x:v>未收錄</x:v>
      </x:c>
      <x:c r="ND44" s="14" t="str">
        <x:v>22409</x:v>
      </x:c>
      <x:c r="NE44" s="14" t="n">
        <x:v>10</x:v>
      </x:c>
      <x:c r="NF44" s="14" t="n">
        <x:v>1758</x:v>
      </x:c>
      <x:c r="NG44" s="14" t="n">
        <x:v>110</x:v>
      </x:c>
      <x:c r="NH44" s="14" t="n">
        <x:v>4</x:v>
      </x:c>
      <x:c r="NI44" s="14" t="n">
        <x:v>2</x:v>
      </x:c>
      <x:c r="NJ44" s="14" t="str">
        <x:v>未收錄</x:v>
      </x:c>
      <x:c r="NK44" s="14" t="str">
        <x:v>22522</x:v>
      </x:c>
      <x:c r="NL44" s="14" t="n">
        <x:v>5</x:v>
      </x:c>
      <x:c r="NM44" s="14" t="n">
        <x:v>1759</x:v>
      </x:c>
      <x:c r="NN44" s="14" t="n">
        <x:v>111</x:v>
      </x:c>
      <x:c r="NO44" s="14" t="n">
        <x:v>4</x:v>
      </x:c>
      <x:c r="NP44" s="14" t="n">
        <x:v>3</x:v>
      </x:c>
      <x:c r="NQ44" s="14" t="str">
        <x:v>未收錄</x:v>
      </x:c>
      <x:c r="NR44" s="14" t="str">
        <x:v>22523</x:v>
      </x:c>
      <x:c r="NS44" s="14" t="n">
        <x:v>5</x:v>
      </x:c>
      <x:c r="NT44" s="14" t="n">
        <x:v>1760</x:v>
      </x:c>
      <x:c r="NU44" s="14" t="n">
        <x:v>112</x:v>
      </x:c>
      <x:c r="NV44" s="14" t="n">
        <x:v>4</x:v>
      </x:c>
      <x:c r="NW44" s="14" t="n">
        <x:v>4</x:v>
      </x:c>
      <x:c r="NX44" s="14" t="str">
        <x:v>未收錄</x:v>
      </x:c>
      <x:c r="NY44" s="14" t="str">
        <x:v>22158</x:v>
      </x:c>
      <x:c r="NZ44" s="14" t="n">
        <x:v>5</x:v>
      </x:c>
      <x:c r="OA44" s="14" t="n">
        <x:v>2210</x:v>
      </x:c>
      <x:c r="OB44" s="14" t="n">
        <x:v>109</x:v>
      </x:c>
      <x:c r="OC44" s="14" t="n">
        <x:v>4</x:v>
      </x:c>
      <x:c r="OD44" s="14" t="n">
        <x:v>1</x:v>
      </x:c>
      <x:c r="OE44" s="14" t="str">
        <x:v>未收錄</x:v>
      </x:c>
      <x:c r="OF44" s="14" t="str">
        <x:v>22159</x:v>
      </x:c>
      <x:c r="OG44" s="14" t="n">
        <x:v>5</x:v>
      </x:c>
      <x:c r="OH44" s="14" t="n">
        <x:v>2211</x:v>
      </x:c>
      <x:c r="OI44" s="14" t="n">
        <x:v>110</x:v>
      </x:c>
      <x:c r="OJ44" s="14" t="n">
        <x:v>4</x:v>
      </x:c>
      <x:c r="OK44" s="14" t="n">
        <x:v>2</x:v>
      </x:c>
      <x:c r="OL44" s="14" t="str">
        <x:v>未收錄</x:v>
      </x:c>
      <x:c r="OM44" s="14" t="str">
        <x:v>22160</x:v>
      </x:c>
      <x:c r="ON44" s="14" t="n">
        <x:v>5</x:v>
      </x:c>
      <x:c r="OO44" s="14" t="n">
        <x:v>2212</x:v>
      </x:c>
      <x:c r="OP44" s="14" t="n">
        <x:v>111</x:v>
      </x:c>
      <x:c r="OQ44" s="14" t="n">
        <x:v>4</x:v>
      </x:c>
      <x:c r="OR44" s="14" t="n">
        <x:v>3</x:v>
      </x:c>
      <x:c r="OS44" s="14" t="str">
        <x:v>未收錄</x:v>
      </x:c>
      <x:c r="OT44" s="14" t="str">
        <x:v>22394</x:v>
      </x:c>
      <x:c r="OU44" s="14" t="n">
        <x:v>10</x:v>
      </x:c>
      <x:c r="OV44" s="14" t="n">
        <x:v>2213</x:v>
      </x:c>
      <x:c r="OW44" s="14" t="n">
        <x:v>112</x:v>
      </x:c>
      <x:c r="OX44" s="14" t="n">
        <x:v>4</x:v>
      </x:c>
      <x:c r="OY44" s="14" t="n">
        <x:v>4</x:v>
      </x:c>
      <x:c r="OZ44" s="14" t="str">
        <x:v>未收錄</x:v>
      </x:c>
      <x:c r="PA44" s="14" t="str">
        <x:v>22963</x:v>
      </x:c>
      <x:c r="PB44" s="14" t="n">
        <x:v>5</x:v>
      </x:c>
      <x:c r="PC44" s="14" t="n">
        <x:v>2756</x:v>
      </x:c>
      <x:c r="PD44" s="14" t="n">
        <x:v>109</x:v>
      </x:c>
      <x:c r="PE44" s="14" t="n">
        <x:v>4</x:v>
      </x:c>
      <x:c r="PF44" s="14" t="n">
        <x:v>1</x:v>
      </x:c>
      <x:c r="PG44" s="14" t="str">
        <x:v>未收錄</x:v>
      </x:c>
      <x:c r="PH44" s="14" t="str">
        <x:v>22964</x:v>
      </x:c>
      <x:c r="PI44" s="14" t="n">
        <x:v>5</x:v>
      </x:c>
      <x:c r="PJ44" s="14" t="n">
        <x:v>2757</x:v>
      </x:c>
      <x:c r="PK44" s="14" t="n">
        <x:v>110</x:v>
      </x:c>
      <x:c r="PL44" s="14" t="n">
        <x:v>4</x:v>
      </x:c>
      <x:c r="PM44" s="14" t="n">
        <x:v>2</x:v>
      </x:c>
      <x:c r="PN44" s="14" t="str">
        <x:v>未收錄</x:v>
      </x:c>
      <x:c r="PO44" s="14" t="str">
        <x:v>22965</x:v>
      </x:c>
      <x:c r="PP44" s="14" t="n">
        <x:v>5</x:v>
      </x:c>
      <x:c r="PQ44" s="14" t="n">
        <x:v>2758</x:v>
      </x:c>
      <x:c r="PR44" s="14" t="n">
        <x:v>111</x:v>
      </x:c>
      <x:c r="PS44" s="14" t="n">
        <x:v>4</x:v>
      </x:c>
      <x:c r="PT44" s="14" t="n">
        <x:v>3</x:v>
      </x:c>
      <x:c r="PU44" s="14" t="str">
        <x:v>未收錄</x:v>
      </x:c>
      <x:c r="PV44" s="14" t="str">
        <x:v>22966</x:v>
      </x:c>
      <x:c r="PW44" s="14" t="n">
        <x:v>5</x:v>
      </x:c>
      <x:c r="PX44" s="14" t="n">
        <x:v>2759</x:v>
      </x:c>
      <x:c r="PY44" s="14" t="n">
        <x:v>112</x:v>
      </x:c>
      <x:c r="PZ44" s="14" t="n">
        <x:v>4</x:v>
      </x:c>
      <x:c r="QA44" s="14" t="n">
        <x:v>4</x:v>
      </x:c>
      <x:c r="QB44" s="14" t="str">
        <x:v>未收錄</x:v>
      </x:c>
      <x:c r="QC44" s="14" t="str">
        <x:v>22976</x:v>
      </x:c>
      <x:c r="QD44" s="14" t="n">
        <x:v>5</x:v>
      </x:c>
      <x:c r="QE44" s="14" t="n">
        <x:v>3193</x:v>
      </x:c>
      <x:c r="QF44" s="14" t="n">
        <x:v>109</x:v>
      </x:c>
      <x:c r="QG44" s="14" t="n">
        <x:v>4</x:v>
      </x:c>
      <x:c r="QH44" s="14" t="n">
        <x:v>1</x:v>
      </x:c>
      <x:c r="QI44" s="14" t="str">
        <x:v>未收錄</x:v>
      </x:c>
      <x:c r="QJ44" s="14" t="str">
        <x:v>22977</x:v>
      </x:c>
      <x:c r="QK44" s="14" t="n">
        <x:v>5</x:v>
      </x:c>
      <x:c r="QL44" s="14" t="n">
        <x:v>3194</x:v>
      </x:c>
      <x:c r="QM44" s="14" t="n">
        <x:v>110</x:v>
      </x:c>
      <x:c r="QN44" s="14" t="n">
        <x:v>4</x:v>
      </x:c>
      <x:c r="QO44" s="14" t="n">
        <x:v>2</x:v>
      </x:c>
      <x:c r="QP44" s="14" t="str">
        <x:v>未收錄</x:v>
      </x:c>
      <x:c r="QQ44" s="14" t="str">
        <x:v>22978</x:v>
      </x:c>
      <x:c r="QR44" s="14" t="n">
        <x:v>5</x:v>
      </x:c>
      <x:c r="QS44" s="14" t="n">
        <x:v>3195</x:v>
      </x:c>
      <x:c r="QT44" s="14" t="n">
        <x:v>111</x:v>
      </x:c>
      <x:c r="QU44" s="14" t="n">
        <x:v>4</x:v>
      </x:c>
      <x:c r="QV44" s="14" t="n">
        <x:v>3</x:v>
      </x:c>
      <x:c r="QW44" s="14" t="str">
        <x:v>未收錄</x:v>
      </x:c>
      <x:c r="QX44" s="14" t="str">
        <x:v>22979</x:v>
      </x:c>
      <x:c r="QY44" s="14" t="n">
        <x:v>5</x:v>
      </x:c>
      <x:c r="QZ44" s="14" t="n">
        <x:v>3196</x:v>
      </x:c>
      <x:c r="RA44" s="14" t="n">
        <x:v>112</x:v>
      </x:c>
      <x:c r="RB44" s="14" t="n">
        <x:v>4</x:v>
      </x:c>
      <x:c r="RC44" s="14" t="n">
        <x:v>4</x:v>
      </x:c>
      <x:c r="RD44" s="14" t="str">
        <x:v>未收錄</x:v>
      </x:c>
      <x:c r="RE44" s="14" t="str">
        <x:v>23582</x:v>
      </x:c>
      <x:c r="RF44" s="14" t="n">
        <x:v>5</x:v>
      </x:c>
      <x:c r="RG44" s="14" t="n">
        <x:v>3654</x:v>
      </x:c>
      <x:c r="RH44" s="14" t="n">
        <x:v>109</x:v>
      </x:c>
      <x:c r="RI44" s="14" t="n">
        <x:v>4</x:v>
      </x:c>
      <x:c r="RJ44" s="14" t="n">
        <x:v>1</x:v>
      </x:c>
      <x:c r="RK44" s="14" t="str">
        <x:v>未收錄</x:v>
      </x:c>
      <x:c r="RL44" s="14" t="str">
        <x:v>23583</x:v>
      </x:c>
      <x:c r="RM44" s="14" t="n">
        <x:v>5</x:v>
      </x:c>
      <x:c r="RN44" s="14" t="n">
        <x:v>3655</x:v>
      </x:c>
      <x:c r="RO44" s="14" t="n">
        <x:v>110</x:v>
      </x:c>
      <x:c r="RP44" s="14" t="n">
        <x:v>4</x:v>
      </x:c>
      <x:c r="RQ44" s="14" t="n">
        <x:v>2</x:v>
      </x:c>
      <x:c r="RR44" s="14" t="str">
        <x:v>未收錄</x:v>
      </x:c>
      <x:c r="RS44" s="14" t="str">
        <x:v>23584</x:v>
      </x:c>
      <x:c r="RT44" s="14" t="n">
        <x:v>5</x:v>
      </x:c>
      <x:c r="RU44" s="14" t="n">
        <x:v>3656</x:v>
      </x:c>
      <x:c r="RV44" s="14" t="n">
        <x:v>111</x:v>
      </x:c>
      <x:c r="RW44" s="14" t="n">
        <x:v>4</x:v>
      </x:c>
      <x:c r="RX44" s="14" t="n">
        <x:v>3</x:v>
      </x:c>
      <x:c r="RY44" s="14" t="str">
        <x:v>未收錄</x:v>
      </x:c>
      <x:c r="RZ44" s="14" t="str">
        <x:v>23585</x:v>
      </x:c>
      <x:c r="SA44" s="14" t="n">
        <x:v>5</x:v>
      </x:c>
      <x:c r="SB44" s="14" t="n">
        <x:v>3657</x:v>
      </x:c>
      <x:c r="SC44" s="14" t="n">
        <x:v>112</x:v>
      </x:c>
      <x:c r="SD44" s="14" t="n">
        <x:v>4</x:v>
      </x:c>
      <x:c r="SE44" s="14" t="n">
        <x:v>4</x:v>
      </x:c>
      <x:c r="SF44" s="14" t="str">
        <x:v>未收錄</x:v>
      </x:c>
      <x:c r="SG44" s="14"/>
      <x:c r="SH44" s="14"/>
      <x:c r="SI44" s="14"/>
      <x:c r="SJ44" s="14"/>
      <x:c r="SK44" s="14"/>
      <x:c r="SL44" s="14"/>
      <x:c r="SM44" s="14"/>
      <x:c r="SN44" s="14"/>
      <x:c r="SO44" s="14"/>
      <x:c r="SP44" s="14"/>
      <x:c r="SQ44" s="14"/>
      <x:c r="SR44" s="14"/>
      <x:c r="SS44" s="14"/>
      <x:c r="ST44" s="14"/>
      <x:c r="SU44" s="14"/>
      <x:c r="SV44" s="14"/>
      <x:c r="SW44" s="14"/>
      <x:c r="SX44" s="14"/>
      <x:c r="SY44" s="14"/>
      <x:c r="SZ44" s="14"/>
      <x:c r="TA44" s="14"/>
      <x:c r="TB44" s="14"/>
      <x:c r="TC44" s="14"/>
      <x:c r="TD44" s="14"/>
      <x:c r="TE44" s="14"/>
      <x:c r="TF44" s="14"/>
      <x:c r="TG44" s="14"/>
      <x:c r="TH44" s="14"/>
    </x:row>
    <x:row r="45" ht="15" customHeight="1">
      <x:c r="A45" s="17" t="str">
        <x:v>因陀羅聖劍</x:v>
      </x:c>
      <x:c r="B45" s="17" t="str">
        <x:v>大日宗煌劍</x:v>
      </x:c>
      <x:c r="C45" s="17" t="str">
        <x:v>東照天葵劍</x:v>
      </x:c>
      <x:c r="D45" s="17" t="str">
        <x:v>敗亡劍</x:v>
      </x:c>
      <x:c r="E45" s="14"/>
      <x:c r="F45" s="17" t="str">
        <x:v>凶亡天殛魔刀</x:v>
      </x:c>
      <x:c r="G45" s="17" t="str">
        <x:v>惡斬天殛魔刀</x:v>
      </x:c>
      <x:c r="H45" s="17" t="str">
        <x:v>獸殺天殛魔刀</x:v>
      </x:c>
      <x:c r="I45" s="17" t="str">
        <x:v>無界刀</x:v>
      </x:c>
      <x:c r="J45" s="14"/>
      <x:c r="K45" s="17" t="str">
        <x:v>戰鋒柏‧賽特</x:v>
      </x:c>
      <x:c r="L45" s="17" t="str">
        <x:v>戰鋒柏‧賽特</x:v>
      </x:c>
      <x:c r="M45" s="17" t="str">
        <x:v>陳橋燭影殲</x:v>
      </x:c>
      <x:c r="N45" s="17" t="str">
        <x:v>陳橋燭影殲</x:v>
      </x:c>
      <x:c r="O45" s="14"/>
      <x:c r="P45" s="17" t="str">
        <x:v>天鍛‧星霜絲</x:v>
      </x:c>
      <x:c r="Q45" s="17" t="str">
        <x:v>仙鑄‧星霜絲</x:v>
      </x:c>
      <x:c r="R45" s="17" t="str">
        <x:v>神煉‧星霜絲</x:v>
      </x:c>
      <x:c r="S45" s="17" t="str">
        <x:v>宇傲‧星霜絲</x:v>
      </x:c>
      <x:c r="T45" s="14"/>
      <x:c r="U45" s="17" t="str">
        <x:v>毗盧遮那杖</x:v>
      </x:c>
      <x:c r="V45" s="17" t="str">
        <x:v>天鍛‧釋迦杖</x:v>
      </x:c>
      <x:c r="W45" s="17" t="str">
        <x:v>仙鑄‧釋迦杖</x:v>
      </x:c>
      <x:c r="X45" s="17" t="str">
        <x:v>神煉‧釋迦杖</x:v>
      </x:c>
      <x:c r="Y45" s="14"/>
      <x:c r="Z45" s="17" t="str">
        <x:v>權霸槍★</x:v>
      </x:c>
      <x:c r="AA45" s="17" t="str">
        <x:v>權霸槍★☆</x:v>
      </x:c>
      <x:c r="AB45" s="17" t="str">
        <x:v>權霸槍★★</x:v>
      </x:c>
      <x:c r="AC45" s="17" t="str">
        <x:v>權霸槍★★☆</x:v>
      </x:c>
      <x:c r="AD45" s="14"/>
      <x:c r="AE45" s="17" t="str">
        <x:v>傾城棍★★☆</x:v>
      </x:c>
      <x:c r="AF45" s="17" t="str">
        <x:v>傾城棍★★★</x:v>
      </x:c>
      <x:c r="AG45" s="17" t="str">
        <x:v>四諦歸真棍</x:v>
      </x:c>
      <x:c r="AH45" s="17" t="str">
        <x:v>地獄禁絕棍</x:v>
      </x:c>
      <x:c r="AI45" s="14"/>
      <x:c r="AJ45" s="17" t="str">
        <x:v>破魔獨錘Ⅲ</x:v>
      </x:c>
      <x:c r="AK45" s="17" t="str">
        <x:v>破魔獨錘Ⅳ</x:v>
      </x:c>
      <x:c r="AL45" s="17" t="str">
        <x:v>破魔獨錘Ⅴ</x:v>
      </x:c>
      <x:c r="AM45" s="17"/>
      <x:c r="AN45" s="14"/>
      <x:c r="AO45" s="17" t="str">
        <x:v>方舟舵斧Ⅴ</x:v>
      </x:c>
      <x:c r="AP45" s="17"/>
      <x:c r="AQ45" s="17"/>
      <x:c r="AR45" s="17"/>
      <x:c r="AS45" s="14"/>
      <x:c r="AT45" s="14"/>
      <x:c r="AU45" s="14"/>
      <x:c r="AV45" s="14"/>
      <x:c r="AW45" s="14"/>
      <x:c r="AX45" s="14"/>
      <x:c r="AY45" s="17" t="str">
        <x:v>葵越紋冠</x:v>
      </x:c>
      <x:c r="AZ45" s="17" t="str">
        <x:v>笠紀禪帽</x:v>
      </x:c>
      <x:c r="BA45" s="17" t="str">
        <x:v>伏藏頭巾</x:v>
      </x:c>
      <x:c r="BB45" s="17" t="str">
        <x:v>武幕戰盔</x:v>
      </x:c>
      <x:c r="BC45" s="14"/>
      <x:c r="BD45" s="17" t="str">
        <x:v>天神羽紗</x:v>
      </x:c>
      <x:c r="BE45" s="17" t="str">
        <x:v>德津戰甲</x:v>
      </x:c>
      <x:c r="BF45" s="17" t="str">
        <x:v>綱岐戰鎧</x:v>
      </x:c>
      <x:c r="BG45" s="17" t="str">
        <x:v>葵越紋袍</x:v>
      </x:c>
      <x:c r="BH45" s="14"/>
      <x:c r="BI45" s="17" t="str">
        <x:v>新月護腕</x:v>
      </x:c>
      <x:c r="BJ45" s="17" t="str">
        <x:v>朧月護腕</x:v>
      </x:c>
      <x:c r="BK45" s="17" t="str">
        <x:v>殘月護腕</x:v>
      </x:c>
      <x:c r="BL45" s="17" t="str">
        <x:v>昇陽法腕</x:v>
      </x:c>
      <x:c r="BM45" s="14"/>
      <x:c r="BN45" s="17" t="str">
        <x:v>瑞雲戰靴</x:v>
      </x:c>
      <x:c r="BO45" s="17" t="str">
        <x:v>飛雲戰靴</x:v>
      </x:c>
      <x:c r="BP45" s="17" t="str">
        <x:v>新月護靴</x:v>
      </x:c>
      <x:c r="BQ45" s="17" t="str">
        <x:v>朧月護靴</x:v>
      </x:c>
      <x:c r="BR45" s="14"/>
      <x:c r="BS45" s="17" t="str">
        <x:v>鐵業佛珠</x:v>
      </x:c>
      <x:c r="BT45" s="17" t="str">
        <x:v>力業佛珠</x:v>
      </x:c>
      <x:c r="BU45" s="17" t="str">
        <x:v>智業佛珠</x:v>
      </x:c>
      <x:c r="BV45" s="17" t="str">
        <x:v>風業佛珠</x:v>
      </x:c>
      <x:c r="BW45" s="14"/>
      <x:c r="BX45" s="14"/>
      <x:c r="BY45" s="14"/>
      <x:c r="BZ45" s="14"/>
      <x:c r="CA45" s="14"/>
      <x:c r="CB45" s="14"/>
      <x:c r="CC45" s="14" t="str">
        <x:v>23145</x:v>
      </x:c>
      <x:c r="CD45" s="14" t="n">
        <x:v>8</x:v>
      </x:c>
      <x:c r="CE45" s="14" t="n">
        <x:v>113</x:v>
      </x:c>
      <x:c r="CF45" s="14" t="n">
        <x:v>113</x:v>
      </x:c>
      <x:c r="CG45" s="14" t="n">
        <x:v>5</x:v>
      </x:c>
      <x:c r="CH45" s="14" t="n">
        <x:v>1</x:v>
      </x:c>
      <x:c r="CI45" s="14" t="str">
        <x:v>未收錄</x:v>
      </x:c>
      <x:c r="CJ45" s="14" t="str">
        <x:v>23501</x:v>
      </x:c>
      <x:c r="CK45" s="14" t="n">
        <x:v>8</x:v>
      </x:c>
      <x:c r="CL45" s="14" t="n">
        <x:v>114</x:v>
      </x:c>
      <x:c r="CM45" s="14" t="n">
        <x:v>114</x:v>
      </x:c>
      <x:c r="CN45" s="14" t="n">
        <x:v>5</x:v>
      </x:c>
      <x:c r="CO45" s="14" t="n">
        <x:v>2</x:v>
      </x:c>
      <x:c r="CP45" s="14" t="str">
        <x:v>未收錄</x:v>
      </x:c>
      <x:c r="CQ45" s="14" t="str">
        <x:v>23502</x:v>
      </x:c>
      <x:c r="CR45" s="14" t="n">
        <x:v>8</x:v>
      </x:c>
      <x:c r="CS45" s="14" t="n">
        <x:v>115</x:v>
      </x:c>
      <x:c r="CT45" s="14" t="n">
        <x:v>115</x:v>
      </x:c>
      <x:c r="CU45" s="14" t="n">
        <x:v>5</x:v>
      </x:c>
      <x:c r="CV45" s="14" t="n">
        <x:v>3</x:v>
      </x:c>
      <x:c r="CW45" s="14" t="str">
        <x:v>未收錄</x:v>
      </x:c>
      <x:c r="CX45" s="14" t="str">
        <x:v>23586</x:v>
      </x:c>
      <x:c r="CY45" s="14" t="n">
        <x:v>8</x:v>
      </x:c>
      <x:c r="CZ45" s="14" t="n">
        <x:v>116</x:v>
      </x:c>
      <x:c r="DA45" s="14" t="n">
        <x:v>116</x:v>
      </x:c>
      <x:c r="DB45" s="14" t="n">
        <x:v>5</x:v>
      </x:c>
      <x:c r="DC45" s="14" t="n">
        <x:v>4</x:v>
      </x:c>
      <x:c r="DD45" s="14" t="str">
        <x:v>未收錄</x:v>
      </x:c>
      <x:c r="DE45" s="14" t="str">
        <x:v>23913</x:v>
      </x:c>
      <x:c r="DF45" s="14" t="n">
        <x:v>8</x:v>
      </x:c>
      <x:c r="DG45" s="14" t="n">
        <x:v>358</x:v>
      </x:c>
      <x:c r="DH45" s="14" t="n">
        <x:v>113</x:v>
      </x:c>
      <x:c r="DI45" s="14" t="n">
        <x:v>5</x:v>
      </x:c>
      <x:c r="DJ45" s="14" t="n">
        <x:v>1</x:v>
      </x:c>
      <x:c r="DK45" s="14" t="str">
        <x:v>未收錄</x:v>
      </x:c>
      <x:c r="DL45" s="14" t="str">
        <x:v>23914</x:v>
      </x:c>
      <x:c r="DM45" s="14" t="n">
        <x:v>8</x:v>
      </x:c>
      <x:c r="DN45" s="14" t="n">
        <x:v>359</x:v>
      </x:c>
      <x:c r="DO45" s="14" t="n">
        <x:v>114</x:v>
      </x:c>
      <x:c r="DP45" s="14" t="n">
        <x:v>5</x:v>
      </x:c>
      <x:c r="DQ45" s="14" t="n">
        <x:v>2</x:v>
      </x:c>
      <x:c r="DR45" s="14" t="str">
        <x:v>未收錄</x:v>
      </x:c>
      <x:c r="DS45" s="14" t="str">
        <x:v>23915</x:v>
      </x:c>
      <x:c r="DT45" s="14" t="n">
        <x:v>8</x:v>
      </x:c>
      <x:c r="DU45" s="14" t="n">
        <x:v>360</x:v>
      </x:c>
      <x:c r="DV45" s="14" t="n">
        <x:v>115</x:v>
      </x:c>
      <x:c r="DW45" s="14" t="n">
        <x:v>5</x:v>
      </x:c>
      <x:c r="DX45" s="14" t="n">
        <x:v>3</x:v>
      </x:c>
      <x:c r="DY45" s="14" t="str">
        <x:v>未收錄</x:v>
      </x:c>
      <x:c r="DZ45" s="14" t="str">
        <x:v>24050</x:v>
      </x:c>
      <x:c r="EA45" s="14" t="n">
        <x:v>8</x:v>
      </x:c>
      <x:c r="EB45" s="14" t="n">
        <x:v>361</x:v>
      </x:c>
      <x:c r="EC45" s="14" t="n">
        <x:v>116</x:v>
      </x:c>
      <x:c r="ED45" s="14" t="n">
        <x:v>5</x:v>
      </x:c>
      <x:c r="EE45" s="14" t="n">
        <x:v>4</x:v>
      </x:c>
      <x:c r="EF45" s="14" t="str">
        <x:v>未收錄</x:v>
      </x:c>
      <x:c r="EG45" s="14" t="str">
        <x:v>29003</x:v>
      </x:c>
      <x:c r="EH45" s="14" t="n">
        <x:v>20</x:v>
      </x:c>
      <x:c r="EI45" s="14" t="n">
        <x:v>594</x:v>
      </x:c>
      <x:c r="EJ45" s="14" t="n">
        <x:v>113</x:v>
      </x:c>
      <x:c r="EK45" s="14" t="n">
        <x:v>5</x:v>
      </x:c>
      <x:c r="EL45" s="14" t="n">
        <x:v>1</x:v>
      </x:c>
      <x:c r="EM45" s="14" t="str">
        <x:v>未收錄</x:v>
      </x:c>
      <x:c r="EN45" s="14" t="str">
        <x:v>29016</x:v>
      </x:c>
      <x:c r="EO45" s="14" t="n">
        <x:v>20</x:v>
      </x:c>
      <x:c r="EP45" s="14" t="n">
        <x:v>595</x:v>
      </x:c>
      <x:c r="EQ45" s="14" t="n">
        <x:v>114</x:v>
      </x:c>
      <x:c r="ER45" s="14" t="n">
        <x:v>5</x:v>
      </x:c>
      <x:c r="ES45" s="14" t="n">
        <x:v>2</x:v>
      </x:c>
      <x:c r="ET45" s="14" t="str">
        <x:v>未收錄</x:v>
      </x:c>
      <x:c r="EU45" s="14" t="str">
        <x:v>29656</x:v>
      </x:c>
      <x:c r="EV45" s="14" t="n">
        <x:v>20</x:v>
      </x:c>
      <x:c r="EW45" s="14" t="n">
        <x:v>596</x:v>
      </x:c>
      <x:c r="EX45" s="14" t="n">
        <x:v>115</x:v>
      </x:c>
      <x:c r="EY45" s="14" t="n">
        <x:v>5</x:v>
      </x:c>
      <x:c r="EZ45" s="14" t="n">
        <x:v>3</x:v>
      </x:c>
      <x:c r="FA45" s="14" t="str">
        <x:v>未收錄</x:v>
      </x:c>
      <x:c r="FB45" s="14" t="str">
        <x:v>29666</x:v>
      </x:c>
      <x:c r="FC45" s="14" t="n">
        <x:v>20</x:v>
      </x:c>
      <x:c r="FD45" s="14" t="n">
        <x:v>597</x:v>
      </x:c>
      <x:c r="FE45" s="14" t="n">
        <x:v>116</x:v>
      </x:c>
      <x:c r="FF45" s="14" t="n">
        <x:v>5</x:v>
      </x:c>
      <x:c r="FG45" s="14" t="n">
        <x:v>4</x:v>
      </x:c>
      <x:c r="FH45" s="14" t="str">
        <x:v>未收錄</x:v>
      </x:c>
      <x:c r="FI45" s="14" t="str">
        <x:v>27046</x:v>
      </x:c>
      <x:c r="FJ45" s="14" t="n">
        <x:v>8</x:v>
      </x:c>
      <x:c r="FK45" s="14" t="n">
        <x:v>744</x:v>
      </x:c>
      <x:c r="FL45" s="14" t="n">
        <x:v>113</x:v>
      </x:c>
      <x:c r="FM45" s="14" t="n">
        <x:v>5</x:v>
      </x:c>
      <x:c r="FN45" s="14" t="n">
        <x:v>1</x:v>
      </x:c>
      <x:c r="FO45" s="14" t="str">
        <x:v>未收錄</x:v>
      </x:c>
      <x:c r="FP45" s="14" t="str">
        <x:v>27047</x:v>
      </x:c>
      <x:c r="FQ45" s="14" t="n">
        <x:v>8</x:v>
      </x:c>
      <x:c r="FR45" s="14" t="n">
        <x:v>745</x:v>
      </x:c>
      <x:c r="FS45" s="14" t="n">
        <x:v>114</x:v>
      </x:c>
      <x:c r="FT45" s="14" t="n">
        <x:v>5</x:v>
      </x:c>
      <x:c r="FU45" s="14" t="n">
        <x:v>2</x:v>
      </x:c>
      <x:c r="FV45" s="14" t="str">
        <x:v>未收錄</x:v>
      </x:c>
      <x:c r="FW45" s="14" t="str">
        <x:v>27048</x:v>
      </x:c>
      <x:c r="FX45" s="14" t="n">
        <x:v>8</x:v>
      </x:c>
      <x:c r="FY45" s="14" t="n">
        <x:v>746</x:v>
      </x:c>
      <x:c r="FZ45" s="14" t="n">
        <x:v>115</x:v>
      </x:c>
      <x:c r="GA45" s="14" t="n">
        <x:v>5</x:v>
      </x:c>
      <x:c r="GB45" s="14" t="n">
        <x:v>3</x:v>
      </x:c>
      <x:c r="GC45" s="14" t="str">
        <x:v>未收錄</x:v>
      </x:c>
      <x:c r="GD45" s="14" t="str">
        <x:v>27049</x:v>
      </x:c>
      <x:c r="GE45" s="14" t="n">
        <x:v>8</x:v>
      </x:c>
      <x:c r="GF45" s="14" t="n">
        <x:v>747</x:v>
      </x:c>
      <x:c r="GG45" s="14" t="n">
        <x:v>116</x:v>
      </x:c>
      <x:c r="GH45" s="14" t="n">
        <x:v>5</x:v>
      </x:c>
      <x:c r="GI45" s="14" t="n">
        <x:v>4</x:v>
      </x:c>
      <x:c r="GJ45" s="14" t="str">
        <x:v>未收錄</x:v>
      </x:c>
      <x:c r="GK45" s="14" t="str">
        <x:v>26937</x:v>
      </x:c>
      <x:c r="GL45" s="14" t="n">
        <x:v>8</x:v>
      </x:c>
      <x:c r="GM45" s="14" t="n">
        <x:v>916</x:v>
      </x:c>
      <x:c r="GN45" s="14" t="n">
        <x:v>113</x:v>
      </x:c>
      <x:c r="GO45" s="14" t="n">
        <x:v>5</x:v>
      </x:c>
      <x:c r="GP45" s="14" t="n">
        <x:v>1</x:v>
      </x:c>
      <x:c r="GQ45" s="14" t="str">
        <x:v>未收錄</x:v>
      </x:c>
      <x:c r="GR45" s="14" t="str">
        <x:v>27050</x:v>
      </x:c>
      <x:c r="GS45" s="14" t="n">
        <x:v>8</x:v>
      </x:c>
      <x:c r="GT45" s="14" t="n">
        <x:v>917</x:v>
      </x:c>
      <x:c r="GU45" s="14" t="n">
        <x:v>114</x:v>
      </x:c>
      <x:c r="GV45" s="14" t="n">
        <x:v>5</x:v>
      </x:c>
      <x:c r="GW45" s="14" t="n">
        <x:v>2</x:v>
      </x:c>
      <x:c r="GX45" s="14" t="str">
        <x:v>未收錄</x:v>
      </x:c>
      <x:c r="GY45" s="14" t="str">
        <x:v>27051</x:v>
      </x:c>
      <x:c r="GZ45" s="14" t="n">
        <x:v>8</x:v>
      </x:c>
      <x:c r="HA45" s="14" t="n">
        <x:v>918</x:v>
      </x:c>
      <x:c r="HB45" s="14" t="n">
        <x:v>115</x:v>
      </x:c>
      <x:c r="HC45" s="14" t="n">
        <x:v>5</x:v>
      </x:c>
      <x:c r="HD45" s="14" t="n">
        <x:v>3</x:v>
      </x:c>
      <x:c r="HE45" s="14" t="str">
        <x:v>未收錄</x:v>
      </x:c>
      <x:c r="HF45" s="14" t="str">
        <x:v>27052</x:v>
      </x:c>
      <x:c r="HG45" s="14" t="n">
        <x:v>8</x:v>
      </x:c>
      <x:c r="HH45" s="14" t="n">
        <x:v>919</x:v>
      </x:c>
      <x:c r="HI45" s="14" t="n">
        <x:v>116</x:v>
      </x:c>
      <x:c r="HJ45" s="14" t="n">
        <x:v>5</x:v>
      </x:c>
      <x:c r="HK45" s="14" t="n">
        <x:v>4</x:v>
      </x:c>
      <x:c r="HL45" s="14" t="str">
        <x:v>未收錄</x:v>
      </x:c>
      <x:c r="HM45" s="14" t="str">
        <x:v>29374</x:v>
      </x:c>
      <x:c r="HN45" s="14" t="n">
        <x:v>8</x:v>
      </x:c>
      <x:c r="HO45" s="14" t="n">
        <x:v>1089</x:v>
      </x:c>
      <x:c r="HP45" s="14" t="n">
        <x:v>113</x:v>
      </x:c>
      <x:c r="HQ45" s="14" t="n">
        <x:v>5</x:v>
      </x:c>
      <x:c r="HR45" s="14" t="n">
        <x:v>1</x:v>
      </x:c>
      <x:c r="HS45" s="14" t="str">
        <x:v>未收錄</x:v>
      </x:c>
      <x:c r="HT45" s="14" t="str">
        <x:v>29375</x:v>
      </x:c>
      <x:c r="HU45" s="14" t="n">
        <x:v>8</x:v>
      </x:c>
      <x:c r="HV45" s="14" t="n">
        <x:v>1090</x:v>
      </x:c>
      <x:c r="HW45" s="14" t="n">
        <x:v>114</x:v>
      </x:c>
      <x:c r="HX45" s="14" t="n">
        <x:v>5</x:v>
      </x:c>
      <x:c r="HY45" s="14" t="n">
        <x:v>2</x:v>
      </x:c>
      <x:c r="HZ45" s="14" t="str">
        <x:v>未收錄</x:v>
      </x:c>
      <x:c r="IA45" s="14" t="str">
        <x:v>29376</x:v>
      </x:c>
      <x:c r="IB45" s="14" t="n">
        <x:v>8</x:v>
      </x:c>
      <x:c r="IC45" s="14" t="n">
        <x:v>1091</x:v>
      </x:c>
      <x:c r="ID45" s="14" t="n">
        <x:v>115</x:v>
      </x:c>
      <x:c r="IE45" s="14" t="n">
        <x:v>5</x:v>
      </x:c>
      <x:c r="IF45" s="14" t="n">
        <x:v>3</x:v>
      </x:c>
      <x:c r="IG45" s="14" t="str">
        <x:v>未收錄</x:v>
      </x:c>
      <x:c r="IH45" s="14" t="str">
        <x:v>29377</x:v>
      </x:c>
      <x:c r="II45" s="14" t="n">
        <x:v>8</x:v>
      </x:c>
      <x:c r="IJ45" s="14" t="n">
        <x:v>1092</x:v>
      </x:c>
      <x:c r="IK45" s="14" t="n">
        <x:v>116</x:v>
      </x:c>
      <x:c r="IL45" s="14" t="n">
        <x:v>5</x:v>
      </x:c>
      <x:c r="IM45" s="14" t="n">
        <x:v>4</x:v>
      </x:c>
      <x:c r="IN45" s="14" t="str">
        <x:v>未收錄</x:v>
      </x:c>
      <x:c r="IO45" s="14" t="str">
        <x:v>29383</x:v>
      </x:c>
      <x:c r="IP45" s="14" t="n">
        <x:v>8</x:v>
      </x:c>
      <x:c r="IQ45" s="14" t="n">
        <x:v>1257</x:v>
      </x:c>
      <x:c r="IR45" s="14" t="n">
        <x:v>113</x:v>
      </x:c>
      <x:c r="IS45" s="14" t="n">
        <x:v>5</x:v>
      </x:c>
      <x:c r="IT45" s="14" t="n">
        <x:v>1</x:v>
      </x:c>
      <x:c r="IU45" s="14" t="str">
        <x:v>未收錄</x:v>
      </x:c>
      <x:c r="IV45" s="14" t="str">
        <x:v>29384</x:v>
      </x:c>
      <x:c r="IW45" s="14" t="n">
        <x:v>8</x:v>
      </x:c>
      <x:c r="IX45" s="14" t="n">
        <x:v>1258</x:v>
      </x:c>
      <x:c r="IY45" s="14" t="n">
        <x:v>114</x:v>
      </x:c>
      <x:c r="IZ45" s="14" t="n">
        <x:v>5</x:v>
      </x:c>
      <x:c r="JA45" s="14" t="n">
        <x:v>2</x:v>
      </x:c>
      <x:c r="JB45" s="14" t="str">
        <x:v>未收錄</x:v>
      </x:c>
      <x:c r="JC45" s="14" t="str">
        <x:v>23388</x:v>
      </x:c>
      <x:c r="JD45" s="14" t="n">
        <x:v>20</x:v>
      </x:c>
      <x:c r="JE45" s="14" t="n">
        <x:v>1259</x:v>
      </x:c>
      <x:c r="JF45" s="14" t="n">
        <x:v>115</x:v>
      </x:c>
      <x:c r="JG45" s="14" t="n">
        <x:v>5</x:v>
      </x:c>
      <x:c r="JH45" s="14" t="n">
        <x:v>3</x:v>
      </x:c>
      <x:c r="JI45" s="14" t="str">
        <x:v>未收錄</x:v>
      </x:c>
      <x:c r="JJ45" s="14" t="str">
        <x:v>23781</x:v>
      </x:c>
      <x:c r="JK45" s="14" t="n">
        <x:v>20</x:v>
      </x:c>
      <x:c r="JL45" s="14" t="n">
        <x:v>1260</x:v>
      </x:c>
      <x:c r="JM45" s="14" t="n">
        <x:v>116</x:v>
      </x:c>
      <x:c r="JN45" s="14" t="n">
        <x:v>5</x:v>
      </x:c>
      <x:c r="JO45" s="14" t="n">
        <x:v>4</x:v>
      </x:c>
      <x:c r="JP45" s="14" t="str">
        <x:v>未收錄</x:v>
      </x:c>
      <x:c r="JQ45" s="14" t="str">
        <x:v>31138</x:v>
      </x:c>
      <x:c r="JR45" s="14" t="n">
        <x:v>8</x:v>
      </x:c>
      <x:c r="JS45" s="14" t="n">
        <x:v>1424</x:v>
      </x:c>
      <x:c r="JT45" s="14" t="n">
        <x:v>113</x:v>
      </x:c>
      <x:c r="JU45" s="14" t="n">
        <x:v>5</x:v>
      </x:c>
      <x:c r="JV45" s="14" t="n">
        <x:v>1</x:v>
      </x:c>
      <x:c r="JW45" s="14" t="str">
        <x:v>未收錄</x:v>
      </x:c>
      <x:c r="JX45" s="14" t="str">
        <x:v>31139</x:v>
      </x:c>
      <x:c r="JY45" s="14" t="n">
        <x:v>8</x:v>
      </x:c>
      <x:c r="JZ45" s="14" t="n">
        <x:v>1425</x:v>
      </x:c>
      <x:c r="KA45" s="14" t="n">
        <x:v>114</x:v>
      </x:c>
      <x:c r="KB45" s="14" t="n">
        <x:v>5</x:v>
      </x:c>
      <x:c r="KC45" s="14" t="n">
        <x:v>2</x:v>
      </x:c>
      <x:c r="KD45" s="14" t="str">
        <x:v>未收錄</x:v>
      </x:c>
      <x:c r="KE45" s="14" t="str">
        <x:v>31140</x:v>
      </x:c>
      <x:c r="KF45" s="14" t="n">
        <x:v>8</x:v>
      </x:c>
      <x:c r="KG45" s="14" t="n">
        <x:v>1426</x:v>
      </x:c>
      <x:c r="KH45" s="14" t="n">
        <x:v>115</x:v>
      </x:c>
      <x:c r="KI45" s="14" t="n">
        <x:v>5</x:v>
      </x:c>
      <x:c r="KJ45" s="14" t="n">
        <x:v>3</x:v>
      </x:c>
      <x:c r="KK45" s="14" t="str">
        <x:v>未收錄</x:v>
      </x:c>
      <x:c r="KL45" s="14"/>
      <x:c r="KM45" s="14"/>
      <x:c r="KN45" s="14"/>
      <x:c r="KO45" s="14"/>
      <x:c r="KP45" s="14"/>
      <x:c r="KQ45" s="14"/>
      <x:c r="KR45" s="14"/>
      <x:c r="KS45" s="14" t="str">
        <x:v>31145</x:v>
      </x:c>
      <x:c r="KT45" s="14" t="n">
        <x:v>8</x:v>
      </x:c>
      <x:c r="KU45" s="14" t="n">
        <x:v>1539</x:v>
      </x:c>
      <x:c r="KV45" s="14" t="n">
        <x:v>113</x:v>
      </x:c>
      <x:c r="KW45" s="14" t="n">
        <x:v>5</x:v>
      </x:c>
      <x:c r="KX45" s="14" t="n">
        <x:v>1</x:v>
      </x:c>
      <x:c r="KY45" s="14" t="str">
        <x:v>未收錄</x:v>
      </x:c>
      <x:c r="KZ45" s="14"/>
      <x:c r="LA45" s="14"/>
      <x:c r="LB45" s="14"/>
      <x:c r="LC45" s="14"/>
      <x:c r="LD45" s="14"/>
      <x:c r="LE45" s="14"/>
      <x:c r="LF45" s="14"/>
      <x:c r="LG45" s="14"/>
      <x:c r="LH45" s="14"/>
      <x:c r="LI45" s="14"/>
      <x:c r="LJ45" s="14"/>
      <x:c r="LK45" s="14"/>
      <x:c r="LL45" s="14"/>
      <x:c r="LM45" s="14"/>
      <x:c r="LN45" s="14"/>
      <x:c r="LO45" s="14"/>
      <x:c r="LP45" s="14"/>
      <x:c r="LQ45" s="14"/>
      <x:c r="LR45" s="14"/>
      <x:c r="LS45" s="14"/>
      <x:c r="LT45" s="14"/>
      <x:c r="LU45" s="14"/>
      <x:c r="LV45" s="14"/>
      <x:c r="LW45" s="14"/>
      <x:c r="LX45" s="14"/>
      <x:c r="LY45" s="14"/>
      <x:c r="LZ45" s="14"/>
      <x:c r="MA45" s="14"/>
      <x:c r="MB45" s="14"/>
      <x:c r="MC45" s="14"/>
      <x:c r="MD45" s="14"/>
      <x:c r="ME45" s="14"/>
      <x:c r="MF45" s="14"/>
      <x:c r="MG45" s="14"/>
      <x:c r="MH45" s="14"/>
      <x:c r="MI45" s="14"/>
      <x:c r="MJ45" s="14"/>
      <x:c r="MK45" s="14"/>
      <x:c r="ML45" s="14"/>
      <x:c r="MM45" s="14"/>
      <x:c r="MN45" s="14"/>
      <x:c r="MO45" s="14"/>
      <x:c r="MP45" s="14"/>
      <x:c r="MQ45" s="14"/>
      <x:c r="MR45" s="14"/>
      <x:c r="MS45" s="14"/>
      <x:c r="MT45" s="14"/>
      <x:c r="MU45" s="14"/>
      <x:c r="MV45" s="14"/>
      <x:c r="MW45" s="14" t="str">
        <x:v>22524</x:v>
      </x:c>
      <x:c r="MX45" s="14" t="n">
        <x:v>5</x:v>
      </x:c>
      <x:c r="MY45" s="14" t="n">
        <x:v>1761</x:v>
      </x:c>
      <x:c r="MZ45" s="14" t="n">
        <x:v>113</x:v>
      </x:c>
      <x:c r="NA45" s="14" t="n">
        <x:v>5</x:v>
      </x:c>
      <x:c r="NB45" s="14" t="n">
        <x:v>1</x:v>
      </x:c>
      <x:c r="NC45" s="14" t="str">
        <x:v>未收錄</x:v>
      </x:c>
      <x:c r="ND45" s="14" t="str">
        <x:v>22525</x:v>
      </x:c>
      <x:c r="NE45" s="14" t="n">
        <x:v>5</x:v>
      </x:c>
      <x:c r="NF45" s="14" t="n">
        <x:v>1762</x:v>
      </x:c>
      <x:c r="NG45" s="14" t="n">
        <x:v>114</x:v>
      </x:c>
      <x:c r="NH45" s="14" t="n">
        <x:v>5</x:v>
      </x:c>
      <x:c r="NI45" s="14" t="n">
        <x:v>2</x:v>
      </x:c>
      <x:c r="NJ45" s="14" t="str">
        <x:v>未收錄</x:v>
      </x:c>
      <x:c r="NK45" s="14" t="str">
        <x:v>22526</x:v>
      </x:c>
      <x:c r="NL45" s="14" t="n">
        <x:v>5</x:v>
      </x:c>
      <x:c r="NM45" s="14" t="n">
        <x:v>1763</x:v>
      </x:c>
      <x:c r="NN45" s="14" t="n">
        <x:v>115</x:v>
      </x:c>
      <x:c r="NO45" s="14" t="n">
        <x:v>5</x:v>
      </x:c>
      <x:c r="NP45" s="14" t="n">
        <x:v>3</x:v>
      </x:c>
      <x:c r="NQ45" s="14" t="str">
        <x:v>未收錄</x:v>
      </x:c>
      <x:c r="NR45" s="14" t="str">
        <x:v>22527</x:v>
      </x:c>
      <x:c r="NS45" s="14" t="n">
        <x:v>5</x:v>
      </x:c>
      <x:c r="NT45" s="14" t="n">
        <x:v>1764</x:v>
      </x:c>
      <x:c r="NU45" s="14" t="n">
        <x:v>116</x:v>
      </x:c>
      <x:c r="NV45" s="14" t="n">
        <x:v>5</x:v>
      </x:c>
      <x:c r="NW45" s="14" t="n">
        <x:v>4</x:v>
      </x:c>
      <x:c r="NX45" s="14" t="str">
        <x:v>未收錄</x:v>
      </x:c>
      <x:c r="NY45" s="14" t="str">
        <x:v>22408</x:v>
      </x:c>
      <x:c r="NZ45" s="14" t="n">
        <x:v>10</x:v>
      </x:c>
      <x:c r="OA45" s="14" t="n">
        <x:v>2214</x:v>
      </x:c>
      <x:c r="OB45" s="14" t="n">
        <x:v>113</x:v>
      </x:c>
      <x:c r="OC45" s="14" t="n">
        <x:v>5</x:v>
      </x:c>
      <x:c r="OD45" s="14" t="n">
        <x:v>1</x:v>
      </x:c>
      <x:c r="OE45" s="14" t="str">
        <x:v>未收錄</x:v>
      </x:c>
      <x:c r="OF45" s="14" t="str">
        <x:v>22532</x:v>
      </x:c>
      <x:c r="OG45" s="14" t="n">
        <x:v>5</x:v>
      </x:c>
      <x:c r="OH45" s="14" t="n">
        <x:v>2215</x:v>
      </x:c>
      <x:c r="OI45" s="14" t="n">
        <x:v>114</x:v>
      </x:c>
      <x:c r="OJ45" s="14" t="n">
        <x:v>5</x:v>
      </x:c>
      <x:c r="OK45" s="14" t="n">
        <x:v>2</x:v>
      </x:c>
      <x:c r="OL45" s="14" t="str">
        <x:v>未收錄</x:v>
      </x:c>
      <x:c r="OM45" s="14" t="str">
        <x:v>22533</x:v>
      </x:c>
      <x:c r="ON45" s="14" t="n">
        <x:v>5</x:v>
      </x:c>
      <x:c r="OO45" s="14" t="n">
        <x:v>2216</x:v>
      </x:c>
      <x:c r="OP45" s="14" t="n">
        <x:v>115</x:v>
      </x:c>
      <x:c r="OQ45" s="14" t="n">
        <x:v>5</x:v>
      </x:c>
      <x:c r="OR45" s="14" t="n">
        <x:v>3</x:v>
      </x:c>
      <x:c r="OS45" s="14" t="str">
        <x:v>未收錄</x:v>
      </x:c>
      <x:c r="OT45" s="14" t="str">
        <x:v>22534</x:v>
      </x:c>
      <x:c r="OU45" s="14" t="n">
        <x:v>5</x:v>
      </x:c>
      <x:c r="OV45" s="14" t="n">
        <x:v>2217</x:v>
      </x:c>
      <x:c r="OW45" s="14" t="n">
        <x:v>116</x:v>
      </x:c>
      <x:c r="OX45" s="14" t="n">
        <x:v>5</x:v>
      </x:c>
      <x:c r="OY45" s="14" t="n">
        <x:v>4</x:v>
      </x:c>
      <x:c r="OZ45" s="14" t="str">
        <x:v>未收錄</x:v>
      </x:c>
      <x:c r="PA45" s="14" t="str">
        <x:v>22967</x:v>
      </x:c>
      <x:c r="PB45" s="14" t="n">
        <x:v>5</x:v>
      </x:c>
      <x:c r="PC45" s="14" t="n">
        <x:v>2760</x:v>
      </x:c>
      <x:c r="PD45" s="14" t="n">
        <x:v>113</x:v>
      </x:c>
      <x:c r="PE45" s="14" t="n">
        <x:v>5</x:v>
      </x:c>
      <x:c r="PF45" s="14" t="n">
        <x:v>1</x:v>
      </x:c>
      <x:c r="PG45" s="14" t="str">
        <x:v>未收錄</x:v>
      </x:c>
      <x:c r="PH45" s="14" t="str">
        <x:v>22968</x:v>
      </x:c>
      <x:c r="PI45" s="14" t="n">
        <x:v>5</x:v>
      </x:c>
      <x:c r="PJ45" s="14" t="n">
        <x:v>2761</x:v>
      </x:c>
      <x:c r="PK45" s="14" t="n">
        <x:v>114</x:v>
      </x:c>
      <x:c r="PL45" s="14" t="n">
        <x:v>5</x:v>
      </x:c>
      <x:c r="PM45" s="14" t="n">
        <x:v>2</x:v>
      </x:c>
      <x:c r="PN45" s="14" t="str">
        <x:v>未收錄</x:v>
      </x:c>
      <x:c r="PO45" s="14" t="str">
        <x:v>22969</x:v>
      </x:c>
      <x:c r="PP45" s="14" t="n">
        <x:v>5</x:v>
      </x:c>
      <x:c r="PQ45" s="14" t="n">
        <x:v>2762</x:v>
      </x:c>
      <x:c r="PR45" s="14" t="n">
        <x:v>115</x:v>
      </x:c>
      <x:c r="PS45" s="14" t="n">
        <x:v>5</x:v>
      </x:c>
      <x:c r="PT45" s="14" t="n">
        <x:v>3</x:v>
      </x:c>
      <x:c r="PU45" s="14" t="str">
        <x:v>未收錄</x:v>
      </x:c>
      <x:c r="PV45" s="14" t="str">
        <x:v>22970</x:v>
      </x:c>
      <x:c r="PW45" s="14" t="n">
        <x:v>5</x:v>
      </x:c>
      <x:c r="PX45" s="14" t="n">
        <x:v>2763</x:v>
      </x:c>
      <x:c r="PY45" s="14" t="n">
        <x:v>116</x:v>
      </x:c>
      <x:c r="PZ45" s="14" t="n">
        <x:v>5</x:v>
      </x:c>
      <x:c r="QA45" s="14" t="n">
        <x:v>4</x:v>
      </x:c>
      <x:c r="QB45" s="14" t="str">
        <x:v>未收錄</x:v>
      </x:c>
      <x:c r="QC45" s="14" t="str">
        <x:v>22980</x:v>
      </x:c>
      <x:c r="QD45" s="14" t="n">
        <x:v>5</x:v>
      </x:c>
      <x:c r="QE45" s="14" t="n">
        <x:v>3197</x:v>
      </x:c>
      <x:c r="QF45" s="14" t="n">
        <x:v>113</x:v>
      </x:c>
      <x:c r="QG45" s="14" t="n">
        <x:v>5</x:v>
      </x:c>
      <x:c r="QH45" s="14" t="n">
        <x:v>1</x:v>
      </x:c>
      <x:c r="QI45" s="14" t="str">
        <x:v>未收錄</x:v>
      </x:c>
      <x:c r="QJ45" s="14" t="str">
        <x:v>22981</x:v>
      </x:c>
      <x:c r="QK45" s="14" t="n">
        <x:v>5</x:v>
      </x:c>
      <x:c r="QL45" s="14" t="n">
        <x:v>3198</x:v>
      </x:c>
      <x:c r="QM45" s="14" t="n">
        <x:v>114</x:v>
      </x:c>
      <x:c r="QN45" s="14" t="n">
        <x:v>5</x:v>
      </x:c>
      <x:c r="QO45" s="14" t="n">
        <x:v>2</x:v>
      </x:c>
      <x:c r="QP45" s="14" t="str">
        <x:v>未收錄</x:v>
      </x:c>
      <x:c r="QQ45" s="14" t="str">
        <x:v>22982</x:v>
      </x:c>
      <x:c r="QR45" s="14" t="n">
        <x:v>5</x:v>
      </x:c>
      <x:c r="QS45" s="14" t="n">
        <x:v>3199</x:v>
      </x:c>
      <x:c r="QT45" s="14" t="n">
        <x:v>115</x:v>
      </x:c>
      <x:c r="QU45" s="14" t="n">
        <x:v>5</x:v>
      </x:c>
      <x:c r="QV45" s="14" t="n">
        <x:v>3</x:v>
      </x:c>
      <x:c r="QW45" s="14" t="str">
        <x:v>未收錄</x:v>
      </x:c>
      <x:c r="QX45" s="14" t="str">
        <x:v>22983</x:v>
      </x:c>
      <x:c r="QY45" s="14" t="n">
        <x:v>5</x:v>
      </x:c>
      <x:c r="QZ45" s="14" t="n">
        <x:v>3200</x:v>
      </x:c>
      <x:c r="RA45" s="14" t="n">
        <x:v>116</x:v>
      </x:c>
      <x:c r="RB45" s="14" t="n">
        <x:v>5</x:v>
      </x:c>
      <x:c r="RC45" s="14" t="n">
        <x:v>4</x:v>
      </x:c>
      <x:c r="RD45" s="14" t="str">
        <x:v>未收錄</x:v>
      </x:c>
      <x:c r="RE45" s="14" t="str">
        <x:v>23704</x:v>
      </x:c>
      <x:c r="RF45" s="14" t="n">
        <x:v>3</x:v>
      </x:c>
      <x:c r="RG45" s="14" t="n">
        <x:v>3658</x:v>
      </x:c>
      <x:c r="RH45" s="14" t="n">
        <x:v>113</x:v>
      </x:c>
      <x:c r="RI45" s="14" t="n">
        <x:v>5</x:v>
      </x:c>
      <x:c r="RJ45" s="14" t="n">
        <x:v>1</x:v>
      </x:c>
      <x:c r="RK45" s="14" t="str">
        <x:v>未收錄</x:v>
      </x:c>
      <x:c r="RL45" s="14" t="str">
        <x:v>23705</x:v>
      </x:c>
      <x:c r="RM45" s="14" t="n">
        <x:v>3</x:v>
      </x:c>
      <x:c r="RN45" s="14" t="n">
        <x:v>3659</x:v>
      </x:c>
      <x:c r="RO45" s="14" t="n">
        <x:v>114</x:v>
      </x:c>
      <x:c r="RP45" s="14" t="n">
        <x:v>5</x:v>
      </x:c>
      <x:c r="RQ45" s="14" t="n">
        <x:v>2</x:v>
      </x:c>
      <x:c r="RR45" s="14" t="str">
        <x:v>未收錄</x:v>
      </x:c>
      <x:c r="RS45" s="14" t="str">
        <x:v>23706</x:v>
      </x:c>
      <x:c r="RT45" s="14" t="n">
        <x:v>3</x:v>
      </x:c>
      <x:c r="RU45" s="14" t="n">
        <x:v>3660</x:v>
      </x:c>
      <x:c r="RV45" s="14" t="n">
        <x:v>115</x:v>
      </x:c>
      <x:c r="RW45" s="14" t="n">
        <x:v>5</x:v>
      </x:c>
      <x:c r="RX45" s="14" t="n">
        <x:v>3</x:v>
      </x:c>
      <x:c r="RY45" s="14" t="str">
        <x:v>未收錄</x:v>
      </x:c>
      <x:c r="RZ45" s="14" t="str">
        <x:v>23707</x:v>
      </x:c>
      <x:c r="SA45" s="14" t="n">
        <x:v>3</x:v>
      </x:c>
      <x:c r="SB45" s="14" t="n">
        <x:v>3661</x:v>
      </x:c>
      <x:c r="SC45" s="14" t="n">
        <x:v>116</x:v>
      </x:c>
      <x:c r="SD45" s="14" t="n">
        <x:v>5</x:v>
      </x:c>
      <x:c r="SE45" s="14" t="n">
        <x:v>4</x:v>
      </x:c>
      <x:c r="SF45" s="14" t="str">
        <x:v>未收錄</x:v>
      </x:c>
      <x:c r="SG45" s="14"/>
      <x:c r="SH45" s="14"/>
      <x:c r="SI45" s="14"/>
      <x:c r="SJ45" s="14"/>
      <x:c r="SK45" s="14"/>
      <x:c r="SL45" s="14"/>
      <x:c r="SM45" s="14"/>
      <x:c r="SN45" s="14"/>
      <x:c r="SO45" s="14"/>
      <x:c r="SP45" s="14"/>
      <x:c r="SQ45" s="14"/>
      <x:c r="SR45" s="14"/>
      <x:c r="SS45" s="14"/>
      <x:c r="ST45" s="14"/>
      <x:c r="SU45" s="14"/>
      <x:c r="SV45" s="14"/>
      <x:c r="SW45" s="14"/>
      <x:c r="SX45" s="14"/>
      <x:c r="SY45" s="14"/>
      <x:c r="SZ45" s="14"/>
      <x:c r="TA45" s="14"/>
      <x:c r="TB45" s="14"/>
      <x:c r="TC45" s="14"/>
      <x:c r="TD45" s="14"/>
      <x:c r="TE45" s="14"/>
      <x:c r="TF45" s="14"/>
      <x:c r="TG45" s="14"/>
      <x:c r="TH45" s="14"/>
    </x:row>
    <x:row r="46" ht="15" customHeight="1">
      <x:c r="A46" s="18" t="str">
        <x:v>無雙敗亡劍</x:v>
      </x:c>
      <x:c r="B46" s="18" t="str">
        <x:v>懲罪天劫劍</x:v>
      </x:c>
      <x:c r="C46" s="18" t="str">
        <x:v>降罰地刑劍</x:v>
      </x:c>
      <x:c r="D46" s="18" t="str">
        <x:v>望陽劍</x:v>
      </x:c>
      <x:c r="E46" s="14"/>
      <x:c r="F46" s="18" t="str">
        <x:v>太古無界刀</x:v>
      </x:c>
      <x:c r="G46" s="18" t="str">
        <x:v>無雙無界刀</x:v>
      </x:c>
      <x:c r="H46" s="18" t="str">
        <x:v>天霸無界刀</x:v>
      </x:c>
      <x:c r="I46" s="18" t="str">
        <x:v>萬滅無界刀</x:v>
      </x:c>
      <x:c r="J46" s="14"/>
      <x:c r="K46" s="18" t="str">
        <x:v>樓寒末仇藜</x:v>
      </x:c>
      <x:c r="L46" s="18" t="str">
        <x:v>樓寒末仇藜</x:v>
      </x:c>
      <x:c r="M46" s="18" t="str">
        <x:v>六滅化神杵</x:v>
      </x:c>
      <x:c r="N46" s="18" t="str">
        <x:v>真六滅化神輪</x:v>
      </x:c>
      <x:c r="O46" s="14"/>
      <x:c r="P46" s="18" t="str">
        <x:v>峻霆‧星霜絲</x:v>
      </x:c>
      <x:c r="Q46" s="18" t="str">
        <x:v>窮極‧星霜絲</x:v>
      </x:c>
      <x:c r="R46" s="18" t="str">
        <x:v>元宙‧星霜絲</x:v>
      </x:c>
      <x:c r="S46" s="18" t="str">
        <x:v>真宇傲星霜絲</x:v>
      </x:c>
      <x:c r="T46" s="14"/>
      <x:c r="U46" s="18" t="str">
        <x:v>宇傲‧釋迦杖</x:v>
      </x:c>
      <x:c r="V46" s="18" t="str">
        <x:v>峻霆‧釋迦杖</x:v>
      </x:c>
      <x:c r="W46" s="18" t="str">
        <x:v>窮極‧釋迦杖</x:v>
      </x:c>
      <x:c r="X46" s="18" t="str">
        <x:v>元宙‧釋迦杖</x:v>
      </x:c>
      <x:c r="Y46" s="14"/>
      <x:c r="Z46" s="18" t="str">
        <x:v>權霸槍★★★</x:v>
      </x:c>
      <x:c r="AA46" s="18" t="str">
        <x:v>八葉定慧槍</x:v>
      </x:c>
      <x:c r="AB46" s="18" t="str">
        <x:v>天狼滅牙槍</x:v>
      </x:c>
      <x:c r="AC46" s="18" t="str">
        <x:v>裂界五絕槍</x:v>
      </x:c>
      <x:c r="AD46" s="14"/>
      <x:c r="AE46" s="18" t="str">
        <x:v>燦光極星棍</x:v>
      </x:c>
      <x:c r="AF46" s="18" t="str">
        <x:v>金秤規天棍</x:v>
      </x:c>
      <x:c r="AG46" s="18" t="str">
        <x:v>阿波羅煌棍</x:v>
      </x:c>
      <x:c r="AH46" s="18" t="str">
        <x:v>阿波羅煌棍</x:v>
      </x:c>
      <x:c r="AI46" s="14"/>
      <x:c r="AJ46" s="14"/>
      <x:c r="AK46" s="14"/>
      <x:c r="AL46" s="14"/>
      <x:c r="AM46" s="14"/>
      <x:c r="AN46" s="14"/>
      <x:c r="AO46" s="14"/>
      <x:c r="AP46" s="14"/>
      <x:c r="AQ46" s="14"/>
      <x:c r="AR46" s="14"/>
      <x:c r="AS46" s="14"/>
      <x:c r="AT46" s="14"/>
      <x:c r="AU46" s="14"/>
      <x:c r="AV46" s="14"/>
      <x:c r="AW46" s="14"/>
      <x:c r="AX46" s="14"/>
      <x:c r="AY46" s="18" t="str">
        <x:v>霸統戰盔</x:v>
      </x:c>
      <x:c r="AZ46" s="18" t="str">
        <x:v>陣澤紋冠</x:v>
      </x:c>
      <x:c r="BA46" s="18" t="str">
        <x:v>伊幡禪帽</x:v>
      </x:c>
      <x:c r="BB46" s="18" t="str">
        <x:v>丸勢頭巾</x:v>
      </x:c>
      <x:c r="BC46" s="14"/>
      <x:c r="BD46" s="18" t="str">
        <x:v>笠紀禪袍</x:v>
      </x:c>
      <x:c r="BE46" s="18" t="str">
        <x:v>伏藏護甲</x:v>
      </x:c>
      <x:c r="BF46" s="18" t="str">
        <x:v>武幕戰鎧</x:v>
      </x:c>
      <x:c r="BG46" s="18" t="str">
        <x:v>霸統戰鎧</x:v>
      </x:c>
      <x:c r="BH46" s="14"/>
      <x:c r="BI46" s="18" t="str">
        <x:v>朝陽法腕</x:v>
      </x:c>
      <x:c r="BJ46" s="18" t="str">
        <x:v>玄陽法腕</x:v>
      </x:c>
      <x:c r="BK46" s="18" t="str">
        <x:v>聖空護腕</x:v>
      </x:c>
      <x:c r="BL46" s="18" t="str">
        <x:v>圓空護腕</x:v>
      </x:c>
      <x:c r="BM46" s="14"/>
      <x:c r="BN46" s="18" t="str">
        <x:v>殘月護靴</x:v>
      </x:c>
      <x:c r="BO46" s="18" t="str">
        <x:v>昇陽紋靴</x:v>
      </x:c>
      <x:c r="BP46" s="18" t="str">
        <x:v>朝陽紋靴</x:v>
      </x:c>
      <x:c r="BQ46" s="18" t="str">
        <x:v>玄陽紋靴</x:v>
      </x:c>
      <x:c r="BR46" s="14"/>
      <x:c r="BS46" s="18" t="str">
        <x:v>真‧戰神負重鍊</x:v>
      </x:c>
      <x:c r="BT46" s="18" t="str">
        <x:v>噬運魔戒</x:v>
      </x:c>
      <x:c r="BU46" s="18" t="str">
        <x:v>蝕元魔鍊</x:v>
      </x:c>
      <x:c r="BV46" s="18" t="str">
        <x:v>小昭德綴</x:v>
      </x:c>
      <x:c r="BW46" s="14"/>
      <x:c r="BX46" s="14"/>
      <x:c r="BY46" s="14"/>
      <x:c r="BZ46" s="14"/>
      <x:c r="CA46" s="14"/>
      <x:c r="CB46" s="14"/>
      <x:c r="CC46" s="14" t="str">
        <x:v>24103</x:v>
      </x:c>
      <x:c r="CD46" s="14" t="n">
        <x:v>8</x:v>
      </x:c>
      <x:c r="CE46" s="14" t="n">
        <x:v>117</x:v>
      </x:c>
      <x:c r="CF46" s="14" t="n">
        <x:v>117</x:v>
      </x:c>
      <x:c r="CG46" s="14" t="n">
        <x:v>6</x:v>
      </x:c>
      <x:c r="CH46" s="14" t="n">
        <x:v>1</x:v>
      </x:c>
      <x:c r="CI46" s="14" t="str">
        <x:v>未收錄</x:v>
      </x:c>
      <x:c r="CJ46" s="14" t="str">
        <x:v>23587</x:v>
      </x:c>
      <x:c r="CK46" s="14" t="n">
        <x:v>8</x:v>
      </x:c>
      <x:c r="CL46" s="14" t="n">
        <x:v>118</x:v>
      </x:c>
      <x:c r="CM46" s="14" t="n">
        <x:v>118</x:v>
      </x:c>
      <x:c r="CN46" s="14" t="n">
        <x:v>6</x:v>
      </x:c>
      <x:c r="CO46" s="14" t="n">
        <x:v>2</x:v>
      </x:c>
      <x:c r="CP46" s="14" t="str">
        <x:v>未收錄</x:v>
      </x:c>
      <x:c r="CQ46" s="14" t="str">
        <x:v>23588</x:v>
      </x:c>
      <x:c r="CR46" s="14" t="n">
        <x:v>8</x:v>
      </x:c>
      <x:c r="CS46" s="14" t="n">
        <x:v>119</x:v>
      </x:c>
      <x:c r="CT46" s="14" t="n">
        <x:v>119</x:v>
      </x:c>
      <x:c r="CU46" s="14" t="n">
        <x:v>6</x:v>
      </x:c>
      <x:c r="CV46" s="14" t="n">
        <x:v>3</x:v>
      </x:c>
      <x:c r="CW46" s="14" t="str">
        <x:v>未收錄</x:v>
      </x:c>
      <x:c r="CX46" s="14" t="str">
        <x:v>23589</x:v>
      </x:c>
      <x:c r="CY46" s="14" t="n">
        <x:v>8</x:v>
      </x:c>
      <x:c r="CZ46" s="14" t="n">
        <x:v>120</x:v>
      </x:c>
      <x:c r="DA46" s="14" t="n">
        <x:v>120</x:v>
      </x:c>
      <x:c r="DB46" s="14" t="n">
        <x:v>6</x:v>
      </x:c>
      <x:c r="DC46" s="14" t="n">
        <x:v>4</x:v>
      </x:c>
      <x:c r="DD46" s="14" t="str">
        <x:v>未收錄</x:v>
      </x:c>
      <x:c r="DE46" s="14" t="str">
        <x:v>24141</x:v>
      </x:c>
      <x:c r="DF46" s="14" t="n">
        <x:v>3</x:v>
      </x:c>
      <x:c r="DG46" s="14" t="n">
        <x:v>362</x:v>
      </x:c>
      <x:c r="DH46" s="14" t="n">
        <x:v>117</x:v>
      </x:c>
      <x:c r="DI46" s="14" t="n">
        <x:v>6</x:v>
      </x:c>
      <x:c r="DJ46" s="14" t="n">
        <x:v>1</x:v>
      </x:c>
      <x:c r="DK46" s="14" t="str">
        <x:v>未收錄</x:v>
      </x:c>
      <x:c r="DL46" s="14" t="str">
        <x:v>24562</x:v>
      </x:c>
      <x:c r="DM46" s="14" t="n">
        <x:v>8</x:v>
      </x:c>
      <x:c r="DN46" s="14" t="n">
        <x:v>363</x:v>
      </x:c>
      <x:c r="DO46" s="14" t="n">
        <x:v>118</x:v>
      </x:c>
      <x:c r="DP46" s="14" t="n">
        <x:v>6</x:v>
      </x:c>
      <x:c r="DQ46" s="14" t="n">
        <x:v>2</x:v>
      </x:c>
      <x:c r="DR46" s="14" t="str">
        <x:v>未收錄</x:v>
      </x:c>
      <x:c r="DS46" s="14" t="str">
        <x:v>24052</x:v>
      </x:c>
      <x:c r="DT46" s="14" t="n">
        <x:v>8</x:v>
      </x:c>
      <x:c r="DU46" s="14" t="n">
        <x:v>364</x:v>
      </x:c>
      <x:c r="DV46" s="14" t="n">
        <x:v>119</x:v>
      </x:c>
      <x:c r="DW46" s="14" t="n">
        <x:v>6</x:v>
      </x:c>
      <x:c r="DX46" s="14" t="n">
        <x:v>3</x:v>
      </x:c>
      <x:c r="DY46" s="14" t="str">
        <x:v>未收錄</x:v>
      </x:c>
      <x:c r="DZ46" s="14" t="str">
        <x:v>24053</x:v>
      </x:c>
      <x:c r="EA46" s="14" t="n">
        <x:v>8</x:v>
      </x:c>
      <x:c r="EB46" s="14" t="n">
        <x:v>365</x:v>
      </x:c>
      <x:c r="EC46" s="14" t="n">
        <x:v>120</x:v>
      </x:c>
      <x:c r="ED46" s="14" t="n">
        <x:v>6</x:v>
      </x:c>
      <x:c r="EE46" s="14" t="n">
        <x:v>4</x:v>
      </x:c>
      <x:c r="EF46" s="14" t="str">
        <x:v>未收錄</x:v>
      </x:c>
      <x:c r="EG46" s="14" t="str">
        <x:v>29915</x:v>
      </x:c>
      <x:c r="EH46" s="14" t="n">
        <x:v>20</x:v>
      </x:c>
      <x:c r="EI46" s="14" t="n">
        <x:v>598</x:v>
      </x:c>
      <x:c r="EJ46" s="14" t="n">
        <x:v>117</x:v>
      </x:c>
      <x:c r="EK46" s="14" t="n">
        <x:v>6</x:v>
      </x:c>
      <x:c r="EL46" s="14" t="n">
        <x:v>1</x:v>
      </x:c>
      <x:c r="EM46" s="14" t="str">
        <x:v>未收錄</x:v>
      </x:c>
      <x:c r="EN46" s="14" t="str">
        <x:v>29925</x:v>
      </x:c>
      <x:c r="EO46" s="14" t="n">
        <x:v>20</x:v>
      </x:c>
      <x:c r="EP46" s="14" t="n">
        <x:v>599</x:v>
      </x:c>
      <x:c r="EQ46" s="14" t="n">
        <x:v>118</x:v>
      </x:c>
      <x:c r="ER46" s="14" t="n">
        <x:v>6</x:v>
      </x:c>
      <x:c r="ES46" s="14" t="n">
        <x:v>2</x:v>
      </x:c>
      <x:c r="ET46" s="14" t="str">
        <x:v>未收錄</x:v>
      </x:c>
      <x:c r="EU46" s="14" t="str">
        <x:v>23633</x:v>
      </x:c>
      <x:c r="EV46" s="14" t="n">
        <x:v>10</x:v>
      </x:c>
      <x:c r="EW46" s="14" t="n">
        <x:v>600</x:v>
      </x:c>
      <x:c r="EX46" s="14" t="n">
        <x:v>119</x:v>
      </x:c>
      <x:c r="EY46" s="14" t="n">
        <x:v>6</x:v>
      </x:c>
      <x:c r="EZ46" s="14" t="n">
        <x:v>3</x:v>
      </x:c>
      <x:c r="FA46" s="14" t="str">
        <x:v>未收錄</x:v>
      </x:c>
      <x:c r="FB46" s="14" t="str">
        <x:v>24377</x:v>
      </x:c>
      <x:c r="FC46" s="14" t="n">
        <x:v>10</x:v>
      </x:c>
      <x:c r="FD46" s="14" t="n">
        <x:v>601</x:v>
      </x:c>
      <x:c r="FE46" s="14" t="n">
        <x:v>120</x:v>
      </x:c>
      <x:c r="FF46" s="14" t="n">
        <x:v>6</x:v>
      </x:c>
      <x:c r="FG46" s="14" t="n">
        <x:v>4</x:v>
      </x:c>
      <x:c r="FH46" s="14" t="str">
        <x:v>未收錄</x:v>
      </x:c>
      <x:c r="FI46" s="14" t="str">
        <x:v>27612</x:v>
      </x:c>
      <x:c r="FJ46" s="14" t="n">
        <x:v>8</x:v>
      </x:c>
      <x:c r="FK46" s="14" t="n">
        <x:v>748</x:v>
      </x:c>
      <x:c r="FL46" s="14" t="n">
        <x:v>117</x:v>
      </x:c>
      <x:c r="FM46" s="14" t="n">
        <x:v>6</x:v>
      </x:c>
      <x:c r="FN46" s="14" t="n">
        <x:v>1</x:v>
      </x:c>
      <x:c r="FO46" s="14" t="str">
        <x:v>未收錄</x:v>
      </x:c>
      <x:c r="FP46" s="14" t="str">
        <x:v>27613</x:v>
      </x:c>
      <x:c r="FQ46" s="14" t="n">
        <x:v>8</x:v>
      </x:c>
      <x:c r="FR46" s="14" t="n">
        <x:v>749</x:v>
      </x:c>
      <x:c r="FS46" s="14" t="n">
        <x:v>118</x:v>
      </x:c>
      <x:c r="FT46" s="14" t="n">
        <x:v>6</x:v>
      </x:c>
      <x:c r="FU46" s="14" t="n">
        <x:v>2</x:v>
      </x:c>
      <x:c r="FV46" s="14" t="str">
        <x:v>未收錄</x:v>
      </x:c>
      <x:c r="FW46" s="14" t="str">
        <x:v>27614</x:v>
      </x:c>
      <x:c r="FX46" s="14" t="n">
        <x:v>8</x:v>
      </x:c>
      <x:c r="FY46" s="14" t="n">
        <x:v>750</x:v>
      </x:c>
      <x:c r="FZ46" s="14" t="n">
        <x:v>119</x:v>
      </x:c>
      <x:c r="GA46" s="14" t="n">
        <x:v>6</x:v>
      </x:c>
      <x:c r="GB46" s="14" t="n">
        <x:v>3</x:v>
      </x:c>
      <x:c r="GC46" s="14" t="str">
        <x:v>未收錄</x:v>
      </x:c>
      <x:c r="GD46" s="14" t="str">
        <x:v>27615</x:v>
      </x:c>
      <x:c r="GE46" s="14" t="n">
        <x:v>8</x:v>
      </x:c>
      <x:c r="GF46" s="14" t="n">
        <x:v>751</x:v>
      </x:c>
      <x:c r="GG46" s="14" t="n">
        <x:v>120</x:v>
      </x:c>
      <x:c r="GH46" s="14" t="n">
        <x:v>6</x:v>
      </x:c>
      <x:c r="GI46" s="14" t="n">
        <x:v>4</x:v>
      </x:c>
      <x:c r="GJ46" s="14" t="str">
        <x:v>未收錄</x:v>
      </x:c>
      <x:c r="GK46" s="14" t="str">
        <x:v>27053</x:v>
      </x:c>
      <x:c r="GL46" s="14" t="n">
        <x:v>8</x:v>
      </x:c>
      <x:c r="GM46" s="14" t="n">
        <x:v>920</x:v>
      </x:c>
      <x:c r="GN46" s="14" t="n">
        <x:v>117</x:v>
      </x:c>
      <x:c r="GO46" s="14" t="n">
        <x:v>6</x:v>
      </x:c>
      <x:c r="GP46" s="14" t="n">
        <x:v>1</x:v>
      </x:c>
      <x:c r="GQ46" s="14" t="str">
        <x:v>未收錄</x:v>
      </x:c>
      <x:c r="GR46" s="14" t="str">
        <x:v>27616</x:v>
      </x:c>
      <x:c r="GS46" s="14" t="n">
        <x:v>8</x:v>
      </x:c>
      <x:c r="GT46" s="14" t="n">
        <x:v>921</x:v>
      </x:c>
      <x:c r="GU46" s="14" t="n">
        <x:v>118</x:v>
      </x:c>
      <x:c r="GV46" s="14" t="n">
        <x:v>6</x:v>
      </x:c>
      <x:c r="GW46" s="14" t="n">
        <x:v>2</x:v>
      </x:c>
      <x:c r="GX46" s="14" t="str">
        <x:v>未收錄</x:v>
      </x:c>
      <x:c r="GY46" s="14" t="str">
        <x:v>27617</x:v>
      </x:c>
      <x:c r="GZ46" s="14" t="n">
        <x:v>8</x:v>
      </x:c>
      <x:c r="HA46" s="14" t="n">
        <x:v>922</x:v>
      </x:c>
      <x:c r="HB46" s="14" t="n">
        <x:v>119</x:v>
      </x:c>
      <x:c r="HC46" s="14" t="n">
        <x:v>6</x:v>
      </x:c>
      <x:c r="HD46" s="14" t="n">
        <x:v>3</x:v>
      </x:c>
      <x:c r="HE46" s="14" t="str">
        <x:v>未收錄</x:v>
      </x:c>
      <x:c r="HF46" s="14" t="str">
        <x:v>27618</x:v>
      </x:c>
      <x:c r="HG46" s="14" t="n">
        <x:v>8</x:v>
      </x:c>
      <x:c r="HH46" s="14" t="n">
        <x:v>923</x:v>
      </x:c>
      <x:c r="HI46" s="14" t="n">
        <x:v>120</x:v>
      </x:c>
      <x:c r="HJ46" s="14" t="n">
        <x:v>6</x:v>
      </x:c>
      <x:c r="HK46" s="14" t="n">
        <x:v>4</x:v>
      </x:c>
      <x:c r="HL46" s="14" t="str">
        <x:v>未收錄</x:v>
      </x:c>
      <x:c r="HM46" s="14" t="str">
        <x:v>29378</x:v>
      </x:c>
      <x:c r="HN46" s="14" t="n">
        <x:v>8</x:v>
      </x:c>
      <x:c r="HO46" s="14" t="n">
        <x:v>1093</x:v>
      </x:c>
      <x:c r="HP46" s="14" t="n">
        <x:v>117</x:v>
      </x:c>
      <x:c r="HQ46" s="14" t="n">
        <x:v>6</x:v>
      </x:c>
      <x:c r="HR46" s="14" t="n">
        <x:v>1</x:v>
      </x:c>
      <x:c r="HS46" s="14" t="str">
        <x:v>未收錄</x:v>
      </x:c>
      <x:c r="HT46" s="14" t="str">
        <x:v>23387</x:v>
      </x:c>
      <x:c r="HU46" s="14" t="n">
        <x:v>20</x:v>
      </x:c>
      <x:c r="HV46" s="14" t="n">
        <x:v>1094</x:v>
      </x:c>
      <x:c r="HW46" s="14" t="n">
        <x:v>118</x:v>
      </x:c>
      <x:c r="HX46" s="14" t="n">
        <x:v>6</x:v>
      </x:c>
      <x:c r="HY46" s="14" t="n">
        <x:v>2</x:v>
      </x:c>
      <x:c r="HZ46" s="14" t="str">
        <x:v>未收錄</x:v>
      </x:c>
      <x:c r="IA46" s="14" t="str">
        <x:v>23780</x:v>
      </x:c>
      <x:c r="IB46" s="14" t="n">
        <x:v>20</x:v>
      </x:c>
      <x:c r="IC46" s="14" t="n">
        <x:v>1095</x:v>
      </x:c>
      <x:c r="ID46" s="14" t="n">
        <x:v>119</x:v>
      </x:c>
      <x:c r="IE46" s="14" t="n">
        <x:v>6</x:v>
      </x:c>
      <x:c r="IF46" s="14" t="n">
        <x:v>3</x:v>
      </x:c>
      <x:c r="IG46" s="14" t="str">
        <x:v>未收錄</x:v>
      </x:c>
      <x:c r="IH46" s="14" t="str">
        <x:v>24247</x:v>
      </x:c>
      <x:c r="II46" s="14" t="n">
        <x:v>20</x:v>
      </x:c>
      <x:c r="IJ46" s="14" t="n">
        <x:v>1096</x:v>
      </x:c>
      <x:c r="IK46" s="14" t="n">
        <x:v>120</x:v>
      </x:c>
      <x:c r="IL46" s="14" t="n">
        <x:v>6</x:v>
      </x:c>
      <x:c r="IM46" s="14" t="n">
        <x:v>4</x:v>
      </x:c>
      <x:c r="IN46" s="14" t="str">
        <x:v>未收錄</x:v>
      </x:c>
      <x:c r="IO46" s="14" t="str">
        <x:v>24248</x:v>
      </x:c>
      <x:c r="IP46" s="14" t="n">
        <x:v>20</x:v>
      </x:c>
      <x:c r="IQ46" s="14" t="n">
        <x:v>1261</x:v>
      </x:c>
      <x:c r="IR46" s="14" t="n">
        <x:v>117</x:v>
      </x:c>
      <x:c r="IS46" s="14" t="n">
        <x:v>6</x:v>
      </x:c>
      <x:c r="IT46" s="14" t="n">
        <x:v>1</x:v>
      </x:c>
      <x:c r="IU46" s="14" t="str">
        <x:v>未收錄</x:v>
      </x:c>
      <x:c r="IV46" s="14" t="str">
        <x:v>24764</x:v>
      </x:c>
      <x:c r="IW46" s="14" t="n">
        <x:v>20</x:v>
      </x:c>
      <x:c r="IX46" s="14" t="n">
        <x:v>1262</x:v>
      </x:c>
      <x:c r="IY46" s="14" t="n">
        <x:v>118</x:v>
      </x:c>
      <x:c r="IZ46" s="14" t="n">
        <x:v>6</x:v>
      </x:c>
      <x:c r="JA46" s="14" t="n">
        <x:v>2</x:v>
      </x:c>
      <x:c r="JB46" s="14" t="str">
        <x:v>未收錄</x:v>
      </x:c>
      <x:c r="JC46" s="14" t="str">
        <x:v>26293</x:v>
      </x:c>
      <x:c r="JD46" s="14" t="n">
        <x:v>20</x:v>
      </x:c>
      <x:c r="JE46" s="14" t="n">
        <x:v>1263</x:v>
      </x:c>
      <x:c r="JF46" s="14" t="n">
        <x:v>119</x:v>
      </x:c>
      <x:c r="JG46" s="14" t="n">
        <x:v>6</x:v>
      </x:c>
      <x:c r="JH46" s="14" t="n">
        <x:v>3</x:v>
      </x:c>
      <x:c r="JI46" s="14" t="str">
        <x:v>未收錄</x:v>
      </x:c>
      <x:c r="JJ46" s="14" t="str">
        <x:v>26498</x:v>
      </x:c>
      <x:c r="JK46" s="14" t="n">
        <x:v>20</x:v>
      </x:c>
      <x:c r="JL46" s="14" t="n">
        <x:v>1264</x:v>
      </x:c>
      <x:c r="JM46" s="14" t="n">
        <x:v>120</x:v>
      </x:c>
      <x:c r="JN46" s="14" t="n">
        <x:v>6</x:v>
      </x:c>
      <x:c r="JO46" s="14" t="n">
        <x:v>4</x:v>
      </x:c>
      <x:c r="JP46" s="14" t="str">
        <x:v>未收錄</x:v>
      </x:c>
      <x:c r="JQ46" s="14"/>
      <x:c r="JR46" s="14"/>
      <x:c r="JS46" s="14"/>
      <x:c r="JT46" s="14"/>
      <x:c r="JU46" s="14"/>
      <x:c r="JV46" s="14"/>
      <x:c r="JW46" s="14"/>
      <x:c r="JX46" s="14"/>
      <x:c r="JY46" s="14"/>
      <x:c r="JZ46" s="14"/>
      <x:c r="KA46" s="14"/>
      <x:c r="KB46" s="14"/>
      <x:c r="KC46" s="14"/>
      <x:c r="KD46" s="14"/>
      <x:c r="KE46" s="14"/>
      <x:c r="KF46" s="14"/>
      <x:c r="KG46" s="14"/>
      <x:c r="KH46" s="14"/>
      <x:c r="KI46" s="14"/>
      <x:c r="KJ46" s="14"/>
      <x:c r="KK46" s="14"/>
      <x:c r="KL46" s="14"/>
      <x:c r="KM46" s="14"/>
      <x:c r="KN46" s="14"/>
      <x:c r="KO46" s="14"/>
      <x:c r="KP46" s="14"/>
      <x:c r="KQ46" s="14"/>
      <x:c r="KR46" s="14"/>
      <x:c r="KS46" s="14"/>
      <x:c r="KT46" s="14"/>
      <x:c r="KU46" s="14"/>
      <x:c r="KV46" s="14"/>
      <x:c r="KW46" s="14"/>
      <x:c r="KX46" s="14"/>
      <x:c r="KY46" s="14"/>
      <x:c r="KZ46" s="14"/>
      <x:c r="LA46" s="14"/>
      <x:c r="LB46" s="14"/>
      <x:c r="LC46" s="14"/>
      <x:c r="LD46" s="14"/>
      <x:c r="LE46" s="14"/>
      <x:c r="LF46" s="14"/>
      <x:c r="LG46" s="14"/>
      <x:c r="LH46" s="14"/>
      <x:c r="LI46" s="14"/>
      <x:c r="LJ46" s="14"/>
      <x:c r="LK46" s="14"/>
      <x:c r="LL46" s="14"/>
      <x:c r="LM46" s="14"/>
      <x:c r="LN46" s="14"/>
      <x:c r="LO46" s="14"/>
      <x:c r="LP46" s="14"/>
      <x:c r="LQ46" s="14"/>
      <x:c r="LR46" s="14"/>
      <x:c r="LS46" s="14"/>
      <x:c r="LT46" s="14"/>
      <x:c r="LU46" s="14"/>
      <x:c r="LV46" s="14"/>
      <x:c r="LW46" s="14"/>
      <x:c r="LX46" s="14"/>
      <x:c r="LY46" s="14"/>
      <x:c r="LZ46" s="14"/>
      <x:c r="MA46" s="14"/>
      <x:c r="MB46" s="14"/>
      <x:c r="MC46" s="14"/>
      <x:c r="MD46" s="14"/>
      <x:c r="ME46" s="14"/>
      <x:c r="MF46" s="14"/>
      <x:c r="MG46" s="14"/>
      <x:c r="MH46" s="14"/>
      <x:c r="MI46" s="14"/>
      <x:c r="MJ46" s="14"/>
      <x:c r="MK46" s="14"/>
      <x:c r="ML46" s="14"/>
      <x:c r="MM46" s="14"/>
      <x:c r="MN46" s="14"/>
      <x:c r="MO46" s="14"/>
      <x:c r="MP46" s="14"/>
      <x:c r="MQ46" s="14"/>
      <x:c r="MR46" s="14"/>
      <x:c r="MS46" s="14"/>
      <x:c r="MT46" s="14"/>
      <x:c r="MU46" s="14"/>
      <x:c r="MV46" s="14"/>
      <x:c r="MW46" s="14" t="str">
        <x:v>22528</x:v>
      </x:c>
      <x:c r="MX46" s="14" t="n">
        <x:v>5</x:v>
      </x:c>
      <x:c r="MY46" s="14" t="n">
        <x:v>1765</x:v>
      </x:c>
      <x:c r="MZ46" s="14" t="n">
        <x:v>117</x:v>
      </x:c>
      <x:c r="NA46" s="14" t="n">
        <x:v>6</x:v>
      </x:c>
      <x:c r="NB46" s="14" t="n">
        <x:v>1</x:v>
      </x:c>
      <x:c r="NC46" s="14" t="str">
        <x:v>未收錄</x:v>
      </x:c>
      <x:c r="ND46" s="14" t="str">
        <x:v>22529</x:v>
      </x:c>
      <x:c r="NE46" s="14" t="n">
        <x:v>5</x:v>
      </x:c>
      <x:c r="NF46" s="14" t="n">
        <x:v>1766</x:v>
      </x:c>
      <x:c r="NG46" s="14" t="n">
        <x:v>118</x:v>
      </x:c>
      <x:c r="NH46" s="14" t="n">
        <x:v>6</x:v>
      </x:c>
      <x:c r="NI46" s="14" t="n">
        <x:v>2</x:v>
      </x:c>
      <x:c r="NJ46" s="14" t="str">
        <x:v>未收錄</x:v>
      </x:c>
      <x:c r="NK46" s="14" t="str">
        <x:v>22530</x:v>
      </x:c>
      <x:c r="NL46" s="14" t="n">
        <x:v>5</x:v>
      </x:c>
      <x:c r="NM46" s="14" t="n">
        <x:v>1767</x:v>
      </x:c>
      <x:c r="NN46" s="14" t="n">
        <x:v>119</x:v>
      </x:c>
      <x:c r="NO46" s="14" t="n">
        <x:v>6</x:v>
      </x:c>
      <x:c r="NP46" s="14" t="n">
        <x:v>3</x:v>
      </x:c>
      <x:c r="NQ46" s="14" t="str">
        <x:v>未收錄</x:v>
      </x:c>
      <x:c r="NR46" s="14" t="str">
        <x:v>22531</x:v>
      </x:c>
      <x:c r="NS46" s="14" t="n">
        <x:v>5</x:v>
      </x:c>
      <x:c r="NT46" s="14" t="n">
        <x:v>1768</x:v>
      </x:c>
      <x:c r="NU46" s="14" t="n">
        <x:v>120</x:v>
      </x:c>
      <x:c r="NV46" s="14" t="n">
        <x:v>6</x:v>
      </x:c>
      <x:c r="NW46" s="14" t="n">
        <x:v>4</x:v>
      </x:c>
      <x:c r="NX46" s="14" t="str">
        <x:v>未收錄</x:v>
      </x:c>
      <x:c r="NY46" s="14" t="str">
        <x:v>22535</x:v>
      </x:c>
      <x:c r="NZ46" s="14" t="n">
        <x:v>5</x:v>
      </x:c>
      <x:c r="OA46" s="14" t="n">
        <x:v>2218</x:v>
      </x:c>
      <x:c r="OB46" s="14" t="n">
        <x:v>117</x:v>
      </x:c>
      <x:c r="OC46" s="14" t="n">
        <x:v>6</x:v>
      </x:c>
      <x:c r="OD46" s="14" t="n">
        <x:v>1</x:v>
      </x:c>
      <x:c r="OE46" s="14" t="str">
        <x:v>未收錄</x:v>
      </x:c>
      <x:c r="OF46" s="14" t="str">
        <x:v>22536</x:v>
      </x:c>
      <x:c r="OG46" s="14" t="n">
        <x:v>5</x:v>
      </x:c>
      <x:c r="OH46" s="14" t="n">
        <x:v>2219</x:v>
      </x:c>
      <x:c r="OI46" s="14" t="n">
        <x:v>118</x:v>
      </x:c>
      <x:c r="OJ46" s="14" t="n">
        <x:v>6</x:v>
      </x:c>
      <x:c r="OK46" s="14" t="n">
        <x:v>2</x:v>
      </x:c>
      <x:c r="OL46" s="14" t="str">
        <x:v>未收錄</x:v>
      </x:c>
      <x:c r="OM46" s="14" t="str">
        <x:v>22537</x:v>
      </x:c>
      <x:c r="ON46" s="14" t="n">
        <x:v>5</x:v>
      </x:c>
      <x:c r="OO46" s="14" t="n">
        <x:v>2220</x:v>
      </x:c>
      <x:c r="OP46" s="14" t="n">
        <x:v>119</x:v>
      </x:c>
      <x:c r="OQ46" s="14" t="n">
        <x:v>6</x:v>
      </x:c>
      <x:c r="OR46" s="14" t="n">
        <x:v>3</x:v>
      </x:c>
      <x:c r="OS46" s="14" t="str">
        <x:v>未收錄</x:v>
      </x:c>
      <x:c r="OT46" s="14" t="str">
        <x:v>22538</x:v>
      </x:c>
      <x:c r="OU46" s="14" t="n">
        <x:v>5</x:v>
      </x:c>
      <x:c r="OV46" s="14" t="n">
        <x:v>2221</x:v>
      </x:c>
      <x:c r="OW46" s="14" t="n">
        <x:v>120</x:v>
      </x:c>
      <x:c r="OX46" s="14" t="n">
        <x:v>6</x:v>
      </x:c>
      <x:c r="OY46" s="14" t="n">
        <x:v>4</x:v>
      </x:c>
      <x:c r="OZ46" s="14" t="str">
        <x:v>未收錄</x:v>
      </x:c>
      <x:c r="PA46" s="14" t="str">
        <x:v>22971</x:v>
      </x:c>
      <x:c r="PB46" s="14" t="n">
        <x:v>5</x:v>
      </x:c>
      <x:c r="PC46" s="14" t="n">
        <x:v>2764</x:v>
      </x:c>
      <x:c r="PD46" s="14" t="n">
        <x:v>117</x:v>
      </x:c>
      <x:c r="PE46" s="14" t="n">
        <x:v>6</x:v>
      </x:c>
      <x:c r="PF46" s="14" t="n">
        <x:v>1</x:v>
      </x:c>
      <x:c r="PG46" s="14" t="str">
        <x:v>未收錄</x:v>
      </x:c>
      <x:c r="PH46" s="14" t="str">
        <x:v>22972</x:v>
      </x:c>
      <x:c r="PI46" s="14" t="n">
        <x:v>5</x:v>
      </x:c>
      <x:c r="PJ46" s="14" t="n">
        <x:v>2765</x:v>
      </x:c>
      <x:c r="PK46" s="14" t="n">
        <x:v>118</x:v>
      </x:c>
      <x:c r="PL46" s="14" t="n">
        <x:v>6</x:v>
      </x:c>
      <x:c r="PM46" s="14" t="n">
        <x:v>2</x:v>
      </x:c>
      <x:c r="PN46" s="14" t="str">
        <x:v>未收錄</x:v>
      </x:c>
      <x:c r="PO46" s="14" t="str">
        <x:v>22973</x:v>
      </x:c>
      <x:c r="PP46" s="14" t="n">
        <x:v>5</x:v>
      </x:c>
      <x:c r="PQ46" s="14" t="n">
        <x:v>2766</x:v>
      </x:c>
      <x:c r="PR46" s="14" t="n">
        <x:v>119</x:v>
      </x:c>
      <x:c r="PS46" s="14" t="n">
        <x:v>6</x:v>
      </x:c>
      <x:c r="PT46" s="14" t="n">
        <x:v>3</x:v>
      </x:c>
      <x:c r="PU46" s="14" t="str">
        <x:v>未收錄</x:v>
      </x:c>
      <x:c r="PV46" s="14" t="str">
        <x:v>22974</x:v>
      </x:c>
      <x:c r="PW46" s="14" t="n">
        <x:v>5</x:v>
      </x:c>
      <x:c r="PX46" s="14" t="n">
        <x:v>2767</x:v>
      </x:c>
      <x:c r="PY46" s="14" t="n">
        <x:v>120</x:v>
      </x:c>
      <x:c r="PZ46" s="14" t="n">
        <x:v>6</x:v>
      </x:c>
      <x:c r="QA46" s="14" t="n">
        <x:v>4</x:v>
      </x:c>
      <x:c r="QB46" s="14" t="str">
        <x:v>未收錄</x:v>
      </x:c>
      <x:c r="QC46" s="14" t="str">
        <x:v>22984</x:v>
      </x:c>
      <x:c r="QD46" s="14" t="n">
        <x:v>5</x:v>
      </x:c>
      <x:c r="QE46" s="14" t="n">
        <x:v>3201</x:v>
      </x:c>
      <x:c r="QF46" s="14" t="n">
        <x:v>117</x:v>
      </x:c>
      <x:c r="QG46" s="14" t="n">
        <x:v>6</x:v>
      </x:c>
      <x:c r="QH46" s="14" t="n">
        <x:v>1</x:v>
      </x:c>
      <x:c r="QI46" s="14" t="str">
        <x:v>未收錄</x:v>
      </x:c>
      <x:c r="QJ46" s="14" t="str">
        <x:v>22985</x:v>
      </x:c>
      <x:c r="QK46" s="14" t="n">
        <x:v>5</x:v>
      </x:c>
      <x:c r="QL46" s="14" t="n">
        <x:v>3202</x:v>
      </x:c>
      <x:c r="QM46" s="14" t="n">
        <x:v>118</x:v>
      </x:c>
      <x:c r="QN46" s="14" t="n">
        <x:v>6</x:v>
      </x:c>
      <x:c r="QO46" s="14" t="n">
        <x:v>2</x:v>
      </x:c>
      <x:c r="QP46" s="14" t="str">
        <x:v>未收錄</x:v>
      </x:c>
      <x:c r="QQ46" s="14" t="str">
        <x:v>22986</x:v>
      </x:c>
      <x:c r="QR46" s="14" t="n">
        <x:v>5</x:v>
      </x:c>
      <x:c r="QS46" s="14" t="n">
        <x:v>3203</x:v>
      </x:c>
      <x:c r="QT46" s="14" t="n">
        <x:v>119</x:v>
      </x:c>
      <x:c r="QU46" s="14" t="n">
        <x:v>6</x:v>
      </x:c>
      <x:c r="QV46" s="14" t="n">
        <x:v>3</x:v>
      </x:c>
      <x:c r="QW46" s="14" t="str">
        <x:v>未收錄</x:v>
      </x:c>
      <x:c r="QX46" s="14" t="str">
        <x:v>22987</x:v>
      </x:c>
      <x:c r="QY46" s="14" t="n">
        <x:v>5</x:v>
      </x:c>
      <x:c r="QZ46" s="14" t="n">
        <x:v>3204</x:v>
      </x:c>
      <x:c r="RA46" s="14" t="n">
        <x:v>120</x:v>
      </x:c>
      <x:c r="RB46" s="14" t="n">
        <x:v>6</x:v>
      </x:c>
      <x:c r="RC46" s="14" t="n">
        <x:v>4</x:v>
      </x:c>
      <x:c r="RD46" s="14" t="str">
        <x:v>未收錄</x:v>
      </x:c>
      <x:c r="RE46" s="14" t="str">
        <x:v>23792</x:v>
      </x:c>
      <x:c r="RF46" s="14" t="n">
        <x:v>5</x:v>
      </x:c>
      <x:c r="RG46" s="14" t="n">
        <x:v>3662</x:v>
      </x:c>
      <x:c r="RH46" s="14" t="n">
        <x:v>117</x:v>
      </x:c>
      <x:c r="RI46" s="14" t="n">
        <x:v>6</x:v>
      </x:c>
      <x:c r="RJ46" s="14" t="n">
        <x:v>1</x:v>
      </x:c>
      <x:c r="RK46" s="14" t="str">
        <x:v>未收錄</x:v>
      </x:c>
      <x:c r="RL46" s="14" t="str">
        <x:v>23954</x:v>
      </x:c>
      <x:c r="RM46" s="14" t="n">
        <x:v>5</x:v>
      </x:c>
      <x:c r="RN46" s="14" t="n">
        <x:v>3663</x:v>
      </x:c>
      <x:c r="RO46" s="14" t="n">
        <x:v>118</x:v>
      </x:c>
      <x:c r="RP46" s="14" t="n">
        <x:v>6</x:v>
      </x:c>
      <x:c r="RQ46" s="14" t="n">
        <x:v>2</x:v>
      </x:c>
      <x:c r="RR46" s="14" t="str">
        <x:v>未收錄</x:v>
      </x:c>
      <x:c r="RS46" s="14" t="str">
        <x:v>23955</x:v>
      </x:c>
      <x:c r="RT46" s="14" t="n">
        <x:v>5</x:v>
      </x:c>
      <x:c r="RU46" s="14" t="n">
        <x:v>3664</x:v>
      </x:c>
      <x:c r="RV46" s="14" t="n">
        <x:v>119</x:v>
      </x:c>
      <x:c r="RW46" s="14" t="n">
        <x:v>6</x:v>
      </x:c>
      <x:c r="RX46" s="14" t="n">
        <x:v>3</x:v>
      </x:c>
      <x:c r="RY46" s="14" t="str">
        <x:v>未收錄</x:v>
      </x:c>
      <x:c r="RZ46" s="14" t="str">
        <x:v>24036</x:v>
      </x:c>
      <x:c r="SA46" s="14" t="n">
        <x:v>5</x:v>
      </x:c>
      <x:c r="SB46" s="14" t="n">
        <x:v>3665</x:v>
      </x:c>
      <x:c r="SC46" s="14" t="n">
        <x:v>120</x:v>
      </x:c>
      <x:c r="SD46" s="14" t="n">
        <x:v>6</x:v>
      </x:c>
      <x:c r="SE46" s="14" t="n">
        <x:v>4</x:v>
      </x:c>
      <x:c r="SF46" s="14" t="str">
        <x:v>未收錄</x:v>
      </x:c>
      <x:c r="SG46" s="14"/>
      <x:c r="SH46" s="14"/>
      <x:c r="SI46" s="14"/>
      <x:c r="SJ46" s="14"/>
      <x:c r="SK46" s="14"/>
      <x:c r="SL46" s="14"/>
      <x:c r="SM46" s="14"/>
      <x:c r="SN46" s="14"/>
      <x:c r="SO46" s="14"/>
      <x:c r="SP46" s="14"/>
      <x:c r="SQ46" s="14"/>
      <x:c r="SR46" s="14"/>
      <x:c r="SS46" s="14"/>
      <x:c r="ST46" s="14"/>
      <x:c r="SU46" s="14"/>
      <x:c r="SV46" s="14"/>
      <x:c r="SW46" s="14"/>
      <x:c r="SX46" s="14"/>
      <x:c r="SY46" s="14"/>
      <x:c r="SZ46" s="14"/>
      <x:c r="TA46" s="14"/>
      <x:c r="TB46" s="14"/>
      <x:c r="TC46" s="14"/>
      <x:c r="TD46" s="14"/>
      <x:c r="TE46" s="14"/>
      <x:c r="TF46" s="14"/>
      <x:c r="TG46" s="14"/>
      <x:c r="TH46" s="14"/>
    </x:row>
    <x:row r="47" ht="15" customHeight="1">
      <x:c r="A47" s="17" t="str">
        <x:v>血瞳赤輝劍</x:v>
      </x:c>
      <x:c r="B47" s="17" t="str">
        <x:v>蒼翡碧熒劍</x:v>
      </x:c>
      <x:c r="C47" s="17" t="str">
        <x:v>妖滅天殛魔劍</x:v>
      </x:c>
      <x:c r="D47" s="17" t="str">
        <x:v>凶亡天殛魔劍</x:v>
      </x:c>
      <x:c r="E47" s="14"/>
      <x:c r="F47" s="17" t="str">
        <x:v>太法刀</x:v>
      </x:c>
      <x:c r="G47" s="17" t="str">
        <x:v>龍威太法刀</x:v>
      </x:c>
      <x:c r="H47" s="17" t="str">
        <x:v>皇胤太法刀</x:v>
      </x:c>
      <x:c r="I47" s="17" t="str">
        <x:v>無界黑燄刀</x:v>
      </x:c>
      <x:c r="J47" s="14"/>
      <x:c r="K47" s="17" t="str">
        <x:v>超六滅化神輪</x:v>
      </x:c>
      <x:c r="L47" s="17" t="str">
        <x:v>絕六滅化神翼</x:v>
      </x:c>
      <x:c r="M47" s="17" t="str">
        <x:v>無六滅化神玉</x:v>
      </x:c>
      <x:c r="N47" s="17" t="str">
        <x:v>帝六滅化神輪</x:v>
      </x:c>
      <x:c r="O47" s="14"/>
      <x:c r="P47" s="17" t="str">
        <x:v>衡星斗★</x:v>
      </x:c>
      <x:c r="Q47" s="17" t="str">
        <x:v>衡星斗★★</x:v>
      </x:c>
      <x:c r="R47" s="17" t="str">
        <x:v>衡星斗★★★</x:v>
      </x:c>
      <x:c r="S47" s="17" t="str">
        <x:v>七公扇☆</x:v>
      </x:c>
      <x:c r="T47" s="14"/>
      <x:c r="U47" s="17" t="str">
        <x:v>真宇傲釋迦杖</x:v>
      </x:c>
      <x:c r="V47" s="17" t="str">
        <x:v>瀚辰杖★</x:v>
      </x:c>
      <x:c r="W47" s="17" t="str">
        <x:v>瀚辰杖★★</x:v>
      </x:c>
      <x:c r="X47" s="17" t="str">
        <x:v>瀚辰杖★★★</x:v>
      </x:c>
      <x:c r="Y47" s="14"/>
      <x:c r="Z47" s="17" t="str">
        <x:v>星駒翔雷槍</x:v>
      </x:c>
      <x:c r="AA47" s="17" t="str">
        <x:v>阿瑞斯霸槍</x:v>
      </x:c>
      <x:c r="AB47" s="17" t="str">
        <x:v>阿瑞斯霸槍</x:v>
      </x:c>
      <x:c r="AC47" s="17" t="str">
        <x:v>荒神蚩尤槍</x:v>
      </x:c>
      <x:c r="AD47" s="14"/>
      <x:c r="AE47" s="17" t="str">
        <x:v>四海蓬萊棍</x:v>
      </x:c>
      <x:c r="AF47" s="17" t="str">
        <x:v>四海蓬萊棍</x:v>
      </x:c>
      <x:c r="AG47" s="17" t="str">
        <x:v>武曲開陽棍</x:v>
      </x:c>
      <x:c r="AH47" s="17" t="str">
        <x:v>神猿宮疾星棍</x:v>
      </x:c>
      <x:c r="AI47" s="14"/>
      <x:c r="AJ47" s="14"/>
      <x:c r="AK47" s="14"/>
      <x:c r="AL47" s="14"/>
      <x:c r="AM47" s="14"/>
      <x:c r="AN47" s="14"/>
      <x:c r="AO47" s="14"/>
      <x:c r="AP47" s="14"/>
      <x:c r="AQ47" s="14"/>
      <x:c r="AR47" s="14"/>
      <x:c r="AS47" s="14"/>
      <x:c r="AT47" s="14"/>
      <x:c r="AU47" s="14"/>
      <x:c r="AV47" s="14"/>
      <x:c r="AW47" s="14"/>
      <x:c r="AX47" s="14"/>
      <x:c r="AY47" s="17" t="str">
        <x:v>月讀紗巾</x:v>
      </x:c>
      <x:c r="AZ47" s="17" t="str">
        <x:v>烈雷武盔</x:v>
      </x:c>
      <x:c r="BA47" s="17" t="str">
        <x:v>震雷武盔</x:v>
      </x:c>
      <x:c r="BB47" s="17" t="str">
        <x:v>驚雷武盔</x:v>
      </x:c>
      <x:c r="BC47" s="14"/>
      <x:c r="BD47" s="17" t="str">
        <x:v>陣澤紋袍</x:v>
      </x:c>
      <x:c r="BE47" s="17" t="str">
        <x:v>伊幡禪袍</x:v>
      </x:c>
      <x:c r="BF47" s="17" t="str">
        <x:v>丸勢護甲</x:v>
      </x:c>
      <x:c r="BG47" s="17" t="str">
        <x:v>天狗法衣</x:v>
      </x:c>
      <x:c r="BH47" s="14"/>
      <x:c r="BI47" s="17" t="str">
        <x:v>明空護腕</x:v>
      </x:c>
      <x:c r="BJ47" s="17" t="str">
        <x:v>蘭若護腕</x:v>
      </x:c>
      <x:c r="BK47" s="17" t="str">
        <x:v>戒日護腕</x:v>
      </x:c>
      <x:c r="BL47" s="17" t="str">
        <x:v>朱綾護腕</x:v>
      </x:c>
      <x:c r="BM47" s="14"/>
      <x:c r="BN47" s="17" t="str">
        <x:v>聖空禪靴</x:v>
      </x:c>
      <x:c r="BO47" s="17" t="str">
        <x:v>圓空禪靴</x:v>
      </x:c>
      <x:c r="BP47" s="17" t="str">
        <x:v>明空禪靴</x:v>
      </x:c>
      <x:c r="BQ47" s="17" t="str">
        <x:v>蘭若戰靴</x:v>
      </x:c>
      <x:c r="BR47" s="14"/>
      <x:c r="BS47" s="17" t="str">
        <x:v>大昭聖輪</x:v>
      </x:c>
      <x:c r="BT47" s="17" t="str">
        <x:v>松贊權徽</x:v>
      </x:c>
      <x:c r="BU47" s="17" t="str">
        <x:v>三律唐卡</x:v>
      </x:c>
      <x:c r="BV47" s="17" t="str">
        <x:v>皈天蒼綴</x:v>
      </x:c>
      <x:c r="BW47" s="14"/>
      <x:c r="BX47" s="14"/>
      <x:c r="BY47" s="14"/>
      <x:c r="BZ47" s="14"/>
      <x:c r="CA47" s="14"/>
      <x:c r="CB47" s="14"/>
      <x:c r="CC47" s="14" t="str">
        <x:v>23590</x:v>
      </x:c>
      <x:c r="CD47" s="14" t="n">
        <x:v>8</x:v>
      </x:c>
      <x:c r="CE47" s="14" t="n">
        <x:v>121</x:v>
      </x:c>
      <x:c r="CF47" s="14" t="n">
        <x:v>121</x:v>
      </x:c>
      <x:c r="CG47" s="14" t="n">
        <x:v>7</x:v>
      </x:c>
      <x:c r="CH47" s="14" t="n">
        <x:v>1</x:v>
      </x:c>
      <x:c r="CI47" s="14" t="str">
        <x:v>未收錄</x:v>
      </x:c>
      <x:c r="CJ47" s="14" t="str">
        <x:v>23591</x:v>
      </x:c>
      <x:c r="CK47" s="14" t="n">
        <x:v>8</x:v>
      </x:c>
      <x:c r="CL47" s="14" t="n">
        <x:v>122</x:v>
      </x:c>
      <x:c r="CM47" s="14" t="n">
        <x:v>122</x:v>
      </x:c>
      <x:c r="CN47" s="14" t="n">
        <x:v>7</x:v>
      </x:c>
      <x:c r="CO47" s="14" t="n">
        <x:v>2</x:v>
      </x:c>
      <x:c r="CP47" s="14" t="str">
        <x:v>未收錄</x:v>
      </x:c>
      <x:c r="CQ47" s="14" t="str">
        <x:v>23908</x:v>
      </x:c>
      <x:c r="CR47" s="14" t="n">
        <x:v>8</x:v>
      </x:c>
      <x:c r="CS47" s="14" t="n">
        <x:v>123</x:v>
      </x:c>
      <x:c r="CT47" s="14" t="n">
        <x:v>123</x:v>
      </x:c>
      <x:c r="CU47" s="14" t="n">
        <x:v>7</x:v>
      </x:c>
      <x:c r="CV47" s="14" t="n">
        <x:v>3</x:v>
      </x:c>
      <x:c r="CW47" s="14" t="str">
        <x:v>未收錄</x:v>
      </x:c>
      <x:c r="CX47" s="14" t="str">
        <x:v>23909</x:v>
      </x:c>
      <x:c r="CY47" s="14" t="n">
        <x:v>8</x:v>
      </x:c>
      <x:c r="CZ47" s="14" t="n">
        <x:v>124</x:v>
      </x:c>
      <x:c r="DA47" s="14" t="n">
        <x:v>124</x:v>
      </x:c>
      <x:c r="DB47" s="14" t="n">
        <x:v>7</x:v>
      </x:c>
      <x:c r="DC47" s="14" t="n">
        <x:v>4</x:v>
      </x:c>
      <x:c r="DD47" s="14" t="str">
        <x:v>未收錄</x:v>
      </x:c>
      <x:c r="DE47" s="14" t="str">
        <x:v>24051</x:v>
      </x:c>
      <x:c r="DF47" s="14" t="n">
        <x:v>8</x:v>
      </x:c>
      <x:c r="DG47" s="14" t="n">
        <x:v>366</x:v>
      </x:c>
      <x:c r="DH47" s="14" t="n">
        <x:v>121</x:v>
      </x:c>
      <x:c r="DI47" s="14" t="n">
        <x:v>7</x:v>
      </x:c>
      <x:c r="DJ47" s="14" t="n">
        <x:v>1</x:v>
      </x:c>
      <x:c r="DK47" s="14" t="str">
        <x:v>未收錄</x:v>
      </x:c>
      <x:c r="DL47" s="14" t="str">
        <x:v>24054</x:v>
      </x:c>
      <x:c r="DM47" s="14" t="n">
        <x:v>8</x:v>
      </x:c>
      <x:c r="DN47" s="14" t="n">
        <x:v>367</x:v>
      </x:c>
      <x:c r="DO47" s="14" t="n">
        <x:v>122</x:v>
      </x:c>
      <x:c r="DP47" s="14" t="n">
        <x:v>7</x:v>
      </x:c>
      <x:c r="DQ47" s="14" t="n">
        <x:v>2</x:v>
      </x:c>
      <x:c r="DR47" s="14" t="str">
        <x:v>未收錄</x:v>
      </x:c>
      <x:c r="DS47" s="14" t="str">
        <x:v>24055</x:v>
      </x:c>
      <x:c r="DT47" s="14" t="n">
        <x:v>8</x:v>
      </x:c>
      <x:c r="DU47" s="14" t="n">
        <x:v>368</x:v>
      </x:c>
      <x:c r="DV47" s="14" t="n">
        <x:v>123</x:v>
      </x:c>
      <x:c r="DW47" s="14" t="n">
        <x:v>7</x:v>
      </x:c>
      <x:c r="DX47" s="14" t="n">
        <x:v>3</x:v>
      </x:c>
      <x:c r="DY47" s="14" t="str">
        <x:v>未收錄</x:v>
      </x:c>
      <x:c r="DZ47" s="14" t="str">
        <x:v>24173</x:v>
      </x:c>
      <x:c r="EA47" s="14" t="n">
        <x:v>8</x:v>
      </x:c>
      <x:c r="EB47" s="14" t="n">
        <x:v>369</x:v>
      </x:c>
      <x:c r="EC47" s="14" t="n">
        <x:v>124</x:v>
      </x:c>
      <x:c r="ED47" s="14" t="n">
        <x:v>7</x:v>
      </x:c>
      <x:c r="EE47" s="14" t="n">
        <x:v>4</x:v>
      </x:c>
      <x:c r="EF47" s="14" t="str">
        <x:v>未收錄</x:v>
      </x:c>
      <x:c r="EG47" s="14" t="str">
        <x:v>24952</x:v>
      </x:c>
      <x:c r="EH47" s="14" t="n">
        <x:v>10</x:v>
      </x:c>
      <x:c r="EI47" s="14" t="n">
        <x:v>602</x:v>
      </x:c>
      <x:c r="EJ47" s="14" t="n">
        <x:v>121</x:v>
      </x:c>
      <x:c r="EK47" s="14" t="n">
        <x:v>7</x:v>
      </x:c>
      <x:c r="EL47" s="14" t="n">
        <x:v>1</x:v>
      </x:c>
      <x:c r="EM47" s="14" t="str">
        <x:v>未收錄</x:v>
      </x:c>
      <x:c r="EN47" s="14" t="str">
        <x:v>26798</x:v>
      </x:c>
      <x:c r="EO47" s="14" t="n">
        <x:v>10</x:v>
      </x:c>
      <x:c r="EP47" s="14" t="n">
        <x:v>603</x:v>
      </x:c>
      <x:c r="EQ47" s="14" t="n">
        <x:v>122</x:v>
      </x:c>
      <x:c r="ER47" s="14" t="n">
        <x:v>7</x:v>
      </x:c>
      <x:c r="ES47" s="14" t="n">
        <x:v>2</x:v>
      </x:c>
      <x:c r="ET47" s="14" t="str">
        <x:v>未收錄</x:v>
      </x:c>
      <x:c r="EU47" s="14" t="str">
        <x:v>27367</x:v>
      </x:c>
      <x:c r="EV47" s="14" t="n">
        <x:v>10</x:v>
      </x:c>
      <x:c r="EW47" s="14" t="n">
        <x:v>604</x:v>
      </x:c>
      <x:c r="EX47" s="14" t="n">
        <x:v>123</x:v>
      </x:c>
      <x:c r="EY47" s="14" t="n">
        <x:v>7</x:v>
      </x:c>
      <x:c r="EZ47" s="14" t="n">
        <x:v>3</x:v>
      </x:c>
      <x:c r="FA47" s="14" t="str">
        <x:v>未收錄</x:v>
      </x:c>
      <x:c r="FB47" s="14" t="str">
        <x:v>27583</x:v>
      </x:c>
      <x:c r="FC47" s="14" t="n">
        <x:v>10</x:v>
      </x:c>
      <x:c r="FD47" s="14" t="n">
        <x:v>605</x:v>
      </x:c>
      <x:c r="FE47" s="14" t="n">
        <x:v>124</x:v>
      </x:c>
      <x:c r="FF47" s="14" t="n">
        <x:v>7</x:v>
      </x:c>
      <x:c r="FG47" s="14" t="n">
        <x:v>4</x:v>
      </x:c>
      <x:c r="FH47" s="14" t="str">
        <x:v>未收錄</x:v>
      </x:c>
      <x:c r="FI47" s="14" t="str">
        <x:v>28358</x:v>
      </x:c>
      <x:c r="FJ47" s="14" t="n">
        <x:v>8</x:v>
      </x:c>
      <x:c r="FK47" s="14" t="n">
        <x:v>752</x:v>
      </x:c>
      <x:c r="FL47" s="14" t="n">
        <x:v>121</x:v>
      </x:c>
      <x:c r="FM47" s="14" t="n">
        <x:v>7</x:v>
      </x:c>
      <x:c r="FN47" s="14" t="n">
        <x:v>1</x:v>
      </x:c>
      <x:c r="FO47" s="14" t="str">
        <x:v>未收錄</x:v>
      </x:c>
      <x:c r="FP47" s="14" t="str">
        <x:v>28359</x:v>
      </x:c>
      <x:c r="FQ47" s="14" t="n">
        <x:v>8</x:v>
      </x:c>
      <x:c r="FR47" s="14" t="n">
        <x:v>753</x:v>
      </x:c>
      <x:c r="FS47" s="14" t="n">
        <x:v>122</x:v>
      </x:c>
      <x:c r="FT47" s="14" t="n">
        <x:v>7</x:v>
      </x:c>
      <x:c r="FU47" s="14" t="n">
        <x:v>2</x:v>
      </x:c>
      <x:c r="FV47" s="14" t="str">
        <x:v>未收錄</x:v>
      </x:c>
      <x:c r="FW47" s="14" t="str">
        <x:v>28360</x:v>
      </x:c>
      <x:c r="FX47" s="14" t="n">
        <x:v>8</x:v>
      </x:c>
      <x:c r="FY47" s="14" t="n">
        <x:v>754</x:v>
      </x:c>
      <x:c r="FZ47" s="14" t="n">
        <x:v>123</x:v>
      </x:c>
      <x:c r="GA47" s="14" t="n">
        <x:v>7</x:v>
      </x:c>
      <x:c r="GB47" s="14" t="n">
        <x:v>3</x:v>
      </x:c>
      <x:c r="GC47" s="14" t="str">
        <x:v>未收錄</x:v>
      </x:c>
      <x:c r="GD47" s="14" t="str">
        <x:v>28820</x:v>
      </x:c>
      <x:c r="GE47" s="14" t="n">
        <x:v>8</x:v>
      </x:c>
      <x:c r="GF47" s="14" t="n">
        <x:v>755</x:v>
      </x:c>
      <x:c r="GG47" s="14" t="n">
        <x:v>124</x:v>
      </x:c>
      <x:c r="GH47" s="14" t="n">
        <x:v>7</x:v>
      </x:c>
      <x:c r="GI47" s="14" t="n">
        <x:v>4</x:v>
      </x:c>
      <x:c r="GJ47" s="14" t="str">
        <x:v>未收錄</x:v>
      </x:c>
      <x:c r="GK47" s="14" t="str">
        <x:v>27619</x:v>
      </x:c>
      <x:c r="GL47" s="14" t="n">
        <x:v>8</x:v>
      </x:c>
      <x:c r="GM47" s="14" t="n">
        <x:v>924</x:v>
      </x:c>
      <x:c r="GN47" s="14" t="n">
        <x:v>121</x:v>
      </x:c>
      <x:c r="GO47" s="14" t="n">
        <x:v>7</x:v>
      </x:c>
      <x:c r="GP47" s="14" t="n">
        <x:v>1</x:v>
      </x:c>
      <x:c r="GQ47" s="14" t="str">
        <x:v>未收錄</x:v>
      </x:c>
      <x:c r="GR47" s="14" t="str">
        <x:v>28361</x:v>
      </x:c>
      <x:c r="GS47" s="14" t="n">
        <x:v>8</x:v>
      </x:c>
      <x:c r="GT47" s="14" t="n">
        <x:v>925</x:v>
      </x:c>
      <x:c r="GU47" s="14" t="n">
        <x:v>122</x:v>
      </x:c>
      <x:c r="GV47" s="14" t="n">
        <x:v>7</x:v>
      </x:c>
      <x:c r="GW47" s="14" t="n">
        <x:v>2</x:v>
      </x:c>
      <x:c r="GX47" s="14" t="str">
        <x:v>未收錄</x:v>
      </x:c>
      <x:c r="GY47" s="14" t="str">
        <x:v>28362</x:v>
      </x:c>
      <x:c r="GZ47" s="14" t="n">
        <x:v>8</x:v>
      </x:c>
      <x:c r="HA47" s="14" t="n">
        <x:v>926</x:v>
      </x:c>
      <x:c r="HB47" s="14" t="n">
        <x:v>123</x:v>
      </x:c>
      <x:c r="HC47" s="14" t="n">
        <x:v>7</x:v>
      </x:c>
      <x:c r="HD47" s="14" t="n">
        <x:v>3</x:v>
      </x:c>
      <x:c r="HE47" s="14" t="str">
        <x:v>未收錄</x:v>
      </x:c>
      <x:c r="HF47" s="14" t="str">
        <x:v>28363</x:v>
      </x:c>
      <x:c r="HG47" s="14" t="n">
        <x:v>8</x:v>
      </x:c>
      <x:c r="HH47" s="14" t="n">
        <x:v>927</x:v>
      </x:c>
      <x:c r="HI47" s="14" t="n">
        <x:v>124</x:v>
      </x:c>
      <x:c r="HJ47" s="14" t="n">
        <x:v>7</x:v>
      </x:c>
      <x:c r="HK47" s="14" t="n">
        <x:v>4</x:v>
      </x:c>
      <x:c r="HL47" s="14" t="str">
        <x:v>未收錄</x:v>
      </x:c>
      <x:c r="HM47" s="14" t="str">
        <x:v>24763</x:v>
      </x:c>
      <x:c r="HN47" s="14" t="n">
        <x:v>20</x:v>
      </x:c>
      <x:c r="HO47" s="14" t="n">
        <x:v>1097</x:v>
      </x:c>
      <x:c r="HP47" s="14" t="n">
        <x:v>121</x:v>
      </x:c>
      <x:c r="HQ47" s="14" t="n">
        <x:v>7</x:v>
      </x:c>
      <x:c r="HR47" s="14" t="n">
        <x:v>1</x:v>
      </x:c>
      <x:c r="HS47" s="14" t="str">
        <x:v>未收錄</x:v>
      </x:c>
      <x:c r="HT47" s="14" t="str">
        <x:v>26292</x:v>
      </x:c>
      <x:c r="HU47" s="14" t="n">
        <x:v>20</x:v>
      </x:c>
      <x:c r="HV47" s="14" t="n">
        <x:v>1098</x:v>
      </x:c>
      <x:c r="HW47" s="14" t="n">
        <x:v>122</x:v>
      </x:c>
      <x:c r="HX47" s="14" t="n">
        <x:v>7</x:v>
      </x:c>
      <x:c r="HY47" s="14" t="n">
        <x:v>2</x:v>
      </x:c>
      <x:c r="HZ47" s="14" t="str">
        <x:v>未收錄</x:v>
      </x:c>
      <x:c r="IA47" s="14" t="str">
        <x:v>26497</x:v>
      </x:c>
      <x:c r="IB47" s="14" t="n">
        <x:v>20</x:v>
      </x:c>
      <x:c r="IC47" s="14" t="n">
        <x:v>1099</x:v>
      </x:c>
      <x:c r="ID47" s="14" t="n">
        <x:v>123</x:v>
      </x:c>
      <x:c r="IE47" s="14" t="n">
        <x:v>7</x:v>
      </x:c>
      <x:c r="IF47" s="14" t="n">
        <x:v>3</x:v>
      </x:c>
      <x:c r="IG47" s="14" t="str">
        <x:v>未收錄</x:v>
      </x:c>
      <x:c r="IH47" s="14" t="str">
        <x:v>26789</x:v>
      </x:c>
      <x:c r="II47" s="14" t="n">
        <x:v>20</x:v>
      </x:c>
      <x:c r="IJ47" s="14" t="n">
        <x:v>1100</x:v>
      </x:c>
      <x:c r="IK47" s="14" t="n">
        <x:v>124</x:v>
      </x:c>
      <x:c r="IL47" s="14" t="n">
        <x:v>7</x:v>
      </x:c>
      <x:c r="IM47" s="14" t="n">
        <x:v>4</x:v>
      </x:c>
      <x:c r="IN47" s="14" t="str">
        <x:v>未收錄</x:v>
      </x:c>
      <x:c r="IO47" s="14" t="str">
        <x:v>26790</x:v>
      </x:c>
      <x:c r="IP47" s="14" t="n">
        <x:v>20</x:v>
      </x:c>
      <x:c r="IQ47" s="14" t="n">
        <x:v>1265</x:v>
      </x:c>
      <x:c r="IR47" s="14" t="n">
        <x:v>121</x:v>
      </x:c>
      <x:c r="IS47" s="14" t="n">
        <x:v>7</x:v>
      </x:c>
      <x:c r="IT47" s="14" t="n">
        <x:v>1</x:v>
      </x:c>
      <x:c r="IU47" s="14" t="str">
        <x:v>未收錄</x:v>
      </x:c>
      <x:c r="IV47" s="14" t="str">
        <x:v>26964</x:v>
      </x:c>
      <x:c r="IW47" s="14" t="n">
        <x:v>20</x:v>
      </x:c>
      <x:c r="IX47" s="14" t="n">
        <x:v>1266</x:v>
      </x:c>
      <x:c r="IY47" s="14" t="n">
        <x:v>122</x:v>
      </x:c>
      <x:c r="IZ47" s="14" t="n">
        <x:v>7</x:v>
      </x:c>
      <x:c r="JA47" s="14" t="n">
        <x:v>2</x:v>
      </x:c>
      <x:c r="JB47" s="14" t="str">
        <x:v>未收錄</x:v>
      </x:c>
      <x:c r="JC47" s="14" t="str">
        <x:v>27359</x:v>
      </x:c>
      <x:c r="JD47" s="14" t="n">
        <x:v>20</x:v>
      </x:c>
      <x:c r="JE47" s="14" t="n">
        <x:v>1267</x:v>
      </x:c>
      <x:c r="JF47" s="14" t="n">
        <x:v>123</x:v>
      </x:c>
      <x:c r="JG47" s="14" t="n">
        <x:v>7</x:v>
      </x:c>
      <x:c r="JH47" s="14" t="n">
        <x:v>3</x:v>
      </x:c>
      <x:c r="JI47" s="14" t="str">
        <x:v>未收錄</x:v>
      </x:c>
      <x:c r="JJ47" s="14" t="str">
        <x:v>27573</x:v>
      </x:c>
      <x:c r="JK47" s="14" t="n">
        <x:v>20</x:v>
      </x:c>
      <x:c r="JL47" s="14" t="n">
        <x:v>1268</x:v>
      </x:c>
      <x:c r="JM47" s="14" t="n">
        <x:v>124</x:v>
      </x:c>
      <x:c r="JN47" s="14" t="n">
        <x:v>7</x:v>
      </x:c>
      <x:c r="JO47" s="14" t="n">
        <x:v>4</x:v>
      </x:c>
      <x:c r="JP47" s="14" t="str">
        <x:v>未收錄</x:v>
      </x:c>
      <x:c r="JQ47" s="14"/>
      <x:c r="JR47" s="14"/>
      <x:c r="JS47" s="14"/>
      <x:c r="JT47" s="14"/>
      <x:c r="JU47" s="14"/>
      <x:c r="JV47" s="14"/>
      <x:c r="JW47" s="14"/>
      <x:c r="JX47" s="14"/>
      <x:c r="JY47" s="14"/>
      <x:c r="JZ47" s="14"/>
      <x:c r="KA47" s="14"/>
      <x:c r="KB47" s="14"/>
      <x:c r="KC47" s="14"/>
      <x:c r="KD47" s="14"/>
      <x:c r="KE47" s="14"/>
      <x:c r="KF47" s="14"/>
      <x:c r="KG47" s="14"/>
      <x:c r="KH47" s="14"/>
      <x:c r="KI47" s="14"/>
      <x:c r="KJ47" s="14"/>
      <x:c r="KK47" s="14"/>
      <x:c r="KL47" s="14"/>
      <x:c r="KM47" s="14"/>
      <x:c r="KN47" s="14"/>
      <x:c r="KO47" s="14"/>
      <x:c r="KP47" s="14"/>
      <x:c r="KQ47" s="14"/>
      <x:c r="KR47" s="14"/>
      <x:c r="KS47" s="14"/>
      <x:c r="KT47" s="14"/>
      <x:c r="KU47" s="14"/>
      <x:c r="KV47" s="14"/>
      <x:c r="KW47" s="14"/>
      <x:c r="KX47" s="14"/>
      <x:c r="KY47" s="14"/>
      <x:c r="KZ47" s="14"/>
      <x:c r="LA47" s="14"/>
      <x:c r="LB47" s="14"/>
      <x:c r="LC47" s="14"/>
      <x:c r="LD47" s="14"/>
      <x:c r="LE47" s="14"/>
      <x:c r="LF47" s="14"/>
      <x:c r="LG47" s="14"/>
      <x:c r="LH47" s="14"/>
      <x:c r="LI47" s="14"/>
      <x:c r="LJ47" s="14"/>
      <x:c r="LK47" s="14"/>
      <x:c r="LL47" s="14"/>
      <x:c r="LM47" s="14"/>
      <x:c r="LN47" s="14"/>
      <x:c r="LO47" s="14"/>
      <x:c r="LP47" s="14"/>
      <x:c r="LQ47" s="14"/>
      <x:c r="LR47" s="14"/>
      <x:c r="LS47" s="14"/>
      <x:c r="LT47" s="14"/>
      <x:c r="LU47" s="14"/>
      <x:c r="LV47" s="14"/>
      <x:c r="LW47" s="14"/>
      <x:c r="LX47" s="14"/>
      <x:c r="LY47" s="14"/>
      <x:c r="LZ47" s="14"/>
      <x:c r="MA47" s="14"/>
      <x:c r="MB47" s="14"/>
      <x:c r="MC47" s="14"/>
      <x:c r="MD47" s="14"/>
      <x:c r="ME47" s="14"/>
      <x:c r="MF47" s="14"/>
      <x:c r="MG47" s="14"/>
      <x:c r="MH47" s="14"/>
      <x:c r="MI47" s="14"/>
      <x:c r="MJ47" s="14"/>
      <x:c r="MK47" s="14"/>
      <x:c r="ML47" s="14"/>
      <x:c r="MM47" s="14"/>
      <x:c r="MN47" s="14"/>
      <x:c r="MO47" s="14"/>
      <x:c r="MP47" s="14"/>
      <x:c r="MQ47" s="14"/>
      <x:c r="MR47" s="14"/>
      <x:c r="MS47" s="14"/>
      <x:c r="MT47" s="14"/>
      <x:c r="MU47" s="14"/>
      <x:c r="MV47" s="14"/>
      <x:c r="MW47" s="14" t="str">
        <x:v>22794</x:v>
      </x:c>
      <x:c r="MX47" s="14" t="n">
        <x:v>10</x:v>
      </x:c>
      <x:c r="MY47" s="14" t="n">
        <x:v>1769</x:v>
      </x:c>
      <x:c r="MZ47" s="14" t="n">
        <x:v>121</x:v>
      </x:c>
      <x:c r="NA47" s="14" t="n">
        <x:v>7</x:v>
      </x:c>
      <x:c r="NB47" s="14" t="n">
        <x:v>1</x:v>
      </x:c>
      <x:c r="NC47" s="14" t="str">
        <x:v>未收錄</x:v>
      </x:c>
      <x:c r="ND47" s="14" t="str">
        <x:v>22931</x:v>
      </x:c>
      <x:c r="NE47" s="14" t="n">
        <x:v>5</x:v>
      </x:c>
      <x:c r="NF47" s="14" t="n">
        <x:v>1770</x:v>
      </x:c>
      <x:c r="NG47" s="14" t="n">
        <x:v>122</x:v>
      </x:c>
      <x:c r="NH47" s="14" t="n">
        <x:v>7</x:v>
      </x:c>
      <x:c r="NI47" s="14" t="n">
        <x:v>2</x:v>
      </x:c>
      <x:c r="NJ47" s="14" t="str">
        <x:v>未收錄</x:v>
      </x:c>
      <x:c r="NK47" s="14" t="str">
        <x:v>22932</x:v>
      </x:c>
      <x:c r="NL47" s="14" t="n">
        <x:v>5</x:v>
      </x:c>
      <x:c r="NM47" s="14" t="n">
        <x:v>1771</x:v>
      </x:c>
      <x:c r="NN47" s="14" t="n">
        <x:v>123</x:v>
      </x:c>
      <x:c r="NO47" s="14" t="n">
        <x:v>7</x:v>
      </x:c>
      <x:c r="NP47" s="14" t="n">
        <x:v>3</x:v>
      </x:c>
      <x:c r="NQ47" s="14" t="str">
        <x:v>未收錄</x:v>
      </x:c>
      <x:c r="NR47" s="14" t="str">
        <x:v>22933</x:v>
      </x:c>
      <x:c r="NS47" s="14" t="n">
        <x:v>5</x:v>
      </x:c>
      <x:c r="NT47" s="14" t="n">
        <x:v>1772</x:v>
      </x:c>
      <x:c r="NU47" s="14" t="n">
        <x:v>124</x:v>
      </x:c>
      <x:c r="NV47" s="14" t="n">
        <x:v>7</x:v>
      </x:c>
      <x:c r="NW47" s="14" t="n">
        <x:v>4</x:v>
      </x:c>
      <x:c r="NX47" s="14" t="str">
        <x:v>未收錄</x:v>
      </x:c>
      <x:c r="NY47" s="14" t="str">
        <x:v>22539</x:v>
      </x:c>
      <x:c r="NZ47" s="14" t="n">
        <x:v>5</x:v>
      </x:c>
      <x:c r="OA47" s="14" t="n">
        <x:v>2222</x:v>
      </x:c>
      <x:c r="OB47" s="14" t="n">
        <x:v>121</x:v>
      </x:c>
      <x:c r="OC47" s="14" t="n">
        <x:v>7</x:v>
      </x:c>
      <x:c r="OD47" s="14" t="n">
        <x:v>1</x:v>
      </x:c>
      <x:c r="OE47" s="14" t="str">
        <x:v>未收錄</x:v>
      </x:c>
      <x:c r="OF47" s="14" t="str">
        <x:v>22540</x:v>
      </x:c>
      <x:c r="OG47" s="14" t="n">
        <x:v>5</x:v>
      </x:c>
      <x:c r="OH47" s="14" t="n">
        <x:v>2223</x:v>
      </x:c>
      <x:c r="OI47" s="14" t="n">
        <x:v>122</x:v>
      </x:c>
      <x:c r="OJ47" s="14" t="n">
        <x:v>7</x:v>
      </x:c>
      <x:c r="OK47" s="14" t="n">
        <x:v>2</x:v>
      </x:c>
      <x:c r="OL47" s="14" t="str">
        <x:v>未收錄</x:v>
      </x:c>
      <x:c r="OM47" s="14" t="str">
        <x:v>22541</x:v>
      </x:c>
      <x:c r="ON47" s="14" t="n">
        <x:v>5</x:v>
      </x:c>
      <x:c r="OO47" s="14" t="n">
        <x:v>2224</x:v>
      </x:c>
      <x:c r="OP47" s="14" t="n">
        <x:v>123</x:v>
      </x:c>
      <x:c r="OQ47" s="14" t="n">
        <x:v>7</x:v>
      </x:c>
      <x:c r="OR47" s="14" t="n">
        <x:v>3</x:v>
      </x:c>
      <x:c r="OS47" s="14" t="str">
        <x:v>未收錄</x:v>
      </x:c>
      <x:c r="OT47" s="14" t="str">
        <x:v>22628</x:v>
      </x:c>
      <x:c r="OU47" s="14" t="n">
        <x:v>10</x:v>
      </x:c>
      <x:c r="OV47" s="14" t="n">
        <x:v>2225</x:v>
      </x:c>
      <x:c r="OW47" s="14" t="n">
        <x:v>124</x:v>
      </x:c>
      <x:c r="OX47" s="14" t="n">
        <x:v>7</x:v>
      </x:c>
      <x:c r="OY47" s="14" t="n">
        <x:v>4</x:v>
      </x:c>
      <x:c r="OZ47" s="14" t="str">
        <x:v>未收錄</x:v>
      </x:c>
      <x:c r="PA47" s="14" t="str">
        <x:v>22975</x:v>
      </x:c>
      <x:c r="PB47" s="14" t="n">
        <x:v>5</x:v>
      </x:c>
      <x:c r="PC47" s="14" t="n">
        <x:v>2768</x:v>
      </x:c>
      <x:c r="PD47" s="14" t="n">
        <x:v>121</x:v>
      </x:c>
      <x:c r="PE47" s="14" t="n">
        <x:v>7</x:v>
      </x:c>
      <x:c r="PF47" s="14" t="n">
        <x:v>1</x:v>
      </x:c>
      <x:c r="PG47" s="14" t="str">
        <x:v>未收錄</x:v>
      </x:c>
      <x:c r="PH47" s="14" t="str">
        <x:v>23192</x:v>
      </x:c>
      <x:c r="PI47" s="14" t="n">
        <x:v>5</x:v>
      </x:c>
      <x:c r="PJ47" s="14" t="n">
        <x:v>2769</x:v>
      </x:c>
      <x:c r="PK47" s="14" t="n">
        <x:v>122</x:v>
      </x:c>
      <x:c r="PL47" s="14" t="n">
        <x:v>7</x:v>
      </x:c>
      <x:c r="PM47" s="14" t="n">
        <x:v>2</x:v>
      </x:c>
      <x:c r="PN47" s="14" t="str">
        <x:v>未收錄</x:v>
      </x:c>
      <x:c r="PO47" s="14" t="str">
        <x:v>23193</x:v>
      </x:c>
      <x:c r="PP47" s="14" t="n">
        <x:v>5</x:v>
      </x:c>
      <x:c r="PQ47" s="14" t="n">
        <x:v>2770</x:v>
      </x:c>
      <x:c r="PR47" s="14" t="n">
        <x:v>123</x:v>
      </x:c>
      <x:c r="PS47" s="14" t="n">
        <x:v>7</x:v>
      </x:c>
      <x:c r="PT47" s="14" t="n">
        <x:v>3</x:v>
      </x:c>
      <x:c r="PU47" s="14" t="str">
        <x:v>未收錄</x:v>
      </x:c>
      <x:c r="PV47" s="14" t="str">
        <x:v>23194</x:v>
      </x:c>
      <x:c r="PW47" s="14" t="n">
        <x:v>5</x:v>
      </x:c>
      <x:c r="PX47" s="14" t="n">
        <x:v>2771</x:v>
      </x:c>
      <x:c r="PY47" s="14" t="n">
        <x:v>124</x:v>
      </x:c>
      <x:c r="PZ47" s="14" t="n">
        <x:v>7</x:v>
      </x:c>
      <x:c r="QA47" s="14" t="n">
        <x:v>4</x:v>
      </x:c>
      <x:c r="QB47" s="14" t="str">
        <x:v>未收錄</x:v>
      </x:c>
      <x:c r="QC47" s="14" t="str">
        <x:v>22988</x:v>
      </x:c>
      <x:c r="QD47" s="14" t="n">
        <x:v>5</x:v>
      </x:c>
      <x:c r="QE47" s="14" t="n">
        <x:v>3205</x:v>
      </x:c>
      <x:c r="QF47" s="14" t="n">
        <x:v>121</x:v>
      </x:c>
      <x:c r="QG47" s="14" t="n">
        <x:v>7</x:v>
      </x:c>
      <x:c r="QH47" s="14" t="n">
        <x:v>1</x:v>
      </x:c>
      <x:c r="QI47" s="14" t="str">
        <x:v>未收錄</x:v>
      </x:c>
      <x:c r="QJ47" s="14" t="str">
        <x:v>22989</x:v>
      </x:c>
      <x:c r="QK47" s="14" t="n">
        <x:v>5</x:v>
      </x:c>
      <x:c r="QL47" s="14" t="n">
        <x:v>3206</x:v>
      </x:c>
      <x:c r="QM47" s="14" t="n">
        <x:v>122</x:v>
      </x:c>
      <x:c r="QN47" s="14" t="n">
        <x:v>7</x:v>
      </x:c>
      <x:c r="QO47" s="14" t="n">
        <x:v>2</x:v>
      </x:c>
      <x:c r="QP47" s="14" t="str">
        <x:v>未收錄</x:v>
      </x:c>
      <x:c r="QQ47" s="14" t="str">
        <x:v>22990</x:v>
      </x:c>
      <x:c r="QR47" s="14" t="n">
        <x:v>5</x:v>
      </x:c>
      <x:c r="QS47" s="14" t="n">
        <x:v>3207</x:v>
      </x:c>
      <x:c r="QT47" s="14" t="n">
        <x:v>123</x:v>
      </x:c>
      <x:c r="QU47" s="14" t="n">
        <x:v>7</x:v>
      </x:c>
      <x:c r="QV47" s="14" t="n">
        <x:v>3</x:v>
      </x:c>
      <x:c r="QW47" s="14" t="str">
        <x:v>未收錄</x:v>
      </x:c>
      <x:c r="QX47" s="14" t="str">
        <x:v>23202</x:v>
      </x:c>
      <x:c r="QY47" s="14" t="n">
        <x:v>5</x:v>
      </x:c>
      <x:c r="QZ47" s="14" t="n">
        <x:v>3208</x:v>
      </x:c>
      <x:c r="RA47" s="14" t="n">
        <x:v>124</x:v>
      </x:c>
      <x:c r="RB47" s="14" t="n">
        <x:v>7</x:v>
      </x:c>
      <x:c r="RC47" s="14" t="n">
        <x:v>4</x:v>
      </x:c>
      <x:c r="RD47" s="14" t="str">
        <x:v>未收錄</x:v>
      </x:c>
      <x:c r="RE47" s="14" t="str">
        <x:v>24037</x:v>
      </x:c>
      <x:c r="RF47" s="14" t="n">
        <x:v>5</x:v>
      </x:c>
      <x:c r="RG47" s="14" t="n">
        <x:v>3666</x:v>
      </x:c>
      <x:c r="RH47" s="14" t="n">
        <x:v>121</x:v>
      </x:c>
      <x:c r="RI47" s="14" t="n">
        <x:v>7</x:v>
      </x:c>
      <x:c r="RJ47" s="14" t="n">
        <x:v>1</x:v>
      </x:c>
      <x:c r="RK47" s="14" t="str">
        <x:v>未收錄</x:v>
      </x:c>
      <x:c r="RL47" s="14" t="str">
        <x:v>24038</x:v>
      </x:c>
      <x:c r="RM47" s="14" t="n">
        <x:v>5</x:v>
      </x:c>
      <x:c r="RN47" s="14" t="n">
        <x:v>3667</x:v>
      </x:c>
      <x:c r="RO47" s="14" t="n">
        <x:v>122</x:v>
      </x:c>
      <x:c r="RP47" s="14" t="n">
        <x:v>7</x:v>
      </x:c>
      <x:c r="RQ47" s="14" t="n">
        <x:v>2</x:v>
      </x:c>
      <x:c r="RR47" s="14" t="str">
        <x:v>未收錄</x:v>
      </x:c>
      <x:c r="RS47" s="14" t="str">
        <x:v>24039</x:v>
      </x:c>
      <x:c r="RT47" s="14" t="n">
        <x:v>5</x:v>
      </x:c>
      <x:c r="RU47" s="14" t="n">
        <x:v>3668</x:v>
      </x:c>
      <x:c r="RV47" s="14" t="n">
        <x:v>123</x:v>
      </x:c>
      <x:c r="RW47" s="14" t="n">
        <x:v>7</x:v>
      </x:c>
      <x:c r="RX47" s="14" t="n">
        <x:v>3</x:v>
      </x:c>
      <x:c r="RY47" s="14" t="str">
        <x:v>未收錄</x:v>
      </x:c>
      <x:c r="RZ47" s="14" t="str">
        <x:v>24040</x:v>
      </x:c>
      <x:c r="SA47" s="14" t="n">
        <x:v>5</x:v>
      </x:c>
      <x:c r="SB47" s="14" t="n">
        <x:v>3669</x:v>
      </x:c>
      <x:c r="SC47" s="14" t="n">
        <x:v>124</x:v>
      </x:c>
      <x:c r="SD47" s="14" t="n">
        <x:v>7</x:v>
      </x:c>
      <x:c r="SE47" s="14" t="n">
        <x:v>4</x:v>
      </x:c>
      <x:c r="SF47" s="14" t="str">
        <x:v>未收錄</x:v>
      </x:c>
      <x:c r="SG47" s="14"/>
      <x:c r="SH47" s="14"/>
      <x:c r="SI47" s="14"/>
      <x:c r="SJ47" s="14"/>
      <x:c r="SK47" s="14"/>
      <x:c r="SL47" s="14"/>
      <x:c r="SM47" s="14"/>
      <x:c r="SN47" s="14"/>
      <x:c r="SO47" s="14"/>
      <x:c r="SP47" s="14"/>
      <x:c r="SQ47" s="14"/>
      <x:c r="SR47" s="14"/>
      <x:c r="SS47" s="14"/>
      <x:c r="ST47" s="14"/>
      <x:c r="SU47" s="14"/>
      <x:c r="SV47" s="14"/>
      <x:c r="SW47" s="14"/>
      <x:c r="SX47" s="14"/>
      <x:c r="SY47" s="14"/>
      <x:c r="SZ47" s="14"/>
      <x:c r="TA47" s="14"/>
      <x:c r="TB47" s="14"/>
      <x:c r="TC47" s="14"/>
      <x:c r="TD47" s="14"/>
      <x:c r="TE47" s="14"/>
      <x:c r="TF47" s="14"/>
      <x:c r="TG47" s="14"/>
      <x:c r="TH47" s="14"/>
    </x:row>
    <x:row r="48" ht="15" customHeight="1">
      <x:c r="A48" s="18" t="str">
        <x:v>惡斬天殛魔劍</x:v>
      </x:c>
      <x:c r="B48" s="18" t="str">
        <x:v>獸殺天殛魔劍</x:v>
      </x:c>
      <x:c r="C48" s="18" t="str">
        <x:v>明律劍</x:v>
      </x:c>
      <x:c r="D48" s="18" t="str">
        <x:v>太古明律劍</x:v>
      </x:c>
      <x:c r="E48" s="14"/>
      <x:c r="F48" s="18" t="str">
        <x:v>摩利支天刀</x:v>
      </x:c>
      <x:c r="G48" s="18" t="str">
        <x:v>吠檀多咒刃</x:v>
      </x:c>
      <x:c r="H48" s="18" t="str">
        <x:v>波斯刀</x:v>
      </x:c>
      <x:c r="I48" s="18" t="str">
        <x:v>太古波斯刀</x:v>
      </x:c>
      <x:c r="J48" s="14"/>
      <x:c r="K48" s="18" t="str">
        <x:v>終六滅化神閃</x:v>
      </x:c>
      <x:c r="L48" s="18" t="str">
        <x:v>創六滅化神輪</x:v>
      </x:c>
      <x:c r="M48" s="18" t="str">
        <x:v>星六滅化神珠</x:v>
      </x:c>
      <x:c r="N48" s="18" t="str">
        <x:v>皇六滅化神銳</x:v>
      </x:c>
      <x:c r="O48" s="14"/>
      <x:c r="P48" s="18" t="str">
        <x:v>七公扇☆☆</x:v>
      </x:c>
      <x:c r="Q48" s="18" t="str">
        <x:v>七公扇☆☆☆</x:v>
      </x:c>
      <x:c r="R48" s="18" t="str">
        <x:v>皇麟扇☆</x:v>
      </x:c>
      <x:c r="S48" s="18" t="str">
        <x:v>皇麟扇★</x:v>
      </x:c>
      <x:c r="T48" s="14"/>
      <x:c r="U48" s="18" t="str">
        <x:v>列肆杖☆</x:v>
      </x:c>
      <x:c r="V48" s="18" t="str">
        <x:v>列肆杖☆☆</x:v>
      </x:c>
      <x:c r="W48" s="18" t="str">
        <x:v>列肆杖☆☆☆</x:v>
      </x:c>
      <x:c r="X48" s="18" t="str">
        <x:v>御天杖☆</x:v>
      </x:c>
      <x:c r="Y48" s="14"/>
      <x:c r="Z48" s="18" t="str">
        <x:v>荒神蚩尤槍</x:v>
      </x:c>
      <x:c r="AA48" s="18" t="str">
        <x:v>破軍瑤光槍</x:v>
      </x:c>
      <x:c r="AB48" s="18" t="str">
        <x:v>銀豹宮快雪槍</x:v>
      </x:c>
      <x:c r="AC48" s="18" t="str">
        <x:v>堂庭白金槍</x:v>
      </x:c>
      <x:c r="AD48" s="14"/>
      <x:c r="AE48" s="18" t="str">
        <x:v>五藏奇山棍</x:v>
      </x:c>
      <x:c r="AF48" s="18" t="str">
        <x:v>魔驚棍‧拜邪</x:v>
      </x:c>
      <x:c r="AG48" s="18" t="str">
        <x:v>歿棍‧納吉法</x:v>
      </x:c>
      <x:c r="AH48" s="18" t="str">
        <x:v>歿棍‧納吉法</x:v>
      </x:c>
      <x:c r="AI48" s="14"/>
      <x:c r="AJ48" s="14"/>
      <x:c r="AK48" s="14"/>
      <x:c r="AL48" s="14"/>
      <x:c r="AM48" s="14"/>
      <x:c r="AN48" s="14"/>
      <x:c r="AO48" s="14"/>
      <x:c r="AP48" s="14"/>
      <x:c r="AQ48" s="14"/>
      <x:c r="AR48" s="14"/>
      <x:c r="AS48" s="14"/>
      <x:c r="AT48" s="14"/>
      <x:c r="AU48" s="14"/>
      <x:c r="AV48" s="14"/>
      <x:c r="AW48" s="14"/>
      <x:c r="AX48" s="14"/>
      <x:c r="AY48" s="18" t="str">
        <x:v>翔雲戰盔</x:v>
      </x:c>
      <x:c r="AZ48" s="18" t="str">
        <x:v>瑞雲戰盔</x:v>
      </x:c>
      <x:c r="BA48" s="18" t="str">
        <x:v>飛雲戰盔</x:v>
      </x:c>
      <x:c r="BB48" s="18" t="str">
        <x:v>新月頭巾</x:v>
      </x:c>
      <x:c r="BC48" s="14"/>
      <x:c r="BD48" s="18" t="str">
        <x:v>鳳翼仙袍</x:v>
      </x:c>
      <x:c r="BE48" s="18" t="str">
        <x:v>烈雷將鎧</x:v>
      </x:c>
      <x:c r="BF48" s="18" t="str">
        <x:v>震雷將鎧</x:v>
      </x:c>
      <x:c r="BG48" s="18" t="str">
        <x:v>驚雷將鎧</x:v>
      </x:c>
      <x:c r="BH48" s="14"/>
      <x:c r="BI48" s="18" t="str">
        <x:v>紫懿護腕</x:v>
      </x:c>
      <x:c r="BJ48" s="18" t="str">
        <x:v>正定護腕</x:v>
      </x:c>
      <x:c r="BK48" s="18" t="str">
        <x:v>悉檀護腕</x:v>
      </x:c>
      <x:c r="BL48" s="18" t="str">
        <x:v>最勝護腕</x:v>
      </x:c>
      <x:c r="BM48" s="14"/>
      <x:c r="BN48" s="18" t="str">
        <x:v>戒日戰靴</x:v>
      </x:c>
      <x:c r="BO48" s="18" t="str">
        <x:v>朱綾護靴</x:v>
      </x:c>
      <x:c r="BP48" s="18" t="str">
        <x:v>紫懿道靴</x:v>
      </x:c>
      <x:c r="BQ48" s="18" t="str">
        <x:v>正定禪靴</x:v>
      </x:c>
      <x:c r="BR48" s="14"/>
      <x:c r="BS48" s="18" t="str">
        <x:v>萬法光輪</x:v>
      </x:c>
      <x:c r="BT48" s="18" t="str">
        <x:v>吐蕃皇印</x:v>
      </x:c>
      <x:c r="BU48" s="18" t="str">
        <x:v>五令唐卡</x:v>
      </x:c>
      <x:c r="BV48" s="18" t="str">
        <x:v>鐵宗佛珠</x:v>
      </x:c>
      <x:c r="BW48" s="14"/>
      <x:c r="BX48" s="14"/>
      <x:c r="BY48" s="14"/>
      <x:c r="BZ48" s="14"/>
      <x:c r="CA48" s="14"/>
      <x:c r="CB48" s="14"/>
      <x:c r="CC48" s="14" t="str">
        <x:v>23910</x:v>
      </x:c>
      <x:c r="CD48" s="14" t="n">
        <x:v>8</x:v>
      </x:c>
      <x:c r="CE48" s="14" t="n">
        <x:v>125</x:v>
      </x:c>
      <x:c r="CF48" s="14" t="n">
        <x:v>125</x:v>
      </x:c>
      <x:c r="CG48" s="14" t="n">
        <x:v>8</x:v>
      </x:c>
      <x:c r="CH48" s="14" t="n">
        <x:v>1</x:v>
      </x:c>
      <x:c r="CI48" s="14" t="str">
        <x:v>未收錄</x:v>
      </x:c>
      <x:c r="CJ48" s="14" t="str">
        <x:v>23911</x:v>
      </x:c>
      <x:c r="CK48" s="14" t="n">
        <x:v>8</x:v>
      </x:c>
      <x:c r="CL48" s="14" t="n">
        <x:v>126</x:v>
      </x:c>
      <x:c r="CM48" s="14" t="n">
        <x:v>126</x:v>
      </x:c>
      <x:c r="CN48" s="14" t="n">
        <x:v>8</x:v>
      </x:c>
      <x:c r="CO48" s="14" t="n">
        <x:v>2</x:v>
      </x:c>
      <x:c r="CP48" s="14" t="str">
        <x:v>未收錄</x:v>
      </x:c>
      <x:c r="CQ48" s="14" t="str">
        <x:v>24044</x:v>
      </x:c>
      <x:c r="CR48" s="14" t="n">
        <x:v>8</x:v>
      </x:c>
      <x:c r="CS48" s="14" t="n">
        <x:v>127</x:v>
      </x:c>
      <x:c r="CT48" s="14" t="n">
        <x:v>127</x:v>
      </x:c>
      <x:c r="CU48" s="14" t="n">
        <x:v>8</x:v>
      </x:c>
      <x:c r="CV48" s="14" t="n">
        <x:v>3</x:v>
      </x:c>
      <x:c r="CW48" s="14" t="str">
        <x:v>未收錄</x:v>
      </x:c>
      <x:c r="CX48" s="14" t="str">
        <x:v>24140</x:v>
      </x:c>
      <x:c r="CY48" s="14" t="n">
        <x:v>3</x:v>
      </x:c>
      <x:c r="CZ48" s="14" t="n">
        <x:v>128</x:v>
      </x:c>
      <x:c r="DA48" s="14" t="n">
        <x:v>128</x:v>
      </x:c>
      <x:c r="DB48" s="14" t="n">
        <x:v>8</x:v>
      </x:c>
      <x:c r="DC48" s="14" t="n">
        <x:v>4</x:v>
      </x:c>
      <x:c r="DD48" s="14" t="str">
        <x:v>未收錄</x:v>
      </x:c>
      <x:c r="DE48" s="14" t="str">
        <x:v>24486</x:v>
      </x:c>
      <x:c r="DF48" s="14" t="n">
        <x:v>8</x:v>
      </x:c>
      <x:c r="DG48" s="14" t="n">
        <x:v>370</x:v>
      </x:c>
      <x:c r="DH48" s="14" t="n">
        <x:v>125</x:v>
      </x:c>
      <x:c r="DI48" s="14" t="n">
        <x:v>8</x:v>
      </x:c>
      <x:c r="DJ48" s="14" t="n">
        <x:v>1</x:v>
      </x:c>
      <x:c r="DK48" s="14" t="str">
        <x:v>未收錄</x:v>
      </x:c>
      <x:c r="DL48" s="14" t="str">
        <x:v>24487</x:v>
      </x:c>
      <x:c r="DM48" s="14" t="n">
        <x:v>8</x:v>
      </x:c>
      <x:c r="DN48" s="14" t="n">
        <x:v>371</x:v>
      </x:c>
      <x:c r="DO48" s="14" t="n">
        <x:v>126</x:v>
      </x:c>
      <x:c r="DP48" s="14" t="n">
        <x:v>8</x:v>
      </x:c>
      <x:c r="DQ48" s="14" t="n">
        <x:v>2</x:v>
      </x:c>
      <x:c r="DR48" s="14" t="str">
        <x:v>未收錄</x:v>
      </x:c>
      <x:c r="DS48" s="14" t="str">
        <x:v>24625</x:v>
      </x:c>
      <x:c r="DT48" s="14" t="n">
        <x:v>8</x:v>
      </x:c>
      <x:c r="DU48" s="14" t="n">
        <x:v>372</x:v>
      </x:c>
      <x:c r="DV48" s="14" t="n">
        <x:v>127</x:v>
      </x:c>
      <x:c r="DW48" s="14" t="n">
        <x:v>8</x:v>
      </x:c>
      <x:c r="DX48" s="14" t="n">
        <x:v>3</x:v>
      </x:c>
      <x:c r="DY48" s="14" t="str">
        <x:v>未收錄</x:v>
      </x:c>
      <x:c r="DZ48" s="14" t="str">
        <x:v>26186</x:v>
      </x:c>
      <x:c r="EA48" s="14" t="n">
        <x:v>3</x:v>
      </x:c>
      <x:c r="EB48" s="14" t="n">
        <x:v>373</x:v>
      </x:c>
      <x:c r="EC48" s="14" t="n">
        <x:v>128</x:v>
      </x:c>
      <x:c r="ED48" s="14" t="n">
        <x:v>8</x:v>
      </x:c>
      <x:c r="EE48" s="14" t="n">
        <x:v>4</x:v>
      </x:c>
      <x:c r="EF48" s="14" t="str">
        <x:v>未收錄</x:v>
      </x:c>
      <x:c r="EG48" s="14" t="str">
        <x:v>28188</x:v>
      </x:c>
      <x:c r="EH48" s="14" t="n">
        <x:v>10</x:v>
      </x:c>
      <x:c r="EI48" s="14" t="n">
        <x:v>606</x:v>
      </x:c>
      <x:c r="EJ48" s="14" t="n">
        <x:v>125</x:v>
      </x:c>
      <x:c r="EK48" s="14" t="n">
        <x:v>8</x:v>
      </x:c>
      <x:c r="EL48" s="14" t="n">
        <x:v>1</x:v>
      </x:c>
      <x:c r="EM48" s="14" t="str">
        <x:v>未收錄</x:v>
      </x:c>
      <x:c r="EN48" s="14" t="str">
        <x:v>28526</x:v>
      </x:c>
      <x:c r="EO48" s="14" t="n">
        <x:v>10</x:v>
      </x:c>
      <x:c r="EP48" s="14" t="n">
        <x:v>607</x:v>
      </x:c>
      <x:c r="EQ48" s="14" t="n">
        <x:v>126</x:v>
      </x:c>
      <x:c r="ER48" s="14" t="n">
        <x:v>8</x:v>
      </x:c>
      <x:c r="ES48" s="14" t="n">
        <x:v>2</x:v>
      </x:c>
      <x:c r="ET48" s="14" t="str">
        <x:v>未收錄</x:v>
      </x:c>
      <x:c r="EU48" s="14" t="str">
        <x:v>28997</x:v>
      </x:c>
      <x:c r="EV48" s="14" t="n">
        <x:v>10</x:v>
      </x:c>
      <x:c r="EW48" s="14" t="n">
        <x:v>608</x:v>
      </x:c>
      <x:c r="EX48" s="14" t="n">
        <x:v>127</x:v>
      </x:c>
      <x:c r="EY48" s="14" t="n">
        <x:v>8</x:v>
      </x:c>
      <x:c r="EZ48" s="14" t="n">
        <x:v>3</x:v>
      </x:c>
      <x:c r="FA48" s="14" t="str">
        <x:v>未收錄</x:v>
      </x:c>
      <x:c r="FB48" s="14" t="str">
        <x:v>29686</x:v>
      </x:c>
      <x:c r="FC48" s="14" t="n">
        <x:v>10</x:v>
      </x:c>
      <x:c r="FD48" s="14" t="n">
        <x:v>609</x:v>
      </x:c>
      <x:c r="FE48" s="14" t="n">
        <x:v>128</x:v>
      </x:c>
      <x:c r="FF48" s="14" t="n">
        <x:v>8</x:v>
      </x:c>
      <x:c r="FG48" s="14" t="n">
        <x:v>4</x:v>
      </x:c>
      <x:c r="FH48" s="14" t="str">
        <x:v>未收錄</x:v>
      </x:c>
      <x:c r="FI48" s="14" t="str">
        <x:v>28821</x:v>
      </x:c>
      <x:c r="FJ48" s="14" t="n">
        <x:v>8</x:v>
      </x:c>
      <x:c r="FK48" s="14" t="n">
        <x:v>756</x:v>
      </x:c>
      <x:c r="FL48" s="14" t="n">
        <x:v>125</x:v>
      </x:c>
      <x:c r="FM48" s="14" t="n">
        <x:v>8</x:v>
      </x:c>
      <x:c r="FN48" s="14" t="n">
        <x:v>1</x:v>
      </x:c>
      <x:c r="FO48" s="14" t="str">
        <x:v>未收錄</x:v>
      </x:c>
      <x:c r="FP48" s="14" t="str">
        <x:v>28822</x:v>
      </x:c>
      <x:c r="FQ48" s="14" t="n">
        <x:v>8</x:v>
      </x:c>
      <x:c r="FR48" s="14" t="n">
        <x:v>757</x:v>
      </x:c>
      <x:c r="FS48" s="14" t="n">
        <x:v>126</x:v>
      </x:c>
      <x:c r="FT48" s="14" t="n">
        <x:v>8</x:v>
      </x:c>
      <x:c r="FU48" s="14" t="n">
        <x:v>2</x:v>
      </x:c>
      <x:c r="FV48" s="14" t="str">
        <x:v>未收錄</x:v>
      </x:c>
      <x:c r="FW48" s="14" t="str">
        <x:v>29361</x:v>
      </x:c>
      <x:c r="FX48" s="14" t="n">
        <x:v>8</x:v>
      </x:c>
      <x:c r="FY48" s="14" t="n">
        <x:v>758</x:v>
      </x:c>
      <x:c r="FZ48" s="14" t="n">
        <x:v>127</x:v>
      </x:c>
      <x:c r="GA48" s="14" t="n">
        <x:v>8</x:v>
      </x:c>
      <x:c r="GB48" s="14" t="n">
        <x:v>3</x:v>
      </x:c>
      <x:c r="GC48" s="14" t="str">
        <x:v>未收錄</x:v>
      </x:c>
      <x:c r="GD48" s="14" t="str">
        <x:v>29362</x:v>
      </x:c>
      <x:c r="GE48" s="14" t="n">
        <x:v>8</x:v>
      </x:c>
      <x:c r="GF48" s="14" t="n">
        <x:v>759</x:v>
      </x:c>
      <x:c r="GG48" s="14" t="n">
        <x:v>128</x:v>
      </x:c>
      <x:c r="GH48" s="14" t="n">
        <x:v>8</x:v>
      </x:c>
      <x:c r="GI48" s="14" t="n">
        <x:v>4</x:v>
      </x:c>
      <x:c r="GJ48" s="14" t="str">
        <x:v>未收錄</x:v>
      </x:c>
      <x:c r="GK48" s="14" t="str">
        <x:v>28823</x:v>
      </x:c>
      <x:c r="GL48" s="14" t="n">
        <x:v>8</x:v>
      </x:c>
      <x:c r="GM48" s="14" t="n">
        <x:v>928</x:v>
      </x:c>
      <x:c r="GN48" s="14" t="n">
        <x:v>125</x:v>
      </x:c>
      <x:c r="GO48" s="14" t="n">
        <x:v>8</x:v>
      </x:c>
      <x:c r="GP48" s="14" t="n">
        <x:v>1</x:v>
      </x:c>
      <x:c r="GQ48" s="14" t="str">
        <x:v>未收錄</x:v>
      </x:c>
      <x:c r="GR48" s="14" t="str">
        <x:v>28824</x:v>
      </x:c>
      <x:c r="GS48" s="14" t="n">
        <x:v>8</x:v>
      </x:c>
      <x:c r="GT48" s="14" t="n">
        <x:v>929</x:v>
      </x:c>
      <x:c r="GU48" s="14" t="n">
        <x:v>126</x:v>
      </x:c>
      <x:c r="GV48" s="14" t="n">
        <x:v>8</x:v>
      </x:c>
      <x:c r="GW48" s="14" t="n">
        <x:v>2</x:v>
      </x:c>
      <x:c r="GX48" s="14" t="str">
        <x:v>未收錄</x:v>
      </x:c>
      <x:c r="GY48" s="14" t="str">
        <x:v>28825</x:v>
      </x:c>
      <x:c r="GZ48" s="14" t="n">
        <x:v>8</x:v>
      </x:c>
      <x:c r="HA48" s="14" t="n">
        <x:v>930</x:v>
      </x:c>
      <x:c r="HB48" s="14" t="n">
        <x:v>127</x:v>
      </x:c>
      <x:c r="HC48" s="14" t="n">
        <x:v>8</x:v>
      </x:c>
      <x:c r="HD48" s="14" t="n">
        <x:v>3</x:v>
      </x:c>
      <x:c r="HE48" s="14" t="str">
        <x:v>未收錄</x:v>
      </x:c>
      <x:c r="HF48" s="14" t="str">
        <x:v>29367</x:v>
      </x:c>
      <x:c r="HG48" s="14" t="n">
        <x:v>8</x:v>
      </x:c>
      <x:c r="HH48" s="14" t="n">
        <x:v>931</x:v>
      </x:c>
      <x:c r="HI48" s="14" t="n">
        <x:v>128</x:v>
      </x:c>
      <x:c r="HJ48" s="14" t="n">
        <x:v>8</x:v>
      </x:c>
      <x:c r="HK48" s="14" t="n">
        <x:v>4</x:v>
      </x:c>
      <x:c r="HL48" s="14" t="str">
        <x:v>未收錄</x:v>
      </x:c>
      <x:c r="HM48" s="14" t="str">
        <x:v>26963</x:v>
      </x:c>
      <x:c r="HN48" s="14" t="n">
        <x:v>20</x:v>
      </x:c>
      <x:c r="HO48" s="14" t="n">
        <x:v>1101</x:v>
      </x:c>
      <x:c r="HP48" s="14" t="n">
        <x:v>125</x:v>
      </x:c>
      <x:c r="HQ48" s="14" t="n">
        <x:v>8</x:v>
      </x:c>
      <x:c r="HR48" s="14" t="n">
        <x:v>1</x:v>
      </x:c>
      <x:c r="HS48" s="14" t="str">
        <x:v>未收錄</x:v>
      </x:c>
      <x:c r="HT48" s="14" t="str">
        <x:v>27358</x:v>
      </x:c>
      <x:c r="HU48" s="14" t="n">
        <x:v>20</x:v>
      </x:c>
      <x:c r="HV48" s="14" t="n">
        <x:v>1102</x:v>
      </x:c>
      <x:c r="HW48" s="14" t="n">
        <x:v>126</x:v>
      </x:c>
      <x:c r="HX48" s="14" t="n">
        <x:v>8</x:v>
      </x:c>
      <x:c r="HY48" s="14" t="n">
        <x:v>2</x:v>
      </x:c>
      <x:c r="HZ48" s="14" t="str">
        <x:v>未收錄</x:v>
      </x:c>
      <x:c r="IA48" s="14" t="str">
        <x:v>27572</x:v>
      </x:c>
      <x:c r="IB48" s="14" t="n">
        <x:v>20</x:v>
      </x:c>
      <x:c r="IC48" s="14" t="n">
        <x:v>1103</x:v>
      </x:c>
      <x:c r="ID48" s="14" t="n">
        <x:v>127</x:v>
      </x:c>
      <x:c r="IE48" s="14" t="n">
        <x:v>8</x:v>
      </x:c>
      <x:c r="IF48" s="14" t="n">
        <x:v>3</x:v>
      </x:c>
      <x:c r="IG48" s="14" t="str">
        <x:v>未收錄</x:v>
      </x:c>
      <x:c r="IH48" s="14" t="str">
        <x:v>27999</x:v>
      </x:c>
      <x:c r="II48" s="14" t="n">
        <x:v>20</x:v>
      </x:c>
      <x:c r="IJ48" s="14" t="n">
        <x:v>1104</x:v>
      </x:c>
      <x:c r="IK48" s="14" t="n">
        <x:v>128</x:v>
      </x:c>
      <x:c r="IL48" s="14" t="n">
        <x:v>8</x:v>
      </x:c>
      <x:c r="IM48" s="14" t="n">
        <x:v>4</x:v>
      </x:c>
      <x:c r="IN48" s="14" t="str">
        <x:v>未收錄</x:v>
      </x:c>
      <x:c r="IO48" s="14" t="str">
        <x:v>28000</x:v>
      </x:c>
      <x:c r="IP48" s="14" t="n">
        <x:v>20</x:v>
      </x:c>
      <x:c r="IQ48" s="14" t="n">
        <x:v>1269</x:v>
      </x:c>
      <x:c r="IR48" s="14" t="n">
        <x:v>125</x:v>
      </x:c>
      <x:c r="IS48" s="14" t="n">
        <x:v>8</x:v>
      </x:c>
      <x:c r="IT48" s="14" t="n">
        <x:v>1</x:v>
      </x:c>
      <x:c r="IU48" s="14" t="str">
        <x:v>未收錄</x:v>
      </x:c>
      <x:c r="IV48" s="14" t="str">
        <x:v>28158</x:v>
      </x:c>
      <x:c r="IW48" s="14" t="n">
        <x:v>20</x:v>
      </x:c>
      <x:c r="IX48" s="14" t="n">
        <x:v>1270</x:v>
      </x:c>
      <x:c r="IY48" s="14" t="n">
        <x:v>126</x:v>
      </x:c>
      <x:c r="IZ48" s="14" t="n">
        <x:v>8</x:v>
      </x:c>
      <x:c r="JA48" s="14" t="n">
        <x:v>2</x:v>
      </x:c>
      <x:c r="JB48" s="14" t="str">
        <x:v>未收錄</x:v>
      </x:c>
      <x:c r="JC48" s="14" t="str">
        <x:v>28495</x:v>
      </x:c>
      <x:c r="JD48" s="14" t="n">
        <x:v>20</x:v>
      </x:c>
      <x:c r="JE48" s="14" t="n">
        <x:v>1271</x:v>
      </x:c>
      <x:c r="JF48" s="14" t="n">
        <x:v>127</x:v>
      </x:c>
      <x:c r="JG48" s="14" t="n">
        <x:v>8</x:v>
      </x:c>
      <x:c r="JH48" s="14" t="n">
        <x:v>3</x:v>
      </x:c>
      <x:c r="JI48" s="14" t="str">
        <x:v>未收錄</x:v>
      </x:c>
      <x:c r="JJ48" s="14" t="str">
        <x:v>28782</x:v>
      </x:c>
      <x:c r="JK48" s="14" t="n">
        <x:v>20</x:v>
      </x:c>
      <x:c r="JL48" s="14" t="n">
        <x:v>1272</x:v>
      </x:c>
      <x:c r="JM48" s="14" t="n">
        <x:v>128</x:v>
      </x:c>
      <x:c r="JN48" s="14" t="n">
        <x:v>8</x:v>
      </x:c>
      <x:c r="JO48" s="14" t="n">
        <x:v>4</x:v>
      </x:c>
      <x:c r="JP48" s="14" t="str">
        <x:v>未收錄</x:v>
      </x:c>
      <x:c r="JQ48" s="14"/>
      <x:c r="JR48" s="14"/>
      <x:c r="JS48" s="14"/>
      <x:c r="JT48" s="14"/>
      <x:c r="JU48" s="14"/>
      <x:c r="JV48" s="14"/>
      <x:c r="JW48" s="14"/>
      <x:c r="JX48" s="14"/>
      <x:c r="JY48" s="14"/>
      <x:c r="JZ48" s="14"/>
      <x:c r="KA48" s="14"/>
      <x:c r="KB48" s="14"/>
      <x:c r="KC48" s="14"/>
      <x:c r="KD48" s="14"/>
      <x:c r="KE48" s="14"/>
      <x:c r="KF48" s="14"/>
      <x:c r="KG48" s="14"/>
      <x:c r="KH48" s="14"/>
      <x:c r="KI48" s="14"/>
      <x:c r="KJ48" s="14"/>
      <x:c r="KK48" s="14"/>
      <x:c r="KL48" s="14"/>
      <x:c r="KM48" s="14"/>
      <x:c r="KN48" s="14"/>
      <x:c r="KO48" s="14"/>
      <x:c r="KP48" s="14"/>
      <x:c r="KQ48" s="14"/>
      <x:c r="KR48" s="14"/>
      <x:c r="KS48" s="14"/>
      <x:c r="KT48" s="14"/>
      <x:c r="KU48" s="14"/>
      <x:c r="KV48" s="14"/>
      <x:c r="KW48" s="14"/>
      <x:c r="KX48" s="14"/>
      <x:c r="KY48" s="14"/>
      <x:c r="KZ48" s="14"/>
      <x:c r="LA48" s="14"/>
      <x:c r="LB48" s="14"/>
      <x:c r="LC48" s="14"/>
      <x:c r="LD48" s="14"/>
      <x:c r="LE48" s="14"/>
      <x:c r="LF48" s="14"/>
      <x:c r="LG48" s="14"/>
      <x:c r="LH48" s="14"/>
      <x:c r="LI48" s="14"/>
      <x:c r="LJ48" s="14"/>
      <x:c r="LK48" s="14"/>
      <x:c r="LL48" s="14"/>
      <x:c r="LM48" s="14"/>
      <x:c r="LN48" s="14"/>
      <x:c r="LO48" s="14"/>
      <x:c r="LP48" s="14"/>
      <x:c r="LQ48" s="14"/>
      <x:c r="LR48" s="14"/>
      <x:c r="LS48" s="14"/>
      <x:c r="LT48" s="14"/>
      <x:c r="LU48" s="14"/>
      <x:c r="LV48" s="14"/>
      <x:c r="LW48" s="14"/>
      <x:c r="LX48" s="14"/>
      <x:c r="LY48" s="14"/>
      <x:c r="LZ48" s="14"/>
      <x:c r="MA48" s="14"/>
      <x:c r="MB48" s="14"/>
      <x:c r="MC48" s="14"/>
      <x:c r="MD48" s="14"/>
      <x:c r="ME48" s="14"/>
      <x:c r="MF48" s="14"/>
      <x:c r="MG48" s="14"/>
      <x:c r="MH48" s="14"/>
      <x:c r="MI48" s="14"/>
      <x:c r="MJ48" s="14"/>
      <x:c r="MK48" s="14"/>
      <x:c r="ML48" s="14"/>
      <x:c r="MM48" s="14"/>
      <x:c r="MN48" s="14"/>
      <x:c r="MO48" s="14"/>
      <x:c r="MP48" s="14"/>
      <x:c r="MQ48" s="14"/>
      <x:c r="MR48" s="14"/>
      <x:c r="MS48" s="14"/>
      <x:c r="MT48" s="14"/>
      <x:c r="MU48" s="14"/>
      <x:c r="MV48" s="14"/>
      <x:c r="MW48" s="14" t="str">
        <x:v>22934</x:v>
      </x:c>
      <x:c r="MX48" s="14" t="n">
        <x:v>5</x:v>
      </x:c>
      <x:c r="MY48" s="14" t="n">
        <x:v>1773</x:v>
      </x:c>
      <x:c r="MZ48" s="14" t="n">
        <x:v>125</x:v>
      </x:c>
      <x:c r="NA48" s="14" t="n">
        <x:v>8</x:v>
      </x:c>
      <x:c r="NB48" s="14" t="n">
        <x:v>1</x:v>
      </x:c>
      <x:c r="NC48" s="14" t="str">
        <x:v>未收錄</x:v>
      </x:c>
      <x:c r="ND48" s="14" t="str">
        <x:v>22935</x:v>
      </x:c>
      <x:c r="NE48" s="14" t="n">
        <x:v>5</x:v>
      </x:c>
      <x:c r="NF48" s="14" t="n">
        <x:v>1774</x:v>
      </x:c>
      <x:c r="NG48" s="14" t="n">
        <x:v>126</x:v>
      </x:c>
      <x:c r="NH48" s="14" t="n">
        <x:v>8</x:v>
      </x:c>
      <x:c r="NI48" s="14" t="n">
        <x:v>2</x:v>
      </x:c>
      <x:c r="NJ48" s="14" t="str">
        <x:v>未收錄</x:v>
      </x:c>
      <x:c r="NK48" s="14" t="str">
        <x:v>22936</x:v>
      </x:c>
      <x:c r="NL48" s="14" t="n">
        <x:v>5</x:v>
      </x:c>
      <x:c r="NM48" s="14" t="n">
        <x:v>1775</x:v>
      </x:c>
      <x:c r="NN48" s="14" t="n">
        <x:v>127</x:v>
      </x:c>
      <x:c r="NO48" s="14" t="n">
        <x:v>8</x:v>
      </x:c>
      <x:c r="NP48" s="14" t="n">
        <x:v>3</x:v>
      </x:c>
      <x:c r="NQ48" s="14" t="str">
        <x:v>未收錄</x:v>
      </x:c>
      <x:c r="NR48" s="14" t="str">
        <x:v>22937</x:v>
      </x:c>
      <x:c r="NS48" s="14" t="n">
        <x:v>5</x:v>
      </x:c>
      <x:c r="NT48" s="14" t="n">
        <x:v>1776</x:v>
      </x:c>
      <x:c r="NU48" s="14" t="n">
        <x:v>128</x:v>
      </x:c>
      <x:c r="NV48" s="14" t="n">
        <x:v>8</x:v>
      </x:c>
      <x:c r="NW48" s="14" t="n">
        <x:v>4</x:v>
      </x:c>
      <x:c r="NX48" s="14" t="str">
        <x:v>未收錄</x:v>
      </x:c>
      <x:c r="NY48" s="14" t="str">
        <x:v>22927</x:v>
      </x:c>
      <x:c r="NZ48" s="14" t="n">
        <x:v>5</x:v>
      </x:c>
      <x:c r="OA48" s="14" t="n">
        <x:v>2226</x:v>
      </x:c>
      <x:c r="OB48" s="14" t="n">
        <x:v>125</x:v>
      </x:c>
      <x:c r="OC48" s="14" t="n">
        <x:v>8</x:v>
      </x:c>
      <x:c r="OD48" s="14" t="n">
        <x:v>1</x:v>
      </x:c>
      <x:c r="OE48" s="14" t="str">
        <x:v>未收錄</x:v>
      </x:c>
      <x:c r="OF48" s="14" t="str">
        <x:v>22946</x:v>
      </x:c>
      <x:c r="OG48" s="14" t="n">
        <x:v>5</x:v>
      </x:c>
      <x:c r="OH48" s="14" t="n">
        <x:v>2227</x:v>
      </x:c>
      <x:c r="OI48" s="14" t="n">
        <x:v>126</x:v>
      </x:c>
      <x:c r="OJ48" s="14" t="n">
        <x:v>8</x:v>
      </x:c>
      <x:c r="OK48" s="14" t="n">
        <x:v>2</x:v>
      </x:c>
      <x:c r="OL48" s="14" t="str">
        <x:v>未收錄</x:v>
      </x:c>
      <x:c r="OM48" s="14" t="str">
        <x:v>22947</x:v>
      </x:c>
      <x:c r="ON48" s="14" t="n">
        <x:v>5</x:v>
      </x:c>
      <x:c r="OO48" s="14" t="n">
        <x:v>2228</x:v>
      </x:c>
      <x:c r="OP48" s="14" t="n">
        <x:v>127</x:v>
      </x:c>
      <x:c r="OQ48" s="14" t="n">
        <x:v>8</x:v>
      </x:c>
      <x:c r="OR48" s="14" t="n">
        <x:v>3</x:v>
      </x:c>
      <x:c r="OS48" s="14" t="str">
        <x:v>未收錄</x:v>
      </x:c>
      <x:c r="OT48" s="14" t="str">
        <x:v>22948</x:v>
      </x:c>
      <x:c r="OU48" s="14" t="n">
        <x:v>5</x:v>
      </x:c>
      <x:c r="OV48" s="14" t="n">
        <x:v>2229</x:v>
      </x:c>
      <x:c r="OW48" s="14" t="n">
        <x:v>128</x:v>
      </x:c>
      <x:c r="OX48" s="14" t="n">
        <x:v>8</x:v>
      </x:c>
      <x:c r="OY48" s="14" t="n">
        <x:v>4</x:v>
      </x:c>
      <x:c r="OZ48" s="14" t="str">
        <x:v>未收錄</x:v>
      </x:c>
      <x:c r="PA48" s="14" t="str">
        <x:v>23195</x:v>
      </x:c>
      <x:c r="PB48" s="14" t="n">
        <x:v>5</x:v>
      </x:c>
      <x:c r="PC48" s="14" t="n">
        <x:v>2772</x:v>
      </x:c>
      <x:c r="PD48" s="14" t="n">
        <x:v>125</x:v>
      </x:c>
      <x:c r="PE48" s="14" t="n">
        <x:v>8</x:v>
      </x:c>
      <x:c r="PF48" s="14" t="n">
        <x:v>1</x:v>
      </x:c>
      <x:c r="PG48" s="14" t="str">
        <x:v>未收錄</x:v>
      </x:c>
      <x:c r="PH48" s="14" t="str">
        <x:v>23196</x:v>
      </x:c>
      <x:c r="PI48" s="14" t="n">
        <x:v>5</x:v>
      </x:c>
      <x:c r="PJ48" s="14" t="n">
        <x:v>2773</x:v>
      </x:c>
      <x:c r="PK48" s="14" t="n">
        <x:v>126</x:v>
      </x:c>
      <x:c r="PL48" s="14" t="n">
        <x:v>8</x:v>
      </x:c>
      <x:c r="PM48" s="14" t="n">
        <x:v>2</x:v>
      </x:c>
      <x:c r="PN48" s="14" t="str">
        <x:v>未收錄</x:v>
      </x:c>
      <x:c r="PO48" s="14" t="str">
        <x:v>23197</x:v>
      </x:c>
      <x:c r="PP48" s="14" t="n">
        <x:v>5</x:v>
      </x:c>
      <x:c r="PQ48" s="14" t="n">
        <x:v>2774</x:v>
      </x:c>
      <x:c r="PR48" s="14" t="n">
        <x:v>127</x:v>
      </x:c>
      <x:c r="PS48" s="14" t="n">
        <x:v>8</x:v>
      </x:c>
      <x:c r="PT48" s="14" t="n">
        <x:v>3</x:v>
      </x:c>
      <x:c r="PU48" s="14" t="str">
        <x:v>未收錄</x:v>
      </x:c>
      <x:c r="PV48" s="14" t="str">
        <x:v>23198</x:v>
      </x:c>
      <x:c r="PW48" s="14" t="n">
        <x:v>5</x:v>
      </x:c>
      <x:c r="PX48" s="14" t="n">
        <x:v>2775</x:v>
      </x:c>
      <x:c r="PY48" s="14" t="n">
        <x:v>128</x:v>
      </x:c>
      <x:c r="PZ48" s="14" t="n">
        <x:v>8</x:v>
      </x:c>
      <x:c r="QA48" s="14" t="n">
        <x:v>4</x:v>
      </x:c>
      <x:c r="QB48" s="14" t="str">
        <x:v>未收錄</x:v>
      </x:c>
      <x:c r="QC48" s="14" t="str">
        <x:v>23203</x:v>
      </x:c>
      <x:c r="QD48" s="14" t="n">
        <x:v>5</x:v>
      </x:c>
      <x:c r="QE48" s="14" t="n">
        <x:v>3209</x:v>
      </x:c>
      <x:c r="QF48" s="14" t="n">
        <x:v>125</x:v>
      </x:c>
      <x:c r="QG48" s="14" t="n">
        <x:v>8</x:v>
      </x:c>
      <x:c r="QH48" s="14" t="n">
        <x:v>1</x:v>
      </x:c>
      <x:c r="QI48" s="14" t="str">
        <x:v>未收錄</x:v>
      </x:c>
      <x:c r="QJ48" s="14" t="str">
        <x:v>23204</x:v>
      </x:c>
      <x:c r="QK48" s="14" t="n">
        <x:v>5</x:v>
      </x:c>
      <x:c r="QL48" s="14" t="n">
        <x:v>3210</x:v>
      </x:c>
      <x:c r="QM48" s="14" t="n">
        <x:v>126</x:v>
      </x:c>
      <x:c r="QN48" s="14" t="n">
        <x:v>8</x:v>
      </x:c>
      <x:c r="QO48" s="14" t="n">
        <x:v>2</x:v>
      </x:c>
      <x:c r="QP48" s="14" t="str">
        <x:v>未收錄</x:v>
      </x:c>
      <x:c r="QQ48" s="14" t="str">
        <x:v>23205</x:v>
      </x:c>
      <x:c r="QR48" s="14" t="n">
        <x:v>5</x:v>
      </x:c>
      <x:c r="QS48" s="14" t="n">
        <x:v>3211</x:v>
      </x:c>
      <x:c r="QT48" s="14" t="n">
        <x:v>127</x:v>
      </x:c>
      <x:c r="QU48" s="14" t="n">
        <x:v>8</x:v>
      </x:c>
      <x:c r="QV48" s="14" t="n">
        <x:v>3</x:v>
      </x:c>
      <x:c r="QW48" s="14" t="str">
        <x:v>未收錄</x:v>
      </x:c>
      <x:c r="QX48" s="14" t="str">
        <x:v>23206</x:v>
      </x:c>
      <x:c r="QY48" s="14" t="n">
        <x:v>5</x:v>
      </x:c>
      <x:c r="QZ48" s="14" t="n">
        <x:v>3212</x:v>
      </x:c>
      <x:c r="RA48" s="14" t="n">
        <x:v>128</x:v>
      </x:c>
      <x:c r="RB48" s="14" t="n">
        <x:v>8</x:v>
      </x:c>
      <x:c r="RC48" s="14" t="n">
        <x:v>4</x:v>
      </x:c>
      <x:c r="RD48" s="14" t="str">
        <x:v>未收錄</x:v>
      </x:c>
      <x:c r="RE48" s="14" t="str">
        <x:v>24041</x:v>
      </x:c>
      <x:c r="RF48" s="14" t="n">
        <x:v>5</x:v>
      </x:c>
      <x:c r="RG48" s="14" t="n">
        <x:v>3670</x:v>
      </x:c>
      <x:c r="RH48" s="14" t="n">
        <x:v>125</x:v>
      </x:c>
      <x:c r="RI48" s="14" t="n">
        <x:v>8</x:v>
      </x:c>
      <x:c r="RJ48" s="14" t="n">
        <x:v>1</x:v>
      </x:c>
      <x:c r="RK48" s="14" t="str">
        <x:v>未收錄</x:v>
      </x:c>
      <x:c r="RL48" s="14" t="str">
        <x:v>24042</x:v>
      </x:c>
      <x:c r="RM48" s="14" t="n">
        <x:v>5</x:v>
      </x:c>
      <x:c r="RN48" s="14" t="n">
        <x:v>3671</x:v>
      </x:c>
      <x:c r="RO48" s="14" t="n">
        <x:v>126</x:v>
      </x:c>
      <x:c r="RP48" s="14" t="n">
        <x:v>8</x:v>
      </x:c>
      <x:c r="RQ48" s="14" t="n">
        <x:v>2</x:v>
      </x:c>
      <x:c r="RR48" s="14" t="str">
        <x:v>未收錄</x:v>
      </x:c>
      <x:c r="RS48" s="14" t="str">
        <x:v>24043</x:v>
      </x:c>
      <x:c r="RT48" s="14" t="n">
        <x:v>5</x:v>
      </x:c>
      <x:c r="RU48" s="14" t="n">
        <x:v>3672</x:v>
      </x:c>
      <x:c r="RV48" s="14" t="n">
        <x:v>127</x:v>
      </x:c>
      <x:c r="RW48" s="14" t="n">
        <x:v>8</x:v>
      </x:c>
      <x:c r="RX48" s="14" t="n">
        <x:v>3</x:v>
      </x:c>
      <x:c r="RY48" s="14" t="str">
        <x:v>未收錄</x:v>
      </x:c>
      <x:c r="RZ48" s="14" t="str">
        <x:v>24129</x:v>
      </x:c>
      <x:c r="SA48" s="14" t="n">
        <x:v>3</x:v>
      </x:c>
      <x:c r="SB48" s="14" t="n">
        <x:v>3673</x:v>
      </x:c>
      <x:c r="SC48" s="14" t="n">
        <x:v>128</x:v>
      </x:c>
      <x:c r="SD48" s="14" t="n">
        <x:v>8</x:v>
      </x:c>
      <x:c r="SE48" s="14" t="n">
        <x:v>4</x:v>
      </x:c>
      <x:c r="SF48" s="14" t="str">
        <x:v>未收錄</x:v>
      </x:c>
      <x:c r="SG48" s="14"/>
      <x:c r="SH48" s="14"/>
      <x:c r="SI48" s="14"/>
      <x:c r="SJ48" s="14"/>
      <x:c r="SK48" s="14"/>
      <x:c r="SL48" s="14"/>
      <x:c r="SM48" s="14"/>
      <x:c r="SN48" s="14"/>
      <x:c r="SO48" s="14"/>
      <x:c r="SP48" s="14"/>
      <x:c r="SQ48" s="14"/>
      <x:c r="SR48" s="14"/>
      <x:c r="SS48" s="14"/>
      <x:c r="ST48" s="14"/>
      <x:c r="SU48" s="14"/>
      <x:c r="SV48" s="14"/>
      <x:c r="SW48" s="14"/>
      <x:c r="SX48" s="14"/>
      <x:c r="SY48" s="14"/>
      <x:c r="SZ48" s="14"/>
      <x:c r="TA48" s="14"/>
      <x:c r="TB48" s="14"/>
      <x:c r="TC48" s="14"/>
      <x:c r="TD48" s="14"/>
      <x:c r="TE48" s="14"/>
      <x:c r="TF48" s="14"/>
      <x:c r="TG48" s="14"/>
      <x:c r="TH48" s="14"/>
    </x:row>
    <x:row r="49" ht="15" customHeight="1">
      <x:c r="A49" s="17" t="str">
        <x:v>無雙明律劍</x:v>
      </x:c>
      <x:c r="B49" s="17" t="str">
        <x:v>定念明律劍</x:v>
      </x:c>
      <x:c r="C49" s="17" t="str">
        <x:v>觀真明律劍</x:v>
      </x:c>
      <x:c r="D49" s="17" t="str">
        <x:v>絕倫劍</x:v>
      </x:c>
      <x:c r="E49" s="14"/>
      <x:c r="F49" s="17" t="str">
        <x:v>無雙波斯刀</x:v>
      </x:c>
      <x:c r="G49" s="17" t="str">
        <x:v>斬鐵聖使刀</x:v>
      </x:c>
      <x:c r="H49" s="17" t="str">
        <x:v>斷鋼神將刀</x:v>
      </x:c>
      <x:c r="I49" s="17" t="str">
        <x:v>相元刀</x:v>
      </x:c>
      <x:c r="J49" s="14"/>
      <x:c r="K49" s="17" t="str">
        <x:v>終極六滅神鑽</x:v>
      </x:c>
      <x:c r="L49" s="17" t="str">
        <x:v>新星之蝶穿花</x:v>
      </x:c>
      <x:c r="M49" s="17" t="str">
        <x:v>霜羽連珠Ⅰ</x:v>
      </x:c>
      <x:c r="N49" s="17" t="str">
        <x:v>霜羽連珠Ⅱ</x:v>
      </x:c>
      <x:c r="O49" s="14"/>
      <x:c r="P49" s="17" t="str">
        <x:v>皇麟扇★☆</x:v>
      </x:c>
      <x:c r="Q49" s="17" t="str">
        <x:v>皇麟扇★★</x:v>
      </x:c>
      <x:c r="R49" s="17" t="str">
        <x:v>皇麟扇★★☆</x:v>
      </x:c>
      <x:c r="S49" s="17" t="str">
        <x:v>皇麟扇★★★</x:v>
      </x:c>
      <x:c r="T49" s="14"/>
      <x:c r="U49" s="17" t="str">
        <x:v>御天杖★</x:v>
      </x:c>
      <x:c r="V49" s="17" t="str">
        <x:v>御天杖★☆</x:v>
      </x:c>
      <x:c r="W49" s="17" t="str">
        <x:v>御天杖★★</x:v>
      </x:c>
      <x:c r="X49" s="17" t="str">
        <x:v>御天杖★★☆</x:v>
      </x:c>
      <x:c r="Y49" s="14"/>
      <x:c r="Z49" s="17" t="str">
        <x:v>神暘槍‧逆宇</x:v>
      </x:c>
      <x:c r="AA49" s="17" t="str">
        <x:v>至槍‧岡古尼</x:v>
      </x:c>
      <x:c r="AB49" s="17" t="str">
        <x:v>至槍‧岡古尼</x:v>
      </x:c>
      <x:c r="AC49" s="17" t="str">
        <x:v>泣槍奈‧芙蒂</x:v>
      </x:c>
      <x:c r="AD49" s="14"/>
      <x:c r="AE49" s="17" t="str">
        <x:v>獅棍泰‧芙努</x:v>
      </x:c>
      <x:c r="AF49" s="17" t="str">
        <x:v>獅棍泰‧芙努</x:v>
      </x:c>
      <x:c r="AG49" s="17" t="str">
        <x:v>泰始宇弘棍</x:v>
      </x:c>
      <x:c r="AH49" s="17" t="str">
        <x:v>泰始宇弘棍</x:v>
      </x:c>
      <x:c r="AI49" s="14"/>
      <x:c r="AJ49" s="14"/>
      <x:c r="AK49" s="14"/>
      <x:c r="AL49" s="14"/>
      <x:c r="AM49" s="14"/>
      <x:c r="AN49" s="14"/>
      <x:c r="AO49" s="14"/>
      <x:c r="AP49" s="14"/>
      <x:c r="AQ49" s="14"/>
      <x:c r="AR49" s="14"/>
      <x:c r="AS49" s="14"/>
      <x:c r="AT49" s="14"/>
      <x:c r="AU49" s="14"/>
      <x:c r="AV49" s="14"/>
      <x:c r="AW49" s="14"/>
      <x:c r="AX49" s="14"/>
      <x:c r="AY49" s="17" t="str">
        <x:v>朧月頭巾</x:v>
      </x:c>
      <x:c r="AZ49" s="17" t="str">
        <x:v>殘月頭巾</x:v>
      </x:c>
      <x:c r="BA49" s="17" t="str">
        <x:v>昇陽紋冠</x:v>
      </x:c>
      <x:c r="BB49" s="17" t="str">
        <x:v>朝陽紋冠</x:v>
      </x:c>
      <x:c r="BC49" s="14"/>
      <x:c r="BD49" s="17" t="str">
        <x:v>翔雲戰甲</x:v>
      </x:c>
      <x:c r="BE49" s="17" t="str">
        <x:v>瑞雲戰甲</x:v>
      </x:c>
      <x:c r="BF49" s="17" t="str">
        <x:v>飛雲戰甲</x:v>
      </x:c>
      <x:c r="BG49" s="17" t="str">
        <x:v>新月勁袍</x:v>
      </x:c>
      <x:c r="BH49" s="14"/>
      <x:c r="BI49" s="17" t="str">
        <x:v>吠陀護腕</x:v>
      </x:c>
      <x:c r="BJ49" s="17" t="str">
        <x:v>煌天護腕</x:v>
      </x:c>
      <x:c r="BK49" s="17" t="str">
        <x:v>華嚴護腕</x:v>
      </x:c>
      <x:c r="BL49" s="17" t="str">
        <x:v>真．摘星護腕</x:v>
      </x:c>
      <x:c r="BM49" s="14"/>
      <x:c r="BN49" s="17" t="str">
        <x:v>悉檀戰靴</x:v>
      </x:c>
      <x:c r="BO49" s="17" t="str">
        <x:v>最勝戰靴</x:v>
      </x:c>
      <x:c r="BP49" s="17" t="str">
        <x:v>吠陀護靴</x:v>
      </x:c>
      <x:c r="BQ49" s="17" t="str">
        <x:v>煌天道靴</x:v>
      </x:c>
      <x:c r="BR49" s="14"/>
      <x:c r="BS49" s="17" t="str">
        <x:v>力宗佛珠</x:v>
      </x:c>
      <x:c r="BT49" s="17" t="str">
        <x:v>智宗佛珠</x:v>
      </x:c>
      <x:c r="BU49" s="17" t="str">
        <x:v>風宗佛珠</x:v>
      </x:c>
      <x:c r="BV49" s="17" t="str">
        <x:v>天海氣濤戒</x:v>
      </x:c>
      <x:c r="BW49" s="14"/>
      <x:c r="BX49" s="14"/>
      <x:c r="BY49" s="14"/>
      <x:c r="BZ49" s="14"/>
      <x:c r="CA49" s="14"/>
      <x:c r="CB49" s="14"/>
      <x:c r="CC49" s="14" t="str">
        <x:v>24561</x:v>
      </x:c>
      <x:c r="CD49" s="14" t="n">
        <x:v>8</x:v>
      </x:c>
      <x:c r="CE49" s="14" t="n">
        <x:v>129</x:v>
      </x:c>
      <x:c r="CF49" s="14" t="n">
        <x:v>129</x:v>
      </x:c>
      <x:c r="CG49" s="14" t="n">
        <x:v>9</x:v>
      </x:c>
      <x:c r="CH49" s="14" t="n">
        <x:v>1</x:v>
      </x:c>
      <x:c r="CI49" s="14" t="str">
        <x:v>未收錄</x:v>
      </x:c>
      <x:c r="CJ49" s="14" t="str">
        <x:v>24046</x:v>
      </x:c>
      <x:c r="CK49" s="14" t="n">
        <x:v>8</x:v>
      </x:c>
      <x:c r="CL49" s="14" t="n">
        <x:v>130</x:v>
      </x:c>
      <x:c r="CM49" s="14" t="n">
        <x:v>130</x:v>
      </x:c>
      <x:c r="CN49" s="14" t="n">
        <x:v>9</x:v>
      </x:c>
      <x:c r="CO49" s="14" t="n">
        <x:v>2</x:v>
      </x:c>
      <x:c r="CP49" s="14" t="str">
        <x:v>未收錄</x:v>
      </x:c>
      <x:c r="CQ49" s="14" t="str">
        <x:v>24047</x:v>
      </x:c>
      <x:c r="CR49" s="14" t="n">
        <x:v>8</x:v>
      </x:c>
      <x:c r="CS49" s="14" t="n">
        <x:v>131</x:v>
      </x:c>
      <x:c r="CT49" s="14" t="n">
        <x:v>131</x:v>
      </x:c>
      <x:c r="CU49" s="14" t="n">
        <x:v>9</x:v>
      </x:c>
      <x:c r="CV49" s="14" t="n">
        <x:v>3</x:v>
      </x:c>
      <x:c r="CW49" s="14" t="str">
        <x:v>未收錄</x:v>
      </x:c>
      <x:c r="CX49" s="14" t="str">
        <x:v>24045</x:v>
      </x:c>
      <x:c r="CY49" s="14" t="n">
        <x:v>8</x:v>
      </x:c>
      <x:c r="CZ49" s="14" t="n">
        <x:v>132</x:v>
      </x:c>
      <x:c r="DA49" s="14" t="n">
        <x:v>132</x:v>
      </x:c>
      <x:c r="DB49" s="14" t="n">
        <x:v>9</x:v>
      </x:c>
      <x:c r="DC49" s="14" t="n">
        <x:v>4</x:v>
      </x:c>
      <x:c r="DD49" s="14" t="str">
        <x:v>未收錄</x:v>
      </x:c>
      <x:c r="DE49" s="14" t="str">
        <x:v>26095</x:v>
      </x:c>
      <x:c r="DF49" s="14" t="n">
        <x:v>8</x:v>
      </x:c>
      <x:c r="DG49" s="14" t="n">
        <x:v>374</x:v>
      </x:c>
      <x:c r="DH49" s="14" t="n">
        <x:v>129</x:v>
      </x:c>
      <x:c r="DI49" s="14" t="n">
        <x:v>9</x:v>
      </x:c>
      <x:c r="DJ49" s="14" t="n">
        <x:v>1</x:v>
      </x:c>
      <x:c r="DK49" s="14" t="str">
        <x:v>未收錄</x:v>
      </x:c>
      <x:c r="DL49" s="14" t="str">
        <x:v>24626</x:v>
      </x:c>
      <x:c r="DM49" s="14" t="n">
        <x:v>8</x:v>
      </x:c>
      <x:c r="DN49" s="14" t="n">
        <x:v>375</x:v>
      </x:c>
      <x:c r="DO49" s="14" t="n">
        <x:v>130</x:v>
      </x:c>
      <x:c r="DP49" s="14" t="n">
        <x:v>9</x:v>
      </x:c>
      <x:c r="DQ49" s="14" t="n">
        <x:v>2</x:v>
      </x:c>
      <x:c r="DR49" s="14" t="str">
        <x:v>未收錄</x:v>
      </x:c>
      <x:c r="DS49" s="14" t="str">
        <x:v>24627</x:v>
      </x:c>
      <x:c r="DT49" s="14" t="n">
        <x:v>8</x:v>
      </x:c>
      <x:c r="DU49" s="14" t="n">
        <x:v>376</x:v>
      </x:c>
      <x:c r="DV49" s="14" t="n">
        <x:v>131</x:v>
      </x:c>
      <x:c r="DW49" s="14" t="n">
        <x:v>9</x:v>
      </x:c>
      <x:c r="DX49" s="14" t="n">
        <x:v>3</x:v>
      </x:c>
      <x:c r="DY49" s="14" t="str">
        <x:v>未收錄</x:v>
      </x:c>
      <x:c r="DZ49" s="14" t="str">
        <x:v>24628</x:v>
      </x:c>
      <x:c r="EA49" s="14" t="n">
        <x:v>8</x:v>
      </x:c>
      <x:c r="EB49" s="14" t="n">
        <x:v>377</x:v>
      </x:c>
      <x:c r="EC49" s="14" t="n">
        <x:v>132</x:v>
      </x:c>
      <x:c r="ED49" s="14" t="n">
        <x:v>9</x:v>
      </x:c>
      <x:c r="EE49" s="14" t="n">
        <x:v>4</x:v>
      </x:c>
      <x:c r="EF49" s="14" t="str">
        <x:v>未收錄</x:v>
      </x:c>
      <x:c r="EG49" s="14" t="str">
        <x:v>29945</x:v>
      </x:c>
      <x:c r="EH49" s="14" t="n">
        <x:v>10</x:v>
      </x:c>
      <x:c r="EI49" s="14" t="n">
        <x:v>610</x:v>
      </x:c>
      <x:c r="EJ49" s="14" t="n">
        <x:v>129</x:v>
      </x:c>
      <x:c r="EK49" s="14" t="n">
        <x:v>9</x:v>
      </x:c>
      <x:c r="EL49" s="14" t="n">
        <x:v>1</x:v>
      </x:c>
      <x:c r="EM49" s="14" t="str">
        <x:v>未收錄</x:v>
      </x:c>
      <x:c r="EN49" s="14" t="str">
        <x:v>27240</x:v>
      </x:c>
      <x:c r="EO49" s="14" t="n">
        <x:v>8</x:v>
      </x:c>
      <x:c r="EP49" s="14" t="n">
        <x:v>611</x:v>
      </x:c>
      <x:c r="EQ49" s="14" t="n">
        <x:v>130</x:v>
      </x:c>
      <x:c r="ER49" s="14" t="n">
        <x:v>9</x:v>
      </x:c>
      <x:c r="ES49" s="14" t="n">
        <x:v>2</x:v>
      </x:c>
      <x:c r="ET49" s="14" t="str">
        <x:v>未收錄</x:v>
      </x:c>
      <x:c r="EU49" s="14" t="str">
        <x:v>30211</x:v>
      </x:c>
      <x:c r="EV49" s="14" t="n">
        <x:v>8</x:v>
      </x:c>
      <x:c r="EW49" s="14" t="n">
        <x:v>612</x:v>
      </x:c>
      <x:c r="EX49" s="14" t="n">
        <x:v>131</x:v>
      </x:c>
      <x:c r="EY49" s="14" t="n">
        <x:v>9</x:v>
      </x:c>
      <x:c r="EZ49" s="14" t="n">
        <x:v>3</x:v>
      </x:c>
      <x:c r="FA49" s="14" t="str">
        <x:v>未收錄</x:v>
      </x:c>
      <x:c r="FB49" s="14" t="str">
        <x:v>30212</x:v>
      </x:c>
      <x:c r="FC49" s="14" t="n">
        <x:v>8</x:v>
      </x:c>
      <x:c r="FD49" s="14" t="n">
        <x:v>613</x:v>
      </x:c>
      <x:c r="FE49" s="14" t="n">
        <x:v>132</x:v>
      </x:c>
      <x:c r="FF49" s="14" t="n">
        <x:v>9</x:v>
      </x:c>
      <x:c r="FG49" s="14" t="n">
        <x:v>4</x:v>
      </x:c>
      <x:c r="FH49" s="14" t="str">
        <x:v>未收錄</x:v>
      </x:c>
      <x:c r="FI49" s="14" t="str">
        <x:v>29363</x:v>
      </x:c>
      <x:c r="FJ49" s="14" t="n">
        <x:v>8</x:v>
      </x:c>
      <x:c r="FK49" s="14" t="n">
        <x:v>760</x:v>
      </x:c>
      <x:c r="FL49" s="14" t="n">
        <x:v>129</x:v>
      </x:c>
      <x:c r="FM49" s="14" t="n">
        <x:v>9</x:v>
      </x:c>
      <x:c r="FN49" s="14" t="n">
        <x:v>1</x:v>
      </x:c>
      <x:c r="FO49" s="14" t="str">
        <x:v>未收錄</x:v>
      </x:c>
      <x:c r="FP49" s="14" t="str">
        <x:v>29364</x:v>
      </x:c>
      <x:c r="FQ49" s="14" t="n">
        <x:v>8</x:v>
      </x:c>
      <x:c r="FR49" s="14" t="n">
        <x:v>761</x:v>
      </x:c>
      <x:c r="FS49" s="14" t="n">
        <x:v>130</x:v>
      </x:c>
      <x:c r="FT49" s="14" t="n">
        <x:v>9</x:v>
      </x:c>
      <x:c r="FU49" s="14" t="n">
        <x:v>2</x:v>
      </x:c>
      <x:c r="FV49" s="14" t="str">
        <x:v>未收錄</x:v>
      </x:c>
      <x:c r="FW49" s="14" t="str">
        <x:v>29365</x:v>
      </x:c>
      <x:c r="FX49" s="14" t="n">
        <x:v>8</x:v>
      </x:c>
      <x:c r="FY49" s="14" t="n">
        <x:v>762</x:v>
      </x:c>
      <x:c r="FZ49" s="14" t="n">
        <x:v>131</x:v>
      </x:c>
      <x:c r="GA49" s="14" t="n">
        <x:v>9</x:v>
      </x:c>
      <x:c r="GB49" s="14" t="n">
        <x:v>3</x:v>
      </x:c>
      <x:c r="GC49" s="14" t="str">
        <x:v>未收錄</x:v>
      </x:c>
      <x:c r="GD49" s="14" t="str">
        <x:v>29366</x:v>
      </x:c>
      <x:c r="GE49" s="14" t="n">
        <x:v>8</x:v>
      </x:c>
      <x:c r="GF49" s="14" t="n">
        <x:v>763</x:v>
      </x:c>
      <x:c r="GG49" s="14" t="n">
        <x:v>132</x:v>
      </x:c>
      <x:c r="GH49" s="14" t="n">
        <x:v>9</x:v>
      </x:c>
      <x:c r="GI49" s="14" t="n">
        <x:v>4</x:v>
      </x:c>
      <x:c r="GJ49" s="14" t="str">
        <x:v>未收錄</x:v>
      </x:c>
      <x:c r="GK49" s="14" t="str">
        <x:v>29368</x:v>
      </x:c>
      <x:c r="GL49" s="14" t="n">
        <x:v>8</x:v>
      </x:c>
      <x:c r="GM49" s="14" t="n">
        <x:v>932</x:v>
      </x:c>
      <x:c r="GN49" s="14" t="n">
        <x:v>129</x:v>
      </x:c>
      <x:c r="GO49" s="14" t="n">
        <x:v>9</x:v>
      </x:c>
      <x:c r="GP49" s="14" t="n">
        <x:v>1</x:v>
      </x:c>
      <x:c r="GQ49" s="14" t="str">
        <x:v>未收錄</x:v>
      </x:c>
      <x:c r="GR49" s="14" t="str">
        <x:v>29369</x:v>
      </x:c>
      <x:c r="GS49" s="14" t="n">
        <x:v>8</x:v>
      </x:c>
      <x:c r="GT49" s="14" t="n">
        <x:v>933</x:v>
      </x:c>
      <x:c r="GU49" s="14" t="n">
        <x:v>130</x:v>
      </x:c>
      <x:c r="GV49" s="14" t="n">
        <x:v>9</x:v>
      </x:c>
      <x:c r="GW49" s="14" t="n">
        <x:v>2</x:v>
      </x:c>
      <x:c r="GX49" s="14" t="str">
        <x:v>未收錄</x:v>
      </x:c>
      <x:c r="GY49" s="14" t="str">
        <x:v>29370</x:v>
      </x:c>
      <x:c r="GZ49" s="14" t="n">
        <x:v>8</x:v>
      </x:c>
      <x:c r="HA49" s="14" t="n">
        <x:v>934</x:v>
      </x:c>
      <x:c r="HB49" s="14" t="n">
        <x:v>131</x:v>
      </x:c>
      <x:c r="HC49" s="14" t="n">
        <x:v>9</x:v>
      </x:c>
      <x:c r="HD49" s="14" t="n">
        <x:v>3</x:v>
      </x:c>
      <x:c r="HE49" s="14" t="str">
        <x:v>未收錄</x:v>
      </x:c>
      <x:c r="HF49" s="14" t="str">
        <x:v>29371</x:v>
      </x:c>
      <x:c r="HG49" s="14" t="n">
        <x:v>8</x:v>
      </x:c>
      <x:c r="HH49" s="14" t="n">
        <x:v>935</x:v>
      </x:c>
      <x:c r="HI49" s="14" t="n">
        <x:v>132</x:v>
      </x:c>
      <x:c r="HJ49" s="14" t="n">
        <x:v>9</x:v>
      </x:c>
      <x:c r="HK49" s="14" t="n">
        <x:v>4</x:v>
      </x:c>
      <x:c r="HL49" s="14" t="str">
        <x:v>未收錄</x:v>
      </x:c>
      <x:c r="HM49" s="14" t="str">
        <x:v>28157</x:v>
      </x:c>
      <x:c r="HN49" s="14" t="n">
        <x:v>20</x:v>
      </x:c>
      <x:c r="HO49" s="14" t="n">
        <x:v>1105</x:v>
      </x:c>
      <x:c r="HP49" s="14" t="n">
        <x:v>129</x:v>
      </x:c>
      <x:c r="HQ49" s="14" t="n">
        <x:v>9</x:v>
      </x:c>
      <x:c r="HR49" s="14" t="n">
        <x:v>1</x:v>
      </x:c>
      <x:c r="HS49" s="14" t="str">
        <x:v>未收錄</x:v>
      </x:c>
      <x:c r="HT49" s="14" t="str">
        <x:v>28494</x:v>
      </x:c>
      <x:c r="HU49" s="14" t="n">
        <x:v>20</x:v>
      </x:c>
      <x:c r="HV49" s="14" t="n">
        <x:v>1106</x:v>
      </x:c>
      <x:c r="HW49" s="14" t="n">
        <x:v>130</x:v>
      </x:c>
      <x:c r="HX49" s="14" t="n">
        <x:v>9</x:v>
      </x:c>
      <x:c r="HY49" s="14" t="n">
        <x:v>2</x:v>
      </x:c>
      <x:c r="HZ49" s="14" t="str">
        <x:v>未收錄</x:v>
      </x:c>
      <x:c r="IA49" s="14" t="str">
        <x:v>28781</x:v>
      </x:c>
      <x:c r="IB49" s="14" t="n">
        <x:v>20</x:v>
      </x:c>
      <x:c r="IC49" s="14" t="n">
        <x:v>1107</x:v>
      </x:c>
      <x:c r="ID49" s="14" t="n">
        <x:v>131</x:v>
      </x:c>
      <x:c r="IE49" s="14" t="n">
        <x:v>9</x:v>
      </x:c>
      <x:c r="IF49" s="14" t="n">
        <x:v>3</x:v>
      </x:c>
      <x:c r="IG49" s="14" t="str">
        <x:v>未收錄</x:v>
      </x:c>
      <x:c r="IH49" s="14" t="str">
        <x:v>29006</x:v>
      </x:c>
      <x:c r="II49" s="14" t="n">
        <x:v>20</x:v>
      </x:c>
      <x:c r="IJ49" s="14" t="n">
        <x:v>1108</x:v>
      </x:c>
      <x:c r="IK49" s="14" t="n">
        <x:v>132</x:v>
      </x:c>
      <x:c r="IL49" s="14" t="n">
        <x:v>9</x:v>
      </x:c>
      <x:c r="IM49" s="14" t="n">
        <x:v>4</x:v>
      </x:c>
      <x:c r="IN49" s="14" t="str">
        <x:v>未收錄</x:v>
      </x:c>
      <x:c r="IO49" s="14" t="str">
        <x:v>29007</x:v>
      </x:c>
      <x:c r="IP49" s="14" t="n">
        <x:v>20</x:v>
      </x:c>
      <x:c r="IQ49" s="14" t="n">
        <x:v>1273</x:v>
      </x:c>
      <x:c r="IR49" s="14" t="n">
        <x:v>129</x:v>
      </x:c>
      <x:c r="IS49" s="14" t="n">
        <x:v>9</x:v>
      </x:c>
      <x:c r="IT49" s="14" t="n">
        <x:v>1</x:v>
      </x:c>
      <x:c r="IU49" s="14" t="str">
        <x:v>未收錄</x:v>
      </x:c>
      <x:c r="IV49" s="14" t="str">
        <x:v>29020</x:v>
      </x:c>
      <x:c r="IW49" s="14" t="n">
        <x:v>20</x:v>
      </x:c>
      <x:c r="IX49" s="14" t="n">
        <x:v>1274</x:v>
      </x:c>
      <x:c r="IY49" s="14" t="n">
        <x:v>130</x:v>
      </x:c>
      <x:c r="IZ49" s="14" t="n">
        <x:v>9</x:v>
      </x:c>
      <x:c r="JA49" s="14" t="n">
        <x:v>2</x:v>
      </x:c>
      <x:c r="JB49" s="14" t="str">
        <x:v>未收錄</x:v>
      </x:c>
      <x:c r="JC49" s="14" t="str">
        <x:v>29660</x:v>
      </x:c>
      <x:c r="JD49" s="14" t="n">
        <x:v>20</x:v>
      </x:c>
      <x:c r="JE49" s="14" t="n">
        <x:v>1275</x:v>
      </x:c>
      <x:c r="JF49" s="14" t="n">
        <x:v>131</x:v>
      </x:c>
      <x:c r="JG49" s="14" t="n">
        <x:v>9</x:v>
      </x:c>
      <x:c r="JH49" s="14" t="n">
        <x:v>3</x:v>
      </x:c>
      <x:c r="JI49" s="14" t="str">
        <x:v>未收錄</x:v>
      </x:c>
      <x:c r="JJ49" s="14" t="str">
        <x:v>29670</x:v>
      </x:c>
      <x:c r="JK49" s="14" t="n">
        <x:v>20</x:v>
      </x:c>
      <x:c r="JL49" s="14" t="n">
        <x:v>1276</x:v>
      </x:c>
      <x:c r="JM49" s="14" t="n">
        <x:v>132</x:v>
      </x:c>
      <x:c r="JN49" s="14" t="n">
        <x:v>9</x:v>
      </x:c>
      <x:c r="JO49" s="14" t="n">
        <x:v>4</x:v>
      </x:c>
      <x:c r="JP49" s="14" t="str">
        <x:v>未收錄</x:v>
      </x:c>
      <x:c r="JQ49" s="14"/>
      <x:c r="JR49" s="14"/>
      <x:c r="JS49" s="14"/>
      <x:c r="JT49" s="14"/>
      <x:c r="JU49" s="14"/>
      <x:c r="JV49" s="14"/>
      <x:c r="JW49" s="14"/>
      <x:c r="JX49" s="14"/>
      <x:c r="JY49" s="14"/>
      <x:c r="JZ49" s="14"/>
      <x:c r="KA49" s="14"/>
      <x:c r="KB49" s="14"/>
      <x:c r="KC49" s="14"/>
      <x:c r="KD49" s="14"/>
      <x:c r="KE49" s="14"/>
      <x:c r="KF49" s="14"/>
      <x:c r="KG49" s="14"/>
      <x:c r="KH49" s="14"/>
      <x:c r="KI49" s="14"/>
      <x:c r="KJ49" s="14"/>
      <x:c r="KK49" s="14"/>
      <x:c r="KL49" s="14"/>
      <x:c r="KM49" s="14"/>
      <x:c r="KN49" s="14"/>
      <x:c r="KO49" s="14"/>
      <x:c r="KP49" s="14"/>
      <x:c r="KQ49" s="14"/>
      <x:c r="KR49" s="14"/>
      <x:c r="KS49" s="14"/>
      <x:c r="KT49" s="14"/>
      <x:c r="KU49" s="14"/>
      <x:c r="KV49" s="14"/>
      <x:c r="KW49" s="14"/>
      <x:c r="KX49" s="14"/>
      <x:c r="KY49" s="14"/>
      <x:c r="KZ49" s="14"/>
      <x:c r="LA49" s="14"/>
      <x:c r="LB49" s="14"/>
      <x:c r="LC49" s="14"/>
      <x:c r="LD49" s="14"/>
      <x:c r="LE49" s="14"/>
      <x:c r="LF49" s="14"/>
      <x:c r="LG49" s="14"/>
      <x:c r="LH49" s="14"/>
      <x:c r="LI49" s="14"/>
      <x:c r="LJ49" s="14"/>
      <x:c r="LK49" s="14"/>
      <x:c r="LL49" s="14"/>
      <x:c r="LM49" s="14"/>
      <x:c r="LN49" s="14"/>
      <x:c r="LO49" s="14"/>
      <x:c r="LP49" s="14"/>
      <x:c r="LQ49" s="14"/>
      <x:c r="LR49" s="14"/>
      <x:c r="LS49" s="14"/>
      <x:c r="LT49" s="14"/>
      <x:c r="LU49" s="14"/>
      <x:c r="LV49" s="14"/>
      <x:c r="LW49" s="14"/>
      <x:c r="LX49" s="14"/>
      <x:c r="LY49" s="14"/>
      <x:c r="LZ49" s="14"/>
      <x:c r="MA49" s="14"/>
      <x:c r="MB49" s="14"/>
      <x:c r="MC49" s="14"/>
      <x:c r="MD49" s="14"/>
      <x:c r="ME49" s="14"/>
      <x:c r="MF49" s="14"/>
      <x:c r="MG49" s="14"/>
      <x:c r="MH49" s="14"/>
      <x:c r="MI49" s="14"/>
      <x:c r="MJ49" s="14"/>
      <x:c r="MK49" s="14"/>
      <x:c r="ML49" s="14"/>
      <x:c r="MM49" s="14"/>
      <x:c r="MN49" s="14"/>
      <x:c r="MO49" s="14"/>
      <x:c r="MP49" s="14"/>
      <x:c r="MQ49" s="14"/>
      <x:c r="MR49" s="14"/>
      <x:c r="MS49" s="14"/>
      <x:c r="MT49" s="14"/>
      <x:c r="MU49" s="14"/>
      <x:c r="MV49" s="14"/>
      <x:c r="MW49" s="14" t="str">
        <x:v>22938</x:v>
      </x:c>
      <x:c r="MX49" s="14" t="n">
        <x:v>5</x:v>
      </x:c>
      <x:c r="MY49" s="14" t="n">
        <x:v>1777</x:v>
      </x:c>
      <x:c r="MZ49" s="14" t="n">
        <x:v>129</x:v>
      </x:c>
      <x:c r="NA49" s="14" t="n">
        <x:v>9</x:v>
      </x:c>
      <x:c r="NB49" s="14" t="n">
        <x:v>1</x:v>
      </x:c>
      <x:c r="NC49" s="14" t="str">
        <x:v>未收錄</x:v>
      </x:c>
      <x:c r="ND49" s="14" t="str">
        <x:v>22939</x:v>
      </x:c>
      <x:c r="NE49" s="14" t="n">
        <x:v>5</x:v>
      </x:c>
      <x:c r="NF49" s="14" t="n">
        <x:v>1778</x:v>
      </x:c>
      <x:c r="NG49" s="14" t="n">
        <x:v>130</x:v>
      </x:c>
      <x:c r="NH49" s="14" t="n">
        <x:v>9</x:v>
      </x:c>
      <x:c r="NI49" s="14" t="n">
        <x:v>2</x:v>
      </x:c>
      <x:c r="NJ49" s="14" t="str">
        <x:v>未收錄</x:v>
      </x:c>
      <x:c r="NK49" s="14" t="str">
        <x:v>22940</x:v>
      </x:c>
      <x:c r="NL49" s="14" t="n">
        <x:v>5</x:v>
      </x:c>
      <x:c r="NM49" s="14" t="n">
        <x:v>1779</x:v>
      </x:c>
      <x:c r="NN49" s="14" t="n">
        <x:v>131</x:v>
      </x:c>
      <x:c r="NO49" s="14" t="n">
        <x:v>9</x:v>
      </x:c>
      <x:c r="NP49" s="14" t="n">
        <x:v>3</x:v>
      </x:c>
      <x:c r="NQ49" s="14" t="str">
        <x:v>未收錄</x:v>
      </x:c>
      <x:c r="NR49" s="14" t="str">
        <x:v>22941</x:v>
      </x:c>
      <x:c r="NS49" s="14" t="n">
        <x:v>5</x:v>
      </x:c>
      <x:c r="NT49" s="14" t="n">
        <x:v>1780</x:v>
      </x:c>
      <x:c r="NU49" s="14" t="n">
        <x:v>132</x:v>
      </x:c>
      <x:c r="NV49" s="14" t="n">
        <x:v>9</x:v>
      </x:c>
      <x:c r="NW49" s="14" t="n">
        <x:v>4</x:v>
      </x:c>
      <x:c r="NX49" s="14" t="str">
        <x:v>未收錄</x:v>
      </x:c>
      <x:c r="NY49" s="14" t="str">
        <x:v>22949</x:v>
      </x:c>
      <x:c r="NZ49" s="14" t="n">
        <x:v>5</x:v>
      </x:c>
      <x:c r="OA49" s="14" t="n">
        <x:v>2230</x:v>
      </x:c>
      <x:c r="OB49" s="14" t="n">
        <x:v>129</x:v>
      </x:c>
      <x:c r="OC49" s="14" t="n">
        <x:v>9</x:v>
      </x:c>
      <x:c r="OD49" s="14" t="n">
        <x:v>1</x:v>
      </x:c>
      <x:c r="OE49" s="14" t="str">
        <x:v>未收錄</x:v>
      </x:c>
      <x:c r="OF49" s="14" t="str">
        <x:v>22950</x:v>
      </x:c>
      <x:c r="OG49" s="14" t="n">
        <x:v>5</x:v>
      </x:c>
      <x:c r="OH49" s="14" t="n">
        <x:v>2231</x:v>
      </x:c>
      <x:c r="OI49" s="14" t="n">
        <x:v>130</x:v>
      </x:c>
      <x:c r="OJ49" s="14" t="n">
        <x:v>9</x:v>
      </x:c>
      <x:c r="OK49" s="14" t="n">
        <x:v>2</x:v>
      </x:c>
      <x:c r="OL49" s="14" t="str">
        <x:v>未收錄</x:v>
      </x:c>
      <x:c r="OM49" s="14" t="str">
        <x:v>22951</x:v>
      </x:c>
      <x:c r="ON49" s="14" t="n">
        <x:v>5</x:v>
      </x:c>
      <x:c r="OO49" s="14" t="n">
        <x:v>2232</x:v>
      </x:c>
      <x:c r="OP49" s="14" t="n">
        <x:v>131</x:v>
      </x:c>
      <x:c r="OQ49" s="14" t="n">
        <x:v>9</x:v>
      </x:c>
      <x:c r="OR49" s="14" t="n">
        <x:v>3</x:v>
      </x:c>
      <x:c r="OS49" s="14" t="str">
        <x:v>未收錄</x:v>
      </x:c>
      <x:c r="OT49" s="14" t="str">
        <x:v>22952</x:v>
      </x:c>
      <x:c r="OU49" s="14" t="n">
        <x:v>5</x:v>
      </x:c>
      <x:c r="OV49" s="14" t="n">
        <x:v>2233</x:v>
      </x:c>
      <x:c r="OW49" s="14" t="n">
        <x:v>132</x:v>
      </x:c>
      <x:c r="OX49" s="14" t="n">
        <x:v>9</x:v>
      </x:c>
      <x:c r="OY49" s="14" t="n">
        <x:v>4</x:v>
      </x:c>
      <x:c r="OZ49" s="14" t="str">
        <x:v>未收錄</x:v>
      </x:c>
      <x:c r="PA49" s="14" t="str">
        <x:v>23199</x:v>
      </x:c>
      <x:c r="PB49" s="14" t="n">
        <x:v>5</x:v>
      </x:c>
      <x:c r="PC49" s="14" t="n">
        <x:v>2776</x:v>
      </x:c>
      <x:c r="PD49" s="14" t="n">
        <x:v>129</x:v>
      </x:c>
      <x:c r="PE49" s="14" t="n">
        <x:v>9</x:v>
      </x:c>
      <x:c r="PF49" s="14" t="n">
        <x:v>1</x:v>
      </x:c>
      <x:c r="PG49" s="14" t="str">
        <x:v>未收錄</x:v>
      </x:c>
      <x:c r="PH49" s="14" t="str">
        <x:v>23200</x:v>
      </x:c>
      <x:c r="PI49" s="14" t="n">
        <x:v>5</x:v>
      </x:c>
      <x:c r="PJ49" s="14" t="n">
        <x:v>2777</x:v>
      </x:c>
      <x:c r="PK49" s="14" t="n">
        <x:v>130</x:v>
      </x:c>
      <x:c r="PL49" s="14" t="n">
        <x:v>9</x:v>
      </x:c>
      <x:c r="PM49" s="14" t="n">
        <x:v>2</x:v>
      </x:c>
      <x:c r="PN49" s="14" t="str">
        <x:v>未收錄</x:v>
      </x:c>
      <x:c r="PO49" s="14" t="str">
        <x:v>23201</x:v>
      </x:c>
      <x:c r="PP49" s="14" t="n">
        <x:v>5</x:v>
      </x:c>
      <x:c r="PQ49" s="14" t="n">
        <x:v>2778</x:v>
      </x:c>
      <x:c r="PR49" s="14" t="n">
        <x:v>131</x:v>
      </x:c>
      <x:c r="PS49" s="14" t="n">
        <x:v>9</x:v>
      </x:c>
      <x:c r="PT49" s="14" t="n">
        <x:v>3</x:v>
      </x:c>
      <x:c r="PU49" s="14" t="str">
        <x:v>未收錄</x:v>
      </x:c>
      <x:c r="PV49" s="14" t="str">
        <x:v>23355</x:v>
      </x:c>
      <x:c r="PW49" s="14" t="n">
        <x:v>10</x:v>
      </x:c>
      <x:c r="PX49" s="14" t="n">
        <x:v>2779</x:v>
      </x:c>
      <x:c r="PY49" s="14" t="n">
        <x:v>132</x:v>
      </x:c>
      <x:c r="PZ49" s="14" t="n">
        <x:v>9</x:v>
      </x:c>
      <x:c r="QA49" s="14" t="n">
        <x:v>4</x:v>
      </x:c>
      <x:c r="QB49" s="14" t="str">
        <x:v>未收錄</x:v>
      </x:c>
      <x:c r="QC49" s="14" t="str">
        <x:v>23207</x:v>
      </x:c>
      <x:c r="QD49" s="14" t="n">
        <x:v>5</x:v>
      </x:c>
      <x:c r="QE49" s="14" t="n">
        <x:v>3213</x:v>
      </x:c>
      <x:c r="QF49" s="14" t="n">
        <x:v>129</x:v>
      </x:c>
      <x:c r="QG49" s="14" t="n">
        <x:v>9</x:v>
      </x:c>
      <x:c r="QH49" s="14" t="n">
        <x:v>1</x:v>
      </x:c>
      <x:c r="QI49" s="14" t="str">
        <x:v>未收錄</x:v>
      </x:c>
      <x:c r="QJ49" s="14" t="str">
        <x:v>23208</x:v>
      </x:c>
      <x:c r="QK49" s="14" t="n">
        <x:v>5</x:v>
      </x:c>
      <x:c r="QL49" s="14" t="n">
        <x:v>3214</x:v>
      </x:c>
      <x:c r="QM49" s="14" t="n">
        <x:v>130</x:v>
      </x:c>
      <x:c r="QN49" s="14" t="n">
        <x:v>9</x:v>
      </x:c>
      <x:c r="QO49" s="14" t="n">
        <x:v>2</x:v>
      </x:c>
      <x:c r="QP49" s="14" t="str">
        <x:v>未收錄</x:v>
      </x:c>
      <x:c r="QQ49" s="14" t="str">
        <x:v>23209</x:v>
      </x:c>
      <x:c r="QR49" s="14" t="n">
        <x:v>5</x:v>
      </x:c>
      <x:c r="QS49" s="14" t="n">
        <x:v>3215</x:v>
      </x:c>
      <x:c r="QT49" s="14" t="n">
        <x:v>131</x:v>
      </x:c>
      <x:c r="QU49" s="14" t="n">
        <x:v>9</x:v>
      </x:c>
      <x:c r="QV49" s="14" t="n">
        <x:v>3</x:v>
      </x:c>
      <x:c r="QW49" s="14" t="str">
        <x:v>未收錄</x:v>
      </x:c>
      <x:c r="QX49" s="14" t="str">
        <x:v>23210</x:v>
      </x:c>
      <x:c r="QY49" s="14" t="n">
        <x:v>5</x:v>
      </x:c>
      <x:c r="QZ49" s="14" t="n">
        <x:v>3216</x:v>
      </x:c>
      <x:c r="RA49" s="14" t="n">
        <x:v>132</x:v>
      </x:c>
      <x:c r="RB49" s="14" t="n">
        <x:v>9</x:v>
      </x:c>
      <x:c r="RC49" s="14" t="n">
        <x:v>4</x:v>
      </x:c>
      <x:c r="RD49" s="14" t="str">
        <x:v>未收錄</x:v>
      </x:c>
      <x:c r="RE49" s="14" t="str">
        <x:v>24130</x:v>
      </x:c>
      <x:c r="RF49" s="14" t="n">
        <x:v>3</x:v>
      </x:c>
      <x:c r="RG49" s="14" t="n">
        <x:v>3674</x:v>
      </x:c>
      <x:c r="RH49" s="14" t="n">
        <x:v>129</x:v>
      </x:c>
      <x:c r="RI49" s="14" t="n">
        <x:v>9</x:v>
      </x:c>
      <x:c r="RJ49" s="14" t="n">
        <x:v>1</x:v>
      </x:c>
      <x:c r="RK49" s="14" t="str">
        <x:v>未收錄</x:v>
      </x:c>
      <x:c r="RL49" s="14" t="str">
        <x:v>24131</x:v>
      </x:c>
      <x:c r="RM49" s="14" t="n">
        <x:v>3</x:v>
      </x:c>
      <x:c r="RN49" s="14" t="n">
        <x:v>3675</x:v>
      </x:c>
      <x:c r="RO49" s="14" t="n">
        <x:v>130</x:v>
      </x:c>
      <x:c r="RP49" s="14" t="n">
        <x:v>9</x:v>
      </x:c>
      <x:c r="RQ49" s="14" t="n">
        <x:v>2</x:v>
      </x:c>
      <x:c r="RR49" s="14" t="str">
        <x:v>未收錄</x:v>
      </x:c>
      <x:c r="RS49" s="14" t="str">
        <x:v>24132</x:v>
      </x:c>
      <x:c r="RT49" s="14" t="n">
        <x:v>3</x:v>
      </x:c>
      <x:c r="RU49" s="14" t="n">
        <x:v>3676</x:v>
      </x:c>
      <x:c r="RV49" s="14" t="n">
        <x:v>131</x:v>
      </x:c>
      <x:c r="RW49" s="14" t="n">
        <x:v>9</x:v>
      </x:c>
      <x:c r="RX49" s="14" t="n">
        <x:v>3</x:v>
      </x:c>
      <x:c r="RY49" s="14" t="str">
        <x:v>未收錄</x:v>
      </x:c>
      <x:c r="RZ49" s="14" t="str">
        <x:v>24234</x:v>
      </x:c>
      <x:c r="SA49" s="14" t="n">
        <x:v>5</x:v>
      </x:c>
      <x:c r="SB49" s="14" t="n">
        <x:v>3677</x:v>
      </x:c>
      <x:c r="SC49" s="14" t="n">
        <x:v>132</x:v>
      </x:c>
      <x:c r="SD49" s="14" t="n">
        <x:v>9</x:v>
      </x:c>
      <x:c r="SE49" s="14" t="n">
        <x:v>4</x:v>
      </x:c>
      <x:c r="SF49" s="14" t="str">
        <x:v>未收錄</x:v>
      </x:c>
      <x:c r="SG49" s="14"/>
      <x:c r="SH49" s="14"/>
      <x:c r="SI49" s="14"/>
      <x:c r="SJ49" s="14"/>
      <x:c r="SK49" s="14"/>
      <x:c r="SL49" s="14"/>
      <x:c r="SM49" s="14"/>
      <x:c r="SN49" s="14"/>
      <x:c r="SO49" s="14"/>
      <x:c r="SP49" s="14"/>
      <x:c r="SQ49" s="14"/>
      <x:c r="SR49" s="14"/>
      <x:c r="SS49" s="14"/>
      <x:c r="ST49" s="14"/>
      <x:c r="SU49" s="14"/>
      <x:c r="SV49" s="14"/>
      <x:c r="SW49" s="14"/>
      <x:c r="SX49" s="14"/>
      <x:c r="SY49" s="14"/>
      <x:c r="SZ49" s="14"/>
      <x:c r="TA49" s="14"/>
      <x:c r="TB49" s="14"/>
      <x:c r="TC49" s="14"/>
      <x:c r="TD49" s="14"/>
      <x:c r="TE49" s="14"/>
      <x:c r="TF49" s="14"/>
      <x:c r="TG49" s="14"/>
      <x:c r="TH49" s="14"/>
    </x:row>
    <x:row r="50" ht="15" customHeight="1">
      <x:c r="A50" s="18" t="str">
        <x:v>太古絕倫劍</x:v>
      </x:c>
      <x:c r="B50" s="18" t="str">
        <x:v>奇妙絕倫劍</x:v>
      </x:c>
      <x:c r="C50" s="18" t="str">
        <x:v>無幻絕倫劍</x:v>
      </x:c>
      <x:c r="D50" s="18" t="str">
        <x:v>聖劍帝釋天</x:v>
      </x:c>
      <x:c r="E50" s="14"/>
      <x:c r="F50" s="18" t="str">
        <x:v>太古相元刀</x:v>
      </x:c>
      <x:c r="G50" s="18" t="str">
        <x:v>天成四極刀</x:v>
      </x:c>
      <x:c r="H50" s="18" t="str">
        <x:v>真仰御靈刀</x:v>
      </x:c>
      <x:c r="I50" s="18" t="str">
        <x:v>太古太法刀</x:v>
      </x:c>
      <x:c r="J50" s="14"/>
      <x:c r="K50" s="18" t="str">
        <x:v>霜羽連珠Ⅲ</x:v>
      </x:c>
      <x:c r="L50" s="18" t="str">
        <x:v>霜羽連珠Ⅳ</x:v>
      </x:c>
      <x:c r="M50" s="18" t="str">
        <x:v>霜羽連珠Ⅴ</x:v>
      </x:c>
      <x:c r="N50" s="18" t="str">
        <x:v>鳳仙赭霞砲</x:v>
      </x:c>
      <x:c r="O50" s="14"/>
      <x:c r="P50" s="18" t="str">
        <x:v>先天太極撢</x:v>
      </x:c>
      <x:c r="Q50" s="18" t="str">
        <x:v>永劫迴天幕</x:v>
      </x:c>
      <x:c r="R50" s="18" t="str">
        <x:v>絕巖嘯雲拂</x:v>
      </x:c>
      <x:c r="S50" s="18" t="str">
        <x:v>雪羊萬律儀</x:v>
      </x:c>
      <x:c r="T50" s="14"/>
      <x:c r="U50" s="18" t="str">
        <x:v>御天杖★★★</x:v>
      </x:c>
      <x:c r="V50" s="18" t="str">
        <x:v>七寶聖佛杖</x:v>
      </x:c>
      <x:c r="W50" s="18" t="str">
        <x:v>大眾平等杖</x:v>
      </x:c>
      <x:c r="X50" s="18" t="str">
        <x:v>寰宇雷峰杖</x:v>
      </x:c>
      <x:c r="Y50" s="14"/>
      <x:c r="Z50" s="18" t="str">
        <x:v>泣槍奈‧芙蒂</x:v>
      </x:c>
      <x:c r="AA50" s="18" t="str">
        <x:v>天汗蒼狼槍</x:v>
      </x:c>
      <x:c r="AB50" s="18" t="str">
        <x:v>天汗蒼狼槍</x:v>
      </x:c>
      <x:c r="AC50" s="18" t="str">
        <x:v>南解雲帝槍</x:v>
      </x:c>
      <x:c r="AD50" s="14"/>
      <x:c r="AE50" s="18" t="str">
        <x:v>龍飛御天棍</x:v>
      </x:c>
      <x:c r="AF50" s="18" t="str">
        <x:v>龍飛御天棍</x:v>
      </x:c>
      <x:c r="AG50" s="18" t="str">
        <x:v>六滅化神棍</x:v>
      </x:c>
      <x:c r="AH50" s="18" t="str">
        <x:v>真六滅化神棍</x:v>
      </x:c>
      <x:c r="AI50" s="14"/>
      <x:c r="AJ50" s="14"/>
      <x:c r="AK50" s="14"/>
      <x:c r="AL50" s="14"/>
      <x:c r="AM50" s="14"/>
      <x:c r="AN50" s="14"/>
      <x:c r="AO50" s="14"/>
      <x:c r="AP50" s="14"/>
      <x:c r="AQ50" s="14"/>
      <x:c r="AR50" s="14"/>
      <x:c r="AS50" s="14"/>
      <x:c r="AT50" s="14"/>
      <x:c r="AU50" s="14"/>
      <x:c r="AV50" s="14"/>
      <x:c r="AW50" s="14"/>
      <x:c r="AX50" s="14"/>
      <x:c r="AY50" s="18" t="str">
        <x:v>玄陽紋冠</x:v>
      </x:c>
      <x:c r="AZ50" s="18" t="str">
        <x:v>聖空禪帽</x:v>
      </x:c>
      <x:c r="BA50" s="18" t="str">
        <x:v>圓空禪帽</x:v>
      </x:c>
      <x:c r="BB50" s="18" t="str">
        <x:v>明空禪帽</x:v>
      </x:c>
      <x:c r="BC50" s="14"/>
      <x:c r="BD50" s="18" t="str">
        <x:v>朧月勁袍</x:v>
      </x:c>
      <x:c r="BE50" s="18" t="str">
        <x:v>殘月勁袍</x:v>
      </x:c>
      <x:c r="BF50" s="18" t="str">
        <x:v>昇陽紋袍</x:v>
      </x:c>
      <x:c r="BG50" s="18" t="str">
        <x:v>朝陽紋袍</x:v>
      </x:c>
      <x:c r="BH50" s="14"/>
      <x:c r="BI50" s="18" t="str">
        <x:v>驕陽護手</x:v>
      </x:c>
      <x:c r="BJ50" s="18" t="str">
        <x:v>銀蟒護腕</x:v>
      </x:c>
      <x:c r="BK50" s="18" t="str">
        <x:v>白門腕甲</x:v>
      </x:c>
      <x:c r="BL50" s="18" t="str">
        <x:v>三世靈腕</x:v>
      </x:c>
      <x:c r="BM50" s="14"/>
      <x:c r="BN50" s="18" t="str">
        <x:v>華嚴禪靴</x:v>
      </x:c>
      <x:c r="BO50" s="18" t="str">
        <x:v>真．御雲戰靴</x:v>
      </x:c>
      <x:c r="BP50" s="18" t="str">
        <x:v>驕陽戰靴</x:v>
      </x:c>
      <x:c r="BQ50" s="18" t="str">
        <x:v>銀蟒鍊靴</x:v>
      </x:c>
      <x:c r="BR50" s="14"/>
      <x:c r="BS50" s="18" t="str">
        <x:v>地淵赤浪戒</x:v>
      </x:c>
      <x:c r="BT50" s="18" t="str">
        <x:v>金剛經：是大神咒</x:v>
      </x:c>
      <x:c r="BU50" s="18" t="str">
        <x:v>戰神護功戒</x:v>
      </x:c>
      <x:c r="BV50" s="18" t="str">
        <x:v>香格里拉金綴</x:v>
      </x:c>
      <x:c r="BW50" s="14"/>
      <x:c r="BX50" s="14"/>
      <x:c r="BY50" s="14"/>
      <x:c r="BZ50" s="14"/>
      <x:c r="CA50" s="14"/>
      <x:c r="CB50" s="14"/>
      <x:c r="CC50" s="14" t="str">
        <x:v>24659</x:v>
      </x:c>
      <x:c r="CD50" s="14" t="n">
        <x:v>3</x:v>
      </x:c>
      <x:c r="CE50" s="14" t="n">
        <x:v>133</x:v>
      </x:c>
      <x:c r="CF50" s="14" t="n">
        <x:v>133</x:v>
      </x:c>
      <x:c r="CG50" s="14" t="n">
        <x:v>10</x:v>
      </x:c>
      <x:c r="CH50" s="14" t="n">
        <x:v>1</x:v>
      </x:c>
      <x:c r="CI50" s="14" t="str">
        <x:v>未收錄</x:v>
      </x:c>
      <x:c r="CJ50" s="14" t="str">
        <x:v>24048</x:v>
      </x:c>
      <x:c r="CK50" s="14" t="n">
        <x:v>8</x:v>
      </x:c>
      <x:c r="CL50" s="14" t="n">
        <x:v>134</x:v>
      </x:c>
      <x:c r="CM50" s="14" t="n">
        <x:v>134</x:v>
      </x:c>
      <x:c r="CN50" s="14" t="n">
        <x:v>10</x:v>
      </x:c>
      <x:c r="CO50" s="14" t="n">
        <x:v>2</x:v>
      </x:c>
      <x:c r="CP50" s="14" t="str">
        <x:v>未收錄</x:v>
      </x:c>
      <x:c r="CQ50" s="14" t="str">
        <x:v>24049</x:v>
      </x:c>
      <x:c r="CR50" s="14" t="n">
        <x:v>8</x:v>
      </x:c>
      <x:c r="CS50" s="14" t="n">
        <x:v>135</x:v>
      </x:c>
      <x:c r="CT50" s="14" t="n">
        <x:v>135</x:v>
      </x:c>
      <x:c r="CU50" s="14" t="n">
        <x:v>10</x:v>
      </x:c>
      <x:c r="CV50" s="14" t="n">
        <x:v>3</x:v>
      </x:c>
      <x:c r="CW50" s="14" t="str">
        <x:v>未收錄</x:v>
      </x:c>
      <x:c r="CX50" s="14" t="str">
        <x:v>24484</x:v>
      </x:c>
      <x:c r="CY50" s="14" t="n">
        <x:v>8</x:v>
      </x:c>
      <x:c r="CZ50" s="14" t="n">
        <x:v>136</x:v>
      </x:c>
      <x:c r="DA50" s="14" t="n">
        <x:v>136</x:v>
      </x:c>
      <x:c r="DB50" s="14" t="n">
        <x:v>10</x:v>
      </x:c>
      <x:c r="DC50" s="14" t="n">
        <x:v>4</x:v>
      </x:c>
      <x:c r="DD50" s="14" t="str">
        <x:v>未收錄</x:v>
      </x:c>
      <x:c r="DE50" s="14" t="str">
        <x:v>26195</x:v>
      </x:c>
      <x:c r="DF50" s="14" t="n">
        <x:v>3</x:v>
      </x:c>
      <x:c r="DG50" s="14" t="n">
        <x:v>378</x:v>
      </x:c>
      <x:c r="DH50" s="14" t="n">
        <x:v>133</x:v>
      </x:c>
      <x:c r="DI50" s="14" t="n">
        <x:v>10</x:v>
      </x:c>
      <x:c r="DJ50" s="14" t="n">
        <x:v>1</x:v>
      </x:c>
      <x:c r="DK50" s="14" t="str">
        <x:v>未收錄</x:v>
      </x:c>
      <x:c r="DL50" s="14" t="str">
        <x:v>24629</x:v>
      </x:c>
      <x:c r="DM50" s="14" t="n">
        <x:v>8</x:v>
      </x:c>
      <x:c r="DN50" s="14" t="n">
        <x:v>379</x:v>
      </x:c>
      <x:c r="DO50" s="14" t="n">
        <x:v>134</x:v>
      </x:c>
      <x:c r="DP50" s="14" t="n">
        <x:v>10</x:v>
      </x:c>
      <x:c r="DQ50" s="14" t="n">
        <x:v>2</x:v>
      </x:c>
      <x:c r="DR50" s="14" t="str">
        <x:v>未收錄</x:v>
      </x:c>
      <x:c r="DS50" s="14" t="str">
        <x:v>24630</x:v>
      </x:c>
      <x:c r="DT50" s="14" t="n">
        <x:v>8</x:v>
      </x:c>
      <x:c r="DU50" s="14" t="n">
        <x:v>380</x:v>
      </x:c>
      <x:c r="DV50" s="14" t="n">
        <x:v>135</x:v>
      </x:c>
      <x:c r="DW50" s="14" t="n">
        <x:v>10</x:v>
      </x:c>
      <x:c r="DX50" s="14" t="n">
        <x:v>3</x:v>
      </x:c>
      <x:c r="DY50" s="14" t="str">
        <x:v>未收錄</x:v>
      </x:c>
      <x:c r="DZ50" s="14" t="str">
        <x:v>24660</x:v>
      </x:c>
      <x:c r="EA50" s="14" t="n">
        <x:v>8</x:v>
      </x:c>
      <x:c r="EB50" s="14" t="n">
        <x:v>381</x:v>
      </x:c>
      <x:c r="EC50" s="14" t="n">
        <x:v>136</x:v>
      </x:c>
      <x:c r="ED50" s="14" t="n">
        <x:v>10</x:v>
      </x:c>
      <x:c r="EE50" s="14" t="n">
        <x:v>4</x:v>
      </x:c>
      <x:c r="EF50" s="14" t="str">
        <x:v>未收錄</x:v>
      </x:c>
      <x:c r="EG50" s="14" t="str">
        <x:v>30213</x:v>
      </x:c>
      <x:c r="EH50" s="14" t="n">
        <x:v>8</x:v>
      </x:c>
      <x:c r="EI50" s="14" t="n">
        <x:v>614</x:v>
      </x:c>
      <x:c r="EJ50" s="14" t="n">
        <x:v>133</x:v>
      </x:c>
      <x:c r="EK50" s="14" t="n">
        <x:v>10</x:v>
      </x:c>
      <x:c r="EL50" s="14" t="n">
        <x:v>1</x:v>
      </x:c>
      <x:c r="EM50" s="14" t="str">
        <x:v>未收錄</x:v>
      </x:c>
      <x:c r="EN50" s="14" t="str">
        <x:v>30214</x:v>
      </x:c>
      <x:c r="EO50" s="14" t="n">
        <x:v>8</x:v>
      </x:c>
      <x:c r="EP50" s="14" t="n">
        <x:v>615</x:v>
      </x:c>
      <x:c r="EQ50" s="14" t="n">
        <x:v>134</x:v>
      </x:c>
      <x:c r="ER50" s="14" t="n">
        <x:v>10</x:v>
      </x:c>
      <x:c r="ES50" s="14" t="n">
        <x:v>2</x:v>
      </x:c>
      <x:c r="ET50" s="14" t="str">
        <x:v>未收錄</x:v>
      </x:c>
      <x:c r="EU50" s="14" t="str">
        <x:v>30215</x:v>
      </x:c>
      <x:c r="EV50" s="14" t="n">
        <x:v>8</x:v>
      </x:c>
      <x:c r="EW50" s="14" t="n">
        <x:v>616</x:v>
      </x:c>
      <x:c r="EX50" s="14" t="n">
        <x:v>135</x:v>
      </x:c>
      <x:c r="EY50" s="14" t="n">
        <x:v>10</x:v>
      </x:c>
      <x:c r="EZ50" s="14" t="n">
        <x:v>3</x:v>
      </x:c>
      <x:c r="FA50" s="14" t="str">
        <x:v>未收錄</x:v>
      </x:c>
      <x:c r="FB50" s="14" t="str">
        <x:v>30613</x:v>
      </x:c>
      <x:c r="FC50" s="14" t="n">
        <x:v>20</x:v>
      </x:c>
      <x:c r="FD50" s="14" t="n">
        <x:v>617</x:v>
      </x:c>
      <x:c r="FE50" s="14" t="n">
        <x:v>136</x:v>
      </x:c>
      <x:c r="FF50" s="14" t="n">
        <x:v>10</x:v>
      </x:c>
      <x:c r="FG50" s="14" t="n">
        <x:v>4</x:v>
      </x:c>
      <x:c r="FH50" s="14" t="str">
        <x:v>未收錄</x:v>
      </x:c>
      <x:c r="FI50" s="14" t="str">
        <x:v>23385</x:v>
      </x:c>
      <x:c r="FJ50" s="14" t="n">
        <x:v>20</x:v>
      </x:c>
      <x:c r="FK50" s="14" t="n">
        <x:v>764</x:v>
      </x:c>
      <x:c r="FL50" s="14" t="n">
        <x:v>133</x:v>
      </x:c>
      <x:c r="FM50" s="14" t="n">
        <x:v>10</x:v>
      </x:c>
      <x:c r="FN50" s="14" t="n">
        <x:v>1</x:v>
      </x:c>
      <x:c r="FO50" s="14" t="str">
        <x:v>未收錄</x:v>
      </x:c>
      <x:c r="FP50" s="14" t="str">
        <x:v>23778</x:v>
      </x:c>
      <x:c r="FQ50" s="14" t="n">
        <x:v>20</x:v>
      </x:c>
      <x:c r="FR50" s="14" t="n">
        <x:v>765</x:v>
      </x:c>
      <x:c r="FS50" s="14" t="n">
        <x:v>134</x:v>
      </x:c>
      <x:c r="FT50" s="14" t="n">
        <x:v>10</x:v>
      </x:c>
      <x:c r="FU50" s="14" t="n">
        <x:v>2</x:v>
      </x:c>
      <x:c r="FV50" s="14" t="str">
        <x:v>未收錄</x:v>
      </x:c>
      <x:c r="FW50" s="14" t="str">
        <x:v>24245</x:v>
      </x:c>
      <x:c r="FX50" s="14" t="n">
        <x:v>20</x:v>
      </x:c>
      <x:c r="FY50" s="14" t="n">
        <x:v>766</x:v>
      </x:c>
      <x:c r="FZ50" s="14" t="n">
        <x:v>135</x:v>
      </x:c>
      <x:c r="GA50" s="14" t="n">
        <x:v>10</x:v>
      </x:c>
      <x:c r="GB50" s="14" t="n">
        <x:v>3</x:v>
      </x:c>
      <x:c r="GC50" s="14" t="str">
        <x:v>未收錄</x:v>
      </x:c>
      <x:c r="GD50" s="14" t="str">
        <x:v>24761</x:v>
      </x:c>
      <x:c r="GE50" s="14" t="n">
        <x:v>20</x:v>
      </x:c>
      <x:c r="GF50" s="14" t="n">
        <x:v>767</x:v>
      </x:c>
      <x:c r="GG50" s="14" t="n">
        <x:v>136</x:v>
      </x:c>
      <x:c r="GH50" s="14" t="n">
        <x:v>10</x:v>
      </x:c>
      <x:c r="GI50" s="14" t="n">
        <x:v>4</x:v>
      </x:c>
      <x:c r="GJ50" s="14" t="str">
        <x:v>未收錄</x:v>
      </x:c>
      <x:c r="GK50" s="14" t="str">
        <x:v>29372</x:v>
      </x:c>
      <x:c r="GL50" s="14" t="n">
        <x:v>8</x:v>
      </x:c>
      <x:c r="GM50" s="14" t="n">
        <x:v>936</x:v>
      </x:c>
      <x:c r="GN50" s="14" t="n">
        <x:v>133</x:v>
      </x:c>
      <x:c r="GO50" s="14" t="n">
        <x:v>10</x:v>
      </x:c>
      <x:c r="GP50" s="14" t="n">
        <x:v>1</x:v>
      </x:c>
      <x:c r="GQ50" s="14" t="str">
        <x:v>未收錄</x:v>
      </x:c>
      <x:c r="GR50" s="14" t="str">
        <x:v>23386</x:v>
      </x:c>
      <x:c r="GS50" s="14" t="n">
        <x:v>20</x:v>
      </x:c>
      <x:c r="GT50" s="14" t="n">
        <x:v>937</x:v>
      </x:c>
      <x:c r="GU50" s="14" t="n">
        <x:v>134</x:v>
      </x:c>
      <x:c r="GV50" s="14" t="n">
        <x:v>10</x:v>
      </x:c>
      <x:c r="GW50" s="14" t="n">
        <x:v>2</x:v>
      </x:c>
      <x:c r="GX50" s="14" t="str">
        <x:v>未收錄</x:v>
      </x:c>
      <x:c r="GY50" s="14" t="str">
        <x:v>23779</x:v>
      </x:c>
      <x:c r="GZ50" s="14" t="n">
        <x:v>20</x:v>
      </x:c>
      <x:c r="HA50" s="14" t="n">
        <x:v>938</x:v>
      </x:c>
      <x:c r="HB50" s="14" t="n">
        <x:v>135</x:v>
      </x:c>
      <x:c r="HC50" s="14" t="n">
        <x:v>10</x:v>
      </x:c>
      <x:c r="HD50" s="14" t="n">
        <x:v>3</x:v>
      </x:c>
      <x:c r="HE50" s="14" t="str">
        <x:v>未收錄</x:v>
      </x:c>
      <x:c r="HF50" s="14" t="str">
        <x:v>24246</x:v>
      </x:c>
      <x:c r="HG50" s="14" t="n">
        <x:v>20</x:v>
      </x:c>
      <x:c r="HH50" s="14" t="n">
        <x:v>939</x:v>
      </x:c>
      <x:c r="HI50" s="14" t="n">
        <x:v>136</x:v>
      </x:c>
      <x:c r="HJ50" s="14" t="n">
        <x:v>10</x:v>
      </x:c>
      <x:c r="HK50" s="14" t="n">
        <x:v>4</x:v>
      </x:c>
      <x:c r="HL50" s="14" t="str">
        <x:v>未收錄</x:v>
      </x:c>
      <x:c r="HM50" s="14" t="str">
        <x:v>29019</x:v>
      </x:c>
      <x:c r="HN50" s="14" t="n">
        <x:v>20</x:v>
      </x:c>
      <x:c r="HO50" s="14" t="n">
        <x:v>1109</x:v>
      </x:c>
      <x:c r="HP50" s="14" t="n">
        <x:v>133</x:v>
      </x:c>
      <x:c r="HQ50" s="14" t="n">
        <x:v>10</x:v>
      </x:c>
      <x:c r="HR50" s="14" t="n">
        <x:v>1</x:v>
      </x:c>
      <x:c r="HS50" s="14" t="str">
        <x:v>未收錄</x:v>
      </x:c>
      <x:c r="HT50" s="14" t="str">
        <x:v>29659</x:v>
      </x:c>
      <x:c r="HU50" s="14" t="n">
        <x:v>20</x:v>
      </x:c>
      <x:c r="HV50" s="14" t="n">
        <x:v>1110</x:v>
      </x:c>
      <x:c r="HW50" s="14" t="n">
        <x:v>134</x:v>
      </x:c>
      <x:c r="HX50" s="14" t="n">
        <x:v>10</x:v>
      </x:c>
      <x:c r="HY50" s="14" t="n">
        <x:v>2</x:v>
      </x:c>
      <x:c r="HZ50" s="14" t="str">
        <x:v>未收錄</x:v>
      </x:c>
      <x:c r="IA50" s="14" t="str">
        <x:v>29669</x:v>
      </x:c>
      <x:c r="IB50" s="14" t="n">
        <x:v>20</x:v>
      </x:c>
      <x:c r="IC50" s="14" t="n">
        <x:v>1111</x:v>
      </x:c>
      <x:c r="ID50" s="14" t="n">
        <x:v>135</x:v>
      </x:c>
      <x:c r="IE50" s="14" t="n">
        <x:v>10</x:v>
      </x:c>
      <x:c r="IF50" s="14" t="n">
        <x:v>3</x:v>
      </x:c>
      <x:c r="IG50" s="14" t="str">
        <x:v>未收錄</x:v>
      </x:c>
      <x:c r="IH50" s="14" t="str">
        <x:v>29918</x:v>
      </x:c>
      <x:c r="II50" s="14" t="n">
        <x:v>20</x:v>
      </x:c>
      <x:c r="IJ50" s="14" t="n">
        <x:v>1112</x:v>
      </x:c>
      <x:c r="IK50" s="14" t="n">
        <x:v>136</x:v>
      </x:c>
      <x:c r="IL50" s="14" t="n">
        <x:v>10</x:v>
      </x:c>
      <x:c r="IM50" s="14" t="n">
        <x:v>4</x:v>
      </x:c>
      <x:c r="IN50" s="14" t="str">
        <x:v>未收錄</x:v>
      </x:c>
      <x:c r="IO50" s="14" t="str">
        <x:v>29919</x:v>
      </x:c>
      <x:c r="IP50" s="14" t="n">
        <x:v>20</x:v>
      </x:c>
      <x:c r="IQ50" s="14" t="n">
        <x:v>1277</x:v>
      </x:c>
      <x:c r="IR50" s="14" t="n">
        <x:v>133</x:v>
      </x:c>
      <x:c r="IS50" s="14" t="n">
        <x:v>10</x:v>
      </x:c>
      <x:c r="IT50" s="14" t="n">
        <x:v>1</x:v>
      </x:c>
      <x:c r="IU50" s="14" t="str">
        <x:v>未收錄</x:v>
      </x:c>
      <x:c r="IV50" s="14" t="str">
        <x:v>29929</x:v>
      </x:c>
      <x:c r="IW50" s="14" t="n">
        <x:v>20</x:v>
      </x:c>
      <x:c r="IX50" s="14" t="n">
        <x:v>1278</x:v>
      </x:c>
      <x:c r="IY50" s="14" t="n">
        <x:v>134</x:v>
      </x:c>
      <x:c r="IZ50" s="14" t="n">
        <x:v>10</x:v>
      </x:c>
      <x:c r="JA50" s="14" t="n">
        <x:v>2</x:v>
      </x:c>
      <x:c r="JB50" s="14" t="str">
        <x:v>未收錄</x:v>
      </x:c>
      <x:c r="JC50" s="14" t="str">
        <x:v>23635</x:v>
      </x:c>
      <x:c r="JD50" s="14" t="n">
        <x:v>10</x:v>
      </x:c>
      <x:c r="JE50" s="14" t="n">
        <x:v>1279</x:v>
      </x:c>
      <x:c r="JF50" s="14" t="n">
        <x:v>135</x:v>
      </x:c>
      <x:c r="JG50" s="14" t="n">
        <x:v>10</x:v>
      </x:c>
      <x:c r="JH50" s="14" t="n">
        <x:v>3</x:v>
      </x:c>
      <x:c r="JI50" s="14" t="str">
        <x:v>未收錄</x:v>
      </x:c>
      <x:c r="JJ50" s="14" t="str">
        <x:v>24379</x:v>
      </x:c>
      <x:c r="JK50" s="14" t="n">
        <x:v>10</x:v>
      </x:c>
      <x:c r="JL50" s="14" t="n">
        <x:v>1280</x:v>
      </x:c>
      <x:c r="JM50" s="14" t="n">
        <x:v>136</x:v>
      </x:c>
      <x:c r="JN50" s="14" t="n">
        <x:v>10</x:v>
      </x:c>
      <x:c r="JO50" s="14" t="n">
        <x:v>4</x:v>
      </x:c>
      <x:c r="JP50" s="14" t="str">
        <x:v>未收錄</x:v>
      </x:c>
      <x:c r="JQ50" s="14"/>
      <x:c r="JR50" s="14"/>
      <x:c r="JS50" s="14"/>
      <x:c r="JT50" s="14"/>
      <x:c r="JU50" s="14"/>
      <x:c r="JV50" s="14"/>
      <x:c r="JW50" s="14"/>
      <x:c r="JX50" s="14"/>
      <x:c r="JY50" s="14"/>
      <x:c r="JZ50" s="14"/>
      <x:c r="KA50" s="14"/>
      <x:c r="KB50" s="14"/>
      <x:c r="KC50" s="14"/>
      <x:c r="KD50" s="14"/>
      <x:c r="KE50" s="14"/>
      <x:c r="KF50" s="14"/>
      <x:c r="KG50" s="14"/>
      <x:c r="KH50" s="14"/>
      <x:c r="KI50" s="14"/>
      <x:c r="KJ50" s="14"/>
      <x:c r="KK50" s="14"/>
      <x:c r="KL50" s="14"/>
      <x:c r="KM50" s="14"/>
      <x:c r="KN50" s="14"/>
      <x:c r="KO50" s="14"/>
      <x:c r="KP50" s="14"/>
      <x:c r="KQ50" s="14"/>
      <x:c r="KR50" s="14"/>
      <x:c r="KS50" s="14"/>
      <x:c r="KT50" s="14"/>
      <x:c r="KU50" s="14"/>
      <x:c r="KV50" s="14"/>
      <x:c r="KW50" s="14"/>
      <x:c r="KX50" s="14"/>
      <x:c r="KY50" s="14"/>
      <x:c r="KZ50" s="14"/>
      <x:c r="LA50" s="14"/>
      <x:c r="LB50" s="14"/>
      <x:c r="LC50" s="14"/>
      <x:c r="LD50" s="14"/>
      <x:c r="LE50" s="14"/>
      <x:c r="LF50" s="14"/>
      <x:c r="LG50" s="14"/>
      <x:c r="LH50" s="14"/>
      <x:c r="LI50" s="14"/>
      <x:c r="LJ50" s="14"/>
      <x:c r="LK50" s="14"/>
      <x:c r="LL50" s="14"/>
      <x:c r="LM50" s="14"/>
      <x:c r="LN50" s="14"/>
      <x:c r="LO50" s="14"/>
      <x:c r="LP50" s="14"/>
      <x:c r="LQ50" s="14"/>
      <x:c r="LR50" s="14"/>
      <x:c r="LS50" s="14"/>
      <x:c r="LT50" s="14"/>
      <x:c r="LU50" s="14"/>
      <x:c r="LV50" s="14"/>
      <x:c r="LW50" s="14"/>
      <x:c r="LX50" s="14"/>
      <x:c r="LY50" s="14"/>
      <x:c r="LZ50" s="14"/>
      <x:c r="MA50" s="14"/>
      <x:c r="MB50" s="14"/>
      <x:c r="MC50" s="14"/>
      <x:c r="MD50" s="14"/>
      <x:c r="ME50" s="14"/>
      <x:c r="MF50" s="14"/>
      <x:c r="MG50" s="14"/>
      <x:c r="MH50" s="14"/>
      <x:c r="MI50" s="14"/>
      <x:c r="MJ50" s="14"/>
      <x:c r="MK50" s="14"/>
      <x:c r="ML50" s="14"/>
      <x:c r="MM50" s="14"/>
      <x:c r="MN50" s="14"/>
      <x:c r="MO50" s="14"/>
      <x:c r="MP50" s="14"/>
      <x:c r="MQ50" s="14"/>
      <x:c r="MR50" s="14"/>
      <x:c r="MS50" s="14"/>
      <x:c r="MT50" s="14"/>
      <x:c r="MU50" s="14"/>
      <x:c r="MV50" s="14"/>
      <x:c r="MW50" s="14" t="str">
        <x:v>22942</x:v>
      </x:c>
      <x:c r="MX50" s="14" t="n">
        <x:v>5</x:v>
      </x:c>
      <x:c r="MY50" s="14" t="n">
        <x:v>1781</x:v>
      </x:c>
      <x:c r="MZ50" s="14" t="n">
        <x:v>133</x:v>
      </x:c>
      <x:c r="NA50" s="14" t="n">
        <x:v>10</x:v>
      </x:c>
      <x:c r="NB50" s="14" t="n">
        <x:v>1</x:v>
      </x:c>
      <x:c r="NC50" s="14" t="str">
        <x:v>未收錄</x:v>
      </x:c>
      <x:c r="ND50" s="14" t="str">
        <x:v>22943</x:v>
      </x:c>
      <x:c r="NE50" s="14" t="n">
        <x:v>5</x:v>
      </x:c>
      <x:c r="NF50" s="14" t="n">
        <x:v>1782</x:v>
      </x:c>
      <x:c r="NG50" s="14" t="n">
        <x:v>134</x:v>
      </x:c>
      <x:c r="NH50" s="14" t="n">
        <x:v>10</x:v>
      </x:c>
      <x:c r="NI50" s="14" t="n">
        <x:v>2</x:v>
      </x:c>
      <x:c r="NJ50" s="14" t="str">
        <x:v>未收錄</x:v>
      </x:c>
      <x:c r="NK50" s="14" t="str">
        <x:v>22944</x:v>
      </x:c>
      <x:c r="NL50" s="14" t="n">
        <x:v>5</x:v>
      </x:c>
      <x:c r="NM50" s="14" t="n">
        <x:v>1783</x:v>
      </x:c>
      <x:c r="NN50" s="14" t="n">
        <x:v>135</x:v>
      </x:c>
      <x:c r="NO50" s="14" t="n">
        <x:v>10</x:v>
      </x:c>
      <x:c r="NP50" s="14" t="n">
        <x:v>3</x:v>
      </x:c>
      <x:c r="NQ50" s="14" t="str">
        <x:v>未收錄</x:v>
      </x:c>
      <x:c r="NR50" s="14" t="str">
        <x:v>22945</x:v>
      </x:c>
      <x:c r="NS50" s="14" t="n">
        <x:v>5</x:v>
      </x:c>
      <x:c r="NT50" s="14" t="n">
        <x:v>1784</x:v>
      </x:c>
      <x:c r="NU50" s="14" t="n">
        <x:v>136</x:v>
      </x:c>
      <x:c r="NV50" s="14" t="n">
        <x:v>10</x:v>
      </x:c>
      <x:c r="NW50" s="14" t="n">
        <x:v>4</x:v>
      </x:c>
      <x:c r="NX50" s="14" t="str">
        <x:v>未收錄</x:v>
      </x:c>
      <x:c r="NY50" s="14" t="str">
        <x:v>22953</x:v>
      </x:c>
      <x:c r="NZ50" s="14" t="n">
        <x:v>5</x:v>
      </x:c>
      <x:c r="OA50" s="14" t="n">
        <x:v>2234</x:v>
      </x:c>
      <x:c r="OB50" s="14" t="n">
        <x:v>133</x:v>
      </x:c>
      <x:c r="OC50" s="14" t="n">
        <x:v>10</x:v>
      </x:c>
      <x:c r="OD50" s="14" t="n">
        <x:v>1</x:v>
      </x:c>
      <x:c r="OE50" s="14" t="str">
        <x:v>未收錄</x:v>
      </x:c>
      <x:c r="OF50" s="14" t="str">
        <x:v>22954</x:v>
      </x:c>
      <x:c r="OG50" s="14" t="n">
        <x:v>5</x:v>
      </x:c>
      <x:c r="OH50" s="14" t="n">
        <x:v>2235</x:v>
      </x:c>
      <x:c r="OI50" s="14" t="n">
        <x:v>134</x:v>
      </x:c>
      <x:c r="OJ50" s="14" t="n">
        <x:v>10</x:v>
      </x:c>
      <x:c r="OK50" s="14" t="n">
        <x:v>2</x:v>
      </x:c>
      <x:c r="OL50" s="14" t="str">
        <x:v>未收錄</x:v>
      </x:c>
      <x:c r="OM50" s="14" t="str">
        <x:v>22955</x:v>
      </x:c>
      <x:c r="ON50" s="14" t="n">
        <x:v>5</x:v>
      </x:c>
      <x:c r="OO50" s="14" t="n">
        <x:v>2236</x:v>
      </x:c>
      <x:c r="OP50" s="14" t="n">
        <x:v>135</x:v>
      </x:c>
      <x:c r="OQ50" s="14" t="n">
        <x:v>10</x:v>
      </x:c>
      <x:c r="OR50" s="14" t="n">
        <x:v>3</x:v>
      </x:c>
      <x:c r="OS50" s="14" t="str">
        <x:v>未收錄</x:v>
      </x:c>
      <x:c r="OT50" s="14" t="str">
        <x:v>22956</x:v>
      </x:c>
      <x:c r="OU50" s="14" t="n">
        <x:v>5</x:v>
      </x:c>
      <x:c r="OV50" s="14" t="n">
        <x:v>2237</x:v>
      </x:c>
      <x:c r="OW50" s="14" t="n">
        <x:v>136</x:v>
      </x:c>
      <x:c r="OX50" s="14" t="n">
        <x:v>10</x:v>
      </x:c>
      <x:c r="OY50" s="14" t="n">
        <x:v>4</x:v>
      </x:c>
      <x:c r="OZ50" s="14" t="str">
        <x:v>未收錄</x:v>
      </x:c>
      <x:c r="PA50" s="14" t="str">
        <x:v>23558</x:v>
      </x:c>
      <x:c r="PB50" s="14" t="n">
        <x:v>5</x:v>
      </x:c>
      <x:c r="PC50" s="14" t="n">
        <x:v>2780</x:v>
      </x:c>
      <x:c r="PD50" s="14" t="n">
        <x:v>133</x:v>
      </x:c>
      <x:c r="PE50" s="14" t="n">
        <x:v>10</x:v>
      </x:c>
      <x:c r="PF50" s="14" t="n">
        <x:v>1</x:v>
      </x:c>
      <x:c r="PG50" s="14" t="str">
        <x:v>未收錄</x:v>
      </x:c>
      <x:c r="PH50" s="14" t="str">
        <x:v>23559</x:v>
      </x:c>
      <x:c r="PI50" s="14" t="n">
        <x:v>5</x:v>
      </x:c>
      <x:c r="PJ50" s="14" t="n">
        <x:v>2781</x:v>
      </x:c>
      <x:c r="PK50" s="14" t="n">
        <x:v>134</x:v>
      </x:c>
      <x:c r="PL50" s="14" t="n">
        <x:v>10</x:v>
      </x:c>
      <x:c r="PM50" s="14" t="n">
        <x:v>2</x:v>
      </x:c>
      <x:c r="PN50" s="14" t="str">
        <x:v>未收錄</x:v>
      </x:c>
      <x:c r="PO50" s="14" t="str">
        <x:v>23560</x:v>
      </x:c>
      <x:c r="PP50" s="14" t="n">
        <x:v>5</x:v>
      </x:c>
      <x:c r="PQ50" s="14" t="n">
        <x:v>2782</x:v>
      </x:c>
      <x:c r="PR50" s="14" t="n">
        <x:v>135</x:v>
      </x:c>
      <x:c r="PS50" s="14" t="n">
        <x:v>10</x:v>
      </x:c>
      <x:c r="PT50" s="14" t="n">
        <x:v>3</x:v>
      </x:c>
      <x:c r="PU50" s="14" t="str">
        <x:v>未收錄</x:v>
      </x:c>
      <x:c r="PV50" s="14" t="str">
        <x:v>23561</x:v>
      </x:c>
      <x:c r="PW50" s="14" t="n">
        <x:v>5</x:v>
      </x:c>
      <x:c r="PX50" s="14" t="n">
        <x:v>2783</x:v>
      </x:c>
      <x:c r="PY50" s="14" t="n">
        <x:v>136</x:v>
      </x:c>
      <x:c r="PZ50" s="14" t="n">
        <x:v>10</x:v>
      </x:c>
      <x:c r="QA50" s="14" t="n">
        <x:v>4</x:v>
      </x:c>
      <x:c r="QB50" s="14" t="str">
        <x:v>未收錄</x:v>
      </x:c>
      <x:c r="QC50" s="14" t="str">
        <x:v>23211</x:v>
      </x:c>
      <x:c r="QD50" s="14" t="n">
        <x:v>5</x:v>
      </x:c>
      <x:c r="QE50" s="14" t="n">
        <x:v>3217</x:v>
      </x:c>
      <x:c r="QF50" s="14" t="n">
        <x:v>133</x:v>
      </x:c>
      <x:c r="QG50" s="14" t="n">
        <x:v>10</x:v>
      </x:c>
      <x:c r="QH50" s="14" t="n">
        <x:v>1</x:v>
      </x:c>
      <x:c r="QI50" s="14" t="str">
        <x:v>未收錄</x:v>
      </x:c>
      <x:c r="QJ50" s="14" t="str">
        <x:v>23356</x:v>
      </x:c>
      <x:c r="QK50" s="14" t="n">
        <x:v>10</x:v>
      </x:c>
      <x:c r="QL50" s="14" t="n">
        <x:v>3218</x:v>
      </x:c>
      <x:c r="QM50" s="14" t="n">
        <x:v>134</x:v>
      </x:c>
      <x:c r="QN50" s="14" t="n">
        <x:v>10</x:v>
      </x:c>
      <x:c r="QO50" s="14" t="n">
        <x:v>2</x:v>
      </x:c>
      <x:c r="QP50" s="14" t="str">
        <x:v>未收錄</x:v>
      </x:c>
      <x:c r="QQ50" s="14" t="str">
        <x:v>23568</x:v>
      </x:c>
      <x:c r="QR50" s="14" t="n">
        <x:v>5</x:v>
      </x:c>
      <x:c r="QS50" s="14" t="n">
        <x:v>3219</x:v>
      </x:c>
      <x:c r="QT50" s="14" t="n">
        <x:v>135</x:v>
      </x:c>
      <x:c r="QU50" s="14" t="n">
        <x:v>10</x:v>
      </x:c>
      <x:c r="QV50" s="14" t="n">
        <x:v>3</x:v>
      </x:c>
      <x:c r="QW50" s="14" t="str">
        <x:v>未收錄</x:v>
      </x:c>
      <x:c r="QX50" s="14" t="str">
        <x:v>23569</x:v>
      </x:c>
      <x:c r="QY50" s="14" t="n">
        <x:v>5</x:v>
      </x:c>
      <x:c r="QZ50" s="14" t="n">
        <x:v>3220</x:v>
      </x:c>
      <x:c r="RA50" s="14" t="n">
        <x:v>136</x:v>
      </x:c>
      <x:c r="RB50" s="14" t="n">
        <x:v>10</x:v>
      </x:c>
      <x:c r="RC50" s="14" t="n">
        <x:v>4</x:v>
      </x:c>
      <x:c r="RD50" s="14" t="str">
        <x:v>未收錄</x:v>
      </x:c>
      <x:c r="RE50" s="14" t="str">
        <x:v>24285</x:v>
      </x:c>
      <x:c r="RF50" s="14" t="n">
        <x:v>5</x:v>
      </x:c>
      <x:c r="RG50" s="14" t="n">
        <x:v>3678</x:v>
      </x:c>
      <x:c r="RH50" s="14" t="n">
        <x:v>133</x:v>
      </x:c>
      <x:c r="RI50" s="14" t="n">
        <x:v>10</x:v>
      </x:c>
      <x:c r="RJ50" s="14" t="n">
        <x:v>1</x:v>
      </x:c>
      <x:c r="RK50" s="14" t="str">
        <x:v>未收錄</x:v>
      </x:c>
      <x:c r="RL50" s="14" t="str">
        <x:v>24385</x:v>
      </x:c>
      <x:c r="RM50" s="14" t="n">
        <x:v>5</x:v>
      </x:c>
      <x:c r="RN50" s="14" t="n">
        <x:v>3679</x:v>
      </x:c>
      <x:c r="RO50" s="14" t="n">
        <x:v>134</x:v>
      </x:c>
      <x:c r="RP50" s="14" t="n">
        <x:v>10</x:v>
      </x:c>
      <x:c r="RQ50" s="14" t="n">
        <x:v>2</x:v>
      </x:c>
      <x:c r="RR50" s="14" t="str">
        <x:v>未收錄</x:v>
      </x:c>
      <x:c r="RS50" s="14" t="str">
        <x:v>22401</x:v>
      </x:c>
      <x:c r="RT50" s="14" t="n">
        <x:v>10</x:v>
      </x:c>
      <x:c r="RU50" s="14" t="n">
        <x:v>3680</x:v>
      </x:c>
      <x:c r="RV50" s="14" t="n">
        <x:v>135</x:v>
      </x:c>
      <x:c r="RW50" s="14" t="n">
        <x:v>10</x:v>
      </x:c>
      <x:c r="RX50" s="14" t="n">
        <x:v>3</x:v>
      </x:c>
      <x:c r="RY50" s="14" t="str">
        <x:v>未收錄</x:v>
      </x:c>
      <x:c r="RZ50" s="14" t="str">
        <x:v>24229</x:v>
      </x:c>
      <x:c r="SA50" s="14" t="n">
        <x:v>10</x:v>
      </x:c>
      <x:c r="SB50" s="14" t="n">
        <x:v>3681</x:v>
      </x:c>
      <x:c r="SC50" s="14" t="n">
        <x:v>136</x:v>
      </x:c>
      <x:c r="SD50" s="14" t="n">
        <x:v>10</x:v>
      </x:c>
      <x:c r="SE50" s="14" t="n">
        <x:v>4</x:v>
      </x:c>
      <x:c r="SF50" s="14" t="str">
        <x:v>未收錄</x:v>
      </x:c>
      <x:c r="SG50" s="14"/>
      <x:c r="SH50" s="14"/>
      <x:c r="SI50" s="14"/>
      <x:c r="SJ50" s="14"/>
      <x:c r="SK50" s="14"/>
      <x:c r="SL50" s="14"/>
      <x:c r="SM50" s="14"/>
      <x:c r="SN50" s="14"/>
      <x:c r="SO50" s="14"/>
      <x:c r="SP50" s="14"/>
      <x:c r="SQ50" s="14"/>
      <x:c r="SR50" s="14"/>
      <x:c r="SS50" s="14"/>
      <x:c r="ST50" s="14"/>
      <x:c r="SU50" s="14"/>
      <x:c r="SV50" s="14"/>
      <x:c r="SW50" s="14"/>
      <x:c r="SX50" s="14"/>
      <x:c r="SY50" s="14"/>
      <x:c r="SZ50" s="14"/>
      <x:c r="TA50" s="14"/>
      <x:c r="TB50" s="14"/>
      <x:c r="TC50" s="14"/>
      <x:c r="TD50" s="14"/>
      <x:c r="TE50" s="14"/>
      <x:c r="TF50" s="14"/>
      <x:c r="TG50" s="14"/>
      <x:c r="TH50" s="14"/>
    </x:row>
    <x:row r="51" ht="15" customHeight="1">
      <x:c r="A51" s="17" t="str">
        <x:v>魔劍剎帝利</x:v>
      </x:c>
      <x:c r="B51" s="17" t="str">
        <x:v>黑曜劍</x:v>
      </x:c>
      <x:c r="C51" s="17" t="str">
        <x:v>太古黑曜劍</x:v>
      </x:c>
      <x:c r="D51" s="17" t="str">
        <x:v>無雙黑曜劍</x:v>
      </x:c>
      <x:c r="E51" s="14"/>
      <x:c r="F51" s="17" t="str">
        <x:v>獅皇刃</x:v>
      </x:c>
      <x:c r="G51" s="17" t="str">
        <x:v>太古獅皇刃</x:v>
      </x:c>
      <x:c r="H51" s="17" t="str">
        <x:v>無雙獅皇刃</x:v>
      </x:c>
      <x:c r="I51" s="17" t="str">
        <x:v>聖帝鋼獅刃</x:v>
      </x:c>
      <x:c r="J51" s="14"/>
      <x:c r="K51" s="17" t="str">
        <x:v>鳳仙赭霞砲</x:v>
      </x:c>
      <x:c r="L51" s="17" t="str">
        <x:v>烈虎嘯江震</x:v>
      </x:c>
      <x:c r="M51" s="17" t="str">
        <x:v>烈虎嘯江震</x:v>
      </x:c>
      <x:c r="N51" s="17" t="str">
        <x:v>火神砲</x:v>
      </x:c>
      <x:c r="O51" s="14"/>
      <x:c r="P51" s="17" t="str">
        <x:v>雅典娜戰印</x:v>
      </x:c>
      <x:c r="Q51" s="17" t="str">
        <x:v>雅典娜戰印</x:v>
      </x:c>
      <x:c r="R51" s="17" t="str">
        <x:v>太上天尊蘆</x:v>
      </x:c>
      <x:c r="S51" s="17" t="str">
        <x:v>太上天尊蘆</x:v>
      </x:c>
      <x:c r="T51" s="14"/>
      <x:c r="U51" s="17" t="str">
        <x:v>紫鯉龍門杖</x:v>
      </x:c>
      <x:c r="V51" s="17" t="str">
        <x:v>維納斯羽杖</x:v>
      </x:c>
      <x:c r="W51" s="17" t="str">
        <x:v>維納斯羽杖</x:v>
      </x:c>
      <x:c r="X51" s="17" t="str">
        <x:v>瀛洲仙華杖</x:v>
      </x:c>
      <x:c r="Y51" s="14"/>
      <x:c r="Z51" s="17" t="str">
        <x:v>南解雲帝槍</x:v>
      </x:c>
      <x:c r="AA51" s="17" t="str">
        <x:v>六滅化神槍</x:v>
      </x:c>
      <x:c r="AB51" s="17" t="str">
        <x:v>真六滅化神槍</x:v>
      </x:c>
      <x:c r="AC51" s="17" t="str">
        <x:v>超六滅化神槍</x:v>
      </x:c>
      <x:c r="AD51" s="14"/>
      <x:c r="AE51" s="17" t="str">
        <x:v>超六滅化神棍</x:v>
      </x:c>
      <x:c r="AF51" s="17" t="str">
        <x:v>絕六滅化神棍</x:v>
      </x:c>
      <x:c r="AG51" s="17" t="str">
        <x:v>無六滅化神棍</x:v>
      </x:c>
      <x:c r="AH51" s="17" t="str">
        <x:v>帝六滅化神棍</x:v>
      </x:c>
      <x:c r="AI51" s="14"/>
      <x:c r="AJ51" s="14"/>
      <x:c r="AK51" s="14"/>
      <x:c r="AL51" s="14"/>
      <x:c r="AM51" s="14"/>
      <x:c r="AN51" s="14"/>
      <x:c r="AO51" s="14"/>
      <x:c r="AP51" s="14"/>
      <x:c r="AQ51" s="14"/>
      <x:c r="AR51" s="14"/>
      <x:c r="AS51" s="14"/>
      <x:c r="AT51" s="14"/>
      <x:c r="AU51" s="14"/>
      <x:c r="AV51" s="14"/>
      <x:c r="AW51" s="14"/>
      <x:c r="AX51" s="14"/>
      <x:c r="AY51" s="17" t="str">
        <x:v>蘭若戰盔</x:v>
      </x:c>
      <x:c r="AZ51" s="17" t="str">
        <x:v>戒日塔盔</x:v>
      </x:c>
      <x:c r="BA51" s="17" t="str">
        <x:v>朱綾織帽</x:v>
      </x:c>
      <x:c r="BB51" s="17" t="str">
        <x:v>紫懿道冠</x:v>
      </x:c>
      <x:c r="BC51" s="14"/>
      <x:c r="BD51" s="17" t="str">
        <x:v>玄陽紋袍</x:v>
      </x:c>
      <x:c r="BE51" s="17" t="str">
        <x:v>聖空僧衣</x:v>
      </x:c>
      <x:c r="BF51" s="17" t="str">
        <x:v>圓空僧衣</x:v>
      </x:c>
      <x:c r="BG51" s="17" t="str">
        <x:v>明空僧衣</x:v>
      </x:c>
      <x:c r="BH51" s="14"/>
      <x:c r="BI51" s="17" t="str">
        <x:v>妙法織腕</x:v>
      </x:c>
      <x:c r="BJ51" s="17" t="str">
        <x:v>蒼烈護手</x:v>
      </x:c>
      <x:c r="BK51" s="17" t="str">
        <x:v>龍魔護腕</x:v>
      </x:c>
      <x:c r="BL51" s="17" t="str">
        <x:v>阿鼻邪腕</x:v>
      </x:c>
      <x:c r="BM51" s="14"/>
      <x:c r="BN51" s="17" t="str">
        <x:v>白門輕靴</x:v>
      </x:c>
      <x:c r="BO51" s="17" t="str">
        <x:v>三世道靴</x:v>
      </x:c>
      <x:c r="BP51" s="17" t="str">
        <x:v>妙法禪履</x:v>
      </x:c>
      <x:c r="BQ51" s="17" t="str">
        <x:v>蒼烈戰靴</x:v>
      </x:c>
      <x:c r="BR51" s="14"/>
      <x:c r="BS51" s="17" t="str">
        <x:v>真‧六滅化神</x:v>
      </x:c>
      <x:c r="BT51" s="17" t="str">
        <x:v>先啟禱戒</x:v>
      </x:c>
      <x:c r="BU51" s="17" t="str">
        <x:v>所羅門項鍊</x:v>
      </x:c>
      <x:c r="BV51" s="17" t="str">
        <x:v>祈願神燈</x:v>
      </x:c>
      <x:c r="BW51" s="14"/>
      <x:c r="BX51" s="14"/>
      <x:c r="BY51" s="14"/>
      <x:c r="BZ51" s="14"/>
      <x:c r="CA51" s="14"/>
      <x:c r="CB51" s="14"/>
      <x:c r="CC51" s="14" t="str">
        <x:v>24485</x:v>
      </x:c>
      <x:c r="CD51" s="14" t="n">
        <x:v>8</x:v>
      </x:c>
      <x:c r="CE51" s="14" t="n">
        <x:v>137</x:v>
      </x:c>
      <x:c r="CF51" s="14" t="n">
        <x:v>137</x:v>
      </x:c>
      <x:c r="CG51" s="14" t="n">
        <x:v>11</x:v>
      </x:c>
      <x:c r="CH51" s="14" t="n">
        <x:v>1</x:v>
      </x:c>
      <x:c r="CI51" s="14" t="str">
        <x:v>未收錄</x:v>
      </x:c>
      <x:c r="CJ51" s="14" t="str">
        <x:v>24619</x:v>
      </x:c>
      <x:c r="CK51" s="14" t="n">
        <x:v>8</x:v>
      </x:c>
      <x:c r="CL51" s="14" t="n">
        <x:v>138</x:v>
      </x:c>
      <x:c r="CM51" s="14" t="n">
        <x:v>138</x:v>
      </x:c>
      <x:c r="CN51" s="14" t="n">
        <x:v>11</x:v>
      </x:c>
      <x:c r="CO51" s="14" t="n">
        <x:v>2</x:v>
      </x:c>
      <x:c r="CP51" s="14" t="str">
        <x:v>未收錄</x:v>
      </x:c>
      <x:c r="CQ51" s="14" t="str">
        <x:v>26185</x:v>
      </x:c>
      <x:c r="CR51" s="14" t="n">
        <x:v>3</x:v>
      </x:c>
      <x:c r="CS51" s="14" t="n">
        <x:v>139</x:v>
      </x:c>
      <x:c r="CT51" s="14" t="n">
        <x:v>139</x:v>
      </x:c>
      <x:c r="CU51" s="14" t="n">
        <x:v>11</x:v>
      </x:c>
      <x:c r="CV51" s="14" t="n">
        <x:v>3</x:v>
      </x:c>
      <x:c r="CW51" s="14" t="str">
        <x:v>未收錄</x:v>
      </x:c>
      <x:c r="CX51" s="14" t="str">
        <x:v>26094</x:v>
      </x:c>
      <x:c r="CY51" s="14" t="n">
        <x:v>8</x:v>
      </x:c>
      <x:c r="CZ51" s="14" t="n">
        <x:v>140</x:v>
      </x:c>
      <x:c r="DA51" s="14" t="n">
        <x:v>140</x:v>
      </x:c>
      <x:c r="DB51" s="14" t="n">
        <x:v>11</x:v>
      </x:c>
      <x:c r="DC51" s="14" t="n">
        <x:v>4</x:v>
      </x:c>
      <x:c r="DD51" s="14" t="str">
        <x:v>未收錄</x:v>
      </x:c>
      <x:c r="DE51" s="14" t="str">
        <x:v>26060</x:v>
      </x:c>
      <x:c r="DF51" s="14" t="n">
        <x:v>8</x:v>
      </x:c>
      <x:c r="DG51" s="14" t="n">
        <x:v>382</x:v>
      </x:c>
      <x:c r="DH51" s="14" t="n">
        <x:v>137</x:v>
      </x:c>
      <x:c r="DI51" s="14" t="n">
        <x:v>11</x:v>
      </x:c>
      <x:c r="DJ51" s="14" t="n">
        <x:v>1</x:v>
      </x:c>
      <x:c r="DK51" s="14" t="str">
        <x:v>未收錄</x:v>
      </x:c>
      <x:c r="DL51" s="14" t="str">
        <x:v>26204</x:v>
      </x:c>
      <x:c r="DM51" s="14" t="n">
        <x:v>3</x:v>
      </x:c>
      <x:c r="DN51" s="14" t="n">
        <x:v>383</x:v>
      </x:c>
      <x:c r="DO51" s="14" t="n">
        <x:v>138</x:v>
      </x:c>
      <x:c r="DP51" s="14" t="n">
        <x:v>11</x:v>
      </x:c>
      <x:c r="DQ51" s="14" t="n">
        <x:v>2</x:v>
      </x:c>
      <x:c r="DR51" s="14" t="str">
        <x:v>未收錄</x:v>
      </x:c>
      <x:c r="DS51" s="14" t="str">
        <x:v>26548</x:v>
      </x:c>
      <x:c r="DT51" s="14" t="n">
        <x:v>8</x:v>
      </x:c>
      <x:c r="DU51" s="14" t="n">
        <x:v>384</x:v>
      </x:c>
      <x:c r="DV51" s="14" t="n">
        <x:v>139</x:v>
      </x:c>
      <x:c r="DW51" s="14" t="n">
        <x:v>11</x:v>
      </x:c>
      <x:c r="DX51" s="14" t="n">
        <x:v>3</x:v>
      </x:c>
      <x:c r="DY51" s="14" t="str">
        <x:v>未收錄</x:v>
      </x:c>
      <x:c r="DZ51" s="14" t="str">
        <x:v>26061</x:v>
      </x:c>
      <x:c r="EA51" s="14" t="n">
        <x:v>8</x:v>
      </x:c>
      <x:c r="EB51" s="14" t="n">
        <x:v>385</x:v>
      </x:c>
      <x:c r="EC51" s="14" t="n">
        <x:v>140</x:v>
      </x:c>
      <x:c r="ED51" s="14" t="n">
        <x:v>11</x:v>
      </x:c>
      <x:c r="EE51" s="14" t="n">
        <x:v>4</x:v>
      </x:c>
      <x:c r="EF51" s="14" t="str">
        <x:v>未收錄</x:v>
      </x:c>
      <x:c r="EG51" s="14" t="str">
        <x:v>30623</x:v>
      </x:c>
      <x:c r="EH51" s="14" t="n">
        <x:v>20</x:v>
      </x:c>
      <x:c r="EI51" s="14" t="n">
        <x:v>618</x:v>
      </x:c>
      <x:c r="EJ51" s="14" t="n">
        <x:v>137</x:v>
      </x:c>
      <x:c r="EK51" s="14" t="n">
        <x:v>11</x:v>
      </x:c>
      <x:c r="EL51" s="14" t="n">
        <x:v>1</x:v>
      </x:c>
      <x:c r="EM51" s="14" t="str">
        <x:v>未收錄</x:v>
      </x:c>
      <x:c r="EN51" s="14" t="str">
        <x:v>30951</x:v>
      </x:c>
      <x:c r="EO51" s="14" t="n">
        <x:v>20</x:v>
      </x:c>
      <x:c r="EP51" s="14" t="n">
        <x:v>619</x:v>
      </x:c>
      <x:c r="EQ51" s="14" t="n">
        <x:v>138</x:v>
      </x:c>
      <x:c r="ER51" s="14" t="n">
        <x:v>11</x:v>
      </x:c>
      <x:c r="ES51" s="14" t="n">
        <x:v>2</x:v>
      </x:c>
      <x:c r="ET51" s="14" t="str">
        <x:v>未收錄</x:v>
      </x:c>
      <x:c r="EU51" s="14" t="str">
        <x:v>30961</x:v>
      </x:c>
      <x:c r="EV51" s="14" t="n">
        <x:v>20</x:v>
      </x:c>
      <x:c r="EW51" s="14" t="n">
        <x:v>620</x:v>
      </x:c>
      <x:c r="EX51" s="14" t="n">
        <x:v>139</x:v>
      </x:c>
      <x:c r="EY51" s="14" t="n">
        <x:v>11</x:v>
      </x:c>
      <x:c r="EZ51" s="14" t="n">
        <x:v>3</x:v>
      </x:c>
      <x:c r="FA51" s="14" t="str">
        <x:v>未收錄</x:v>
      </x:c>
      <x:c r="FB51" s="14" t="str">
        <x:v>31554</x:v>
      </x:c>
      <x:c r="FC51" s="14" t="n">
        <x:v>20</x:v>
      </x:c>
      <x:c r="FD51" s="14" t="n">
        <x:v>621</x:v>
      </x:c>
      <x:c r="FE51" s="14" t="n">
        <x:v>140</x:v>
      </x:c>
      <x:c r="FF51" s="14" t="n">
        <x:v>11</x:v>
      </x:c>
      <x:c r="FG51" s="14" t="n">
        <x:v>4</x:v>
      </x:c>
      <x:c r="FH51" s="14" t="str">
        <x:v>未收錄</x:v>
      </x:c>
      <x:c r="FI51" s="14" t="str">
        <x:v>26290</x:v>
      </x:c>
      <x:c r="FJ51" s="14" t="n">
        <x:v>20</x:v>
      </x:c>
      <x:c r="FK51" s="14" t="n">
        <x:v>768</x:v>
      </x:c>
      <x:c r="FL51" s="14" t="n">
        <x:v>137</x:v>
      </x:c>
      <x:c r="FM51" s="14" t="n">
        <x:v>11</x:v>
      </x:c>
      <x:c r="FN51" s="14" t="n">
        <x:v>1</x:v>
      </x:c>
      <x:c r="FO51" s="14" t="str">
        <x:v>未收錄</x:v>
      </x:c>
      <x:c r="FP51" s="14" t="str">
        <x:v>26495</x:v>
      </x:c>
      <x:c r="FQ51" s="14" t="n">
        <x:v>20</x:v>
      </x:c>
      <x:c r="FR51" s="14" t="n">
        <x:v>769</x:v>
      </x:c>
      <x:c r="FS51" s="14" t="n">
        <x:v>138</x:v>
      </x:c>
      <x:c r="FT51" s="14" t="n">
        <x:v>11</x:v>
      </x:c>
      <x:c r="FU51" s="14" t="n">
        <x:v>2</x:v>
      </x:c>
      <x:c r="FV51" s="14" t="str">
        <x:v>未收錄</x:v>
      </x:c>
      <x:c r="FW51" s="14" t="str">
        <x:v>26787</x:v>
      </x:c>
      <x:c r="FX51" s="14" t="n">
        <x:v>20</x:v>
      </x:c>
      <x:c r="FY51" s="14" t="n">
        <x:v>770</x:v>
      </x:c>
      <x:c r="FZ51" s="14" t="n">
        <x:v>139</x:v>
      </x:c>
      <x:c r="GA51" s="14" t="n">
        <x:v>11</x:v>
      </x:c>
      <x:c r="GB51" s="14" t="n">
        <x:v>3</x:v>
      </x:c>
      <x:c r="GC51" s="14" t="str">
        <x:v>未收錄</x:v>
      </x:c>
      <x:c r="GD51" s="14" t="str">
        <x:v>26961</x:v>
      </x:c>
      <x:c r="GE51" s="14" t="n">
        <x:v>20</x:v>
      </x:c>
      <x:c r="GF51" s="14" t="n">
        <x:v>771</x:v>
      </x:c>
      <x:c r="GG51" s="14" t="n">
        <x:v>140</x:v>
      </x:c>
      <x:c r="GH51" s="14" t="n">
        <x:v>11</x:v>
      </x:c>
      <x:c r="GI51" s="14" t="n">
        <x:v>4</x:v>
      </x:c>
      <x:c r="GJ51" s="14" t="str">
        <x:v>未收錄</x:v>
      </x:c>
      <x:c r="GK51" s="14" t="str">
        <x:v>24762</x:v>
      </x:c>
      <x:c r="GL51" s="14" t="n">
        <x:v>20</x:v>
      </x:c>
      <x:c r="GM51" s="14" t="n">
        <x:v>940</x:v>
      </x:c>
      <x:c r="GN51" s="14" t="n">
        <x:v>137</x:v>
      </x:c>
      <x:c r="GO51" s="14" t="n">
        <x:v>11</x:v>
      </x:c>
      <x:c r="GP51" s="14" t="n">
        <x:v>1</x:v>
      </x:c>
      <x:c r="GQ51" s="14" t="str">
        <x:v>未收錄</x:v>
      </x:c>
      <x:c r="GR51" s="14" t="str">
        <x:v>26291</x:v>
      </x:c>
      <x:c r="GS51" s="14" t="n">
        <x:v>20</x:v>
      </x:c>
      <x:c r="GT51" s="14" t="n">
        <x:v>941</x:v>
      </x:c>
      <x:c r="GU51" s="14" t="n">
        <x:v>138</x:v>
      </x:c>
      <x:c r="GV51" s="14" t="n">
        <x:v>11</x:v>
      </x:c>
      <x:c r="GW51" s="14" t="n">
        <x:v>2</x:v>
      </x:c>
      <x:c r="GX51" s="14" t="str">
        <x:v>未收錄</x:v>
      </x:c>
      <x:c r="GY51" s="14" t="str">
        <x:v>26496</x:v>
      </x:c>
      <x:c r="GZ51" s="14" t="n">
        <x:v>20</x:v>
      </x:c>
      <x:c r="HA51" s="14" t="n">
        <x:v>942</x:v>
      </x:c>
      <x:c r="HB51" s="14" t="n">
        <x:v>139</x:v>
      </x:c>
      <x:c r="HC51" s="14" t="n">
        <x:v>11</x:v>
      </x:c>
      <x:c r="HD51" s="14" t="n">
        <x:v>3</x:v>
      </x:c>
      <x:c r="HE51" s="14" t="str">
        <x:v>未收錄</x:v>
      </x:c>
      <x:c r="HF51" s="14" t="str">
        <x:v>26788</x:v>
      </x:c>
      <x:c r="HG51" s="14" t="n">
        <x:v>20</x:v>
      </x:c>
      <x:c r="HH51" s="14" t="n">
        <x:v>943</x:v>
      </x:c>
      <x:c r="HI51" s="14" t="n">
        <x:v>140</x:v>
      </x:c>
      <x:c r="HJ51" s="14" t="n">
        <x:v>11</x:v>
      </x:c>
      <x:c r="HK51" s="14" t="n">
        <x:v>4</x:v>
      </x:c>
      <x:c r="HL51" s="14" t="str">
        <x:v>未收錄</x:v>
      </x:c>
      <x:c r="HM51" s="14" t="str">
        <x:v>29928</x:v>
      </x:c>
      <x:c r="HN51" s="14" t="n">
        <x:v>20</x:v>
      </x:c>
      <x:c r="HO51" s="14" t="n">
        <x:v>1113</x:v>
      </x:c>
      <x:c r="HP51" s="14" t="n">
        <x:v>137</x:v>
      </x:c>
      <x:c r="HQ51" s="14" t="n">
        <x:v>11</x:v>
      </x:c>
      <x:c r="HR51" s="14" t="n">
        <x:v>1</x:v>
      </x:c>
      <x:c r="HS51" s="14" t="str">
        <x:v>未收錄</x:v>
      </x:c>
      <x:c r="HT51" s="14" t="str">
        <x:v>23634</x:v>
      </x:c>
      <x:c r="HU51" s="14" t="n">
        <x:v>10</x:v>
      </x:c>
      <x:c r="HV51" s="14" t="n">
        <x:v>1114</x:v>
      </x:c>
      <x:c r="HW51" s="14" t="n">
        <x:v>138</x:v>
      </x:c>
      <x:c r="HX51" s="14" t="n">
        <x:v>11</x:v>
      </x:c>
      <x:c r="HY51" s="14" t="n">
        <x:v>2</x:v>
      </x:c>
      <x:c r="HZ51" s="14" t="str">
        <x:v>未收錄</x:v>
      </x:c>
      <x:c r="IA51" s="14" t="str">
        <x:v>24378</x:v>
      </x:c>
      <x:c r="IB51" s="14" t="n">
        <x:v>10</x:v>
      </x:c>
      <x:c r="IC51" s="14" t="n">
        <x:v>1115</x:v>
      </x:c>
      <x:c r="ID51" s="14" t="n">
        <x:v>139</x:v>
      </x:c>
      <x:c r="IE51" s="14" t="n">
        <x:v>11</x:v>
      </x:c>
      <x:c r="IF51" s="14" t="n">
        <x:v>3</x:v>
      </x:c>
      <x:c r="IG51" s="14" t="str">
        <x:v>未收錄</x:v>
      </x:c>
      <x:c r="IH51" s="14" t="str">
        <x:v>24953</x:v>
      </x:c>
      <x:c r="II51" s="14" t="n">
        <x:v>10</x:v>
      </x:c>
      <x:c r="IJ51" s="14" t="n">
        <x:v>1116</x:v>
      </x:c>
      <x:c r="IK51" s="14" t="n">
        <x:v>140</x:v>
      </x:c>
      <x:c r="IL51" s="14" t="n">
        <x:v>11</x:v>
      </x:c>
      <x:c r="IM51" s="14" t="n">
        <x:v>4</x:v>
      </x:c>
      <x:c r="IN51" s="14" t="str">
        <x:v>未收錄</x:v>
      </x:c>
      <x:c r="IO51" s="14" t="str">
        <x:v>24954</x:v>
      </x:c>
      <x:c r="IP51" s="14" t="n">
        <x:v>10</x:v>
      </x:c>
      <x:c r="IQ51" s="14" t="n">
        <x:v>1281</x:v>
      </x:c>
      <x:c r="IR51" s="14" t="n">
        <x:v>137</x:v>
      </x:c>
      <x:c r="IS51" s="14" t="n">
        <x:v>11</x:v>
      </x:c>
      <x:c r="IT51" s="14" t="n">
        <x:v>1</x:v>
      </x:c>
      <x:c r="IU51" s="14" t="str">
        <x:v>未收錄</x:v>
      </x:c>
      <x:c r="IV51" s="14" t="str">
        <x:v>26800</x:v>
      </x:c>
      <x:c r="IW51" s="14" t="n">
        <x:v>10</x:v>
      </x:c>
      <x:c r="IX51" s="14" t="n">
        <x:v>1282</x:v>
      </x:c>
      <x:c r="IY51" s="14" t="n">
        <x:v>138</x:v>
      </x:c>
      <x:c r="IZ51" s="14" t="n">
        <x:v>11</x:v>
      </x:c>
      <x:c r="JA51" s="14" t="n">
        <x:v>2</x:v>
      </x:c>
      <x:c r="JB51" s="14" t="str">
        <x:v>未收錄</x:v>
      </x:c>
      <x:c r="JC51" s="14" t="str">
        <x:v>27369</x:v>
      </x:c>
      <x:c r="JD51" s="14" t="n">
        <x:v>10</x:v>
      </x:c>
      <x:c r="JE51" s="14" t="n">
        <x:v>1283</x:v>
      </x:c>
      <x:c r="JF51" s="14" t="n">
        <x:v>139</x:v>
      </x:c>
      <x:c r="JG51" s="14" t="n">
        <x:v>11</x:v>
      </x:c>
      <x:c r="JH51" s="14" t="n">
        <x:v>3</x:v>
      </x:c>
      <x:c r="JI51" s="14" t="str">
        <x:v>未收錄</x:v>
      </x:c>
      <x:c r="JJ51" s="14" t="str">
        <x:v>27585</x:v>
      </x:c>
      <x:c r="JK51" s="14" t="n">
        <x:v>10</x:v>
      </x:c>
      <x:c r="JL51" s="14" t="n">
        <x:v>1284</x:v>
      </x:c>
      <x:c r="JM51" s="14" t="n">
        <x:v>140</x:v>
      </x:c>
      <x:c r="JN51" s="14" t="n">
        <x:v>11</x:v>
      </x:c>
      <x:c r="JO51" s="14" t="n">
        <x:v>4</x:v>
      </x:c>
      <x:c r="JP51" s="14" t="str">
        <x:v>未收錄</x:v>
      </x:c>
      <x:c r="JQ51" s="14"/>
      <x:c r="JR51" s="14"/>
      <x:c r="JS51" s="14"/>
      <x:c r="JT51" s="14"/>
      <x:c r="JU51" s="14"/>
      <x:c r="JV51" s="14"/>
      <x:c r="JW51" s="14"/>
      <x:c r="JX51" s="14"/>
      <x:c r="JY51" s="14"/>
      <x:c r="JZ51" s="14"/>
      <x:c r="KA51" s="14"/>
      <x:c r="KB51" s="14"/>
      <x:c r="KC51" s="14"/>
      <x:c r="KD51" s="14"/>
      <x:c r="KE51" s="14"/>
      <x:c r="KF51" s="14"/>
      <x:c r="KG51" s="14"/>
      <x:c r="KH51" s="14"/>
      <x:c r="KI51" s="14"/>
      <x:c r="KJ51" s="14"/>
      <x:c r="KK51" s="14"/>
      <x:c r="KL51" s="14"/>
      <x:c r="KM51" s="14"/>
      <x:c r="KN51" s="14"/>
      <x:c r="KO51" s="14"/>
      <x:c r="KP51" s="14"/>
      <x:c r="KQ51" s="14"/>
      <x:c r="KR51" s="14"/>
      <x:c r="KS51" s="14"/>
      <x:c r="KT51" s="14"/>
      <x:c r="KU51" s="14"/>
      <x:c r="KV51" s="14"/>
      <x:c r="KW51" s="14"/>
      <x:c r="KX51" s="14"/>
      <x:c r="KY51" s="14"/>
      <x:c r="KZ51" s="14"/>
      <x:c r="LA51" s="14"/>
      <x:c r="LB51" s="14"/>
      <x:c r="LC51" s="14"/>
      <x:c r="LD51" s="14"/>
      <x:c r="LE51" s="14"/>
      <x:c r="LF51" s="14"/>
      <x:c r="LG51" s="14"/>
      <x:c r="LH51" s="14"/>
      <x:c r="LI51" s="14"/>
      <x:c r="LJ51" s="14"/>
      <x:c r="LK51" s="14"/>
      <x:c r="LL51" s="14"/>
      <x:c r="LM51" s="14"/>
      <x:c r="LN51" s="14"/>
      <x:c r="LO51" s="14"/>
      <x:c r="LP51" s="14"/>
      <x:c r="LQ51" s="14"/>
      <x:c r="LR51" s="14"/>
      <x:c r="LS51" s="14"/>
      <x:c r="LT51" s="14"/>
      <x:c r="LU51" s="14"/>
      <x:c r="LV51" s="14"/>
      <x:c r="LW51" s="14"/>
      <x:c r="LX51" s="14"/>
      <x:c r="LY51" s="14"/>
      <x:c r="LZ51" s="14"/>
      <x:c r="MA51" s="14"/>
      <x:c r="MB51" s="14"/>
      <x:c r="MC51" s="14"/>
      <x:c r="MD51" s="14"/>
      <x:c r="ME51" s="14"/>
      <x:c r="MF51" s="14"/>
      <x:c r="MG51" s="14"/>
      <x:c r="MH51" s="14"/>
      <x:c r="MI51" s="14"/>
      <x:c r="MJ51" s="14"/>
      <x:c r="MK51" s="14"/>
      <x:c r="ML51" s="14"/>
      <x:c r="MM51" s="14"/>
      <x:c r="MN51" s="14"/>
      <x:c r="MO51" s="14"/>
      <x:c r="MP51" s="14"/>
      <x:c r="MQ51" s="14"/>
      <x:c r="MR51" s="14"/>
      <x:c r="MS51" s="14"/>
      <x:c r="MT51" s="14"/>
      <x:c r="MU51" s="14"/>
      <x:c r="MV51" s="14"/>
      <x:c r="MW51" s="14" t="str">
        <x:v>23172</x:v>
      </x:c>
      <x:c r="MX51" s="14" t="n">
        <x:v>5</x:v>
      </x:c>
      <x:c r="MY51" s="14" t="n">
        <x:v>1785</x:v>
      </x:c>
      <x:c r="MZ51" s="14" t="n">
        <x:v>137</x:v>
      </x:c>
      <x:c r="NA51" s="14" t="n">
        <x:v>11</x:v>
      </x:c>
      <x:c r="NB51" s="14" t="n">
        <x:v>1</x:v>
      </x:c>
      <x:c r="NC51" s="14" t="str">
        <x:v>未收錄</x:v>
      </x:c>
      <x:c r="ND51" s="14" t="str">
        <x:v>23173</x:v>
      </x:c>
      <x:c r="NE51" s="14" t="n">
        <x:v>5</x:v>
      </x:c>
      <x:c r="NF51" s="14" t="n">
        <x:v>1786</x:v>
      </x:c>
      <x:c r="NG51" s="14" t="n">
        <x:v>138</x:v>
      </x:c>
      <x:c r="NH51" s="14" t="n">
        <x:v>11</x:v>
      </x:c>
      <x:c r="NI51" s="14" t="n">
        <x:v>2</x:v>
      </x:c>
      <x:c r="NJ51" s="14" t="str">
        <x:v>未收錄</x:v>
      </x:c>
      <x:c r="NK51" s="14" t="str">
        <x:v>23174</x:v>
      </x:c>
      <x:c r="NL51" s="14" t="n">
        <x:v>5</x:v>
      </x:c>
      <x:c r="NM51" s="14" t="n">
        <x:v>1787</x:v>
      </x:c>
      <x:c r="NN51" s="14" t="n">
        <x:v>139</x:v>
      </x:c>
      <x:c r="NO51" s="14" t="n">
        <x:v>11</x:v>
      </x:c>
      <x:c r="NP51" s="14" t="n">
        <x:v>3</x:v>
      </x:c>
      <x:c r="NQ51" s="14" t="str">
        <x:v>未收錄</x:v>
      </x:c>
      <x:c r="NR51" s="14" t="str">
        <x:v>23175</x:v>
      </x:c>
      <x:c r="NS51" s="14" t="n">
        <x:v>5</x:v>
      </x:c>
      <x:c r="NT51" s="14" t="n">
        <x:v>1788</x:v>
      </x:c>
      <x:c r="NU51" s="14" t="n">
        <x:v>140</x:v>
      </x:c>
      <x:c r="NV51" s="14" t="n">
        <x:v>11</x:v>
      </x:c>
      <x:c r="NW51" s="14" t="n">
        <x:v>4</x:v>
      </x:c>
      <x:c r="NX51" s="14" t="str">
        <x:v>未收錄</x:v>
      </x:c>
      <x:c r="NY51" s="14" t="str">
        <x:v>22957</x:v>
      </x:c>
      <x:c r="NZ51" s="14" t="n">
        <x:v>5</x:v>
      </x:c>
      <x:c r="OA51" s="14" t="n">
        <x:v>2238</x:v>
      </x:c>
      <x:c r="OB51" s="14" t="n">
        <x:v>137</x:v>
      </x:c>
      <x:c r="OC51" s="14" t="n">
        <x:v>11</x:v>
      </x:c>
      <x:c r="OD51" s="14" t="n">
        <x:v>1</x:v>
      </x:c>
      <x:c r="OE51" s="14" t="str">
        <x:v>未收錄</x:v>
      </x:c>
      <x:c r="OF51" s="14" t="str">
        <x:v>22958</x:v>
      </x:c>
      <x:c r="OG51" s="14" t="n">
        <x:v>5</x:v>
      </x:c>
      <x:c r="OH51" s="14" t="n">
        <x:v>2239</x:v>
      </x:c>
      <x:c r="OI51" s="14" t="n">
        <x:v>138</x:v>
      </x:c>
      <x:c r="OJ51" s="14" t="n">
        <x:v>11</x:v>
      </x:c>
      <x:c r="OK51" s="14" t="n">
        <x:v>2</x:v>
      </x:c>
      <x:c r="OL51" s="14" t="str">
        <x:v>未收錄</x:v>
      </x:c>
      <x:c r="OM51" s="14" t="str">
        <x:v>22959</x:v>
      </x:c>
      <x:c r="ON51" s="14" t="n">
        <x:v>5</x:v>
      </x:c>
      <x:c r="OO51" s="14" t="n">
        <x:v>2240</x:v>
      </x:c>
      <x:c r="OP51" s="14" t="n">
        <x:v>139</x:v>
      </x:c>
      <x:c r="OQ51" s="14" t="n">
        <x:v>11</x:v>
      </x:c>
      <x:c r="OR51" s="14" t="n">
        <x:v>3</x:v>
      </x:c>
      <x:c r="OS51" s="14" t="str">
        <x:v>未收錄</x:v>
      </x:c>
      <x:c r="OT51" s="14" t="str">
        <x:v>22960</x:v>
      </x:c>
      <x:c r="OU51" s="14" t="n">
        <x:v>5</x:v>
      </x:c>
      <x:c r="OV51" s="14" t="n">
        <x:v>2241</x:v>
      </x:c>
      <x:c r="OW51" s="14" t="n">
        <x:v>140</x:v>
      </x:c>
      <x:c r="OX51" s="14" t="n">
        <x:v>11</x:v>
      </x:c>
      <x:c r="OY51" s="14" t="n">
        <x:v>4</x:v>
      </x:c>
      <x:c r="OZ51" s="14" t="str">
        <x:v>未收錄</x:v>
      </x:c>
      <x:c r="PA51" s="14" t="str">
        <x:v>23562</x:v>
      </x:c>
      <x:c r="PB51" s="14" t="n">
        <x:v>5</x:v>
      </x:c>
      <x:c r="PC51" s="14" t="n">
        <x:v>2784</x:v>
      </x:c>
      <x:c r="PD51" s="14" t="n">
        <x:v>137</x:v>
      </x:c>
      <x:c r="PE51" s="14" t="n">
        <x:v>11</x:v>
      </x:c>
      <x:c r="PF51" s="14" t="n">
        <x:v>1</x:v>
      </x:c>
      <x:c r="PG51" s="14" t="str">
        <x:v>未收錄</x:v>
      </x:c>
      <x:c r="PH51" s="14" t="str">
        <x:v>23563</x:v>
      </x:c>
      <x:c r="PI51" s="14" t="n">
        <x:v>5</x:v>
      </x:c>
      <x:c r="PJ51" s="14" t="n">
        <x:v>2785</x:v>
      </x:c>
      <x:c r="PK51" s="14" t="n">
        <x:v>138</x:v>
      </x:c>
      <x:c r="PL51" s="14" t="n">
        <x:v>11</x:v>
      </x:c>
      <x:c r="PM51" s="14" t="n">
        <x:v>2</x:v>
      </x:c>
      <x:c r="PN51" s="14" t="str">
        <x:v>未收錄</x:v>
      </x:c>
      <x:c r="PO51" s="14" t="str">
        <x:v>23564</x:v>
      </x:c>
      <x:c r="PP51" s="14" t="n">
        <x:v>5</x:v>
      </x:c>
      <x:c r="PQ51" s="14" t="n">
        <x:v>2786</x:v>
      </x:c>
      <x:c r="PR51" s="14" t="n">
        <x:v>139</x:v>
      </x:c>
      <x:c r="PS51" s="14" t="n">
        <x:v>11</x:v>
      </x:c>
      <x:c r="PT51" s="14" t="n">
        <x:v>3</x:v>
      </x:c>
      <x:c r="PU51" s="14" t="str">
        <x:v>未收錄</x:v>
      </x:c>
      <x:c r="PV51" s="14" t="str">
        <x:v>23565</x:v>
      </x:c>
      <x:c r="PW51" s="14" t="n">
        <x:v>5</x:v>
      </x:c>
      <x:c r="PX51" s="14" t="n">
        <x:v>2787</x:v>
      </x:c>
      <x:c r="PY51" s="14" t="n">
        <x:v>140</x:v>
      </x:c>
      <x:c r="PZ51" s="14" t="n">
        <x:v>11</x:v>
      </x:c>
      <x:c r="QA51" s="14" t="n">
        <x:v>4</x:v>
      </x:c>
      <x:c r="QB51" s="14" t="str">
        <x:v>未收錄</x:v>
      </x:c>
      <x:c r="QC51" s="14" t="str">
        <x:v>23570</x:v>
      </x:c>
      <x:c r="QD51" s="14" t="n">
        <x:v>5</x:v>
      </x:c>
      <x:c r="QE51" s="14" t="n">
        <x:v>3221</x:v>
      </x:c>
      <x:c r="QF51" s="14" t="n">
        <x:v>137</x:v>
      </x:c>
      <x:c r="QG51" s="14" t="n">
        <x:v>11</x:v>
      </x:c>
      <x:c r="QH51" s="14" t="n">
        <x:v>1</x:v>
      </x:c>
      <x:c r="QI51" s="14" t="str">
        <x:v>未收錄</x:v>
      </x:c>
      <x:c r="QJ51" s="14" t="str">
        <x:v>23571</x:v>
      </x:c>
      <x:c r="QK51" s="14" t="n">
        <x:v>5</x:v>
      </x:c>
      <x:c r="QL51" s="14" t="n">
        <x:v>3222</x:v>
      </x:c>
      <x:c r="QM51" s="14" t="n">
        <x:v>138</x:v>
      </x:c>
      <x:c r="QN51" s="14" t="n">
        <x:v>11</x:v>
      </x:c>
      <x:c r="QO51" s="14" t="n">
        <x:v>2</x:v>
      </x:c>
      <x:c r="QP51" s="14" t="str">
        <x:v>未收錄</x:v>
      </x:c>
      <x:c r="QQ51" s="14" t="str">
        <x:v>23572</x:v>
      </x:c>
      <x:c r="QR51" s="14" t="n">
        <x:v>5</x:v>
      </x:c>
      <x:c r="QS51" s="14" t="n">
        <x:v>3223</x:v>
      </x:c>
      <x:c r="QT51" s="14" t="n">
        <x:v>139</x:v>
      </x:c>
      <x:c r="QU51" s="14" t="n">
        <x:v>11</x:v>
      </x:c>
      <x:c r="QV51" s="14" t="n">
        <x:v>3</x:v>
      </x:c>
      <x:c r="QW51" s="14" t="str">
        <x:v>未收錄</x:v>
      </x:c>
      <x:c r="QX51" s="14" t="str">
        <x:v>23573</x:v>
      </x:c>
      <x:c r="QY51" s="14" t="n">
        <x:v>5</x:v>
      </x:c>
      <x:c r="QZ51" s="14" t="n">
        <x:v>3224</x:v>
      </x:c>
      <x:c r="RA51" s="14" t="n">
        <x:v>140</x:v>
      </x:c>
      <x:c r="RB51" s="14" t="n">
        <x:v>11</x:v>
      </x:c>
      <x:c r="RC51" s="14" t="n">
        <x:v>4</x:v>
      </x:c>
      <x:c r="RD51" s="14" t="str">
        <x:v>未收錄</x:v>
      </x:c>
      <x:c r="RE51" s="14" t="str">
        <x:v>24374</x:v>
      </x:c>
      <x:c r="RF51" s="14" t="n">
        <x:v>10</x:v>
      </x:c>
      <x:c r="RG51" s="14" t="n">
        <x:v>3682</x:v>
      </x:c>
      <x:c r="RH51" s="14" t="n">
        <x:v>137</x:v>
      </x:c>
      <x:c r="RI51" s="14" t="n">
        <x:v>11</x:v>
      </x:c>
      <x:c r="RJ51" s="14" t="n">
        <x:v>1</x:v>
      </x:c>
      <x:c r="RK51" s="14" t="str">
        <x:v>未收錄</x:v>
      </x:c>
      <x:c r="RL51" s="14" t="str">
        <x:v>24611</x:v>
      </x:c>
      <x:c r="RM51" s="14" t="n">
        <x:v>5</x:v>
      </x:c>
      <x:c r="RN51" s="14" t="n">
        <x:v>3683</x:v>
      </x:c>
      <x:c r="RO51" s="14" t="n">
        <x:v>138</x:v>
      </x:c>
      <x:c r="RP51" s="14" t="n">
        <x:v>11</x:v>
      </x:c>
      <x:c r="RQ51" s="14" t="n">
        <x:v>2</x:v>
      </x:c>
      <x:c r="RR51" s="14" t="str">
        <x:v>未收錄</x:v>
      </x:c>
      <x:c r="RS51" s="14" t="str">
        <x:v>24612</x:v>
      </x:c>
      <x:c r="RT51" s="14" t="n">
        <x:v>5</x:v>
      </x:c>
      <x:c r="RU51" s="14" t="n">
        <x:v>3684</x:v>
      </x:c>
      <x:c r="RV51" s="14" t="n">
        <x:v>139</x:v>
      </x:c>
      <x:c r="RW51" s="14" t="n">
        <x:v>11</x:v>
      </x:c>
      <x:c r="RX51" s="14" t="n">
        <x:v>3</x:v>
      </x:c>
      <x:c r="RY51" s="14" t="str">
        <x:v>未收錄</x:v>
      </x:c>
      <x:c r="RZ51" s="14" t="str">
        <x:v>24613</x:v>
      </x:c>
      <x:c r="SA51" s="14" t="n">
        <x:v>5</x:v>
      </x:c>
      <x:c r="SB51" s="14" t="n">
        <x:v>3685</x:v>
      </x:c>
      <x:c r="SC51" s="14" t="n">
        <x:v>140</x:v>
      </x:c>
      <x:c r="SD51" s="14" t="n">
        <x:v>11</x:v>
      </x:c>
      <x:c r="SE51" s="14" t="n">
        <x:v>4</x:v>
      </x:c>
      <x:c r="SF51" s="14" t="str">
        <x:v>未收錄</x:v>
      </x:c>
      <x:c r="SG51" s="14"/>
      <x:c r="SH51" s="14"/>
      <x:c r="SI51" s="14"/>
      <x:c r="SJ51" s="14"/>
      <x:c r="SK51" s="14"/>
      <x:c r="SL51" s="14"/>
      <x:c r="SM51" s="14"/>
      <x:c r="SN51" s="14"/>
      <x:c r="SO51" s="14"/>
      <x:c r="SP51" s="14"/>
      <x:c r="SQ51" s="14"/>
      <x:c r="SR51" s="14"/>
      <x:c r="SS51" s="14"/>
      <x:c r="ST51" s="14"/>
      <x:c r="SU51" s="14"/>
      <x:c r="SV51" s="14"/>
      <x:c r="SW51" s="14"/>
      <x:c r="SX51" s="14"/>
      <x:c r="SY51" s="14"/>
      <x:c r="SZ51" s="14"/>
      <x:c r="TA51" s="14"/>
      <x:c r="TB51" s="14"/>
      <x:c r="TC51" s="14"/>
      <x:c r="TD51" s="14"/>
      <x:c r="TE51" s="14"/>
      <x:c r="TF51" s="14"/>
      <x:c r="TG51" s="14"/>
      <x:c r="TH51" s="14"/>
    </x:row>
    <x:row r="52" ht="15" customHeight="1">
      <x:c r="A52" s="18" t="str">
        <x:v>紫夜殘翼劍</x:v>
      </x:c>
      <x:c r="B52" s="18" t="str">
        <x:v>紅月魔豔劍</x:v>
      </x:c>
      <x:c r="C52" s="18" t="str">
        <x:v>星辰劍</x:v>
      </x:c>
      <x:c r="D52" s="18" t="str">
        <x:v>太古星辰劍</x:v>
      </x:c>
      <x:c r="E52" s="14"/>
      <x:c r="F52" s="18" t="str">
        <x:v>勇者獅心刃</x:v>
      </x:c>
      <x:c r="G52" s="18" t="str">
        <x:v>破龍斬</x:v>
      </x:c>
      <x:c r="H52" s="18" t="str">
        <x:v>太古破龍斬</x:v>
      </x:c>
      <x:c r="I52" s="18" t="str">
        <x:v>屠龍勇士刀</x:v>
      </x:c>
      <x:c r="J52" s="14"/>
      <x:c r="K52" s="18" t="str">
        <x:v>火神砲</x:v>
      </x:c>
      <x:c r="L52" s="18" t="str">
        <x:v>蚩吻封心梭</x:v>
      </x:c>
      <x:c r="M52" s="18" t="str">
        <x:v>蚩吻封心梭</x:v>
      </x:c>
      <x:c r="N52" s="18" t="str">
        <x:v>真九界樹聖箭</x:v>
      </x:c>
      <x:c r="O52" s="14"/>
      <x:c r="P52" s="18" t="str">
        <x:v>文曲天權拂</x:v>
      </x:c>
      <x:c r="Q52" s="18" t="str">
        <x:v>鳳凰宮燎羽拂</x:v>
      </x:c>
      <x:c r="R52" s="18" t="str">
        <x:v>南玄九嬰撢</x:v>
      </x:c>
      <x:c r="S52" s="18" t="str">
        <x:v>鬼宿器‧獄鑑</x:v>
      </x:c>
      <x:c r="T52" s="14"/>
      <x:c r="U52" s="18" t="str">
        <x:v>瀛洲仙華杖</x:v>
      </x:c>
      <x:c r="V52" s="18" t="str">
        <x:v>廉貞玉衡杖</x:v>
      </x:c>
      <x:c r="W52" s="18" t="str">
        <x:v>雲獸宮八龍杖</x:v>
      </x:c>
      <x:c r="X52" s="18" t="str">
        <x:v>西王司天杖</x:v>
      </x:c>
      <x:c r="Y52" s="14"/>
      <x:c r="Z52" s="18" t="str">
        <x:v>絕六滅化神槍</x:v>
      </x:c>
      <x:c r="AA52" s="18" t="str">
        <x:v>無六滅化神槍</x:v>
      </x:c>
      <x:c r="AB52" s="18" t="str">
        <x:v>帝六滅化神槍</x:v>
      </x:c>
      <x:c r="AC52" s="18" t="str">
        <x:v>終六滅化神槍</x:v>
      </x:c>
      <x:c r="AD52" s="14"/>
      <x:c r="AE52" s="18" t="str">
        <x:v>終六滅化神棍</x:v>
      </x:c>
      <x:c r="AF52" s="18" t="str">
        <x:v>創六滅化神棍</x:v>
      </x:c>
      <x:c r="AG52" s="18" t="str">
        <x:v>星六滅化神棍</x:v>
      </x:c>
      <x:c r="AH52" s="18" t="str">
        <x:v>皇六滅化神棍</x:v>
      </x:c>
      <x:c r="AI52" s="14"/>
      <x:c r="AJ52" s="14"/>
      <x:c r="AK52" s="14"/>
      <x:c r="AL52" s="14"/>
      <x:c r="AM52" s="14"/>
      <x:c r="AN52" s="14"/>
      <x:c r="AO52" s="14"/>
      <x:c r="AP52" s="14"/>
      <x:c r="AQ52" s="14"/>
      <x:c r="AR52" s="14"/>
      <x:c r="AS52" s="14"/>
      <x:c r="AT52" s="14"/>
      <x:c r="AU52" s="14"/>
      <x:c r="AV52" s="14"/>
      <x:c r="AW52" s="14"/>
      <x:c r="AX52" s="14"/>
      <x:c r="AY52" s="18" t="str">
        <x:v>正定佛冠</x:v>
      </x:c>
      <x:c r="AZ52" s="18" t="str">
        <x:v>悉檀戰盔</x:v>
      </x:c>
      <x:c r="BA52" s="18" t="str">
        <x:v>最勝戰盔</x:v>
      </x:c>
      <x:c r="BB52" s="18" t="str">
        <x:v>吠陀紗巾</x:v>
      </x:c>
      <x:c r="BC52" s="14"/>
      <x:c r="BD52" s="18" t="str">
        <x:v>蘭若戰甲</x:v>
      </x:c>
      <x:c r="BE52" s="18" t="str">
        <x:v>戒日戰鎧</x:v>
      </x:c>
      <x:c r="BF52" s="18" t="str">
        <x:v>朱綾輕甲</x:v>
      </x:c>
      <x:c r="BG52" s="18" t="str">
        <x:v>紫懿道袍</x:v>
      </x:c>
      <x:c r="BH52" s="14"/>
      <x:c r="BI52" s="18" t="str">
        <x:v>玉清靈腕</x:v>
      </x:c>
      <x:c r="BJ52" s="18" t="str">
        <x:v>轉輪織腕</x:v>
      </x:c>
      <x:c r="BK52" s="18" t="str">
        <x:v>繁星一掌執</x:v>
      </x:c>
      <x:c r="BL52" s="18" t="str">
        <x:v>素盞鳴神鋼腕</x:v>
      </x:c>
      <x:c r="BM52" s="14"/>
      <x:c r="BN52" s="18" t="str">
        <x:v>龍魔爪甲</x:v>
      </x:c>
      <x:c r="BO52" s="18" t="str">
        <x:v>阿鼻邪爪</x:v>
      </x:c>
      <x:c r="BP52" s="18" t="str">
        <x:v>玉清道靴</x:v>
      </x:c>
      <x:c r="BQ52" s="18" t="str">
        <x:v>轉輪禪履</x:v>
      </x:c>
      <x:c r="BR52" s="14"/>
      <x:c r="BS52" s="18" t="str">
        <x:v>真知之徽</x:v>
      </x:c>
      <x:c r="BT52" s="18" t="str">
        <x:v>天語禱戒</x:v>
      </x:c>
      <x:c r="BU52" s="18" t="str">
        <x:v>巴比倫項鍊</x:v>
      </x:c>
      <x:c r="BV52" s="18" t="str">
        <x:v>全能神燈</x:v>
      </x:c>
      <x:c r="BW52" s="14"/>
      <x:c r="BX52" s="14"/>
      <x:c r="BY52" s="14"/>
      <x:c r="BZ52" s="14"/>
      <x:c r="CA52" s="14"/>
      <x:c r="CB52" s="14"/>
      <x:c r="CC52" s="14" t="str">
        <x:v>24620</x:v>
      </x:c>
      <x:c r="CD52" s="14" t="n">
        <x:v>8</x:v>
      </x:c>
      <x:c r="CE52" s="14" t="n">
        <x:v>141</x:v>
      </x:c>
      <x:c r="CF52" s="14" t="n">
        <x:v>141</x:v>
      </x:c>
      <x:c r="CG52" s="14" t="n">
        <x:v>12</x:v>
      </x:c>
      <x:c r="CH52" s="14" t="n">
        <x:v>1</x:v>
      </x:c>
      <x:c r="CI52" s="14" t="str">
        <x:v>未收錄</x:v>
      </x:c>
      <x:c r="CJ52" s="14" t="str">
        <x:v>24621</x:v>
      </x:c>
      <x:c r="CK52" s="14" t="n">
        <x:v>8</x:v>
      </x:c>
      <x:c r="CL52" s="14" t="n">
        <x:v>142</x:v>
      </x:c>
      <x:c r="CM52" s="14" t="n">
        <x:v>142</x:v>
      </x:c>
      <x:c r="CN52" s="14" t="n">
        <x:v>12</x:v>
      </x:c>
      <x:c r="CO52" s="14" t="n">
        <x:v>2</x:v>
      </x:c>
      <x:c r="CP52" s="14" t="str">
        <x:v>未收錄</x:v>
      </x:c>
      <x:c r="CQ52" s="14" t="str">
        <x:v>24622</x:v>
      </x:c>
      <x:c r="CR52" s="14" t="n">
        <x:v>8</x:v>
      </x:c>
      <x:c r="CS52" s="14" t="n">
        <x:v>143</x:v>
      </x:c>
      <x:c r="CT52" s="14" t="n">
        <x:v>143</x:v>
      </x:c>
      <x:c r="CU52" s="14" t="n">
        <x:v>12</x:v>
      </x:c>
      <x:c r="CV52" s="14" t="n">
        <x:v>3</x:v>
      </x:c>
      <x:c r="CW52" s="14" t="str">
        <x:v>未收錄</x:v>
      </x:c>
      <x:c r="CX52" s="14" t="str">
        <x:v>26194</x:v>
      </x:c>
      <x:c r="CY52" s="14" t="n">
        <x:v>8</x:v>
      </x:c>
      <x:c r="CZ52" s="14" t="n">
        <x:v>144</x:v>
      </x:c>
      <x:c r="DA52" s="14" t="n">
        <x:v>144</x:v>
      </x:c>
      <x:c r="DB52" s="14" t="n">
        <x:v>12</x:v>
      </x:c>
      <x:c r="DC52" s="14" t="n">
        <x:v>4</x:v>
      </x:c>
      <x:c r="DD52" s="14" t="str">
        <x:v>未收錄</x:v>
      </x:c>
      <x:c r="DE52" s="14" t="str">
        <x:v>26062</x:v>
      </x:c>
      <x:c r="DF52" s="14" t="n">
        <x:v>8</x:v>
      </x:c>
      <x:c r="DG52" s="14" t="n">
        <x:v>386</x:v>
      </x:c>
      <x:c r="DH52" s="14" t="n">
        <x:v>141</x:v>
      </x:c>
      <x:c r="DI52" s="14" t="n">
        <x:v>12</x:v>
      </x:c>
      <x:c r="DJ52" s="14" t="n">
        <x:v>1</x:v>
      </x:c>
      <x:c r="DK52" s="14" t="str">
        <x:v>未收錄</x:v>
      </x:c>
      <x:c r="DL52" s="14" t="str">
        <x:v>26063</x:v>
      </x:c>
      <x:c r="DM52" s="14" t="n">
        <x:v>8</x:v>
      </x:c>
      <x:c r="DN52" s="14" t="n">
        <x:v>387</x:v>
      </x:c>
      <x:c r="DO52" s="14" t="n">
        <x:v>142</x:v>
      </x:c>
      <x:c r="DP52" s="14" t="n">
        <x:v>12</x:v>
      </x:c>
      <x:c r="DQ52" s="14" t="n">
        <x:v>2</x:v>
      </x:c>
      <x:c r="DR52" s="14" t="str">
        <x:v>未收錄</x:v>
      </x:c>
      <x:c r="DS52" s="14" t="str">
        <x:v>26712</x:v>
      </x:c>
      <x:c r="DT52" s="14" t="n">
        <x:v>3</x:v>
      </x:c>
      <x:c r="DU52" s="14" t="n">
        <x:v>388</x:v>
      </x:c>
      <x:c r="DV52" s="14" t="n">
        <x:v>143</x:v>
      </x:c>
      <x:c r="DW52" s="14" t="n">
        <x:v>12</x:v>
      </x:c>
      <x:c r="DX52" s="14" t="n">
        <x:v>3</x:v>
      </x:c>
      <x:c r="DY52" s="14" t="str">
        <x:v>未收錄</x:v>
      </x:c>
      <x:c r="DZ52" s="14" t="str">
        <x:v>26064</x:v>
      </x:c>
      <x:c r="EA52" s="14" t="n">
        <x:v>8</x:v>
      </x:c>
      <x:c r="EB52" s="14" t="n">
        <x:v>389</x:v>
      </x:c>
      <x:c r="EC52" s="14" t="n">
        <x:v>144</x:v>
      </x:c>
      <x:c r="ED52" s="14" t="n">
        <x:v>12</x:v>
      </x:c>
      <x:c r="EE52" s="14" t="n">
        <x:v>4</x:v>
      </x:c>
      <x:c r="EF52" s="14" t="str">
        <x:v>未收錄</x:v>
      </x:c>
      <x:c r="EG52" s="14" t="str">
        <x:v>31564</x:v>
      </x:c>
      <x:c r="EH52" s="14" t="n">
        <x:v>20</x:v>
      </x:c>
      <x:c r="EI52" s="14" t="n">
        <x:v>622</x:v>
      </x:c>
      <x:c r="EJ52" s="14" t="n">
        <x:v>141</x:v>
      </x:c>
      <x:c r="EK52" s="14" t="n">
        <x:v>12</x:v>
      </x:c>
      <x:c r="EL52" s="14" t="n">
        <x:v>1</x:v>
      </x:c>
      <x:c r="EM52" s="14" t="str">
        <x:v>未收錄</x:v>
      </x:c>
      <x:c r="EN52" s="14" t="str">
        <x:v>31837</x:v>
      </x:c>
      <x:c r="EO52" s="14" t="n">
        <x:v>20</x:v>
      </x:c>
      <x:c r="EP52" s="14" t="n">
        <x:v>623</x:v>
      </x:c>
      <x:c r="EQ52" s="14" t="n">
        <x:v>142</x:v>
      </x:c>
      <x:c r="ER52" s="14" t="n">
        <x:v>12</x:v>
      </x:c>
      <x:c r="ES52" s="14" t="n">
        <x:v>2</x:v>
      </x:c>
      <x:c r="ET52" s="14" t="str">
        <x:v>未收錄</x:v>
      </x:c>
      <x:c r="EU52" s="14" t="str">
        <x:v>31847</x:v>
      </x:c>
      <x:c r="EV52" s="14" t="n">
        <x:v>20</x:v>
      </x:c>
      <x:c r="EW52" s="14" t="n">
        <x:v>624</x:v>
      </x:c>
      <x:c r="EX52" s="14" t="n">
        <x:v>143</x:v>
      </x:c>
      <x:c r="EY52" s="14" t="n">
        <x:v>12</x:v>
      </x:c>
      <x:c r="EZ52" s="14" t="n">
        <x:v>3</x:v>
      </x:c>
      <x:c r="FA52" s="14" t="str">
        <x:v>未收錄</x:v>
      </x:c>
      <x:c r="FB52" s="14" t="str">
        <x:v>31869</x:v>
      </x:c>
      <x:c r="FC52" s="14" t="n">
        <x:v>10</x:v>
      </x:c>
      <x:c r="FD52" s="14" t="n">
        <x:v>625</x:v>
      </x:c>
      <x:c r="FE52" s="14" t="n">
        <x:v>144</x:v>
      </x:c>
      <x:c r="FF52" s="14" t="n">
        <x:v>12</x:v>
      </x:c>
      <x:c r="FG52" s="14" t="n">
        <x:v>4</x:v>
      </x:c>
      <x:c r="FH52" s="14" t="str">
        <x:v>未收錄</x:v>
      </x:c>
      <x:c r="FI52" s="14" t="str">
        <x:v>27356</x:v>
      </x:c>
      <x:c r="FJ52" s="14" t="n">
        <x:v>20</x:v>
      </x:c>
      <x:c r="FK52" s="14" t="n">
        <x:v>772</x:v>
      </x:c>
      <x:c r="FL52" s="14" t="n">
        <x:v>141</x:v>
      </x:c>
      <x:c r="FM52" s="14" t="n">
        <x:v>12</x:v>
      </x:c>
      <x:c r="FN52" s="14" t="n">
        <x:v>1</x:v>
      </x:c>
      <x:c r="FO52" s="14" t="str">
        <x:v>未收錄</x:v>
      </x:c>
      <x:c r="FP52" s="14" t="str">
        <x:v>27570</x:v>
      </x:c>
      <x:c r="FQ52" s="14" t="n">
        <x:v>20</x:v>
      </x:c>
      <x:c r="FR52" s="14" t="n">
        <x:v>773</x:v>
      </x:c>
      <x:c r="FS52" s="14" t="n">
        <x:v>142</x:v>
      </x:c>
      <x:c r="FT52" s="14" t="n">
        <x:v>12</x:v>
      </x:c>
      <x:c r="FU52" s="14" t="n">
        <x:v>2</x:v>
      </x:c>
      <x:c r="FV52" s="14" t="str">
        <x:v>未收錄</x:v>
      </x:c>
      <x:c r="FW52" s="14" t="str">
        <x:v>27997</x:v>
      </x:c>
      <x:c r="FX52" s="14" t="n">
        <x:v>20</x:v>
      </x:c>
      <x:c r="FY52" s="14" t="n">
        <x:v>774</x:v>
      </x:c>
      <x:c r="FZ52" s="14" t="n">
        <x:v>143</x:v>
      </x:c>
      <x:c r="GA52" s="14" t="n">
        <x:v>12</x:v>
      </x:c>
      <x:c r="GB52" s="14" t="n">
        <x:v>3</x:v>
      </x:c>
      <x:c r="GC52" s="14" t="str">
        <x:v>未收錄</x:v>
      </x:c>
      <x:c r="GD52" s="14" t="str">
        <x:v>28155</x:v>
      </x:c>
      <x:c r="GE52" s="14" t="n">
        <x:v>20</x:v>
      </x:c>
      <x:c r="GF52" s="14" t="n">
        <x:v>775</x:v>
      </x:c>
      <x:c r="GG52" s="14" t="n">
        <x:v>144</x:v>
      </x:c>
      <x:c r="GH52" s="14" t="n">
        <x:v>12</x:v>
      </x:c>
      <x:c r="GI52" s="14" t="n">
        <x:v>4</x:v>
      </x:c>
      <x:c r="GJ52" s="14" t="str">
        <x:v>未收錄</x:v>
      </x:c>
      <x:c r="GK52" s="14" t="str">
        <x:v>26962</x:v>
      </x:c>
      <x:c r="GL52" s="14" t="n">
        <x:v>20</x:v>
      </x:c>
      <x:c r="GM52" s="14" t="n">
        <x:v>944</x:v>
      </x:c>
      <x:c r="GN52" s="14" t="n">
        <x:v>141</x:v>
      </x:c>
      <x:c r="GO52" s="14" t="n">
        <x:v>12</x:v>
      </x:c>
      <x:c r="GP52" s="14" t="n">
        <x:v>1</x:v>
      </x:c>
      <x:c r="GQ52" s="14" t="str">
        <x:v>未收錄</x:v>
      </x:c>
      <x:c r="GR52" s="14" t="str">
        <x:v>27357</x:v>
      </x:c>
      <x:c r="GS52" s="14" t="n">
        <x:v>20</x:v>
      </x:c>
      <x:c r="GT52" s="14" t="n">
        <x:v>945</x:v>
      </x:c>
      <x:c r="GU52" s="14" t="n">
        <x:v>142</x:v>
      </x:c>
      <x:c r="GV52" s="14" t="n">
        <x:v>12</x:v>
      </x:c>
      <x:c r="GW52" s="14" t="n">
        <x:v>2</x:v>
      </x:c>
      <x:c r="GX52" s="14" t="str">
        <x:v>未收錄</x:v>
      </x:c>
      <x:c r="GY52" s="14" t="str">
        <x:v>27571</x:v>
      </x:c>
      <x:c r="GZ52" s="14" t="n">
        <x:v>20</x:v>
      </x:c>
      <x:c r="HA52" s="14" t="n">
        <x:v>946</x:v>
      </x:c>
      <x:c r="HB52" s="14" t="n">
        <x:v>143</x:v>
      </x:c>
      <x:c r="HC52" s="14" t="n">
        <x:v>12</x:v>
      </x:c>
      <x:c r="HD52" s="14" t="n">
        <x:v>3</x:v>
      </x:c>
      <x:c r="HE52" s="14" t="str">
        <x:v>未收錄</x:v>
      </x:c>
      <x:c r="HF52" s="14" t="str">
        <x:v>27998</x:v>
      </x:c>
      <x:c r="HG52" s="14" t="n">
        <x:v>20</x:v>
      </x:c>
      <x:c r="HH52" s="14" t="n">
        <x:v>947</x:v>
      </x:c>
      <x:c r="HI52" s="14" t="n">
        <x:v>144</x:v>
      </x:c>
      <x:c r="HJ52" s="14" t="n">
        <x:v>12</x:v>
      </x:c>
      <x:c r="HK52" s="14" t="n">
        <x:v>4</x:v>
      </x:c>
      <x:c r="HL52" s="14" t="str">
        <x:v>未收錄</x:v>
      </x:c>
      <x:c r="HM52" s="14" t="str">
        <x:v>26799</x:v>
      </x:c>
      <x:c r="HN52" s="14" t="n">
        <x:v>10</x:v>
      </x:c>
      <x:c r="HO52" s="14" t="n">
        <x:v>1117</x:v>
      </x:c>
      <x:c r="HP52" s="14" t="n">
        <x:v>141</x:v>
      </x:c>
      <x:c r="HQ52" s="14" t="n">
        <x:v>12</x:v>
      </x:c>
      <x:c r="HR52" s="14" t="n">
        <x:v>1</x:v>
      </x:c>
      <x:c r="HS52" s="14" t="str">
        <x:v>未收錄</x:v>
      </x:c>
      <x:c r="HT52" s="14" t="str">
        <x:v>27368</x:v>
      </x:c>
      <x:c r="HU52" s="14" t="n">
        <x:v>10</x:v>
      </x:c>
      <x:c r="HV52" s="14" t="n">
        <x:v>1118</x:v>
      </x:c>
      <x:c r="HW52" s="14" t="n">
        <x:v>142</x:v>
      </x:c>
      <x:c r="HX52" s="14" t="n">
        <x:v>12</x:v>
      </x:c>
      <x:c r="HY52" s="14" t="n">
        <x:v>2</x:v>
      </x:c>
      <x:c r="HZ52" s="14" t="str">
        <x:v>未收錄</x:v>
      </x:c>
      <x:c r="IA52" s="14" t="str">
        <x:v>27584</x:v>
      </x:c>
      <x:c r="IB52" s="14" t="n">
        <x:v>10</x:v>
      </x:c>
      <x:c r="IC52" s="14" t="n">
        <x:v>1119</x:v>
      </x:c>
      <x:c r="ID52" s="14" t="n">
        <x:v>143</x:v>
      </x:c>
      <x:c r="IE52" s="14" t="n">
        <x:v>12</x:v>
      </x:c>
      <x:c r="IF52" s="14" t="n">
        <x:v>3</x:v>
      </x:c>
      <x:c r="IG52" s="14" t="str">
        <x:v>未收錄</x:v>
      </x:c>
      <x:c r="IH52" s="14" t="str">
        <x:v>28189</x:v>
      </x:c>
      <x:c r="II52" s="14" t="n">
        <x:v>10</x:v>
      </x:c>
      <x:c r="IJ52" s="14" t="n">
        <x:v>1120</x:v>
      </x:c>
      <x:c r="IK52" s="14" t="n">
        <x:v>144</x:v>
      </x:c>
      <x:c r="IL52" s="14" t="n">
        <x:v>12</x:v>
      </x:c>
      <x:c r="IM52" s="14" t="n">
        <x:v>4</x:v>
      </x:c>
      <x:c r="IN52" s="14" t="str">
        <x:v>未收錄</x:v>
      </x:c>
      <x:c r="IO52" s="14" t="str">
        <x:v>28190</x:v>
      </x:c>
      <x:c r="IP52" s="14" t="n">
        <x:v>10</x:v>
      </x:c>
      <x:c r="IQ52" s="14" t="n">
        <x:v>1285</x:v>
      </x:c>
      <x:c r="IR52" s="14" t="n">
        <x:v>141</x:v>
      </x:c>
      <x:c r="IS52" s="14" t="n">
        <x:v>12</x:v>
      </x:c>
      <x:c r="IT52" s="14" t="n">
        <x:v>1</x:v>
      </x:c>
      <x:c r="IU52" s="14" t="str">
        <x:v>未收錄</x:v>
      </x:c>
      <x:c r="IV52" s="14" t="str">
        <x:v>28528</x:v>
      </x:c>
      <x:c r="IW52" s="14" t="n">
        <x:v>10</x:v>
      </x:c>
      <x:c r="IX52" s="14" t="n">
        <x:v>1286</x:v>
      </x:c>
      <x:c r="IY52" s="14" t="n">
        <x:v>142</x:v>
      </x:c>
      <x:c r="IZ52" s="14" t="n">
        <x:v>12</x:v>
      </x:c>
      <x:c r="JA52" s="14" t="n">
        <x:v>2</x:v>
      </x:c>
      <x:c r="JB52" s="14" t="str">
        <x:v>未收錄</x:v>
      </x:c>
      <x:c r="JC52" s="14" t="str">
        <x:v>28999</x:v>
      </x:c>
      <x:c r="JD52" s="14" t="n">
        <x:v>10</x:v>
      </x:c>
      <x:c r="JE52" s="14" t="n">
        <x:v>1287</x:v>
      </x:c>
      <x:c r="JF52" s="14" t="n">
        <x:v>143</x:v>
      </x:c>
      <x:c r="JG52" s="14" t="n">
        <x:v>12</x:v>
      </x:c>
      <x:c r="JH52" s="14" t="n">
        <x:v>3</x:v>
      </x:c>
      <x:c r="JI52" s="14" t="str">
        <x:v>未收錄</x:v>
      </x:c>
      <x:c r="JJ52" s="14" t="str">
        <x:v>29688</x:v>
      </x:c>
      <x:c r="JK52" s="14" t="n">
        <x:v>10</x:v>
      </x:c>
      <x:c r="JL52" s="14" t="n">
        <x:v>1288</x:v>
      </x:c>
      <x:c r="JM52" s="14" t="n">
        <x:v>144</x:v>
      </x:c>
      <x:c r="JN52" s="14" t="n">
        <x:v>12</x:v>
      </x:c>
      <x:c r="JO52" s="14" t="n">
        <x:v>4</x:v>
      </x:c>
      <x:c r="JP52" s="14" t="str">
        <x:v>未收錄</x:v>
      </x:c>
      <x:c r="JQ52" s="14"/>
      <x:c r="JR52" s="14"/>
      <x:c r="JS52" s="14"/>
      <x:c r="JT52" s="14"/>
      <x:c r="JU52" s="14"/>
      <x:c r="JV52" s="14"/>
      <x:c r="JW52" s="14"/>
      <x:c r="JX52" s="14"/>
      <x:c r="JY52" s="14"/>
      <x:c r="JZ52" s="14"/>
      <x:c r="KA52" s="14"/>
      <x:c r="KB52" s="14"/>
      <x:c r="KC52" s="14"/>
      <x:c r="KD52" s="14"/>
      <x:c r="KE52" s="14"/>
      <x:c r="KF52" s="14"/>
      <x:c r="KG52" s="14"/>
      <x:c r="KH52" s="14"/>
      <x:c r="KI52" s="14"/>
      <x:c r="KJ52" s="14"/>
      <x:c r="KK52" s="14"/>
      <x:c r="KL52" s="14"/>
      <x:c r="KM52" s="14"/>
      <x:c r="KN52" s="14"/>
      <x:c r="KO52" s="14"/>
      <x:c r="KP52" s="14"/>
      <x:c r="KQ52" s="14"/>
      <x:c r="KR52" s="14"/>
      <x:c r="KS52" s="14"/>
      <x:c r="KT52" s="14"/>
      <x:c r="KU52" s="14"/>
      <x:c r="KV52" s="14"/>
      <x:c r="KW52" s="14"/>
      <x:c r="KX52" s="14"/>
      <x:c r="KY52" s="14"/>
      <x:c r="KZ52" s="14"/>
      <x:c r="LA52" s="14"/>
      <x:c r="LB52" s="14"/>
      <x:c r="LC52" s="14"/>
      <x:c r="LD52" s="14"/>
      <x:c r="LE52" s="14"/>
      <x:c r="LF52" s="14"/>
      <x:c r="LG52" s="14"/>
      <x:c r="LH52" s="14"/>
      <x:c r="LI52" s="14"/>
      <x:c r="LJ52" s="14"/>
      <x:c r="LK52" s="14"/>
      <x:c r="LL52" s="14"/>
      <x:c r="LM52" s="14"/>
      <x:c r="LN52" s="14"/>
      <x:c r="LO52" s="14"/>
      <x:c r="LP52" s="14"/>
      <x:c r="LQ52" s="14"/>
      <x:c r="LR52" s="14"/>
      <x:c r="LS52" s="14"/>
      <x:c r="LT52" s="14"/>
      <x:c r="LU52" s="14"/>
      <x:c r="LV52" s="14"/>
      <x:c r="LW52" s="14"/>
      <x:c r="LX52" s="14"/>
      <x:c r="LY52" s="14"/>
      <x:c r="LZ52" s="14"/>
      <x:c r="MA52" s="14"/>
      <x:c r="MB52" s="14"/>
      <x:c r="MC52" s="14"/>
      <x:c r="MD52" s="14"/>
      <x:c r="ME52" s="14"/>
      <x:c r="MF52" s="14"/>
      <x:c r="MG52" s="14"/>
      <x:c r="MH52" s="14"/>
      <x:c r="MI52" s="14"/>
      <x:c r="MJ52" s="14"/>
      <x:c r="MK52" s="14"/>
      <x:c r="ML52" s="14"/>
      <x:c r="MM52" s="14"/>
      <x:c r="MN52" s="14"/>
      <x:c r="MO52" s="14"/>
      <x:c r="MP52" s="14"/>
      <x:c r="MQ52" s="14"/>
      <x:c r="MR52" s="14"/>
      <x:c r="MS52" s="14"/>
      <x:c r="MT52" s="14"/>
      <x:c r="MU52" s="14"/>
      <x:c r="MV52" s="14"/>
      <x:c r="MW52" s="14" t="str">
        <x:v>23176</x:v>
      </x:c>
      <x:c r="MX52" s="14" t="n">
        <x:v>5</x:v>
      </x:c>
      <x:c r="MY52" s="14" t="n">
        <x:v>1789</x:v>
      </x:c>
      <x:c r="MZ52" s="14" t="n">
        <x:v>141</x:v>
      </x:c>
      <x:c r="NA52" s="14" t="n">
        <x:v>12</x:v>
      </x:c>
      <x:c r="NB52" s="14" t="n">
        <x:v>1</x:v>
      </x:c>
      <x:c r="NC52" s="14" t="str">
        <x:v>未收錄</x:v>
      </x:c>
      <x:c r="ND52" s="14" t="str">
        <x:v>23177</x:v>
      </x:c>
      <x:c r="NE52" s="14" t="n">
        <x:v>5</x:v>
      </x:c>
      <x:c r="NF52" s="14" t="n">
        <x:v>1790</x:v>
      </x:c>
      <x:c r="NG52" s="14" t="n">
        <x:v>142</x:v>
      </x:c>
      <x:c r="NH52" s="14" t="n">
        <x:v>12</x:v>
      </x:c>
      <x:c r="NI52" s="14" t="n">
        <x:v>2</x:v>
      </x:c>
      <x:c r="NJ52" s="14" t="str">
        <x:v>未收錄</x:v>
      </x:c>
      <x:c r="NK52" s="14" t="str">
        <x:v>23178</x:v>
      </x:c>
      <x:c r="NL52" s="14" t="n">
        <x:v>5</x:v>
      </x:c>
      <x:c r="NM52" s="14" t="n">
        <x:v>1791</x:v>
      </x:c>
      <x:c r="NN52" s="14" t="n">
        <x:v>143</x:v>
      </x:c>
      <x:c r="NO52" s="14" t="n">
        <x:v>12</x:v>
      </x:c>
      <x:c r="NP52" s="14" t="n">
        <x:v>3</x:v>
      </x:c>
      <x:c r="NQ52" s="14" t="str">
        <x:v>未收錄</x:v>
      </x:c>
      <x:c r="NR52" s="14" t="str">
        <x:v>23179</x:v>
      </x:c>
      <x:c r="NS52" s="14" t="n">
        <x:v>5</x:v>
      </x:c>
      <x:c r="NT52" s="14" t="n">
        <x:v>1792</x:v>
      </x:c>
      <x:c r="NU52" s="14" t="n">
        <x:v>144</x:v>
      </x:c>
      <x:c r="NV52" s="14" t="n">
        <x:v>12</x:v>
      </x:c>
      <x:c r="NW52" s="14" t="n">
        <x:v>4</x:v>
      </x:c>
      <x:c r="NX52" s="14" t="str">
        <x:v>未收錄</x:v>
      </x:c>
      <x:c r="NY52" s="14" t="str">
        <x:v>23182</x:v>
      </x:c>
      <x:c r="NZ52" s="14" t="n">
        <x:v>5</x:v>
      </x:c>
      <x:c r="OA52" s="14" t="n">
        <x:v>2242</x:v>
      </x:c>
      <x:c r="OB52" s="14" t="n">
        <x:v>141</x:v>
      </x:c>
      <x:c r="OC52" s="14" t="n">
        <x:v>12</x:v>
      </x:c>
      <x:c r="OD52" s="14" t="n">
        <x:v>1</x:v>
      </x:c>
      <x:c r="OE52" s="14" t="str">
        <x:v>未收錄</x:v>
      </x:c>
      <x:c r="OF52" s="14" t="str">
        <x:v>23183</x:v>
      </x:c>
      <x:c r="OG52" s="14" t="n">
        <x:v>5</x:v>
      </x:c>
      <x:c r="OH52" s="14" t="n">
        <x:v>2243</x:v>
      </x:c>
      <x:c r="OI52" s="14" t="n">
        <x:v>142</x:v>
      </x:c>
      <x:c r="OJ52" s="14" t="n">
        <x:v>12</x:v>
      </x:c>
      <x:c r="OK52" s="14" t="n">
        <x:v>2</x:v>
      </x:c>
      <x:c r="OL52" s="14" t="str">
        <x:v>未收錄</x:v>
      </x:c>
      <x:c r="OM52" s="14" t="str">
        <x:v>23184</x:v>
      </x:c>
      <x:c r="ON52" s="14" t="n">
        <x:v>5</x:v>
      </x:c>
      <x:c r="OO52" s="14" t="n">
        <x:v>2244</x:v>
      </x:c>
      <x:c r="OP52" s="14" t="n">
        <x:v>143</x:v>
      </x:c>
      <x:c r="OQ52" s="14" t="n">
        <x:v>12</x:v>
      </x:c>
      <x:c r="OR52" s="14" t="n">
        <x:v>3</x:v>
      </x:c>
      <x:c r="OS52" s="14" t="str">
        <x:v>未收錄</x:v>
      </x:c>
      <x:c r="OT52" s="14" t="str">
        <x:v>23185</x:v>
      </x:c>
      <x:c r="OU52" s="14" t="n">
        <x:v>5</x:v>
      </x:c>
      <x:c r="OV52" s="14" t="n">
        <x:v>2245</x:v>
      </x:c>
      <x:c r="OW52" s="14" t="n">
        <x:v>144</x:v>
      </x:c>
      <x:c r="OX52" s="14" t="n">
        <x:v>12</x:v>
      </x:c>
      <x:c r="OY52" s="14" t="n">
        <x:v>4</x:v>
      </x:c>
      <x:c r="OZ52" s="14" t="str">
        <x:v>未收錄</x:v>
      </x:c>
      <x:c r="PA52" s="14" t="str">
        <x:v>23566</x:v>
      </x:c>
      <x:c r="PB52" s="14" t="n">
        <x:v>5</x:v>
      </x:c>
      <x:c r="PC52" s="14" t="n">
        <x:v>2788</x:v>
      </x:c>
      <x:c r="PD52" s="14" t="n">
        <x:v>141</x:v>
      </x:c>
      <x:c r="PE52" s="14" t="n">
        <x:v>12</x:v>
      </x:c>
      <x:c r="PF52" s="14" t="n">
        <x:v>1</x:v>
      </x:c>
      <x:c r="PG52" s="14" t="str">
        <x:v>未收錄</x:v>
      </x:c>
      <x:c r="PH52" s="14" t="str">
        <x:v>23567</x:v>
      </x:c>
      <x:c r="PI52" s="14" t="n">
        <x:v>5</x:v>
      </x:c>
      <x:c r="PJ52" s="14" t="n">
        <x:v>2789</x:v>
      </x:c>
      <x:c r="PK52" s="14" t="n">
        <x:v>142</x:v>
      </x:c>
      <x:c r="PL52" s="14" t="n">
        <x:v>12</x:v>
      </x:c>
      <x:c r="PM52" s="14" t="n">
        <x:v>2</x:v>
      </x:c>
      <x:c r="PN52" s="14" t="str">
        <x:v>未收錄</x:v>
      </x:c>
      <x:c r="PO52" s="14" t="str">
        <x:v>23784</x:v>
      </x:c>
      <x:c r="PP52" s="14" t="n">
        <x:v>10</x:v>
      </x:c>
      <x:c r="PQ52" s="14" t="n">
        <x:v>2790</x:v>
      </x:c>
      <x:c r="PR52" s="14" t="n">
        <x:v>143</x:v>
      </x:c>
      <x:c r="PS52" s="14" t="n">
        <x:v>12</x:v>
      </x:c>
      <x:c r="PT52" s="14" t="n">
        <x:v>3</x:v>
      </x:c>
      <x:c r="PU52" s="14" t="str">
        <x:v>未收錄</x:v>
      </x:c>
      <x:c r="PV52" s="14" t="str">
        <x:v>23761</x:v>
      </x:c>
      <x:c r="PW52" s="14" t="n">
        <x:v>10</x:v>
      </x:c>
      <x:c r="PX52" s="14" t="n">
        <x:v>2791</x:v>
      </x:c>
      <x:c r="PY52" s="14" t="n">
        <x:v>144</x:v>
      </x:c>
      <x:c r="PZ52" s="14" t="n">
        <x:v>12</x:v>
      </x:c>
      <x:c r="QA52" s="14" t="n">
        <x:v>4</x:v>
      </x:c>
      <x:c r="QB52" s="14" t="str">
        <x:v>未收錄</x:v>
      </x:c>
      <x:c r="QC52" s="14" t="str">
        <x:v>23574</x:v>
      </x:c>
      <x:c r="QD52" s="14" t="n">
        <x:v>5</x:v>
      </x:c>
      <x:c r="QE52" s="14" t="n">
        <x:v>3225</x:v>
      </x:c>
      <x:c r="QF52" s="14" t="n">
        <x:v>141</x:v>
      </x:c>
      <x:c r="QG52" s="14" t="n">
        <x:v>12</x:v>
      </x:c>
      <x:c r="QH52" s="14" t="n">
        <x:v>1</x:v>
      </x:c>
      <x:c r="QI52" s="14" t="str">
        <x:v>未收錄</x:v>
      </x:c>
      <x:c r="QJ52" s="14" t="str">
        <x:v>23575</x:v>
      </x:c>
      <x:c r="QK52" s="14" t="n">
        <x:v>5</x:v>
      </x:c>
      <x:c r="QL52" s="14" t="n">
        <x:v>3226</x:v>
      </x:c>
      <x:c r="QM52" s="14" t="n">
        <x:v>142</x:v>
      </x:c>
      <x:c r="QN52" s="14" t="n">
        <x:v>12</x:v>
      </x:c>
      <x:c r="QO52" s="14" t="n">
        <x:v>2</x:v>
      </x:c>
      <x:c r="QP52" s="14" t="str">
        <x:v>未收錄</x:v>
      </x:c>
      <x:c r="QQ52" s="14" t="str">
        <x:v>23576</x:v>
      </x:c>
      <x:c r="QR52" s="14" t="n">
        <x:v>5</x:v>
      </x:c>
      <x:c r="QS52" s="14" t="n">
        <x:v>3227</x:v>
      </x:c>
      <x:c r="QT52" s="14" t="n">
        <x:v>143</x:v>
      </x:c>
      <x:c r="QU52" s="14" t="n">
        <x:v>12</x:v>
      </x:c>
      <x:c r="QV52" s="14" t="n">
        <x:v>3</x:v>
      </x:c>
      <x:c r="QW52" s="14" t="str">
        <x:v>未收錄</x:v>
      </x:c>
      <x:c r="QX52" s="14" t="str">
        <x:v>23577</x:v>
      </x:c>
      <x:c r="QY52" s="14" t="n">
        <x:v>5</x:v>
      </x:c>
      <x:c r="QZ52" s="14" t="n">
        <x:v>3228</x:v>
      </x:c>
      <x:c r="RA52" s="14" t="n">
        <x:v>144</x:v>
      </x:c>
      <x:c r="RB52" s="14" t="n">
        <x:v>12</x:v>
      </x:c>
      <x:c r="RC52" s="14" t="n">
        <x:v>4</x:v>
      </x:c>
      <x:c r="RD52" s="14" t="str">
        <x:v>未收錄</x:v>
      </x:c>
      <x:c r="RE52" s="14" t="str">
        <x:v>24614</x:v>
      </x:c>
      <x:c r="RF52" s="14" t="n">
        <x:v>5</x:v>
      </x:c>
      <x:c r="RG52" s="14" t="n">
        <x:v>3686</x:v>
      </x:c>
      <x:c r="RH52" s="14" t="n">
        <x:v>141</x:v>
      </x:c>
      <x:c r="RI52" s="14" t="n">
        <x:v>12</x:v>
      </x:c>
      <x:c r="RJ52" s="14" t="n">
        <x:v>1</x:v>
      </x:c>
      <x:c r="RK52" s="14" t="str">
        <x:v>未收錄</x:v>
      </x:c>
      <x:c r="RL52" s="14" t="str">
        <x:v>24615</x:v>
      </x:c>
      <x:c r="RM52" s="14" t="n">
        <x:v>5</x:v>
      </x:c>
      <x:c r="RN52" s="14" t="n">
        <x:v>3687</x:v>
      </x:c>
      <x:c r="RO52" s="14" t="n">
        <x:v>142</x:v>
      </x:c>
      <x:c r="RP52" s="14" t="n">
        <x:v>12</x:v>
      </x:c>
      <x:c r="RQ52" s="14" t="n">
        <x:v>2</x:v>
      </x:c>
      <x:c r="RR52" s="14" t="str">
        <x:v>未收錄</x:v>
      </x:c>
      <x:c r="RS52" s="14" t="str">
        <x:v>24616</x:v>
      </x:c>
      <x:c r="RT52" s="14" t="n">
        <x:v>5</x:v>
      </x:c>
      <x:c r="RU52" s="14" t="n">
        <x:v>3688</x:v>
      </x:c>
      <x:c r="RV52" s="14" t="n">
        <x:v>143</x:v>
      </x:c>
      <x:c r="RW52" s="14" t="n">
        <x:v>12</x:v>
      </x:c>
      <x:c r="RX52" s="14" t="n">
        <x:v>3</x:v>
      </x:c>
      <x:c r="RY52" s="14" t="str">
        <x:v>未收錄</x:v>
      </x:c>
      <x:c r="RZ52" s="14" t="str">
        <x:v>24617</x:v>
      </x:c>
      <x:c r="SA52" s="14" t="n">
        <x:v>5</x:v>
      </x:c>
      <x:c r="SB52" s="14" t="n">
        <x:v>3689</x:v>
      </x:c>
      <x:c r="SC52" s="14" t="n">
        <x:v>144</x:v>
      </x:c>
      <x:c r="SD52" s="14" t="n">
        <x:v>12</x:v>
      </x:c>
      <x:c r="SE52" s="14" t="n">
        <x:v>4</x:v>
      </x:c>
      <x:c r="SF52" s="14" t="str">
        <x:v>未收錄</x:v>
      </x:c>
      <x:c r="SG52" s="14"/>
      <x:c r="SH52" s="14"/>
      <x:c r="SI52" s="14"/>
      <x:c r="SJ52" s="14"/>
      <x:c r="SK52" s="14"/>
      <x:c r="SL52" s="14"/>
      <x:c r="SM52" s="14"/>
      <x:c r="SN52" s="14"/>
      <x:c r="SO52" s="14"/>
      <x:c r="SP52" s="14"/>
      <x:c r="SQ52" s="14"/>
      <x:c r="SR52" s="14"/>
      <x:c r="SS52" s="14"/>
      <x:c r="ST52" s="14"/>
      <x:c r="SU52" s="14"/>
      <x:c r="SV52" s="14"/>
      <x:c r="SW52" s="14"/>
      <x:c r="SX52" s="14"/>
      <x:c r="SY52" s="14"/>
      <x:c r="SZ52" s="14"/>
      <x:c r="TA52" s="14"/>
      <x:c r="TB52" s="14"/>
      <x:c r="TC52" s="14"/>
      <x:c r="TD52" s="14"/>
      <x:c r="TE52" s="14"/>
      <x:c r="TF52" s="14"/>
      <x:c r="TG52" s="14"/>
      <x:c r="TH52" s="14"/>
    </x:row>
    <x:row r="53" ht="15" customHeight="1">
      <x:c r="A53" s="17" t="str">
        <x:v>耀辰天星劍</x:v>
      </x:c>
      <x:c r="B53" s="17" t="str">
        <x:v>黃道星宮劍</x:v>
      </x:c>
      <x:c r="C53" s="17" t="str">
        <x:v>巨帝劍</x:v>
      </x:c>
      <x:c r="D53" s="17" t="str">
        <x:v>太古巨帝劍</x:v>
      </x:c>
      <x:c r="E53" s="14"/>
      <x:c r="F53" s="17" t="str">
        <x:v>龍魂冠軍刀</x:v>
      </x:c>
      <x:c r="G53" s="17" t="str">
        <x:v>斬惡聖衛巨刃</x:v>
      </x:c>
      <x:c r="H53" s="17" t="str">
        <x:v>誅魔聖衛巨刃</x:v>
      </x:c>
      <x:c r="I53" s="17" t="str">
        <x:v>獸魂聖衛巨刃</x:v>
      </x:c>
      <x:c r="J53" s="14"/>
      <x:c r="K53" s="17" t="str">
        <x:v>獵仙飛索Ⅰ</x:v>
      </x:c>
      <x:c r="L53" s="17" t="str">
        <x:v>獵仙飛索Ⅱ</x:v>
      </x:c>
      <x:c r="M53" s="17" t="str">
        <x:v>獵仙飛索Ⅲ</x:v>
      </x:c>
      <x:c r="N53" s="17" t="str">
        <x:v>獵仙飛索Ⅳ</x:v>
      </x:c>
      <x:c r="O53" s="14"/>
      <x:c r="P53" s="17" t="str">
        <x:v>尊號‧加拉爾</x:v>
      </x:c>
      <x:c r="Q53" s="17" t="str">
        <x:v>尊號‧加拉爾</x:v>
      </x:c>
      <x:c r="R53" s="17" t="str">
        <x:v>冥鎌歐‧西斯</x:v>
      </x:c>
      <x:c r="S53" s="17" t="str">
        <x:v>冥鎌歐‧西斯</x:v>
      </x:c>
      <x:c r="T53" s="14"/>
      <x:c r="U53" s="17" t="str">
        <x:v>人殊杖‧最上</x:v>
      </x:c>
      <x:c r="V53" s="17" t="str">
        <x:v>銀杖‧米斯汀</x:v>
      </x:c>
      <x:c r="W53" s="17" t="str">
        <x:v>銀杖‧米斯汀</x:v>
      </x:c>
      <x:c r="X53" s="17" t="str">
        <x:v>輝杖瑪‧亞特</x:v>
      </x:c>
      <x:c r="Y53" s="14"/>
      <x:c r="Z53" s="17" t="str">
        <x:v>創六滅化神槍</x:v>
      </x:c>
      <x:c r="AA53" s="17" t="str">
        <x:v>星六滅化神槍</x:v>
      </x:c>
      <x:c r="AB53" s="17" t="str">
        <x:v>皇六滅化神槍</x:v>
      </x:c>
      <x:c r="AC53" s="17" t="str">
        <x:v>終極六滅神槍</x:v>
      </x:c>
      <x:c r="AD53" s="14"/>
      <x:c r="AE53" s="17" t="str">
        <x:v>終極六滅神棍</x:v>
      </x:c>
      <x:c r="AF53" s="17" t="str">
        <x:v>新星之紡霧棍</x:v>
      </x:c>
      <x:c r="AG53" s="17" t="str">
        <x:v>泰源衛棍</x:v>
      </x:c>
      <x:c r="AH53" s="17" t="str">
        <x:v>龍池荻棍</x:v>
      </x:c>
      <x:c r="AI53" s="14"/>
      <x:c r="AJ53" s="14"/>
      <x:c r="AK53" s="14"/>
      <x:c r="AL53" s="14"/>
      <x:c r="AM53" s="14"/>
      <x:c r="AN53" s="14"/>
      <x:c r="AO53" s="14"/>
      <x:c r="AP53" s="14"/>
      <x:c r="AQ53" s="14"/>
      <x:c r="AR53" s="14"/>
      <x:c r="AS53" s="14"/>
      <x:c r="AT53" s="14"/>
      <x:c r="AU53" s="14"/>
      <x:c r="AV53" s="14"/>
      <x:c r="AW53" s="14"/>
      <x:c r="AX53" s="14"/>
      <x:c r="AY53" s="17" t="str">
        <x:v>煌天道冠</x:v>
      </x:c>
      <x:c r="AZ53" s="17" t="str">
        <x:v>華嚴金冠</x:v>
      </x:c>
      <x:c r="BA53" s="17" t="str">
        <x:v>真．鴻翼戰盔</x:v>
      </x:c>
      <x:c r="BB53" s="17" t="str">
        <x:v>驕陽武冠</x:v>
      </x:c>
      <x:c r="BC53" s="14"/>
      <x:c r="BD53" s="17" t="str">
        <x:v>正定禪袍</x:v>
      </x:c>
      <x:c r="BE53" s="17" t="str">
        <x:v>悉檀戰甲</x:v>
      </x:c>
      <x:c r="BF53" s="17" t="str">
        <x:v>最勝戰鎧</x:v>
      </x:c>
      <x:c r="BG53" s="17" t="str">
        <x:v>吠陀輕甲</x:v>
      </x:c>
      <x:c r="BH53" s="14"/>
      <x:c r="BI53" s="17" t="str">
        <x:v>墨武腕甲</x:v>
      </x:c>
      <x:c r="BJ53" s="17" t="str">
        <x:v>耀宇臂鎧</x:v>
      </x:c>
      <x:c r="BK53" s="17" t="str">
        <x:v>天鏡甲臂</x:v>
      </x:c>
      <x:c r="BL53" s="17" t="str">
        <x:v>納真護手</x:v>
      </x:c>
      <x:c r="BM53" s="14"/>
      <x:c r="BN53" s="17" t="str">
        <x:v>銀河凌虛越</x:v>
      </x:c>
      <x:c r="BO53" s="17" t="str">
        <x:v>韋駝天神足具</x:v>
      </x:c>
      <x:c r="BP53" s="17" t="str">
        <x:v>墨武戰靴</x:v>
      </x:c>
      <x:c r="BQ53" s="17" t="str">
        <x:v>耀宇腿甲</x:v>
      </x:c>
      <x:c r="BR53" s="14"/>
      <x:c r="BS53" s="17" t="str">
        <x:v>聖君之徽</x:v>
      </x:c>
      <x:c r="BT53" s="17" t="str">
        <x:v>鐵真佛珠</x:v>
      </x:c>
      <x:c r="BU53" s="17" t="str">
        <x:v>力真佛珠</x:v>
      </x:c>
      <x:c r="BV53" s="17" t="str">
        <x:v>智真佛珠</x:v>
      </x:c>
      <x:c r="BW53" s="14"/>
      <x:c r="BX53" s="14"/>
      <x:c r="BY53" s="14"/>
      <x:c r="BZ53" s="14"/>
      <x:c r="CA53" s="14"/>
      <x:c r="CB53" s="14"/>
      <x:c r="CC53" s="14" t="str">
        <x:v>24623</x:v>
      </x:c>
      <x:c r="CD53" s="14" t="n">
        <x:v>8</x:v>
      </x:c>
      <x:c r="CE53" s="14" t="n">
        <x:v>145</x:v>
      </x:c>
      <x:c r="CF53" s="14" t="n">
        <x:v>145</x:v>
      </x:c>
      <x:c r="CG53" s="14" t="n">
        <x:v>13</x:v>
      </x:c>
      <x:c r="CH53" s="14" t="n">
        <x:v>1</x:v>
      </x:c>
      <x:c r="CI53" s="14" t="str">
        <x:v>未收錄</x:v>
      </x:c>
      <x:c r="CJ53" s="14" t="str">
        <x:v>24624</x:v>
      </x:c>
      <x:c r="CK53" s="14" t="n">
        <x:v>8</x:v>
      </x:c>
      <x:c r="CL53" s="14" t="n">
        <x:v>146</x:v>
      </x:c>
      <x:c r="CM53" s="14" t="n">
        <x:v>146</x:v>
      </x:c>
      <x:c r="CN53" s="14" t="n">
        <x:v>13</x:v>
      </x:c>
      <x:c r="CO53" s="14" t="n">
        <x:v>2</x:v>
      </x:c>
      <x:c r="CP53" s="14" t="str">
        <x:v>未收錄</x:v>
      </x:c>
      <x:c r="CQ53" s="14" t="str">
        <x:v>26054</x:v>
      </x:c>
      <x:c r="CR53" s="14" t="n">
        <x:v>8</x:v>
      </x:c>
      <x:c r="CS53" s="14" t="n">
        <x:v>147</x:v>
      </x:c>
      <x:c r="CT53" s="14" t="n">
        <x:v>147</x:v>
      </x:c>
      <x:c r="CU53" s="14" t="n">
        <x:v>13</x:v>
      </x:c>
      <x:c r="CV53" s="14" t="n">
        <x:v>3</x:v>
      </x:c>
      <x:c r="CW53" s="14" t="str">
        <x:v>未收錄</x:v>
      </x:c>
      <x:c r="CX53" s="14" t="str">
        <x:v>26203</x:v>
      </x:c>
      <x:c r="CY53" s="14" t="n">
        <x:v>3</x:v>
      </x:c>
      <x:c r="CZ53" s="14" t="n">
        <x:v>148</x:v>
      </x:c>
      <x:c r="DA53" s="14" t="n">
        <x:v>148</x:v>
      </x:c>
      <x:c r="DB53" s="14" t="n">
        <x:v>13</x:v>
      </x:c>
      <x:c r="DC53" s="14" t="n">
        <x:v>4</x:v>
      </x:c>
      <x:c r="DD53" s="14" t="str">
        <x:v>未收錄</x:v>
      </x:c>
      <x:c r="DE53" s="14" t="str">
        <x:v>26065</x:v>
      </x:c>
      <x:c r="DF53" s="14" t="n">
        <x:v>8</x:v>
      </x:c>
      <x:c r="DG53" s="14" t="n">
        <x:v>390</x:v>
      </x:c>
      <x:c r="DH53" s="14" t="n">
        <x:v>145</x:v>
      </x:c>
      <x:c r="DI53" s="14" t="n">
        <x:v>13</x:v>
      </x:c>
      <x:c r="DJ53" s="14" t="n">
        <x:v>1</x:v>
      </x:c>
      <x:c r="DK53" s="14" t="str">
        <x:v>未收錄</x:v>
      </x:c>
      <x:c r="DL53" s="14" t="str">
        <x:v>26448</x:v>
      </x:c>
      <x:c r="DM53" s="14" t="n">
        <x:v>8</x:v>
      </x:c>
      <x:c r="DN53" s="14" t="n">
        <x:v>391</x:v>
      </x:c>
      <x:c r="DO53" s="14" t="n">
        <x:v>146</x:v>
      </x:c>
      <x:c r="DP53" s="14" t="n">
        <x:v>13</x:v>
      </x:c>
      <x:c r="DQ53" s="14" t="n">
        <x:v>2</x:v>
      </x:c>
      <x:c r="DR53" s="14" t="str">
        <x:v>未收錄</x:v>
      </x:c>
      <x:c r="DS53" s="14" t="str">
        <x:v>26449</x:v>
      </x:c>
      <x:c r="DT53" s="14" t="n">
        <x:v>8</x:v>
      </x:c>
      <x:c r="DU53" s="14" t="n">
        <x:v>392</x:v>
      </x:c>
      <x:c r="DV53" s="14" t="n">
        <x:v>147</x:v>
      </x:c>
      <x:c r="DW53" s="14" t="n">
        <x:v>13</x:v>
      </x:c>
      <x:c r="DX53" s="14" t="n">
        <x:v>3</x:v>
      </x:c>
      <x:c r="DY53" s="14" t="str">
        <x:v>未收錄</x:v>
      </x:c>
      <x:c r="DZ53" s="14" t="str">
        <x:v>26450</x:v>
      </x:c>
      <x:c r="EA53" s="14" t="n">
        <x:v>8</x:v>
      </x:c>
      <x:c r="EB53" s="14" t="n">
        <x:v>393</x:v>
      </x:c>
      <x:c r="EC53" s="14" t="n">
        <x:v>148</x:v>
      </x:c>
      <x:c r="ED53" s="14" t="n">
        <x:v>13</x:v>
      </x:c>
      <x:c r="EE53" s="14" t="n">
        <x:v>4</x:v>
      </x:c>
      <x:c r="EF53" s="14" t="str">
        <x:v>未收錄</x:v>
      </x:c>
      <x:c r="EG53" s="14" t="str">
        <x:v>31111</x:v>
      </x:c>
      <x:c r="EH53" s="14" t="n">
        <x:v>8</x:v>
      </x:c>
      <x:c r="EI53" s="14" t="n">
        <x:v>626</x:v>
      </x:c>
      <x:c r="EJ53" s="14" t="n">
        <x:v>145</x:v>
      </x:c>
      <x:c r="EK53" s="14" t="n">
        <x:v>13</x:v>
      </x:c>
      <x:c r="EL53" s="14" t="n">
        <x:v>1</x:v>
      </x:c>
      <x:c r="EM53" s="14" t="str">
        <x:v>未收錄</x:v>
      </x:c>
      <x:c r="EN53" s="14" t="str">
        <x:v>31112</x:v>
      </x:c>
      <x:c r="EO53" s="14" t="n">
        <x:v>8</x:v>
      </x:c>
      <x:c r="EP53" s="14" t="n">
        <x:v>627</x:v>
      </x:c>
      <x:c r="EQ53" s="14" t="n">
        <x:v>146</x:v>
      </x:c>
      <x:c r="ER53" s="14" t="n">
        <x:v>13</x:v>
      </x:c>
      <x:c r="ES53" s="14" t="n">
        <x:v>2</x:v>
      </x:c>
      <x:c r="ET53" s="14" t="str">
        <x:v>未收錄</x:v>
      </x:c>
      <x:c r="EU53" s="14" t="str">
        <x:v>31113</x:v>
      </x:c>
      <x:c r="EV53" s="14" t="n">
        <x:v>8</x:v>
      </x:c>
      <x:c r="EW53" s="14" t="n">
        <x:v>628</x:v>
      </x:c>
      <x:c r="EX53" s="14" t="n">
        <x:v>147</x:v>
      </x:c>
      <x:c r="EY53" s="14" t="n">
        <x:v>13</x:v>
      </x:c>
      <x:c r="EZ53" s="14" t="n">
        <x:v>3</x:v>
      </x:c>
      <x:c r="FA53" s="14" t="str">
        <x:v>未收錄</x:v>
      </x:c>
      <x:c r="FB53" s="14" t="str">
        <x:v>31114</x:v>
      </x:c>
      <x:c r="FC53" s="14" t="n">
        <x:v>8</x:v>
      </x:c>
      <x:c r="FD53" s="14" t="n">
        <x:v>629</x:v>
      </x:c>
      <x:c r="FE53" s="14" t="n">
        <x:v>148</x:v>
      </x:c>
      <x:c r="FF53" s="14" t="n">
        <x:v>13</x:v>
      </x:c>
      <x:c r="FG53" s="14" t="n">
        <x:v>4</x:v>
      </x:c>
      <x:c r="FH53" s="14" t="str">
        <x:v>未收錄</x:v>
      </x:c>
      <x:c r="FI53" s="14" t="str">
        <x:v>28492</x:v>
      </x:c>
      <x:c r="FJ53" s="14" t="n">
        <x:v>20</x:v>
      </x:c>
      <x:c r="FK53" s="14" t="n">
        <x:v>776</x:v>
      </x:c>
      <x:c r="FL53" s="14" t="n">
        <x:v>145</x:v>
      </x:c>
      <x:c r="FM53" s="14" t="n">
        <x:v>13</x:v>
      </x:c>
      <x:c r="FN53" s="14" t="n">
        <x:v>1</x:v>
      </x:c>
      <x:c r="FO53" s="14" t="str">
        <x:v>未收錄</x:v>
      </x:c>
      <x:c r="FP53" s="14" t="str">
        <x:v>28779</x:v>
      </x:c>
      <x:c r="FQ53" s="14" t="n">
        <x:v>20</x:v>
      </x:c>
      <x:c r="FR53" s="14" t="n">
        <x:v>777</x:v>
      </x:c>
      <x:c r="FS53" s="14" t="n">
        <x:v>146</x:v>
      </x:c>
      <x:c r="FT53" s="14" t="n">
        <x:v>13</x:v>
      </x:c>
      <x:c r="FU53" s="14" t="n">
        <x:v>2</x:v>
      </x:c>
      <x:c r="FV53" s="14" t="str">
        <x:v>未收錄</x:v>
      </x:c>
      <x:c r="FW53" s="14" t="str">
        <x:v>29004</x:v>
      </x:c>
      <x:c r="FX53" s="14" t="n">
        <x:v>20</x:v>
      </x:c>
      <x:c r="FY53" s="14" t="n">
        <x:v>778</x:v>
      </x:c>
      <x:c r="FZ53" s="14" t="n">
        <x:v>147</x:v>
      </x:c>
      <x:c r="GA53" s="14" t="n">
        <x:v>13</x:v>
      </x:c>
      <x:c r="GB53" s="14" t="n">
        <x:v>3</x:v>
      </x:c>
      <x:c r="GC53" s="14" t="str">
        <x:v>未收錄</x:v>
      </x:c>
      <x:c r="GD53" s="14" t="str">
        <x:v>29017</x:v>
      </x:c>
      <x:c r="GE53" s="14" t="n">
        <x:v>20</x:v>
      </x:c>
      <x:c r="GF53" s="14" t="n">
        <x:v>779</x:v>
      </x:c>
      <x:c r="GG53" s="14" t="n">
        <x:v>148</x:v>
      </x:c>
      <x:c r="GH53" s="14" t="n">
        <x:v>13</x:v>
      </x:c>
      <x:c r="GI53" s="14" t="n">
        <x:v>4</x:v>
      </x:c>
      <x:c r="GJ53" s="14" t="str">
        <x:v>未收錄</x:v>
      </x:c>
      <x:c r="GK53" s="14" t="str">
        <x:v>28156</x:v>
      </x:c>
      <x:c r="GL53" s="14" t="n">
        <x:v>20</x:v>
      </x:c>
      <x:c r="GM53" s="14" t="n">
        <x:v>948</x:v>
      </x:c>
      <x:c r="GN53" s="14" t="n">
        <x:v>145</x:v>
      </x:c>
      <x:c r="GO53" s="14" t="n">
        <x:v>13</x:v>
      </x:c>
      <x:c r="GP53" s="14" t="n">
        <x:v>1</x:v>
      </x:c>
      <x:c r="GQ53" s="14" t="str">
        <x:v>未收錄</x:v>
      </x:c>
      <x:c r="GR53" s="14" t="str">
        <x:v>28493</x:v>
      </x:c>
      <x:c r="GS53" s="14" t="n">
        <x:v>20</x:v>
      </x:c>
      <x:c r="GT53" s="14" t="n">
        <x:v>949</x:v>
      </x:c>
      <x:c r="GU53" s="14" t="n">
        <x:v>146</x:v>
      </x:c>
      <x:c r="GV53" s="14" t="n">
        <x:v>13</x:v>
      </x:c>
      <x:c r="GW53" s="14" t="n">
        <x:v>2</x:v>
      </x:c>
      <x:c r="GX53" s="14" t="str">
        <x:v>未收錄</x:v>
      </x:c>
      <x:c r="GY53" s="14" t="str">
        <x:v>28780</x:v>
      </x:c>
      <x:c r="GZ53" s="14" t="n">
        <x:v>20</x:v>
      </x:c>
      <x:c r="HA53" s="14" t="n">
        <x:v>950</x:v>
      </x:c>
      <x:c r="HB53" s="14" t="n">
        <x:v>147</x:v>
      </x:c>
      <x:c r="HC53" s="14" t="n">
        <x:v>13</x:v>
      </x:c>
      <x:c r="HD53" s="14" t="n">
        <x:v>3</x:v>
      </x:c>
      <x:c r="HE53" s="14" t="str">
        <x:v>未收錄</x:v>
      </x:c>
      <x:c r="HF53" s="14" t="str">
        <x:v>29005</x:v>
      </x:c>
      <x:c r="HG53" s="14" t="n">
        <x:v>20</x:v>
      </x:c>
      <x:c r="HH53" s="14" t="n">
        <x:v>951</x:v>
      </x:c>
      <x:c r="HI53" s="14" t="n">
        <x:v>148</x:v>
      </x:c>
      <x:c r="HJ53" s="14" t="n">
        <x:v>13</x:v>
      </x:c>
      <x:c r="HK53" s="14" t="n">
        <x:v>4</x:v>
      </x:c>
      <x:c r="HL53" s="14" t="str">
        <x:v>未收錄</x:v>
      </x:c>
      <x:c r="HM53" s="14" t="str">
        <x:v>28527</x:v>
      </x:c>
      <x:c r="HN53" s="14" t="n">
        <x:v>10</x:v>
      </x:c>
      <x:c r="HO53" s="14" t="n">
        <x:v>1121</x:v>
      </x:c>
      <x:c r="HP53" s="14" t="n">
        <x:v>145</x:v>
      </x:c>
      <x:c r="HQ53" s="14" t="n">
        <x:v>13</x:v>
      </x:c>
      <x:c r="HR53" s="14" t="n">
        <x:v>1</x:v>
      </x:c>
      <x:c r="HS53" s="14" t="str">
        <x:v>未收錄</x:v>
      </x:c>
      <x:c r="HT53" s="14" t="str">
        <x:v>28998</x:v>
      </x:c>
      <x:c r="HU53" s="14" t="n">
        <x:v>10</x:v>
      </x:c>
      <x:c r="HV53" s="14" t="n">
        <x:v>1122</x:v>
      </x:c>
      <x:c r="HW53" s="14" t="n">
        <x:v>146</x:v>
      </x:c>
      <x:c r="HX53" s="14" t="n">
        <x:v>13</x:v>
      </x:c>
      <x:c r="HY53" s="14" t="n">
        <x:v>2</x:v>
      </x:c>
      <x:c r="HZ53" s="14" t="str">
        <x:v>未收錄</x:v>
      </x:c>
      <x:c r="IA53" s="14" t="str">
        <x:v>29687</x:v>
      </x:c>
      <x:c r="IB53" s="14" t="n">
        <x:v>10</x:v>
      </x:c>
      <x:c r="IC53" s="14" t="n">
        <x:v>1123</x:v>
      </x:c>
      <x:c r="ID53" s="14" t="n">
        <x:v>147</x:v>
      </x:c>
      <x:c r="IE53" s="14" t="n">
        <x:v>13</x:v>
      </x:c>
      <x:c r="IF53" s="14" t="n">
        <x:v>3</x:v>
      </x:c>
      <x:c r="IG53" s="14" t="str">
        <x:v>未收錄</x:v>
      </x:c>
      <x:c r="IH53" s="14" t="str">
        <x:v>29946</x:v>
      </x:c>
      <x:c r="II53" s="14" t="n">
        <x:v>10</x:v>
      </x:c>
      <x:c r="IJ53" s="14" t="n">
        <x:v>1124</x:v>
      </x:c>
      <x:c r="IK53" s="14" t="n">
        <x:v>148</x:v>
      </x:c>
      <x:c r="IL53" s="14" t="n">
        <x:v>13</x:v>
      </x:c>
      <x:c r="IM53" s="14" t="n">
        <x:v>4</x:v>
      </x:c>
      <x:c r="IN53" s="14" t="str">
        <x:v>未收錄</x:v>
      </x:c>
      <x:c r="IO53" s="14" t="str">
        <x:v>29947</x:v>
      </x:c>
      <x:c r="IP53" s="14" t="n">
        <x:v>10</x:v>
      </x:c>
      <x:c r="IQ53" s="14" t="n">
        <x:v>1289</x:v>
      </x:c>
      <x:c r="IR53" s="14" t="n">
        <x:v>145</x:v>
      </x:c>
      <x:c r="IS53" s="14" t="n">
        <x:v>13</x:v>
      </x:c>
      <x:c r="IT53" s="14" t="n">
        <x:v>1</x:v>
      </x:c>
      <x:c r="IU53" s="14" t="str">
        <x:v>未收錄</x:v>
      </x:c>
      <x:c r="IV53" s="14" t="str">
        <x:v>27256</x:v>
      </x:c>
      <x:c r="IW53" s="14" t="n">
        <x:v>8</x:v>
      </x:c>
      <x:c r="IX53" s="14" t="n">
        <x:v>1290</x:v>
      </x:c>
      <x:c r="IY53" s="14" t="n">
        <x:v>146</x:v>
      </x:c>
      <x:c r="IZ53" s="14" t="n">
        <x:v>13</x:v>
      </x:c>
      <x:c r="JA53" s="14" t="n">
        <x:v>2</x:v>
      </x:c>
      <x:c r="JB53" s="14" t="str">
        <x:v>未收錄</x:v>
      </x:c>
      <x:c r="JC53" s="14" t="str">
        <x:v>30880</x:v>
      </x:c>
      <x:c r="JD53" s="14" t="n">
        <x:v>2</x:v>
      </x:c>
      <x:c r="JE53" s="14" t="n">
        <x:v>1291</x:v>
      </x:c>
      <x:c r="JF53" s="14" t="n">
        <x:v>147</x:v>
      </x:c>
      <x:c r="JG53" s="14" t="n">
        <x:v>13</x:v>
      </x:c>
      <x:c r="JH53" s="14" t="n">
        <x:v>3</x:v>
      </x:c>
      <x:c r="JI53" s="14" t="str">
        <x:v>未收錄</x:v>
      </x:c>
      <x:c r="JJ53" s="14" t="str">
        <x:v>31410</x:v>
      </x:c>
      <x:c r="JK53" s="14" t="n">
        <x:v>2</x:v>
      </x:c>
      <x:c r="JL53" s="14" t="n">
        <x:v>1292</x:v>
      </x:c>
      <x:c r="JM53" s="14" t="n">
        <x:v>148</x:v>
      </x:c>
      <x:c r="JN53" s="14" t="n">
        <x:v>13</x:v>
      </x:c>
      <x:c r="JO53" s="14" t="n">
        <x:v>4</x:v>
      </x:c>
      <x:c r="JP53" s="14" t="str">
        <x:v>未收錄</x:v>
      </x:c>
      <x:c r="JQ53" s="14"/>
      <x:c r="JR53" s="14"/>
      <x:c r="JS53" s="14"/>
      <x:c r="JT53" s="14"/>
      <x:c r="JU53" s="14"/>
      <x:c r="JV53" s="14"/>
      <x:c r="JW53" s="14"/>
      <x:c r="JX53" s="14"/>
      <x:c r="JY53" s="14"/>
      <x:c r="JZ53" s="14"/>
      <x:c r="KA53" s="14"/>
      <x:c r="KB53" s="14"/>
      <x:c r="KC53" s="14"/>
      <x:c r="KD53" s="14"/>
      <x:c r="KE53" s="14"/>
      <x:c r="KF53" s="14"/>
      <x:c r="KG53" s="14"/>
      <x:c r="KH53" s="14"/>
      <x:c r="KI53" s="14"/>
      <x:c r="KJ53" s="14"/>
      <x:c r="KK53" s="14"/>
      <x:c r="KL53" s="14"/>
      <x:c r="KM53" s="14"/>
      <x:c r="KN53" s="14"/>
      <x:c r="KO53" s="14"/>
      <x:c r="KP53" s="14"/>
      <x:c r="KQ53" s="14"/>
      <x:c r="KR53" s="14"/>
      <x:c r="KS53" s="14"/>
      <x:c r="KT53" s="14"/>
      <x:c r="KU53" s="14"/>
      <x:c r="KV53" s="14"/>
      <x:c r="KW53" s="14"/>
      <x:c r="KX53" s="14"/>
      <x:c r="KY53" s="14"/>
      <x:c r="KZ53" s="14"/>
      <x:c r="LA53" s="14"/>
      <x:c r="LB53" s="14"/>
      <x:c r="LC53" s="14"/>
      <x:c r="LD53" s="14"/>
      <x:c r="LE53" s="14"/>
      <x:c r="LF53" s="14"/>
      <x:c r="LG53" s="14"/>
      <x:c r="LH53" s="14"/>
      <x:c r="LI53" s="14"/>
      <x:c r="LJ53" s="14"/>
      <x:c r="LK53" s="14"/>
      <x:c r="LL53" s="14"/>
      <x:c r="LM53" s="14"/>
      <x:c r="LN53" s="14"/>
      <x:c r="LO53" s="14"/>
      <x:c r="LP53" s="14"/>
      <x:c r="LQ53" s="14"/>
      <x:c r="LR53" s="14"/>
      <x:c r="LS53" s="14"/>
      <x:c r="LT53" s="14"/>
      <x:c r="LU53" s="14"/>
      <x:c r="LV53" s="14"/>
      <x:c r="LW53" s="14"/>
      <x:c r="LX53" s="14"/>
      <x:c r="LY53" s="14"/>
      <x:c r="LZ53" s="14"/>
      <x:c r="MA53" s="14"/>
      <x:c r="MB53" s="14"/>
      <x:c r="MC53" s="14"/>
      <x:c r="MD53" s="14"/>
      <x:c r="ME53" s="14"/>
      <x:c r="MF53" s="14"/>
      <x:c r="MG53" s="14"/>
      <x:c r="MH53" s="14"/>
      <x:c r="MI53" s="14"/>
      <x:c r="MJ53" s="14"/>
      <x:c r="MK53" s="14"/>
      <x:c r="ML53" s="14"/>
      <x:c r="MM53" s="14"/>
      <x:c r="MN53" s="14"/>
      <x:c r="MO53" s="14"/>
      <x:c r="MP53" s="14"/>
      <x:c r="MQ53" s="14"/>
      <x:c r="MR53" s="14"/>
      <x:c r="MS53" s="14"/>
      <x:c r="MT53" s="14"/>
      <x:c r="MU53" s="14"/>
      <x:c r="MV53" s="14"/>
      <x:c r="MW53" s="14" t="str">
        <x:v>23180</x:v>
      </x:c>
      <x:c r="MX53" s="14" t="n">
        <x:v>5</x:v>
      </x:c>
      <x:c r="MY53" s="14" t="n">
        <x:v>1793</x:v>
      </x:c>
      <x:c r="MZ53" s="14" t="n">
        <x:v>145</x:v>
      </x:c>
      <x:c r="NA53" s="14" t="n">
        <x:v>13</x:v>
      </x:c>
      <x:c r="NB53" s="14" t="n">
        <x:v>1</x:v>
      </x:c>
      <x:c r="NC53" s="14" t="str">
        <x:v>未收錄</x:v>
      </x:c>
      <x:c r="ND53" s="14" t="str">
        <x:v>23181</x:v>
      </x:c>
      <x:c r="NE53" s="14" t="n">
        <x:v>5</x:v>
      </x:c>
      <x:c r="NF53" s="14" t="n">
        <x:v>1794</x:v>
      </x:c>
      <x:c r="NG53" s="14" t="n">
        <x:v>146</x:v>
      </x:c>
      <x:c r="NH53" s="14" t="n">
        <x:v>13</x:v>
      </x:c>
      <x:c r="NI53" s="14" t="n">
        <x:v>2</x:v>
      </x:c>
      <x:c r="NJ53" s="14" t="str">
        <x:v>未收錄</x:v>
      </x:c>
      <x:c r="NK53" s="14" t="str">
        <x:v>23353</x:v>
      </x:c>
      <x:c r="NL53" s="14" t="n">
        <x:v>10</x:v>
      </x:c>
      <x:c r="NM53" s="14" t="n">
        <x:v>1795</x:v>
      </x:c>
      <x:c r="NN53" s="14" t="n">
        <x:v>147</x:v>
      </x:c>
      <x:c r="NO53" s="14" t="n">
        <x:v>13</x:v>
      </x:c>
      <x:c r="NP53" s="14" t="n">
        <x:v>3</x:v>
      </x:c>
      <x:c r="NQ53" s="14" t="str">
        <x:v>未收錄</x:v>
      </x:c>
      <x:c r="NR53" s="14" t="str">
        <x:v>23538</x:v>
      </x:c>
      <x:c r="NS53" s="14" t="n">
        <x:v>5</x:v>
      </x:c>
      <x:c r="NT53" s="14" t="n">
        <x:v>1796</x:v>
      </x:c>
      <x:c r="NU53" s="14" t="n">
        <x:v>148</x:v>
      </x:c>
      <x:c r="NV53" s="14" t="n">
        <x:v>13</x:v>
      </x:c>
      <x:c r="NW53" s="14" t="n">
        <x:v>4</x:v>
      </x:c>
      <x:c r="NX53" s="14" t="str">
        <x:v>未收錄</x:v>
      </x:c>
      <x:c r="NY53" s="14" t="str">
        <x:v>23186</x:v>
      </x:c>
      <x:c r="NZ53" s="14" t="n">
        <x:v>5</x:v>
      </x:c>
      <x:c r="OA53" s="14" t="n">
        <x:v>2246</x:v>
      </x:c>
      <x:c r="OB53" s="14" t="n">
        <x:v>145</x:v>
      </x:c>
      <x:c r="OC53" s="14" t="n">
        <x:v>13</x:v>
      </x:c>
      <x:c r="OD53" s="14" t="n">
        <x:v>1</x:v>
      </x:c>
      <x:c r="OE53" s="14" t="str">
        <x:v>未收錄</x:v>
      </x:c>
      <x:c r="OF53" s="14" t="str">
        <x:v>23187</x:v>
      </x:c>
      <x:c r="OG53" s="14" t="n">
        <x:v>5</x:v>
      </x:c>
      <x:c r="OH53" s="14" t="n">
        <x:v>2247</x:v>
      </x:c>
      <x:c r="OI53" s="14" t="n">
        <x:v>146</x:v>
      </x:c>
      <x:c r="OJ53" s="14" t="n">
        <x:v>13</x:v>
      </x:c>
      <x:c r="OK53" s="14" t="n">
        <x:v>2</x:v>
      </x:c>
      <x:c r="OL53" s="14" t="str">
        <x:v>未收錄</x:v>
      </x:c>
      <x:c r="OM53" s="14" t="str">
        <x:v>23188</x:v>
      </x:c>
      <x:c r="ON53" s="14" t="n">
        <x:v>5</x:v>
      </x:c>
      <x:c r="OO53" s="14" t="n">
        <x:v>2248</x:v>
      </x:c>
      <x:c r="OP53" s="14" t="n">
        <x:v>147</x:v>
      </x:c>
      <x:c r="OQ53" s="14" t="n">
        <x:v>13</x:v>
      </x:c>
      <x:c r="OR53" s="14" t="n">
        <x:v>3</x:v>
      </x:c>
      <x:c r="OS53" s="14" t="str">
        <x:v>未收錄</x:v>
      </x:c>
      <x:c r="OT53" s="14" t="str">
        <x:v>23189</x:v>
      </x:c>
      <x:c r="OU53" s="14" t="n">
        <x:v>5</x:v>
      </x:c>
      <x:c r="OV53" s="14" t="n">
        <x:v>2249</x:v>
      </x:c>
      <x:c r="OW53" s="14" t="n">
        <x:v>148</x:v>
      </x:c>
      <x:c r="OX53" s="14" t="n">
        <x:v>13</x:v>
      </x:c>
      <x:c r="OY53" s="14" t="n">
        <x:v>4</x:v>
      </x:c>
      <x:c r="OZ53" s="14" t="str">
        <x:v>未收錄</x:v>
      </x:c>
      <x:c r="PA53" s="14" t="str">
        <x:v>24016</x:v>
      </x:c>
      <x:c r="PB53" s="14" t="n">
        <x:v>5</x:v>
      </x:c>
      <x:c r="PC53" s="14" t="n">
        <x:v>2792</x:v>
      </x:c>
      <x:c r="PD53" s="14" t="n">
        <x:v>145</x:v>
      </x:c>
      <x:c r="PE53" s="14" t="n">
        <x:v>13</x:v>
      </x:c>
      <x:c r="PF53" s="14" t="n">
        <x:v>1</x:v>
      </x:c>
      <x:c r="PG53" s="14" t="str">
        <x:v>未收錄</x:v>
      </x:c>
      <x:c r="PH53" s="14" t="str">
        <x:v>24017</x:v>
      </x:c>
      <x:c r="PI53" s="14" t="n">
        <x:v>5</x:v>
      </x:c>
      <x:c r="PJ53" s="14" t="n">
        <x:v>2793</x:v>
      </x:c>
      <x:c r="PK53" s="14" t="n">
        <x:v>146</x:v>
      </x:c>
      <x:c r="PL53" s="14" t="n">
        <x:v>13</x:v>
      </x:c>
      <x:c r="PM53" s="14" t="n">
        <x:v>2</x:v>
      </x:c>
      <x:c r="PN53" s="14" t="str">
        <x:v>未收錄</x:v>
      </x:c>
      <x:c r="PO53" s="14" t="str">
        <x:v>24018</x:v>
      </x:c>
      <x:c r="PP53" s="14" t="n">
        <x:v>5</x:v>
      </x:c>
      <x:c r="PQ53" s="14" t="n">
        <x:v>2794</x:v>
      </x:c>
      <x:c r="PR53" s="14" t="n">
        <x:v>147</x:v>
      </x:c>
      <x:c r="PS53" s="14" t="n">
        <x:v>13</x:v>
      </x:c>
      <x:c r="PT53" s="14" t="n">
        <x:v>3</x:v>
      </x:c>
      <x:c r="PU53" s="14" t="str">
        <x:v>未收錄</x:v>
      </x:c>
      <x:c r="PV53" s="14" t="str">
        <x:v>24019</x:v>
      </x:c>
      <x:c r="PW53" s="14" t="n">
        <x:v>5</x:v>
      </x:c>
      <x:c r="PX53" s="14" t="n">
        <x:v>2795</x:v>
      </x:c>
      <x:c r="PY53" s="14" t="n">
        <x:v>148</x:v>
      </x:c>
      <x:c r="PZ53" s="14" t="n">
        <x:v>13</x:v>
      </x:c>
      <x:c r="QA53" s="14" t="n">
        <x:v>4</x:v>
      </x:c>
      <x:c r="QB53" s="14" t="str">
        <x:v>未收錄</x:v>
      </x:c>
      <x:c r="QC53" s="14" t="str">
        <x:v>23785</x:v>
      </x:c>
      <x:c r="QD53" s="14" t="n">
        <x:v>10</x:v>
      </x:c>
      <x:c r="QE53" s="14" t="n">
        <x:v>3229</x:v>
      </x:c>
      <x:c r="QF53" s="14" t="n">
        <x:v>145</x:v>
      </x:c>
      <x:c r="QG53" s="14" t="n">
        <x:v>13</x:v>
      </x:c>
      <x:c r="QH53" s="14" t="n">
        <x:v>1</x:v>
      </x:c>
      <x:c r="QI53" s="14" t="str">
        <x:v>未收錄</x:v>
      </x:c>
      <x:c r="QJ53" s="14" t="str">
        <x:v>23762</x:v>
      </x:c>
      <x:c r="QK53" s="14" t="n">
        <x:v>10</x:v>
      </x:c>
      <x:c r="QL53" s="14" t="n">
        <x:v>3230</x:v>
      </x:c>
      <x:c r="QM53" s="14" t="n">
        <x:v>146</x:v>
      </x:c>
      <x:c r="QN53" s="14" t="n">
        <x:v>13</x:v>
      </x:c>
      <x:c r="QO53" s="14" t="n">
        <x:v>2</x:v>
      </x:c>
      <x:c r="QP53" s="14" t="str">
        <x:v>未收錄</x:v>
      </x:c>
      <x:c r="QQ53" s="14" t="str">
        <x:v>24026</x:v>
      </x:c>
      <x:c r="QR53" s="14" t="n">
        <x:v>5</x:v>
      </x:c>
      <x:c r="QS53" s="14" t="n">
        <x:v>3231</x:v>
      </x:c>
      <x:c r="QT53" s="14" t="n">
        <x:v>147</x:v>
      </x:c>
      <x:c r="QU53" s="14" t="n">
        <x:v>13</x:v>
      </x:c>
      <x:c r="QV53" s="14" t="n">
        <x:v>3</x:v>
      </x:c>
      <x:c r="QW53" s="14" t="str">
        <x:v>未收錄</x:v>
      </x:c>
      <x:c r="QX53" s="14" t="str">
        <x:v>24027</x:v>
      </x:c>
      <x:c r="QY53" s="14" t="n">
        <x:v>5</x:v>
      </x:c>
      <x:c r="QZ53" s="14" t="n">
        <x:v>3232</x:v>
      </x:c>
      <x:c r="RA53" s="14" t="n">
        <x:v>148</x:v>
      </x:c>
      <x:c r="RB53" s="14" t="n">
        <x:v>13</x:v>
      </x:c>
      <x:c r="RC53" s="14" t="n">
        <x:v>4</x:v>
      </x:c>
      <x:c r="RD53" s="14" t="str">
        <x:v>未收錄</x:v>
      </x:c>
      <x:c r="RE53" s="14" t="str">
        <x:v>24618</x:v>
      </x:c>
      <x:c r="RF53" s="14" t="n">
        <x:v>5</x:v>
      </x:c>
      <x:c r="RG53" s="14" t="n">
        <x:v>3690</x:v>
      </x:c>
      <x:c r="RH53" s="14" t="n">
        <x:v>145</x:v>
      </x:c>
      <x:c r="RI53" s="14" t="n">
        <x:v>13</x:v>
      </x:c>
      <x:c r="RJ53" s="14" t="n">
        <x:v>1</x:v>
      </x:c>
      <x:c r="RK53" s="14" t="str">
        <x:v>未收錄</x:v>
      </x:c>
      <x:c r="RL53" s="14" t="str">
        <x:v>24719</x:v>
      </x:c>
      <x:c r="RM53" s="14" t="n">
        <x:v>3</x:v>
      </x:c>
      <x:c r="RN53" s="14" t="n">
        <x:v>3691</x:v>
      </x:c>
      <x:c r="RO53" s="14" t="n">
        <x:v>146</x:v>
      </x:c>
      <x:c r="RP53" s="14" t="n">
        <x:v>13</x:v>
      </x:c>
      <x:c r="RQ53" s="14" t="n">
        <x:v>2</x:v>
      </x:c>
      <x:c r="RR53" s="14" t="str">
        <x:v>未收錄</x:v>
      </x:c>
      <x:c r="RS53" s="14" t="str">
        <x:v>24720</x:v>
      </x:c>
      <x:c r="RT53" s="14" t="n">
        <x:v>3</x:v>
      </x:c>
      <x:c r="RU53" s="14" t="n">
        <x:v>3692</x:v>
      </x:c>
      <x:c r="RV53" s="14" t="n">
        <x:v>147</x:v>
      </x:c>
      <x:c r="RW53" s="14" t="n">
        <x:v>13</x:v>
      </x:c>
      <x:c r="RX53" s="14" t="n">
        <x:v>3</x:v>
      </x:c>
      <x:c r="RY53" s="14" t="str">
        <x:v>未收錄</x:v>
      </x:c>
      <x:c r="RZ53" s="14" t="str">
        <x:v>24721</x:v>
      </x:c>
      <x:c r="SA53" s="14" t="n">
        <x:v>3</x:v>
      </x:c>
      <x:c r="SB53" s="14" t="n">
        <x:v>3693</x:v>
      </x:c>
      <x:c r="SC53" s="14" t="n">
        <x:v>148</x:v>
      </x:c>
      <x:c r="SD53" s="14" t="n">
        <x:v>13</x:v>
      </x:c>
      <x:c r="SE53" s="14" t="n">
        <x:v>4</x:v>
      </x:c>
      <x:c r="SF53" s="14" t="str">
        <x:v>未收錄</x:v>
      </x:c>
      <x:c r="SG53" s="14"/>
      <x:c r="SH53" s="14"/>
      <x:c r="SI53" s="14"/>
      <x:c r="SJ53" s="14"/>
      <x:c r="SK53" s="14"/>
      <x:c r="SL53" s="14"/>
      <x:c r="SM53" s="14"/>
      <x:c r="SN53" s="14"/>
      <x:c r="SO53" s="14"/>
      <x:c r="SP53" s="14"/>
      <x:c r="SQ53" s="14"/>
      <x:c r="SR53" s="14"/>
      <x:c r="SS53" s="14"/>
      <x:c r="ST53" s="14"/>
      <x:c r="SU53" s="14"/>
      <x:c r="SV53" s="14"/>
      <x:c r="SW53" s="14"/>
      <x:c r="SX53" s="14"/>
      <x:c r="SY53" s="14"/>
      <x:c r="SZ53" s="14"/>
      <x:c r="TA53" s="14"/>
      <x:c r="TB53" s="14"/>
      <x:c r="TC53" s="14"/>
      <x:c r="TD53" s="14"/>
      <x:c r="TE53" s="14"/>
      <x:c r="TF53" s="14"/>
      <x:c r="TG53" s="14"/>
      <x:c r="TH53" s="14"/>
    </x:row>
    <x:row r="54" ht="15" customHeight="1">
      <x:c r="A54" s="18" t="str">
        <x:v>無雙巨帝劍</x:v>
      </x:c>
      <x:c r="B54" s="18" t="str">
        <x:v>圓桌聖堂劍</x:v>
      </x:c>
      <x:c r="C54" s="18" t="str">
        <x:v>歐陸霸皇劍</x:v>
      </x:c>
      <x:c r="D54" s="18" t="str">
        <x:v>晨光劍</x:v>
      </x:c>
      <x:c r="E54" s="14"/>
      <x:c r="F54" s="18" t="str">
        <x:v>屠龍聖衛巨刃</x:v>
      </x:c>
      <x:c r="G54" s="18" t="str">
        <x:v>滅幻刀</x:v>
      </x:c>
      <x:c r="H54" s="18" t="str">
        <x:v>太古滅幻刀</x:v>
      </x:c>
      <x:c r="I54" s="18" t="str">
        <x:v>夢月纓絡刀</x:v>
      </x:c>
      <x:c r="J54" s="14"/>
      <x:c r="K54" s="18" t="str">
        <x:v>獵仙飛索Ⅴ</x:v>
      </x:c>
      <x:c r="L54" s="18" t="str">
        <x:v>握氣成石</x:v>
      </x:c>
      <x:c r="M54" s="18"/>
      <x:c r="N54" s="18"/>
      <x:c r="O54" s="14"/>
      <x:c r="P54" s="18" t="str">
        <x:v>周武克殷幟</x:v>
      </x:c>
      <x:c r="Q54" s="18" t="str">
        <x:v>周武克殷幟</x:v>
      </x:c>
      <x:c r="R54" s="18" t="str">
        <x:v>太伯妙香晷</x:v>
      </x:c>
      <x:c r="S54" s="18" t="str">
        <x:v>太伯妙香晷</x:v>
      </x:c>
      <x:c r="T54" s="14"/>
      <x:c r="U54" s="18" t="str">
        <x:v>輝杖瑪‧亞特</x:v>
      </x:c>
      <x:c r="V54" s="18" t="str">
        <x:v>夏禹九鼎杖</x:v>
      </x:c>
      <x:c r="W54" s="18" t="str">
        <x:v>夏禹九鼎杖</x:v>
      </x:c>
      <x:c r="X54" s="18" t="str">
        <x:v>日月五峰杖</x:v>
      </x:c>
      <x:c r="Y54" s="14"/>
      <x:c r="Z54" s="18" t="str">
        <x:v>新星之冰爵槍</x:v>
      </x:c>
      <x:c r="AA54" s="18" t="str">
        <x:v>神族槍</x:v>
      </x:c>
      <x:c r="AB54" s="18" t="str">
        <x:v>赤鴉裂槍Ⅰ</x:v>
      </x:c>
      <x:c r="AC54" s="18" t="str">
        <x:v>赤鴉裂槍Ⅱ</x:v>
      </x:c>
      <x:c r="AD54" s="14"/>
      <x:c r="AE54" s="18" t="str">
        <x:v>方舟棒</x:v>
      </x:c>
      <x:c r="AF54" s="18" t="str">
        <x:v>綻虹鳳棒Ⅰ</x:v>
      </x:c>
      <x:c r="AG54" s="18" t="str">
        <x:v>綻虹鳳棒Ⅱ</x:v>
      </x:c>
      <x:c r="AH54" s="18" t="str">
        <x:v>綻虹鳳棒Ⅲ</x:v>
      </x:c>
      <x:c r="AI54" s="14"/>
      <x:c r="AJ54" s="14"/>
      <x:c r="AK54" s="14"/>
      <x:c r="AL54" s="14"/>
      <x:c r="AM54" s="14"/>
      <x:c r="AN54" s="14"/>
      <x:c r="AO54" s="14"/>
      <x:c r="AP54" s="14"/>
      <x:c r="AQ54" s="14"/>
      <x:c r="AR54" s="14"/>
      <x:c r="AS54" s="14"/>
      <x:c r="AT54" s="14"/>
      <x:c r="AU54" s="14"/>
      <x:c r="AV54" s="14"/>
      <x:c r="AW54" s="14"/>
      <x:c r="AX54" s="14"/>
      <x:c r="AY54" s="18" t="str">
        <x:v>銀蟒面盔</x:v>
      </x:c>
      <x:c r="AZ54" s="18" t="str">
        <x:v>白門術巾</x:v>
      </x:c>
      <x:c r="BA54" s="18" t="str">
        <x:v>三世緋冠</x:v>
      </x:c>
      <x:c r="BB54" s="18" t="str">
        <x:v>妙法白笠</x:v>
      </x:c>
      <x:c r="BC54" s="14"/>
      <x:c r="BD54" s="18" t="str">
        <x:v>煌天道袍</x:v>
      </x:c>
      <x:c r="BE54" s="18" t="str">
        <x:v>華嚴禪袍</x:v>
      </x:c>
      <x:c r="BF54" s="18" t="str">
        <x:v>真．智者聖甲</x:v>
      </x:c>
      <x:c r="BG54" s="18" t="str">
        <x:v>真．仁者聖甲</x:v>
      </x:c>
      <x:c r="BH54" s="14"/>
      <x:c r="BI54" s="18" t="str">
        <x:v>三千法腕</x:v>
      </x:c>
      <x:c r="BJ54" s="18" t="str">
        <x:v>南日采腕</x:v>
      </x:c>
      <x:c r="BK54" s="18" t="str">
        <x:v>古茹臂鎧</x:v>
      </x:c>
      <x:c r="BL54" s="18" t="str">
        <x:v>穆赤臂甲</x:v>
      </x:c>
      <x:c r="BM54" s="14"/>
      <x:c r="BN54" s="18" t="str">
        <x:v>天鏡輕履</x:v>
      </x:c>
      <x:c r="BO54" s="18" t="str">
        <x:v>納真道靴</x:v>
      </x:c>
      <x:c r="BP54" s="18" t="str">
        <x:v>三千法行</x:v>
      </x:c>
      <x:c r="BQ54" s="18" t="str">
        <x:v>南日戰靴</x:v>
      </x:c>
      <x:c r="BR54" s="14"/>
      <x:c r="BS54" s="18" t="str">
        <x:v>風真佛珠</x:v>
      </x:c>
      <x:c r="BT54" s="18" t="str">
        <x:v>超‧戰神負重鍊</x:v>
      </x:c>
      <x:c r="BU54" s="18" t="str">
        <x:v>麒麟脂</x:v>
      </x:c>
      <x:c r="BV54" s="18" t="str">
        <x:v>星光宿命輪</x:v>
      </x:c>
      <x:c r="BW54" s="14"/>
      <x:c r="BX54" s="14"/>
      <x:c r="BY54" s="14"/>
      <x:c r="BZ54" s="14"/>
      <x:c r="CA54" s="14"/>
      <x:c r="CB54" s="14"/>
      <x:c r="CC54" s="14" t="str">
        <x:v>26547</x:v>
      </x:c>
      <x:c r="CD54" s="14" t="n">
        <x:v>8</x:v>
      </x:c>
      <x:c r="CE54" s="14" t="n">
        <x:v>149</x:v>
      </x:c>
      <x:c r="CF54" s="14" t="n">
        <x:v>149</x:v>
      </x:c>
      <x:c r="CG54" s="14" t="n">
        <x:v>14</x:v>
      </x:c>
      <x:c r="CH54" s="14" t="n">
        <x:v>1</x:v>
      </x:c>
      <x:c r="CI54" s="14" t="str">
        <x:v>未收錄</x:v>
      </x:c>
      <x:c r="CJ54" s="14" t="str">
        <x:v>26055</x:v>
      </x:c>
      <x:c r="CK54" s="14" t="n">
        <x:v>8</x:v>
      </x:c>
      <x:c r="CL54" s="14" t="n">
        <x:v>150</x:v>
      </x:c>
      <x:c r="CM54" s="14" t="n">
        <x:v>150</x:v>
      </x:c>
      <x:c r="CN54" s="14" t="n">
        <x:v>14</x:v>
      </x:c>
      <x:c r="CO54" s="14" t="n">
        <x:v>2</x:v>
      </x:c>
      <x:c r="CP54" s="14" t="str">
        <x:v>未收錄</x:v>
      </x:c>
      <x:c r="CQ54" s="14" t="str">
        <x:v>26056</x:v>
      </x:c>
      <x:c r="CR54" s="14" t="n">
        <x:v>8</x:v>
      </x:c>
      <x:c r="CS54" s="14" t="n">
        <x:v>151</x:v>
      </x:c>
      <x:c r="CT54" s="14" t="n">
        <x:v>151</x:v>
      </x:c>
      <x:c r="CU54" s="14" t="n">
        <x:v>14</x:v>
      </x:c>
      <x:c r="CV54" s="14" t="n">
        <x:v>3</x:v>
      </x:c>
      <x:c r="CW54" s="14" t="str">
        <x:v>未收錄</x:v>
      </x:c>
      <x:c r="CX54" s="14" t="str">
        <x:v>26057</x:v>
      </x:c>
      <x:c r="CY54" s="14" t="n">
        <x:v>8</x:v>
      </x:c>
      <x:c r="CZ54" s="14" t="n">
        <x:v>152</x:v>
      </x:c>
      <x:c r="DA54" s="14" t="n">
        <x:v>152</x:v>
      </x:c>
      <x:c r="DB54" s="14" t="n">
        <x:v>14</x:v>
      </x:c>
      <x:c r="DC54" s="14" t="n">
        <x:v>4</x:v>
      </x:c>
      <x:c r="DD54" s="14" t="str">
        <x:v>未收錄</x:v>
      </x:c>
      <x:c r="DE54" s="14" t="str">
        <x:v>26451</x:v>
      </x:c>
      <x:c r="DF54" s="14" t="n">
        <x:v>8</x:v>
      </x:c>
      <x:c r="DG54" s="14" t="n">
        <x:v>394</x:v>
      </x:c>
      <x:c r="DH54" s="14" t="n">
        <x:v>149</x:v>
      </x:c>
      <x:c r="DI54" s="14" t="n">
        <x:v>14</x:v>
      </x:c>
      <x:c r="DJ54" s="14" t="n">
        <x:v>1</x:v>
      </x:c>
      <x:c r="DK54" s="14" t="str">
        <x:v>未收錄</x:v>
      </x:c>
      <x:c r="DL54" s="14" t="str">
        <x:v>26606</x:v>
      </x:c>
      <x:c r="DM54" s="14" t="n">
        <x:v>8</x:v>
      </x:c>
      <x:c r="DN54" s="14" t="n">
        <x:v>395</x:v>
      </x:c>
      <x:c r="DO54" s="14" t="n">
        <x:v>150</x:v>
      </x:c>
      <x:c r="DP54" s="14" t="n">
        <x:v>14</x:v>
      </x:c>
      <x:c r="DQ54" s="14" t="n">
        <x:v>2</x:v>
      </x:c>
      <x:c r="DR54" s="14" t="str">
        <x:v>未收錄</x:v>
      </x:c>
      <x:c r="DS54" s="14" t="str">
        <x:v>26721</x:v>
      </x:c>
      <x:c r="DT54" s="14" t="n">
        <x:v>3</x:v>
      </x:c>
      <x:c r="DU54" s="14" t="n">
        <x:v>396</x:v>
      </x:c>
      <x:c r="DV54" s="14" t="n">
        <x:v>151</x:v>
      </x:c>
      <x:c r="DW54" s="14" t="n">
        <x:v>14</x:v>
      </x:c>
      <x:c r="DX54" s="14" t="n">
        <x:v>3</x:v>
      </x:c>
      <x:c r="DY54" s="14" t="str">
        <x:v>未收錄</x:v>
      </x:c>
      <x:c r="DZ54" s="14" t="str">
        <x:v>26607</x:v>
      </x:c>
      <x:c r="EA54" s="14" t="n">
        <x:v>8</x:v>
      </x:c>
      <x:c r="EB54" s="14" t="n">
        <x:v>397</x:v>
      </x:c>
      <x:c r="EC54" s="14" t="n">
        <x:v>152</x:v>
      </x:c>
      <x:c r="ED54" s="14" t="n">
        <x:v>14</x:v>
      </x:c>
      <x:c r="EE54" s="14" t="n">
        <x:v>4</x:v>
      </x:c>
      <x:c r="EF54" s="14" t="str">
        <x:v>未收錄</x:v>
      </x:c>
      <x:c r="EG54" s="14" t="str">
        <x:v>31115</x:v>
      </x:c>
      <x:c r="EH54" s="14" t="n">
        <x:v>8</x:v>
      </x:c>
      <x:c r="EI54" s="14" t="n">
        <x:v>630</x:v>
      </x:c>
      <x:c r="EJ54" s="14" t="n">
        <x:v>149</x:v>
      </x:c>
      <x:c r="EK54" s="14" t="n">
        <x:v>14</x:v>
      </x:c>
      <x:c r="EL54" s="14" t="n">
        <x:v>1</x:v>
      </x:c>
      <x:c r="EM54" s="14" t="str">
        <x:v>未收錄</x:v>
      </x:c>
      <x:c r="EN54" s="14" t="str">
        <x:v>32182</x:v>
      </x:c>
      <x:c r="EO54" s="14" t="n">
        <x:v>2</x:v>
      </x:c>
      <x:c r="EP54" s="14" t="n">
        <x:v>631</x:v>
      </x:c>
      <x:c r="EQ54" s="14" t="n">
        <x:v>150</x:v>
      </x:c>
      <x:c r="ER54" s="14" t="n">
        <x:v>14</x:v>
      </x:c>
      <x:c r="ES54" s="14" t="n">
        <x:v>2</x:v>
      </x:c>
      <x:c r="ET54" s="14" t="str">
        <x:v>未收錄</x:v>
      </x:c>
      <x:c r="EU54" s="14"/>
      <x:c r="EV54" s="14"/>
      <x:c r="EW54" s="14"/>
      <x:c r="EX54" s="14"/>
      <x:c r="EY54" s="14"/>
      <x:c r="EZ54" s="14"/>
      <x:c r="FA54" s="14"/>
      <x:c r="FB54" s="14"/>
      <x:c r="FC54" s="14"/>
      <x:c r="FD54" s="14"/>
      <x:c r="FE54" s="14"/>
      <x:c r="FF54" s="14"/>
      <x:c r="FG54" s="14"/>
      <x:c r="FH54" s="14"/>
      <x:c r="FI54" s="14" t="str">
        <x:v>29657</x:v>
      </x:c>
      <x:c r="FJ54" s="14" t="n">
        <x:v>20</x:v>
      </x:c>
      <x:c r="FK54" s="14" t="n">
        <x:v>780</x:v>
      </x:c>
      <x:c r="FL54" s="14" t="n">
        <x:v>149</x:v>
      </x:c>
      <x:c r="FM54" s="14" t="n">
        <x:v>14</x:v>
      </x:c>
      <x:c r="FN54" s="14" t="n">
        <x:v>1</x:v>
      </x:c>
      <x:c r="FO54" s="14" t="str">
        <x:v>未收錄</x:v>
      </x:c>
      <x:c r="FP54" s="14" t="str">
        <x:v>29667</x:v>
      </x:c>
      <x:c r="FQ54" s="14" t="n">
        <x:v>20</x:v>
      </x:c>
      <x:c r="FR54" s="14" t="n">
        <x:v>781</x:v>
      </x:c>
      <x:c r="FS54" s="14" t="n">
        <x:v>150</x:v>
      </x:c>
      <x:c r="FT54" s="14" t="n">
        <x:v>14</x:v>
      </x:c>
      <x:c r="FU54" s="14" t="n">
        <x:v>2</x:v>
      </x:c>
      <x:c r="FV54" s="14" t="str">
        <x:v>未收錄</x:v>
      </x:c>
      <x:c r="FW54" s="14" t="str">
        <x:v>29916</x:v>
      </x:c>
      <x:c r="FX54" s="14" t="n">
        <x:v>20</x:v>
      </x:c>
      <x:c r="FY54" s="14" t="n">
        <x:v>782</x:v>
      </x:c>
      <x:c r="FZ54" s="14" t="n">
        <x:v>151</x:v>
      </x:c>
      <x:c r="GA54" s="14" t="n">
        <x:v>14</x:v>
      </x:c>
      <x:c r="GB54" s="14" t="n">
        <x:v>3</x:v>
      </x:c>
      <x:c r="GC54" s="14" t="str">
        <x:v>未收錄</x:v>
      </x:c>
      <x:c r="GD54" s="14" t="str">
        <x:v>29926</x:v>
      </x:c>
      <x:c r="GE54" s="14" t="n">
        <x:v>20</x:v>
      </x:c>
      <x:c r="GF54" s="14" t="n">
        <x:v>783</x:v>
      </x:c>
      <x:c r="GG54" s="14" t="n">
        <x:v>152</x:v>
      </x:c>
      <x:c r="GH54" s="14" t="n">
        <x:v>14</x:v>
      </x:c>
      <x:c r="GI54" s="14" t="n">
        <x:v>4</x:v>
      </x:c>
      <x:c r="GJ54" s="14" t="str">
        <x:v>未收錄</x:v>
      </x:c>
      <x:c r="GK54" s="14" t="str">
        <x:v>29018</x:v>
      </x:c>
      <x:c r="GL54" s="14" t="n">
        <x:v>20</x:v>
      </x:c>
      <x:c r="GM54" s="14" t="n">
        <x:v>952</x:v>
      </x:c>
      <x:c r="GN54" s="14" t="n">
        <x:v>149</x:v>
      </x:c>
      <x:c r="GO54" s="14" t="n">
        <x:v>14</x:v>
      </x:c>
      <x:c r="GP54" s="14" t="n">
        <x:v>1</x:v>
      </x:c>
      <x:c r="GQ54" s="14" t="str">
        <x:v>未收錄</x:v>
      </x:c>
      <x:c r="GR54" s="14" t="str">
        <x:v>29658</x:v>
      </x:c>
      <x:c r="GS54" s="14" t="n">
        <x:v>20</x:v>
      </x:c>
      <x:c r="GT54" s="14" t="n">
        <x:v>953</x:v>
      </x:c>
      <x:c r="GU54" s="14" t="n">
        <x:v>150</x:v>
      </x:c>
      <x:c r="GV54" s="14" t="n">
        <x:v>14</x:v>
      </x:c>
      <x:c r="GW54" s="14" t="n">
        <x:v>2</x:v>
      </x:c>
      <x:c r="GX54" s="14" t="str">
        <x:v>未收錄</x:v>
      </x:c>
      <x:c r="GY54" s="14" t="str">
        <x:v>29668</x:v>
      </x:c>
      <x:c r="GZ54" s="14" t="n">
        <x:v>20</x:v>
      </x:c>
      <x:c r="HA54" s="14" t="n">
        <x:v>954</x:v>
      </x:c>
      <x:c r="HB54" s="14" t="n">
        <x:v>151</x:v>
      </x:c>
      <x:c r="HC54" s="14" t="n">
        <x:v>14</x:v>
      </x:c>
      <x:c r="HD54" s="14" t="n">
        <x:v>3</x:v>
      </x:c>
      <x:c r="HE54" s="14" t="str">
        <x:v>未收錄</x:v>
      </x:c>
      <x:c r="HF54" s="14" t="str">
        <x:v>29917</x:v>
      </x:c>
      <x:c r="HG54" s="14" t="n">
        <x:v>20</x:v>
      </x:c>
      <x:c r="HH54" s="14" t="n">
        <x:v>955</x:v>
      </x:c>
      <x:c r="HI54" s="14" t="n">
        <x:v>152</x:v>
      </x:c>
      <x:c r="HJ54" s="14" t="n">
        <x:v>14</x:v>
      </x:c>
      <x:c r="HK54" s="14" t="n">
        <x:v>4</x:v>
      </x:c>
      <x:c r="HL54" s="14" t="str">
        <x:v>未收錄</x:v>
      </x:c>
      <x:c r="HM54" s="14" t="str">
        <x:v>27252</x:v>
      </x:c>
      <x:c r="HN54" s="14" t="n">
        <x:v>8</x:v>
      </x:c>
      <x:c r="HO54" s="14" t="n">
        <x:v>1125</x:v>
      </x:c>
      <x:c r="HP54" s="14" t="n">
        <x:v>149</x:v>
      </x:c>
      <x:c r="HQ54" s="14" t="n">
        <x:v>14</x:v>
      </x:c>
      <x:c r="HR54" s="14" t="n">
        <x:v>1</x:v>
      </x:c>
      <x:c r="HS54" s="14" t="str">
        <x:v>未收錄</x:v>
      </x:c>
      <x:c r="HT54" s="14" t="str">
        <x:v>31076</x:v>
      </x:c>
      <x:c r="HU54" s="14" t="n">
        <x:v>1</x:v>
      </x:c>
      <x:c r="HV54" s="14" t="n">
        <x:v>1126</x:v>
      </x:c>
      <x:c r="HW54" s="14" t="n">
        <x:v>150</x:v>
      </x:c>
      <x:c r="HX54" s="14" t="n">
        <x:v>14</x:v>
      </x:c>
      <x:c r="HY54" s="14" t="n">
        <x:v>2</x:v>
      </x:c>
      <x:c r="HZ54" s="14" t="str">
        <x:v>未收錄</x:v>
      </x:c>
      <x:c r="IA54" s="14" t="str">
        <x:v>30226</x:v>
      </x:c>
      <x:c r="IB54" s="14" t="n">
        <x:v>8</x:v>
      </x:c>
      <x:c r="IC54" s="14" t="n">
        <x:v>1127</x:v>
      </x:c>
      <x:c r="ID54" s="14" t="n">
        <x:v>151</x:v>
      </x:c>
      <x:c r="IE54" s="14" t="n">
        <x:v>14</x:v>
      </x:c>
      <x:c r="IF54" s="14" t="n">
        <x:v>3</x:v>
      </x:c>
      <x:c r="IG54" s="14" t="str">
        <x:v>未收錄</x:v>
      </x:c>
      <x:c r="IH54" s="14" t="str">
        <x:v>30227</x:v>
      </x:c>
      <x:c r="II54" s="14" t="n">
        <x:v>8</x:v>
      </x:c>
      <x:c r="IJ54" s="14" t="n">
        <x:v>1128</x:v>
      </x:c>
      <x:c r="IK54" s="14" t="n">
        <x:v>152</x:v>
      </x:c>
      <x:c r="IL54" s="14" t="n">
        <x:v>14</x:v>
      </x:c>
      <x:c r="IM54" s="14" t="n">
        <x:v>4</x:v>
      </x:c>
      <x:c r="IN54" s="14" t="str">
        <x:v>未收錄</x:v>
      </x:c>
      <x:c r="IO54" s="14" t="str">
        <x:v>31080</x:v>
      </x:c>
      <x:c r="IP54" s="14" t="n">
        <x:v>1</x:v>
      </x:c>
      <x:c r="IQ54" s="14" t="n">
        <x:v>1293</x:v>
      </x:c>
      <x:c r="IR54" s="14" t="n">
        <x:v>149</x:v>
      </x:c>
      <x:c r="IS54" s="14" t="n">
        <x:v>14</x:v>
      </x:c>
      <x:c r="IT54" s="14" t="n">
        <x:v>1</x:v>
      </x:c>
      <x:c r="IU54" s="14" t="str">
        <x:v>未收錄</x:v>
      </x:c>
      <x:c r="IV54" s="14" t="str">
        <x:v>30231</x:v>
      </x:c>
      <x:c r="IW54" s="14" t="n">
        <x:v>8</x:v>
      </x:c>
      <x:c r="IX54" s="14" t="n">
        <x:v>1294</x:v>
      </x:c>
      <x:c r="IY54" s="14" t="n">
        <x:v>150</x:v>
      </x:c>
      <x:c r="IZ54" s="14" t="n">
        <x:v>14</x:v>
      </x:c>
      <x:c r="JA54" s="14" t="n">
        <x:v>2</x:v>
      </x:c>
      <x:c r="JB54" s="14" t="str">
        <x:v>未收錄</x:v>
      </x:c>
      <x:c r="JC54" s="14" t="str">
        <x:v>30232</x:v>
      </x:c>
      <x:c r="JD54" s="14" t="n">
        <x:v>8</x:v>
      </x:c>
      <x:c r="JE54" s="14" t="n">
        <x:v>1295</x:v>
      </x:c>
      <x:c r="JF54" s="14" t="n">
        <x:v>151</x:v>
      </x:c>
      <x:c r="JG54" s="14" t="n">
        <x:v>14</x:v>
      </x:c>
      <x:c r="JH54" s="14" t="n">
        <x:v>3</x:v>
      </x:c>
      <x:c r="JI54" s="14" t="str">
        <x:v>未收錄</x:v>
      </x:c>
      <x:c r="JJ54" s="14" t="str">
        <x:v>30233</x:v>
      </x:c>
      <x:c r="JK54" s="14" t="n">
        <x:v>8</x:v>
      </x:c>
      <x:c r="JL54" s="14" t="n">
        <x:v>1296</x:v>
      </x:c>
      <x:c r="JM54" s="14" t="n">
        <x:v>152</x:v>
      </x:c>
      <x:c r="JN54" s="14" t="n">
        <x:v>14</x:v>
      </x:c>
      <x:c r="JO54" s="14" t="n">
        <x:v>4</x:v>
      </x:c>
      <x:c r="JP54" s="14" t="str">
        <x:v>未收錄</x:v>
      </x:c>
      <x:c r="JQ54" s="14"/>
      <x:c r="JR54" s="14"/>
      <x:c r="JS54" s="14"/>
      <x:c r="JT54" s="14"/>
      <x:c r="JU54" s="14"/>
      <x:c r="JV54" s="14"/>
      <x:c r="JW54" s="14"/>
      <x:c r="JX54" s="14"/>
      <x:c r="JY54" s="14"/>
      <x:c r="JZ54" s="14"/>
      <x:c r="KA54" s="14"/>
      <x:c r="KB54" s="14"/>
      <x:c r="KC54" s="14"/>
      <x:c r="KD54" s="14"/>
      <x:c r="KE54" s="14"/>
      <x:c r="KF54" s="14"/>
      <x:c r="KG54" s="14"/>
      <x:c r="KH54" s="14"/>
      <x:c r="KI54" s="14"/>
      <x:c r="KJ54" s="14"/>
      <x:c r="KK54" s="14"/>
      <x:c r="KL54" s="14"/>
      <x:c r="KM54" s="14"/>
      <x:c r="KN54" s="14"/>
      <x:c r="KO54" s="14"/>
      <x:c r="KP54" s="14"/>
      <x:c r="KQ54" s="14"/>
      <x:c r="KR54" s="14"/>
      <x:c r="KS54" s="14"/>
      <x:c r="KT54" s="14"/>
      <x:c r="KU54" s="14"/>
      <x:c r="KV54" s="14"/>
      <x:c r="KW54" s="14"/>
      <x:c r="KX54" s="14"/>
      <x:c r="KY54" s="14"/>
      <x:c r="KZ54" s="14"/>
      <x:c r="LA54" s="14"/>
      <x:c r="LB54" s="14"/>
      <x:c r="LC54" s="14"/>
      <x:c r="LD54" s="14"/>
      <x:c r="LE54" s="14"/>
      <x:c r="LF54" s="14"/>
      <x:c r="LG54" s="14"/>
      <x:c r="LH54" s="14"/>
      <x:c r="LI54" s="14"/>
      <x:c r="LJ54" s="14"/>
      <x:c r="LK54" s="14"/>
      <x:c r="LL54" s="14"/>
      <x:c r="LM54" s="14"/>
      <x:c r="LN54" s="14"/>
      <x:c r="LO54" s="14"/>
      <x:c r="LP54" s="14"/>
      <x:c r="LQ54" s="14"/>
      <x:c r="LR54" s="14"/>
      <x:c r="LS54" s="14"/>
      <x:c r="LT54" s="14"/>
      <x:c r="LU54" s="14"/>
      <x:c r="LV54" s="14"/>
      <x:c r="LW54" s="14"/>
      <x:c r="LX54" s="14"/>
      <x:c r="LY54" s="14"/>
      <x:c r="LZ54" s="14"/>
      <x:c r="MA54" s="14"/>
      <x:c r="MB54" s="14"/>
      <x:c r="MC54" s="14"/>
      <x:c r="MD54" s="14"/>
      <x:c r="ME54" s="14"/>
      <x:c r="MF54" s="14"/>
      <x:c r="MG54" s="14"/>
      <x:c r="MH54" s="14"/>
      <x:c r="MI54" s="14"/>
      <x:c r="MJ54" s="14"/>
      <x:c r="MK54" s="14"/>
      <x:c r="ML54" s="14"/>
      <x:c r="MM54" s="14"/>
      <x:c r="MN54" s="14"/>
      <x:c r="MO54" s="14"/>
      <x:c r="MP54" s="14"/>
      <x:c r="MQ54" s="14"/>
      <x:c r="MR54" s="14"/>
      <x:c r="MS54" s="14"/>
      <x:c r="MT54" s="14"/>
      <x:c r="MU54" s="14"/>
      <x:c r="MV54" s="14"/>
      <x:c r="MW54" s="14" t="str">
        <x:v>23539</x:v>
      </x:c>
      <x:c r="MX54" s="14" t="n">
        <x:v>5</x:v>
      </x:c>
      <x:c r="MY54" s="14" t="n">
        <x:v>1797</x:v>
      </x:c>
      <x:c r="MZ54" s="14" t="n">
        <x:v>149</x:v>
      </x:c>
      <x:c r="NA54" s="14" t="n">
        <x:v>14</x:v>
      </x:c>
      <x:c r="NB54" s="14" t="n">
        <x:v>1</x:v>
      </x:c>
      <x:c r="NC54" s="14" t="str">
        <x:v>未收錄</x:v>
      </x:c>
      <x:c r="ND54" s="14" t="str">
        <x:v>23540</x:v>
      </x:c>
      <x:c r="NE54" s="14" t="n">
        <x:v>5</x:v>
      </x:c>
      <x:c r="NF54" s="14" t="n">
        <x:v>1798</x:v>
      </x:c>
      <x:c r="NG54" s="14" t="n">
        <x:v>150</x:v>
      </x:c>
      <x:c r="NH54" s="14" t="n">
        <x:v>14</x:v>
      </x:c>
      <x:c r="NI54" s="14" t="n">
        <x:v>2</x:v>
      </x:c>
      <x:c r="NJ54" s="14" t="str">
        <x:v>未收錄</x:v>
      </x:c>
      <x:c r="NK54" s="14" t="str">
        <x:v>23541</x:v>
      </x:c>
      <x:c r="NL54" s="14" t="n">
        <x:v>5</x:v>
      </x:c>
      <x:c r="NM54" s="14" t="n">
        <x:v>1799</x:v>
      </x:c>
      <x:c r="NN54" s="14" t="n">
        <x:v>151</x:v>
      </x:c>
      <x:c r="NO54" s="14" t="n">
        <x:v>14</x:v>
      </x:c>
      <x:c r="NP54" s="14" t="n">
        <x:v>3</x:v>
      </x:c>
      <x:c r="NQ54" s="14" t="str">
        <x:v>未收錄</x:v>
      </x:c>
      <x:c r="NR54" s="14" t="str">
        <x:v>23542</x:v>
      </x:c>
      <x:c r="NS54" s="14" t="n">
        <x:v>5</x:v>
      </x:c>
      <x:c r="NT54" s="14" t="n">
        <x:v>1800</x:v>
      </x:c>
      <x:c r="NU54" s="14" t="n">
        <x:v>152</x:v>
      </x:c>
      <x:c r="NV54" s="14" t="n">
        <x:v>14</x:v>
      </x:c>
      <x:c r="NW54" s="14" t="n">
        <x:v>4</x:v>
      </x:c>
      <x:c r="NX54" s="14" t="str">
        <x:v>未收錄</x:v>
      </x:c>
      <x:c r="NY54" s="14" t="str">
        <x:v>23190</x:v>
      </x:c>
      <x:c r="NZ54" s="14" t="n">
        <x:v>5</x:v>
      </x:c>
      <x:c r="OA54" s="14" t="n">
        <x:v>2250</x:v>
      </x:c>
      <x:c r="OB54" s="14" t="n">
        <x:v>149</x:v>
      </x:c>
      <x:c r="OC54" s="14" t="n">
        <x:v>14</x:v>
      </x:c>
      <x:c r="OD54" s="14" t="n">
        <x:v>1</x:v>
      </x:c>
      <x:c r="OE54" s="14" t="str">
        <x:v>未收錄</x:v>
      </x:c>
      <x:c r="OF54" s="14" t="str">
        <x:v>23191</x:v>
      </x:c>
      <x:c r="OG54" s="14" t="n">
        <x:v>5</x:v>
      </x:c>
      <x:c r="OH54" s="14" t="n">
        <x:v>2251</x:v>
      </x:c>
      <x:c r="OI54" s="14" t="n">
        <x:v>150</x:v>
      </x:c>
      <x:c r="OJ54" s="14" t="n">
        <x:v>14</x:v>
      </x:c>
      <x:c r="OK54" s="14" t="n">
        <x:v>2</x:v>
      </x:c>
      <x:c r="OL54" s="14" t="str">
        <x:v>未收錄</x:v>
      </x:c>
      <x:c r="OM54" s="14" t="str">
        <x:v>23379</x:v>
      </x:c>
      <x:c r="ON54" s="14" t="n">
        <x:v>10</x:v>
      </x:c>
      <x:c r="OO54" s="14" t="n">
        <x:v>2252</x:v>
      </x:c>
      <x:c r="OP54" s="14" t="n">
        <x:v>151</x:v>
      </x:c>
      <x:c r="OQ54" s="14" t="n">
        <x:v>14</x:v>
      </x:c>
      <x:c r="OR54" s="14" t="n">
        <x:v>3</x:v>
      </x:c>
      <x:c r="OS54" s="14" t="str">
        <x:v>未收錄</x:v>
      </x:c>
      <x:c r="OT54" s="14" t="str">
        <x:v>23380</x:v>
      </x:c>
      <x:c r="OU54" s="14" t="n">
        <x:v>10</x:v>
      </x:c>
      <x:c r="OV54" s="14" t="n">
        <x:v>2253</x:v>
      </x:c>
      <x:c r="OW54" s="14" t="n">
        <x:v>152</x:v>
      </x:c>
      <x:c r="OX54" s="14" t="n">
        <x:v>14</x:v>
      </x:c>
      <x:c r="OY54" s="14" t="n">
        <x:v>4</x:v>
      </x:c>
      <x:c r="OZ54" s="14" t="str">
        <x:v>未收錄</x:v>
      </x:c>
      <x:c r="PA54" s="14" t="str">
        <x:v>24020</x:v>
      </x:c>
      <x:c r="PB54" s="14" t="n">
        <x:v>5</x:v>
      </x:c>
      <x:c r="PC54" s="14" t="n">
        <x:v>2796</x:v>
      </x:c>
      <x:c r="PD54" s="14" t="n">
        <x:v>149</x:v>
      </x:c>
      <x:c r="PE54" s="14" t="n">
        <x:v>14</x:v>
      </x:c>
      <x:c r="PF54" s="14" t="n">
        <x:v>1</x:v>
      </x:c>
      <x:c r="PG54" s="14" t="str">
        <x:v>未收錄</x:v>
      </x:c>
      <x:c r="PH54" s="14" t="str">
        <x:v>24021</x:v>
      </x:c>
      <x:c r="PI54" s="14" t="n">
        <x:v>5</x:v>
      </x:c>
      <x:c r="PJ54" s="14" t="n">
        <x:v>2797</x:v>
      </x:c>
      <x:c r="PK54" s="14" t="n">
        <x:v>150</x:v>
      </x:c>
      <x:c r="PL54" s="14" t="n">
        <x:v>14</x:v>
      </x:c>
      <x:c r="PM54" s="14" t="n">
        <x:v>2</x:v>
      </x:c>
      <x:c r="PN54" s="14" t="str">
        <x:v>未收錄</x:v>
      </x:c>
      <x:c r="PO54" s="14" t="str">
        <x:v>24022</x:v>
      </x:c>
      <x:c r="PP54" s="14" t="n">
        <x:v>5</x:v>
      </x:c>
      <x:c r="PQ54" s="14" t="n">
        <x:v>2798</x:v>
      </x:c>
      <x:c r="PR54" s="14" t="n">
        <x:v>151</x:v>
      </x:c>
      <x:c r="PS54" s="14" t="n">
        <x:v>14</x:v>
      </x:c>
      <x:c r="PT54" s="14" t="n">
        <x:v>3</x:v>
      </x:c>
      <x:c r="PU54" s="14" t="str">
        <x:v>未收錄</x:v>
      </x:c>
      <x:c r="PV54" s="14" t="str">
        <x:v>24023</x:v>
      </x:c>
      <x:c r="PW54" s="14" t="n">
        <x:v>5</x:v>
      </x:c>
      <x:c r="PX54" s="14" t="n">
        <x:v>2799</x:v>
      </x:c>
      <x:c r="PY54" s="14" t="n">
        <x:v>152</x:v>
      </x:c>
      <x:c r="PZ54" s="14" t="n">
        <x:v>14</x:v>
      </x:c>
      <x:c r="QA54" s="14" t="n">
        <x:v>4</x:v>
      </x:c>
      <x:c r="QB54" s="14" t="str">
        <x:v>未收錄</x:v>
      </x:c>
      <x:c r="QC54" s="14" t="str">
        <x:v>24028</x:v>
      </x:c>
      <x:c r="QD54" s="14" t="n">
        <x:v>5</x:v>
      </x:c>
      <x:c r="QE54" s="14" t="n">
        <x:v>3233</x:v>
      </x:c>
      <x:c r="QF54" s="14" t="n">
        <x:v>149</x:v>
      </x:c>
      <x:c r="QG54" s="14" t="n">
        <x:v>14</x:v>
      </x:c>
      <x:c r="QH54" s="14" t="n">
        <x:v>1</x:v>
      </x:c>
      <x:c r="QI54" s="14" t="str">
        <x:v>未收錄</x:v>
      </x:c>
      <x:c r="QJ54" s="14" t="str">
        <x:v>24029</x:v>
      </x:c>
      <x:c r="QK54" s="14" t="n">
        <x:v>5</x:v>
      </x:c>
      <x:c r="QL54" s="14" t="n">
        <x:v>3234</x:v>
      </x:c>
      <x:c r="QM54" s="14" t="n">
        <x:v>150</x:v>
      </x:c>
      <x:c r="QN54" s="14" t="n">
        <x:v>14</x:v>
      </x:c>
      <x:c r="QO54" s="14" t="n">
        <x:v>2</x:v>
      </x:c>
      <x:c r="QP54" s="14" t="str">
        <x:v>未收錄</x:v>
      </x:c>
      <x:c r="QQ54" s="14" t="str">
        <x:v>24030</x:v>
      </x:c>
      <x:c r="QR54" s="14" t="n">
        <x:v>5</x:v>
      </x:c>
      <x:c r="QS54" s="14" t="n">
        <x:v>3235</x:v>
      </x:c>
      <x:c r="QT54" s="14" t="n">
        <x:v>151</x:v>
      </x:c>
      <x:c r="QU54" s="14" t="n">
        <x:v>14</x:v>
      </x:c>
      <x:c r="QV54" s="14" t="n">
        <x:v>3</x:v>
      </x:c>
      <x:c r="QW54" s="14" t="str">
        <x:v>未收錄</x:v>
      </x:c>
      <x:c r="QX54" s="14" t="str">
        <x:v>24031</x:v>
      </x:c>
      <x:c r="QY54" s="14" t="n">
        <x:v>5</x:v>
      </x:c>
      <x:c r="QZ54" s="14" t="n">
        <x:v>3236</x:v>
      </x:c>
      <x:c r="RA54" s="14" t="n">
        <x:v>152</x:v>
      </x:c>
      <x:c r="RB54" s="14" t="n">
        <x:v>14</x:v>
      </x:c>
      <x:c r="RC54" s="14" t="n">
        <x:v>4</x:v>
      </x:c>
      <x:c r="RD54" s="14" t="str">
        <x:v>未收錄</x:v>
      </x:c>
      <x:c r="RE54" s="14" t="str">
        <x:v>24722</x:v>
      </x:c>
      <x:c r="RF54" s="14" t="n">
        <x:v>3</x:v>
      </x:c>
      <x:c r="RG54" s="14" t="n">
        <x:v>3694</x:v>
      </x:c>
      <x:c r="RH54" s="14" t="n">
        <x:v>149</x:v>
      </x:c>
      <x:c r="RI54" s="14" t="n">
        <x:v>14</x:v>
      </x:c>
      <x:c r="RJ54" s="14" t="n">
        <x:v>1</x:v>
      </x:c>
      <x:c r="RK54" s="14" t="str">
        <x:v>未收錄</x:v>
      </x:c>
      <x:c r="RL54" s="14" t="str">
        <x:v>24732</x:v>
      </x:c>
      <x:c r="RM54" s="14" t="n">
        <x:v>5</x:v>
      </x:c>
      <x:c r="RN54" s="14" t="n">
        <x:v>3695</x:v>
      </x:c>
      <x:c r="RO54" s="14" t="n">
        <x:v>150</x:v>
      </x:c>
      <x:c r="RP54" s="14" t="n">
        <x:v>14</x:v>
      </x:c>
      <x:c r="RQ54" s="14" t="n">
        <x:v>2</x:v>
      </x:c>
      <x:c r="RR54" s="14" t="str">
        <x:v>未收錄</x:v>
      </x:c>
      <x:c r="RS54" s="14" t="str">
        <x:v>24775</x:v>
      </x:c>
      <x:c r="RT54" s="14" t="n">
        <x:v>5</x:v>
      </x:c>
      <x:c r="RU54" s="14" t="n">
        <x:v>3696</x:v>
      </x:c>
      <x:c r="RV54" s="14" t="n">
        <x:v>151</x:v>
      </x:c>
      <x:c r="RW54" s="14" t="n">
        <x:v>14</x:v>
      </x:c>
      <x:c r="RX54" s="14" t="n">
        <x:v>3</x:v>
      </x:c>
      <x:c r="RY54" s="14" t="str">
        <x:v>未收錄</x:v>
      </x:c>
      <x:c r="RZ54" s="14" t="str">
        <x:v>24783</x:v>
      </x:c>
      <x:c r="SA54" s="14" t="n">
        <x:v>10</x:v>
      </x:c>
      <x:c r="SB54" s="14" t="n">
        <x:v>3697</x:v>
      </x:c>
      <x:c r="SC54" s="14" t="n">
        <x:v>152</x:v>
      </x:c>
      <x:c r="SD54" s="14" t="n">
        <x:v>14</x:v>
      </x:c>
      <x:c r="SE54" s="14" t="n">
        <x:v>4</x:v>
      </x:c>
      <x:c r="SF54" s="14" t="str">
        <x:v>未收錄</x:v>
      </x:c>
      <x:c r="SG54" s="14"/>
      <x:c r="SH54" s="14"/>
      <x:c r="SI54" s="14"/>
      <x:c r="SJ54" s="14"/>
      <x:c r="SK54" s="14"/>
      <x:c r="SL54" s="14"/>
      <x:c r="SM54" s="14"/>
      <x:c r="SN54" s="14"/>
      <x:c r="SO54" s="14"/>
      <x:c r="SP54" s="14"/>
      <x:c r="SQ54" s="14"/>
      <x:c r="SR54" s="14"/>
      <x:c r="SS54" s="14"/>
      <x:c r="ST54" s="14"/>
      <x:c r="SU54" s="14"/>
      <x:c r="SV54" s="14"/>
      <x:c r="SW54" s="14"/>
      <x:c r="SX54" s="14"/>
      <x:c r="SY54" s="14"/>
      <x:c r="SZ54" s="14"/>
      <x:c r="TA54" s="14"/>
      <x:c r="TB54" s="14"/>
      <x:c r="TC54" s="14"/>
      <x:c r="TD54" s="14"/>
      <x:c r="TE54" s="14"/>
      <x:c r="TF54" s="14"/>
      <x:c r="TG54" s="14"/>
      <x:c r="TH54" s="14"/>
    </x:row>
    <x:row r="55" ht="15" customHeight="1">
      <x:c r="A55" s="17" t="str">
        <x:v>太古晨光劍</x:v>
      </x:c>
      <x:c r="B55" s="17" t="str">
        <x:v>聖輝十字劍</x:v>
      </x:c>
      <x:c r="C55" s="17" t="str">
        <x:v>淨世神禱劍</x:v>
      </x:c>
      <x:c r="D55" s="17" t="str">
        <x:v>斬惡聖衛神劍</x:v>
      </x:c>
      <x:c r="E55" s="14"/>
      <x:c r="F55" s="17" t="str">
        <x:v>忘野幻霧刀</x:v>
      </x:c>
      <x:c r="G55" s="17" t="str">
        <x:v>龍脊刀</x:v>
      </x:c>
      <x:c r="H55" s="17" t="str">
        <x:v>太古龍脊刀</x:v>
      </x:c>
      <x:c r="I55" s="17" t="str">
        <x:v>傲天龍心刀</x:v>
      </x:c>
      <x:c r="J55" s="14"/>
      <x:c r="K55" s="14"/>
      <x:c r="L55" s="14"/>
      <x:c r="M55" s="14"/>
      <x:c r="N55" s="14"/>
      <x:c r="O55" s="14"/>
      <x:c r="P55" s="17" t="str">
        <x:v>新星之露霜絲</x:v>
      </x:c>
      <x:c r="Q55" s="17" t="str">
        <x:v>古淵絲</x:v>
      </x:c>
      <x:c r="R55" s="17" t="str">
        <x:v>絃霧靈拂Ⅰ</x:v>
      </x:c>
      <x:c r="S55" s="17" t="str">
        <x:v>絃霧靈拂Ⅱ</x:v>
      </x:c>
      <x:c r="T55" s="14"/>
      <x:c r="U55" s="17" t="str">
        <x:v>日月五峰杖</x:v>
      </x:c>
      <x:c r="V55" s="17" t="str">
        <x:v>新星之菩釋杖</x:v>
      </x:c>
      <x:c r="W55" s="17" t="str">
        <x:v>九界杖</x:v>
      </x:c>
      <x:c r="X55" s="17" t="str">
        <x:v>明露鴻杖Ⅰ</x:v>
      </x:c>
      <x:c r="Y55" s="14"/>
      <x:c r="Z55" s="17" t="str">
        <x:v>赤鴉裂槍Ⅲ</x:v>
      </x:c>
      <x:c r="AA55" s="17" t="str">
        <x:v>赤鴉裂槍Ⅳ</x:v>
      </x:c>
      <x:c r="AB55" s="17" t="str">
        <x:v>赤鴉裂槍Ⅴ</x:v>
      </x:c>
      <x:c r="AC55" s="17" t="str">
        <x:v>袚燈笠雲槍</x:v>
      </x:c>
      <x:c r="AD55" s="14"/>
      <x:c r="AE55" s="17" t="str">
        <x:v>綻虹鳳棒Ⅳ</x:v>
      </x:c>
      <x:c r="AF55" s="17" t="str">
        <x:v>綻虹鳳棒Ⅴ</x:v>
      </x:c>
      <x:c r="AG55" s="17" t="str">
        <x:v>神翔萬雷棍</x:v>
      </x:c>
      <x:c r="AH55" s="17" t="str">
        <x:v>神翔萬雷棍</x:v>
      </x:c>
      <x:c r="AI55" s="14"/>
      <x:c r="AJ55" s="14"/>
      <x:c r="AK55" s="14"/>
      <x:c r="AL55" s="14"/>
      <x:c r="AM55" s="14"/>
      <x:c r="AN55" s="14"/>
      <x:c r="AO55" s="14"/>
      <x:c r="AP55" s="14"/>
      <x:c r="AQ55" s="14"/>
      <x:c r="AR55" s="14"/>
      <x:c r="AS55" s="14"/>
      <x:c r="AT55" s="14"/>
      <x:c r="AU55" s="14"/>
      <x:c r="AV55" s="14"/>
      <x:c r="AW55" s="14"/>
      <x:c r="AX55" s="14"/>
      <x:c r="AY55" s="17" t="str">
        <x:v>蒼烈戰盔</x:v>
      </x:c>
      <x:c r="AZ55" s="17" t="str">
        <x:v>龍魔鱗盔</x:v>
      </x:c>
      <x:c r="BA55" s="17" t="str">
        <x:v>阿鼻邪首</x:v>
      </x:c>
      <x:c r="BB55" s="17" t="str">
        <x:v>玉清玄冠</x:v>
      </x:c>
      <x:c r="BC55" s="14"/>
      <x:c r="BD55" s="17" t="str">
        <x:v>真．勇者聖甲</x:v>
      </x:c>
      <x:c r="BE55" s="17" t="str">
        <x:v>真．義者聖甲</x:v>
      </x:c>
      <x:c r="BF55" s="17" t="str">
        <x:v>真．天神羽紗</x:v>
      </x:c>
      <x:c r="BG55" s="17" t="str">
        <x:v>驕陽戰甲</x:v>
      </x:c>
      <x:c r="BH55" s="14"/>
      <x:c r="BI55" s="17" t="str">
        <x:v>朗達瑪腕</x:v>
      </x:c>
      <x:c r="BJ55" s="17" t="str">
        <x:v>牟如法腕</x:v>
      </x:c>
      <x:c r="BK55" s="17" t="str">
        <x:v>素盞鳴腕‧絕</x:v>
      </x:c>
      <x:c r="BL55" s="17" t="str">
        <x:v>軍星腕胄</x:v>
      </x:c>
      <x:c r="BM55" s="14"/>
      <x:c r="BN55" s="17" t="str">
        <x:v>古茹鋼靴</x:v>
      </x:c>
      <x:c r="BO55" s="17" t="str">
        <x:v>穆赤風履</x:v>
      </x:c>
      <x:c r="BP55" s="17" t="str">
        <x:v>朗達瑪靴</x:v>
      </x:c>
      <x:c r="BQ55" s="17" t="str">
        <x:v>牟如行腳</x:v>
      </x:c>
      <x:c r="BR55" s="14"/>
      <x:c r="BS55" s="17" t="str">
        <x:v>無限命脈輪</x:v>
      </x:c>
      <x:c r="BT55" s="17" t="str">
        <x:v>無限精元環</x:v>
      </x:c>
      <x:c r="BU55" s="17" t="str">
        <x:v>真戰神護功戒</x:v>
      </x:c>
      <x:c r="BV55" s="17" t="str">
        <x:v>超‧六滅化神</x:v>
      </x:c>
      <x:c r="BW55" s="14"/>
      <x:c r="BX55" s="14"/>
      <x:c r="BY55" s="14"/>
      <x:c r="BZ55" s="14"/>
      <x:c r="CA55" s="14"/>
      <x:c r="CB55" s="14"/>
      <x:c r="CC55" s="14" t="str">
        <x:v>26711</x:v>
      </x:c>
      <x:c r="CD55" s="14" t="n">
        <x:v>3</x:v>
      </x:c>
      <x:c r="CE55" s="14" t="n">
        <x:v>153</x:v>
      </x:c>
      <x:c r="CF55" s="14" t="n">
        <x:v>153</x:v>
      </x:c>
      <x:c r="CG55" s="14" t="n">
        <x:v>15</x:v>
      </x:c>
      <x:c r="CH55" s="14" t="n">
        <x:v>1</x:v>
      </x:c>
      <x:c r="CI55" s="14" t="str">
        <x:v>未收錄</x:v>
      </x:c>
      <x:c r="CJ55" s="14" t="str">
        <x:v>26058</x:v>
      </x:c>
      <x:c r="CK55" s="14" t="n">
        <x:v>8</x:v>
      </x:c>
      <x:c r="CL55" s="14" t="n">
        <x:v>154</x:v>
      </x:c>
      <x:c r="CM55" s="14" t="n">
        <x:v>154</x:v>
      </x:c>
      <x:c r="CN55" s="14" t="n">
        <x:v>15</x:v>
      </x:c>
      <x:c r="CO55" s="14" t="n">
        <x:v>2</x:v>
      </x:c>
      <x:c r="CP55" s="14" t="str">
        <x:v>未收錄</x:v>
      </x:c>
      <x:c r="CQ55" s="14" t="str">
        <x:v>26059</x:v>
      </x:c>
      <x:c r="CR55" s="14" t="n">
        <x:v>8</x:v>
      </x:c>
      <x:c r="CS55" s="14" t="n">
        <x:v>155</x:v>
      </x:c>
      <x:c r="CT55" s="14" t="n">
        <x:v>155</x:v>
      </x:c>
      <x:c r="CU55" s="14" t="n">
        <x:v>15</x:v>
      </x:c>
      <x:c r="CV55" s="14" t="n">
        <x:v>3</x:v>
      </x:c>
      <x:c r="CW55" s="14" t="str">
        <x:v>未收錄</x:v>
      </x:c>
      <x:c r="CX55" s="14" t="str">
        <x:v>26444</x:v>
      </x:c>
      <x:c r="CY55" s="14" t="n">
        <x:v>8</x:v>
      </x:c>
      <x:c r="CZ55" s="14" t="n">
        <x:v>156</x:v>
      </x:c>
      <x:c r="DA55" s="14" t="n">
        <x:v>156</x:v>
      </x:c>
      <x:c r="DB55" s="14" t="n">
        <x:v>15</x:v>
      </x:c>
      <x:c r="DC55" s="14" t="n">
        <x:v>4</x:v>
      </x:c>
      <x:c r="DD55" s="14" t="str">
        <x:v>未收錄</x:v>
      </x:c>
      <x:c r="DE55" s="14" t="str">
        <x:v>26608</x:v>
      </x:c>
      <x:c r="DF55" s="14" t="n">
        <x:v>8</x:v>
      </x:c>
      <x:c r="DG55" s="14" t="n">
        <x:v>398</x:v>
      </x:c>
      <x:c r="DH55" s="14" t="n">
        <x:v>153</x:v>
      </x:c>
      <x:c r="DI55" s="14" t="n">
        <x:v>15</x:v>
      </x:c>
      <x:c r="DJ55" s="14" t="n">
        <x:v>1</x:v>
      </x:c>
      <x:c r="DK55" s="14" t="str">
        <x:v>未收錄</x:v>
      </x:c>
      <x:c r="DL55" s="14" t="str">
        <x:v>26609</x:v>
      </x:c>
      <x:c r="DM55" s="14" t="n">
        <x:v>8</x:v>
      </x:c>
      <x:c r="DN55" s="14" t="n">
        <x:v>399</x:v>
      </x:c>
      <x:c r="DO55" s="14" t="n">
        <x:v>154</x:v>
      </x:c>
      <x:c r="DP55" s="14" t="n">
        <x:v>15</x:v>
      </x:c>
      <x:c r="DQ55" s="14" t="n">
        <x:v>2</x:v>
      </x:c>
      <x:c r="DR55" s="14" t="str">
        <x:v>未收錄</x:v>
      </x:c>
      <x:c r="DS55" s="14" t="str">
        <x:v>26730</x:v>
      </x:c>
      <x:c r="DT55" s="14" t="n">
        <x:v>3</x:v>
      </x:c>
      <x:c r="DU55" s="14" t="n">
        <x:v>400</x:v>
      </x:c>
      <x:c r="DV55" s="14" t="n">
        <x:v>155</x:v>
      </x:c>
      <x:c r="DW55" s="14" t="n">
        <x:v>15</x:v>
      </x:c>
      <x:c r="DX55" s="14" t="n">
        <x:v>3</x:v>
      </x:c>
      <x:c r="DY55" s="14" t="str">
        <x:v>未收錄</x:v>
      </x:c>
      <x:c r="DZ55" s="14" t="str">
        <x:v>26610</x:v>
      </x:c>
      <x:c r="EA55" s="14" t="n">
        <x:v>8</x:v>
      </x:c>
      <x:c r="EB55" s="14" t="n">
        <x:v>401</x:v>
      </x:c>
      <x:c r="EC55" s="14" t="n">
        <x:v>156</x:v>
      </x:c>
      <x:c r="ED55" s="14" t="n">
        <x:v>15</x:v>
      </x:c>
      <x:c r="EE55" s="14" t="n">
        <x:v>4</x:v>
      </x:c>
      <x:c r="EF55" s="14" t="str">
        <x:v>未收錄</x:v>
      </x:c>
      <x:c r="EG55" s="14"/>
      <x:c r="EH55" s="14"/>
      <x:c r="EI55" s="14"/>
      <x:c r="EJ55" s="14"/>
      <x:c r="EK55" s="14"/>
      <x:c r="EL55" s="14"/>
      <x:c r="EM55" s="14"/>
      <x:c r="EN55" s="14"/>
      <x:c r="EO55" s="14"/>
      <x:c r="EP55" s="14"/>
      <x:c r="EQ55" s="14"/>
      <x:c r="ER55" s="14"/>
      <x:c r="ES55" s="14"/>
      <x:c r="ET55" s="14"/>
      <x:c r="EU55" s="14"/>
      <x:c r="EV55" s="14"/>
      <x:c r="EW55" s="14"/>
      <x:c r="EX55" s="14"/>
      <x:c r="EY55" s="14"/>
      <x:c r="EZ55" s="14"/>
      <x:c r="FA55" s="14"/>
      <x:c r="FB55" s="14"/>
      <x:c r="FC55" s="14"/>
      <x:c r="FD55" s="14"/>
      <x:c r="FE55" s="14"/>
      <x:c r="FF55" s="14"/>
      <x:c r="FG55" s="14"/>
      <x:c r="FH55" s="14"/>
      <x:c r="FI55" s="14" t="str">
        <x:v>27244</x:v>
      </x:c>
      <x:c r="FJ55" s="14" t="n">
        <x:v>8</x:v>
      </x:c>
      <x:c r="FK55" s="14" t="n">
        <x:v>784</x:v>
      </x:c>
      <x:c r="FL55" s="14" t="n">
        <x:v>153</x:v>
      </x:c>
      <x:c r="FM55" s="14" t="n">
        <x:v>15</x:v>
      </x:c>
      <x:c r="FN55" s="14" t="n">
        <x:v>1</x:v>
      </x:c>
      <x:c r="FO55" s="14" t="str">
        <x:v>未收錄</x:v>
      </x:c>
      <x:c r="FP55" s="14" t="str">
        <x:v>31075</x:v>
      </x:c>
      <x:c r="FQ55" s="14" t="n">
        <x:v>1</x:v>
      </x:c>
      <x:c r="FR55" s="14" t="n">
        <x:v>785</x:v>
      </x:c>
      <x:c r="FS55" s="14" t="n">
        <x:v>154</x:v>
      </x:c>
      <x:c r="FT55" s="14" t="n">
        <x:v>15</x:v>
      </x:c>
      <x:c r="FU55" s="14" t="n">
        <x:v>2</x:v>
      </x:c>
      <x:c r="FV55" s="14" t="str">
        <x:v>未收錄</x:v>
      </x:c>
      <x:c r="FW55" s="14" t="str">
        <x:v>30216</x:v>
      </x:c>
      <x:c r="FX55" s="14" t="n">
        <x:v>8</x:v>
      </x:c>
      <x:c r="FY55" s="14" t="n">
        <x:v>786</x:v>
      </x:c>
      <x:c r="FZ55" s="14" t="n">
        <x:v>155</x:v>
      </x:c>
      <x:c r="GA55" s="14" t="n">
        <x:v>15</x:v>
      </x:c>
      <x:c r="GB55" s="14" t="n">
        <x:v>3</x:v>
      </x:c>
      <x:c r="GC55" s="14" t="str">
        <x:v>未收錄</x:v>
      </x:c>
      <x:c r="GD55" s="14" t="str">
        <x:v>30217</x:v>
      </x:c>
      <x:c r="GE55" s="14" t="n">
        <x:v>8</x:v>
      </x:c>
      <x:c r="GF55" s="14" t="n">
        <x:v>787</x:v>
      </x:c>
      <x:c r="GG55" s="14" t="n">
        <x:v>156</x:v>
      </x:c>
      <x:c r="GH55" s="14" t="n">
        <x:v>15</x:v>
      </x:c>
      <x:c r="GI55" s="14" t="n">
        <x:v>4</x:v>
      </x:c>
      <x:c r="GJ55" s="14" t="str">
        <x:v>未收錄</x:v>
      </x:c>
      <x:c r="GK55" s="14" t="str">
        <x:v>29927</x:v>
      </x:c>
      <x:c r="GL55" s="14" t="n">
        <x:v>20</x:v>
      </x:c>
      <x:c r="GM55" s="14" t="n">
        <x:v>956</x:v>
      </x:c>
      <x:c r="GN55" s="14" t="n">
        <x:v>153</x:v>
      </x:c>
      <x:c r="GO55" s="14" t="n">
        <x:v>15</x:v>
      </x:c>
      <x:c r="GP55" s="14" t="n">
        <x:v>1</x:v>
      </x:c>
      <x:c r="GQ55" s="14" t="str">
        <x:v>未收錄</x:v>
      </x:c>
      <x:c r="GR55" s="14" t="str">
        <x:v>27248</x:v>
      </x:c>
      <x:c r="GS55" s="14" t="n">
        <x:v>8</x:v>
      </x:c>
      <x:c r="GT55" s="14" t="n">
        <x:v>957</x:v>
      </x:c>
      <x:c r="GU55" s="14" t="n">
        <x:v>154</x:v>
      </x:c>
      <x:c r="GV55" s="14" t="n">
        <x:v>15</x:v>
      </x:c>
      <x:c r="GW55" s="14" t="n">
        <x:v>2</x:v>
      </x:c>
      <x:c r="GX55" s="14" t="str">
        <x:v>未收錄</x:v>
      </x:c>
      <x:c r="GY55" s="14" t="str">
        <x:v>31077</x:v>
      </x:c>
      <x:c r="GZ55" s="14" t="n">
        <x:v>1</x:v>
      </x:c>
      <x:c r="HA55" s="14" t="n">
        <x:v>958</x:v>
      </x:c>
      <x:c r="HB55" s="14" t="n">
        <x:v>155</x:v>
      </x:c>
      <x:c r="HC55" s="14" t="n">
        <x:v>15</x:v>
      </x:c>
      <x:c r="HD55" s="14" t="n">
        <x:v>3</x:v>
      </x:c>
      <x:c r="HE55" s="14" t="str">
        <x:v>未收錄</x:v>
      </x:c>
      <x:c r="HF55" s="14" t="str">
        <x:v>30221</x:v>
      </x:c>
      <x:c r="HG55" s="14" t="n">
        <x:v>8</x:v>
      </x:c>
      <x:c r="HH55" s="14" t="n">
        <x:v>959</x:v>
      </x:c>
      <x:c r="HI55" s="14" t="n">
        <x:v>156</x:v>
      </x:c>
      <x:c r="HJ55" s="14" t="n">
        <x:v>15</x:v>
      </x:c>
      <x:c r="HK55" s="14" t="n">
        <x:v>4</x:v>
      </x:c>
      <x:c r="HL55" s="14" t="str">
        <x:v>未收錄</x:v>
      </x:c>
      <x:c r="HM55" s="14" t="str">
        <x:v>30228</x:v>
      </x:c>
      <x:c r="HN55" s="14" t="n">
        <x:v>8</x:v>
      </x:c>
      <x:c r="HO55" s="14" t="n">
        <x:v>1129</x:v>
      </x:c>
      <x:c r="HP55" s="14" t="n">
        <x:v>153</x:v>
      </x:c>
      <x:c r="HQ55" s="14" t="n">
        <x:v>15</x:v>
      </x:c>
      <x:c r="HR55" s="14" t="n">
        <x:v>1</x:v>
      </x:c>
      <x:c r="HS55" s="14" t="str">
        <x:v>未收錄</x:v>
      </x:c>
      <x:c r="HT55" s="14" t="str">
        <x:v>30229</x:v>
      </x:c>
      <x:c r="HU55" s="14" t="n">
        <x:v>8</x:v>
      </x:c>
      <x:c r="HV55" s="14" t="n">
        <x:v>1130</x:v>
      </x:c>
      <x:c r="HW55" s="14" t="n">
        <x:v>154</x:v>
      </x:c>
      <x:c r="HX55" s="14" t="n">
        <x:v>15</x:v>
      </x:c>
      <x:c r="HY55" s="14" t="n">
        <x:v>2</x:v>
      </x:c>
      <x:c r="HZ55" s="14" t="str">
        <x:v>未收錄</x:v>
      </x:c>
      <x:c r="IA55" s="14" t="str">
        <x:v>30230</x:v>
      </x:c>
      <x:c r="IB55" s="14" t="n">
        <x:v>8</x:v>
      </x:c>
      <x:c r="IC55" s="14" t="n">
        <x:v>1131</x:v>
      </x:c>
      <x:c r="ID55" s="14" t="n">
        <x:v>155</x:v>
      </x:c>
      <x:c r="IE55" s="14" t="n">
        <x:v>15</x:v>
      </x:c>
      <x:c r="IF55" s="14" t="n">
        <x:v>3</x:v>
      </x:c>
      <x:c r="IG55" s="14" t="str">
        <x:v>未收錄</x:v>
      </x:c>
      <x:c r="IH55" s="14" t="str">
        <x:v>30616</x:v>
      </x:c>
      <x:c r="II55" s="14" t="n">
        <x:v>20</x:v>
      </x:c>
      <x:c r="IJ55" s="14" t="n">
        <x:v>1132</x:v>
      </x:c>
      <x:c r="IK55" s="14" t="n">
        <x:v>156</x:v>
      </x:c>
      <x:c r="IL55" s="14" t="n">
        <x:v>15</x:v>
      </x:c>
      <x:c r="IM55" s="14" t="n">
        <x:v>4</x:v>
      </x:c>
      <x:c r="IN55" s="14" t="str">
        <x:v>未收錄</x:v>
      </x:c>
      <x:c r="IO55" s="14" t="str">
        <x:v>30234</x:v>
      </x:c>
      <x:c r="IP55" s="14" t="n">
        <x:v>8</x:v>
      </x:c>
      <x:c r="IQ55" s="14" t="n">
        <x:v>1297</x:v>
      </x:c>
      <x:c r="IR55" s="14" t="n">
        <x:v>153</x:v>
      </x:c>
      <x:c r="IS55" s="14" t="n">
        <x:v>15</x:v>
      </x:c>
      <x:c r="IT55" s="14" t="n">
        <x:v>1</x:v>
      </x:c>
      <x:c r="IU55" s="14" t="str">
        <x:v>未收錄</x:v>
      </x:c>
      <x:c r="IV55" s="14" t="str">
        <x:v>30235</x:v>
      </x:c>
      <x:c r="IW55" s="14" t="n">
        <x:v>8</x:v>
      </x:c>
      <x:c r="IX55" s="14" t="n">
        <x:v>1298</x:v>
      </x:c>
      <x:c r="IY55" s="14" t="n">
        <x:v>154</x:v>
      </x:c>
      <x:c r="IZ55" s="14" t="n">
        <x:v>15</x:v>
      </x:c>
      <x:c r="JA55" s="14" t="n">
        <x:v>2</x:v>
      </x:c>
      <x:c r="JB55" s="14" t="str">
        <x:v>未收錄</x:v>
      </x:c>
      <x:c r="JC55" s="14" t="str">
        <x:v>30617</x:v>
      </x:c>
      <x:c r="JD55" s="14" t="n">
        <x:v>20</x:v>
      </x:c>
      <x:c r="JE55" s="14" t="n">
        <x:v>1299</x:v>
      </x:c>
      <x:c r="JF55" s="14" t="n">
        <x:v>155</x:v>
      </x:c>
      <x:c r="JG55" s="14" t="n">
        <x:v>15</x:v>
      </x:c>
      <x:c r="JH55" s="14" t="n">
        <x:v>3</x:v>
      </x:c>
      <x:c r="JI55" s="14" t="str">
        <x:v>未收錄</x:v>
      </x:c>
      <x:c r="JJ55" s="14" t="str">
        <x:v>30627</x:v>
      </x:c>
      <x:c r="JK55" s="14" t="n">
        <x:v>20</x:v>
      </x:c>
      <x:c r="JL55" s="14" t="n">
        <x:v>1300</x:v>
      </x:c>
      <x:c r="JM55" s="14" t="n">
        <x:v>156</x:v>
      </x:c>
      <x:c r="JN55" s="14" t="n">
        <x:v>15</x:v>
      </x:c>
      <x:c r="JO55" s="14" t="n">
        <x:v>4</x:v>
      </x:c>
      <x:c r="JP55" s="14" t="str">
        <x:v>未收錄</x:v>
      </x:c>
      <x:c r="JQ55" s="14"/>
      <x:c r="JR55" s="14"/>
      <x:c r="JS55" s="14"/>
      <x:c r="JT55" s="14"/>
      <x:c r="JU55" s="14"/>
      <x:c r="JV55" s="14"/>
      <x:c r="JW55" s="14"/>
      <x:c r="JX55" s="14"/>
      <x:c r="JY55" s="14"/>
      <x:c r="JZ55" s="14"/>
      <x:c r="KA55" s="14"/>
      <x:c r="KB55" s="14"/>
      <x:c r="KC55" s="14"/>
      <x:c r="KD55" s="14"/>
      <x:c r="KE55" s="14"/>
      <x:c r="KF55" s="14"/>
      <x:c r="KG55" s="14"/>
      <x:c r="KH55" s="14"/>
      <x:c r="KI55" s="14"/>
      <x:c r="KJ55" s="14"/>
      <x:c r="KK55" s="14"/>
      <x:c r="KL55" s="14"/>
      <x:c r="KM55" s="14"/>
      <x:c r="KN55" s="14"/>
      <x:c r="KO55" s="14"/>
      <x:c r="KP55" s="14"/>
      <x:c r="KQ55" s="14"/>
      <x:c r="KR55" s="14"/>
      <x:c r="KS55" s="14"/>
      <x:c r="KT55" s="14"/>
      <x:c r="KU55" s="14"/>
      <x:c r="KV55" s="14"/>
      <x:c r="KW55" s="14"/>
      <x:c r="KX55" s="14"/>
      <x:c r="KY55" s="14"/>
      <x:c r="KZ55" s="14"/>
      <x:c r="LA55" s="14"/>
      <x:c r="LB55" s="14"/>
      <x:c r="LC55" s="14"/>
      <x:c r="LD55" s="14"/>
      <x:c r="LE55" s="14"/>
      <x:c r="LF55" s="14"/>
      <x:c r="LG55" s="14"/>
      <x:c r="LH55" s="14"/>
      <x:c r="LI55" s="14"/>
      <x:c r="LJ55" s="14"/>
      <x:c r="LK55" s="14"/>
      <x:c r="LL55" s="14"/>
      <x:c r="LM55" s="14"/>
      <x:c r="LN55" s="14"/>
      <x:c r="LO55" s="14"/>
      <x:c r="LP55" s="14"/>
      <x:c r="LQ55" s="14"/>
      <x:c r="LR55" s="14"/>
      <x:c r="LS55" s="14"/>
      <x:c r="LT55" s="14"/>
      <x:c r="LU55" s="14"/>
      <x:c r="LV55" s="14"/>
      <x:c r="LW55" s="14"/>
      <x:c r="LX55" s="14"/>
      <x:c r="LY55" s="14"/>
      <x:c r="LZ55" s="14"/>
      <x:c r="MA55" s="14"/>
      <x:c r="MB55" s="14"/>
      <x:c r="MC55" s="14"/>
      <x:c r="MD55" s="14"/>
      <x:c r="ME55" s="14"/>
      <x:c r="MF55" s="14"/>
      <x:c r="MG55" s="14"/>
      <x:c r="MH55" s="14"/>
      <x:c r="MI55" s="14"/>
      <x:c r="MJ55" s="14"/>
      <x:c r="MK55" s="14"/>
      <x:c r="ML55" s="14"/>
      <x:c r="MM55" s="14"/>
      <x:c r="MN55" s="14"/>
      <x:c r="MO55" s="14"/>
      <x:c r="MP55" s="14"/>
      <x:c r="MQ55" s="14"/>
      <x:c r="MR55" s="14"/>
      <x:c r="MS55" s="14"/>
      <x:c r="MT55" s="14"/>
      <x:c r="MU55" s="14"/>
      <x:c r="MV55" s="14"/>
      <x:c r="MW55" s="14" t="str">
        <x:v>23543</x:v>
      </x:c>
      <x:c r="MX55" s="14" t="n">
        <x:v>5</x:v>
      </x:c>
      <x:c r="MY55" s="14" t="n">
        <x:v>1801</x:v>
      </x:c>
      <x:c r="MZ55" s="14" t="n">
        <x:v>153</x:v>
      </x:c>
      <x:c r="NA55" s="14" t="n">
        <x:v>15</x:v>
      </x:c>
      <x:c r="NB55" s="14" t="n">
        <x:v>1</x:v>
      </x:c>
      <x:c r="NC55" s="14" t="str">
        <x:v>未收錄</x:v>
      </x:c>
      <x:c r="ND55" s="14" t="str">
        <x:v>23544</x:v>
      </x:c>
      <x:c r="NE55" s="14" t="n">
        <x:v>5</x:v>
      </x:c>
      <x:c r="NF55" s="14" t="n">
        <x:v>1802</x:v>
      </x:c>
      <x:c r="NG55" s="14" t="n">
        <x:v>154</x:v>
      </x:c>
      <x:c r="NH55" s="14" t="n">
        <x:v>15</x:v>
      </x:c>
      <x:c r="NI55" s="14" t="n">
        <x:v>2</x:v>
      </x:c>
      <x:c r="NJ55" s="14" t="str">
        <x:v>未收錄</x:v>
      </x:c>
      <x:c r="NK55" s="14" t="str">
        <x:v>23545</x:v>
      </x:c>
      <x:c r="NL55" s="14" t="n">
        <x:v>5</x:v>
      </x:c>
      <x:c r="NM55" s="14" t="n">
        <x:v>1803</x:v>
      </x:c>
      <x:c r="NN55" s="14" t="n">
        <x:v>155</x:v>
      </x:c>
      <x:c r="NO55" s="14" t="n">
        <x:v>15</x:v>
      </x:c>
      <x:c r="NP55" s="14" t="n">
        <x:v>3</x:v>
      </x:c>
      <x:c r="NQ55" s="14" t="str">
        <x:v>未收錄</x:v>
      </x:c>
      <x:c r="NR55" s="14" t="str">
        <x:v>23546</x:v>
      </x:c>
      <x:c r="NS55" s="14" t="n">
        <x:v>5</x:v>
      </x:c>
      <x:c r="NT55" s="14" t="n">
        <x:v>1804</x:v>
      </x:c>
      <x:c r="NU55" s="14" t="n">
        <x:v>156</x:v>
      </x:c>
      <x:c r="NV55" s="14" t="n">
        <x:v>15</x:v>
      </x:c>
      <x:c r="NW55" s="14" t="n">
        <x:v>4</x:v>
      </x:c>
      <x:c r="NX55" s="14" t="str">
        <x:v>未收錄</x:v>
      </x:c>
      <x:c r="NY55" s="14" t="str">
        <x:v>23381</x:v>
      </x:c>
      <x:c r="NZ55" s="14" t="n">
        <x:v>10</x:v>
      </x:c>
      <x:c r="OA55" s="14" t="n">
        <x:v>2254</x:v>
      </x:c>
      <x:c r="OB55" s="14" t="n">
        <x:v>153</x:v>
      </x:c>
      <x:c r="OC55" s="14" t="n">
        <x:v>15</x:v>
      </x:c>
      <x:c r="OD55" s="14" t="n">
        <x:v>1</x:v>
      </x:c>
      <x:c r="OE55" s="14" t="str">
        <x:v>未收錄</x:v>
      </x:c>
      <x:c r="OF55" s="14" t="str">
        <x:v>23994</x:v>
      </x:c>
      <x:c r="OG55" s="14" t="n">
        <x:v>10</x:v>
      </x:c>
      <x:c r="OH55" s="14" t="n">
        <x:v>2255</x:v>
      </x:c>
      <x:c r="OI55" s="14" t="n">
        <x:v>154</x:v>
      </x:c>
      <x:c r="OJ55" s="14" t="n">
        <x:v>15</x:v>
      </x:c>
      <x:c r="OK55" s="14" t="n">
        <x:v>2</x:v>
      </x:c>
      <x:c r="OL55" s="14" t="str">
        <x:v>未收錄</x:v>
      </x:c>
      <x:c r="OM55" s="14" t="str">
        <x:v>23354</x:v>
      </x:c>
      <x:c r="ON55" s="14" t="n">
        <x:v>10</x:v>
      </x:c>
      <x:c r="OO55" s="14" t="n">
        <x:v>2256</x:v>
      </x:c>
      <x:c r="OP55" s="14" t="n">
        <x:v>155</x:v>
      </x:c>
      <x:c r="OQ55" s="14" t="n">
        <x:v>15</x:v>
      </x:c>
      <x:c r="OR55" s="14" t="n">
        <x:v>3</x:v>
      </x:c>
      <x:c r="OS55" s="14" t="str">
        <x:v>未收錄</x:v>
      </x:c>
      <x:c r="OT55" s="14" t="str">
        <x:v>23548</x:v>
      </x:c>
      <x:c r="OU55" s="14" t="n">
        <x:v>5</x:v>
      </x:c>
      <x:c r="OV55" s="14" t="n">
        <x:v>2257</x:v>
      </x:c>
      <x:c r="OW55" s="14" t="n">
        <x:v>156</x:v>
      </x:c>
      <x:c r="OX55" s="14" t="n">
        <x:v>15</x:v>
      </x:c>
      <x:c r="OY55" s="14" t="n">
        <x:v>4</x:v>
      </x:c>
      <x:c r="OZ55" s="14" t="str">
        <x:v>未收錄</x:v>
      </x:c>
      <x:c r="PA55" s="14" t="str">
        <x:v>24024</x:v>
      </x:c>
      <x:c r="PB55" s="14" t="n">
        <x:v>5</x:v>
      </x:c>
      <x:c r="PC55" s="14" t="n">
        <x:v>2800</x:v>
      </x:c>
      <x:c r="PD55" s="14" t="n">
        <x:v>153</x:v>
      </x:c>
      <x:c r="PE55" s="14" t="n">
        <x:v>15</x:v>
      </x:c>
      <x:c r="PF55" s="14" t="n">
        <x:v>1</x:v>
      </x:c>
      <x:c r="PG55" s="14" t="str">
        <x:v>未收錄</x:v>
      </x:c>
      <x:c r="PH55" s="14" t="str">
        <x:v>24025</x:v>
      </x:c>
      <x:c r="PI55" s="14" t="n">
        <x:v>5</x:v>
      </x:c>
      <x:c r="PJ55" s="14" t="n">
        <x:v>2801</x:v>
      </x:c>
      <x:c r="PK55" s="14" t="n">
        <x:v>154</x:v>
      </x:c>
      <x:c r="PL55" s="14" t="n">
        <x:v>15</x:v>
      </x:c>
      <x:c r="PM55" s="14" t="n">
        <x:v>2</x:v>
      </x:c>
      <x:c r="PN55" s="14" t="str">
        <x:v>未收錄</x:v>
      </x:c>
      <x:c r="PO55" s="14" t="str">
        <x:v>24288</x:v>
      </x:c>
      <x:c r="PP55" s="14" t="n">
        <x:v>10</x:v>
      </x:c>
      <x:c r="PQ55" s="14" t="n">
        <x:v>2802</x:v>
      </x:c>
      <x:c r="PR55" s="14" t="n">
        <x:v>155</x:v>
      </x:c>
      <x:c r="PS55" s="14" t="n">
        <x:v>15</x:v>
      </x:c>
      <x:c r="PT55" s="14" t="n">
        <x:v>3</x:v>
      </x:c>
      <x:c r="PU55" s="14" t="str">
        <x:v>未收錄</x:v>
      </x:c>
      <x:c r="PV55" s="14" t="str">
        <x:v>24454</x:v>
      </x:c>
      <x:c r="PW55" s="14" t="n">
        <x:v>5</x:v>
      </x:c>
      <x:c r="PX55" s="14" t="n">
        <x:v>2803</x:v>
      </x:c>
      <x:c r="PY55" s="14" t="n">
        <x:v>156</x:v>
      </x:c>
      <x:c r="PZ55" s="14" t="n">
        <x:v>15</x:v>
      </x:c>
      <x:c r="QA55" s="14" t="n">
        <x:v>4</x:v>
      </x:c>
      <x:c r="QB55" s="14" t="str">
        <x:v>未收錄</x:v>
      </x:c>
      <x:c r="QC55" s="14" t="str">
        <x:v>24032</x:v>
      </x:c>
      <x:c r="QD55" s="14" t="n">
        <x:v>5</x:v>
      </x:c>
      <x:c r="QE55" s="14" t="n">
        <x:v>3237</x:v>
      </x:c>
      <x:c r="QF55" s="14" t="n">
        <x:v>153</x:v>
      </x:c>
      <x:c r="QG55" s="14" t="n">
        <x:v>15</x:v>
      </x:c>
      <x:c r="QH55" s="14" t="n">
        <x:v>1</x:v>
      </x:c>
      <x:c r="QI55" s="14" t="str">
        <x:v>未收錄</x:v>
      </x:c>
      <x:c r="QJ55" s="14" t="str">
        <x:v>24033</x:v>
      </x:c>
      <x:c r="QK55" s="14" t="n">
        <x:v>5</x:v>
      </x:c>
      <x:c r="QL55" s="14" t="n">
        <x:v>3238</x:v>
      </x:c>
      <x:c r="QM55" s="14" t="n">
        <x:v>154</x:v>
      </x:c>
      <x:c r="QN55" s="14" t="n">
        <x:v>15</x:v>
      </x:c>
      <x:c r="QO55" s="14" t="n">
        <x:v>2</x:v>
      </x:c>
      <x:c r="QP55" s="14" t="str">
        <x:v>未收錄</x:v>
      </x:c>
      <x:c r="QQ55" s="14" t="str">
        <x:v>24034</x:v>
      </x:c>
      <x:c r="QR55" s="14" t="n">
        <x:v>5</x:v>
      </x:c>
      <x:c r="QS55" s="14" t="n">
        <x:v>3239</x:v>
      </x:c>
      <x:c r="QT55" s="14" t="n">
        <x:v>155</x:v>
      </x:c>
      <x:c r="QU55" s="14" t="n">
        <x:v>15</x:v>
      </x:c>
      <x:c r="QV55" s="14" t="n">
        <x:v>3</x:v>
      </x:c>
      <x:c r="QW55" s="14" t="str">
        <x:v>未收錄</x:v>
      </x:c>
      <x:c r="QX55" s="14" t="str">
        <x:v>24035</x:v>
      </x:c>
      <x:c r="QY55" s="14" t="n">
        <x:v>5</x:v>
      </x:c>
      <x:c r="QZ55" s="14" t="n">
        <x:v>3240</x:v>
      </x:c>
      <x:c r="RA55" s="14" t="n">
        <x:v>156</x:v>
      </x:c>
      <x:c r="RB55" s="14" t="n">
        <x:v>15</x:v>
      </x:c>
      <x:c r="RC55" s="14" t="n">
        <x:v>4</x:v>
      </x:c>
      <x:c r="RD55" s="14" t="str">
        <x:v>未收錄</x:v>
      </x:c>
      <x:c r="RE55" s="14" t="str">
        <x:v>24816</x:v>
      </x:c>
      <x:c r="RF55" s="14" t="n">
        <x:v>5</x:v>
      </x:c>
      <x:c r="RG55" s="14" t="n">
        <x:v>3698</x:v>
      </x:c>
      <x:c r="RH55" s="14" t="n">
        <x:v>153</x:v>
      </x:c>
      <x:c r="RI55" s="14" t="n">
        <x:v>15</x:v>
      </x:c>
      <x:c r="RJ55" s="14" t="n">
        <x:v>1</x:v>
      </x:c>
      <x:c r="RK55" s="14" t="str">
        <x:v>未收錄</x:v>
      </x:c>
      <x:c r="RL55" s="14" t="str">
        <x:v>24817</x:v>
      </x:c>
      <x:c r="RM55" s="14" t="n">
        <x:v>5</x:v>
      </x:c>
      <x:c r="RN55" s="14" t="n">
        <x:v>3699</x:v>
      </x:c>
      <x:c r="RO55" s="14" t="n">
        <x:v>154</x:v>
      </x:c>
      <x:c r="RP55" s="14" t="n">
        <x:v>15</x:v>
      </x:c>
      <x:c r="RQ55" s="14" t="n">
        <x:v>2</x:v>
      </x:c>
      <x:c r="RR55" s="14" t="str">
        <x:v>未收錄</x:v>
      </x:c>
      <x:c r="RS55" s="14" t="str">
        <x:v>24776</x:v>
      </x:c>
      <x:c r="RT55" s="14" t="n">
        <x:v>10</x:v>
      </x:c>
      <x:c r="RU55" s="14" t="n">
        <x:v>3700</x:v>
      </x:c>
      <x:c r="RV55" s="14" t="n">
        <x:v>155</x:v>
      </x:c>
      <x:c r="RW55" s="14" t="n">
        <x:v>15</x:v>
      </x:c>
      <x:c r="RX55" s="14" t="n">
        <x:v>3</x:v>
      </x:c>
      <x:c r="RY55" s="14" t="str">
        <x:v>未收錄</x:v>
      </x:c>
      <x:c r="RZ55" s="14" t="str">
        <x:v>24949</x:v>
      </x:c>
      <x:c r="SA55" s="14" t="n">
        <x:v>10</x:v>
      </x:c>
      <x:c r="SB55" s="14" t="n">
        <x:v>3701</x:v>
      </x:c>
      <x:c r="SC55" s="14" t="n">
        <x:v>156</x:v>
      </x:c>
      <x:c r="SD55" s="14" t="n">
        <x:v>15</x:v>
      </x:c>
      <x:c r="SE55" s="14" t="n">
        <x:v>4</x:v>
      </x:c>
      <x:c r="SF55" s="14" t="str">
        <x:v>未收錄</x:v>
      </x:c>
      <x:c r="SG55" s="14"/>
      <x:c r="SH55" s="14"/>
      <x:c r="SI55" s="14"/>
      <x:c r="SJ55" s="14"/>
      <x:c r="SK55" s="14"/>
      <x:c r="SL55" s="14"/>
      <x:c r="SM55" s="14"/>
      <x:c r="SN55" s="14"/>
      <x:c r="SO55" s="14"/>
      <x:c r="SP55" s="14"/>
      <x:c r="SQ55" s="14"/>
      <x:c r="SR55" s="14"/>
      <x:c r="SS55" s="14"/>
      <x:c r="ST55" s="14"/>
      <x:c r="SU55" s="14"/>
      <x:c r="SV55" s="14"/>
      <x:c r="SW55" s="14"/>
      <x:c r="SX55" s="14"/>
      <x:c r="SY55" s="14"/>
      <x:c r="SZ55" s="14"/>
      <x:c r="TA55" s="14"/>
      <x:c r="TB55" s="14"/>
      <x:c r="TC55" s="14"/>
      <x:c r="TD55" s="14"/>
      <x:c r="TE55" s="14"/>
      <x:c r="TF55" s="14"/>
      <x:c r="TG55" s="14"/>
      <x:c r="TH55" s="14"/>
    </x:row>
    <x:row r="56" ht="15" customHeight="1">
      <x:c r="A56" s="18" t="str">
        <x:v>誅魔聖衛神劍</x:v>
      </x:c>
      <x:c r="B56" s="18" t="str">
        <x:v>滅元聖衛神劍</x:v>
      </x:c>
      <x:c r="C56" s="18" t="str">
        <x:v>獸魂聖衛神劍</x:v>
      </x:c>
      <x:c r="D56" s="18" t="str">
        <x:v>鳳蝶劍</x:v>
      </x:c>
      <x:c r="E56" s="14"/>
      <x:c r="F56" s="18" t="str">
        <x:v>絕地神業刀</x:v>
      </x:c>
      <x:c r="G56" s="18" t="str">
        <x:v>御刀軍荼利</x:v>
      </x:c>
      <x:c r="H56" s="18" t="str">
        <x:v>寶生華王刀</x:v>
      </x:c>
      <x:c r="I56" s="18" t="str">
        <x:v>天鍛‧炎魄刀</x:v>
      </x:c>
      <x:c r="J56" s="14"/>
      <x:c r="K56" s="14"/>
      <x:c r="L56" s="14"/>
      <x:c r="M56" s="14"/>
      <x:c r="N56" s="14"/>
      <x:c r="O56" s="14"/>
      <x:c r="P56" s="18" t="str">
        <x:v>絃霧靈拂Ⅲ</x:v>
      </x:c>
      <x:c r="Q56" s="18" t="str">
        <x:v>絃霧靈拂Ⅳ</x:v>
      </x:c>
      <x:c r="R56" s="18" t="str">
        <x:v>絃霧靈拂Ⅴ</x:v>
      </x:c>
      <x:c r="S56" s="18" t="str">
        <x:v>冰輪夢蜃扇</x:v>
      </x:c>
      <x:c r="T56" s="14"/>
      <x:c r="U56" s="18" t="str">
        <x:v>明露鴻杖Ⅱ</x:v>
      </x:c>
      <x:c r="V56" s="18" t="str">
        <x:v>明露鴻杖Ⅲ</x:v>
      </x:c>
      <x:c r="W56" s="18" t="str">
        <x:v>明露鴻杖Ⅳ</x:v>
      </x:c>
      <x:c r="X56" s="18" t="str">
        <x:v>明露鴻杖Ⅴ</x:v>
      </x:c>
      <x:c r="Y56" s="14"/>
      <x:c r="Z56" s="18" t="str">
        <x:v>袚燈笠雲槍</x:v>
      </x:c>
      <x:c r="AA56" s="18" t="str">
        <x:v>飛將霸流戟</x:v>
      </x:c>
      <x:c r="AB56" s="18" t="str">
        <x:v>飛將霸流戟</x:v>
      </x:c>
      <x:c r="AC56" s="18" t="str">
        <x:v>修羅夜叉戟</x:v>
      </x:c>
      <x:c r="AD56" s="14"/>
      <x:c r="AE56" s="18" t="str">
        <x:v>亂舞南荒棍</x:v>
      </x:c>
      <x:c r="AF56" s="18" t="str">
        <x:v>亂舞南荒棍</x:v>
      </x:c>
      <x:c r="AG56" s="18" t="str">
        <x:v>觀音杵</x:v>
      </x:c>
      <x:c r="AH56" s="18" t="str">
        <x:v>觀音杵</x:v>
      </x:c>
      <x:c r="AI56" s="14"/>
      <x:c r="AJ56" s="14"/>
      <x:c r="AK56" s="14"/>
      <x:c r="AL56" s="14"/>
      <x:c r="AM56" s="14"/>
      <x:c r="AN56" s="14"/>
      <x:c r="AO56" s="14"/>
      <x:c r="AP56" s="14"/>
      <x:c r="AQ56" s="14"/>
      <x:c r="AR56" s="14"/>
      <x:c r="AS56" s="14"/>
      <x:c r="AT56" s="14"/>
      <x:c r="AU56" s="14"/>
      <x:c r="AV56" s="14"/>
      <x:c r="AW56" s="14"/>
      <x:c r="AX56" s="14"/>
      <x:c r="AY56" s="18" t="str">
        <x:v>轉輪法頂</x:v>
      </x:c>
      <x:c r="AZ56" s="18" t="str">
        <x:v>穹蒼無極限</x:v>
      </x:c>
      <x:c r="BA56" s="18" t="str">
        <x:v>月讀神紗巾</x:v>
      </x:c>
      <x:c r="BB56" s="18" t="str">
        <x:v>墨武禦巾</x:v>
      </x:c>
      <x:c r="BC56" s="14"/>
      <x:c r="BD56" s="18" t="str">
        <x:v>銀蟒重鎧</x:v>
      </x:c>
      <x:c r="BE56" s="18" t="str">
        <x:v>白門輕縷</x:v>
      </x:c>
      <x:c r="BF56" s="18" t="str">
        <x:v>三世道袍</x:v>
      </x:c>
      <x:c r="BG56" s="18" t="str">
        <x:v>妙法禪袍</x:v>
      </x:c>
      <x:c r="BH56" s="14"/>
      <x:c r="BI56" s="18" t="str">
        <x:v>鐵星腕胄</x:v>
      </x:c>
      <x:c r="BJ56" s="18" t="str">
        <x:v>武星腕胄</x:v>
      </x:c>
      <x:c r="BK56" s="18" t="str">
        <x:v>赫煉護腕</x:v>
      </x:c>
      <x:c r="BL56" s="18" t="str">
        <x:v>浩煉護腕</x:v>
      </x:c>
      <x:c r="BM56" s="14"/>
      <x:c r="BN56" s="18" t="str">
        <x:v>韋駝天足‧絕</x:v>
      </x:c>
      <x:c r="BO56" s="18" t="str">
        <x:v>軍星足甲</x:v>
      </x:c>
      <x:c r="BP56" s="18" t="str">
        <x:v>鐵星足甲</x:v>
      </x:c>
      <x:c r="BQ56" s="18" t="str">
        <x:v>武星足甲</x:v>
      </x:c>
      <x:c r="BR56" s="14"/>
      <x:c r="BS56" s="18" t="str">
        <x:v>瑪瑙十字架</x:v>
      </x:c>
      <x:c r="BT56" s="18" t="str">
        <x:v>冬夜墜鍊</x:v>
      </x:c>
      <x:c r="BU56" s="18" t="str">
        <x:v>福音聖書</x:v>
      </x:c>
      <x:c r="BV56" s="18" t="str">
        <x:v>德古拉魔戒</x:v>
      </x:c>
      <x:c r="BW56" s="14"/>
      <x:c r="BX56" s="14"/>
      <x:c r="BY56" s="14"/>
      <x:c r="BZ56" s="14"/>
      <x:c r="CA56" s="14"/>
      <x:c r="CB56" s="14"/>
      <x:c r="CC56" s="14" t="str">
        <x:v>26445</x:v>
      </x:c>
      <x:c r="CD56" s="14" t="n">
        <x:v>8</x:v>
      </x:c>
      <x:c r="CE56" s="14" t="n">
        <x:v>157</x:v>
      </x:c>
      <x:c r="CF56" s="14" t="n">
        <x:v>157</x:v>
      </x:c>
      <x:c r="CG56" s="14" t="n">
        <x:v>16</x:v>
      </x:c>
      <x:c r="CH56" s="14" t="n">
        <x:v>1</x:v>
      </x:c>
      <x:c r="CI56" s="14" t="str">
        <x:v>未收錄</x:v>
      </x:c>
      <x:c r="CJ56" s="14" t="str">
        <x:v>26446</x:v>
      </x:c>
      <x:c r="CK56" s="14" t="n">
        <x:v>8</x:v>
      </x:c>
      <x:c r="CL56" s="14" t="n">
        <x:v>158</x:v>
      </x:c>
      <x:c r="CM56" s="14" t="n">
        <x:v>158</x:v>
      </x:c>
      <x:c r="CN56" s="14" t="n">
        <x:v>16</x:v>
      </x:c>
      <x:c r="CO56" s="14" t="n">
        <x:v>2</x:v>
      </x:c>
      <x:c r="CP56" s="14" t="str">
        <x:v>未收錄</x:v>
      </x:c>
      <x:c r="CQ56" s="14" t="str">
        <x:v>26447</x:v>
      </x:c>
      <x:c r="CR56" s="14" t="n">
        <x:v>8</x:v>
      </x:c>
      <x:c r="CS56" s="14" t="n">
        <x:v>159</x:v>
      </x:c>
      <x:c r="CT56" s="14" t="n">
        <x:v>159</x:v>
      </x:c>
      <x:c r="CU56" s="14" t="n">
        <x:v>16</x:v>
      </x:c>
      <x:c r="CV56" s="14" t="n">
        <x:v>3</x:v>
      </x:c>
      <x:c r="CW56" s="14" t="str">
        <x:v>未收錄</x:v>
      </x:c>
      <x:c r="CX56" s="14" t="str">
        <x:v>26600</x:v>
      </x:c>
      <x:c r="CY56" s="14" t="n">
        <x:v>8</x:v>
      </x:c>
      <x:c r="CZ56" s="14" t="n">
        <x:v>160</x:v>
      </x:c>
      <x:c r="DA56" s="14" t="n">
        <x:v>160</x:v>
      </x:c>
      <x:c r="DB56" s="14" t="n">
        <x:v>16</x:v>
      </x:c>
      <x:c r="DC56" s="14" t="n">
        <x:v>4</x:v>
      </x:c>
      <x:c r="DD56" s="14" t="str">
        <x:v>未收錄</x:v>
      </x:c>
      <x:c r="DE56" s="14" t="str">
        <x:v>26611</x:v>
      </x:c>
      <x:c r="DF56" s="14" t="n">
        <x:v>8</x:v>
      </x:c>
      <x:c r="DG56" s="14" t="n">
        <x:v>402</x:v>
      </x:c>
      <x:c r="DH56" s="14" t="n">
        <x:v>157</x:v>
      </x:c>
      <x:c r="DI56" s="14" t="n">
        <x:v>16</x:v>
      </x:c>
      <x:c r="DJ56" s="14" t="n">
        <x:v>1</x:v>
      </x:c>
      <x:c r="DK56" s="14" t="str">
        <x:v>未收錄</x:v>
      </x:c>
      <x:c r="DL56" s="14" t="str">
        <x:v>26932</x:v>
      </x:c>
      <x:c r="DM56" s="14" t="n">
        <x:v>8</x:v>
      </x:c>
      <x:c r="DN56" s="14" t="n">
        <x:v>403</x:v>
      </x:c>
      <x:c r="DO56" s="14" t="n">
        <x:v>158</x:v>
      </x:c>
      <x:c r="DP56" s="14" t="n">
        <x:v>16</x:v>
      </x:c>
      <x:c r="DQ56" s="14" t="n">
        <x:v>2</x:v>
      </x:c>
      <x:c r="DR56" s="14" t="str">
        <x:v>未收錄</x:v>
      </x:c>
      <x:c r="DS56" s="14" t="str">
        <x:v>26933</x:v>
      </x:c>
      <x:c r="DT56" s="14" t="n">
        <x:v>8</x:v>
      </x:c>
      <x:c r="DU56" s="14" t="n">
        <x:v>404</x:v>
      </x:c>
      <x:c r="DV56" s="14" t="n">
        <x:v>159</x:v>
      </x:c>
      <x:c r="DW56" s="14" t="n">
        <x:v>16</x:v>
      </x:c>
      <x:c r="DX56" s="14" t="n">
        <x:v>3</x:v>
      </x:c>
      <x:c r="DY56" s="14" t="str">
        <x:v>未收錄</x:v>
      </x:c>
      <x:c r="DZ56" s="14" t="str">
        <x:v>27038</x:v>
      </x:c>
      <x:c r="EA56" s="14" t="n">
        <x:v>8</x:v>
      </x:c>
      <x:c r="EB56" s="14" t="n">
        <x:v>405</x:v>
      </x:c>
      <x:c r="EC56" s="14" t="n">
        <x:v>160</x:v>
      </x:c>
      <x:c r="ED56" s="14" t="n">
        <x:v>16</x:v>
      </x:c>
      <x:c r="EE56" s="14" t="n">
        <x:v>4</x:v>
      </x:c>
      <x:c r="EF56" s="14" t="str">
        <x:v>未收錄</x:v>
      </x:c>
      <x:c r="EG56" s="14"/>
      <x:c r="EH56" s="14"/>
      <x:c r="EI56" s="14"/>
      <x:c r="EJ56" s="14"/>
      <x:c r="EK56" s="14"/>
      <x:c r="EL56" s="14"/>
      <x:c r="EM56" s="14"/>
      <x:c r="EN56" s="14"/>
      <x:c r="EO56" s="14"/>
      <x:c r="EP56" s="14"/>
      <x:c r="EQ56" s="14"/>
      <x:c r="ER56" s="14"/>
      <x:c r="ES56" s="14"/>
      <x:c r="ET56" s="14"/>
      <x:c r="EU56" s="14"/>
      <x:c r="EV56" s="14"/>
      <x:c r="EW56" s="14"/>
      <x:c r="EX56" s="14"/>
      <x:c r="EY56" s="14"/>
      <x:c r="EZ56" s="14"/>
      <x:c r="FA56" s="14"/>
      <x:c r="FB56" s="14"/>
      <x:c r="FC56" s="14"/>
      <x:c r="FD56" s="14"/>
      <x:c r="FE56" s="14"/>
      <x:c r="FF56" s="14"/>
      <x:c r="FG56" s="14"/>
      <x:c r="FH56" s="14"/>
      <x:c r="FI56" s="14" t="str">
        <x:v>30218</x:v>
      </x:c>
      <x:c r="FJ56" s="14" t="n">
        <x:v>8</x:v>
      </x:c>
      <x:c r="FK56" s="14" t="n">
        <x:v>788</x:v>
      </x:c>
      <x:c r="FL56" s="14" t="n">
        <x:v>157</x:v>
      </x:c>
      <x:c r="FM56" s="14" t="n">
        <x:v>16</x:v>
      </x:c>
      <x:c r="FN56" s="14" t="n">
        <x:v>1</x:v>
      </x:c>
      <x:c r="FO56" s="14" t="str">
        <x:v>未收錄</x:v>
      </x:c>
      <x:c r="FP56" s="14" t="str">
        <x:v>30219</x:v>
      </x:c>
      <x:c r="FQ56" s="14" t="n">
        <x:v>8</x:v>
      </x:c>
      <x:c r="FR56" s="14" t="n">
        <x:v>789</x:v>
      </x:c>
      <x:c r="FS56" s="14" t="n">
        <x:v>158</x:v>
      </x:c>
      <x:c r="FT56" s="14" t="n">
        <x:v>16</x:v>
      </x:c>
      <x:c r="FU56" s="14" t="n">
        <x:v>2</x:v>
      </x:c>
      <x:c r="FV56" s="14" t="str">
        <x:v>未收錄</x:v>
      </x:c>
      <x:c r="FW56" s="14" t="str">
        <x:v>30220</x:v>
      </x:c>
      <x:c r="FX56" s="14" t="n">
        <x:v>8</x:v>
      </x:c>
      <x:c r="FY56" s="14" t="n">
        <x:v>790</x:v>
      </x:c>
      <x:c r="FZ56" s="14" t="n">
        <x:v>159</x:v>
      </x:c>
      <x:c r="GA56" s="14" t="n">
        <x:v>16</x:v>
      </x:c>
      <x:c r="GB56" s="14" t="n">
        <x:v>3</x:v>
      </x:c>
      <x:c r="GC56" s="14" t="str">
        <x:v>未收錄</x:v>
      </x:c>
      <x:c r="GD56" s="14" t="str">
        <x:v>30614</x:v>
      </x:c>
      <x:c r="GE56" s="14" t="n">
        <x:v>20</x:v>
      </x:c>
      <x:c r="GF56" s="14" t="n">
        <x:v>791</x:v>
      </x:c>
      <x:c r="GG56" s="14" t="n">
        <x:v>160</x:v>
      </x:c>
      <x:c r="GH56" s="14" t="n">
        <x:v>16</x:v>
      </x:c>
      <x:c r="GI56" s="14" t="n">
        <x:v>4</x:v>
      </x:c>
      <x:c r="GJ56" s="14" t="str">
        <x:v>未收錄</x:v>
      </x:c>
      <x:c r="GK56" s="14" t="str">
        <x:v>30222</x:v>
      </x:c>
      <x:c r="GL56" s="14" t="n">
        <x:v>8</x:v>
      </x:c>
      <x:c r="GM56" s="14" t="n">
        <x:v>960</x:v>
      </x:c>
      <x:c r="GN56" s="14" t="n">
        <x:v>157</x:v>
      </x:c>
      <x:c r="GO56" s="14" t="n">
        <x:v>16</x:v>
      </x:c>
      <x:c r="GP56" s="14" t="n">
        <x:v>1</x:v>
      </x:c>
      <x:c r="GQ56" s="14" t="str">
        <x:v>未收錄</x:v>
      </x:c>
      <x:c r="GR56" s="14" t="str">
        <x:v>30223</x:v>
      </x:c>
      <x:c r="GS56" s="14" t="n">
        <x:v>8</x:v>
      </x:c>
      <x:c r="GT56" s="14" t="n">
        <x:v>961</x:v>
      </x:c>
      <x:c r="GU56" s="14" t="n">
        <x:v>158</x:v>
      </x:c>
      <x:c r="GV56" s="14" t="n">
        <x:v>16</x:v>
      </x:c>
      <x:c r="GW56" s="14" t="n">
        <x:v>2</x:v>
      </x:c>
      <x:c r="GX56" s="14" t="str">
        <x:v>未收錄</x:v>
      </x:c>
      <x:c r="GY56" s="14" t="str">
        <x:v>30224</x:v>
      </x:c>
      <x:c r="GZ56" s="14" t="n">
        <x:v>8</x:v>
      </x:c>
      <x:c r="HA56" s="14" t="n">
        <x:v>962</x:v>
      </x:c>
      <x:c r="HB56" s="14" t="n">
        <x:v>159</x:v>
      </x:c>
      <x:c r="HC56" s="14" t="n">
        <x:v>16</x:v>
      </x:c>
      <x:c r="HD56" s="14" t="n">
        <x:v>3</x:v>
      </x:c>
      <x:c r="HE56" s="14" t="str">
        <x:v>未收錄</x:v>
      </x:c>
      <x:c r="HF56" s="14" t="str">
        <x:v>30225</x:v>
      </x:c>
      <x:c r="HG56" s="14" t="n">
        <x:v>8</x:v>
      </x:c>
      <x:c r="HH56" s="14" t="n">
        <x:v>963</x:v>
      </x:c>
      <x:c r="HI56" s="14" t="n">
        <x:v>160</x:v>
      </x:c>
      <x:c r="HJ56" s="14" t="n">
        <x:v>16</x:v>
      </x:c>
      <x:c r="HK56" s="14" t="n">
        <x:v>4</x:v>
      </x:c>
      <x:c r="HL56" s="14" t="str">
        <x:v>未收錄</x:v>
      </x:c>
      <x:c r="HM56" s="14" t="str">
        <x:v>30626</x:v>
      </x:c>
      <x:c r="HN56" s="14" t="n">
        <x:v>20</x:v>
      </x:c>
      <x:c r="HO56" s="14" t="n">
        <x:v>1133</x:v>
      </x:c>
      <x:c r="HP56" s="14" t="n">
        <x:v>157</x:v>
      </x:c>
      <x:c r="HQ56" s="14" t="n">
        <x:v>16</x:v>
      </x:c>
      <x:c r="HR56" s="14" t="n">
        <x:v>1</x:v>
      </x:c>
      <x:c r="HS56" s="14" t="str">
        <x:v>未收錄</x:v>
      </x:c>
      <x:c r="HT56" s="14" t="str">
        <x:v>30954</x:v>
      </x:c>
      <x:c r="HU56" s="14" t="n">
        <x:v>20</x:v>
      </x:c>
      <x:c r="HV56" s="14" t="n">
        <x:v>1134</x:v>
      </x:c>
      <x:c r="HW56" s="14" t="n">
        <x:v>158</x:v>
      </x:c>
      <x:c r="HX56" s="14" t="n">
        <x:v>16</x:v>
      </x:c>
      <x:c r="HY56" s="14" t="n">
        <x:v>2</x:v>
      </x:c>
      <x:c r="HZ56" s="14" t="str">
        <x:v>未收錄</x:v>
      </x:c>
      <x:c r="IA56" s="14" t="str">
        <x:v>30964</x:v>
      </x:c>
      <x:c r="IB56" s="14" t="n">
        <x:v>20</x:v>
      </x:c>
      <x:c r="IC56" s="14" t="n">
        <x:v>1135</x:v>
      </x:c>
      <x:c r="ID56" s="14" t="n">
        <x:v>159</x:v>
      </x:c>
      <x:c r="IE56" s="14" t="n">
        <x:v>16</x:v>
      </x:c>
      <x:c r="IF56" s="14" t="n">
        <x:v>3</x:v>
      </x:c>
      <x:c r="IG56" s="14" t="str">
        <x:v>未收錄</x:v>
      </x:c>
      <x:c r="IH56" s="14" t="str">
        <x:v>31557</x:v>
      </x:c>
      <x:c r="II56" s="14" t="n">
        <x:v>20</x:v>
      </x:c>
      <x:c r="IJ56" s="14" t="n">
        <x:v>1136</x:v>
      </x:c>
      <x:c r="IK56" s="14" t="n">
        <x:v>160</x:v>
      </x:c>
      <x:c r="IL56" s="14" t="n">
        <x:v>16</x:v>
      </x:c>
      <x:c r="IM56" s="14" t="n">
        <x:v>4</x:v>
      </x:c>
      <x:c r="IN56" s="14" t="str">
        <x:v>未收錄</x:v>
      </x:c>
      <x:c r="IO56" s="14" t="str">
        <x:v>30955</x:v>
      </x:c>
      <x:c r="IP56" s="14" t="n">
        <x:v>20</x:v>
      </x:c>
      <x:c r="IQ56" s="14" t="n">
        <x:v>1301</x:v>
      </x:c>
      <x:c r="IR56" s="14" t="n">
        <x:v>157</x:v>
      </x:c>
      <x:c r="IS56" s="14" t="n">
        <x:v>16</x:v>
      </x:c>
      <x:c r="IT56" s="14" t="n">
        <x:v>1</x:v>
      </x:c>
      <x:c r="IU56" s="14" t="str">
        <x:v>未收錄</x:v>
      </x:c>
      <x:c r="IV56" s="14" t="str">
        <x:v>30965</x:v>
      </x:c>
      <x:c r="IW56" s="14" t="n">
        <x:v>20</x:v>
      </x:c>
      <x:c r="IX56" s="14" t="n">
        <x:v>1302</x:v>
      </x:c>
      <x:c r="IY56" s="14" t="n">
        <x:v>158</x:v>
      </x:c>
      <x:c r="IZ56" s="14" t="n">
        <x:v>16</x:v>
      </x:c>
      <x:c r="JA56" s="14" t="n">
        <x:v>2</x:v>
      </x:c>
      <x:c r="JB56" s="14" t="str">
        <x:v>未收錄</x:v>
      </x:c>
      <x:c r="JC56" s="14" t="str">
        <x:v>31558</x:v>
      </x:c>
      <x:c r="JD56" s="14" t="n">
        <x:v>20</x:v>
      </x:c>
      <x:c r="JE56" s="14" t="n">
        <x:v>1303</x:v>
      </x:c>
      <x:c r="JF56" s="14" t="n">
        <x:v>159</x:v>
      </x:c>
      <x:c r="JG56" s="14" t="n">
        <x:v>16</x:v>
      </x:c>
      <x:c r="JH56" s="14" t="n">
        <x:v>3</x:v>
      </x:c>
      <x:c r="JI56" s="14" t="str">
        <x:v>未收錄</x:v>
      </x:c>
      <x:c r="JJ56" s="14" t="str">
        <x:v>31568</x:v>
      </x:c>
      <x:c r="JK56" s="14" t="n">
        <x:v>20</x:v>
      </x:c>
      <x:c r="JL56" s="14" t="n">
        <x:v>1304</x:v>
      </x:c>
      <x:c r="JM56" s="14" t="n">
        <x:v>160</x:v>
      </x:c>
      <x:c r="JN56" s="14" t="n">
        <x:v>16</x:v>
      </x:c>
      <x:c r="JO56" s="14" t="n">
        <x:v>4</x:v>
      </x:c>
      <x:c r="JP56" s="14" t="str">
        <x:v>未收錄</x:v>
      </x:c>
      <x:c r="JQ56" s="14"/>
      <x:c r="JR56" s="14"/>
      <x:c r="JS56" s="14"/>
      <x:c r="JT56" s="14"/>
      <x:c r="JU56" s="14"/>
      <x:c r="JV56" s="14"/>
      <x:c r="JW56" s="14"/>
      <x:c r="JX56" s="14"/>
      <x:c r="JY56" s="14"/>
      <x:c r="JZ56" s="14"/>
      <x:c r="KA56" s="14"/>
      <x:c r="KB56" s="14"/>
      <x:c r="KC56" s="14"/>
      <x:c r="KD56" s="14"/>
      <x:c r="KE56" s="14"/>
      <x:c r="KF56" s="14"/>
      <x:c r="KG56" s="14"/>
      <x:c r="KH56" s="14"/>
      <x:c r="KI56" s="14"/>
      <x:c r="KJ56" s="14"/>
      <x:c r="KK56" s="14"/>
      <x:c r="KL56" s="14"/>
      <x:c r="KM56" s="14"/>
      <x:c r="KN56" s="14"/>
      <x:c r="KO56" s="14"/>
      <x:c r="KP56" s="14"/>
      <x:c r="KQ56" s="14"/>
      <x:c r="KR56" s="14"/>
      <x:c r="KS56" s="14"/>
      <x:c r="KT56" s="14"/>
      <x:c r="KU56" s="14"/>
      <x:c r="KV56" s="14"/>
      <x:c r="KW56" s="14"/>
      <x:c r="KX56" s="14"/>
      <x:c r="KY56" s="14"/>
      <x:c r="KZ56" s="14"/>
      <x:c r="LA56" s="14"/>
      <x:c r="LB56" s="14"/>
      <x:c r="LC56" s="14"/>
      <x:c r="LD56" s="14"/>
      <x:c r="LE56" s="14"/>
      <x:c r="LF56" s="14"/>
      <x:c r="LG56" s="14"/>
      <x:c r="LH56" s="14"/>
      <x:c r="LI56" s="14"/>
      <x:c r="LJ56" s="14"/>
      <x:c r="LK56" s="14"/>
      <x:c r="LL56" s="14"/>
      <x:c r="LM56" s="14"/>
      <x:c r="LN56" s="14"/>
      <x:c r="LO56" s="14"/>
      <x:c r="LP56" s="14"/>
      <x:c r="LQ56" s="14"/>
      <x:c r="LR56" s="14"/>
      <x:c r="LS56" s="14"/>
      <x:c r="LT56" s="14"/>
      <x:c r="LU56" s="14"/>
      <x:c r="LV56" s="14"/>
      <x:c r="LW56" s="14"/>
      <x:c r="LX56" s="14"/>
      <x:c r="LY56" s="14"/>
      <x:c r="LZ56" s="14"/>
      <x:c r="MA56" s="14"/>
      <x:c r="MB56" s="14"/>
      <x:c r="MC56" s="14"/>
      <x:c r="MD56" s="14"/>
      <x:c r="ME56" s="14"/>
      <x:c r="MF56" s="14"/>
      <x:c r="MG56" s="14"/>
      <x:c r="MH56" s="14"/>
      <x:c r="MI56" s="14"/>
      <x:c r="MJ56" s="14"/>
      <x:c r="MK56" s="14"/>
      <x:c r="ML56" s="14"/>
      <x:c r="MM56" s="14"/>
      <x:c r="MN56" s="14"/>
      <x:c r="MO56" s="14"/>
      <x:c r="MP56" s="14"/>
      <x:c r="MQ56" s="14"/>
      <x:c r="MR56" s="14"/>
      <x:c r="MS56" s="14"/>
      <x:c r="MT56" s="14"/>
      <x:c r="MU56" s="14"/>
      <x:c r="MV56" s="14"/>
      <x:c r="MW56" s="14" t="str">
        <x:v>23547</x:v>
      </x:c>
      <x:c r="MX56" s="14" t="n">
        <x:v>5</x:v>
      </x:c>
      <x:c r="MY56" s="14" t="n">
        <x:v>1805</x:v>
      </x:c>
      <x:c r="MZ56" s="14" t="n">
        <x:v>157</x:v>
      </x:c>
      <x:c r="NA56" s="14" t="n">
        <x:v>16</x:v>
      </x:c>
      <x:c r="NB56" s="14" t="n">
        <x:v>1</x:v>
      </x:c>
      <x:c r="NC56" s="14" t="str">
        <x:v>未收錄</x:v>
      </x:c>
      <x:c r="ND56" s="14" t="str">
        <x:v>23782</x:v>
      </x:c>
      <x:c r="NE56" s="14" t="n">
        <x:v>10</x:v>
      </x:c>
      <x:c r="NF56" s="14" t="n">
        <x:v>1806</x:v>
      </x:c>
      <x:c r="NG56" s="14" t="n">
        <x:v>158</x:v>
      </x:c>
      <x:c r="NH56" s="14" t="n">
        <x:v>16</x:v>
      </x:c>
      <x:c r="NI56" s="14" t="n">
        <x:v>2</x:v>
      </x:c>
      <x:c r="NJ56" s="14" t="str">
        <x:v>未收錄</x:v>
      </x:c>
      <x:c r="NK56" s="14" t="str">
        <x:v>23760</x:v>
      </x:c>
      <x:c r="NL56" s="14" t="n">
        <x:v>10</x:v>
      </x:c>
      <x:c r="NM56" s="14" t="n">
        <x:v>1807</x:v>
      </x:c>
      <x:c r="NN56" s="14" t="n">
        <x:v>159</x:v>
      </x:c>
      <x:c r="NO56" s="14" t="n">
        <x:v>16</x:v>
      </x:c>
      <x:c r="NP56" s="14" t="n">
        <x:v>3</x:v>
      </x:c>
      <x:c r="NQ56" s="14" t="str">
        <x:v>未收錄</x:v>
      </x:c>
      <x:c r="NR56" s="14" t="str">
        <x:v>23996</x:v>
      </x:c>
      <x:c r="NS56" s="14" t="n">
        <x:v>5</x:v>
      </x:c>
      <x:c r="NT56" s="14" t="n">
        <x:v>1808</x:v>
      </x:c>
      <x:c r="NU56" s="14" t="n">
        <x:v>160</x:v>
      </x:c>
      <x:c r="NV56" s="14" t="n">
        <x:v>16</x:v>
      </x:c>
      <x:c r="NW56" s="14" t="n">
        <x:v>4</x:v>
      </x:c>
      <x:c r="NX56" s="14" t="str">
        <x:v>未收錄</x:v>
      </x:c>
      <x:c r="NY56" s="14" t="str">
        <x:v>23549</x:v>
      </x:c>
      <x:c r="NZ56" s="14" t="n">
        <x:v>5</x:v>
      </x:c>
      <x:c r="OA56" s="14" t="n">
        <x:v>2258</x:v>
      </x:c>
      <x:c r="OB56" s="14" t="n">
        <x:v>157</x:v>
      </x:c>
      <x:c r="OC56" s="14" t="n">
        <x:v>16</x:v>
      </x:c>
      <x:c r="OD56" s="14" t="n">
        <x:v>1</x:v>
      </x:c>
      <x:c r="OE56" s="14" t="str">
        <x:v>未收錄</x:v>
      </x:c>
      <x:c r="OF56" s="14" t="str">
        <x:v>23550</x:v>
      </x:c>
      <x:c r="OG56" s="14" t="n">
        <x:v>5</x:v>
      </x:c>
      <x:c r="OH56" s="14" t="n">
        <x:v>2259</x:v>
      </x:c>
      <x:c r="OI56" s="14" t="n">
        <x:v>158</x:v>
      </x:c>
      <x:c r="OJ56" s="14" t="n">
        <x:v>16</x:v>
      </x:c>
      <x:c r="OK56" s="14" t="n">
        <x:v>2</x:v>
      </x:c>
      <x:c r="OL56" s="14" t="str">
        <x:v>未收錄</x:v>
      </x:c>
      <x:c r="OM56" s="14" t="str">
        <x:v>23551</x:v>
      </x:c>
      <x:c r="ON56" s="14" t="n">
        <x:v>5</x:v>
      </x:c>
      <x:c r="OO56" s="14" t="n">
        <x:v>2260</x:v>
      </x:c>
      <x:c r="OP56" s="14" t="n">
        <x:v>159</x:v>
      </x:c>
      <x:c r="OQ56" s="14" t="n">
        <x:v>16</x:v>
      </x:c>
      <x:c r="OR56" s="14" t="n">
        <x:v>3</x:v>
      </x:c>
      <x:c r="OS56" s="14" t="str">
        <x:v>未收錄</x:v>
      </x:c>
      <x:c r="OT56" s="14" t="str">
        <x:v>23552</x:v>
      </x:c>
      <x:c r="OU56" s="14" t="n">
        <x:v>5</x:v>
      </x:c>
      <x:c r="OV56" s="14" t="n">
        <x:v>2261</x:v>
      </x:c>
      <x:c r="OW56" s="14" t="n">
        <x:v>160</x:v>
      </x:c>
      <x:c r="OX56" s="14" t="n">
        <x:v>16</x:v>
      </x:c>
      <x:c r="OY56" s="14" t="n">
        <x:v>4</x:v>
      </x:c>
      <x:c r="OZ56" s="14" t="str">
        <x:v>未收錄</x:v>
      </x:c>
      <x:c r="PA56" s="14" t="str">
        <x:v>24455</x:v>
      </x:c>
      <x:c r="PB56" s="14" t="n">
        <x:v>5</x:v>
      </x:c>
      <x:c r="PC56" s="14" t="n">
        <x:v>2804</x:v>
      </x:c>
      <x:c r="PD56" s="14" t="n">
        <x:v>157</x:v>
      </x:c>
      <x:c r="PE56" s="14" t="n">
        <x:v>16</x:v>
      </x:c>
      <x:c r="PF56" s="14" t="n">
        <x:v>1</x:v>
      </x:c>
      <x:c r="PG56" s="14" t="str">
        <x:v>未收錄</x:v>
      </x:c>
      <x:c r="PH56" s="14" t="str">
        <x:v>24456</x:v>
      </x:c>
      <x:c r="PI56" s="14" t="n">
        <x:v>5</x:v>
      </x:c>
      <x:c r="PJ56" s="14" t="n">
        <x:v>2805</x:v>
      </x:c>
      <x:c r="PK56" s="14" t="n">
        <x:v>158</x:v>
      </x:c>
      <x:c r="PL56" s="14" t="n">
        <x:v>16</x:v>
      </x:c>
      <x:c r="PM56" s="14" t="n">
        <x:v>2</x:v>
      </x:c>
      <x:c r="PN56" s="14" t="str">
        <x:v>未收錄</x:v>
      </x:c>
      <x:c r="PO56" s="14" t="str">
        <x:v>24457</x:v>
      </x:c>
      <x:c r="PP56" s="14" t="n">
        <x:v>5</x:v>
      </x:c>
      <x:c r="PQ56" s="14" t="n">
        <x:v>2806</x:v>
      </x:c>
      <x:c r="PR56" s="14" t="n">
        <x:v>159</x:v>
      </x:c>
      <x:c r="PS56" s="14" t="n">
        <x:v>16</x:v>
      </x:c>
      <x:c r="PT56" s="14" t="n">
        <x:v>3</x:v>
      </x:c>
      <x:c r="PU56" s="14" t="str">
        <x:v>未收錄</x:v>
      </x:c>
      <x:c r="PV56" s="14" t="str">
        <x:v>24458</x:v>
      </x:c>
      <x:c r="PW56" s="14" t="n">
        <x:v>5</x:v>
      </x:c>
      <x:c r="PX56" s="14" t="n">
        <x:v>2807</x:v>
      </x:c>
      <x:c r="PY56" s="14" t="n">
        <x:v>160</x:v>
      </x:c>
      <x:c r="PZ56" s="14" t="n">
        <x:v>16</x:v>
      </x:c>
      <x:c r="QA56" s="14" t="n">
        <x:v>4</x:v>
      </x:c>
      <x:c r="QB56" s="14" t="str">
        <x:v>未收錄</x:v>
      </x:c>
      <x:c r="QC56" s="14" t="str">
        <x:v>24289</x:v>
      </x:c>
      <x:c r="QD56" s="14" t="n">
        <x:v>10</x:v>
      </x:c>
      <x:c r="QE56" s="14" t="n">
        <x:v>3241</x:v>
      </x:c>
      <x:c r="QF56" s="14" t="n">
        <x:v>157</x:v>
      </x:c>
      <x:c r="QG56" s="14" t="n">
        <x:v>16</x:v>
      </x:c>
      <x:c r="QH56" s="14" t="n">
        <x:v>1</x:v>
      </x:c>
      <x:c r="QI56" s="14" t="str">
        <x:v>未收錄</x:v>
      </x:c>
      <x:c r="QJ56" s="14" t="str">
        <x:v>24469</x:v>
      </x:c>
      <x:c r="QK56" s="14" t="n">
        <x:v>5</x:v>
      </x:c>
      <x:c r="QL56" s="14" t="n">
        <x:v>3242</x:v>
      </x:c>
      <x:c r="QM56" s="14" t="n">
        <x:v>158</x:v>
      </x:c>
      <x:c r="QN56" s="14" t="n">
        <x:v>16</x:v>
      </x:c>
      <x:c r="QO56" s="14" t="n">
        <x:v>2</x:v>
      </x:c>
      <x:c r="QP56" s="14" t="str">
        <x:v>未收錄</x:v>
      </x:c>
      <x:c r="QQ56" s="14" t="str">
        <x:v>24470</x:v>
      </x:c>
      <x:c r="QR56" s="14" t="n">
        <x:v>5</x:v>
      </x:c>
      <x:c r="QS56" s="14" t="n">
        <x:v>3243</x:v>
      </x:c>
      <x:c r="QT56" s="14" t="n">
        <x:v>159</x:v>
      </x:c>
      <x:c r="QU56" s="14" t="n">
        <x:v>16</x:v>
      </x:c>
      <x:c r="QV56" s="14" t="n">
        <x:v>3</x:v>
      </x:c>
      <x:c r="QW56" s="14" t="str">
        <x:v>未收錄</x:v>
      </x:c>
      <x:c r="QX56" s="14" t="str">
        <x:v>24471</x:v>
      </x:c>
      <x:c r="QY56" s="14" t="n">
        <x:v>5</x:v>
      </x:c>
      <x:c r="QZ56" s="14" t="n">
        <x:v>3244</x:v>
      </x:c>
      <x:c r="RA56" s="14" t="n">
        <x:v>160</x:v>
      </x:c>
      <x:c r="RB56" s="14" t="n">
        <x:v>16</x:v>
      </x:c>
      <x:c r="RC56" s="14" t="n">
        <x:v>4</x:v>
      </x:c>
      <x:c r="RD56" s="14" t="str">
        <x:v>未收錄</x:v>
      </x:c>
      <x:c r="RE56" s="14" t="str">
        <x:v>26046</x:v>
      </x:c>
      <x:c r="RF56" s="14" t="n">
        <x:v>5</x:v>
      </x:c>
      <x:c r="RG56" s="14" t="n">
        <x:v>3702</x:v>
      </x:c>
      <x:c r="RH56" s="14" t="n">
        <x:v>157</x:v>
      </x:c>
      <x:c r="RI56" s="14" t="n">
        <x:v>16</x:v>
      </x:c>
      <x:c r="RJ56" s="14" t="n">
        <x:v>1</x:v>
      </x:c>
      <x:c r="RK56" s="14" t="str">
        <x:v>未收錄</x:v>
      </x:c>
      <x:c r="RL56" s="14" t="str">
        <x:v>26047</x:v>
      </x:c>
      <x:c r="RM56" s="14" t="n">
        <x:v>5</x:v>
      </x:c>
      <x:c r="RN56" s="14" t="n">
        <x:v>3703</x:v>
      </x:c>
      <x:c r="RO56" s="14" t="n">
        <x:v>158</x:v>
      </x:c>
      <x:c r="RP56" s="14" t="n">
        <x:v>16</x:v>
      </x:c>
      <x:c r="RQ56" s="14" t="n">
        <x:v>2</x:v>
      </x:c>
      <x:c r="RR56" s="14" t="str">
        <x:v>未收錄</x:v>
      </x:c>
      <x:c r="RS56" s="14" t="str">
        <x:v>26048</x:v>
      </x:c>
      <x:c r="RT56" s="14" t="n">
        <x:v>5</x:v>
      </x:c>
      <x:c r="RU56" s="14" t="n">
        <x:v>3704</x:v>
      </x:c>
      <x:c r="RV56" s="14" t="n">
        <x:v>159</x:v>
      </x:c>
      <x:c r="RW56" s="14" t="n">
        <x:v>16</x:v>
      </x:c>
      <x:c r="RX56" s="14" t="n">
        <x:v>3</x:v>
      </x:c>
      <x:c r="RY56" s="14" t="str">
        <x:v>未收錄</x:v>
      </x:c>
      <x:c r="RZ56" s="14" t="str">
        <x:v>26049</x:v>
      </x:c>
      <x:c r="SA56" s="14" t="n">
        <x:v>5</x:v>
      </x:c>
      <x:c r="SB56" s="14" t="n">
        <x:v>3705</x:v>
      </x:c>
      <x:c r="SC56" s="14" t="n">
        <x:v>160</x:v>
      </x:c>
      <x:c r="SD56" s="14" t="n">
        <x:v>16</x:v>
      </x:c>
      <x:c r="SE56" s="14" t="n">
        <x:v>4</x:v>
      </x:c>
      <x:c r="SF56" s="14" t="str">
        <x:v>未收錄</x:v>
      </x:c>
      <x:c r="SG56" s="14"/>
      <x:c r="SH56" s="14"/>
      <x:c r="SI56" s="14"/>
      <x:c r="SJ56" s="14"/>
      <x:c r="SK56" s="14"/>
      <x:c r="SL56" s="14"/>
      <x:c r="SM56" s="14"/>
      <x:c r="SN56" s="14"/>
      <x:c r="SO56" s="14"/>
      <x:c r="SP56" s="14"/>
      <x:c r="SQ56" s="14"/>
      <x:c r="SR56" s="14"/>
      <x:c r="SS56" s="14"/>
      <x:c r="ST56" s="14"/>
      <x:c r="SU56" s="14"/>
      <x:c r="SV56" s="14"/>
      <x:c r="SW56" s="14"/>
      <x:c r="SX56" s="14"/>
      <x:c r="SY56" s="14"/>
      <x:c r="SZ56" s="14"/>
      <x:c r="TA56" s="14"/>
      <x:c r="TB56" s="14"/>
      <x:c r="TC56" s="14"/>
      <x:c r="TD56" s="14"/>
      <x:c r="TE56" s="14"/>
      <x:c r="TF56" s="14"/>
      <x:c r="TG56" s="14"/>
      <x:c r="TH56" s="14"/>
    </x:row>
    <x:row r="57" ht="15" customHeight="1">
      <x:c r="A57" s="17" t="str">
        <x:v>太古鳳蝶劍</x:v>
      </x:c>
      <x:c r="B57" s="17" t="str">
        <x:v>紫蘭遊蝶劍</x:v>
      </x:c>
      <x:c r="C57" s="17" t="str">
        <x:v>玉宵月蝶劍</x:v>
      </x:c>
      <x:c r="D57" s="17" t="str">
        <x:v>朝宗劍</x:v>
      </x:c>
      <x:c r="E57" s="14"/>
      <x:c r="F57" s="17" t="str">
        <x:v>仙鑄‧炎魄刀</x:v>
      </x:c>
      <x:c r="G57" s="17" t="str">
        <x:v>神煉‧炎魄刀</x:v>
      </x:c>
      <x:c r="H57" s="17" t="str">
        <x:v>宇傲‧炎魄刀</x:v>
      </x:c>
      <x:c r="I57" s="17" t="str">
        <x:v>峻霆‧炎魄刀</x:v>
      </x:c>
      <x:c r="J57" s="14"/>
      <x:c r="K57" s="14"/>
      <x:c r="L57" s="14"/>
      <x:c r="M57" s="14"/>
      <x:c r="N57" s="14"/>
      <x:c r="O57" s="14"/>
      <x:c r="P57" s="17" t="str">
        <x:v>冰輪夢蜃扇</x:v>
      </x:c>
      <x:c r="Q57" s="17" t="str">
        <x:v>晉日炎武權</x:v>
      </x:c>
      <x:c r="R57" s="17" t="str">
        <x:v>晉日炎武權</x:v>
      </x:c>
      <x:c r="S57" s="17" t="str">
        <x:v>星光引導者</x:v>
      </x:c>
      <x:c r="T57" s="14"/>
      <x:c r="U57" s="17" t="str">
        <x:v>正見天機杖</x:v>
      </x:c>
      <x:c r="V57" s="17" t="str">
        <x:v>正見天機杖</x:v>
      </x:c>
      <x:c r="W57" s="17" t="str">
        <x:v>黃天當立杖</x:v>
      </x:c>
      <x:c r="X57" s="17" t="str">
        <x:v>黃天當立杖</x:v>
      </x:c>
      <x:c r="Y57" s="14"/>
      <x:c r="Z57" s="17" t="str">
        <x:v>修羅夜叉戟</x:v>
      </x:c>
      <x:c r="AA57" s="17" t="str">
        <x:v>囚牛月弦槍</x:v>
      </x:c>
      <x:c r="AB57" s="17" t="str">
        <x:v>囚牛月弦槍</x:v>
      </x:c>
      <x:c r="AC57" s="17" t="str">
        <x:v>羅將烈槍Ⅰ</x:v>
      </x:c>
      <x:c r="AD57" s="14"/>
      <x:c r="AE57" s="17" t="str">
        <x:v>蒲牢震嶽棍</x:v>
      </x:c>
      <x:c r="AF57" s="17" t="str">
        <x:v>蒲牢震嶽棍</x:v>
      </x:c>
      <x:c r="AG57" s="17" t="str">
        <x:v>血腥屠夫Ⅰ</x:v>
      </x:c>
      <x:c r="AH57" s="17" t="str">
        <x:v>血腥屠夫Ⅱ</x:v>
      </x:c>
      <x:c r="AI57" s="14"/>
      <x:c r="AJ57" s="14"/>
      <x:c r="AK57" s="14"/>
      <x:c r="AL57" s="14"/>
      <x:c r="AM57" s="14"/>
      <x:c r="AN57" s="14"/>
      <x:c r="AO57" s="14"/>
      <x:c r="AP57" s="14"/>
      <x:c r="AQ57" s="14"/>
      <x:c r="AR57" s="14"/>
      <x:c r="AS57" s="14"/>
      <x:c r="AT57" s="14"/>
      <x:c r="AU57" s="14"/>
      <x:c r="AV57" s="14"/>
      <x:c r="AW57" s="14"/>
      <x:c r="AX57" s="14"/>
      <x:c r="AY57" s="17" t="str">
        <x:v>耀宇鬥盔</x:v>
      </x:c>
      <x:c r="AZ57" s="17" t="str">
        <x:v>天鏡幽披</x:v>
      </x:c>
      <x:c r="BA57" s="17" t="str">
        <x:v>納真道冠</x:v>
      </x:c>
      <x:c r="BB57" s="17" t="str">
        <x:v>三千法幔</x:v>
      </x:c>
      <x:c r="BC57" s="14"/>
      <x:c r="BD57" s="17" t="str">
        <x:v>蒼烈戰甲</x:v>
      </x:c>
      <x:c r="BE57" s="17" t="str">
        <x:v>龍魔鱗鎧</x:v>
      </x:c>
      <x:c r="BF57" s="17" t="str">
        <x:v>阿鼻邪冑</x:v>
      </x:c>
      <x:c r="BG57" s="17" t="str">
        <x:v>玉清道袍</x:v>
      </x:c>
      <x:c r="BH57" s="14"/>
      <x:c r="BI57" s="17" t="str">
        <x:v>騰煉護腕</x:v>
      </x:c>
      <x:c r="BJ57" s="17" t="str">
        <x:v>六虛護腕</x:v>
      </x:c>
      <x:c r="BK57" s="17" t="str">
        <x:v>碧虛護腕</x:v>
      </x:c>
      <x:c r="BL57" s="17" t="str">
        <x:v>太虛護腕</x:v>
      </x:c>
      <x:c r="BM57" s="14"/>
      <x:c r="BN57" s="17" t="str">
        <x:v>赫煉戰靴</x:v>
      </x:c>
      <x:c r="BO57" s="17" t="str">
        <x:v>浩煉戰靴</x:v>
      </x:c>
      <x:c r="BP57" s="17" t="str">
        <x:v>騰煉戰靴</x:v>
      </x:c>
      <x:c r="BQ57" s="17" t="str">
        <x:v>六虛靈靴</x:v>
      </x:c>
      <x:c r="BR57" s="14"/>
      <x:c r="BS57" s="17" t="str">
        <x:v>鑽石十字架</x:v>
      </x:c>
      <x:c r="BT57" s="17" t="str">
        <x:v>春曉墜鍊</x:v>
      </x:c>
      <x:c r="BU57" s="17" t="str">
        <x:v>死海聖書</x:v>
      </x:c>
      <x:c r="BV57" s="17" t="str">
        <x:v>索倫魔戒</x:v>
      </x:c>
      <x:c r="BW57" s="14"/>
      <x:c r="BX57" s="14"/>
      <x:c r="BY57" s="14"/>
      <x:c r="BZ57" s="14"/>
      <x:c r="CA57" s="14"/>
      <x:c r="CB57" s="14"/>
      <x:c r="CC57" s="14" t="str">
        <x:v>26720</x:v>
      </x:c>
      <x:c r="CD57" s="14" t="n">
        <x:v>3</x:v>
      </x:c>
      <x:c r="CE57" s="14" t="n">
        <x:v>161</x:v>
      </x:c>
      <x:c r="CF57" s="14" t="n">
        <x:v>161</x:v>
      </x:c>
      <x:c r="CG57" s="14" t="n">
        <x:v>17</x:v>
      </x:c>
      <x:c r="CH57" s="14" t="n">
        <x:v>1</x:v>
      </x:c>
      <x:c r="CI57" s="14" t="str">
        <x:v>未收錄</x:v>
      </x:c>
      <x:c r="CJ57" s="14" t="str">
        <x:v>26601</x:v>
      </x:c>
      <x:c r="CK57" s="14" t="n">
        <x:v>8</x:v>
      </x:c>
      <x:c r="CL57" s="14" t="n">
        <x:v>162</x:v>
      </x:c>
      <x:c r="CM57" s="14" t="n">
        <x:v>162</x:v>
      </x:c>
      <x:c r="CN57" s="14" t="n">
        <x:v>17</x:v>
      </x:c>
      <x:c r="CO57" s="14" t="n">
        <x:v>2</x:v>
      </x:c>
      <x:c r="CP57" s="14" t="str">
        <x:v>未收錄</x:v>
      </x:c>
      <x:c r="CQ57" s="14" t="str">
        <x:v>26602</x:v>
      </x:c>
      <x:c r="CR57" s="14" t="n">
        <x:v>8</x:v>
      </x:c>
      <x:c r="CS57" s="14" t="n">
        <x:v>163</x:v>
      </x:c>
      <x:c r="CT57" s="14" t="n">
        <x:v>163</x:v>
      </x:c>
      <x:c r="CU57" s="14" t="n">
        <x:v>17</x:v>
      </x:c>
      <x:c r="CV57" s="14" t="n">
        <x:v>3</x:v>
      </x:c>
      <x:c r="CW57" s="14" t="str">
        <x:v>未收錄</x:v>
      </x:c>
      <x:c r="CX57" s="14" t="str">
        <x:v>26603</x:v>
      </x:c>
      <x:c r="CY57" s="14" t="n">
        <x:v>8</x:v>
      </x:c>
      <x:c r="CZ57" s="14" t="n">
        <x:v>164</x:v>
      </x:c>
      <x:c r="DA57" s="14" t="n">
        <x:v>164</x:v>
      </x:c>
      <x:c r="DB57" s="14" t="n">
        <x:v>17</x:v>
      </x:c>
      <x:c r="DC57" s="14" t="n">
        <x:v>4</x:v>
      </x:c>
      <x:c r="DD57" s="14" t="str">
        <x:v>未收錄</x:v>
      </x:c>
      <x:c r="DE57" s="14" t="str">
        <x:v>27039</x:v>
      </x:c>
      <x:c r="DF57" s="14" t="n">
        <x:v>8</x:v>
      </x:c>
      <x:c r="DG57" s="14" t="n">
        <x:v>406</x:v>
      </x:c>
      <x:c r="DH57" s="14" t="n">
        <x:v>161</x:v>
      </x:c>
      <x:c r="DI57" s="14" t="n">
        <x:v>17</x:v>
      </x:c>
      <x:c r="DJ57" s="14" t="n">
        <x:v>1</x:v>
      </x:c>
      <x:c r="DK57" s="14" t="str">
        <x:v>未收錄</x:v>
      </x:c>
      <x:c r="DL57" s="14" t="str">
        <x:v>27040</x:v>
      </x:c>
      <x:c r="DM57" s="14" t="n">
        <x:v>8</x:v>
      </x:c>
      <x:c r="DN57" s="14" t="n">
        <x:v>407</x:v>
      </x:c>
      <x:c r="DO57" s="14" t="n">
        <x:v>162</x:v>
      </x:c>
      <x:c r="DP57" s="14" t="n">
        <x:v>17</x:v>
      </x:c>
      <x:c r="DQ57" s="14" t="n">
        <x:v>2</x:v>
      </x:c>
      <x:c r="DR57" s="14" t="str">
        <x:v>未收錄</x:v>
      </x:c>
      <x:c r="DS57" s="14" t="str">
        <x:v>27041</x:v>
      </x:c>
      <x:c r="DT57" s="14" t="n">
        <x:v>8</x:v>
      </x:c>
      <x:c r="DU57" s="14" t="n">
        <x:v>408</x:v>
      </x:c>
      <x:c r="DV57" s="14" t="n">
        <x:v>163</x:v>
      </x:c>
      <x:c r="DW57" s="14" t="n">
        <x:v>17</x:v>
      </x:c>
      <x:c r="DX57" s="14" t="n">
        <x:v>3</x:v>
      </x:c>
      <x:c r="DY57" s="14" t="str">
        <x:v>未收錄</x:v>
      </x:c>
      <x:c r="DZ57" s="14" t="str">
        <x:v>27604</x:v>
      </x:c>
      <x:c r="EA57" s="14" t="n">
        <x:v>8</x:v>
      </x:c>
      <x:c r="EB57" s="14" t="n">
        <x:v>409</x:v>
      </x:c>
      <x:c r="EC57" s="14" t="n">
        <x:v>164</x:v>
      </x:c>
      <x:c r="ED57" s="14" t="n">
        <x:v>17</x:v>
      </x:c>
      <x:c r="EE57" s="14" t="n">
        <x:v>4</x:v>
      </x:c>
      <x:c r="EF57" s="14" t="str">
        <x:v>未收錄</x:v>
      </x:c>
      <x:c r="EG57" s="14"/>
      <x:c r="EH57" s="14"/>
      <x:c r="EI57" s="14"/>
      <x:c r="EJ57" s="14"/>
      <x:c r="EK57" s="14"/>
      <x:c r="EL57" s="14"/>
      <x:c r="EM57" s="14"/>
      <x:c r="EN57" s="14"/>
      <x:c r="EO57" s="14"/>
      <x:c r="EP57" s="14"/>
      <x:c r="EQ57" s="14"/>
      <x:c r="ER57" s="14"/>
      <x:c r="ES57" s="14"/>
      <x:c r="ET57" s="14"/>
      <x:c r="EU57" s="14"/>
      <x:c r="EV57" s="14"/>
      <x:c r="EW57" s="14"/>
      <x:c r="EX57" s="14"/>
      <x:c r="EY57" s="14"/>
      <x:c r="EZ57" s="14"/>
      <x:c r="FA57" s="14"/>
      <x:c r="FB57" s="14"/>
      <x:c r="FC57" s="14"/>
      <x:c r="FD57" s="14"/>
      <x:c r="FE57" s="14"/>
      <x:c r="FF57" s="14"/>
      <x:c r="FG57" s="14"/>
      <x:c r="FH57" s="14"/>
      <x:c r="FI57" s="14" t="str">
        <x:v>30624</x:v>
      </x:c>
      <x:c r="FJ57" s="14" t="n">
        <x:v>20</x:v>
      </x:c>
      <x:c r="FK57" s="14" t="n">
        <x:v>792</x:v>
      </x:c>
      <x:c r="FL57" s="14" t="n">
        <x:v>161</x:v>
      </x:c>
      <x:c r="FM57" s="14" t="n">
        <x:v>17</x:v>
      </x:c>
      <x:c r="FN57" s="14" t="n">
        <x:v>1</x:v>
      </x:c>
      <x:c r="FO57" s="14" t="str">
        <x:v>未收錄</x:v>
      </x:c>
      <x:c r="FP57" s="14" t="str">
        <x:v>30952</x:v>
      </x:c>
      <x:c r="FQ57" s="14" t="n">
        <x:v>20</x:v>
      </x:c>
      <x:c r="FR57" s="14" t="n">
        <x:v>793</x:v>
      </x:c>
      <x:c r="FS57" s="14" t="n">
        <x:v>162</x:v>
      </x:c>
      <x:c r="FT57" s="14" t="n">
        <x:v>17</x:v>
      </x:c>
      <x:c r="FU57" s="14" t="n">
        <x:v>2</x:v>
      </x:c>
      <x:c r="FV57" s="14" t="str">
        <x:v>未收錄</x:v>
      </x:c>
      <x:c r="FW57" s="14" t="str">
        <x:v>30962</x:v>
      </x:c>
      <x:c r="FX57" s="14" t="n">
        <x:v>20</x:v>
      </x:c>
      <x:c r="FY57" s="14" t="n">
        <x:v>794</x:v>
      </x:c>
      <x:c r="FZ57" s="14" t="n">
        <x:v>163</x:v>
      </x:c>
      <x:c r="GA57" s="14" t="n">
        <x:v>17</x:v>
      </x:c>
      <x:c r="GB57" s="14" t="n">
        <x:v>3</x:v>
      </x:c>
      <x:c r="GC57" s="14" t="str">
        <x:v>未收錄</x:v>
      </x:c>
      <x:c r="GD57" s="14" t="str">
        <x:v>31555</x:v>
      </x:c>
      <x:c r="GE57" s="14" t="n">
        <x:v>20</x:v>
      </x:c>
      <x:c r="GF57" s="14" t="n">
        <x:v>795</x:v>
      </x:c>
      <x:c r="GG57" s="14" t="n">
        <x:v>164</x:v>
      </x:c>
      <x:c r="GH57" s="14" t="n">
        <x:v>17</x:v>
      </x:c>
      <x:c r="GI57" s="14" t="n">
        <x:v>4</x:v>
      </x:c>
      <x:c r="GJ57" s="14" t="str">
        <x:v>未收錄</x:v>
      </x:c>
      <x:c r="GK57" s="14" t="str">
        <x:v>30615</x:v>
      </x:c>
      <x:c r="GL57" s="14" t="n">
        <x:v>20</x:v>
      </x:c>
      <x:c r="GM57" s="14" t="n">
        <x:v>964</x:v>
      </x:c>
      <x:c r="GN57" s="14" t="n">
        <x:v>161</x:v>
      </x:c>
      <x:c r="GO57" s="14" t="n">
        <x:v>17</x:v>
      </x:c>
      <x:c r="GP57" s="14" t="n">
        <x:v>1</x:v>
      </x:c>
      <x:c r="GQ57" s="14" t="str">
        <x:v>未收錄</x:v>
      </x:c>
      <x:c r="GR57" s="14" t="str">
        <x:v>30625</x:v>
      </x:c>
      <x:c r="GS57" s="14" t="n">
        <x:v>20</x:v>
      </x:c>
      <x:c r="GT57" s="14" t="n">
        <x:v>965</x:v>
      </x:c>
      <x:c r="GU57" s="14" t="n">
        <x:v>162</x:v>
      </x:c>
      <x:c r="GV57" s="14" t="n">
        <x:v>17</x:v>
      </x:c>
      <x:c r="GW57" s="14" t="n">
        <x:v>2</x:v>
      </x:c>
      <x:c r="GX57" s="14" t="str">
        <x:v>未收錄</x:v>
      </x:c>
      <x:c r="GY57" s="14" t="str">
        <x:v>30953</x:v>
      </x:c>
      <x:c r="GZ57" s="14" t="n">
        <x:v>20</x:v>
      </x:c>
      <x:c r="HA57" s="14" t="n">
        <x:v>966</x:v>
      </x:c>
      <x:c r="HB57" s="14" t="n">
        <x:v>163</x:v>
      </x:c>
      <x:c r="HC57" s="14" t="n">
        <x:v>17</x:v>
      </x:c>
      <x:c r="HD57" s="14" t="n">
        <x:v>3</x:v>
      </x:c>
      <x:c r="HE57" s="14" t="str">
        <x:v>未收錄</x:v>
      </x:c>
      <x:c r="HF57" s="14" t="str">
        <x:v>30963</x:v>
      </x:c>
      <x:c r="HG57" s="14" t="n">
        <x:v>20</x:v>
      </x:c>
      <x:c r="HH57" s="14" t="n">
        <x:v>967</x:v>
      </x:c>
      <x:c r="HI57" s="14" t="n">
        <x:v>164</x:v>
      </x:c>
      <x:c r="HJ57" s="14" t="n">
        <x:v>17</x:v>
      </x:c>
      <x:c r="HK57" s="14" t="n">
        <x:v>4</x:v>
      </x:c>
      <x:c r="HL57" s="14" t="str">
        <x:v>未收錄</x:v>
      </x:c>
      <x:c r="HM57" s="14" t="str">
        <x:v>31567</x:v>
      </x:c>
      <x:c r="HN57" s="14" t="n">
        <x:v>20</x:v>
      </x:c>
      <x:c r="HO57" s="14" t="n">
        <x:v>1137</x:v>
      </x:c>
      <x:c r="HP57" s="14" t="n">
        <x:v>161</x:v>
      </x:c>
      <x:c r="HQ57" s="14" t="n">
        <x:v>17</x:v>
      </x:c>
      <x:c r="HR57" s="14" t="n">
        <x:v>1</x:v>
      </x:c>
      <x:c r="HS57" s="14" t="str">
        <x:v>未收錄</x:v>
      </x:c>
      <x:c r="HT57" s="14" t="str">
        <x:v>31840</x:v>
      </x:c>
      <x:c r="HU57" s="14" t="n">
        <x:v>20</x:v>
      </x:c>
      <x:c r="HV57" s="14" t="n">
        <x:v>1138</x:v>
      </x:c>
      <x:c r="HW57" s="14" t="n">
        <x:v>162</x:v>
      </x:c>
      <x:c r="HX57" s="14" t="n">
        <x:v>17</x:v>
      </x:c>
      <x:c r="HY57" s="14" t="n">
        <x:v>2</x:v>
      </x:c>
      <x:c r="HZ57" s="14" t="str">
        <x:v>未收錄</x:v>
      </x:c>
      <x:c r="IA57" s="14" t="str">
        <x:v>31850</x:v>
      </x:c>
      <x:c r="IB57" s="14" t="n">
        <x:v>20</x:v>
      </x:c>
      <x:c r="IC57" s="14" t="n">
        <x:v>1139</x:v>
      </x:c>
      <x:c r="ID57" s="14" t="n">
        <x:v>163</x:v>
      </x:c>
      <x:c r="IE57" s="14" t="n">
        <x:v>17</x:v>
      </x:c>
      <x:c r="IF57" s="14" t="n">
        <x:v>3</x:v>
      </x:c>
      <x:c r="IG57" s="14" t="str">
        <x:v>未收錄</x:v>
      </x:c>
      <x:c r="IH57" s="14" t="str">
        <x:v>31126</x:v>
      </x:c>
      <x:c r="II57" s="14" t="n">
        <x:v>8</x:v>
      </x:c>
      <x:c r="IJ57" s="14" t="n">
        <x:v>1140</x:v>
      </x:c>
      <x:c r="IK57" s="14" t="n">
        <x:v>164</x:v>
      </x:c>
      <x:c r="IL57" s="14" t="n">
        <x:v>17</x:v>
      </x:c>
      <x:c r="IM57" s="14" t="n">
        <x:v>4</x:v>
      </x:c>
      <x:c r="IN57" s="14" t="str">
        <x:v>未收錄</x:v>
      </x:c>
      <x:c r="IO57" s="14" t="str">
        <x:v>31841</x:v>
      </x:c>
      <x:c r="IP57" s="14" t="n">
        <x:v>20</x:v>
      </x:c>
      <x:c r="IQ57" s="14" t="n">
        <x:v>1305</x:v>
      </x:c>
      <x:c r="IR57" s="14" t="n">
        <x:v>161</x:v>
      </x:c>
      <x:c r="IS57" s="14" t="n">
        <x:v>17</x:v>
      </x:c>
      <x:c r="IT57" s="14" t="n">
        <x:v>1</x:v>
      </x:c>
      <x:c r="IU57" s="14" t="str">
        <x:v>未收錄</x:v>
      </x:c>
      <x:c r="IV57" s="14" t="str">
        <x:v>31851</x:v>
      </x:c>
      <x:c r="IW57" s="14" t="n">
        <x:v>20</x:v>
      </x:c>
      <x:c r="IX57" s="14" t="n">
        <x:v>1306</x:v>
      </x:c>
      <x:c r="IY57" s="14" t="n">
        <x:v>162</x:v>
      </x:c>
      <x:c r="IZ57" s="14" t="n">
        <x:v>17</x:v>
      </x:c>
      <x:c r="JA57" s="14" t="n">
        <x:v>2</x:v>
      </x:c>
      <x:c r="JB57" s="14" t="str">
        <x:v>未收錄</x:v>
      </x:c>
      <x:c r="JC57" s="14" t="str">
        <x:v>31131</x:v>
      </x:c>
      <x:c r="JD57" s="14" t="n">
        <x:v>8</x:v>
      </x:c>
      <x:c r="JE57" s="14" t="n">
        <x:v>1307</x:v>
      </x:c>
      <x:c r="JF57" s="14" t="n">
        <x:v>163</x:v>
      </x:c>
      <x:c r="JG57" s="14" t="n">
        <x:v>17</x:v>
      </x:c>
      <x:c r="JH57" s="14" t="n">
        <x:v>3</x:v>
      </x:c>
      <x:c r="JI57" s="14" t="str">
        <x:v>未收錄</x:v>
      </x:c>
      <x:c r="JJ57" s="14" t="str">
        <x:v>31132</x:v>
      </x:c>
      <x:c r="JK57" s="14" t="n">
        <x:v>8</x:v>
      </x:c>
      <x:c r="JL57" s="14" t="n">
        <x:v>1308</x:v>
      </x:c>
      <x:c r="JM57" s="14" t="n">
        <x:v>164</x:v>
      </x:c>
      <x:c r="JN57" s="14" t="n">
        <x:v>17</x:v>
      </x:c>
      <x:c r="JO57" s="14" t="n">
        <x:v>4</x:v>
      </x:c>
      <x:c r="JP57" s="14" t="str">
        <x:v>未收錄</x:v>
      </x:c>
      <x:c r="JQ57" s="14"/>
      <x:c r="JR57" s="14"/>
      <x:c r="JS57" s="14"/>
      <x:c r="JT57" s="14"/>
      <x:c r="JU57" s="14"/>
      <x:c r="JV57" s="14"/>
      <x:c r="JW57" s="14"/>
      <x:c r="JX57" s="14"/>
      <x:c r="JY57" s="14"/>
      <x:c r="JZ57" s="14"/>
      <x:c r="KA57" s="14"/>
      <x:c r="KB57" s="14"/>
      <x:c r="KC57" s="14"/>
      <x:c r="KD57" s="14"/>
      <x:c r="KE57" s="14"/>
      <x:c r="KF57" s="14"/>
      <x:c r="KG57" s="14"/>
      <x:c r="KH57" s="14"/>
      <x:c r="KI57" s="14"/>
      <x:c r="KJ57" s="14"/>
      <x:c r="KK57" s="14"/>
      <x:c r="KL57" s="14"/>
      <x:c r="KM57" s="14"/>
      <x:c r="KN57" s="14"/>
      <x:c r="KO57" s="14"/>
      <x:c r="KP57" s="14"/>
      <x:c r="KQ57" s="14"/>
      <x:c r="KR57" s="14"/>
      <x:c r="KS57" s="14"/>
      <x:c r="KT57" s="14"/>
      <x:c r="KU57" s="14"/>
      <x:c r="KV57" s="14"/>
      <x:c r="KW57" s="14"/>
      <x:c r="KX57" s="14"/>
      <x:c r="KY57" s="14"/>
      <x:c r="KZ57" s="14"/>
      <x:c r="LA57" s="14"/>
      <x:c r="LB57" s="14"/>
      <x:c r="LC57" s="14"/>
      <x:c r="LD57" s="14"/>
      <x:c r="LE57" s="14"/>
      <x:c r="LF57" s="14"/>
      <x:c r="LG57" s="14"/>
      <x:c r="LH57" s="14"/>
      <x:c r="LI57" s="14"/>
      <x:c r="LJ57" s="14"/>
      <x:c r="LK57" s="14"/>
      <x:c r="LL57" s="14"/>
      <x:c r="LM57" s="14"/>
      <x:c r="LN57" s="14"/>
      <x:c r="LO57" s="14"/>
      <x:c r="LP57" s="14"/>
      <x:c r="LQ57" s="14"/>
      <x:c r="LR57" s="14"/>
      <x:c r="LS57" s="14"/>
      <x:c r="LT57" s="14"/>
      <x:c r="LU57" s="14"/>
      <x:c r="LV57" s="14"/>
      <x:c r="LW57" s="14"/>
      <x:c r="LX57" s="14"/>
      <x:c r="LY57" s="14"/>
      <x:c r="LZ57" s="14"/>
      <x:c r="MA57" s="14"/>
      <x:c r="MB57" s="14"/>
      <x:c r="MC57" s="14"/>
      <x:c r="MD57" s="14"/>
      <x:c r="ME57" s="14"/>
      <x:c r="MF57" s="14"/>
      <x:c r="MG57" s="14"/>
      <x:c r="MH57" s="14"/>
      <x:c r="MI57" s="14"/>
      <x:c r="MJ57" s="14"/>
      <x:c r="MK57" s="14"/>
      <x:c r="ML57" s="14"/>
      <x:c r="MM57" s="14"/>
      <x:c r="MN57" s="14"/>
      <x:c r="MO57" s="14"/>
      <x:c r="MP57" s="14"/>
      <x:c r="MQ57" s="14"/>
      <x:c r="MR57" s="14"/>
      <x:c r="MS57" s="14"/>
      <x:c r="MT57" s="14"/>
      <x:c r="MU57" s="14"/>
      <x:c r="MV57" s="14"/>
      <x:c r="MW57" s="14" t="str">
        <x:v>23997</x:v>
      </x:c>
      <x:c r="MX57" s="14" t="n">
        <x:v>5</x:v>
      </x:c>
      <x:c r="MY57" s="14" t="n">
        <x:v>1809</x:v>
      </x:c>
      <x:c r="MZ57" s="14" t="n">
        <x:v>161</x:v>
      </x:c>
      <x:c r="NA57" s="14" t="n">
        <x:v>17</x:v>
      </x:c>
      <x:c r="NB57" s="14" t="n">
        <x:v>1</x:v>
      </x:c>
      <x:c r="NC57" s="14" t="str">
        <x:v>未收錄</x:v>
      </x:c>
      <x:c r="ND57" s="14" t="str">
        <x:v>23998</x:v>
      </x:c>
      <x:c r="NE57" s="14" t="n">
        <x:v>5</x:v>
      </x:c>
      <x:c r="NF57" s="14" t="n">
        <x:v>1810</x:v>
      </x:c>
      <x:c r="NG57" s="14" t="n">
        <x:v>162</x:v>
      </x:c>
      <x:c r="NH57" s="14" t="n">
        <x:v>17</x:v>
      </x:c>
      <x:c r="NI57" s="14" t="n">
        <x:v>2</x:v>
      </x:c>
      <x:c r="NJ57" s="14" t="str">
        <x:v>未收錄</x:v>
      </x:c>
      <x:c r="NK57" s="14" t="str">
        <x:v>23999</x:v>
      </x:c>
      <x:c r="NL57" s="14" t="n">
        <x:v>5</x:v>
      </x:c>
      <x:c r="NM57" s="14" t="n">
        <x:v>1811</x:v>
      </x:c>
      <x:c r="NN57" s="14" t="n">
        <x:v>163</x:v>
      </x:c>
      <x:c r="NO57" s="14" t="n">
        <x:v>17</x:v>
      </x:c>
      <x:c r="NP57" s="14" t="n">
        <x:v>3</x:v>
      </x:c>
      <x:c r="NQ57" s="14" t="str">
        <x:v>未收錄</x:v>
      </x:c>
      <x:c r="NR57" s="14" t="str">
        <x:v>24000</x:v>
      </x:c>
      <x:c r="NS57" s="14" t="n">
        <x:v>5</x:v>
      </x:c>
      <x:c r="NT57" s="14" t="n">
        <x:v>1812</x:v>
      </x:c>
      <x:c r="NU57" s="14" t="n">
        <x:v>164</x:v>
      </x:c>
      <x:c r="NV57" s="14" t="n">
        <x:v>17</x:v>
      </x:c>
      <x:c r="NW57" s="14" t="n">
        <x:v>4</x:v>
      </x:c>
      <x:c r="NX57" s="14" t="str">
        <x:v>未收錄</x:v>
      </x:c>
      <x:c r="NY57" s="14" t="str">
        <x:v>23553</x:v>
      </x:c>
      <x:c r="NZ57" s="14" t="n">
        <x:v>5</x:v>
      </x:c>
      <x:c r="OA57" s="14" t="n">
        <x:v>2262</x:v>
      </x:c>
      <x:c r="OB57" s="14" t="n">
        <x:v>161</x:v>
      </x:c>
      <x:c r="OC57" s="14" t="n">
        <x:v>17</x:v>
      </x:c>
      <x:c r="OD57" s="14" t="n">
        <x:v>1</x:v>
      </x:c>
      <x:c r="OE57" s="14" t="str">
        <x:v>未收錄</x:v>
      </x:c>
      <x:c r="OF57" s="14" t="str">
        <x:v>23554</x:v>
      </x:c>
      <x:c r="OG57" s="14" t="n">
        <x:v>5</x:v>
      </x:c>
      <x:c r="OH57" s="14" t="n">
        <x:v>2263</x:v>
      </x:c>
      <x:c r="OI57" s="14" t="n">
        <x:v>162</x:v>
      </x:c>
      <x:c r="OJ57" s="14" t="n">
        <x:v>17</x:v>
      </x:c>
      <x:c r="OK57" s="14" t="n">
        <x:v>2</x:v>
      </x:c>
      <x:c r="OL57" s="14" t="str">
        <x:v>未收錄</x:v>
      </x:c>
      <x:c r="OM57" s="14" t="str">
        <x:v>23555</x:v>
      </x:c>
      <x:c r="ON57" s="14" t="n">
        <x:v>5</x:v>
      </x:c>
      <x:c r="OO57" s="14" t="n">
        <x:v>2264</x:v>
      </x:c>
      <x:c r="OP57" s="14" t="n">
        <x:v>163</x:v>
      </x:c>
      <x:c r="OQ57" s="14" t="n">
        <x:v>17</x:v>
      </x:c>
      <x:c r="OR57" s="14" t="n">
        <x:v>3</x:v>
      </x:c>
      <x:c r="OS57" s="14" t="str">
        <x:v>未收錄</x:v>
      </x:c>
      <x:c r="OT57" s="14" t="str">
        <x:v>23556</x:v>
      </x:c>
      <x:c r="OU57" s="14" t="n">
        <x:v>5</x:v>
      </x:c>
      <x:c r="OV57" s="14" t="n">
        <x:v>2265</x:v>
      </x:c>
      <x:c r="OW57" s="14" t="n">
        <x:v>164</x:v>
      </x:c>
      <x:c r="OX57" s="14" t="n">
        <x:v>17</x:v>
      </x:c>
      <x:c r="OY57" s="14" t="n">
        <x:v>4</x:v>
      </x:c>
      <x:c r="OZ57" s="14" t="str">
        <x:v>未收錄</x:v>
      </x:c>
      <x:c r="PA57" s="14" t="str">
        <x:v>24459</x:v>
      </x:c>
      <x:c r="PB57" s="14" t="n">
        <x:v>5</x:v>
      </x:c>
      <x:c r="PC57" s="14" t="n">
        <x:v>2808</x:v>
      </x:c>
      <x:c r="PD57" s="14" t="n">
        <x:v>161</x:v>
      </x:c>
      <x:c r="PE57" s="14" t="n">
        <x:v>17</x:v>
      </x:c>
      <x:c r="PF57" s="14" t="n">
        <x:v>1</x:v>
      </x:c>
      <x:c r="PG57" s="14" t="str">
        <x:v>未收錄</x:v>
      </x:c>
      <x:c r="PH57" s="14" t="str">
        <x:v>24460</x:v>
      </x:c>
      <x:c r="PI57" s="14" t="n">
        <x:v>5</x:v>
      </x:c>
      <x:c r="PJ57" s="14" t="n">
        <x:v>2809</x:v>
      </x:c>
      <x:c r="PK57" s="14" t="n">
        <x:v>162</x:v>
      </x:c>
      <x:c r="PL57" s="14" t="n">
        <x:v>17</x:v>
      </x:c>
      <x:c r="PM57" s="14" t="n">
        <x:v>2</x:v>
      </x:c>
      <x:c r="PN57" s="14" t="str">
        <x:v>未收錄</x:v>
      </x:c>
      <x:c r="PO57" s="14" t="str">
        <x:v>24461</x:v>
      </x:c>
      <x:c r="PP57" s="14" t="n">
        <x:v>5</x:v>
      </x:c>
      <x:c r="PQ57" s="14" t="n">
        <x:v>2810</x:v>
      </x:c>
      <x:c r="PR57" s="14" t="n">
        <x:v>163</x:v>
      </x:c>
      <x:c r="PS57" s="14" t="n">
        <x:v>17</x:v>
      </x:c>
      <x:c r="PT57" s="14" t="n">
        <x:v>3</x:v>
      </x:c>
      <x:c r="PU57" s="14" t="str">
        <x:v>未收錄</x:v>
      </x:c>
      <x:c r="PV57" s="14" t="str">
        <x:v>24462</x:v>
      </x:c>
      <x:c r="PW57" s="14" t="n">
        <x:v>5</x:v>
      </x:c>
      <x:c r="PX57" s="14" t="n">
        <x:v>2811</x:v>
      </x:c>
      <x:c r="PY57" s="14" t="n">
        <x:v>164</x:v>
      </x:c>
      <x:c r="PZ57" s="14" t="n">
        <x:v>17</x:v>
      </x:c>
      <x:c r="QA57" s="14" t="n">
        <x:v>4</x:v>
      </x:c>
      <x:c r="QB57" s="14" t="str">
        <x:v>未收錄</x:v>
      </x:c>
      <x:c r="QC57" s="14" t="str">
        <x:v>24472</x:v>
      </x:c>
      <x:c r="QD57" s="14" t="n">
        <x:v>5</x:v>
      </x:c>
      <x:c r="QE57" s="14" t="n">
        <x:v>3245</x:v>
      </x:c>
      <x:c r="QF57" s="14" t="n">
        <x:v>161</x:v>
      </x:c>
      <x:c r="QG57" s="14" t="n">
        <x:v>17</x:v>
      </x:c>
      <x:c r="QH57" s="14" t="n">
        <x:v>1</x:v>
      </x:c>
      <x:c r="QI57" s="14" t="str">
        <x:v>未收錄</x:v>
      </x:c>
      <x:c r="QJ57" s="14" t="str">
        <x:v>24473</x:v>
      </x:c>
      <x:c r="QK57" s="14" t="n">
        <x:v>5</x:v>
      </x:c>
      <x:c r="QL57" s="14" t="n">
        <x:v>3246</x:v>
      </x:c>
      <x:c r="QM57" s="14" t="n">
        <x:v>162</x:v>
      </x:c>
      <x:c r="QN57" s="14" t="n">
        <x:v>17</x:v>
      </x:c>
      <x:c r="QO57" s="14" t="n">
        <x:v>2</x:v>
      </x:c>
      <x:c r="QP57" s="14" t="str">
        <x:v>未收錄</x:v>
      </x:c>
      <x:c r="QQ57" s="14" t="str">
        <x:v>24474</x:v>
      </x:c>
      <x:c r="QR57" s="14" t="n">
        <x:v>5</x:v>
      </x:c>
      <x:c r="QS57" s="14" t="n">
        <x:v>3247</x:v>
      </x:c>
      <x:c r="QT57" s="14" t="n">
        <x:v>163</x:v>
      </x:c>
      <x:c r="QU57" s="14" t="n">
        <x:v>17</x:v>
      </x:c>
      <x:c r="QV57" s="14" t="n">
        <x:v>3</x:v>
      </x:c>
      <x:c r="QW57" s="14" t="str">
        <x:v>未收錄</x:v>
      </x:c>
      <x:c r="QX57" s="14" t="str">
        <x:v>24475</x:v>
      </x:c>
      <x:c r="QY57" s="14" t="n">
        <x:v>5</x:v>
      </x:c>
      <x:c r="QZ57" s="14" t="n">
        <x:v>3248</x:v>
      </x:c>
      <x:c r="RA57" s="14" t="n">
        <x:v>164</x:v>
      </x:c>
      <x:c r="RB57" s="14" t="n">
        <x:v>17</x:v>
      </x:c>
      <x:c r="RC57" s="14" t="n">
        <x:v>4</x:v>
      </x:c>
      <x:c r="RD57" s="14" t="str">
        <x:v>未收錄</x:v>
      </x:c>
      <x:c r="RE57" s="14" t="str">
        <x:v>26050</x:v>
      </x:c>
      <x:c r="RF57" s="14" t="n">
        <x:v>5</x:v>
      </x:c>
      <x:c r="RG57" s="14" t="n">
        <x:v>3706</x:v>
      </x:c>
      <x:c r="RH57" s="14" t="n">
        <x:v>161</x:v>
      </x:c>
      <x:c r="RI57" s="14" t="n">
        <x:v>17</x:v>
      </x:c>
      <x:c r="RJ57" s="14" t="n">
        <x:v>1</x:v>
      </x:c>
      <x:c r="RK57" s="14" t="str">
        <x:v>未收錄</x:v>
      </x:c>
      <x:c r="RL57" s="14" t="str">
        <x:v>26051</x:v>
      </x:c>
      <x:c r="RM57" s="14" t="n">
        <x:v>5</x:v>
      </x:c>
      <x:c r="RN57" s="14" t="n">
        <x:v>3707</x:v>
      </x:c>
      <x:c r="RO57" s="14" t="n">
        <x:v>162</x:v>
      </x:c>
      <x:c r="RP57" s="14" t="n">
        <x:v>17</x:v>
      </x:c>
      <x:c r="RQ57" s="14" t="n">
        <x:v>2</x:v>
      </x:c>
      <x:c r="RR57" s="14" t="str">
        <x:v>未收錄</x:v>
      </x:c>
      <x:c r="RS57" s="14" t="str">
        <x:v>26052</x:v>
      </x:c>
      <x:c r="RT57" s="14" t="n">
        <x:v>5</x:v>
      </x:c>
      <x:c r="RU57" s="14" t="n">
        <x:v>3708</x:v>
      </x:c>
      <x:c r="RV57" s="14" t="n">
        <x:v>163</x:v>
      </x:c>
      <x:c r="RW57" s="14" t="n">
        <x:v>17</x:v>
      </x:c>
      <x:c r="RX57" s="14" t="n">
        <x:v>3</x:v>
      </x:c>
      <x:c r="RY57" s="14" t="str">
        <x:v>未收錄</x:v>
      </x:c>
      <x:c r="RZ57" s="14" t="str">
        <x:v>26053</x:v>
      </x:c>
      <x:c r="SA57" s="14" t="n">
        <x:v>5</x:v>
      </x:c>
      <x:c r="SB57" s="14" t="n">
        <x:v>3709</x:v>
      </x:c>
      <x:c r="SC57" s="14" t="n">
        <x:v>164</x:v>
      </x:c>
      <x:c r="SD57" s="14" t="n">
        <x:v>17</x:v>
      </x:c>
      <x:c r="SE57" s="14" t="n">
        <x:v>4</x:v>
      </x:c>
      <x:c r="SF57" s="14" t="str">
        <x:v>未收錄</x:v>
      </x:c>
      <x:c r="SG57" s="14"/>
      <x:c r="SH57" s="14"/>
      <x:c r="SI57" s="14"/>
      <x:c r="SJ57" s="14"/>
      <x:c r="SK57" s="14"/>
      <x:c r="SL57" s="14"/>
      <x:c r="SM57" s="14"/>
      <x:c r="SN57" s="14"/>
      <x:c r="SO57" s="14"/>
      <x:c r="SP57" s="14"/>
      <x:c r="SQ57" s="14"/>
      <x:c r="SR57" s="14"/>
      <x:c r="SS57" s="14"/>
      <x:c r="ST57" s="14"/>
      <x:c r="SU57" s="14"/>
      <x:c r="SV57" s="14"/>
      <x:c r="SW57" s="14"/>
      <x:c r="SX57" s="14"/>
      <x:c r="SY57" s="14"/>
      <x:c r="SZ57" s="14"/>
      <x:c r="TA57" s="14"/>
      <x:c r="TB57" s="14"/>
      <x:c r="TC57" s="14"/>
      <x:c r="TD57" s="14"/>
      <x:c r="TE57" s="14"/>
      <x:c r="TF57" s="14"/>
      <x:c r="TG57" s="14"/>
      <x:c r="TH57" s="14"/>
    </x:row>
    <x:row r="58" ht="15" customHeight="1">
      <x:c r="A58" s="18" t="str">
        <x:v>太古朝宗劍</x:v>
      </x:c>
      <x:c r="B58" s="18" t="str">
        <x:v>金閣聖宗劍</x:v>
      </x:c>
      <x:c r="C58" s="18" t="str">
        <x:v>天朝萬歸劍</x:v>
      </x:c>
      <x:c r="D58" s="18" t="str">
        <x:v>尊劍大威德</x:v>
      </x:c>
      <x:c r="E58" s="14"/>
      <x:c r="F58" s="18" t="str">
        <x:v>窮極‧炎魄刀</x:v>
      </x:c>
      <x:c r="G58" s="18" t="str">
        <x:v>元宙‧炎魄刀</x:v>
      </x:c>
      <x:c r="H58" s="18" t="str">
        <x:v>真宇傲炎魄刀</x:v>
      </x:c>
      <x:c r="I58" s="18" t="str">
        <x:v>流螢斬★</x:v>
      </x:c>
      <x:c r="J58" s="14"/>
      <x:c r="K58" s="14"/>
      <x:c r="L58" s="14"/>
      <x:c r="M58" s="14"/>
      <x:c r="N58" s="14"/>
      <x:c r="O58" s="14"/>
      <x:c r="P58" s="18" t="str">
        <x:v>星光引導者</x:v>
      </x:c>
      <x:c r="Q58" s="18" t="str">
        <x:v>椒圖長風拂</x:v>
      </x:c>
      <x:c r="R58" s="18" t="str">
        <x:v>椒圖長風拂</x:v>
      </x:c>
      <x:c r="S58" s="18" t="str">
        <x:v>塹淵幽柄Ⅰ</x:v>
      </x:c>
      <x:c r="T58" s="14"/>
      <x:c r="U58" s="18" t="str">
        <x:v>沉思之杖</x:v>
      </x:c>
      <x:c r="V58" s="18" t="str">
        <x:v>沉思之杖</x:v>
      </x:c>
      <x:c r="W58" s="18" t="str">
        <x:v>鐘吼蹬天杖</x:v>
      </x:c>
      <x:c r="X58" s="18" t="str">
        <x:v>鐘吼蹬天杖</x:v>
      </x:c>
      <x:c r="Y58" s="14"/>
      <x:c r="Z58" s="18" t="str">
        <x:v>羅將烈槍Ⅱ</x:v>
      </x:c>
      <x:c r="AA58" s="18" t="str">
        <x:v>羅將烈槍Ⅲ</x:v>
      </x:c>
      <x:c r="AB58" s="18" t="str">
        <x:v>羅將烈槍Ⅳ</x:v>
      </x:c>
      <x:c r="AC58" s="18" t="str">
        <x:v>羅將烈槍Ⅴ</x:v>
      </x:c>
      <x:c r="AD58" s="14"/>
      <x:c r="AE58" s="18" t="str">
        <x:v>血腥屠夫Ⅲ</x:v>
      </x:c>
      <x:c r="AF58" s="18" t="str">
        <x:v>血腥屠夫Ⅳ</x:v>
      </x:c>
      <x:c r="AG58" s="18" t="str">
        <x:v>血腥屠夫Ⅴ</x:v>
      </x:c>
      <x:c r="AH58" s="18"/>
      <x:c r="AI58" s="14"/>
      <x:c r="AJ58" s="14"/>
      <x:c r="AK58" s="14"/>
      <x:c r="AL58" s="14"/>
      <x:c r="AM58" s="14"/>
      <x:c r="AN58" s="14"/>
      <x:c r="AO58" s="14"/>
      <x:c r="AP58" s="14"/>
      <x:c r="AQ58" s="14"/>
      <x:c r="AR58" s="14"/>
      <x:c r="AS58" s="14"/>
      <x:c r="AT58" s="14"/>
      <x:c r="AU58" s="14"/>
      <x:c r="AV58" s="14"/>
      <x:c r="AW58" s="14"/>
      <x:c r="AX58" s="14"/>
      <x:c r="AY58" s="18" t="str">
        <x:v>南日碟兜</x:v>
      </x:c>
      <x:c r="AZ58" s="18" t="str">
        <x:v>古茹霸首</x:v>
      </x:c>
      <x:c r="BA58" s="18" t="str">
        <x:v>穆赤祭面</x:v>
      </x:c>
      <x:c r="BB58" s="18" t="str">
        <x:v>朗達瑪冠</x:v>
      </x:c>
      <x:c r="BC58" s="14"/>
      <x:c r="BD58" s="18" t="str">
        <x:v>轉輪袈裟</x:v>
      </x:c>
      <x:c r="BE58" s="18" t="str">
        <x:v>寰宇萬象納</x:v>
      </x:c>
      <x:c r="BF58" s="18" t="str">
        <x:v>天狗神法衣</x:v>
      </x:c>
      <x:c r="BG58" s="18" t="str">
        <x:v>隱遁鱗冑</x:v>
      </x:c>
      <x:c r="BH58" s="14"/>
      <x:c r="BI58" s="18" t="str">
        <x:v>鴻緒道腕</x:v>
      </x:c>
      <x:c r="BJ58" s="18" t="str">
        <x:v>明緒道腕</x:v>
      </x:c>
      <x:c r="BK58" s="18" t="str">
        <x:v>正緒道腕</x:v>
      </x:c>
      <x:c r="BL58" s="18" t="str">
        <x:v>定恆禪腕</x:v>
      </x:c>
      <x:c r="BM58" s="14"/>
      <x:c r="BN58" s="18" t="str">
        <x:v>碧虛靈靴</x:v>
      </x:c>
      <x:c r="BO58" s="18" t="str">
        <x:v>太虛靈靴</x:v>
      </x:c>
      <x:c r="BP58" s="18" t="str">
        <x:v>鴻緒道靴</x:v>
      </x:c>
      <x:c r="BQ58" s="18" t="str">
        <x:v>明緒道靴</x:v>
      </x:c>
      <x:c r="BR58" s="14"/>
      <x:c r="BS58" s="18" t="str">
        <x:v>仙氣聚納環</x:v>
      </x:c>
      <x:c r="BT58" s="18" t="str">
        <x:v>玄武不破甲</x:v>
      </x:c>
      <x:c r="BU58" s="18" t="str">
        <x:v>鐵帝佛珠</x:v>
      </x:c>
      <x:c r="BV58" s="18" t="str">
        <x:v>力帝佛珠</x:v>
      </x:c>
      <x:c r="BW58" s="14"/>
      <x:c r="BX58" s="14"/>
      <x:c r="BY58" s="14"/>
      <x:c r="BZ58" s="14"/>
      <x:c r="CA58" s="14"/>
      <x:c r="CB58" s="14"/>
      <x:c r="CC58" s="14" t="str">
        <x:v>26729</x:v>
      </x:c>
      <x:c r="CD58" s="14" t="n">
        <x:v>3</x:v>
      </x:c>
      <x:c r="CE58" s="14" t="n">
        <x:v>165</x:v>
      </x:c>
      <x:c r="CF58" s="14" t="n">
        <x:v>165</x:v>
      </x:c>
      <x:c r="CG58" s="14" t="n">
        <x:v>18</x:v>
      </x:c>
      <x:c r="CH58" s="14" t="n">
        <x:v>1</x:v>
      </x:c>
      <x:c r="CI58" s="14" t="str">
        <x:v>未收錄</x:v>
      </x:c>
      <x:c r="CJ58" s="14" t="str">
        <x:v>26604</x:v>
      </x:c>
      <x:c r="CK58" s="14" t="n">
        <x:v>8</x:v>
      </x:c>
      <x:c r="CL58" s="14" t="n">
        <x:v>166</x:v>
      </x:c>
      <x:c r="CM58" s="14" t="n">
        <x:v>166</x:v>
      </x:c>
      <x:c r="CN58" s="14" t="n">
        <x:v>18</x:v>
      </x:c>
      <x:c r="CO58" s="14" t="n">
        <x:v>2</x:v>
      </x:c>
      <x:c r="CP58" s="14" t="str">
        <x:v>未收錄</x:v>
      </x:c>
      <x:c r="CQ58" s="14" t="str">
        <x:v>26605</x:v>
      </x:c>
      <x:c r="CR58" s="14" t="n">
        <x:v>8</x:v>
      </x:c>
      <x:c r="CS58" s="14" t="n">
        <x:v>167</x:v>
      </x:c>
      <x:c r="CT58" s="14" t="n">
        <x:v>167</x:v>
      </x:c>
      <x:c r="CU58" s="14" t="n">
        <x:v>18</x:v>
      </x:c>
      <x:c r="CV58" s="14" t="n">
        <x:v>3</x:v>
      </x:c>
      <x:c r="CW58" s="14" t="str">
        <x:v>未收錄</x:v>
      </x:c>
      <x:c r="CX58" s="14" t="str">
        <x:v>26930</x:v>
      </x:c>
      <x:c r="CY58" s="14" t="n">
        <x:v>8</x:v>
      </x:c>
      <x:c r="CZ58" s="14" t="n">
        <x:v>168</x:v>
      </x:c>
      <x:c r="DA58" s="14" t="n">
        <x:v>168</x:v>
      </x:c>
      <x:c r="DB58" s="14" t="n">
        <x:v>18</x:v>
      </x:c>
      <x:c r="DC58" s="14" t="n">
        <x:v>4</x:v>
      </x:c>
      <x:c r="DD58" s="14" t="str">
        <x:v>未收錄</x:v>
      </x:c>
      <x:c r="DE58" s="14" t="str">
        <x:v>27605</x:v>
      </x:c>
      <x:c r="DF58" s="14" t="n">
        <x:v>8</x:v>
      </x:c>
      <x:c r="DG58" s="14" t="n">
        <x:v>410</x:v>
      </x:c>
      <x:c r="DH58" s="14" t="n">
        <x:v>165</x:v>
      </x:c>
      <x:c r="DI58" s="14" t="n">
        <x:v>18</x:v>
      </x:c>
      <x:c r="DJ58" s="14" t="n">
        <x:v>1</x:v>
      </x:c>
      <x:c r="DK58" s="14" t="str">
        <x:v>未收錄</x:v>
      </x:c>
      <x:c r="DL58" s="14" t="str">
        <x:v>27606</x:v>
      </x:c>
      <x:c r="DM58" s="14" t="n">
        <x:v>8</x:v>
      </x:c>
      <x:c r="DN58" s="14" t="n">
        <x:v>411</x:v>
      </x:c>
      <x:c r="DO58" s="14" t="n">
        <x:v>166</x:v>
      </x:c>
      <x:c r="DP58" s="14" t="n">
        <x:v>18</x:v>
      </x:c>
      <x:c r="DQ58" s="14" t="n">
        <x:v>2</x:v>
      </x:c>
      <x:c r="DR58" s="14" t="str">
        <x:v>未收錄</x:v>
      </x:c>
      <x:c r="DS58" s="14" t="str">
        <x:v>27607</x:v>
      </x:c>
      <x:c r="DT58" s="14" t="n">
        <x:v>8</x:v>
      </x:c>
      <x:c r="DU58" s="14" t="n">
        <x:v>412</x:v>
      </x:c>
      <x:c r="DV58" s="14" t="n">
        <x:v>167</x:v>
      </x:c>
      <x:c r="DW58" s="14" t="n">
        <x:v>18</x:v>
      </x:c>
      <x:c r="DX58" s="14" t="n">
        <x:v>3</x:v>
      </x:c>
      <x:c r="DY58" s="14" t="str">
        <x:v>未收錄</x:v>
      </x:c>
      <x:c r="DZ58" s="14" t="str">
        <x:v>28352</x:v>
      </x:c>
      <x:c r="EA58" s="14" t="n">
        <x:v>8</x:v>
      </x:c>
      <x:c r="EB58" s="14" t="n">
        <x:v>413</x:v>
      </x:c>
      <x:c r="EC58" s="14" t="n">
        <x:v>168</x:v>
      </x:c>
      <x:c r="ED58" s="14" t="n">
        <x:v>18</x:v>
      </x:c>
      <x:c r="EE58" s="14" t="n">
        <x:v>4</x:v>
      </x:c>
      <x:c r="EF58" s="14" t="str">
        <x:v>未收錄</x:v>
      </x:c>
      <x:c r="EG58" s="14"/>
      <x:c r="EH58" s="14"/>
      <x:c r="EI58" s="14"/>
      <x:c r="EJ58" s="14"/>
      <x:c r="EK58" s="14"/>
      <x:c r="EL58" s="14"/>
      <x:c r="EM58" s="14"/>
      <x:c r="EN58" s="14"/>
      <x:c r="EO58" s="14"/>
      <x:c r="EP58" s="14"/>
      <x:c r="EQ58" s="14"/>
      <x:c r="ER58" s="14"/>
      <x:c r="ES58" s="14"/>
      <x:c r="ET58" s="14"/>
      <x:c r="EU58" s="14"/>
      <x:c r="EV58" s="14"/>
      <x:c r="EW58" s="14"/>
      <x:c r="EX58" s="14"/>
      <x:c r="EY58" s="14"/>
      <x:c r="EZ58" s="14"/>
      <x:c r="FA58" s="14"/>
      <x:c r="FB58" s="14"/>
      <x:c r="FC58" s="14"/>
      <x:c r="FD58" s="14"/>
      <x:c r="FE58" s="14"/>
      <x:c r="FF58" s="14"/>
      <x:c r="FG58" s="14"/>
      <x:c r="FH58" s="14"/>
      <x:c r="FI58" s="14" t="str">
        <x:v>31565</x:v>
      </x:c>
      <x:c r="FJ58" s="14" t="n">
        <x:v>20</x:v>
      </x:c>
      <x:c r="FK58" s="14" t="n">
        <x:v>796</x:v>
      </x:c>
      <x:c r="FL58" s="14" t="n">
        <x:v>165</x:v>
      </x:c>
      <x:c r="FM58" s="14" t="n">
        <x:v>18</x:v>
      </x:c>
      <x:c r="FN58" s="14" t="n">
        <x:v>1</x:v>
      </x:c>
      <x:c r="FO58" s="14" t="str">
        <x:v>未收錄</x:v>
      </x:c>
      <x:c r="FP58" s="14" t="str">
        <x:v>31838</x:v>
      </x:c>
      <x:c r="FQ58" s="14" t="n">
        <x:v>20</x:v>
      </x:c>
      <x:c r="FR58" s="14" t="n">
        <x:v>797</x:v>
      </x:c>
      <x:c r="FS58" s="14" t="n">
        <x:v>166</x:v>
      </x:c>
      <x:c r="FT58" s="14" t="n">
        <x:v>18</x:v>
      </x:c>
      <x:c r="FU58" s="14" t="n">
        <x:v>2</x:v>
      </x:c>
      <x:c r="FV58" s="14" t="str">
        <x:v>未收錄</x:v>
      </x:c>
      <x:c r="FW58" s="14" t="str">
        <x:v>31848</x:v>
      </x:c>
      <x:c r="FX58" s="14" t="n">
        <x:v>20</x:v>
      </x:c>
      <x:c r="FY58" s="14" t="n">
        <x:v>798</x:v>
      </x:c>
      <x:c r="FZ58" s="14" t="n">
        <x:v>167</x:v>
      </x:c>
      <x:c r="GA58" s="14" t="n">
        <x:v>18</x:v>
      </x:c>
      <x:c r="GB58" s="14" t="n">
        <x:v>3</x:v>
      </x:c>
      <x:c r="GC58" s="14" t="str">
        <x:v>未收錄</x:v>
      </x:c>
      <x:c r="GD58" s="14" t="str">
        <x:v>31116</x:v>
      </x:c>
      <x:c r="GE58" s="14" t="n">
        <x:v>8</x:v>
      </x:c>
      <x:c r="GF58" s="14" t="n">
        <x:v>799</x:v>
      </x:c>
      <x:c r="GG58" s="14" t="n">
        <x:v>168</x:v>
      </x:c>
      <x:c r="GH58" s="14" t="n">
        <x:v>18</x:v>
      </x:c>
      <x:c r="GI58" s="14" t="n">
        <x:v>4</x:v>
      </x:c>
      <x:c r="GJ58" s="14" t="str">
        <x:v>未收錄</x:v>
      </x:c>
      <x:c r="GK58" s="14" t="str">
        <x:v>31556</x:v>
      </x:c>
      <x:c r="GL58" s="14" t="n">
        <x:v>20</x:v>
      </x:c>
      <x:c r="GM58" s="14" t="n">
        <x:v>968</x:v>
      </x:c>
      <x:c r="GN58" s="14" t="n">
        <x:v>165</x:v>
      </x:c>
      <x:c r="GO58" s="14" t="n">
        <x:v>18</x:v>
      </x:c>
      <x:c r="GP58" s="14" t="n">
        <x:v>1</x:v>
      </x:c>
      <x:c r="GQ58" s="14" t="str">
        <x:v>未收錄</x:v>
      </x:c>
      <x:c r="GR58" s="14" t="str">
        <x:v>31566</x:v>
      </x:c>
      <x:c r="GS58" s="14" t="n">
        <x:v>20</x:v>
      </x:c>
      <x:c r="GT58" s="14" t="n">
        <x:v>969</x:v>
      </x:c>
      <x:c r="GU58" s="14" t="n">
        <x:v>166</x:v>
      </x:c>
      <x:c r="GV58" s="14" t="n">
        <x:v>18</x:v>
      </x:c>
      <x:c r="GW58" s="14" t="n">
        <x:v>2</x:v>
      </x:c>
      <x:c r="GX58" s="14" t="str">
        <x:v>未收錄</x:v>
      </x:c>
      <x:c r="GY58" s="14" t="str">
        <x:v>31839</x:v>
      </x:c>
      <x:c r="GZ58" s="14" t="n">
        <x:v>20</x:v>
      </x:c>
      <x:c r="HA58" s="14" t="n">
        <x:v>970</x:v>
      </x:c>
      <x:c r="HB58" s="14" t="n">
        <x:v>167</x:v>
      </x:c>
      <x:c r="HC58" s="14" t="n">
        <x:v>18</x:v>
      </x:c>
      <x:c r="HD58" s="14" t="n">
        <x:v>3</x:v>
      </x:c>
      <x:c r="HE58" s="14" t="str">
        <x:v>未收錄</x:v>
      </x:c>
      <x:c r="HF58" s="14" t="str">
        <x:v>31849</x:v>
      </x:c>
      <x:c r="HG58" s="14" t="n">
        <x:v>20</x:v>
      </x:c>
      <x:c r="HH58" s="14" t="n">
        <x:v>971</x:v>
      </x:c>
      <x:c r="HI58" s="14" t="n">
        <x:v>168</x:v>
      </x:c>
      <x:c r="HJ58" s="14" t="n">
        <x:v>18</x:v>
      </x:c>
      <x:c r="HK58" s="14" t="n">
        <x:v>4</x:v>
      </x:c>
      <x:c r="HL58" s="14" t="str">
        <x:v>未收錄</x:v>
      </x:c>
      <x:c r="HM58" s="14" t="str">
        <x:v>31127</x:v>
      </x:c>
      <x:c r="HN58" s="14" t="n">
        <x:v>8</x:v>
      </x:c>
      <x:c r="HO58" s="14" t="n">
        <x:v>1141</x:v>
      </x:c>
      <x:c r="HP58" s="14" t="n">
        <x:v>165</x:v>
      </x:c>
      <x:c r="HQ58" s="14" t="n">
        <x:v>18</x:v>
      </x:c>
      <x:c r="HR58" s="14" t="n">
        <x:v>1</x:v>
      </x:c>
      <x:c r="HS58" s="14" t="str">
        <x:v>未收錄</x:v>
      </x:c>
      <x:c r="HT58" s="14" t="str">
        <x:v>31128</x:v>
      </x:c>
      <x:c r="HU58" s="14" t="n">
        <x:v>8</x:v>
      </x:c>
      <x:c r="HV58" s="14" t="n">
        <x:v>1142</x:v>
      </x:c>
      <x:c r="HW58" s="14" t="n">
        <x:v>166</x:v>
      </x:c>
      <x:c r="HX58" s="14" t="n">
        <x:v>18</x:v>
      </x:c>
      <x:c r="HY58" s="14" t="n">
        <x:v>2</x:v>
      </x:c>
      <x:c r="HZ58" s="14" t="str">
        <x:v>未收錄</x:v>
      </x:c>
      <x:c r="IA58" s="14" t="str">
        <x:v>31129</x:v>
      </x:c>
      <x:c r="IB58" s="14" t="n">
        <x:v>8</x:v>
      </x:c>
      <x:c r="IC58" s="14" t="n">
        <x:v>1143</x:v>
      </x:c>
      <x:c r="ID58" s="14" t="n">
        <x:v>167</x:v>
      </x:c>
      <x:c r="IE58" s="14" t="n">
        <x:v>18</x:v>
      </x:c>
      <x:c r="IF58" s="14" t="n">
        <x:v>3</x:v>
      </x:c>
      <x:c r="IG58" s="14" t="str">
        <x:v>未收錄</x:v>
      </x:c>
      <x:c r="IH58" s="14" t="str">
        <x:v>31130</x:v>
      </x:c>
      <x:c r="II58" s="14" t="n">
        <x:v>8</x:v>
      </x:c>
      <x:c r="IJ58" s="14" t="n">
        <x:v>1144</x:v>
      </x:c>
      <x:c r="IK58" s="14" t="n">
        <x:v>168</x:v>
      </x:c>
      <x:c r="IL58" s="14" t="n">
        <x:v>18</x:v>
      </x:c>
      <x:c r="IM58" s="14" t="n">
        <x:v>4</x:v>
      </x:c>
      <x:c r="IN58" s="14" t="str">
        <x:v>未收錄</x:v>
      </x:c>
      <x:c r="IO58" s="14" t="str">
        <x:v>31133</x:v>
      </x:c>
      <x:c r="IP58" s="14" t="n">
        <x:v>8</x:v>
      </x:c>
      <x:c r="IQ58" s="14" t="n">
        <x:v>1309</x:v>
      </x:c>
      <x:c r="IR58" s="14" t="n">
        <x:v>165</x:v>
      </x:c>
      <x:c r="IS58" s="14" t="n">
        <x:v>18</x:v>
      </x:c>
      <x:c r="IT58" s="14" t="n">
        <x:v>1</x:v>
      </x:c>
      <x:c r="IU58" s="14" t="str">
        <x:v>未收錄</x:v>
      </x:c>
      <x:c r="IV58" s="14" t="str">
        <x:v>31134</x:v>
      </x:c>
      <x:c r="IW58" s="14" t="n">
        <x:v>8</x:v>
      </x:c>
      <x:c r="IX58" s="14" t="n">
        <x:v>1310</x:v>
      </x:c>
      <x:c r="IY58" s="14" t="n">
        <x:v>166</x:v>
      </x:c>
      <x:c r="IZ58" s="14" t="n">
        <x:v>18</x:v>
      </x:c>
      <x:c r="JA58" s="14" t="n">
        <x:v>2</x:v>
      </x:c>
      <x:c r="JB58" s="14" t="str">
        <x:v>未收錄</x:v>
      </x:c>
      <x:c r="JC58" s="14" t="str">
        <x:v>31135</x:v>
      </x:c>
      <x:c r="JD58" s="14" t="n">
        <x:v>8</x:v>
      </x:c>
      <x:c r="JE58" s="14" t="n">
        <x:v>1311</x:v>
      </x:c>
      <x:c r="JF58" s="14" t="n">
        <x:v>167</x:v>
      </x:c>
      <x:c r="JG58" s="14" t="n">
        <x:v>18</x:v>
      </x:c>
      <x:c r="JH58" s="14" t="n">
        <x:v>3</x:v>
      </x:c>
      <x:c r="JI58" s="14" t="str">
        <x:v>未收錄</x:v>
      </x:c>
      <x:c r="JJ58" s="14"/>
      <x:c r="JK58" s="14"/>
      <x:c r="JL58" s="14"/>
      <x:c r="JM58" s="14"/>
      <x:c r="JN58" s="14"/>
      <x:c r="JO58" s="14"/>
      <x:c r="JP58" s="14"/>
      <x:c r="JQ58" s="14"/>
      <x:c r="JR58" s="14"/>
      <x:c r="JS58" s="14"/>
      <x:c r="JT58" s="14"/>
      <x:c r="JU58" s="14"/>
      <x:c r="JV58" s="14"/>
      <x:c r="JW58" s="14"/>
      <x:c r="JX58" s="14"/>
      <x:c r="JY58" s="14"/>
      <x:c r="JZ58" s="14"/>
      <x:c r="KA58" s="14"/>
      <x:c r="KB58" s="14"/>
      <x:c r="KC58" s="14"/>
      <x:c r="KD58" s="14"/>
      <x:c r="KE58" s="14"/>
      <x:c r="KF58" s="14"/>
      <x:c r="KG58" s="14"/>
      <x:c r="KH58" s="14"/>
      <x:c r="KI58" s="14"/>
      <x:c r="KJ58" s="14"/>
      <x:c r="KK58" s="14"/>
      <x:c r="KL58" s="14"/>
      <x:c r="KM58" s="14"/>
      <x:c r="KN58" s="14"/>
      <x:c r="KO58" s="14"/>
      <x:c r="KP58" s="14"/>
      <x:c r="KQ58" s="14"/>
      <x:c r="KR58" s="14"/>
      <x:c r="KS58" s="14"/>
      <x:c r="KT58" s="14"/>
      <x:c r="KU58" s="14"/>
      <x:c r="KV58" s="14"/>
      <x:c r="KW58" s="14"/>
      <x:c r="KX58" s="14"/>
      <x:c r="KY58" s="14"/>
      <x:c r="KZ58" s="14"/>
      <x:c r="LA58" s="14"/>
      <x:c r="LB58" s="14"/>
      <x:c r="LC58" s="14"/>
      <x:c r="LD58" s="14"/>
      <x:c r="LE58" s="14"/>
      <x:c r="LF58" s="14"/>
      <x:c r="LG58" s="14"/>
      <x:c r="LH58" s="14"/>
      <x:c r="LI58" s="14"/>
      <x:c r="LJ58" s="14"/>
      <x:c r="LK58" s="14"/>
      <x:c r="LL58" s="14"/>
      <x:c r="LM58" s="14"/>
      <x:c r="LN58" s="14"/>
      <x:c r="LO58" s="14"/>
      <x:c r="LP58" s="14"/>
      <x:c r="LQ58" s="14"/>
      <x:c r="LR58" s="14"/>
      <x:c r="LS58" s="14"/>
      <x:c r="LT58" s="14"/>
      <x:c r="LU58" s="14"/>
      <x:c r="LV58" s="14"/>
      <x:c r="LW58" s="14"/>
      <x:c r="LX58" s="14"/>
      <x:c r="LY58" s="14"/>
      <x:c r="LZ58" s="14"/>
      <x:c r="MA58" s="14"/>
      <x:c r="MB58" s="14"/>
      <x:c r="MC58" s="14"/>
      <x:c r="MD58" s="14"/>
      <x:c r="ME58" s="14"/>
      <x:c r="MF58" s="14"/>
      <x:c r="MG58" s="14"/>
      <x:c r="MH58" s="14"/>
      <x:c r="MI58" s="14"/>
      <x:c r="MJ58" s="14"/>
      <x:c r="MK58" s="14"/>
      <x:c r="ML58" s="14"/>
      <x:c r="MM58" s="14"/>
      <x:c r="MN58" s="14"/>
      <x:c r="MO58" s="14"/>
      <x:c r="MP58" s="14"/>
      <x:c r="MQ58" s="14"/>
      <x:c r="MR58" s="14"/>
      <x:c r="MS58" s="14"/>
      <x:c r="MT58" s="14"/>
      <x:c r="MU58" s="14"/>
      <x:c r="MV58" s="14"/>
      <x:c r="MW58" s="14" t="str">
        <x:v>24001</x:v>
      </x:c>
      <x:c r="MX58" s="14" t="n">
        <x:v>5</x:v>
      </x:c>
      <x:c r="MY58" s="14" t="n">
        <x:v>1813</x:v>
      </x:c>
      <x:c r="MZ58" s="14" t="n">
        <x:v>165</x:v>
      </x:c>
      <x:c r="NA58" s="14" t="n">
        <x:v>18</x:v>
      </x:c>
      <x:c r="NB58" s="14" t="n">
        <x:v>1</x:v>
      </x:c>
      <x:c r="NC58" s="14" t="str">
        <x:v>未收錄</x:v>
      </x:c>
      <x:c r="ND58" s="14" t="str">
        <x:v>24002</x:v>
      </x:c>
      <x:c r="NE58" s="14" t="n">
        <x:v>5</x:v>
      </x:c>
      <x:c r="NF58" s="14" t="n">
        <x:v>1814</x:v>
      </x:c>
      <x:c r="NG58" s="14" t="n">
        <x:v>166</x:v>
      </x:c>
      <x:c r="NH58" s="14" t="n">
        <x:v>18</x:v>
      </x:c>
      <x:c r="NI58" s="14" t="n">
        <x:v>2</x:v>
      </x:c>
      <x:c r="NJ58" s="14" t="str">
        <x:v>未收錄</x:v>
      </x:c>
      <x:c r="NK58" s="14" t="str">
        <x:v>24003</x:v>
      </x:c>
      <x:c r="NL58" s="14" t="n">
        <x:v>5</x:v>
      </x:c>
      <x:c r="NM58" s="14" t="n">
        <x:v>1815</x:v>
      </x:c>
      <x:c r="NN58" s="14" t="n">
        <x:v>167</x:v>
      </x:c>
      <x:c r="NO58" s="14" t="n">
        <x:v>18</x:v>
      </x:c>
      <x:c r="NP58" s="14" t="n">
        <x:v>3</x:v>
      </x:c>
      <x:c r="NQ58" s="14" t="str">
        <x:v>未收錄</x:v>
      </x:c>
      <x:c r="NR58" s="14" t="str">
        <x:v>24004</x:v>
      </x:c>
      <x:c r="NS58" s="14" t="n">
        <x:v>5</x:v>
      </x:c>
      <x:c r="NT58" s="14" t="n">
        <x:v>1816</x:v>
      </x:c>
      <x:c r="NU58" s="14" t="n">
        <x:v>168</x:v>
      </x:c>
      <x:c r="NV58" s="14" t="n">
        <x:v>18</x:v>
      </x:c>
      <x:c r="NW58" s="14" t="n">
        <x:v>4</x:v>
      </x:c>
      <x:c r="NX58" s="14" t="str">
        <x:v>未收錄</x:v>
      </x:c>
      <x:c r="NY58" s="14" t="str">
        <x:v>23557</x:v>
      </x:c>
      <x:c r="NZ58" s="14" t="n">
        <x:v>5</x:v>
      </x:c>
      <x:c r="OA58" s="14" t="n">
        <x:v>2266</x:v>
      </x:c>
      <x:c r="OB58" s="14" t="n">
        <x:v>165</x:v>
      </x:c>
      <x:c r="OC58" s="14" t="n">
        <x:v>18</x:v>
      </x:c>
      <x:c r="OD58" s="14" t="n">
        <x:v>1</x:v>
      </x:c>
      <x:c r="OE58" s="14" t="str">
        <x:v>未收錄</x:v>
      </x:c>
      <x:c r="OF58" s="14" t="str">
        <x:v>23783</x:v>
      </x:c>
      <x:c r="OG58" s="14" t="n">
        <x:v>10</x:v>
      </x:c>
      <x:c r="OH58" s="14" t="n">
        <x:v>2267</x:v>
      </x:c>
      <x:c r="OI58" s="14" t="n">
        <x:v>166</x:v>
      </x:c>
      <x:c r="OJ58" s="14" t="n">
        <x:v>18</x:v>
      </x:c>
      <x:c r="OK58" s="14" t="n">
        <x:v>2</x:v>
      </x:c>
      <x:c r="OL58" s="14" t="str">
        <x:v>未收錄</x:v>
      </x:c>
      <x:c r="OM58" s="14" t="str">
        <x:v>23759</x:v>
      </x:c>
      <x:c r="ON58" s="14" t="n">
        <x:v>10</x:v>
      </x:c>
      <x:c r="OO58" s="14" t="n">
        <x:v>2268</x:v>
      </x:c>
      <x:c r="OP58" s="14" t="n">
        <x:v>167</x:v>
      </x:c>
      <x:c r="OQ58" s="14" t="n">
        <x:v>18</x:v>
      </x:c>
      <x:c r="OR58" s="14" t="n">
        <x:v>3</x:v>
      </x:c>
      <x:c r="OS58" s="14" t="str">
        <x:v>未收錄</x:v>
      </x:c>
      <x:c r="OT58" s="14" t="str">
        <x:v>23840</x:v>
      </x:c>
      <x:c r="OU58" s="14" t="n">
        <x:v>10</x:v>
      </x:c>
      <x:c r="OV58" s="14" t="n">
        <x:v>2269</x:v>
      </x:c>
      <x:c r="OW58" s="14" t="n">
        <x:v>168</x:v>
      </x:c>
      <x:c r="OX58" s="14" t="n">
        <x:v>18</x:v>
      </x:c>
      <x:c r="OY58" s="14" t="n">
        <x:v>4</x:v>
      </x:c>
      <x:c r="OZ58" s="14" t="str">
        <x:v>未收錄</x:v>
      </x:c>
      <x:c r="PA58" s="14" t="str">
        <x:v>24463</x:v>
      </x:c>
      <x:c r="PB58" s="14" t="n">
        <x:v>5</x:v>
      </x:c>
      <x:c r="PC58" s="14" t="n">
        <x:v>2812</x:v>
      </x:c>
      <x:c r="PD58" s="14" t="n">
        <x:v>165</x:v>
      </x:c>
      <x:c r="PE58" s="14" t="n">
        <x:v>18</x:v>
      </x:c>
      <x:c r="PF58" s="14" t="n">
        <x:v>1</x:v>
      </x:c>
      <x:c r="PG58" s="14" t="str">
        <x:v>未收錄</x:v>
      </x:c>
      <x:c r="PH58" s="14" t="str">
        <x:v>24464</x:v>
      </x:c>
      <x:c r="PI58" s="14" t="n">
        <x:v>5</x:v>
      </x:c>
      <x:c r="PJ58" s="14" t="n">
        <x:v>2813</x:v>
      </x:c>
      <x:c r="PK58" s="14" t="n">
        <x:v>166</x:v>
      </x:c>
      <x:c r="PL58" s="14" t="n">
        <x:v>18</x:v>
      </x:c>
      <x:c r="PM58" s="14" t="n">
        <x:v>2</x:v>
      </x:c>
      <x:c r="PN58" s="14" t="str">
        <x:v>未收錄</x:v>
      </x:c>
      <x:c r="PO58" s="14" t="str">
        <x:v>24465</x:v>
      </x:c>
      <x:c r="PP58" s="14" t="n">
        <x:v>5</x:v>
      </x:c>
      <x:c r="PQ58" s="14" t="n">
        <x:v>2814</x:v>
      </x:c>
      <x:c r="PR58" s="14" t="n">
        <x:v>167</x:v>
      </x:c>
      <x:c r="PS58" s="14" t="n">
        <x:v>18</x:v>
      </x:c>
      <x:c r="PT58" s="14" t="n">
        <x:v>3</x:v>
      </x:c>
      <x:c r="PU58" s="14" t="str">
        <x:v>未收錄</x:v>
      </x:c>
      <x:c r="PV58" s="14" t="str">
        <x:v>24466</x:v>
      </x:c>
      <x:c r="PW58" s="14" t="n">
        <x:v>5</x:v>
      </x:c>
      <x:c r="PX58" s="14" t="n">
        <x:v>2815</x:v>
      </x:c>
      <x:c r="PY58" s="14" t="n">
        <x:v>168</x:v>
      </x:c>
      <x:c r="PZ58" s="14" t="n">
        <x:v>18</x:v>
      </x:c>
      <x:c r="QA58" s="14" t="n">
        <x:v>4</x:v>
      </x:c>
      <x:c r="QB58" s="14" t="str">
        <x:v>未收錄</x:v>
      </x:c>
      <x:c r="QC58" s="14" t="str">
        <x:v>24476</x:v>
      </x:c>
      <x:c r="QD58" s="14" t="n">
        <x:v>5</x:v>
      </x:c>
      <x:c r="QE58" s="14" t="n">
        <x:v>3249</x:v>
      </x:c>
      <x:c r="QF58" s="14" t="n">
        <x:v>165</x:v>
      </x:c>
      <x:c r="QG58" s="14" t="n">
        <x:v>18</x:v>
      </x:c>
      <x:c r="QH58" s="14" t="n">
        <x:v>1</x:v>
      </x:c>
      <x:c r="QI58" s="14" t="str">
        <x:v>未收錄</x:v>
      </x:c>
      <x:c r="QJ58" s="14" t="str">
        <x:v>24477</x:v>
      </x:c>
      <x:c r="QK58" s="14" t="n">
        <x:v>5</x:v>
      </x:c>
      <x:c r="QL58" s="14" t="n">
        <x:v>3250</x:v>
      </x:c>
      <x:c r="QM58" s="14" t="n">
        <x:v>166</x:v>
      </x:c>
      <x:c r="QN58" s="14" t="n">
        <x:v>18</x:v>
      </x:c>
      <x:c r="QO58" s="14" t="n">
        <x:v>2</x:v>
      </x:c>
      <x:c r="QP58" s="14" t="str">
        <x:v>未收錄</x:v>
      </x:c>
      <x:c r="QQ58" s="14" t="str">
        <x:v>24478</x:v>
      </x:c>
      <x:c r="QR58" s="14" t="n">
        <x:v>5</x:v>
      </x:c>
      <x:c r="QS58" s="14" t="n">
        <x:v>3251</x:v>
      </x:c>
      <x:c r="QT58" s="14" t="n">
        <x:v>167</x:v>
      </x:c>
      <x:c r="QU58" s="14" t="n">
        <x:v>18</x:v>
      </x:c>
      <x:c r="QV58" s="14" t="n">
        <x:v>3</x:v>
      </x:c>
      <x:c r="QW58" s="14" t="str">
        <x:v>未收錄</x:v>
      </x:c>
      <x:c r="QX58" s="14" t="str">
        <x:v>24479</x:v>
      </x:c>
      <x:c r="QY58" s="14" t="n">
        <x:v>5</x:v>
      </x:c>
      <x:c r="QZ58" s="14" t="n">
        <x:v>3252</x:v>
      </x:c>
      <x:c r="RA58" s="14" t="n">
        <x:v>168</x:v>
      </x:c>
      <x:c r="RB58" s="14" t="n">
        <x:v>18</x:v>
      </x:c>
      <x:c r="RC58" s="14" t="n">
        <x:v>4</x:v>
      </x:c>
      <x:c r="RD58" s="14" t="str">
        <x:v>未收錄</x:v>
      </x:c>
      <x:c r="RE58" s="14" t="str">
        <x:v>26302</x:v>
      </x:c>
      <x:c r="RF58" s="14" t="n">
        <x:v>5</x:v>
      </x:c>
      <x:c r="RG58" s="14" t="n">
        <x:v>3710</x:v>
      </x:c>
      <x:c r="RH58" s="14" t="n">
        <x:v>165</x:v>
      </x:c>
      <x:c r="RI58" s="14" t="n">
        <x:v>18</x:v>
      </x:c>
      <x:c r="RJ58" s="14" t="n">
        <x:v>1</x:v>
      </x:c>
      <x:c r="RK58" s="14" t="str">
        <x:v>未收錄</x:v>
      </x:c>
      <x:c r="RL58" s="14" t="str">
        <x:v>26303</x:v>
      </x:c>
      <x:c r="RM58" s="14" t="n">
        <x:v>5</x:v>
      </x:c>
      <x:c r="RN58" s="14" t="n">
        <x:v>3711</x:v>
      </x:c>
      <x:c r="RO58" s="14" t="n">
        <x:v>166</x:v>
      </x:c>
      <x:c r="RP58" s="14" t="n">
        <x:v>18</x:v>
      </x:c>
      <x:c r="RQ58" s="14" t="n">
        <x:v>2</x:v>
      </x:c>
      <x:c r="RR58" s="14" t="str">
        <x:v>未收錄</x:v>
      </x:c>
      <x:c r="RS58" s="14" t="str">
        <x:v>26434</x:v>
      </x:c>
      <x:c r="RT58" s="14" t="n">
        <x:v>3</x:v>
      </x:c>
      <x:c r="RU58" s="14" t="n">
        <x:v>3712</x:v>
      </x:c>
      <x:c r="RV58" s="14" t="n">
        <x:v>167</x:v>
      </x:c>
      <x:c r="RW58" s="14" t="n">
        <x:v>18</x:v>
      </x:c>
      <x:c r="RX58" s="14" t="n">
        <x:v>3</x:v>
      </x:c>
      <x:c r="RY58" s="14" t="str">
        <x:v>未收錄</x:v>
      </x:c>
      <x:c r="RZ58" s="14" t="str">
        <x:v>26435</x:v>
      </x:c>
      <x:c r="SA58" s="14" t="n">
        <x:v>3</x:v>
      </x:c>
      <x:c r="SB58" s="14" t="n">
        <x:v>3713</x:v>
      </x:c>
      <x:c r="SC58" s="14" t="n">
        <x:v>168</x:v>
      </x:c>
      <x:c r="SD58" s="14" t="n">
        <x:v>18</x:v>
      </x:c>
      <x:c r="SE58" s="14" t="n">
        <x:v>4</x:v>
      </x:c>
      <x:c r="SF58" s="14" t="str">
        <x:v>未收錄</x:v>
      </x:c>
      <x:c r="SG58" s="14"/>
      <x:c r="SH58" s="14"/>
      <x:c r="SI58" s="14"/>
      <x:c r="SJ58" s="14"/>
      <x:c r="SK58" s="14"/>
      <x:c r="SL58" s="14"/>
      <x:c r="SM58" s="14"/>
      <x:c r="SN58" s="14"/>
      <x:c r="SO58" s="14"/>
      <x:c r="SP58" s="14"/>
      <x:c r="SQ58" s="14"/>
      <x:c r="SR58" s="14"/>
      <x:c r="SS58" s="14"/>
      <x:c r="ST58" s="14"/>
      <x:c r="SU58" s="14"/>
      <x:c r="SV58" s="14"/>
      <x:c r="SW58" s="14"/>
      <x:c r="SX58" s="14"/>
      <x:c r="SY58" s="14"/>
      <x:c r="SZ58" s="14"/>
      <x:c r="TA58" s="14"/>
      <x:c r="TB58" s="14"/>
      <x:c r="TC58" s="14"/>
      <x:c r="TD58" s="14"/>
      <x:c r="TE58" s="14"/>
      <x:c r="TF58" s="14"/>
      <x:c r="TG58" s="14"/>
      <x:c r="TH58" s="14"/>
    </x:row>
    <x:row r="59" ht="15" customHeight="1">
      <x:c r="A59" s="17" t="str">
        <x:v>靈劍阿彌陀</x:v>
      </x:c>
      <x:c r="B59" s="17" t="str">
        <x:v>天鍛‧皇雷劍</x:v>
      </x:c>
      <x:c r="C59" s="17" t="str">
        <x:v>仙鑄‧皇雷劍</x:v>
      </x:c>
      <x:c r="D59" s="17" t="str">
        <x:v>神煉‧皇雷劍</x:v>
      </x:c>
      <x:c r="E59" s="14"/>
      <x:c r="F59" s="17" t="str">
        <x:v>流螢斬★★</x:v>
      </x:c>
      <x:c r="G59" s="17" t="str">
        <x:v>流螢斬★★★</x:v>
      </x:c>
      <x:c r="H59" s="17" t="str">
        <x:v>武座刃☆</x:v>
      </x:c>
      <x:c r="I59" s="17" t="str">
        <x:v>武座刃☆☆</x:v>
      </x:c>
      <x:c r="J59" s="14"/>
      <x:c r="K59" s="14"/>
      <x:c r="L59" s="14"/>
      <x:c r="M59" s="14"/>
      <x:c r="N59" s="14"/>
      <x:c r="O59" s="14"/>
      <x:c r="P59" s="17" t="str">
        <x:v>塹淵幽柄Ⅱ</x:v>
      </x:c>
      <x:c r="Q59" s="17" t="str">
        <x:v>塹淵幽柄Ⅲ</x:v>
      </x:c>
      <x:c r="R59" s="17" t="str">
        <x:v>塹淵幽柄Ⅳ</x:v>
      </x:c>
      <x:c r="S59" s="17" t="str">
        <x:v>塹淵幽柄Ⅴ</x:v>
      </x:c>
      <x:c r="T59" s="14"/>
      <x:c r="U59" s="17" t="str">
        <x:v>渡鴉瞳杖Ⅰ</x:v>
      </x:c>
      <x:c r="V59" s="17" t="str">
        <x:v>渡鴉瞳杖Ⅱ</x:v>
      </x:c>
      <x:c r="W59" s="17" t="str">
        <x:v>渡鴉瞳杖Ⅲ</x:v>
      </x:c>
      <x:c r="X59" s="17" t="str">
        <x:v>渡鴉瞳杖Ⅳ</x:v>
      </x:c>
      <x:c r="Y59" s="14"/>
      <x:c r="Z59" s="14"/>
      <x:c r="AA59" s="14"/>
      <x:c r="AB59" s="14"/>
      <x:c r="AC59" s="14"/>
      <x:c r="AD59" s="14"/>
      <x:c r="AE59" s="14"/>
      <x:c r="AF59" s="14"/>
      <x:c r="AG59" s="14"/>
      <x:c r="AH59" s="14"/>
      <x:c r="AI59" s="14"/>
      <x:c r="AJ59" s="14"/>
      <x:c r="AK59" s="14"/>
      <x:c r="AL59" s="14"/>
      <x:c r="AM59" s="14"/>
      <x:c r="AN59" s="14"/>
      <x:c r="AO59" s="14"/>
      <x:c r="AP59" s="14"/>
      <x:c r="AQ59" s="14"/>
      <x:c r="AR59" s="14"/>
      <x:c r="AS59" s="14"/>
      <x:c r="AT59" s="14"/>
      <x:c r="AU59" s="14"/>
      <x:c r="AV59" s="14"/>
      <x:c r="AW59" s="14"/>
      <x:c r="AX59" s="14"/>
      <x:c r="AY59" s="17" t="str">
        <x:v>牟如禪帽</x:v>
      </x:c>
      <x:c r="AZ59" s="17" t="str">
        <x:v>參天神律盔</x:v>
      </x:c>
      <x:c r="BA59" s="17" t="str">
        <x:v>月讀紗巾‧絕</x:v>
      </x:c>
      <x:c r="BB59" s="17" t="str">
        <x:v>軍星武盔</x:v>
      </x:c>
      <x:c r="BC59" s="14"/>
      <x:c r="BD59" s="17" t="str">
        <x:v>無相征鎧</x:v>
      </x:c>
      <x:c r="BE59" s="17" t="str">
        <x:v>神棘羅網衣</x:v>
      </x:c>
      <x:c r="BF59" s="17" t="str">
        <x:v>墨武劍衣</x:v>
      </x:c>
      <x:c r="BG59" s="17" t="str">
        <x:v>耀宇征冑</x:v>
      </x:c>
      <x:c r="BH59" s="14"/>
      <x:c r="BI59" s="17" t="str">
        <x:v>常恆禪腕</x:v>
      </x:c>
      <x:c r="BJ59" s="17" t="str">
        <x:v>念恆禪腕</x:v>
      </x:c>
      <x:c r="BK59" s="17" t="str">
        <x:v>希亞護腕</x:v>
      </x:c>
      <x:c r="BL59" s="17" t="str">
        <x:v>花剌腕甲</x:v>
      </x:c>
      <x:c r="BM59" s="14"/>
      <x:c r="BN59" s="17" t="str">
        <x:v>正緒道靴</x:v>
      </x:c>
      <x:c r="BO59" s="17" t="str">
        <x:v>定恆禪靴</x:v>
      </x:c>
      <x:c r="BP59" s="17" t="str">
        <x:v>常恆禪靴</x:v>
      </x:c>
      <x:c r="BQ59" s="17" t="str">
        <x:v>念恆禪靴</x:v>
      </x:c>
      <x:c r="BR59" s="14"/>
      <x:c r="BS59" s="17" t="str">
        <x:v>智帝佛珠</x:v>
      </x:c>
      <x:c r="BT59" s="17" t="str">
        <x:v>風帝佛珠</x:v>
      </x:c>
      <x:c r="BU59" s="17" t="str">
        <x:v>翔鳳璃釵</x:v>
      </x:c>
      <x:c r="BV59" s="17" t="str">
        <x:v>舞蝶琉鍊</x:v>
      </x:c>
      <x:c r="BW59" s="14"/>
      <x:c r="BX59" s="14"/>
      <x:c r="BY59" s="14"/>
      <x:c r="BZ59" s="14"/>
      <x:c r="CA59" s="14"/>
      <x:c r="CB59" s="14"/>
      <x:c r="CC59" s="14" t="str">
        <x:v>26931</x:v>
      </x:c>
      <x:c r="CD59" s="14" t="n">
        <x:v>8</x:v>
      </x:c>
      <x:c r="CE59" s="14" t="n">
        <x:v>169</x:v>
      </x:c>
      <x:c r="CF59" s="14" t="n">
        <x:v>169</x:v>
      </x:c>
      <x:c r="CG59" s="14" t="n">
        <x:v>19</x:v>
      </x:c>
      <x:c r="CH59" s="14" t="n">
        <x:v>1</x:v>
      </x:c>
      <x:c r="CI59" s="14" t="str">
        <x:v>未收錄</x:v>
      </x:c>
      <x:c r="CJ59" s="14" t="str">
        <x:v>27034</x:v>
      </x:c>
      <x:c r="CK59" s="14" t="n">
        <x:v>8</x:v>
      </x:c>
      <x:c r="CL59" s="14" t="n">
        <x:v>170</x:v>
      </x:c>
      <x:c r="CM59" s="14" t="n">
        <x:v>170</x:v>
      </x:c>
      <x:c r="CN59" s="14" t="n">
        <x:v>19</x:v>
      </x:c>
      <x:c r="CO59" s="14" t="n">
        <x:v>2</x:v>
      </x:c>
      <x:c r="CP59" s="14" t="str">
        <x:v>未收錄</x:v>
      </x:c>
      <x:c r="CQ59" s="14" t="str">
        <x:v>27035</x:v>
      </x:c>
      <x:c r="CR59" s="14" t="n">
        <x:v>8</x:v>
      </x:c>
      <x:c r="CS59" s="14" t="n">
        <x:v>171</x:v>
      </x:c>
      <x:c r="CT59" s="14" t="n">
        <x:v>171</x:v>
      </x:c>
      <x:c r="CU59" s="14" t="n">
        <x:v>19</x:v>
      </x:c>
      <x:c r="CV59" s="14" t="n">
        <x:v>3</x:v>
      </x:c>
      <x:c r="CW59" s="14" t="str">
        <x:v>未收錄</x:v>
      </x:c>
      <x:c r="CX59" s="14" t="str">
        <x:v>27036</x:v>
      </x:c>
      <x:c r="CY59" s="14" t="n">
        <x:v>8</x:v>
      </x:c>
      <x:c r="CZ59" s="14" t="n">
        <x:v>172</x:v>
      </x:c>
      <x:c r="DA59" s="14" t="n">
        <x:v>172</x:v>
      </x:c>
      <x:c r="DB59" s="14" t="n">
        <x:v>19</x:v>
      </x:c>
      <x:c r="DC59" s="14" t="n">
        <x:v>4</x:v>
      </x:c>
      <x:c r="DD59" s="14" t="str">
        <x:v>未收錄</x:v>
      </x:c>
      <x:c r="DE59" s="14" t="str">
        <x:v>28353</x:v>
      </x:c>
      <x:c r="DF59" s="14" t="n">
        <x:v>8</x:v>
      </x:c>
      <x:c r="DG59" s="14" t="n">
        <x:v>414</x:v>
      </x:c>
      <x:c r="DH59" s="14" t="n">
        <x:v>169</x:v>
      </x:c>
      <x:c r="DI59" s="14" t="n">
        <x:v>19</x:v>
      </x:c>
      <x:c r="DJ59" s="14" t="n">
        <x:v>1</x:v>
      </x:c>
      <x:c r="DK59" s="14" t="str">
        <x:v>未收錄</x:v>
      </x:c>
      <x:c r="DL59" s="14" t="str">
        <x:v>28354</x:v>
      </x:c>
      <x:c r="DM59" s="14" t="n">
        <x:v>8</x:v>
      </x:c>
      <x:c r="DN59" s="14" t="n">
        <x:v>415</x:v>
      </x:c>
      <x:c r="DO59" s="14" t="n">
        <x:v>170</x:v>
      </x:c>
      <x:c r="DP59" s="14" t="n">
        <x:v>19</x:v>
      </x:c>
      <x:c r="DQ59" s="14" t="n">
        <x:v>2</x:v>
      </x:c>
      <x:c r="DR59" s="14" t="str">
        <x:v>未收錄</x:v>
      </x:c>
      <x:c r="DS59" s="14" t="str">
        <x:v>28814</x:v>
      </x:c>
      <x:c r="DT59" s="14" t="n">
        <x:v>8</x:v>
      </x:c>
      <x:c r="DU59" s="14" t="n">
        <x:v>416</x:v>
      </x:c>
      <x:c r="DV59" s="14" t="n">
        <x:v>171</x:v>
      </x:c>
      <x:c r="DW59" s="14" t="n">
        <x:v>19</x:v>
      </x:c>
      <x:c r="DX59" s="14" t="n">
        <x:v>3</x:v>
      </x:c>
      <x:c r="DY59" s="14" t="str">
        <x:v>未收錄</x:v>
      </x:c>
      <x:c r="DZ59" s="14" t="str">
        <x:v>28815</x:v>
      </x:c>
      <x:c r="EA59" s="14" t="n">
        <x:v>8</x:v>
      </x:c>
      <x:c r="EB59" s="14" t="n">
        <x:v>417</x:v>
      </x:c>
      <x:c r="EC59" s="14" t="n">
        <x:v>172</x:v>
      </x:c>
      <x:c r="ED59" s="14" t="n">
        <x:v>19</x:v>
      </x:c>
      <x:c r="EE59" s="14" t="n">
        <x:v>4</x:v>
      </x:c>
      <x:c r="EF59" s="14" t="str">
        <x:v>未收錄</x:v>
      </x:c>
      <x:c r="EG59" s="14"/>
      <x:c r="EH59" s="14"/>
      <x:c r="EI59" s="14"/>
      <x:c r="EJ59" s="14"/>
      <x:c r="EK59" s="14"/>
      <x:c r="EL59" s="14"/>
      <x:c r="EM59" s="14"/>
      <x:c r="EN59" s="14"/>
      <x:c r="EO59" s="14"/>
      <x:c r="EP59" s="14"/>
      <x:c r="EQ59" s="14"/>
      <x:c r="ER59" s="14"/>
      <x:c r="ES59" s="14"/>
      <x:c r="ET59" s="14"/>
      <x:c r="EU59" s="14"/>
      <x:c r="EV59" s="14"/>
      <x:c r="EW59" s="14"/>
      <x:c r="EX59" s="14"/>
      <x:c r="EY59" s="14"/>
      <x:c r="EZ59" s="14"/>
      <x:c r="FA59" s="14"/>
      <x:c r="FB59" s="14"/>
      <x:c r="FC59" s="14"/>
      <x:c r="FD59" s="14"/>
      <x:c r="FE59" s="14"/>
      <x:c r="FF59" s="14"/>
      <x:c r="FG59" s="14"/>
      <x:c r="FH59" s="14"/>
      <x:c r="FI59" s="14" t="str">
        <x:v>31117</x:v>
      </x:c>
      <x:c r="FJ59" s="14" t="n">
        <x:v>8</x:v>
      </x:c>
      <x:c r="FK59" s="14" t="n">
        <x:v>800</x:v>
      </x:c>
      <x:c r="FL59" s="14" t="n">
        <x:v>169</x:v>
      </x:c>
      <x:c r="FM59" s="14" t="n">
        <x:v>19</x:v>
      </x:c>
      <x:c r="FN59" s="14" t="n">
        <x:v>1</x:v>
      </x:c>
      <x:c r="FO59" s="14" t="str">
        <x:v>未收錄</x:v>
      </x:c>
      <x:c r="FP59" s="14" t="str">
        <x:v>31118</x:v>
      </x:c>
      <x:c r="FQ59" s="14" t="n">
        <x:v>8</x:v>
      </x:c>
      <x:c r="FR59" s="14" t="n">
        <x:v>801</x:v>
      </x:c>
      <x:c r="FS59" s="14" t="n">
        <x:v>170</x:v>
      </x:c>
      <x:c r="FT59" s="14" t="n">
        <x:v>19</x:v>
      </x:c>
      <x:c r="FU59" s="14" t="n">
        <x:v>2</x:v>
      </x:c>
      <x:c r="FV59" s="14" t="str">
        <x:v>未收錄</x:v>
      </x:c>
      <x:c r="FW59" s="14" t="str">
        <x:v>31119</x:v>
      </x:c>
      <x:c r="FX59" s="14" t="n">
        <x:v>8</x:v>
      </x:c>
      <x:c r="FY59" s="14" t="n">
        <x:v>802</x:v>
      </x:c>
      <x:c r="FZ59" s="14" t="n">
        <x:v>171</x:v>
      </x:c>
      <x:c r="GA59" s="14" t="n">
        <x:v>19</x:v>
      </x:c>
      <x:c r="GB59" s="14" t="n">
        <x:v>3</x:v>
      </x:c>
      <x:c r="GC59" s="14" t="str">
        <x:v>未收錄</x:v>
      </x:c>
      <x:c r="GD59" s="14" t="str">
        <x:v>31120</x:v>
      </x:c>
      <x:c r="GE59" s="14" t="n">
        <x:v>8</x:v>
      </x:c>
      <x:c r="GF59" s="14" t="n">
        <x:v>803</x:v>
      </x:c>
      <x:c r="GG59" s="14" t="n">
        <x:v>172</x:v>
      </x:c>
      <x:c r="GH59" s="14" t="n">
        <x:v>19</x:v>
      </x:c>
      <x:c r="GI59" s="14" t="n">
        <x:v>4</x:v>
      </x:c>
      <x:c r="GJ59" s="14" t="str">
        <x:v>未收錄</x:v>
      </x:c>
      <x:c r="GK59" s="14" t="str">
        <x:v>31121</x:v>
      </x:c>
      <x:c r="GL59" s="14" t="n">
        <x:v>8</x:v>
      </x:c>
      <x:c r="GM59" s="14" t="n">
        <x:v>972</x:v>
      </x:c>
      <x:c r="GN59" s="14" t="n">
        <x:v>169</x:v>
      </x:c>
      <x:c r="GO59" s="14" t="n">
        <x:v>19</x:v>
      </x:c>
      <x:c r="GP59" s="14" t="n">
        <x:v>1</x:v>
      </x:c>
      <x:c r="GQ59" s="14" t="str">
        <x:v>未收錄</x:v>
      </x:c>
      <x:c r="GR59" s="14" t="str">
        <x:v>31122</x:v>
      </x:c>
      <x:c r="GS59" s="14" t="n">
        <x:v>8</x:v>
      </x:c>
      <x:c r="GT59" s="14" t="n">
        <x:v>973</x:v>
      </x:c>
      <x:c r="GU59" s="14" t="n">
        <x:v>170</x:v>
      </x:c>
      <x:c r="GV59" s="14" t="n">
        <x:v>19</x:v>
      </x:c>
      <x:c r="GW59" s="14" t="n">
        <x:v>2</x:v>
      </x:c>
      <x:c r="GX59" s="14" t="str">
        <x:v>未收錄</x:v>
      </x:c>
      <x:c r="GY59" s="14" t="str">
        <x:v>31123</x:v>
      </x:c>
      <x:c r="GZ59" s="14" t="n">
        <x:v>8</x:v>
      </x:c>
      <x:c r="HA59" s="14" t="n">
        <x:v>974</x:v>
      </x:c>
      <x:c r="HB59" s="14" t="n">
        <x:v>171</x:v>
      </x:c>
      <x:c r="HC59" s="14" t="n">
        <x:v>19</x:v>
      </x:c>
      <x:c r="HD59" s="14" t="n">
        <x:v>3</x:v>
      </x:c>
      <x:c r="HE59" s="14" t="str">
        <x:v>未收錄</x:v>
      </x:c>
      <x:c r="HF59" s="14" t="str">
        <x:v>31124</x:v>
      </x:c>
      <x:c r="HG59" s="14" t="n">
        <x:v>8</x:v>
      </x:c>
      <x:c r="HH59" s="14" t="n">
        <x:v>975</x:v>
      </x:c>
      <x:c r="HI59" s="14" t="n">
        <x:v>172</x:v>
      </x:c>
      <x:c r="HJ59" s="14" t="n">
        <x:v>19</x:v>
      </x:c>
      <x:c r="HK59" s="14" t="n">
        <x:v>4</x:v>
      </x:c>
      <x:c r="HL59" s="14" t="str">
        <x:v>未收錄</x:v>
      </x:c>
      <x:c r="HM59" s="14"/>
      <x:c r="HN59" s="14"/>
      <x:c r="HO59" s="14"/>
      <x:c r="HP59" s="14"/>
      <x:c r="HQ59" s="14"/>
      <x:c r="HR59" s="14"/>
      <x:c r="HS59" s="14"/>
      <x:c r="HT59" s="14"/>
      <x:c r="HU59" s="14"/>
      <x:c r="HV59" s="14"/>
      <x:c r="HW59" s="14"/>
      <x:c r="HX59" s="14"/>
      <x:c r="HY59" s="14"/>
      <x:c r="HZ59" s="14"/>
      <x:c r="IA59" s="14"/>
      <x:c r="IB59" s="14"/>
      <x:c r="IC59" s="14"/>
      <x:c r="ID59" s="14"/>
      <x:c r="IE59" s="14"/>
      <x:c r="IF59" s="14"/>
      <x:c r="IG59" s="14"/>
      <x:c r="IH59" s="14"/>
      <x:c r="II59" s="14"/>
      <x:c r="IJ59" s="14"/>
      <x:c r="IK59" s="14"/>
      <x:c r="IL59" s="14"/>
      <x:c r="IM59" s="14"/>
      <x:c r="IN59" s="14"/>
      <x:c r="IO59" s="14"/>
      <x:c r="IP59" s="14"/>
      <x:c r="IQ59" s="14"/>
      <x:c r="IR59" s="14"/>
      <x:c r="IS59" s="14"/>
      <x:c r="IT59" s="14"/>
      <x:c r="IU59" s="14"/>
      <x:c r="IV59" s="14"/>
      <x:c r="IW59" s="14"/>
      <x:c r="IX59" s="14"/>
      <x:c r="IY59" s="14"/>
      <x:c r="IZ59" s="14"/>
      <x:c r="JA59" s="14"/>
      <x:c r="JB59" s="14"/>
      <x:c r="JC59" s="14"/>
      <x:c r="JD59" s="14"/>
      <x:c r="JE59" s="14"/>
      <x:c r="JF59" s="14"/>
      <x:c r="JG59" s="14"/>
      <x:c r="JH59" s="14"/>
      <x:c r="JI59" s="14"/>
      <x:c r="JJ59" s="14"/>
      <x:c r="JK59" s="14"/>
      <x:c r="JL59" s="14"/>
      <x:c r="JM59" s="14"/>
      <x:c r="JN59" s="14"/>
      <x:c r="JO59" s="14"/>
      <x:c r="JP59" s="14"/>
      <x:c r="JQ59" s="14"/>
      <x:c r="JR59" s="14"/>
      <x:c r="JS59" s="14"/>
      <x:c r="JT59" s="14"/>
      <x:c r="JU59" s="14"/>
      <x:c r="JV59" s="14"/>
      <x:c r="JW59" s="14"/>
      <x:c r="JX59" s="14"/>
      <x:c r="JY59" s="14"/>
      <x:c r="JZ59" s="14"/>
      <x:c r="KA59" s="14"/>
      <x:c r="KB59" s="14"/>
      <x:c r="KC59" s="14"/>
      <x:c r="KD59" s="14"/>
      <x:c r="KE59" s="14"/>
      <x:c r="KF59" s="14"/>
      <x:c r="KG59" s="14"/>
      <x:c r="KH59" s="14"/>
      <x:c r="KI59" s="14"/>
      <x:c r="KJ59" s="14"/>
      <x:c r="KK59" s="14"/>
      <x:c r="KL59" s="14"/>
      <x:c r="KM59" s="14"/>
      <x:c r="KN59" s="14"/>
      <x:c r="KO59" s="14"/>
      <x:c r="KP59" s="14"/>
      <x:c r="KQ59" s="14"/>
      <x:c r="KR59" s="14"/>
      <x:c r="KS59" s="14"/>
      <x:c r="KT59" s="14"/>
      <x:c r="KU59" s="14"/>
      <x:c r="KV59" s="14"/>
      <x:c r="KW59" s="14"/>
      <x:c r="KX59" s="14"/>
      <x:c r="KY59" s="14"/>
      <x:c r="KZ59" s="14"/>
      <x:c r="LA59" s="14"/>
      <x:c r="LB59" s="14"/>
      <x:c r="LC59" s="14"/>
      <x:c r="LD59" s="14"/>
      <x:c r="LE59" s="14"/>
      <x:c r="LF59" s="14"/>
      <x:c r="LG59" s="14"/>
      <x:c r="LH59" s="14"/>
      <x:c r="LI59" s="14"/>
      <x:c r="LJ59" s="14"/>
      <x:c r="LK59" s="14"/>
      <x:c r="LL59" s="14"/>
      <x:c r="LM59" s="14"/>
      <x:c r="LN59" s="14"/>
      <x:c r="LO59" s="14"/>
      <x:c r="LP59" s="14"/>
      <x:c r="LQ59" s="14"/>
      <x:c r="LR59" s="14"/>
      <x:c r="LS59" s="14"/>
      <x:c r="LT59" s="14"/>
      <x:c r="LU59" s="14"/>
      <x:c r="LV59" s="14"/>
      <x:c r="LW59" s="14"/>
      <x:c r="LX59" s="14"/>
      <x:c r="LY59" s="14"/>
      <x:c r="LZ59" s="14"/>
      <x:c r="MA59" s="14"/>
      <x:c r="MB59" s="14"/>
      <x:c r="MC59" s="14"/>
      <x:c r="MD59" s="14"/>
      <x:c r="ME59" s="14"/>
      <x:c r="MF59" s="14"/>
      <x:c r="MG59" s="14"/>
      <x:c r="MH59" s="14"/>
      <x:c r="MI59" s="14"/>
      <x:c r="MJ59" s="14"/>
      <x:c r="MK59" s="14"/>
      <x:c r="ML59" s="14"/>
      <x:c r="MM59" s="14"/>
      <x:c r="MN59" s="14"/>
      <x:c r="MO59" s="14"/>
      <x:c r="MP59" s="14"/>
      <x:c r="MQ59" s="14"/>
      <x:c r="MR59" s="14"/>
      <x:c r="MS59" s="14"/>
      <x:c r="MT59" s="14"/>
      <x:c r="MU59" s="14"/>
      <x:c r="MV59" s="14"/>
      <x:c r="MW59" s="14" t="str">
        <x:v>24005</x:v>
      </x:c>
      <x:c r="MX59" s="14" t="n">
        <x:v>5</x:v>
      </x:c>
      <x:c r="MY59" s="14" t="n">
        <x:v>1817</x:v>
      </x:c>
      <x:c r="MZ59" s="14" t="n">
        <x:v>169</x:v>
      </x:c>
      <x:c r="NA59" s="14" t="n">
        <x:v>19</x:v>
      </x:c>
      <x:c r="NB59" s="14" t="n">
        <x:v>1</x:v>
      </x:c>
      <x:c r="NC59" s="14" t="str">
        <x:v>未收錄</x:v>
      </x:c>
      <x:c r="ND59" s="14" t="str">
        <x:v>24766</x:v>
      </x:c>
      <x:c r="NE59" s="14" t="n">
        <x:v>10</x:v>
      </x:c>
      <x:c r="NF59" s="14" t="n">
        <x:v>1818</x:v>
      </x:c>
      <x:c r="NG59" s="14" t="n">
        <x:v>170</x:v>
      </x:c>
      <x:c r="NH59" s="14" t="n">
        <x:v>19</x:v>
      </x:c>
      <x:c r="NI59" s="14" t="n">
        <x:v>2</x:v>
      </x:c>
      <x:c r="NJ59" s="14" t="str">
        <x:v>未收錄</x:v>
      </x:c>
      <x:c r="NK59" s="14" t="str">
        <x:v>24287</x:v>
      </x:c>
      <x:c r="NL59" s="14" t="n">
        <x:v>10</x:v>
      </x:c>
      <x:c r="NM59" s="14" t="n">
        <x:v>1819</x:v>
      </x:c>
      <x:c r="NN59" s="14" t="n">
        <x:v>171</x:v>
      </x:c>
      <x:c r="NO59" s="14" t="n">
        <x:v>19</x:v>
      </x:c>
      <x:c r="NP59" s="14" t="n">
        <x:v>3</x:v>
      </x:c>
      <x:c r="NQ59" s="14" t="str">
        <x:v>未收錄</x:v>
      </x:c>
      <x:c r="NR59" s="14" t="str">
        <x:v>24424</x:v>
      </x:c>
      <x:c r="NS59" s="14" t="n">
        <x:v>5</x:v>
      </x:c>
      <x:c r="NT59" s="14" t="n">
        <x:v>1820</x:v>
      </x:c>
      <x:c r="NU59" s="14" t="n">
        <x:v>172</x:v>
      </x:c>
      <x:c r="NV59" s="14" t="n">
        <x:v>19</x:v>
      </x:c>
      <x:c r="NW59" s="14" t="n">
        <x:v>4</x:v>
      </x:c>
      <x:c r="NX59" s="14" t="str">
        <x:v>未收錄</x:v>
      </x:c>
      <x:c r="NY59" s="14" t="str">
        <x:v>23841</x:v>
      </x:c>
      <x:c r="NZ59" s="14" t="n">
        <x:v>10</x:v>
      </x:c>
      <x:c r="OA59" s="14" t="n">
        <x:v>2270</x:v>
      </x:c>
      <x:c r="OB59" s="14" t="n">
        <x:v>169</x:v>
      </x:c>
      <x:c r="OC59" s="14" t="n">
        <x:v>19</x:v>
      </x:c>
      <x:c r="OD59" s="14" t="n">
        <x:v>1</x:v>
      </x:c>
      <x:c r="OE59" s="14" t="str">
        <x:v>未收錄</x:v>
      </x:c>
      <x:c r="OF59" s="14" t="str">
        <x:v>23947</x:v>
      </x:c>
      <x:c r="OG59" s="14" t="n">
        <x:v>5</x:v>
      </x:c>
      <x:c r="OH59" s="14" t="n">
        <x:v>2271</x:v>
      </x:c>
      <x:c r="OI59" s="14" t="n">
        <x:v>170</x:v>
      </x:c>
      <x:c r="OJ59" s="14" t="n">
        <x:v>19</x:v>
      </x:c>
      <x:c r="OK59" s="14" t="n">
        <x:v>2</x:v>
      </x:c>
      <x:c r="OL59" s="14" t="str">
        <x:v>未收錄</x:v>
      </x:c>
      <x:c r="OM59" s="14" t="str">
        <x:v>24006</x:v>
      </x:c>
      <x:c r="ON59" s="14" t="n">
        <x:v>5</x:v>
      </x:c>
      <x:c r="OO59" s="14" t="n">
        <x:v>2272</x:v>
      </x:c>
      <x:c r="OP59" s="14" t="n">
        <x:v>171</x:v>
      </x:c>
      <x:c r="OQ59" s="14" t="n">
        <x:v>19</x:v>
      </x:c>
      <x:c r="OR59" s="14" t="n">
        <x:v>3</x:v>
      </x:c>
      <x:c r="OS59" s="14" t="str">
        <x:v>未收錄</x:v>
      </x:c>
      <x:c r="OT59" s="14" t="str">
        <x:v>24007</x:v>
      </x:c>
      <x:c r="OU59" s="14" t="n">
        <x:v>5</x:v>
      </x:c>
      <x:c r="OV59" s="14" t="n">
        <x:v>2273</x:v>
      </x:c>
      <x:c r="OW59" s="14" t="n">
        <x:v>172</x:v>
      </x:c>
      <x:c r="OX59" s="14" t="n">
        <x:v>19</x:v>
      </x:c>
      <x:c r="OY59" s="14" t="n">
        <x:v>4</x:v>
      </x:c>
      <x:c r="OZ59" s="14" t="str">
        <x:v>未收錄</x:v>
      </x:c>
      <x:c r="PA59" s="14" t="str">
        <x:v>24467</x:v>
      </x:c>
      <x:c r="PB59" s="14" t="n">
        <x:v>5</x:v>
      </x:c>
      <x:c r="PC59" s="14" t="n">
        <x:v>2816</x:v>
      </x:c>
      <x:c r="PD59" s="14" t="n">
        <x:v>169</x:v>
      </x:c>
      <x:c r="PE59" s="14" t="n">
        <x:v>19</x:v>
      </x:c>
      <x:c r="PF59" s="14" t="n">
        <x:v>1</x:v>
      </x:c>
      <x:c r="PG59" s="14" t="str">
        <x:v>未收錄</x:v>
      </x:c>
      <x:c r="PH59" s="14" t="str">
        <x:v>24468</x:v>
      </x:c>
      <x:c r="PI59" s="14" t="n">
        <x:v>5</x:v>
      </x:c>
      <x:c r="PJ59" s="14" t="n">
        <x:v>2817</x:v>
      </x:c>
      <x:c r="PK59" s="14" t="n">
        <x:v>170</x:v>
      </x:c>
      <x:c r="PL59" s="14" t="n">
        <x:v>19</x:v>
      </x:c>
      <x:c r="PM59" s="14" t="n">
        <x:v>2</x:v>
      </x:c>
      <x:c r="PN59" s="14" t="str">
        <x:v>未收錄</x:v>
      </x:c>
      <x:c r="PO59" s="14" t="str">
        <x:v>24591</x:v>
      </x:c>
      <x:c r="PP59" s="14" t="n">
        <x:v>5</x:v>
      </x:c>
      <x:c r="PQ59" s="14" t="n">
        <x:v>2818</x:v>
      </x:c>
      <x:c r="PR59" s="14" t="n">
        <x:v>171</x:v>
      </x:c>
      <x:c r="PS59" s="14" t="n">
        <x:v>19</x:v>
      </x:c>
      <x:c r="PT59" s="14" t="n">
        <x:v>3</x:v>
      </x:c>
      <x:c r="PU59" s="14" t="str">
        <x:v>未收錄</x:v>
      </x:c>
      <x:c r="PV59" s="14" t="str">
        <x:v>24592</x:v>
      </x:c>
      <x:c r="PW59" s="14" t="n">
        <x:v>5</x:v>
      </x:c>
      <x:c r="PX59" s="14" t="n">
        <x:v>2819</x:v>
      </x:c>
      <x:c r="PY59" s="14" t="n">
        <x:v>172</x:v>
      </x:c>
      <x:c r="PZ59" s="14" t="n">
        <x:v>19</x:v>
      </x:c>
      <x:c r="QA59" s="14" t="n">
        <x:v>4</x:v>
      </x:c>
      <x:c r="QB59" s="14" t="str">
        <x:v>未收錄</x:v>
      </x:c>
      <x:c r="QC59" s="14" t="str">
        <x:v>24480</x:v>
      </x:c>
      <x:c r="QD59" s="14" t="n">
        <x:v>5</x:v>
      </x:c>
      <x:c r="QE59" s="14" t="n">
        <x:v>3253</x:v>
      </x:c>
      <x:c r="QF59" s="14" t="n">
        <x:v>169</x:v>
      </x:c>
      <x:c r="QG59" s="14" t="n">
        <x:v>19</x:v>
      </x:c>
      <x:c r="QH59" s="14" t="n">
        <x:v>1</x:v>
      </x:c>
      <x:c r="QI59" s="14" t="str">
        <x:v>未收錄</x:v>
      </x:c>
      <x:c r="QJ59" s="14" t="str">
        <x:v>24481</x:v>
      </x:c>
      <x:c r="QK59" s="14" t="n">
        <x:v>5</x:v>
      </x:c>
      <x:c r="QL59" s="14" t="n">
        <x:v>3254</x:v>
      </x:c>
      <x:c r="QM59" s="14" t="n">
        <x:v>170</x:v>
      </x:c>
      <x:c r="QN59" s="14" t="n">
        <x:v>19</x:v>
      </x:c>
      <x:c r="QO59" s="14" t="n">
        <x:v>2</x:v>
      </x:c>
      <x:c r="QP59" s="14" t="str">
        <x:v>未收錄</x:v>
      </x:c>
      <x:c r="QQ59" s="14" t="str">
        <x:v>24482</x:v>
      </x:c>
      <x:c r="QR59" s="14" t="n">
        <x:v>5</x:v>
      </x:c>
      <x:c r="QS59" s="14" t="n">
        <x:v>3255</x:v>
      </x:c>
      <x:c r="QT59" s="14" t="n">
        <x:v>171</x:v>
      </x:c>
      <x:c r="QU59" s="14" t="n">
        <x:v>19</x:v>
      </x:c>
      <x:c r="QV59" s="14" t="n">
        <x:v>3</x:v>
      </x:c>
      <x:c r="QW59" s="14" t="str">
        <x:v>未收錄</x:v>
      </x:c>
      <x:c r="QX59" s="14" t="str">
        <x:v>24483</x:v>
      </x:c>
      <x:c r="QY59" s="14" t="n">
        <x:v>5</x:v>
      </x:c>
      <x:c r="QZ59" s="14" t="n">
        <x:v>3256</x:v>
      </x:c>
      <x:c r="RA59" s="14" t="n">
        <x:v>172</x:v>
      </x:c>
      <x:c r="RB59" s="14" t="n">
        <x:v>19</x:v>
      </x:c>
      <x:c r="RC59" s="14" t="n">
        <x:v>4</x:v>
      </x:c>
      <x:c r="RD59" s="14" t="str">
        <x:v>未收錄</x:v>
      </x:c>
      <x:c r="RE59" s="14" t="str">
        <x:v>26436</x:v>
      </x:c>
      <x:c r="RF59" s="14" t="n">
        <x:v>3</x:v>
      </x:c>
      <x:c r="RG59" s="14" t="n">
        <x:v>3714</x:v>
      </x:c>
      <x:c r="RH59" s="14" t="n">
        <x:v>169</x:v>
      </x:c>
      <x:c r="RI59" s="14" t="n">
        <x:v>19</x:v>
      </x:c>
      <x:c r="RJ59" s="14" t="n">
        <x:v>1</x:v>
      </x:c>
      <x:c r="RK59" s="14" t="str">
        <x:v>未收錄</x:v>
      </x:c>
      <x:c r="RL59" s="14" t="str">
        <x:v>26437</x:v>
      </x:c>
      <x:c r="RM59" s="14" t="n">
        <x:v>3</x:v>
      </x:c>
      <x:c r="RN59" s="14" t="n">
        <x:v>3715</x:v>
      </x:c>
      <x:c r="RO59" s="14" t="n">
        <x:v>170</x:v>
      </x:c>
      <x:c r="RP59" s="14" t="n">
        <x:v>19</x:v>
      </x:c>
      <x:c r="RQ59" s="14" t="n">
        <x:v>2</x:v>
      </x:c>
      <x:c r="RR59" s="14" t="str">
        <x:v>未收錄</x:v>
      </x:c>
      <x:c r="RS59" s="14" t="str">
        <x:v>26592</x:v>
      </x:c>
      <x:c r="RT59" s="14" t="n">
        <x:v>5</x:v>
      </x:c>
      <x:c r="RU59" s="14" t="n">
        <x:v>3716</x:v>
      </x:c>
      <x:c r="RV59" s="14" t="n">
        <x:v>171</x:v>
      </x:c>
      <x:c r="RW59" s="14" t="n">
        <x:v>19</x:v>
      </x:c>
      <x:c r="RX59" s="14" t="n">
        <x:v>3</x:v>
      </x:c>
      <x:c r="RY59" s="14" t="str">
        <x:v>未收錄</x:v>
      </x:c>
      <x:c r="RZ59" s="14" t="str">
        <x:v>26593</x:v>
      </x:c>
      <x:c r="SA59" s="14" t="n">
        <x:v>5</x:v>
      </x:c>
      <x:c r="SB59" s="14" t="n">
        <x:v>3717</x:v>
      </x:c>
      <x:c r="SC59" s="14" t="n">
        <x:v>172</x:v>
      </x:c>
      <x:c r="SD59" s="14" t="n">
        <x:v>19</x:v>
      </x:c>
      <x:c r="SE59" s="14" t="n">
        <x:v>4</x:v>
      </x:c>
      <x:c r="SF59" s="14" t="str">
        <x:v>未收錄</x:v>
      </x:c>
      <x:c r="SG59" s="14"/>
      <x:c r="SH59" s="14"/>
      <x:c r="SI59" s="14"/>
      <x:c r="SJ59" s="14"/>
      <x:c r="SK59" s="14"/>
      <x:c r="SL59" s="14"/>
      <x:c r="SM59" s="14"/>
      <x:c r="SN59" s="14"/>
      <x:c r="SO59" s="14"/>
      <x:c r="SP59" s="14"/>
      <x:c r="SQ59" s="14"/>
      <x:c r="SR59" s="14"/>
      <x:c r="SS59" s="14"/>
      <x:c r="ST59" s="14"/>
      <x:c r="SU59" s="14"/>
      <x:c r="SV59" s="14"/>
      <x:c r="SW59" s="14"/>
      <x:c r="SX59" s="14"/>
      <x:c r="SY59" s="14"/>
      <x:c r="SZ59" s="14"/>
      <x:c r="TA59" s="14"/>
      <x:c r="TB59" s="14"/>
      <x:c r="TC59" s="14"/>
      <x:c r="TD59" s="14"/>
      <x:c r="TE59" s="14"/>
      <x:c r="TF59" s="14"/>
      <x:c r="TG59" s="14"/>
      <x:c r="TH59" s="14"/>
    </x:row>
    <x:row r="60" ht="15" customHeight="1">
      <x:c r="A60" s="18" t="str">
        <x:v>宇傲‧皇雷劍</x:v>
      </x:c>
      <x:c r="B60" s="18" t="str">
        <x:v>峻霆‧皇雷劍</x:v>
      </x:c>
      <x:c r="C60" s="18" t="str">
        <x:v>窮極‧皇雷劍</x:v>
      </x:c>
      <x:c r="D60" s="18" t="str">
        <x:v>元宙‧皇雷劍</x:v>
      </x:c>
      <x:c r="E60" s="14"/>
      <x:c r="F60" s="18" t="str">
        <x:v>武座刃☆☆☆</x:v>
      </x:c>
      <x:c r="G60" s="18" t="str">
        <x:v>君諭刀☆</x:v>
      </x:c>
      <x:c r="H60" s="18" t="str">
        <x:v>君諭刀★</x:v>
      </x:c>
      <x:c r="I60" s="18" t="str">
        <x:v>君諭刀★☆</x:v>
      </x:c>
      <x:c r="J60" s="14"/>
      <x:c r="K60" s="14"/>
      <x:c r="L60" s="14"/>
      <x:c r="M60" s="14"/>
      <x:c r="N60" s="14"/>
      <x:c r="O60" s="14"/>
      <x:c r="P60" s="14"/>
      <x:c r="Q60" s="14"/>
      <x:c r="R60" s="14"/>
      <x:c r="S60" s="14"/>
      <x:c r="T60" s="14"/>
      <x:c r="U60" s="18" t="str">
        <x:v>渡鴉瞳杖Ⅴ</x:v>
      </x:c>
      <x:c r="V60" s="18"/>
      <x:c r="W60" s="18"/>
      <x:c r="X60" s="18"/>
      <x:c r="Y60" s="14"/>
      <x:c r="Z60" s="14"/>
      <x:c r="AA60" s="14"/>
      <x:c r="AB60" s="14"/>
      <x:c r="AC60" s="14"/>
      <x:c r="AD60" s="14"/>
      <x:c r="AE60" s="14"/>
      <x:c r="AF60" s="14"/>
      <x:c r="AG60" s="14"/>
      <x:c r="AH60" s="14"/>
      <x:c r="AI60" s="14"/>
      <x:c r="AJ60" s="14"/>
      <x:c r="AK60" s="14"/>
      <x:c r="AL60" s="14"/>
      <x:c r="AM60" s="14"/>
      <x:c r="AN60" s="14"/>
      <x:c r="AO60" s="14"/>
      <x:c r="AP60" s="14"/>
      <x:c r="AQ60" s="14"/>
      <x:c r="AR60" s="14"/>
      <x:c r="AS60" s="14"/>
      <x:c r="AT60" s="14"/>
      <x:c r="AU60" s="14"/>
      <x:c r="AV60" s="14"/>
      <x:c r="AW60" s="14"/>
      <x:c r="AX60" s="14"/>
      <x:c r="AY60" s="18" t="str">
        <x:v>鐵星武盔</x:v>
      </x:c>
      <x:c r="AZ60" s="18" t="str">
        <x:v>武星武盔</x:v>
      </x:c>
      <x:c r="BA60" s="18" t="str">
        <x:v>赫煉戰盔</x:v>
      </x:c>
      <x:c r="BB60" s="18" t="str">
        <x:v>浩煉戰盔</x:v>
      </x:c>
      <x:c r="BC60" s="14"/>
      <x:c r="BD60" s="18" t="str">
        <x:v>天鏡隱斗</x:v>
      </x:c>
      <x:c r="BE60" s="18" t="str">
        <x:v>納真道袍</x:v>
      </x:c>
      <x:c r="BF60" s="18" t="str">
        <x:v>三千法裟</x:v>
      </x:c>
      <x:c r="BG60" s="18" t="str">
        <x:v>南日劍衣</x:v>
      </x:c>
      <x:c r="BH60" s="14"/>
      <x:c r="BI60" s="18" t="str">
        <x:v>波斯鐵掌</x:v>
      </x:c>
      <x:c r="BJ60" s="18" t="str">
        <x:v>薩珊法腕</x:v>
      </x:c>
      <x:c r="BK60" s="18" t="str">
        <x:v>兩河禪腕</x:v>
      </x:c>
      <x:c r="BL60" s="18" t="str">
        <x:v>天揚銳手</x:v>
      </x:c>
      <x:c r="BM60" s="14"/>
      <x:c r="BN60" s="18" t="str">
        <x:v>希亞輕靴</x:v>
      </x:c>
      <x:c r="BO60" s="18" t="str">
        <x:v>花剌鋼靴</x:v>
      </x:c>
      <x:c r="BP60" s="18" t="str">
        <x:v>波斯迅履</x:v>
      </x:c>
      <x:c r="BQ60" s="18" t="str">
        <x:v>薩珊錦鞋</x:v>
      </x:c>
      <x:c r="BR60" s="14"/>
      <x:c r="BS60" s="18" t="str">
        <x:v>星羽珠簪</x:v>
      </x:c>
      <x:c r="BT60" s="18" t="str">
        <x:v>晶虹珍戒</x:v>
      </x:c>
      <x:c r="BU60" s="18" t="str">
        <x:v>九凰翡釵</x:v>
      </x:c>
      <x:c r="BV60" s="18" t="str">
        <x:v>夢蝶翠鍊</x:v>
      </x:c>
      <x:c r="BW60" s="14"/>
      <x:c r="BX60" s="14"/>
      <x:c r="BY60" s="14"/>
      <x:c r="BZ60" s="14"/>
      <x:c r="CA60" s="14"/>
      <x:c r="CB60" s="14"/>
      <x:c r="CC60" s="14" t="str">
        <x:v>27037</x:v>
      </x:c>
      <x:c r="CD60" s="14" t="n">
        <x:v>8</x:v>
      </x:c>
      <x:c r="CE60" s="14" t="n">
        <x:v>173</x:v>
      </x:c>
      <x:c r="CF60" s="14" t="n">
        <x:v>173</x:v>
      </x:c>
      <x:c r="CG60" s="14" t="n">
        <x:v>20</x:v>
      </x:c>
      <x:c r="CH60" s="14" t="n">
        <x:v>1</x:v>
      </x:c>
      <x:c r="CI60" s="14" t="str">
        <x:v>未收錄</x:v>
      </x:c>
      <x:c r="CJ60" s="14" t="str">
        <x:v>27600</x:v>
      </x:c>
      <x:c r="CK60" s="14" t="n">
        <x:v>8</x:v>
      </x:c>
      <x:c r="CL60" s="14" t="n">
        <x:v>174</x:v>
      </x:c>
      <x:c r="CM60" s="14" t="n">
        <x:v>174</x:v>
      </x:c>
      <x:c r="CN60" s="14" t="n">
        <x:v>20</x:v>
      </x:c>
      <x:c r="CO60" s="14" t="n">
        <x:v>2</x:v>
      </x:c>
      <x:c r="CP60" s="14" t="str">
        <x:v>未收錄</x:v>
      </x:c>
      <x:c r="CQ60" s="14" t="str">
        <x:v>27601</x:v>
      </x:c>
      <x:c r="CR60" s="14" t="n">
        <x:v>8</x:v>
      </x:c>
      <x:c r="CS60" s="14" t="n">
        <x:v>175</x:v>
      </x:c>
      <x:c r="CT60" s="14" t="n">
        <x:v>175</x:v>
      </x:c>
      <x:c r="CU60" s="14" t="n">
        <x:v>20</x:v>
      </x:c>
      <x:c r="CV60" s="14" t="n">
        <x:v>3</x:v>
      </x:c>
      <x:c r="CW60" s="14" t="str">
        <x:v>未收錄</x:v>
      </x:c>
      <x:c r="CX60" s="14" t="str">
        <x:v>27602</x:v>
      </x:c>
      <x:c r="CY60" s="14" t="n">
        <x:v>8</x:v>
      </x:c>
      <x:c r="CZ60" s="14" t="n">
        <x:v>176</x:v>
      </x:c>
      <x:c r="DA60" s="14" t="n">
        <x:v>176</x:v>
      </x:c>
      <x:c r="DB60" s="14" t="n">
        <x:v>20</x:v>
      </x:c>
      <x:c r="DC60" s="14" t="n">
        <x:v>4</x:v>
      </x:c>
      <x:c r="DD60" s="14" t="str">
        <x:v>未收錄</x:v>
      </x:c>
      <x:c r="DE60" s="14" t="str">
        <x:v>28816</x:v>
      </x:c>
      <x:c r="DF60" s="14" t="n">
        <x:v>8</x:v>
      </x:c>
      <x:c r="DG60" s="14" t="n">
        <x:v>418</x:v>
      </x:c>
      <x:c r="DH60" s="14" t="n">
        <x:v>173</x:v>
      </x:c>
      <x:c r="DI60" s="14" t="n">
        <x:v>20</x:v>
      </x:c>
      <x:c r="DJ60" s="14" t="n">
        <x:v>1</x:v>
      </x:c>
      <x:c r="DK60" s="14" t="str">
        <x:v>未收錄</x:v>
      </x:c>
      <x:c r="DL60" s="14" t="str">
        <x:v>29349</x:v>
      </x:c>
      <x:c r="DM60" s="14" t="n">
        <x:v>8</x:v>
      </x:c>
      <x:c r="DN60" s="14" t="n">
        <x:v>419</x:v>
      </x:c>
      <x:c r="DO60" s="14" t="n">
        <x:v>174</x:v>
      </x:c>
      <x:c r="DP60" s="14" t="n">
        <x:v>20</x:v>
      </x:c>
      <x:c r="DQ60" s="14" t="n">
        <x:v>2</x:v>
      </x:c>
      <x:c r="DR60" s="14" t="str">
        <x:v>未收錄</x:v>
      </x:c>
      <x:c r="DS60" s="14" t="str">
        <x:v>29350</x:v>
      </x:c>
      <x:c r="DT60" s="14" t="n">
        <x:v>8</x:v>
      </x:c>
      <x:c r="DU60" s="14" t="n">
        <x:v>420</x:v>
      </x:c>
      <x:c r="DV60" s="14" t="n">
        <x:v>175</x:v>
      </x:c>
      <x:c r="DW60" s="14" t="n">
        <x:v>20</x:v>
      </x:c>
      <x:c r="DX60" s="14" t="n">
        <x:v>3</x:v>
      </x:c>
      <x:c r="DY60" s="14" t="str">
        <x:v>未收錄</x:v>
      </x:c>
      <x:c r="DZ60" s="14" t="str">
        <x:v>29351</x:v>
      </x:c>
      <x:c r="EA60" s="14" t="n">
        <x:v>8</x:v>
      </x:c>
      <x:c r="EB60" s="14" t="n">
        <x:v>421</x:v>
      </x:c>
      <x:c r="EC60" s="14" t="n">
        <x:v>176</x:v>
      </x:c>
      <x:c r="ED60" s="14" t="n">
        <x:v>20</x:v>
      </x:c>
      <x:c r="EE60" s="14" t="n">
        <x:v>4</x:v>
      </x:c>
      <x:c r="EF60" s="14" t="str">
        <x:v>未收錄</x:v>
      </x:c>
      <x:c r="EG60" s="14"/>
      <x:c r="EH60" s="14"/>
      <x:c r="EI60" s="14"/>
      <x:c r="EJ60" s="14"/>
      <x:c r="EK60" s="14"/>
      <x:c r="EL60" s="14"/>
      <x:c r="EM60" s="14"/>
      <x:c r="EN60" s="14"/>
      <x:c r="EO60" s="14"/>
      <x:c r="EP60" s="14"/>
      <x:c r="EQ60" s="14"/>
      <x:c r="ER60" s="14"/>
      <x:c r="ES60" s="14"/>
      <x:c r="ET60" s="14"/>
      <x:c r="EU60" s="14"/>
      <x:c r="EV60" s="14"/>
      <x:c r="EW60" s="14"/>
      <x:c r="EX60" s="14"/>
      <x:c r="EY60" s="14"/>
      <x:c r="EZ60" s="14"/>
      <x:c r="FA60" s="14"/>
      <x:c r="FB60" s="14"/>
      <x:c r="FC60" s="14"/>
      <x:c r="FD60" s="14"/>
      <x:c r="FE60" s="14"/>
      <x:c r="FF60" s="14"/>
      <x:c r="FG60" s="14"/>
      <x:c r="FH60" s="14"/>
      <x:c r="FI60" s="14"/>
      <x:c r="FJ60" s="14"/>
      <x:c r="FK60" s="14"/>
      <x:c r="FL60" s="14"/>
      <x:c r="FM60" s="14"/>
      <x:c r="FN60" s="14"/>
      <x:c r="FO60" s="14"/>
      <x:c r="FP60" s="14"/>
      <x:c r="FQ60" s="14"/>
      <x:c r="FR60" s="14"/>
      <x:c r="FS60" s="14"/>
      <x:c r="FT60" s="14"/>
      <x:c r="FU60" s="14"/>
      <x:c r="FV60" s="14"/>
      <x:c r="FW60" s="14"/>
      <x:c r="FX60" s="14"/>
      <x:c r="FY60" s="14"/>
      <x:c r="FZ60" s="14"/>
      <x:c r="GA60" s="14"/>
      <x:c r="GB60" s="14"/>
      <x:c r="GC60" s="14"/>
      <x:c r="GD60" s="14"/>
      <x:c r="GE60" s="14"/>
      <x:c r="GF60" s="14"/>
      <x:c r="GG60" s="14"/>
      <x:c r="GH60" s="14"/>
      <x:c r="GI60" s="14"/>
      <x:c r="GJ60" s="14"/>
      <x:c r="GK60" s="14" t="str">
        <x:v>31125</x:v>
      </x:c>
      <x:c r="GL60" s="14" t="n">
        <x:v>8</x:v>
      </x:c>
      <x:c r="GM60" s="14" t="n">
        <x:v>976</x:v>
      </x:c>
      <x:c r="GN60" s="14" t="n">
        <x:v>173</x:v>
      </x:c>
      <x:c r="GO60" s="14" t="n">
        <x:v>20</x:v>
      </x:c>
      <x:c r="GP60" s="14" t="n">
        <x:v>1</x:v>
      </x:c>
      <x:c r="GQ60" s="14" t="str">
        <x:v>未收錄</x:v>
      </x:c>
      <x:c r="GR60" s="14"/>
      <x:c r="GS60" s="14"/>
      <x:c r="GT60" s="14"/>
      <x:c r="GU60" s="14"/>
      <x:c r="GV60" s="14"/>
      <x:c r="GW60" s="14"/>
      <x:c r="GX60" s="14"/>
      <x:c r="GY60" s="14"/>
      <x:c r="GZ60" s="14"/>
      <x:c r="HA60" s="14"/>
      <x:c r="HB60" s="14"/>
      <x:c r="HC60" s="14"/>
      <x:c r="HD60" s="14"/>
      <x:c r="HE60" s="14"/>
      <x:c r="HF60" s="14"/>
      <x:c r="HG60" s="14"/>
      <x:c r="HH60" s="14"/>
      <x:c r="HI60" s="14"/>
      <x:c r="HJ60" s="14"/>
      <x:c r="HK60" s="14"/>
      <x:c r="HL60" s="14"/>
      <x:c r="HM60" s="14"/>
      <x:c r="HN60" s="14"/>
      <x:c r="HO60" s="14"/>
      <x:c r="HP60" s="14"/>
      <x:c r="HQ60" s="14"/>
      <x:c r="HR60" s="14"/>
      <x:c r="HS60" s="14"/>
      <x:c r="HT60" s="14"/>
      <x:c r="HU60" s="14"/>
      <x:c r="HV60" s="14"/>
      <x:c r="HW60" s="14"/>
      <x:c r="HX60" s="14"/>
      <x:c r="HY60" s="14"/>
      <x:c r="HZ60" s="14"/>
      <x:c r="IA60" s="14"/>
      <x:c r="IB60" s="14"/>
      <x:c r="IC60" s="14"/>
      <x:c r="ID60" s="14"/>
      <x:c r="IE60" s="14"/>
      <x:c r="IF60" s="14"/>
      <x:c r="IG60" s="14"/>
      <x:c r="IH60" s="14"/>
      <x:c r="II60" s="14"/>
      <x:c r="IJ60" s="14"/>
      <x:c r="IK60" s="14"/>
      <x:c r="IL60" s="14"/>
      <x:c r="IM60" s="14"/>
      <x:c r="IN60" s="14"/>
      <x:c r="IO60" s="14"/>
      <x:c r="IP60" s="14"/>
      <x:c r="IQ60" s="14"/>
      <x:c r="IR60" s="14"/>
      <x:c r="IS60" s="14"/>
      <x:c r="IT60" s="14"/>
      <x:c r="IU60" s="14"/>
      <x:c r="IV60" s="14"/>
      <x:c r="IW60" s="14"/>
      <x:c r="IX60" s="14"/>
      <x:c r="IY60" s="14"/>
      <x:c r="IZ60" s="14"/>
      <x:c r="JA60" s="14"/>
      <x:c r="JB60" s="14"/>
      <x:c r="JC60" s="14"/>
      <x:c r="JD60" s="14"/>
      <x:c r="JE60" s="14"/>
      <x:c r="JF60" s="14"/>
      <x:c r="JG60" s="14"/>
      <x:c r="JH60" s="14"/>
      <x:c r="JI60" s="14"/>
      <x:c r="JJ60" s="14"/>
      <x:c r="JK60" s="14"/>
      <x:c r="JL60" s="14"/>
      <x:c r="JM60" s="14"/>
      <x:c r="JN60" s="14"/>
      <x:c r="JO60" s="14"/>
      <x:c r="JP60" s="14"/>
      <x:c r="JQ60" s="14"/>
      <x:c r="JR60" s="14"/>
      <x:c r="JS60" s="14"/>
      <x:c r="JT60" s="14"/>
      <x:c r="JU60" s="14"/>
      <x:c r="JV60" s="14"/>
      <x:c r="JW60" s="14"/>
      <x:c r="JX60" s="14"/>
      <x:c r="JY60" s="14"/>
      <x:c r="JZ60" s="14"/>
      <x:c r="KA60" s="14"/>
      <x:c r="KB60" s="14"/>
      <x:c r="KC60" s="14"/>
      <x:c r="KD60" s="14"/>
      <x:c r="KE60" s="14"/>
      <x:c r="KF60" s="14"/>
      <x:c r="KG60" s="14"/>
      <x:c r="KH60" s="14"/>
      <x:c r="KI60" s="14"/>
      <x:c r="KJ60" s="14"/>
      <x:c r="KK60" s="14"/>
      <x:c r="KL60" s="14"/>
      <x:c r="KM60" s="14"/>
      <x:c r="KN60" s="14"/>
      <x:c r="KO60" s="14"/>
      <x:c r="KP60" s="14"/>
      <x:c r="KQ60" s="14"/>
      <x:c r="KR60" s="14"/>
      <x:c r="KS60" s="14"/>
      <x:c r="KT60" s="14"/>
      <x:c r="KU60" s="14"/>
      <x:c r="KV60" s="14"/>
      <x:c r="KW60" s="14"/>
      <x:c r="KX60" s="14"/>
      <x:c r="KY60" s="14"/>
      <x:c r="KZ60" s="14"/>
      <x:c r="LA60" s="14"/>
      <x:c r="LB60" s="14"/>
      <x:c r="LC60" s="14"/>
      <x:c r="LD60" s="14"/>
      <x:c r="LE60" s="14"/>
      <x:c r="LF60" s="14"/>
      <x:c r="LG60" s="14"/>
      <x:c r="LH60" s="14"/>
      <x:c r="LI60" s="14"/>
      <x:c r="LJ60" s="14"/>
      <x:c r="LK60" s="14"/>
      <x:c r="LL60" s="14"/>
      <x:c r="LM60" s="14"/>
      <x:c r="LN60" s="14"/>
      <x:c r="LO60" s="14"/>
      <x:c r="LP60" s="14"/>
      <x:c r="LQ60" s="14"/>
      <x:c r="LR60" s="14"/>
      <x:c r="LS60" s="14"/>
      <x:c r="LT60" s="14"/>
      <x:c r="LU60" s="14"/>
      <x:c r="LV60" s="14"/>
      <x:c r="LW60" s="14"/>
      <x:c r="LX60" s="14"/>
      <x:c r="LY60" s="14"/>
      <x:c r="LZ60" s="14"/>
      <x:c r="MA60" s="14"/>
      <x:c r="MB60" s="14"/>
      <x:c r="MC60" s="14"/>
      <x:c r="MD60" s="14"/>
      <x:c r="ME60" s="14"/>
      <x:c r="MF60" s="14"/>
      <x:c r="MG60" s="14"/>
      <x:c r="MH60" s="14"/>
      <x:c r="MI60" s="14"/>
      <x:c r="MJ60" s="14"/>
      <x:c r="MK60" s="14"/>
      <x:c r="ML60" s="14"/>
      <x:c r="MM60" s="14"/>
      <x:c r="MN60" s="14"/>
      <x:c r="MO60" s="14"/>
      <x:c r="MP60" s="14"/>
      <x:c r="MQ60" s="14"/>
      <x:c r="MR60" s="14"/>
      <x:c r="MS60" s="14"/>
      <x:c r="MT60" s="14"/>
      <x:c r="MU60" s="14"/>
      <x:c r="MV60" s="14"/>
      <x:c r="MW60" s="14" t="str">
        <x:v>24425</x:v>
      </x:c>
      <x:c r="MX60" s="14" t="n">
        <x:v>5</x:v>
      </x:c>
      <x:c r="MY60" s="14" t="n">
        <x:v>1821</x:v>
      </x:c>
      <x:c r="MZ60" s="14" t="n">
        <x:v>173</x:v>
      </x:c>
      <x:c r="NA60" s="14" t="n">
        <x:v>20</x:v>
      </x:c>
      <x:c r="NB60" s="14" t="n">
        <x:v>1</x:v>
      </x:c>
      <x:c r="NC60" s="14" t="str">
        <x:v>未收錄</x:v>
      </x:c>
      <x:c r="ND60" s="14" t="str">
        <x:v>24426</x:v>
      </x:c>
      <x:c r="NE60" s="14" t="n">
        <x:v>5</x:v>
      </x:c>
      <x:c r="NF60" s="14" t="n">
        <x:v>1822</x:v>
      </x:c>
      <x:c r="NG60" s="14" t="n">
        <x:v>174</x:v>
      </x:c>
      <x:c r="NH60" s="14" t="n">
        <x:v>20</x:v>
      </x:c>
      <x:c r="NI60" s="14" t="n">
        <x:v>2</x:v>
      </x:c>
      <x:c r="NJ60" s="14" t="str">
        <x:v>未收錄</x:v>
      </x:c>
      <x:c r="NK60" s="14" t="str">
        <x:v>24427</x:v>
      </x:c>
      <x:c r="NL60" s="14" t="n">
        <x:v>5</x:v>
      </x:c>
      <x:c r="NM60" s="14" t="n">
        <x:v>1823</x:v>
      </x:c>
      <x:c r="NN60" s="14" t="n">
        <x:v>175</x:v>
      </x:c>
      <x:c r="NO60" s="14" t="n">
        <x:v>20</x:v>
      </x:c>
      <x:c r="NP60" s="14" t="n">
        <x:v>3</x:v>
      </x:c>
      <x:c r="NQ60" s="14" t="str">
        <x:v>未收錄</x:v>
      </x:c>
      <x:c r="NR60" s="14" t="str">
        <x:v>24428</x:v>
      </x:c>
      <x:c r="NS60" s="14" t="n">
        <x:v>5</x:v>
      </x:c>
      <x:c r="NT60" s="14" t="n">
        <x:v>1824</x:v>
      </x:c>
      <x:c r="NU60" s="14" t="n">
        <x:v>176</x:v>
      </x:c>
      <x:c r="NV60" s="14" t="n">
        <x:v>20</x:v>
      </x:c>
      <x:c r="NW60" s="14" t="n">
        <x:v>4</x:v>
      </x:c>
      <x:c r="NX60" s="14" t="str">
        <x:v>未收錄</x:v>
      </x:c>
      <x:c r="NY60" s="14" t="str">
        <x:v>24008</x:v>
      </x:c>
      <x:c r="NZ60" s="14" t="n">
        <x:v>5</x:v>
      </x:c>
      <x:c r="OA60" s="14" t="n">
        <x:v>2274</x:v>
      </x:c>
      <x:c r="OB60" s="14" t="n">
        <x:v>173</x:v>
      </x:c>
      <x:c r="OC60" s="14" t="n">
        <x:v>20</x:v>
      </x:c>
      <x:c r="OD60" s="14" t="n">
        <x:v>1</x:v>
      </x:c>
      <x:c r="OE60" s="14" t="str">
        <x:v>未收錄</x:v>
      </x:c>
      <x:c r="OF60" s="14" t="str">
        <x:v>24009</x:v>
      </x:c>
      <x:c r="OG60" s="14" t="n">
        <x:v>5</x:v>
      </x:c>
      <x:c r="OH60" s="14" t="n">
        <x:v>2275</x:v>
      </x:c>
      <x:c r="OI60" s="14" t="n">
        <x:v>174</x:v>
      </x:c>
      <x:c r="OJ60" s="14" t="n">
        <x:v>20</x:v>
      </x:c>
      <x:c r="OK60" s="14" t="n">
        <x:v>2</x:v>
      </x:c>
      <x:c r="OL60" s="14" t="str">
        <x:v>未收錄</x:v>
      </x:c>
      <x:c r="OM60" s="14" t="str">
        <x:v>24010</x:v>
      </x:c>
      <x:c r="ON60" s="14" t="n">
        <x:v>5</x:v>
      </x:c>
      <x:c r="OO60" s="14" t="n">
        <x:v>2276</x:v>
      </x:c>
      <x:c r="OP60" s="14" t="n">
        <x:v>175</x:v>
      </x:c>
      <x:c r="OQ60" s="14" t="n">
        <x:v>20</x:v>
      </x:c>
      <x:c r="OR60" s="14" t="n">
        <x:v>3</x:v>
      </x:c>
      <x:c r="OS60" s="14" t="str">
        <x:v>未收錄</x:v>
      </x:c>
      <x:c r="OT60" s="14" t="str">
        <x:v>24011</x:v>
      </x:c>
      <x:c r="OU60" s="14" t="n">
        <x:v>5</x:v>
      </x:c>
      <x:c r="OV60" s="14" t="n">
        <x:v>2277</x:v>
      </x:c>
      <x:c r="OW60" s="14" t="n">
        <x:v>176</x:v>
      </x:c>
      <x:c r="OX60" s="14" t="n">
        <x:v>20</x:v>
      </x:c>
      <x:c r="OY60" s="14" t="n">
        <x:v>4</x:v>
      </x:c>
      <x:c r="OZ60" s="14" t="str">
        <x:v>未收錄</x:v>
      </x:c>
      <x:c r="PA60" s="14" t="str">
        <x:v>24593</x:v>
      </x:c>
      <x:c r="PB60" s="14" t="n">
        <x:v>5</x:v>
      </x:c>
      <x:c r="PC60" s="14" t="n">
        <x:v>2820</x:v>
      </x:c>
      <x:c r="PD60" s="14" t="n">
        <x:v>173</x:v>
      </x:c>
      <x:c r="PE60" s="14" t="n">
        <x:v>20</x:v>
      </x:c>
      <x:c r="PF60" s="14" t="n">
        <x:v>1</x:v>
      </x:c>
      <x:c r="PG60" s="14" t="str">
        <x:v>未收錄</x:v>
      </x:c>
      <x:c r="PH60" s="14" t="str">
        <x:v>24594</x:v>
      </x:c>
      <x:c r="PI60" s="14" t="n">
        <x:v>5</x:v>
      </x:c>
      <x:c r="PJ60" s="14" t="n">
        <x:v>2821</x:v>
      </x:c>
      <x:c r="PK60" s="14" t="n">
        <x:v>174</x:v>
      </x:c>
      <x:c r="PL60" s="14" t="n">
        <x:v>20</x:v>
      </x:c>
      <x:c r="PM60" s="14" t="n">
        <x:v>2</x:v>
      </x:c>
      <x:c r="PN60" s="14" t="str">
        <x:v>未收錄</x:v>
      </x:c>
      <x:c r="PO60" s="14" t="str">
        <x:v>24595</x:v>
      </x:c>
      <x:c r="PP60" s="14" t="n">
        <x:v>5</x:v>
      </x:c>
      <x:c r="PQ60" s="14" t="n">
        <x:v>2822</x:v>
      </x:c>
      <x:c r="PR60" s="14" t="n">
        <x:v>175</x:v>
      </x:c>
      <x:c r="PS60" s="14" t="n">
        <x:v>20</x:v>
      </x:c>
      <x:c r="PT60" s="14" t="n">
        <x:v>3</x:v>
      </x:c>
      <x:c r="PU60" s="14" t="str">
        <x:v>未收錄</x:v>
      </x:c>
      <x:c r="PV60" s="14" t="str">
        <x:v>24596</x:v>
      </x:c>
      <x:c r="PW60" s="14" t="n">
        <x:v>5</x:v>
      </x:c>
      <x:c r="PX60" s="14" t="n">
        <x:v>2823</x:v>
      </x:c>
      <x:c r="PY60" s="14" t="n">
        <x:v>176</x:v>
      </x:c>
      <x:c r="PZ60" s="14" t="n">
        <x:v>20</x:v>
      </x:c>
      <x:c r="QA60" s="14" t="n">
        <x:v>4</x:v>
      </x:c>
      <x:c r="QB60" s="14" t="str">
        <x:v>未收錄</x:v>
      </x:c>
      <x:c r="QC60" s="14" t="str">
        <x:v>24601</x:v>
      </x:c>
      <x:c r="QD60" s="14" t="n">
        <x:v>5</x:v>
      </x:c>
      <x:c r="QE60" s="14" t="n">
        <x:v>3257</x:v>
      </x:c>
      <x:c r="QF60" s="14" t="n">
        <x:v>173</x:v>
      </x:c>
      <x:c r="QG60" s="14" t="n">
        <x:v>20</x:v>
      </x:c>
      <x:c r="QH60" s="14" t="n">
        <x:v>1</x:v>
      </x:c>
      <x:c r="QI60" s="14" t="str">
        <x:v>未收錄</x:v>
      </x:c>
      <x:c r="QJ60" s="14" t="str">
        <x:v>24602</x:v>
      </x:c>
      <x:c r="QK60" s="14" t="n">
        <x:v>5</x:v>
      </x:c>
      <x:c r="QL60" s="14" t="n">
        <x:v>3258</x:v>
      </x:c>
      <x:c r="QM60" s="14" t="n">
        <x:v>174</x:v>
      </x:c>
      <x:c r="QN60" s="14" t="n">
        <x:v>20</x:v>
      </x:c>
      <x:c r="QO60" s="14" t="n">
        <x:v>2</x:v>
      </x:c>
      <x:c r="QP60" s="14" t="str">
        <x:v>未收錄</x:v>
      </x:c>
      <x:c r="QQ60" s="14" t="str">
        <x:v>24603</x:v>
      </x:c>
      <x:c r="QR60" s="14" t="n">
        <x:v>5</x:v>
      </x:c>
      <x:c r="QS60" s="14" t="n">
        <x:v>3259</x:v>
      </x:c>
      <x:c r="QT60" s="14" t="n">
        <x:v>175</x:v>
      </x:c>
      <x:c r="QU60" s="14" t="n">
        <x:v>20</x:v>
      </x:c>
      <x:c r="QV60" s="14" t="n">
        <x:v>3</x:v>
      </x:c>
      <x:c r="QW60" s="14" t="str">
        <x:v>未收錄</x:v>
      </x:c>
      <x:c r="QX60" s="14" t="str">
        <x:v>24604</x:v>
      </x:c>
      <x:c r="QY60" s="14" t="n">
        <x:v>5</x:v>
      </x:c>
      <x:c r="QZ60" s="14" t="n">
        <x:v>3260</x:v>
      </x:c>
      <x:c r="RA60" s="14" t="n">
        <x:v>176</x:v>
      </x:c>
      <x:c r="RB60" s="14" t="n">
        <x:v>20</x:v>
      </x:c>
      <x:c r="RC60" s="14" t="n">
        <x:v>4</x:v>
      </x:c>
      <x:c r="RD60" s="14" t="str">
        <x:v>未收錄</x:v>
      </x:c>
      <x:c r="RE60" s="14" t="str">
        <x:v>26594</x:v>
      </x:c>
      <x:c r="RF60" s="14" t="n">
        <x:v>5</x:v>
      </x:c>
      <x:c r="RG60" s="14" t="n">
        <x:v>3718</x:v>
      </x:c>
      <x:c r="RH60" s="14" t="n">
        <x:v>173</x:v>
      </x:c>
      <x:c r="RI60" s="14" t="n">
        <x:v>20</x:v>
      </x:c>
      <x:c r="RJ60" s="14" t="n">
        <x:v>1</x:v>
      </x:c>
      <x:c r="RK60" s="14" t="str">
        <x:v>未收錄</x:v>
      </x:c>
      <x:c r="RL60" s="14" t="str">
        <x:v>26595</x:v>
      </x:c>
      <x:c r="RM60" s="14" t="n">
        <x:v>5</x:v>
      </x:c>
      <x:c r="RN60" s="14" t="n">
        <x:v>3719</x:v>
      </x:c>
      <x:c r="RO60" s="14" t="n">
        <x:v>174</x:v>
      </x:c>
      <x:c r="RP60" s="14" t="n">
        <x:v>20</x:v>
      </x:c>
      <x:c r="RQ60" s="14" t="n">
        <x:v>2</x:v>
      </x:c>
      <x:c r="RR60" s="14" t="str">
        <x:v>未收錄</x:v>
      </x:c>
      <x:c r="RS60" s="14" t="str">
        <x:v>26596</x:v>
      </x:c>
      <x:c r="RT60" s="14" t="n">
        <x:v>5</x:v>
      </x:c>
      <x:c r="RU60" s="14" t="n">
        <x:v>3720</x:v>
      </x:c>
      <x:c r="RV60" s="14" t="n">
        <x:v>175</x:v>
      </x:c>
      <x:c r="RW60" s="14" t="n">
        <x:v>20</x:v>
      </x:c>
      <x:c r="RX60" s="14" t="n">
        <x:v>3</x:v>
      </x:c>
      <x:c r="RY60" s="14" t="str">
        <x:v>未收錄</x:v>
      </x:c>
      <x:c r="RZ60" s="14" t="str">
        <x:v>26597</x:v>
      </x:c>
      <x:c r="SA60" s="14" t="n">
        <x:v>5</x:v>
      </x:c>
      <x:c r="SB60" s="14" t="n">
        <x:v>3721</x:v>
      </x:c>
      <x:c r="SC60" s="14" t="n">
        <x:v>176</x:v>
      </x:c>
      <x:c r="SD60" s="14" t="n">
        <x:v>20</x:v>
      </x:c>
      <x:c r="SE60" s="14" t="n">
        <x:v>4</x:v>
      </x:c>
      <x:c r="SF60" s="14" t="str">
        <x:v>未收錄</x:v>
      </x:c>
      <x:c r="SG60" s="14"/>
      <x:c r="SH60" s="14"/>
      <x:c r="SI60" s="14"/>
      <x:c r="SJ60" s="14"/>
      <x:c r="SK60" s="14"/>
      <x:c r="SL60" s="14"/>
      <x:c r="SM60" s="14"/>
      <x:c r="SN60" s="14"/>
      <x:c r="SO60" s="14"/>
      <x:c r="SP60" s="14"/>
      <x:c r="SQ60" s="14"/>
      <x:c r="SR60" s="14"/>
      <x:c r="SS60" s="14"/>
      <x:c r="ST60" s="14"/>
      <x:c r="SU60" s="14"/>
      <x:c r="SV60" s="14"/>
      <x:c r="SW60" s="14"/>
      <x:c r="SX60" s="14"/>
      <x:c r="SY60" s="14"/>
      <x:c r="SZ60" s="14"/>
      <x:c r="TA60" s="14"/>
      <x:c r="TB60" s="14"/>
      <x:c r="TC60" s="14"/>
      <x:c r="TD60" s="14"/>
      <x:c r="TE60" s="14"/>
      <x:c r="TF60" s="14"/>
      <x:c r="TG60" s="14"/>
      <x:c r="TH60" s="14"/>
    </x:row>
    <x:row r="61" ht="15" customHeight="1">
      <x:c r="A61" s="17" t="str">
        <x:v>真宇傲皇雷劍</x:v>
      </x:c>
      <x:c r="B61" s="17" t="str">
        <x:v>星守劍★</x:v>
      </x:c>
      <x:c r="C61" s="17" t="str">
        <x:v>星守劍★★</x:v>
      </x:c>
      <x:c r="D61" s="17" t="str">
        <x:v>星守劍★★★</x:v>
      </x:c>
      <x:c r="E61" s="14"/>
      <x:c r="F61" s="17" t="str">
        <x:v>君諭刀★★</x:v>
      </x:c>
      <x:c r="G61" s="17" t="str">
        <x:v>君諭刀★★☆</x:v>
      </x:c>
      <x:c r="H61" s="17" t="str">
        <x:v>君諭刀★★★</x:v>
      </x:c>
      <x:c r="I61" s="17" t="str">
        <x:v>乾坤雙極　地刃</x:v>
      </x:c>
      <x:c r="J61" s="14"/>
      <x:c r="K61" s="14"/>
      <x:c r="L61" s="14"/>
      <x:c r="M61" s="14"/>
      <x:c r="N61" s="14"/>
      <x:c r="O61" s="14"/>
      <x:c r="P61" s="14"/>
      <x:c r="Q61" s="14"/>
      <x:c r="R61" s="14"/>
      <x:c r="S61" s="14"/>
      <x:c r="T61" s="14"/>
      <x:c r="U61" s="14"/>
      <x:c r="V61" s="14"/>
      <x:c r="W61" s="14"/>
      <x:c r="X61" s="14"/>
      <x:c r="Y61" s="14"/>
      <x:c r="Z61" s="14"/>
      <x:c r="AA61" s="14"/>
      <x:c r="AB61" s="14"/>
      <x:c r="AC61" s="14"/>
      <x:c r="AD61" s="14"/>
      <x:c r="AE61" s="14"/>
      <x:c r="AF61" s="14"/>
      <x:c r="AG61" s="14"/>
      <x:c r="AH61" s="14"/>
      <x:c r="AI61" s="14"/>
      <x:c r="AJ61" s="14"/>
      <x:c r="AK61" s="14"/>
      <x:c r="AL61" s="14"/>
      <x:c r="AM61" s="14"/>
      <x:c r="AN61" s="14"/>
      <x:c r="AO61" s="14"/>
      <x:c r="AP61" s="14"/>
      <x:c r="AQ61" s="14"/>
      <x:c r="AR61" s="14"/>
      <x:c r="AS61" s="14"/>
      <x:c r="AT61" s="14"/>
      <x:c r="AU61" s="14"/>
      <x:c r="AV61" s="14"/>
      <x:c r="AW61" s="14"/>
      <x:c r="AX61" s="14"/>
      <x:c r="AY61" s="17" t="str">
        <x:v>騰煉戰盔</x:v>
      </x:c>
      <x:c r="AZ61" s="17" t="str">
        <x:v>六虛綸巾</x:v>
      </x:c>
      <x:c r="BA61" s="17" t="str">
        <x:v>碧虛綸巾</x:v>
      </x:c>
      <x:c r="BB61" s="17" t="str">
        <x:v>太虛綸巾</x:v>
      </x:c>
      <x:c r="BC61" s="14"/>
      <x:c r="BD61" s="17" t="str">
        <x:v>古茹黃冑</x:v>
      </x:c>
      <x:c r="BE61" s="17" t="str">
        <x:v>穆赤雲裳</x:v>
      </x:c>
      <x:c r="BF61" s="17" t="str">
        <x:v>朗達瑪袍</x:v>
      </x:c>
      <x:c r="BG61" s="17" t="str">
        <x:v>牟如袈裟</x:v>
      </x:c>
      <x:c r="BH61" s="14"/>
      <x:c r="BI61" s="17" t="str">
        <x:v>鎢銀肘甲</x:v>
      </x:c>
      <x:c r="BJ61" s="17" t="str">
        <x:v>逐浪鱗腕</x:v>
      </x:c>
      <x:c r="BK61" s="17" t="str">
        <x:v>星儀流腕</x:v>
      </x:c>
      <x:c r="BL61" s="17" t="str">
        <x:v>智法禪腕</x:v>
      </x:c>
      <x:c r="BM61" s="14"/>
      <x:c r="BN61" s="17" t="str">
        <x:v>兩河僧靴</x:v>
      </x:c>
      <x:c r="BO61" s="17" t="str">
        <x:v>天揚劍靴</x:v>
      </x:c>
      <x:c r="BP61" s="17" t="str">
        <x:v>鎢銀護靴</x:v>
      </x:c>
      <x:c r="BQ61" s="17" t="str">
        <x:v>逐浪神步</x:v>
      </x:c>
      <x:c r="BR61" s="14"/>
      <x:c r="BS61" s="17" t="str">
        <x:v>幻海磲簪</x:v>
      </x:c>
      <x:c r="BT61" s="17" t="str">
        <x:v>碧洋硨戒</x:v>
      </x:c>
      <x:c r="BU61" s="17" t="str">
        <x:v>鐵仙佛珠</x:v>
      </x:c>
      <x:c r="BV61" s="17" t="str">
        <x:v>力仙佛珠</x:v>
      </x:c>
      <x:c r="BW61" s="14"/>
      <x:c r="BX61" s="14"/>
      <x:c r="BY61" s="14"/>
      <x:c r="BZ61" s="14"/>
      <x:c r="CA61" s="14"/>
      <x:c r="CB61" s="14"/>
      <x:c r="CC61" s="14" t="str">
        <x:v>27603</x:v>
      </x:c>
      <x:c r="CD61" s="14" t="n">
        <x:v>8</x:v>
      </x:c>
      <x:c r="CE61" s="14" t="n">
        <x:v>177</x:v>
      </x:c>
      <x:c r="CF61" s="14" t="n">
        <x:v>177</x:v>
      </x:c>
      <x:c r="CG61" s="14" t="n">
        <x:v>21</x:v>
      </x:c>
      <x:c r="CH61" s="14" t="n">
        <x:v>1</x:v>
      </x:c>
      <x:c r="CI61" s="14" t="str">
        <x:v>未收錄</x:v>
      </x:c>
      <x:c r="CJ61" s="14" t="str">
        <x:v>28349</x:v>
      </x:c>
      <x:c r="CK61" s="14" t="n">
        <x:v>8</x:v>
      </x:c>
      <x:c r="CL61" s="14" t="n">
        <x:v>178</x:v>
      </x:c>
      <x:c r="CM61" s="14" t="n">
        <x:v>178</x:v>
      </x:c>
      <x:c r="CN61" s="14" t="n">
        <x:v>21</x:v>
      </x:c>
      <x:c r="CO61" s="14" t="n">
        <x:v>2</x:v>
      </x:c>
      <x:c r="CP61" s="14" t="str">
        <x:v>未收錄</x:v>
      </x:c>
      <x:c r="CQ61" s="14" t="str">
        <x:v>28350</x:v>
      </x:c>
      <x:c r="CR61" s="14" t="n">
        <x:v>8</x:v>
      </x:c>
      <x:c r="CS61" s="14" t="n">
        <x:v>179</x:v>
      </x:c>
      <x:c r="CT61" s="14" t="n">
        <x:v>179</x:v>
      </x:c>
      <x:c r="CU61" s="14" t="n">
        <x:v>21</x:v>
      </x:c>
      <x:c r="CV61" s="14" t="n">
        <x:v>3</x:v>
      </x:c>
      <x:c r="CW61" s="14" t="str">
        <x:v>未收錄</x:v>
      </x:c>
      <x:c r="CX61" s="14" t="str">
        <x:v>28351</x:v>
      </x:c>
      <x:c r="CY61" s="14" t="n">
        <x:v>8</x:v>
      </x:c>
      <x:c r="CZ61" s="14" t="n">
        <x:v>180</x:v>
      </x:c>
      <x:c r="DA61" s="14" t="n">
        <x:v>180</x:v>
      </x:c>
      <x:c r="DB61" s="14" t="n">
        <x:v>21</x:v>
      </x:c>
      <x:c r="DC61" s="14" t="n">
        <x:v>4</x:v>
      </x:c>
      <x:c r="DD61" s="14" t="str">
        <x:v>未收錄</x:v>
      </x:c>
      <x:c r="DE61" s="14" t="str">
        <x:v>29352</x:v>
      </x:c>
      <x:c r="DF61" s="14" t="n">
        <x:v>8</x:v>
      </x:c>
      <x:c r="DG61" s="14" t="n">
        <x:v>422</x:v>
      </x:c>
      <x:c r="DH61" s="14" t="n">
        <x:v>177</x:v>
      </x:c>
      <x:c r="DI61" s="14" t="n">
        <x:v>21</x:v>
      </x:c>
      <x:c r="DJ61" s="14" t="n">
        <x:v>1</x:v>
      </x:c>
      <x:c r="DK61" s="14" t="str">
        <x:v>未收錄</x:v>
      </x:c>
      <x:c r="DL61" s="14" t="str">
        <x:v>29353</x:v>
      </x:c>
      <x:c r="DM61" s="14" t="n">
        <x:v>8</x:v>
      </x:c>
      <x:c r="DN61" s="14" t="n">
        <x:v>423</x:v>
      </x:c>
      <x:c r="DO61" s="14" t="n">
        <x:v>178</x:v>
      </x:c>
      <x:c r="DP61" s="14" t="n">
        <x:v>21</x:v>
      </x:c>
      <x:c r="DQ61" s="14" t="n">
        <x:v>2</x:v>
      </x:c>
      <x:c r="DR61" s="14" t="str">
        <x:v>未收錄</x:v>
      </x:c>
      <x:c r="DS61" s="14" t="str">
        <x:v>29354</x:v>
      </x:c>
      <x:c r="DT61" s="14" t="n">
        <x:v>8</x:v>
      </x:c>
      <x:c r="DU61" s="14" t="n">
        <x:v>424</x:v>
      </x:c>
      <x:c r="DV61" s="14" t="n">
        <x:v>179</x:v>
      </x:c>
      <x:c r="DW61" s="14" t="n">
        <x:v>21</x:v>
      </x:c>
      <x:c r="DX61" s="14" t="n">
        <x:v>3</x:v>
      </x:c>
      <x:c r="DY61" s="14" t="str">
        <x:v>未收錄</x:v>
      </x:c>
      <x:c r="DZ61" s="14" t="str">
        <x:v>23420</x:v>
      </x:c>
      <x:c r="EA61" s="14" t="n">
        <x:v>10</x:v>
      </x:c>
      <x:c r="EB61" s="14" t="n">
        <x:v>425</x:v>
      </x:c>
      <x:c r="EC61" s="14" t="n">
        <x:v>180</x:v>
      </x:c>
      <x:c r="ED61" s="14" t="n">
        <x:v>21</x:v>
      </x:c>
      <x:c r="EE61" s="14" t="n">
        <x:v>4</x:v>
      </x:c>
      <x:c r="EF61" s="14" t="str">
        <x:v>未收錄</x:v>
      </x:c>
      <x:c r="EG61" s="14"/>
      <x:c r="EH61" s="14"/>
      <x:c r="EI61" s="14"/>
      <x:c r="EJ61" s="14"/>
      <x:c r="EK61" s="14"/>
      <x:c r="EL61" s="14"/>
      <x:c r="EM61" s="14"/>
      <x:c r="EN61" s="14"/>
      <x:c r="EO61" s="14"/>
      <x:c r="EP61" s="14"/>
      <x:c r="EQ61" s="14"/>
      <x:c r="ER61" s="14"/>
      <x:c r="ES61" s="14"/>
      <x:c r="ET61" s="14"/>
      <x:c r="EU61" s="14"/>
      <x:c r="EV61" s="14"/>
      <x:c r="EW61" s="14"/>
      <x:c r="EX61" s="14"/>
      <x:c r="EY61" s="14"/>
      <x:c r="EZ61" s="14"/>
      <x:c r="FA61" s="14"/>
      <x:c r="FB61" s="14"/>
      <x:c r="FC61" s="14"/>
      <x:c r="FD61" s="14"/>
      <x:c r="FE61" s="14"/>
      <x:c r="FF61" s="14"/>
      <x:c r="FG61" s="14"/>
      <x:c r="FH61" s="14"/>
      <x:c r="FI61" s="14"/>
      <x:c r="FJ61" s="14"/>
      <x:c r="FK61" s="14"/>
      <x:c r="FL61" s="14"/>
      <x:c r="FM61" s="14"/>
      <x:c r="FN61" s="14"/>
      <x:c r="FO61" s="14"/>
      <x:c r="FP61" s="14"/>
      <x:c r="FQ61" s="14"/>
      <x:c r="FR61" s="14"/>
      <x:c r="FS61" s="14"/>
      <x:c r="FT61" s="14"/>
      <x:c r="FU61" s="14"/>
      <x:c r="FV61" s="14"/>
      <x:c r="FW61" s="14"/>
      <x:c r="FX61" s="14"/>
      <x:c r="FY61" s="14"/>
      <x:c r="FZ61" s="14"/>
      <x:c r="GA61" s="14"/>
      <x:c r="GB61" s="14"/>
      <x:c r="GC61" s="14"/>
      <x:c r="GD61" s="14"/>
      <x:c r="GE61" s="14"/>
      <x:c r="GF61" s="14"/>
      <x:c r="GG61" s="14"/>
      <x:c r="GH61" s="14"/>
      <x:c r="GI61" s="14"/>
      <x:c r="GJ61" s="14"/>
      <x:c r="GK61" s="14"/>
      <x:c r="GL61" s="14"/>
      <x:c r="GM61" s="14"/>
      <x:c r="GN61" s="14"/>
      <x:c r="GO61" s="14"/>
      <x:c r="GP61" s="14"/>
      <x:c r="GQ61" s="14"/>
      <x:c r="GR61" s="14"/>
      <x:c r="GS61" s="14"/>
      <x:c r="GT61" s="14"/>
      <x:c r="GU61" s="14"/>
      <x:c r="GV61" s="14"/>
      <x:c r="GW61" s="14"/>
      <x:c r="GX61" s="14"/>
      <x:c r="GY61" s="14"/>
      <x:c r="GZ61" s="14"/>
      <x:c r="HA61" s="14"/>
      <x:c r="HB61" s="14"/>
      <x:c r="HC61" s="14"/>
      <x:c r="HD61" s="14"/>
      <x:c r="HE61" s="14"/>
      <x:c r="HF61" s="14"/>
      <x:c r="HG61" s="14"/>
      <x:c r="HH61" s="14"/>
      <x:c r="HI61" s="14"/>
      <x:c r="HJ61" s="14"/>
      <x:c r="HK61" s="14"/>
      <x:c r="HL61" s="14"/>
      <x:c r="HM61" s="14"/>
      <x:c r="HN61" s="14"/>
      <x:c r="HO61" s="14"/>
      <x:c r="HP61" s="14"/>
      <x:c r="HQ61" s="14"/>
      <x:c r="HR61" s="14"/>
      <x:c r="HS61" s="14"/>
      <x:c r="HT61" s="14"/>
      <x:c r="HU61" s="14"/>
      <x:c r="HV61" s="14"/>
      <x:c r="HW61" s="14"/>
      <x:c r="HX61" s="14"/>
      <x:c r="HY61" s="14"/>
      <x:c r="HZ61" s="14"/>
      <x:c r="IA61" s="14"/>
      <x:c r="IB61" s="14"/>
      <x:c r="IC61" s="14"/>
      <x:c r="ID61" s="14"/>
      <x:c r="IE61" s="14"/>
      <x:c r="IF61" s="14"/>
      <x:c r="IG61" s="14"/>
      <x:c r="IH61" s="14"/>
      <x:c r="II61" s="14"/>
      <x:c r="IJ61" s="14"/>
      <x:c r="IK61" s="14"/>
      <x:c r="IL61" s="14"/>
      <x:c r="IM61" s="14"/>
      <x:c r="IN61" s="14"/>
      <x:c r="IO61" s="14"/>
      <x:c r="IP61" s="14"/>
      <x:c r="IQ61" s="14"/>
      <x:c r="IR61" s="14"/>
      <x:c r="IS61" s="14"/>
      <x:c r="IT61" s="14"/>
      <x:c r="IU61" s="14"/>
      <x:c r="IV61" s="14"/>
      <x:c r="IW61" s="14"/>
      <x:c r="IX61" s="14"/>
      <x:c r="IY61" s="14"/>
      <x:c r="IZ61" s="14"/>
      <x:c r="JA61" s="14"/>
      <x:c r="JB61" s="14"/>
      <x:c r="JC61" s="14"/>
      <x:c r="JD61" s="14"/>
      <x:c r="JE61" s="14"/>
      <x:c r="JF61" s="14"/>
      <x:c r="JG61" s="14"/>
      <x:c r="JH61" s="14"/>
      <x:c r="JI61" s="14"/>
      <x:c r="JJ61" s="14"/>
      <x:c r="JK61" s="14"/>
      <x:c r="JL61" s="14"/>
      <x:c r="JM61" s="14"/>
      <x:c r="JN61" s="14"/>
      <x:c r="JO61" s="14"/>
      <x:c r="JP61" s="14"/>
      <x:c r="JQ61" s="14"/>
      <x:c r="JR61" s="14"/>
      <x:c r="JS61" s="14"/>
      <x:c r="JT61" s="14"/>
      <x:c r="JU61" s="14"/>
      <x:c r="JV61" s="14"/>
      <x:c r="JW61" s="14"/>
      <x:c r="JX61" s="14"/>
      <x:c r="JY61" s="14"/>
      <x:c r="JZ61" s="14"/>
      <x:c r="KA61" s="14"/>
      <x:c r="KB61" s="14"/>
      <x:c r="KC61" s="14"/>
      <x:c r="KD61" s="14"/>
      <x:c r="KE61" s="14"/>
      <x:c r="KF61" s="14"/>
      <x:c r="KG61" s="14"/>
      <x:c r="KH61" s="14"/>
      <x:c r="KI61" s="14"/>
      <x:c r="KJ61" s="14"/>
      <x:c r="KK61" s="14"/>
      <x:c r="KL61" s="14"/>
      <x:c r="KM61" s="14"/>
      <x:c r="KN61" s="14"/>
      <x:c r="KO61" s="14"/>
      <x:c r="KP61" s="14"/>
      <x:c r="KQ61" s="14"/>
      <x:c r="KR61" s="14"/>
      <x:c r="KS61" s="14"/>
      <x:c r="KT61" s="14"/>
      <x:c r="KU61" s="14"/>
      <x:c r="KV61" s="14"/>
      <x:c r="KW61" s="14"/>
      <x:c r="KX61" s="14"/>
      <x:c r="KY61" s="14"/>
      <x:c r="KZ61" s="14"/>
      <x:c r="LA61" s="14"/>
      <x:c r="LB61" s="14"/>
      <x:c r="LC61" s="14"/>
      <x:c r="LD61" s="14"/>
      <x:c r="LE61" s="14"/>
      <x:c r="LF61" s="14"/>
      <x:c r="LG61" s="14"/>
      <x:c r="LH61" s="14"/>
      <x:c r="LI61" s="14"/>
      <x:c r="LJ61" s="14"/>
      <x:c r="LK61" s="14"/>
      <x:c r="LL61" s="14"/>
      <x:c r="LM61" s="14"/>
      <x:c r="LN61" s="14"/>
      <x:c r="LO61" s="14"/>
      <x:c r="LP61" s="14"/>
      <x:c r="LQ61" s="14"/>
      <x:c r="LR61" s="14"/>
      <x:c r="LS61" s="14"/>
      <x:c r="LT61" s="14"/>
      <x:c r="LU61" s="14"/>
      <x:c r="LV61" s="14"/>
      <x:c r="LW61" s="14"/>
      <x:c r="LX61" s="14"/>
      <x:c r="LY61" s="14"/>
      <x:c r="LZ61" s="14"/>
      <x:c r="MA61" s="14"/>
      <x:c r="MB61" s="14"/>
      <x:c r="MC61" s="14"/>
      <x:c r="MD61" s="14"/>
      <x:c r="ME61" s="14"/>
      <x:c r="MF61" s="14"/>
      <x:c r="MG61" s="14"/>
      <x:c r="MH61" s="14"/>
      <x:c r="MI61" s="14"/>
      <x:c r="MJ61" s="14"/>
      <x:c r="MK61" s="14"/>
      <x:c r="ML61" s="14"/>
      <x:c r="MM61" s="14"/>
      <x:c r="MN61" s="14"/>
      <x:c r="MO61" s="14"/>
      <x:c r="MP61" s="14"/>
      <x:c r="MQ61" s="14"/>
      <x:c r="MR61" s="14"/>
      <x:c r="MS61" s="14"/>
      <x:c r="MT61" s="14"/>
      <x:c r="MU61" s="14"/>
      <x:c r="MV61" s="14"/>
      <x:c r="MW61" s="14" t="str">
        <x:v>24429</x:v>
      </x:c>
      <x:c r="MX61" s="14" t="n">
        <x:v>5</x:v>
      </x:c>
      <x:c r="MY61" s="14" t="n">
        <x:v>1825</x:v>
      </x:c>
      <x:c r="MZ61" s="14" t="n">
        <x:v>177</x:v>
      </x:c>
      <x:c r="NA61" s="14" t="n">
        <x:v>21</x:v>
      </x:c>
      <x:c r="NB61" s="14" t="n">
        <x:v>1</x:v>
      </x:c>
      <x:c r="NC61" s="14" t="str">
        <x:v>未收錄</x:v>
      </x:c>
      <x:c r="ND61" s="14" t="str">
        <x:v>24430</x:v>
      </x:c>
      <x:c r="NE61" s="14" t="n">
        <x:v>5</x:v>
      </x:c>
      <x:c r="NF61" s="14" t="n">
        <x:v>1826</x:v>
      </x:c>
      <x:c r="NG61" s="14" t="n">
        <x:v>178</x:v>
      </x:c>
      <x:c r="NH61" s="14" t="n">
        <x:v>21</x:v>
      </x:c>
      <x:c r="NI61" s="14" t="n">
        <x:v>2</x:v>
      </x:c>
      <x:c r="NJ61" s="14" t="str">
        <x:v>未收錄</x:v>
      </x:c>
      <x:c r="NK61" s="14" t="str">
        <x:v>24431</x:v>
      </x:c>
      <x:c r="NL61" s="14" t="n">
        <x:v>5</x:v>
      </x:c>
      <x:c r="NM61" s="14" t="n">
        <x:v>1827</x:v>
      </x:c>
      <x:c r="NN61" s="14" t="n">
        <x:v>179</x:v>
      </x:c>
      <x:c r="NO61" s="14" t="n">
        <x:v>21</x:v>
      </x:c>
      <x:c r="NP61" s="14" t="n">
        <x:v>3</x:v>
      </x:c>
      <x:c r="NQ61" s="14" t="str">
        <x:v>未收錄</x:v>
      </x:c>
      <x:c r="NR61" s="14" t="str">
        <x:v>24432</x:v>
      </x:c>
      <x:c r="NS61" s="14" t="n">
        <x:v>5</x:v>
      </x:c>
      <x:c r="NT61" s="14" t="n">
        <x:v>1828</x:v>
      </x:c>
      <x:c r="NU61" s="14" t="n">
        <x:v>180</x:v>
      </x:c>
      <x:c r="NV61" s="14" t="n">
        <x:v>21</x:v>
      </x:c>
      <x:c r="NW61" s="14" t="n">
        <x:v>4</x:v>
      </x:c>
      <x:c r="NX61" s="14" t="str">
        <x:v>未收錄</x:v>
      </x:c>
      <x:c r="NY61" s="14" t="str">
        <x:v>24012</x:v>
      </x:c>
      <x:c r="NZ61" s="14" t="n">
        <x:v>5</x:v>
      </x:c>
      <x:c r="OA61" s="14" t="n">
        <x:v>2278</x:v>
      </x:c>
      <x:c r="OB61" s="14" t="n">
        <x:v>177</x:v>
      </x:c>
      <x:c r="OC61" s="14" t="n">
        <x:v>21</x:v>
      </x:c>
      <x:c r="OD61" s="14" t="n">
        <x:v>1</x:v>
      </x:c>
      <x:c r="OE61" s="14" t="str">
        <x:v>未收錄</x:v>
      </x:c>
      <x:c r="OF61" s="14" t="str">
        <x:v>24013</x:v>
      </x:c>
      <x:c r="OG61" s="14" t="n">
        <x:v>5</x:v>
      </x:c>
      <x:c r="OH61" s="14" t="n">
        <x:v>2279</x:v>
      </x:c>
      <x:c r="OI61" s="14" t="n">
        <x:v>178</x:v>
      </x:c>
      <x:c r="OJ61" s="14" t="n">
        <x:v>21</x:v>
      </x:c>
      <x:c r="OK61" s="14" t="n">
        <x:v>2</x:v>
      </x:c>
      <x:c r="OL61" s="14" t="str">
        <x:v>未收錄</x:v>
      </x:c>
      <x:c r="OM61" s="14" t="str">
        <x:v>24014</x:v>
      </x:c>
      <x:c r="ON61" s="14" t="n">
        <x:v>5</x:v>
      </x:c>
      <x:c r="OO61" s="14" t="n">
        <x:v>2280</x:v>
      </x:c>
      <x:c r="OP61" s="14" t="n">
        <x:v>179</x:v>
      </x:c>
      <x:c r="OQ61" s="14" t="n">
        <x:v>21</x:v>
      </x:c>
      <x:c r="OR61" s="14" t="n">
        <x:v>3</x:v>
      </x:c>
      <x:c r="OS61" s="14" t="str">
        <x:v>未收錄</x:v>
      </x:c>
      <x:c r="OT61" s="14" t="str">
        <x:v>24015</x:v>
      </x:c>
      <x:c r="OU61" s="14" t="n">
        <x:v>5</x:v>
      </x:c>
      <x:c r="OV61" s="14" t="n">
        <x:v>2281</x:v>
      </x:c>
      <x:c r="OW61" s="14" t="n">
        <x:v>180</x:v>
      </x:c>
      <x:c r="OX61" s="14" t="n">
        <x:v>21</x:v>
      </x:c>
      <x:c r="OY61" s="14" t="n">
        <x:v>4</x:v>
      </x:c>
      <x:c r="OZ61" s="14" t="str">
        <x:v>未收錄</x:v>
      </x:c>
      <x:c r="PA61" s="14" t="str">
        <x:v>24597</x:v>
      </x:c>
      <x:c r="PB61" s="14" t="n">
        <x:v>5</x:v>
      </x:c>
      <x:c r="PC61" s="14" t="n">
        <x:v>2824</x:v>
      </x:c>
      <x:c r="PD61" s="14" t="n">
        <x:v>177</x:v>
      </x:c>
      <x:c r="PE61" s="14" t="n">
        <x:v>21</x:v>
      </x:c>
      <x:c r="PF61" s="14" t="n">
        <x:v>1</x:v>
      </x:c>
      <x:c r="PG61" s="14" t="str">
        <x:v>未收錄</x:v>
      </x:c>
      <x:c r="PH61" s="14" t="str">
        <x:v>24598</x:v>
      </x:c>
      <x:c r="PI61" s="14" t="n">
        <x:v>5</x:v>
      </x:c>
      <x:c r="PJ61" s="14" t="n">
        <x:v>2825</x:v>
      </x:c>
      <x:c r="PK61" s="14" t="n">
        <x:v>178</x:v>
      </x:c>
      <x:c r="PL61" s="14" t="n">
        <x:v>21</x:v>
      </x:c>
      <x:c r="PM61" s="14" t="n">
        <x:v>2</x:v>
      </x:c>
      <x:c r="PN61" s="14" t="str">
        <x:v>未收錄</x:v>
      </x:c>
      <x:c r="PO61" s="14" t="str">
        <x:v>24599</x:v>
      </x:c>
      <x:c r="PP61" s="14" t="n">
        <x:v>5</x:v>
      </x:c>
      <x:c r="PQ61" s="14" t="n">
        <x:v>2826</x:v>
      </x:c>
      <x:c r="PR61" s="14" t="n">
        <x:v>179</x:v>
      </x:c>
      <x:c r="PS61" s="14" t="n">
        <x:v>21</x:v>
      </x:c>
      <x:c r="PT61" s="14" t="n">
        <x:v>3</x:v>
      </x:c>
      <x:c r="PU61" s="14" t="str">
        <x:v>未收錄</x:v>
      </x:c>
      <x:c r="PV61" s="14" t="str">
        <x:v>24600</x:v>
      </x:c>
      <x:c r="PW61" s="14" t="n">
        <x:v>5</x:v>
      </x:c>
      <x:c r="PX61" s="14" t="n">
        <x:v>2827</x:v>
      </x:c>
      <x:c r="PY61" s="14" t="n">
        <x:v>180</x:v>
      </x:c>
      <x:c r="PZ61" s="14" t="n">
        <x:v>21</x:v>
      </x:c>
      <x:c r="QA61" s="14" t="n">
        <x:v>4</x:v>
      </x:c>
      <x:c r="QB61" s="14" t="str">
        <x:v>未收錄</x:v>
      </x:c>
      <x:c r="QC61" s="14" t="str">
        <x:v>24605</x:v>
      </x:c>
      <x:c r="QD61" s="14" t="n">
        <x:v>5</x:v>
      </x:c>
      <x:c r="QE61" s="14" t="n">
        <x:v>3261</x:v>
      </x:c>
      <x:c r="QF61" s="14" t="n">
        <x:v>177</x:v>
      </x:c>
      <x:c r="QG61" s="14" t="n">
        <x:v>21</x:v>
      </x:c>
      <x:c r="QH61" s="14" t="n">
        <x:v>1</x:v>
      </x:c>
      <x:c r="QI61" s="14" t="str">
        <x:v>未收錄</x:v>
      </x:c>
      <x:c r="QJ61" s="14" t="str">
        <x:v>24606</x:v>
      </x:c>
      <x:c r="QK61" s="14" t="n">
        <x:v>5</x:v>
      </x:c>
      <x:c r="QL61" s="14" t="n">
        <x:v>3262</x:v>
      </x:c>
      <x:c r="QM61" s="14" t="n">
        <x:v>178</x:v>
      </x:c>
      <x:c r="QN61" s="14" t="n">
        <x:v>21</x:v>
      </x:c>
      <x:c r="QO61" s="14" t="n">
        <x:v>2</x:v>
      </x:c>
      <x:c r="QP61" s="14" t="str">
        <x:v>未收錄</x:v>
      </x:c>
      <x:c r="QQ61" s="14" t="str">
        <x:v>24607</x:v>
      </x:c>
      <x:c r="QR61" s="14" t="n">
        <x:v>5</x:v>
      </x:c>
      <x:c r="QS61" s="14" t="n">
        <x:v>3263</x:v>
      </x:c>
      <x:c r="QT61" s="14" t="n">
        <x:v>179</x:v>
      </x:c>
      <x:c r="QU61" s="14" t="n">
        <x:v>21</x:v>
      </x:c>
      <x:c r="QV61" s="14" t="n">
        <x:v>3</x:v>
      </x:c>
      <x:c r="QW61" s="14" t="str">
        <x:v>未收錄</x:v>
      </x:c>
      <x:c r="QX61" s="14" t="str">
        <x:v>24608</x:v>
      </x:c>
      <x:c r="QY61" s="14" t="n">
        <x:v>5</x:v>
      </x:c>
      <x:c r="QZ61" s="14" t="n">
        <x:v>3264</x:v>
      </x:c>
      <x:c r="RA61" s="14" t="n">
        <x:v>180</x:v>
      </x:c>
      <x:c r="RB61" s="14" t="n">
        <x:v>21</x:v>
      </x:c>
      <x:c r="RC61" s="14" t="n">
        <x:v>4</x:v>
      </x:c>
      <x:c r="RD61" s="14" t="str">
        <x:v>未收錄</x:v>
      </x:c>
      <x:c r="RE61" s="14" t="str">
        <x:v>26598</x:v>
      </x:c>
      <x:c r="RF61" s="14" t="n">
        <x:v>5</x:v>
      </x:c>
      <x:c r="RG61" s="14" t="n">
        <x:v>3722</x:v>
      </x:c>
      <x:c r="RH61" s="14" t="n">
        <x:v>177</x:v>
      </x:c>
      <x:c r="RI61" s="14" t="n">
        <x:v>21</x:v>
      </x:c>
      <x:c r="RJ61" s="14" t="n">
        <x:v>1</x:v>
      </x:c>
      <x:c r="RK61" s="14" t="str">
        <x:v>未收錄</x:v>
      </x:c>
      <x:c r="RL61" s="14" t="str">
        <x:v>26599</x:v>
      </x:c>
      <x:c r="RM61" s="14" t="n">
        <x:v>5</x:v>
      </x:c>
      <x:c r="RN61" s="14" t="n">
        <x:v>3723</x:v>
      </x:c>
      <x:c r="RO61" s="14" t="n">
        <x:v>178</x:v>
      </x:c>
      <x:c r="RP61" s="14" t="n">
        <x:v>21</x:v>
      </x:c>
      <x:c r="RQ61" s="14" t="n">
        <x:v>2</x:v>
      </x:c>
      <x:c r="RR61" s="14" t="str">
        <x:v>未收錄</x:v>
      </x:c>
      <x:c r="RS61" s="14" t="str">
        <x:v>26776</x:v>
      </x:c>
      <x:c r="RT61" s="14" t="n">
        <x:v>3</x:v>
      </x:c>
      <x:c r="RU61" s="14" t="n">
        <x:v>3724</x:v>
      </x:c>
      <x:c r="RV61" s="14" t="n">
        <x:v>179</x:v>
      </x:c>
      <x:c r="RW61" s="14" t="n">
        <x:v>21</x:v>
      </x:c>
      <x:c r="RX61" s="14" t="n">
        <x:v>3</x:v>
      </x:c>
      <x:c r="RY61" s="14" t="str">
        <x:v>未收錄</x:v>
      </x:c>
      <x:c r="RZ61" s="14" t="str">
        <x:v>26777</x:v>
      </x:c>
      <x:c r="SA61" s="14" t="n">
        <x:v>3</x:v>
      </x:c>
      <x:c r="SB61" s="14" t="n">
        <x:v>3725</x:v>
      </x:c>
      <x:c r="SC61" s="14" t="n">
        <x:v>180</x:v>
      </x:c>
      <x:c r="SD61" s="14" t="n">
        <x:v>21</x:v>
      </x:c>
      <x:c r="SE61" s="14" t="n">
        <x:v>4</x:v>
      </x:c>
      <x:c r="SF61" s="14" t="str">
        <x:v>未收錄</x:v>
      </x:c>
      <x:c r="SG61" s="14"/>
      <x:c r="SH61" s="14"/>
      <x:c r="SI61" s="14"/>
      <x:c r="SJ61" s="14"/>
      <x:c r="SK61" s="14"/>
      <x:c r="SL61" s="14"/>
      <x:c r="SM61" s="14"/>
      <x:c r="SN61" s="14"/>
      <x:c r="SO61" s="14"/>
      <x:c r="SP61" s="14"/>
      <x:c r="SQ61" s="14"/>
      <x:c r="SR61" s="14"/>
      <x:c r="SS61" s="14"/>
      <x:c r="ST61" s="14"/>
      <x:c r="SU61" s="14"/>
      <x:c r="SV61" s="14"/>
      <x:c r="SW61" s="14"/>
      <x:c r="SX61" s="14"/>
      <x:c r="SY61" s="14"/>
      <x:c r="SZ61" s="14"/>
      <x:c r="TA61" s="14"/>
      <x:c r="TB61" s="14"/>
      <x:c r="TC61" s="14"/>
      <x:c r="TD61" s="14"/>
      <x:c r="TE61" s="14"/>
      <x:c r="TF61" s="14"/>
      <x:c r="TG61" s="14"/>
      <x:c r="TH61" s="14"/>
    </x:row>
    <x:row r="62" ht="15" customHeight="1">
      <x:c r="A62" s="18" t="str">
        <x:v>北冕劍☆</x:v>
      </x:c>
      <x:c r="B62" s="18" t="str">
        <x:v>北冕劍☆☆</x:v>
      </x:c>
      <x:c r="C62" s="18" t="str">
        <x:v>北冕劍☆☆☆</x:v>
      </x:c>
      <x:c r="D62" s="18" t="str">
        <x:v>帝詔劍☆</x:v>
      </x:c>
      <x:c r="E62" s="14"/>
      <x:c r="F62" s="18" t="str">
        <x:v>乾坤無限　地刃</x:v>
      </x:c>
      <x:c r="G62" s="18" t="str">
        <x:v>乾坤無極　地刃</x:v>
      </x:c>
      <x:c r="H62" s="18" t="str">
        <x:v>乾坤太極　地刃</x:v>
      </x:c>
      <x:c r="I62" s="18" t="str">
        <x:v>滅世天罪刀</x:v>
      </x:c>
      <x:c r="J62" s="14"/>
      <x:c r="K62" s="14"/>
      <x:c r="L62" s="14"/>
      <x:c r="M62" s="14"/>
      <x:c r="N62" s="14"/>
      <x:c r="O62" s="14"/>
      <x:c r="P62" s="14"/>
      <x:c r="Q62" s="14"/>
      <x:c r="R62" s="14"/>
      <x:c r="S62" s="14"/>
      <x:c r="T62" s="14"/>
      <x:c r="U62" s="14"/>
      <x:c r="V62" s="14"/>
      <x:c r="W62" s="14"/>
      <x:c r="X62" s="14"/>
      <x:c r="Y62" s="14"/>
      <x:c r="Z62" s="14"/>
      <x:c r="AA62" s="14"/>
      <x:c r="AB62" s="14"/>
      <x:c r="AC62" s="14"/>
      <x:c r="AD62" s="14"/>
      <x:c r="AE62" s="14"/>
      <x:c r="AF62" s="14"/>
      <x:c r="AG62" s="14"/>
      <x:c r="AH62" s="14"/>
      <x:c r="AI62" s="14"/>
      <x:c r="AJ62" s="14"/>
      <x:c r="AK62" s="14"/>
      <x:c r="AL62" s="14"/>
      <x:c r="AM62" s="14"/>
      <x:c r="AN62" s="14"/>
      <x:c r="AO62" s="14"/>
      <x:c r="AP62" s="14"/>
      <x:c r="AQ62" s="14"/>
      <x:c r="AR62" s="14"/>
      <x:c r="AS62" s="14"/>
      <x:c r="AT62" s="14"/>
      <x:c r="AU62" s="14"/>
      <x:c r="AV62" s="14"/>
      <x:c r="AW62" s="14"/>
      <x:c r="AX62" s="14"/>
      <x:c r="AY62" s="18" t="str">
        <x:v>鴻緒道冠</x:v>
      </x:c>
      <x:c r="AZ62" s="18" t="str">
        <x:v>明緒道冠</x:v>
      </x:c>
      <x:c r="BA62" s="18" t="str">
        <x:v>正緒道冠</x:v>
      </x:c>
      <x:c r="BB62" s="18" t="str">
        <x:v>定恆禪帽</x:v>
      </x:c>
      <x:c r="BC62" s="14"/>
      <x:c r="BD62" s="18" t="str">
        <x:v>超．智者聖甲</x:v>
      </x:c>
      <x:c r="BE62" s="18" t="str">
        <x:v>超．仁者聖甲</x:v>
      </x:c>
      <x:c r="BF62" s="18" t="str">
        <x:v>超．勇者聖甲</x:v>
      </x:c>
      <x:c r="BG62" s="18" t="str">
        <x:v>超．義者聖甲</x:v>
      </x:c>
      <x:c r="BH62" s="14"/>
      <x:c r="BI62" s="18" t="str">
        <x:v>銀宇幻虹腕</x:v>
      </x:c>
      <x:c r="BJ62" s="18" t="str">
        <x:v>素盞鳴腕‧帝</x:v>
      </x:c>
      <x:c r="BK62" s="18" t="str">
        <x:v>圓桌護手</x:v>
      </x:c>
      <x:c r="BL62" s="18" t="str">
        <x:v>獅王臂甲</x:v>
      </x:c>
      <x:c r="BM62" s="14"/>
      <x:c r="BN62" s="18" t="str">
        <x:v>星儀神遊</x:v>
      </x:c>
      <x:c r="BO62" s="18" t="str">
        <x:v>智法越行</x:v>
      </x:c>
      <x:c r="BP62" s="18" t="str">
        <x:v>寰地仙馳靴</x:v>
      </x:c>
      <x:c r="BQ62" s="18" t="str">
        <x:v>韋駝天足‧帝</x:v>
      </x:c>
      <x:c r="BR62" s="14"/>
      <x:c r="BS62" s="18" t="str">
        <x:v>智仙佛珠</x:v>
      </x:c>
      <x:c r="BT62" s="18" t="str">
        <x:v>風仙佛珠</x:v>
      </x:c>
      <x:c r="BU62" s="18" t="str">
        <x:v>聖玄武之心</x:v>
      </x:c>
      <x:c r="BV62" s="18" t="str">
        <x:v>超戰神護功戒</x:v>
      </x:c>
      <x:c r="BW62" s="14"/>
      <x:c r="BX62" s="14"/>
      <x:c r="BY62" s="14"/>
      <x:c r="BZ62" s="14"/>
      <x:c r="CA62" s="14"/>
      <x:c r="CB62" s="14"/>
      <x:c r="CC62" s="14" t="str">
        <x:v>28811</x:v>
      </x:c>
      <x:c r="CD62" s="14" t="n">
        <x:v>8</x:v>
      </x:c>
      <x:c r="CE62" s="14" t="n">
        <x:v>181</x:v>
      </x:c>
      <x:c r="CF62" s="14" t="n">
        <x:v>181</x:v>
      </x:c>
      <x:c r="CG62" s="14" t="n">
        <x:v>22</x:v>
      </x:c>
      <x:c r="CH62" s="14" t="n">
        <x:v>1</x:v>
      </x:c>
      <x:c r="CI62" s="14" t="str">
        <x:v>未收錄</x:v>
      </x:c>
      <x:c r="CJ62" s="14" t="str">
        <x:v>28812</x:v>
      </x:c>
      <x:c r="CK62" s="14" t="n">
        <x:v>8</x:v>
      </x:c>
      <x:c r="CL62" s="14" t="n">
        <x:v>182</x:v>
      </x:c>
      <x:c r="CM62" s="14" t="n">
        <x:v>182</x:v>
      </x:c>
      <x:c r="CN62" s="14" t="n">
        <x:v>22</x:v>
      </x:c>
      <x:c r="CO62" s="14" t="n">
        <x:v>2</x:v>
      </x:c>
      <x:c r="CP62" s="14" t="str">
        <x:v>未收錄</x:v>
      </x:c>
      <x:c r="CQ62" s="14" t="str">
        <x:v>28813</x:v>
      </x:c>
      <x:c r="CR62" s="14" t="n">
        <x:v>8</x:v>
      </x:c>
      <x:c r="CS62" s="14" t="n">
        <x:v>183</x:v>
      </x:c>
      <x:c r="CT62" s="14" t="n">
        <x:v>183</x:v>
      </x:c>
      <x:c r="CU62" s="14" t="n">
        <x:v>22</x:v>
      </x:c>
      <x:c r="CV62" s="14" t="n">
        <x:v>3</x:v>
      </x:c>
      <x:c r="CW62" s="14" t="str">
        <x:v>未收錄</x:v>
      </x:c>
      <x:c r="CX62" s="14" t="str">
        <x:v>29343</x:v>
      </x:c>
      <x:c r="CY62" s="14" t="n">
        <x:v>8</x:v>
      </x:c>
      <x:c r="CZ62" s="14" t="n">
        <x:v>184</x:v>
      </x:c>
      <x:c r="DA62" s="14" t="n">
        <x:v>184</x:v>
      </x:c>
      <x:c r="DB62" s="14" t="n">
        <x:v>22</x:v>
      </x:c>
      <x:c r="DC62" s="14" t="n">
        <x:v>4</x:v>
      </x:c>
      <x:c r="DD62" s="14" t="str">
        <x:v>未收錄</x:v>
      </x:c>
      <x:c r="DE62" s="14" t="str">
        <x:v>23937</x:v>
      </x:c>
      <x:c r="DF62" s="14" t="n">
        <x:v>10</x:v>
      </x:c>
      <x:c r="DG62" s="14" t="n">
        <x:v>426</x:v>
      </x:c>
      <x:c r="DH62" s="14" t="n">
        <x:v>181</x:v>
      </x:c>
      <x:c r="DI62" s="14" t="n">
        <x:v>22</x:v>
      </x:c>
      <x:c r="DJ62" s="14" t="n">
        <x:v>1</x:v>
      </x:c>
      <x:c r="DK62" s="14" t="str">
        <x:v>未收錄</x:v>
      </x:c>
      <x:c r="DL62" s="14" t="str">
        <x:v>24537</x:v>
      </x:c>
      <x:c r="DM62" s="14" t="n">
        <x:v>10</x:v>
      </x:c>
      <x:c r="DN62" s="14" t="n">
        <x:v>427</x:v>
      </x:c>
      <x:c r="DO62" s="14" t="n">
        <x:v>182</x:v>
      </x:c>
      <x:c r="DP62" s="14" t="n">
        <x:v>22</x:v>
      </x:c>
      <x:c r="DQ62" s="14" t="n">
        <x:v>2</x:v>
      </x:c>
      <x:c r="DR62" s="14" t="str">
        <x:v>未收錄</x:v>
      </x:c>
      <x:c r="DS62" s="14" t="str">
        <x:v>26417</x:v>
      </x:c>
      <x:c r="DT62" s="14" t="n">
        <x:v>10</x:v>
      </x:c>
      <x:c r="DU62" s="14" t="n">
        <x:v>428</x:v>
      </x:c>
      <x:c r="DV62" s="14" t="n">
        <x:v>183</x:v>
      </x:c>
      <x:c r="DW62" s="14" t="n">
        <x:v>22</x:v>
      </x:c>
      <x:c r="DX62" s="14" t="n">
        <x:v>3</x:v>
      </x:c>
      <x:c r="DY62" s="14" t="str">
        <x:v>未收錄</x:v>
      </x:c>
      <x:c r="DZ62" s="14" t="str">
        <x:v>23383</x:v>
      </x:c>
      <x:c r="EA62" s="14" t="n">
        <x:v>20</x:v>
      </x:c>
      <x:c r="EB62" s="14" t="n">
        <x:v>429</x:v>
      </x:c>
      <x:c r="EC62" s="14" t="n">
        <x:v>184</x:v>
      </x:c>
      <x:c r="ED62" s="14" t="n">
        <x:v>22</x:v>
      </x:c>
      <x:c r="EE62" s="14" t="n">
        <x:v>4</x:v>
      </x:c>
      <x:c r="EF62" s="14" t="str">
        <x:v>未收錄</x:v>
      </x:c>
      <x:c r="EG62" s="14"/>
      <x:c r="EH62" s="14"/>
      <x:c r="EI62" s="14"/>
      <x:c r="EJ62" s="14"/>
      <x:c r="EK62" s="14"/>
      <x:c r="EL62" s="14"/>
      <x:c r="EM62" s="14"/>
      <x:c r="EN62" s="14"/>
      <x:c r="EO62" s="14"/>
      <x:c r="EP62" s="14"/>
      <x:c r="EQ62" s="14"/>
      <x:c r="ER62" s="14"/>
      <x:c r="ES62" s="14"/>
      <x:c r="ET62" s="14"/>
      <x:c r="EU62" s="14"/>
      <x:c r="EV62" s="14"/>
      <x:c r="EW62" s="14"/>
      <x:c r="EX62" s="14"/>
      <x:c r="EY62" s="14"/>
      <x:c r="EZ62" s="14"/>
      <x:c r="FA62" s="14"/>
      <x:c r="FB62" s="14"/>
      <x:c r="FC62" s="14"/>
      <x:c r="FD62" s="14"/>
      <x:c r="FE62" s="14"/>
      <x:c r="FF62" s="14"/>
      <x:c r="FG62" s="14"/>
      <x:c r="FH62" s="14"/>
      <x:c r="FI62" s="14"/>
      <x:c r="FJ62" s="14"/>
      <x:c r="FK62" s="14"/>
      <x:c r="FL62" s="14"/>
      <x:c r="FM62" s="14"/>
      <x:c r="FN62" s="14"/>
      <x:c r="FO62" s="14"/>
      <x:c r="FP62" s="14"/>
      <x:c r="FQ62" s="14"/>
      <x:c r="FR62" s="14"/>
      <x:c r="FS62" s="14"/>
      <x:c r="FT62" s="14"/>
      <x:c r="FU62" s="14"/>
      <x:c r="FV62" s="14"/>
      <x:c r="FW62" s="14"/>
      <x:c r="FX62" s="14"/>
      <x:c r="FY62" s="14"/>
      <x:c r="FZ62" s="14"/>
      <x:c r="GA62" s="14"/>
      <x:c r="GB62" s="14"/>
      <x:c r="GC62" s="14"/>
      <x:c r="GD62" s="14"/>
      <x:c r="GE62" s="14"/>
      <x:c r="GF62" s="14"/>
      <x:c r="GG62" s="14"/>
      <x:c r="GH62" s="14"/>
      <x:c r="GI62" s="14"/>
      <x:c r="GJ62" s="14"/>
      <x:c r="GK62" s="14"/>
      <x:c r="GL62" s="14"/>
      <x:c r="GM62" s="14"/>
      <x:c r="GN62" s="14"/>
      <x:c r="GO62" s="14"/>
      <x:c r="GP62" s="14"/>
      <x:c r="GQ62" s="14"/>
      <x:c r="GR62" s="14"/>
      <x:c r="GS62" s="14"/>
      <x:c r="GT62" s="14"/>
      <x:c r="GU62" s="14"/>
      <x:c r="GV62" s="14"/>
      <x:c r="GW62" s="14"/>
      <x:c r="GX62" s="14"/>
      <x:c r="GY62" s="14"/>
      <x:c r="GZ62" s="14"/>
      <x:c r="HA62" s="14"/>
      <x:c r="HB62" s="14"/>
      <x:c r="HC62" s="14"/>
      <x:c r="HD62" s="14"/>
      <x:c r="HE62" s="14"/>
      <x:c r="HF62" s="14"/>
      <x:c r="HG62" s="14"/>
      <x:c r="HH62" s="14"/>
      <x:c r="HI62" s="14"/>
      <x:c r="HJ62" s="14"/>
      <x:c r="HK62" s="14"/>
      <x:c r="HL62" s="14"/>
      <x:c r="HM62" s="14"/>
      <x:c r="HN62" s="14"/>
      <x:c r="HO62" s="14"/>
      <x:c r="HP62" s="14"/>
      <x:c r="HQ62" s="14"/>
      <x:c r="HR62" s="14"/>
      <x:c r="HS62" s="14"/>
      <x:c r="HT62" s="14"/>
      <x:c r="HU62" s="14"/>
      <x:c r="HV62" s="14"/>
      <x:c r="HW62" s="14"/>
      <x:c r="HX62" s="14"/>
      <x:c r="HY62" s="14"/>
      <x:c r="HZ62" s="14"/>
      <x:c r="IA62" s="14"/>
      <x:c r="IB62" s="14"/>
      <x:c r="IC62" s="14"/>
      <x:c r="ID62" s="14"/>
      <x:c r="IE62" s="14"/>
      <x:c r="IF62" s="14"/>
      <x:c r="IG62" s="14"/>
      <x:c r="IH62" s="14"/>
      <x:c r="II62" s="14"/>
      <x:c r="IJ62" s="14"/>
      <x:c r="IK62" s="14"/>
      <x:c r="IL62" s="14"/>
      <x:c r="IM62" s="14"/>
      <x:c r="IN62" s="14"/>
      <x:c r="IO62" s="14"/>
      <x:c r="IP62" s="14"/>
      <x:c r="IQ62" s="14"/>
      <x:c r="IR62" s="14"/>
      <x:c r="IS62" s="14"/>
      <x:c r="IT62" s="14"/>
      <x:c r="IU62" s="14"/>
      <x:c r="IV62" s="14"/>
      <x:c r="IW62" s="14"/>
      <x:c r="IX62" s="14"/>
      <x:c r="IY62" s="14"/>
      <x:c r="IZ62" s="14"/>
      <x:c r="JA62" s="14"/>
      <x:c r="JB62" s="14"/>
      <x:c r="JC62" s="14"/>
      <x:c r="JD62" s="14"/>
      <x:c r="JE62" s="14"/>
      <x:c r="JF62" s="14"/>
      <x:c r="JG62" s="14"/>
      <x:c r="JH62" s="14"/>
      <x:c r="JI62" s="14"/>
      <x:c r="JJ62" s="14"/>
      <x:c r="JK62" s="14"/>
      <x:c r="JL62" s="14"/>
      <x:c r="JM62" s="14"/>
      <x:c r="JN62" s="14"/>
      <x:c r="JO62" s="14"/>
      <x:c r="JP62" s="14"/>
      <x:c r="JQ62" s="14"/>
      <x:c r="JR62" s="14"/>
      <x:c r="JS62" s="14"/>
      <x:c r="JT62" s="14"/>
      <x:c r="JU62" s="14"/>
      <x:c r="JV62" s="14"/>
      <x:c r="JW62" s="14"/>
      <x:c r="JX62" s="14"/>
      <x:c r="JY62" s="14"/>
      <x:c r="JZ62" s="14"/>
      <x:c r="KA62" s="14"/>
      <x:c r="KB62" s="14"/>
      <x:c r="KC62" s="14"/>
      <x:c r="KD62" s="14"/>
      <x:c r="KE62" s="14"/>
      <x:c r="KF62" s="14"/>
      <x:c r="KG62" s="14"/>
      <x:c r="KH62" s="14"/>
      <x:c r="KI62" s="14"/>
      <x:c r="KJ62" s="14"/>
      <x:c r="KK62" s="14"/>
      <x:c r="KL62" s="14"/>
      <x:c r="KM62" s="14"/>
      <x:c r="KN62" s="14"/>
      <x:c r="KO62" s="14"/>
      <x:c r="KP62" s="14"/>
      <x:c r="KQ62" s="14"/>
      <x:c r="KR62" s="14"/>
      <x:c r="KS62" s="14"/>
      <x:c r="KT62" s="14"/>
      <x:c r="KU62" s="14"/>
      <x:c r="KV62" s="14"/>
      <x:c r="KW62" s="14"/>
      <x:c r="KX62" s="14"/>
      <x:c r="KY62" s="14"/>
      <x:c r="KZ62" s="14"/>
      <x:c r="LA62" s="14"/>
      <x:c r="LB62" s="14"/>
      <x:c r="LC62" s="14"/>
      <x:c r="LD62" s="14"/>
      <x:c r="LE62" s="14"/>
      <x:c r="LF62" s="14"/>
      <x:c r="LG62" s="14"/>
      <x:c r="LH62" s="14"/>
      <x:c r="LI62" s="14"/>
      <x:c r="LJ62" s="14"/>
      <x:c r="LK62" s="14"/>
      <x:c r="LL62" s="14"/>
      <x:c r="LM62" s="14"/>
      <x:c r="LN62" s="14"/>
      <x:c r="LO62" s="14"/>
      <x:c r="LP62" s="14"/>
      <x:c r="LQ62" s="14"/>
      <x:c r="LR62" s="14"/>
      <x:c r="LS62" s="14"/>
      <x:c r="LT62" s="14"/>
      <x:c r="LU62" s="14"/>
      <x:c r="LV62" s="14"/>
      <x:c r="LW62" s="14"/>
      <x:c r="LX62" s="14"/>
      <x:c r="LY62" s="14"/>
      <x:c r="LZ62" s="14"/>
      <x:c r="MA62" s="14"/>
      <x:c r="MB62" s="14"/>
      <x:c r="MC62" s="14"/>
      <x:c r="MD62" s="14"/>
      <x:c r="ME62" s="14"/>
      <x:c r="MF62" s="14"/>
      <x:c r="MG62" s="14"/>
      <x:c r="MH62" s="14"/>
      <x:c r="MI62" s="14"/>
      <x:c r="MJ62" s="14"/>
      <x:c r="MK62" s="14"/>
      <x:c r="ML62" s="14"/>
      <x:c r="MM62" s="14"/>
      <x:c r="MN62" s="14"/>
      <x:c r="MO62" s="14"/>
      <x:c r="MP62" s="14"/>
      <x:c r="MQ62" s="14"/>
      <x:c r="MR62" s="14"/>
      <x:c r="MS62" s="14"/>
      <x:c r="MT62" s="14"/>
      <x:c r="MU62" s="14"/>
      <x:c r="MV62" s="14"/>
      <x:c r="MW62" s="14" t="str">
        <x:v>24433</x:v>
      </x:c>
      <x:c r="MX62" s="14" t="n">
        <x:v>5</x:v>
      </x:c>
      <x:c r="MY62" s="14" t="n">
        <x:v>1829</x:v>
      </x:c>
      <x:c r="MZ62" s="14" t="n">
        <x:v>181</x:v>
      </x:c>
      <x:c r="NA62" s="14" t="n">
        <x:v>22</x:v>
      </x:c>
      <x:c r="NB62" s="14" t="n">
        <x:v>1</x:v>
      </x:c>
      <x:c r="NC62" s="14" t="str">
        <x:v>未收錄</x:v>
      </x:c>
      <x:c r="ND62" s="14" t="str">
        <x:v>24434</x:v>
      </x:c>
      <x:c r="NE62" s="14" t="n">
        <x:v>5</x:v>
      </x:c>
      <x:c r="NF62" s="14" t="n">
        <x:v>1830</x:v>
      </x:c>
      <x:c r="NG62" s="14" t="n">
        <x:v>182</x:v>
      </x:c>
      <x:c r="NH62" s="14" t="n">
        <x:v>22</x:v>
      </x:c>
      <x:c r="NI62" s="14" t="n">
        <x:v>2</x:v>
      </x:c>
      <x:c r="NJ62" s="14" t="str">
        <x:v>未收錄</x:v>
      </x:c>
      <x:c r="NK62" s="14" t="str">
        <x:v>24435</x:v>
      </x:c>
      <x:c r="NL62" s="14" t="n">
        <x:v>5</x:v>
      </x:c>
      <x:c r="NM62" s="14" t="n">
        <x:v>1831</x:v>
      </x:c>
      <x:c r="NN62" s="14" t="n">
        <x:v>183</x:v>
      </x:c>
      <x:c r="NO62" s="14" t="n">
        <x:v>22</x:v>
      </x:c>
      <x:c r="NP62" s="14" t="n">
        <x:v>3</x:v>
      </x:c>
      <x:c r="NQ62" s="14" t="str">
        <x:v>未收錄</x:v>
      </x:c>
      <x:c r="NR62" s="14" t="str">
        <x:v>24436</x:v>
      </x:c>
      <x:c r="NS62" s="14" t="n">
        <x:v>5</x:v>
      </x:c>
      <x:c r="NT62" s="14" t="n">
        <x:v>1832</x:v>
      </x:c>
      <x:c r="NU62" s="14" t="n">
        <x:v>184</x:v>
      </x:c>
      <x:c r="NV62" s="14" t="n">
        <x:v>22</x:v>
      </x:c>
      <x:c r="NW62" s="14" t="n">
        <x:v>4</x:v>
      </x:c>
      <x:c r="NX62" s="14" t="str">
        <x:v>未收錄</x:v>
      </x:c>
      <x:c r="NY62" s="14" t="str">
        <x:v>24250</x:v>
      </x:c>
      <x:c r="NZ62" s="14" t="n">
        <x:v>10</x:v>
      </x:c>
      <x:c r="OA62" s="14" t="n">
        <x:v>2282</x:v>
      </x:c>
      <x:c r="OB62" s="14" t="n">
        <x:v>181</x:v>
      </x:c>
      <x:c r="OC62" s="14" t="n">
        <x:v>22</x:v>
      </x:c>
      <x:c r="OD62" s="14" t="n">
        <x:v>1</x:v>
      </x:c>
      <x:c r="OE62" s="14" t="str">
        <x:v>未收錄</x:v>
      </x:c>
      <x:c r="OF62" s="14" t="str">
        <x:v>24251</x:v>
      </x:c>
      <x:c r="OG62" s="14" t="n">
        <x:v>10</x:v>
      </x:c>
      <x:c r="OH62" s="14" t="n">
        <x:v>2283</x:v>
      </x:c>
      <x:c r="OI62" s="14" t="n">
        <x:v>182</x:v>
      </x:c>
      <x:c r="OJ62" s="14" t="n">
        <x:v>22</x:v>
      </x:c>
      <x:c r="OK62" s="14" t="n">
        <x:v>2</x:v>
      </x:c>
      <x:c r="OL62" s="14" t="str">
        <x:v>未收錄</x:v>
      </x:c>
      <x:c r="OM62" s="14" t="str">
        <x:v>24253</x:v>
      </x:c>
      <x:c r="ON62" s="14" t="n">
        <x:v>10</x:v>
      </x:c>
      <x:c r="OO62" s="14" t="n">
        <x:v>2284</x:v>
      </x:c>
      <x:c r="OP62" s="14" t="n">
        <x:v>183</x:v>
      </x:c>
      <x:c r="OQ62" s="14" t="n">
        <x:v>22</x:v>
      </x:c>
      <x:c r="OR62" s="14" t="n">
        <x:v>3</x:v>
      </x:c>
      <x:c r="OS62" s="14" t="str">
        <x:v>未收錄</x:v>
      </x:c>
      <x:c r="OT62" s="14" t="str">
        <x:v>24252</x:v>
      </x:c>
      <x:c r="OU62" s="14" t="n">
        <x:v>10</x:v>
      </x:c>
      <x:c r="OV62" s="14" t="n">
        <x:v>2285</x:v>
      </x:c>
      <x:c r="OW62" s="14" t="n">
        <x:v>184</x:v>
      </x:c>
      <x:c r="OX62" s="14" t="n">
        <x:v>22</x:v>
      </x:c>
      <x:c r="OY62" s="14" t="n">
        <x:v>4</x:v>
      </x:c>
      <x:c r="OZ62" s="14" t="str">
        <x:v>未收錄</x:v>
      </x:c>
      <x:c r="PA62" s="14" t="str">
        <x:v>24768</x:v>
      </x:c>
      <x:c r="PB62" s="14" t="n">
        <x:v>10</x:v>
      </x:c>
      <x:c r="PC62" s="14" t="n">
        <x:v>2828</x:v>
      </x:c>
      <x:c r="PD62" s="14" t="n">
        <x:v>181</x:v>
      </x:c>
      <x:c r="PE62" s="14" t="n">
        <x:v>22</x:v>
      </x:c>
      <x:c r="PF62" s="14" t="n">
        <x:v>1</x:v>
      </x:c>
      <x:c r="PG62" s="14" t="str">
        <x:v>未收錄</x:v>
      </x:c>
      <x:c r="PH62" s="14" t="str">
        <x:v>24980</x:v>
      </x:c>
      <x:c r="PI62" s="14" t="n">
        <x:v>10</x:v>
      </x:c>
      <x:c r="PJ62" s="14" t="n">
        <x:v>2829</x:v>
      </x:c>
      <x:c r="PK62" s="14" t="n">
        <x:v>182</x:v>
      </x:c>
      <x:c r="PL62" s="14" t="n">
        <x:v>22</x:v>
      </x:c>
      <x:c r="PM62" s="14" t="n">
        <x:v>2</x:v>
      </x:c>
      <x:c r="PN62" s="14" t="str">
        <x:v>未收錄</x:v>
      </x:c>
      <x:c r="PO62" s="14" t="str">
        <x:v>26026</x:v>
      </x:c>
      <x:c r="PP62" s="14" t="n">
        <x:v>5</x:v>
      </x:c>
      <x:c r="PQ62" s="14" t="n">
        <x:v>2830</x:v>
      </x:c>
      <x:c r="PR62" s="14" t="n">
        <x:v>183</x:v>
      </x:c>
      <x:c r="PS62" s="14" t="n">
        <x:v>22</x:v>
      </x:c>
      <x:c r="PT62" s="14" t="n">
        <x:v>3</x:v>
      </x:c>
      <x:c r="PU62" s="14" t="str">
        <x:v>未收錄</x:v>
      </x:c>
      <x:c r="PV62" s="14" t="str">
        <x:v>26027</x:v>
      </x:c>
      <x:c r="PW62" s="14" t="n">
        <x:v>5</x:v>
      </x:c>
      <x:c r="PX62" s="14" t="n">
        <x:v>2831</x:v>
      </x:c>
      <x:c r="PY62" s="14" t="n">
        <x:v>184</x:v>
      </x:c>
      <x:c r="PZ62" s="14" t="n">
        <x:v>22</x:v>
      </x:c>
      <x:c r="QA62" s="14" t="n">
        <x:v>4</x:v>
      </x:c>
      <x:c r="QB62" s="14" t="str">
        <x:v>未收錄</x:v>
      </x:c>
      <x:c r="QC62" s="14" t="str">
        <x:v>24609</x:v>
      </x:c>
      <x:c r="QD62" s="14" t="n">
        <x:v>5</x:v>
      </x:c>
      <x:c r="QE62" s="14" t="n">
        <x:v>3265</x:v>
      </x:c>
      <x:c r="QF62" s="14" t="n">
        <x:v>181</x:v>
      </x:c>
      <x:c r="QG62" s="14" t="n">
        <x:v>22</x:v>
      </x:c>
      <x:c r="QH62" s="14" t="n">
        <x:v>1</x:v>
      </x:c>
      <x:c r="QI62" s="14" t="str">
        <x:v>未收錄</x:v>
      </x:c>
      <x:c r="QJ62" s="14" t="str">
        <x:v>24610</x:v>
      </x:c>
      <x:c r="QK62" s="14" t="n">
        <x:v>5</x:v>
      </x:c>
      <x:c r="QL62" s="14" t="n">
        <x:v>3266</x:v>
      </x:c>
      <x:c r="QM62" s="14" t="n">
        <x:v>182</x:v>
      </x:c>
      <x:c r="QN62" s="14" t="n">
        <x:v>22</x:v>
      </x:c>
      <x:c r="QO62" s="14" t="n">
        <x:v>2</x:v>
      </x:c>
      <x:c r="QP62" s="14" t="str">
        <x:v>未收錄</x:v>
      </x:c>
      <x:c r="QQ62" s="14" t="str">
        <x:v>24769</x:v>
      </x:c>
      <x:c r="QR62" s="14" t="n">
        <x:v>10</x:v>
      </x:c>
      <x:c r="QS62" s="14" t="n">
        <x:v>3267</x:v>
      </x:c>
      <x:c r="QT62" s="14" t="n">
        <x:v>183</x:v>
      </x:c>
      <x:c r="QU62" s="14" t="n">
        <x:v>22</x:v>
      </x:c>
      <x:c r="QV62" s="14" t="n">
        <x:v>3</x:v>
      </x:c>
      <x:c r="QW62" s="14" t="str">
        <x:v>未收錄</x:v>
      </x:c>
      <x:c r="QX62" s="14" t="str">
        <x:v>24981</x:v>
      </x:c>
      <x:c r="QY62" s="14" t="n">
        <x:v>10</x:v>
      </x:c>
      <x:c r="QZ62" s="14" t="n">
        <x:v>3268</x:v>
      </x:c>
      <x:c r="RA62" s="14" t="n">
        <x:v>184</x:v>
      </x:c>
      <x:c r="RB62" s="14" t="n">
        <x:v>22</x:v>
      </x:c>
      <x:c r="RC62" s="14" t="n">
        <x:v>4</x:v>
      </x:c>
      <x:c r="RD62" s="14" t="str">
        <x:v>未收錄</x:v>
      </x:c>
      <x:c r="RE62" s="14" t="str">
        <x:v>26778</x:v>
      </x:c>
      <x:c r="RF62" s="14" t="n">
        <x:v>3</x:v>
      </x:c>
      <x:c r="RG62" s="14" t="n">
        <x:v>3726</x:v>
      </x:c>
      <x:c r="RH62" s="14" t="n">
        <x:v>181</x:v>
      </x:c>
      <x:c r="RI62" s="14" t="n">
        <x:v>22</x:v>
      </x:c>
      <x:c r="RJ62" s="14" t="n">
        <x:v>1</x:v>
      </x:c>
      <x:c r="RK62" s="14" t="str">
        <x:v>未收錄</x:v>
      </x:c>
      <x:c r="RL62" s="14" t="str">
        <x:v>26779</x:v>
      </x:c>
      <x:c r="RM62" s="14" t="n">
        <x:v>3</x:v>
      </x:c>
      <x:c r="RN62" s="14" t="n">
        <x:v>3727</x:v>
      </x:c>
      <x:c r="RO62" s="14" t="n">
        <x:v>182</x:v>
      </x:c>
      <x:c r="RP62" s="14" t="n">
        <x:v>22</x:v>
      </x:c>
      <x:c r="RQ62" s="14" t="n">
        <x:v>2</x:v>
      </x:c>
      <x:c r="RR62" s="14" t="str">
        <x:v>未收錄</x:v>
      </x:c>
      <x:c r="RS62" s="14" t="str">
        <x:v>26816</x:v>
      </x:c>
      <x:c r="RT62" s="14" t="n">
        <x:v>5</x:v>
      </x:c>
      <x:c r="RU62" s="14" t="n">
        <x:v>3728</x:v>
      </x:c>
      <x:c r="RV62" s="14" t="n">
        <x:v>183</x:v>
      </x:c>
      <x:c r="RW62" s="14" t="n">
        <x:v>22</x:v>
      </x:c>
      <x:c r="RX62" s="14" t="n">
        <x:v>3</x:v>
      </x:c>
      <x:c r="RY62" s="14" t="str">
        <x:v>未收錄</x:v>
      </x:c>
      <x:c r="RZ62" s="14" t="str">
        <x:v>26801</x:v>
      </x:c>
      <x:c r="SA62" s="14" t="n">
        <x:v>10</x:v>
      </x:c>
      <x:c r="SB62" s="14" t="n">
        <x:v>3729</x:v>
      </x:c>
      <x:c r="SC62" s="14" t="n">
        <x:v>184</x:v>
      </x:c>
      <x:c r="SD62" s="14" t="n">
        <x:v>22</x:v>
      </x:c>
      <x:c r="SE62" s="14" t="n">
        <x:v>4</x:v>
      </x:c>
      <x:c r="SF62" s="14" t="str">
        <x:v>未收錄</x:v>
      </x:c>
      <x:c r="SG62" s="14"/>
      <x:c r="SH62" s="14"/>
      <x:c r="SI62" s="14"/>
      <x:c r="SJ62" s="14"/>
      <x:c r="SK62" s="14"/>
      <x:c r="SL62" s="14"/>
      <x:c r="SM62" s="14"/>
      <x:c r="SN62" s="14"/>
      <x:c r="SO62" s="14"/>
      <x:c r="SP62" s="14"/>
      <x:c r="SQ62" s="14"/>
      <x:c r="SR62" s="14"/>
      <x:c r="SS62" s="14"/>
      <x:c r="ST62" s="14"/>
      <x:c r="SU62" s="14"/>
      <x:c r="SV62" s="14"/>
      <x:c r="SW62" s="14"/>
      <x:c r="SX62" s="14"/>
      <x:c r="SY62" s="14"/>
      <x:c r="SZ62" s="14"/>
      <x:c r="TA62" s="14"/>
      <x:c r="TB62" s="14"/>
      <x:c r="TC62" s="14"/>
      <x:c r="TD62" s="14"/>
      <x:c r="TE62" s="14"/>
      <x:c r="TF62" s="14"/>
      <x:c r="TG62" s="14"/>
      <x:c r="TH62" s="14"/>
    </x:row>
    <x:row r="63" ht="15" customHeight="1">
      <x:c r="A63" s="17" t="str">
        <x:v>帝詔劍★</x:v>
      </x:c>
      <x:c r="B63" s="17" t="str">
        <x:v>帝詔劍★☆</x:v>
      </x:c>
      <x:c r="C63" s="17" t="str">
        <x:v>帝詔劍★★</x:v>
      </x:c>
      <x:c r="D63" s="17" t="str">
        <x:v>帝詔劍★★☆</x:v>
      </x:c>
      <x:c r="E63" s="14"/>
      <x:c r="F63" s="17" t="str">
        <x:v>蒼龍墜星刀</x:v>
      </x:c>
      <x:c r="G63" s="17" t="str">
        <x:v>天元武冠刀</x:v>
      </x:c>
      <x:c r="H63" s="17" t="str">
        <x:v>金獅御皇刀</x:v>
      </x:c>
      <x:c r="I63" s="17" t="str">
        <x:v>波塞頓聖刀</x:v>
      </x:c>
      <x:c r="J63" s="14"/>
      <x:c r="K63" s="14"/>
      <x:c r="L63" s="14"/>
      <x:c r="M63" s="14"/>
      <x:c r="N63" s="14"/>
      <x:c r="O63" s="14"/>
      <x:c r="P63" s="14"/>
      <x:c r="Q63" s="14"/>
      <x:c r="R63" s="14"/>
      <x:c r="S63" s="14"/>
      <x:c r="T63" s="14"/>
      <x:c r="U63" s="14"/>
      <x:c r="V63" s="14"/>
      <x:c r="W63" s="14"/>
      <x:c r="X63" s="14"/>
      <x:c r="Y63" s="14"/>
      <x:c r="Z63" s="14"/>
      <x:c r="AA63" s="14"/>
      <x:c r="AB63" s="14"/>
      <x:c r="AC63" s="14"/>
      <x:c r="AD63" s="14"/>
      <x:c r="AE63" s="14"/>
      <x:c r="AF63" s="14"/>
      <x:c r="AG63" s="14"/>
      <x:c r="AH63" s="14"/>
      <x:c r="AI63" s="14"/>
      <x:c r="AJ63" s="14"/>
      <x:c r="AK63" s="14"/>
      <x:c r="AL63" s="14"/>
      <x:c r="AM63" s="14"/>
      <x:c r="AN63" s="14"/>
      <x:c r="AO63" s="14"/>
      <x:c r="AP63" s="14"/>
      <x:c r="AQ63" s="14"/>
      <x:c r="AR63" s="14"/>
      <x:c r="AS63" s="14"/>
      <x:c r="AT63" s="14"/>
      <x:c r="AU63" s="14"/>
      <x:c r="AV63" s="14"/>
      <x:c r="AW63" s="14"/>
      <x:c r="AX63" s="14"/>
      <x:c r="AY63" s="17" t="str">
        <x:v>常恆禪帽</x:v>
      </x:c>
      <x:c r="AZ63" s="17" t="str">
        <x:v>念恆禪帽</x:v>
      </x:c>
      <x:c r="BA63" s="17" t="str">
        <x:v>希亞劍巾</x:v>
      </x:c>
      <x:c r="BB63" s="17" t="str">
        <x:v>花剌鋼盔</x:v>
      </x:c>
      <x:c r="BC63" s="14"/>
      <x:c r="BD63" s="17" t="str">
        <x:v>廣宙太儀甲</x:v>
      </x:c>
      <x:c r="BE63" s="17" t="str">
        <x:v>天狗法衣‧絕</x:v>
      </x:c>
      <x:c r="BF63" s="17" t="str">
        <x:v>三合聖衣</x:v>
      </x:c>
      <x:c r="BG63" s="17" t="str">
        <x:v>軍星鋼鎧</x:v>
      </x:c>
      <x:c r="BH63" s="14"/>
      <x:c r="BI63" s="17" t="str">
        <x:v>夜龍腕甲</x:v>
      </x:c>
      <x:c r="BJ63" s="17" t="str">
        <x:v>沐聖道腕</x:v>
      </x:c>
      <x:c r="BK63" s="17" t="str">
        <x:v>典儀禪腕</x:v>
      </x:c>
      <x:c r="BL63" s="17" t="str">
        <x:v>龍閣護手</x:v>
      </x:c>
      <x:c r="BM63" s="14"/>
      <x:c r="BN63" s="17" t="str">
        <x:v>流星疾靴</x:v>
      </x:c>
      <x:c r="BO63" s="17" t="str">
        <x:v>圓桌戰靴</x:v>
      </x:c>
      <x:c r="BP63" s="17" t="str">
        <x:v>獅王重靴</x:v>
      </x:c>
      <x:c r="BQ63" s="17" t="str">
        <x:v>夜龍脛甲</x:v>
      </x:c>
      <x:c r="BR63" s="14"/>
      <x:c r="BS63" s="17" t="str">
        <x:v>九黎星羅鎖</x:v>
      </x:c>
      <x:c r="BT63" s="17" t="str">
        <x:v>絕‧六滅化神</x:v>
      </x:c>
      <x:c r="BU63" s="17" t="str">
        <x:v>天鍛‧青龍戒</x:v>
      </x:c>
      <x:c r="BV63" s="17" t="str">
        <x:v>天鍛‧白虎玉</x:v>
      </x:c>
      <x:c r="BW63" s="14"/>
      <x:c r="BX63" s="14"/>
      <x:c r="BY63" s="14"/>
      <x:c r="BZ63" s="14"/>
      <x:c r="CA63" s="14"/>
      <x:c r="CB63" s="14"/>
      <x:c r="CC63" s="14" t="str">
        <x:v>29344</x:v>
      </x:c>
      <x:c r="CD63" s="14" t="n">
        <x:v>8</x:v>
      </x:c>
      <x:c r="CE63" s="14" t="n">
        <x:v>185</x:v>
      </x:c>
      <x:c r="CF63" s="14" t="n">
        <x:v>185</x:v>
      </x:c>
      <x:c r="CG63" s="14" t="n">
        <x:v>23</x:v>
      </x:c>
      <x:c r="CH63" s="14" t="n">
        <x:v>1</x:v>
      </x:c>
      <x:c r="CI63" s="14" t="str">
        <x:v>未收錄</x:v>
      </x:c>
      <x:c r="CJ63" s="14" t="str">
        <x:v>29345</x:v>
      </x:c>
      <x:c r="CK63" s="14" t="n">
        <x:v>8</x:v>
      </x:c>
      <x:c r="CL63" s="14" t="n">
        <x:v>186</x:v>
      </x:c>
      <x:c r="CM63" s="14" t="n">
        <x:v>186</x:v>
      </x:c>
      <x:c r="CN63" s="14" t="n">
        <x:v>23</x:v>
      </x:c>
      <x:c r="CO63" s="14" t="n">
        <x:v>2</x:v>
      </x:c>
      <x:c r="CP63" s="14" t="str">
        <x:v>未收錄</x:v>
      </x:c>
      <x:c r="CQ63" s="14" t="str">
        <x:v>29346</x:v>
      </x:c>
      <x:c r="CR63" s="14" t="n">
        <x:v>8</x:v>
      </x:c>
      <x:c r="CS63" s="14" t="n">
        <x:v>187</x:v>
      </x:c>
      <x:c r="CT63" s="14" t="n">
        <x:v>187</x:v>
      </x:c>
      <x:c r="CU63" s="14" t="n">
        <x:v>23</x:v>
      </x:c>
      <x:c r="CV63" s="14" t="n">
        <x:v>3</x:v>
      </x:c>
      <x:c r="CW63" s="14" t="str">
        <x:v>未收錄</x:v>
      </x:c>
      <x:c r="CX63" s="14" t="str">
        <x:v>29347</x:v>
      </x:c>
      <x:c r="CY63" s="14" t="n">
        <x:v>8</x:v>
      </x:c>
      <x:c r="CZ63" s="14" t="n">
        <x:v>188</x:v>
      </x:c>
      <x:c r="DA63" s="14" t="n">
        <x:v>188</x:v>
      </x:c>
      <x:c r="DB63" s="14" t="n">
        <x:v>23</x:v>
      </x:c>
      <x:c r="DC63" s="14" t="n">
        <x:v>4</x:v>
      </x:c>
      <x:c r="DD63" s="14" t="str">
        <x:v>未收錄</x:v>
      </x:c>
      <x:c r="DE63" s="14" t="str">
        <x:v>23776</x:v>
      </x:c>
      <x:c r="DF63" s="14" t="n">
        <x:v>20</x:v>
      </x:c>
      <x:c r="DG63" s="14" t="n">
        <x:v>430</x:v>
      </x:c>
      <x:c r="DH63" s="14" t="n">
        <x:v>185</x:v>
      </x:c>
      <x:c r="DI63" s="14" t="n">
        <x:v>23</x:v>
      </x:c>
      <x:c r="DJ63" s="14" t="n">
        <x:v>1</x:v>
      </x:c>
      <x:c r="DK63" s="14" t="str">
        <x:v>未收錄</x:v>
      </x:c>
      <x:c r="DL63" s="14" t="str">
        <x:v>24243</x:v>
      </x:c>
      <x:c r="DM63" s="14" t="n">
        <x:v>20</x:v>
      </x:c>
      <x:c r="DN63" s="14" t="n">
        <x:v>431</x:v>
      </x:c>
      <x:c r="DO63" s="14" t="n">
        <x:v>186</x:v>
      </x:c>
      <x:c r="DP63" s="14" t="n">
        <x:v>23</x:v>
      </x:c>
      <x:c r="DQ63" s="14" t="n">
        <x:v>2</x:v>
      </x:c>
      <x:c r="DR63" s="14" t="str">
        <x:v>未收錄</x:v>
      </x:c>
      <x:c r="DS63" s="14" t="str">
        <x:v>24759</x:v>
      </x:c>
      <x:c r="DT63" s="14" t="n">
        <x:v>20</x:v>
      </x:c>
      <x:c r="DU63" s="14" t="n">
        <x:v>432</x:v>
      </x:c>
      <x:c r="DV63" s="14" t="n">
        <x:v>187</x:v>
      </x:c>
      <x:c r="DW63" s="14" t="n">
        <x:v>23</x:v>
      </x:c>
      <x:c r="DX63" s="14" t="n">
        <x:v>3</x:v>
      </x:c>
      <x:c r="DY63" s="14" t="str">
        <x:v>未收錄</x:v>
      </x:c>
      <x:c r="DZ63" s="14" t="str">
        <x:v>26288</x:v>
      </x:c>
      <x:c r="EA63" s="14" t="n">
        <x:v>20</x:v>
      </x:c>
      <x:c r="EB63" s="14" t="n">
        <x:v>433</x:v>
      </x:c>
      <x:c r="EC63" s="14" t="n">
        <x:v>188</x:v>
      </x:c>
      <x:c r="ED63" s="14" t="n">
        <x:v>23</x:v>
      </x:c>
      <x:c r="EE63" s="14" t="n">
        <x:v>4</x:v>
      </x:c>
      <x:c r="EF63" s="14" t="str">
        <x:v>未收錄</x:v>
      </x:c>
      <x:c r="EG63" s="14"/>
      <x:c r="EH63" s="14"/>
      <x:c r="EI63" s="14"/>
      <x:c r="EJ63" s="14"/>
      <x:c r="EK63" s="14"/>
      <x:c r="EL63" s="14"/>
      <x:c r="EM63" s="14"/>
      <x:c r="EN63" s="14"/>
      <x:c r="EO63" s="14"/>
      <x:c r="EP63" s="14"/>
      <x:c r="EQ63" s="14"/>
      <x:c r="ER63" s="14"/>
      <x:c r="ES63" s="14"/>
      <x:c r="ET63" s="14"/>
      <x:c r="EU63" s="14"/>
      <x:c r="EV63" s="14"/>
      <x:c r="EW63" s="14"/>
      <x:c r="EX63" s="14"/>
      <x:c r="EY63" s="14"/>
      <x:c r="EZ63" s="14"/>
      <x:c r="FA63" s="14"/>
      <x:c r="FB63" s="14"/>
      <x:c r="FC63" s="14"/>
      <x:c r="FD63" s="14"/>
      <x:c r="FE63" s="14"/>
      <x:c r="FF63" s="14"/>
      <x:c r="FG63" s="14"/>
      <x:c r="FH63" s="14"/>
      <x:c r="FI63" s="14"/>
      <x:c r="FJ63" s="14"/>
      <x:c r="FK63" s="14"/>
      <x:c r="FL63" s="14"/>
      <x:c r="FM63" s="14"/>
      <x:c r="FN63" s="14"/>
      <x:c r="FO63" s="14"/>
      <x:c r="FP63" s="14"/>
      <x:c r="FQ63" s="14"/>
      <x:c r="FR63" s="14"/>
      <x:c r="FS63" s="14"/>
      <x:c r="FT63" s="14"/>
      <x:c r="FU63" s="14"/>
      <x:c r="FV63" s="14"/>
      <x:c r="FW63" s="14"/>
      <x:c r="FX63" s="14"/>
      <x:c r="FY63" s="14"/>
      <x:c r="FZ63" s="14"/>
      <x:c r="GA63" s="14"/>
      <x:c r="GB63" s="14"/>
      <x:c r="GC63" s="14"/>
      <x:c r="GD63" s="14"/>
      <x:c r="GE63" s="14"/>
      <x:c r="GF63" s="14"/>
      <x:c r="GG63" s="14"/>
      <x:c r="GH63" s="14"/>
      <x:c r="GI63" s="14"/>
      <x:c r="GJ63" s="14"/>
      <x:c r="GK63" s="14"/>
      <x:c r="GL63" s="14"/>
      <x:c r="GM63" s="14"/>
      <x:c r="GN63" s="14"/>
      <x:c r="GO63" s="14"/>
      <x:c r="GP63" s="14"/>
      <x:c r="GQ63" s="14"/>
      <x:c r="GR63" s="14"/>
      <x:c r="GS63" s="14"/>
      <x:c r="GT63" s="14"/>
      <x:c r="GU63" s="14"/>
      <x:c r="GV63" s="14"/>
      <x:c r="GW63" s="14"/>
      <x:c r="GX63" s="14"/>
      <x:c r="GY63" s="14"/>
      <x:c r="GZ63" s="14"/>
      <x:c r="HA63" s="14"/>
      <x:c r="HB63" s="14"/>
      <x:c r="HC63" s="14"/>
      <x:c r="HD63" s="14"/>
      <x:c r="HE63" s="14"/>
      <x:c r="HF63" s="14"/>
      <x:c r="HG63" s="14"/>
      <x:c r="HH63" s="14"/>
      <x:c r="HI63" s="14"/>
      <x:c r="HJ63" s="14"/>
      <x:c r="HK63" s="14"/>
      <x:c r="HL63" s="14"/>
      <x:c r="HM63" s="14"/>
      <x:c r="HN63" s="14"/>
      <x:c r="HO63" s="14"/>
      <x:c r="HP63" s="14"/>
      <x:c r="HQ63" s="14"/>
      <x:c r="HR63" s="14"/>
      <x:c r="HS63" s="14"/>
      <x:c r="HT63" s="14"/>
      <x:c r="HU63" s="14"/>
      <x:c r="HV63" s="14"/>
      <x:c r="HW63" s="14"/>
      <x:c r="HX63" s="14"/>
      <x:c r="HY63" s="14"/>
      <x:c r="HZ63" s="14"/>
      <x:c r="IA63" s="14"/>
      <x:c r="IB63" s="14"/>
      <x:c r="IC63" s="14"/>
      <x:c r="ID63" s="14"/>
      <x:c r="IE63" s="14"/>
      <x:c r="IF63" s="14"/>
      <x:c r="IG63" s="14"/>
      <x:c r="IH63" s="14"/>
      <x:c r="II63" s="14"/>
      <x:c r="IJ63" s="14"/>
      <x:c r="IK63" s="14"/>
      <x:c r="IL63" s="14"/>
      <x:c r="IM63" s="14"/>
      <x:c r="IN63" s="14"/>
      <x:c r="IO63" s="14"/>
      <x:c r="IP63" s="14"/>
      <x:c r="IQ63" s="14"/>
      <x:c r="IR63" s="14"/>
      <x:c r="IS63" s="14"/>
      <x:c r="IT63" s="14"/>
      <x:c r="IU63" s="14"/>
      <x:c r="IV63" s="14"/>
      <x:c r="IW63" s="14"/>
      <x:c r="IX63" s="14"/>
      <x:c r="IY63" s="14"/>
      <x:c r="IZ63" s="14"/>
      <x:c r="JA63" s="14"/>
      <x:c r="JB63" s="14"/>
      <x:c r="JC63" s="14"/>
      <x:c r="JD63" s="14"/>
      <x:c r="JE63" s="14"/>
      <x:c r="JF63" s="14"/>
      <x:c r="JG63" s="14"/>
      <x:c r="JH63" s="14"/>
      <x:c r="JI63" s="14"/>
      <x:c r="JJ63" s="14"/>
      <x:c r="JK63" s="14"/>
      <x:c r="JL63" s="14"/>
      <x:c r="JM63" s="14"/>
      <x:c r="JN63" s="14"/>
      <x:c r="JO63" s="14"/>
      <x:c r="JP63" s="14"/>
      <x:c r="JQ63" s="14"/>
      <x:c r="JR63" s="14"/>
      <x:c r="JS63" s="14"/>
      <x:c r="JT63" s="14"/>
      <x:c r="JU63" s="14"/>
      <x:c r="JV63" s="14"/>
      <x:c r="JW63" s="14"/>
      <x:c r="JX63" s="14"/>
      <x:c r="JY63" s="14"/>
      <x:c r="JZ63" s="14"/>
      <x:c r="KA63" s="14"/>
      <x:c r="KB63" s="14"/>
      <x:c r="KC63" s="14"/>
      <x:c r="KD63" s="14"/>
      <x:c r="KE63" s="14"/>
      <x:c r="KF63" s="14"/>
      <x:c r="KG63" s="14"/>
      <x:c r="KH63" s="14"/>
      <x:c r="KI63" s="14"/>
      <x:c r="KJ63" s="14"/>
      <x:c r="KK63" s="14"/>
      <x:c r="KL63" s="14"/>
      <x:c r="KM63" s="14"/>
      <x:c r="KN63" s="14"/>
      <x:c r="KO63" s="14"/>
      <x:c r="KP63" s="14"/>
      <x:c r="KQ63" s="14"/>
      <x:c r="KR63" s="14"/>
      <x:c r="KS63" s="14"/>
      <x:c r="KT63" s="14"/>
      <x:c r="KU63" s="14"/>
      <x:c r="KV63" s="14"/>
      <x:c r="KW63" s="14"/>
      <x:c r="KX63" s="14"/>
      <x:c r="KY63" s="14"/>
      <x:c r="KZ63" s="14"/>
      <x:c r="LA63" s="14"/>
      <x:c r="LB63" s="14"/>
      <x:c r="LC63" s="14"/>
      <x:c r="LD63" s="14"/>
      <x:c r="LE63" s="14"/>
      <x:c r="LF63" s="14"/>
      <x:c r="LG63" s="14"/>
      <x:c r="LH63" s="14"/>
      <x:c r="LI63" s="14"/>
      <x:c r="LJ63" s="14"/>
      <x:c r="LK63" s="14"/>
      <x:c r="LL63" s="14"/>
      <x:c r="LM63" s="14"/>
      <x:c r="LN63" s="14"/>
      <x:c r="LO63" s="14"/>
      <x:c r="LP63" s="14"/>
      <x:c r="LQ63" s="14"/>
      <x:c r="LR63" s="14"/>
      <x:c r="LS63" s="14"/>
      <x:c r="LT63" s="14"/>
      <x:c r="LU63" s="14"/>
      <x:c r="LV63" s="14"/>
      <x:c r="LW63" s="14"/>
      <x:c r="LX63" s="14"/>
      <x:c r="LY63" s="14"/>
      <x:c r="LZ63" s="14"/>
      <x:c r="MA63" s="14"/>
      <x:c r="MB63" s="14"/>
      <x:c r="MC63" s="14"/>
      <x:c r="MD63" s="14"/>
      <x:c r="ME63" s="14"/>
      <x:c r="MF63" s="14"/>
      <x:c r="MG63" s="14"/>
      <x:c r="MH63" s="14"/>
      <x:c r="MI63" s="14"/>
      <x:c r="MJ63" s="14"/>
      <x:c r="MK63" s="14"/>
      <x:c r="ML63" s="14"/>
      <x:c r="MM63" s="14"/>
      <x:c r="MN63" s="14"/>
      <x:c r="MO63" s="14"/>
      <x:c r="MP63" s="14"/>
      <x:c r="MQ63" s="14"/>
      <x:c r="MR63" s="14"/>
      <x:c r="MS63" s="14"/>
      <x:c r="MT63" s="14"/>
      <x:c r="MU63" s="14"/>
      <x:c r="MV63" s="14"/>
      <x:c r="MW63" s="14" t="str">
        <x:v>24437</x:v>
      </x:c>
      <x:c r="MX63" s="14" t="n">
        <x:v>5</x:v>
      </x:c>
      <x:c r="MY63" s="14" t="n">
        <x:v>1833</x:v>
      </x:c>
      <x:c r="MZ63" s="14" t="n">
        <x:v>185</x:v>
      </x:c>
      <x:c r="NA63" s="14" t="n">
        <x:v>23</x:v>
      </x:c>
      <x:c r="NB63" s="14" t="n">
        <x:v>1</x:v>
      </x:c>
      <x:c r="NC63" s="14" t="str">
        <x:v>未收錄</x:v>
      </x:c>
      <x:c r="ND63" s="14" t="str">
        <x:v>24438</x:v>
      </x:c>
      <x:c r="NE63" s="14" t="n">
        <x:v>5</x:v>
      </x:c>
      <x:c r="NF63" s="14" t="n">
        <x:v>1834</x:v>
      </x:c>
      <x:c r="NG63" s="14" t="n">
        <x:v>186</x:v>
      </x:c>
      <x:c r="NH63" s="14" t="n">
        <x:v>23</x:v>
      </x:c>
      <x:c r="NI63" s="14" t="n">
        <x:v>2</x:v>
      </x:c>
      <x:c r="NJ63" s="14" t="str">
        <x:v>未收錄</x:v>
      </x:c>
      <x:c r="NK63" s="14" t="str">
        <x:v>24571</x:v>
      </x:c>
      <x:c r="NL63" s="14" t="n">
        <x:v>5</x:v>
      </x:c>
      <x:c r="NM63" s="14" t="n">
        <x:v>1835</x:v>
      </x:c>
      <x:c r="NN63" s="14" t="n">
        <x:v>187</x:v>
      </x:c>
      <x:c r="NO63" s="14" t="n">
        <x:v>23</x:v>
      </x:c>
      <x:c r="NP63" s="14" t="n">
        <x:v>3</x:v>
      </x:c>
      <x:c r="NQ63" s="14" t="str">
        <x:v>未收錄</x:v>
      </x:c>
      <x:c r="NR63" s="14" t="str">
        <x:v>24572</x:v>
      </x:c>
      <x:c r="NS63" s="14" t="n">
        <x:v>5</x:v>
      </x:c>
      <x:c r="NT63" s="14" t="n">
        <x:v>1836</x:v>
      </x:c>
      <x:c r="NU63" s="14" t="n">
        <x:v>188</x:v>
      </x:c>
      <x:c r="NV63" s="14" t="n">
        <x:v>23</x:v>
      </x:c>
      <x:c r="NW63" s="14" t="n">
        <x:v>4</x:v>
      </x:c>
      <x:c r="NX63" s="14" t="str">
        <x:v>未收錄</x:v>
      </x:c>
      <x:c r="NY63" s="14" t="str">
        <x:v>24767</x:v>
      </x:c>
      <x:c r="NZ63" s="14" t="n">
        <x:v>10</x:v>
      </x:c>
      <x:c r="OA63" s="14" t="n">
        <x:v>2286</x:v>
      </x:c>
      <x:c r="OB63" s="14" t="n">
        <x:v>185</x:v>
      </x:c>
      <x:c r="OC63" s="14" t="n">
        <x:v>23</x:v>
      </x:c>
      <x:c r="OD63" s="14" t="n">
        <x:v>1</x:v>
      </x:c>
      <x:c r="OE63" s="14" t="str">
        <x:v>未收錄</x:v>
      </x:c>
      <x:c r="OF63" s="14" t="str">
        <x:v>24286</x:v>
      </x:c>
      <x:c r="OG63" s="14" t="n">
        <x:v>10</x:v>
      </x:c>
      <x:c r="OH63" s="14" t="n">
        <x:v>2287</x:v>
      </x:c>
      <x:c r="OI63" s="14" t="n">
        <x:v>186</x:v>
      </x:c>
      <x:c r="OJ63" s="14" t="n">
        <x:v>23</x:v>
      </x:c>
      <x:c r="OK63" s="14" t="n">
        <x:v>2</x:v>
      </x:c>
      <x:c r="OL63" s="14" t="str">
        <x:v>未收錄</x:v>
      </x:c>
      <x:c r="OM63" s="14" t="str">
        <x:v>24751</x:v>
      </x:c>
      <x:c r="ON63" s="14" t="n">
        <x:v>10</x:v>
      </x:c>
      <x:c r="OO63" s="14" t="n">
        <x:v>2288</x:v>
      </x:c>
      <x:c r="OP63" s="14" t="n">
        <x:v>187</x:v>
      </x:c>
      <x:c r="OQ63" s="14" t="n">
        <x:v>23</x:v>
      </x:c>
      <x:c r="OR63" s="14" t="n">
        <x:v>3</x:v>
      </x:c>
      <x:c r="OS63" s="14" t="str">
        <x:v>未收錄</x:v>
      </x:c>
      <x:c r="OT63" s="14" t="str">
        <x:v>24439</x:v>
      </x:c>
      <x:c r="OU63" s="14" t="n">
        <x:v>5</x:v>
      </x:c>
      <x:c r="OV63" s="14" t="n">
        <x:v>2289</x:v>
      </x:c>
      <x:c r="OW63" s="14" t="n">
        <x:v>188</x:v>
      </x:c>
      <x:c r="OX63" s="14" t="n">
        <x:v>23</x:v>
      </x:c>
      <x:c r="OY63" s="14" t="n">
        <x:v>4</x:v>
      </x:c>
      <x:c r="OZ63" s="14" t="str">
        <x:v>未收錄</x:v>
      </x:c>
      <x:c r="PA63" s="14" t="str">
        <x:v>26028</x:v>
      </x:c>
      <x:c r="PB63" s="14" t="n">
        <x:v>5</x:v>
      </x:c>
      <x:c r="PC63" s="14" t="n">
        <x:v>2832</x:v>
      </x:c>
      <x:c r="PD63" s="14" t="n">
        <x:v>185</x:v>
      </x:c>
      <x:c r="PE63" s="14" t="n">
        <x:v>23</x:v>
      </x:c>
      <x:c r="PF63" s="14" t="n">
        <x:v>1</x:v>
      </x:c>
      <x:c r="PG63" s="14" t="str">
        <x:v>未收錄</x:v>
      </x:c>
      <x:c r="PH63" s="14" t="str">
        <x:v>26029</x:v>
      </x:c>
      <x:c r="PI63" s="14" t="n">
        <x:v>5</x:v>
      </x:c>
      <x:c r="PJ63" s="14" t="n">
        <x:v>2833</x:v>
      </x:c>
      <x:c r="PK63" s="14" t="n">
        <x:v>186</x:v>
      </x:c>
      <x:c r="PL63" s="14" t="n">
        <x:v>23</x:v>
      </x:c>
      <x:c r="PM63" s="14" t="n">
        <x:v>2</x:v>
      </x:c>
      <x:c r="PN63" s="14" t="str">
        <x:v>未收錄</x:v>
      </x:c>
      <x:c r="PO63" s="14" t="str">
        <x:v>26030</x:v>
      </x:c>
      <x:c r="PP63" s="14" t="n">
        <x:v>5</x:v>
      </x:c>
      <x:c r="PQ63" s="14" t="n">
        <x:v>2834</x:v>
      </x:c>
      <x:c r="PR63" s="14" t="n">
        <x:v>187</x:v>
      </x:c>
      <x:c r="PS63" s="14" t="n">
        <x:v>23</x:v>
      </x:c>
      <x:c r="PT63" s="14" t="n">
        <x:v>3</x:v>
      </x:c>
      <x:c r="PU63" s="14" t="str">
        <x:v>未收錄</x:v>
      </x:c>
      <x:c r="PV63" s="14" t="str">
        <x:v>26031</x:v>
      </x:c>
      <x:c r="PW63" s="14" t="n">
        <x:v>5</x:v>
      </x:c>
      <x:c r="PX63" s="14" t="n">
        <x:v>2835</x:v>
      </x:c>
      <x:c r="PY63" s="14" t="n">
        <x:v>188</x:v>
      </x:c>
      <x:c r="PZ63" s="14" t="n">
        <x:v>23</x:v>
      </x:c>
      <x:c r="QA63" s="14" t="n">
        <x:v>4</x:v>
      </x:c>
      <x:c r="QB63" s="14" t="str">
        <x:v>未收錄</x:v>
      </x:c>
      <x:c r="QC63" s="14" t="str">
        <x:v>24750</x:v>
      </x:c>
      <x:c r="QD63" s="14" t="n">
        <x:v>10</x:v>
      </x:c>
      <x:c r="QE63" s="14" t="n">
        <x:v>3269</x:v>
      </x:c>
      <x:c r="QF63" s="14" t="n">
        <x:v>185</x:v>
      </x:c>
      <x:c r="QG63" s="14" t="n">
        <x:v>23</x:v>
      </x:c>
      <x:c r="QH63" s="14" t="n">
        <x:v>1</x:v>
      </x:c>
      <x:c r="QI63" s="14" t="str">
        <x:v>未收錄</x:v>
      </x:c>
      <x:c r="QJ63" s="14" t="str">
        <x:v>26036</x:v>
      </x:c>
      <x:c r="QK63" s="14" t="n">
        <x:v>5</x:v>
      </x:c>
      <x:c r="QL63" s="14" t="n">
        <x:v>3270</x:v>
      </x:c>
      <x:c r="QM63" s="14" t="n">
        <x:v>186</x:v>
      </x:c>
      <x:c r="QN63" s="14" t="n">
        <x:v>23</x:v>
      </x:c>
      <x:c r="QO63" s="14" t="n">
        <x:v>2</x:v>
      </x:c>
      <x:c r="QP63" s="14" t="str">
        <x:v>未收錄</x:v>
      </x:c>
      <x:c r="QQ63" s="14" t="str">
        <x:v>26037</x:v>
      </x:c>
      <x:c r="QR63" s="14" t="n">
        <x:v>5</x:v>
      </x:c>
      <x:c r="QS63" s="14" t="n">
        <x:v>3271</x:v>
      </x:c>
      <x:c r="QT63" s="14" t="n">
        <x:v>187</x:v>
      </x:c>
      <x:c r="QU63" s="14" t="n">
        <x:v>23</x:v>
      </x:c>
      <x:c r="QV63" s="14" t="n">
        <x:v>3</x:v>
      </x:c>
      <x:c r="QW63" s="14" t="str">
        <x:v>未收錄</x:v>
      </x:c>
      <x:c r="QX63" s="14" t="str">
        <x:v>26038</x:v>
      </x:c>
      <x:c r="QY63" s="14" t="n">
        <x:v>5</x:v>
      </x:c>
      <x:c r="QZ63" s="14" t="n">
        <x:v>3272</x:v>
      </x:c>
      <x:c r="RA63" s="14" t="n">
        <x:v>188</x:v>
      </x:c>
      <x:c r="RB63" s="14" t="n">
        <x:v>23</x:v>
      </x:c>
      <x:c r="RC63" s="14" t="n">
        <x:v>4</x:v>
      </x:c>
      <x:c r="RD63" s="14" t="str">
        <x:v>未收錄</x:v>
      </x:c>
      <x:c r="RE63" s="14" t="str">
        <x:v>26815</x:v>
      </x:c>
      <x:c r="RF63" s="14" t="n">
        <x:v>10</x:v>
      </x:c>
      <x:c r="RG63" s="14" t="n">
        <x:v>3730</x:v>
      </x:c>
      <x:c r="RH63" s="14" t="n">
        <x:v>185</x:v>
      </x:c>
      <x:c r="RI63" s="14" t="n">
        <x:v>23</x:v>
      </x:c>
      <x:c r="RJ63" s="14" t="n">
        <x:v>1</x:v>
      </x:c>
      <x:c r="RK63" s="14" t="str">
        <x:v>未收錄</x:v>
      </x:c>
      <x:c r="RL63" s="14" t="str">
        <x:v>26795</x:v>
      </x:c>
      <x:c r="RM63" s="14" t="n">
        <x:v>10</x:v>
      </x:c>
      <x:c r="RN63" s="14" t="n">
        <x:v>3731</x:v>
      </x:c>
      <x:c r="RO63" s="14" t="n">
        <x:v>186</x:v>
      </x:c>
      <x:c r="RP63" s="14" t="n">
        <x:v>23</x:v>
      </x:c>
      <x:c r="RQ63" s="14" t="n">
        <x:v>2</x:v>
      </x:c>
      <x:c r="RR63" s="14" t="str">
        <x:v>未收錄</x:v>
      </x:c>
      <x:c r="RS63" s="14" t="str">
        <x:v>27154</x:v>
      </x:c>
      <x:c r="RT63" s="14" t="n">
        <x:v>5</x:v>
      </x:c>
      <x:c r="RU63" s="14" t="n">
        <x:v>3732</x:v>
      </x:c>
      <x:c r="RV63" s="14" t="n">
        <x:v>187</x:v>
      </x:c>
      <x:c r="RW63" s="14" t="n">
        <x:v>23</x:v>
      </x:c>
      <x:c r="RX63" s="14" t="n">
        <x:v>3</x:v>
      </x:c>
      <x:c r="RY63" s="14" t="str">
        <x:v>未收錄</x:v>
      </x:c>
      <x:c r="RZ63" s="14" t="str">
        <x:v>27155</x:v>
      </x:c>
      <x:c r="SA63" s="14" t="n">
        <x:v>5</x:v>
      </x:c>
      <x:c r="SB63" s="14" t="n">
        <x:v>3733</x:v>
      </x:c>
      <x:c r="SC63" s="14" t="n">
        <x:v>188</x:v>
      </x:c>
      <x:c r="SD63" s="14" t="n">
        <x:v>23</x:v>
      </x:c>
      <x:c r="SE63" s="14" t="n">
        <x:v>4</x:v>
      </x:c>
      <x:c r="SF63" s="14" t="str">
        <x:v>未收錄</x:v>
      </x:c>
      <x:c r="SG63" s="14"/>
      <x:c r="SH63" s="14"/>
      <x:c r="SI63" s="14"/>
      <x:c r="SJ63" s="14"/>
      <x:c r="SK63" s="14"/>
      <x:c r="SL63" s="14"/>
      <x:c r="SM63" s="14"/>
      <x:c r="SN63" s="14"/>
      <x:c r="SO63" s="14"/>
      <x:c r="SP63" s="14"/>
      <x:c r="SQ63" s="14"/>
      <x:c r="SR63" s="14"/>
      <x:c r="SS63" s="14"/>
      <x:c r="ST63" s="14"/>
      <x:c r="SU63" s="14"/>
      <x:c r="SV63" s="14"/>
      <x:c r="SW63" s="14"/>
      <x:c r="SX63" s="14"/>
      <x:c r="SY63" s="14"/>
      <x:c r="SZ63" s="14"/>
      <x:c r="TA63" s="14"/>
      <x:c r="TB63" s="14"/>
      <x:c r="TC63" s="14"/>
      <x:c r="TD63" s="14"/>
      <x:c r="TE63" s="14"/>
      <x:c r="TF63" s="14"/>
      <x:c r="TG63" s="14"/>
      <x:c r="TH63" s="14"/>
    </x:row>
    <x:row r="64" ht="15" customHeight="1">
      <x:c r="A64" s="18" t="str">
        <x:v>帝詔劍★★★</x:v>
      </x:c>
      <x:c r="B64" s="18" t="str">
        <x:v>乾坤雙極　天劍</x:v>
      </x:c>
      <x:c r="C64" s="18" t="str">
        <x:v>乾坤無限　天劍</x:v>
      </x:c>
      <x:c r="D64" s="18" t="str">
        <x:v>乾坤無極　天劍</x:v>
      </x:c>
      <x:c r="E64" s="14"/>
      <x:c r="F64" s="18" t="str">
        <x:v>波塞頓聖刀</x:v>
      </x:c>
      <x:c r="G64" s="18" t="str">
        <x:v>三皇聖羲刀</x:v>
      </x:c>
      <x:c r="H64" s="18" t="str">
        <x:v>三皇聖羲刀</x:v>
      </x:c>
      <x:c r="I64" s="18" t="str">
        <x:v>巨門天璇刀</x:v>
      </x:c>
      <x:c r="J64" s="14"/>
      <x:c r="K64" s="14"/>
      <x:c r="L64" s="14"/>
      <x:c r="M64" s="14"/>
      <x:c r="N64" s="14"/>
      <x:c r="O64" s="14"/>
      <x:c r="P64" s="14"/>
      <x:c r="Q64" s="14"/>
      <x:c r="R64" s="14"/>
      <x:c r="S64" s="14"/>
      <x:c r="T64" s="14"/>
      <x:c r="U64" s="14"/>
      <x:c r="V64" s="14"/>
      <x:c r="W64" s="14"/>
      <x:c r="X64" s="14"/>
      <x:c r="Y64" s="14"/>
      <x:c r="Z64" s="14"/>
      <x:c r="AA64" s="14"/>
      <x:c r="AB64" s="14"/>
      <x:c r="AC64" s="14"/>
      <x:c r="AD64" s="14"/>
      <x:c r="AE64" s="14"/>
      <x:c r="AF64" s="14"/>
      <x:c r="AG64" s="14"/>
      <x:c r="AH64" s="14"/>
      <x:c r="AI64" s="14"/>
      <x:c r="AJ64" s="14"/>
      <x:c r="AK64" s="14"/>
      <x:c r="AL64" s="14"/>
      <x:c r="AM64" s="14"/>
      <x:c r="AN64" s="14"/>
      <x:c r="AO64" s="14"/>
      <x:c r="AP64" s="14"/>
      <x:c r="AQ64" s="14"/>
      <x:c r="AR64" s="14"/>
      <x:c r="AS64" s="14"/>
      <x:c r="AT64" s="14"/>
      <x:c r="AU64" s="14"/>
      <x:c r="AV64" s="14"/>
      <x:c r="AW64" s="14"/>
      <x:c r="AX64" s="14"/>
      <x:c r="AY64" s="18" t="str">
        <x:v>波斯彩幔</x:v>
      </x:c>
      <x:c r="AZ64" s="18" t="str">
        <x:v>薩珊修冠</x:v>
      </x:c>
      <x:c r="BA64" s="18" t="str">
        <x:v>兩河釋斗</x:v>
      </x:c>
      <x:c r="BB64" s="18" t="str">
        <x:v>天揚首衛</x:v>
      </x:c>
      <x:c r="BC64" s="14"/>
      <x:c r="BD64" s="18" t="str">
        <x:v>鐵星鋼鎧</x:v>
      </x:c>
      <x:c r="BE64" s="18" t="str">
        <x:v>武星鋼鎧</x:v>
      </x:c>
      <x:c r="BF64" s="18" t="str">
        <x:v>赫煉戰甲</x:v>
      </x:c>
      <x:c r="BG64" s="18" t="str">
        <x:v>浩煉戰甲</x:v>
      </x:c>
      <x:c r="BH64" s="14"/>
      <x:c r="BI64" s="18" t="str">
        <x:v>聖皇臂甲</x:v>
      </x:c>
      <x:c r="BJ64" s="18" t="str">
        <x:v>魔滅護爪</x:v>
      </x:c>
      <x:c r="BK64" s="18" t="str">
        <x:v>聖庇道腕</x:v>
      </x:c>
      <x:c r="BL64" s="18" t="str">
        <x:v>天導禪腕</x:v>
      </x:c>
      <x:c r="BM64" s="14"/>
      <x:c r="BN64" s="18" t="str">
        <x:v>沐聖道靴</x:v>
      </x:c>
      <x:c r="BO64" s="18" t="str">
        <x:v>典儀禪鞋</x:v>
      </x:c>
      <x:c r="BP64" s="18" t="str">
        <x:v>龍閣戰靴</x:v>
      </x:c>
      <x:c r="BQ64" s="18" t="str">
        <x:v>聖皇重靴</x:v>
      </x:c>
      <x:c r="BR64" s="14"/>
      <x:c r="BS64" s="18" t="str">
        <x:v>天鍛‧朱雀環</x:v>
      </x:c>
      <x:c r="BT64" s="18" t="str">
        <x:v>天鍛‧玄武璧</x:v>
      </x:c>
      <x:c r="BU64" s="18" t="str">
        <x:v>仙鑄‧青龍戒</x:v>
      </x:c>
      <x:c r="BV64" s="18" t="str">
        <x:v>仙鑄‧白虎玉</x:v>
      </x:c>
      <x:c r="BW64" s="14"/>
      <x:c r="BX64" s="14"/>
      <x:c r="BY64" s="14"/>
      <x:c r="BZ64" s="14"/>
      <x:c r="CA64" s="14"/>
      <x:c r="CB64" s="14"/>
      <x:c r="CC64" s="14" t="str">
        <x:v>29348</x:v>
      </x:c>
      <x:c r="CD64" s="14" t="n">
        <x:v>8</x:v>
      </x:c>
      <x:c r="CE64" s="14" t="n">
        <x:v>189</x:v>
      </x:c>
      <x:c r="CF64" s="14" t="n">
        <x:v>189</x:v>
      </x:c>
      <x:c r="CG64" s="14" t="n">
        <x:v>24</x:v>
      </x:c>
      <x:c r="CH64" s="14" t="n">
        <x:v>1</x:v>
      </x:c>
      <x:c r="CI64" s="14" t="str">
        <x:v>未收錄</x:v>
      </x:c>
      <x:c r="CJ64" s="14" t="str">
        <x:v>23419</x:v>
      </x:c>
      <x:c r="CK64" s="14" t="n">
        <x:v>10</x:v>
      </x:c>
      <x:c r="CL64" s="14" t="n">
        <x:v>190</x:v>
      </x:c>
      <x:c r="CM64" s="14" t="n">
        <x:v>190</x:v>
      </x:c>
      <x:c r="CN64" s="14" t="n">
        <x:v>24</x:v>
      </x:c>
      <x:c r="CO64" s="14" t="n">
        <x:v>2</x:v>
      </x:c>
      <x:c r="CP64" s="14" t="str">
        <x:v>未收錄</x:v>
      </x:c>
      <x:c r="CQ64" s="14" t="str">
        <x:v>23936</x:v>
      </x:c>
      <x:c r="CR64" s="14" t="n">
        <x:v>10</x:v>
      </x:c>
      <x:c r="CS64" s="14" t="n">
        <x:v>191</x:v>
      </x:c>
      <x:c r="CT64" s="14" t="n">
        <x:v>191</x:v>
      </x:c>
      <x:c r="CU64" s="14" t="n">
        <x:v>24</x:v>
      </x:c>
      <x:c r="CV64" s="14" t="n">
        <x:v>3</x:v>
      </x:c>
      <x:c r="CW64" s="14" t="str">
        <x:v>未收錄</x:v>
      </x:c>
      <x:c r="CX64" s="14" t="str">
        <x:v>24536</x:v>
      </x:c>
      <x:c r="CY64" s="14" t="n">
        <x:v>10</x:v>
      </x:c>
      <x:c r="CZ64" s="14" t="n">
        <x:v>192</x:v>
      </x:c>
      <x:c r="DA64" s="14" t="n">
        <x:v>192</x:v>
      </x:c>
      <x:c r="DB64" s="14" t="n">
        <x:v>24</x:v>
      </x:c>
      <x:c r="DC64" s="14" t="n">
        <x:v>4</x:v>
      </x:c>
      <x:c r="DD64" s="14" t="str">
        <x:v>未收錄</x:v>
      </x:c>
      <x:c r="DE64" s="14" t="str">
        <x:v>26493</x:v>
      </x:c>
      <x:c r="DF64" s="14" t="n">
        <x:v>20</x:v>
      </x:c>
      <x:c r="DG64" s="14" t="n">
        <x:v>434</x:v>
      </x:c>
      <x:c r="DH64" s="14" t="n">
        <x:v>189</x:v>
      </x:c>
      <x:c r="DI64" s="14" t="n">
        <x:v>24</x:v>
      </x:c>
      <x:c r="DJ64" s="14" t="n">
        <x:v>1</x:v>
      </x:c>
      <x:c r="DK64" s="14" t="str">
        <x:v>未收錄</x:v>
      </x:c>
      <x:c r="DL64" s="14" t="str">
        <x:v>26785</x:v>
      </x:c>
      <x:c r="DM64" s="14" t="n">
        <x:v>20</x:v>
      </x:c>
      <x:c r="DN64" s="14" t="n">
        <x:v>435</x:v>
      </x:c>
      <x:c r="DO64" s="14" t="n">
        <x:v>190</x:v>
      </x:c>
      <x:c r="DP64" s="14" t="n">
        <x:v>24</x:v>
      </x:c>
      <x:c r="DQ64" s="14" t="n">
        <x:v>2</x:v>
      </x:c>
      <x:c r="DR64" s="14" t="str">
        <x:v>未收錄</x:v>
      </x:c>
      <x:c r="DS64" s="14" t="str">
        <x:v>26959</x:v>
      </x:c>
      <x:c r="DT64" s="14" t="n">
        <x:v>20</x:v>
      </x:c>
      <x:c r="DU64" s="14" t="n">
        <x:v>436</x:v>
      </x:c>
      <x:c r="DV64" s="14" t="n">
        <x:v>191</x:v>
      </x:c>
      <x:c r="DW64" s="14" t="n">
        <x:v>24</x:v>
      </x:c>
      <x:c r="DX64" s="14" t="n">
        <x:v>3</x:v>
      </x:c>
      <x:c r="DY64" s="14" t="str">
        <x:v>未收錄</x:v>
      </x:c>
      <x:c r="DZ64" s="14" t="str">
        <x:v>27354</x:v>
      </x:c>
      <x:c r="EA64" s="14" t="n">
        <x:v>20</x:v>
      </x:c>
      <x:c r="EB64" s="14" t="n">
        <x:v>437</x:v>
      </x:c>
      <x:c r="EC64" s="14" t="n">
        <x:v>192</x:v>
      </x:c>
      <x:c r="ED64" s="14" t="n">
        <x:v>24</x:v>
      </x:c>
      <x:c r="EE64" s="14" t="n">
        <x:v>4</x:v>
      </x:c>
      <x:c r="EF64" s="14" t="str">
        <x:v>未收錄</x:v>
      </x:c>
      <x:c r="EG64" s="14"/>
      <x:c r="EH64" s="14"/>
      <x:c r="EI64" s="14"/>
      <x:c r="EJ64" s="14"/>
      <x:c r="EK64" s="14"/>
      <x:c r="EL64" s="14"/>
      <x:c r="EM64" s="14"/>
      <x:c r="EN64" s="14"/>
      <x:c r="EO64" s="14"/>
      <x:c r="EP64" s="14"/>
      <x:c r="EQ64" s="14"/>
      <x:c r="ER64" s="14"/>
      <x:c r="ES64" s="14"/>
      <x:c r="ET64" s="14"/>
      <x:c r="EU64" s="14"/>
      <x:c r="EV64" s="14"/>
      <x:c r="EW64" s="14"/>
      <x:c r="EX64" s="14"/>
      <x:c r="EY64" s="14"/>
      <x:c r="EZ64" s="14"/>
      <x:c r="FA64" s="14"/>
      <x:c r="FB64" s="14"/>
      <x:c r="FC64" s="14"/>
      <x:c r="FD64" s="14"/>
      <x:c r="FE64" s="14"/>
      <x:c r="FF64" s="14"/>
      <x:c r="FG64" s="14"/>
      <x:c r="FH64" s="14"/>
      <x:c r="FI64" s="14"/>
      <x:c r="FJ64" s="14"/>
      <x:c r="FK64" s="14"/>
      <x:c r="FL64" s="14"/>
      <x:c r="FM64" s="14"/>
      <x:c r="FN64" s="14"/>
      <x:c r="FO64" s="14"/>
      <x:c r="FP64" s="14"/>
      <x:c r="FQ64" s="14"/>
      <x:c r="FR64" s="14"/>
      <x:c r="FS64" s="14"/>
      <x:c r="FT64" s="14"/>
      <x:c r="FU64" s="14"/>
      <x:c r="FV64" s="14"/>
      <x:c r="FW64" s="14"/>
      <x:c r="FX64" s="14"/>
      <x:c r="FY64" s="14"/>
      <x:c r="FZ64" s="14"/>
      <x:c r="GA64" s="14"/>
      <x:c r="GB64" s="14"/>
      <x:c r="GC64" s="14"/>
      <x:c r="GD64" s="14"/>
      <x:c r="GE64" s="14"/>
      <x:c r="GF64" s="14"/>
      <x:c r="GG64" s="14"/>
      <x:c r="GH64" s="14"/>
      <x:c r="GI64" s="14"/>
      <x:c r="GJ64" s="14"/>
      <x:c r="GK64" s="14"/>
      <x:c r="GL64" s="14"/>
      <x:c r="GM64" s="14"/>
      <x:c r="GN64" s="14"/>
      <x:c r="GO64" s="14"/>
      <x:c r="GP64" s="14"/>
      <x:c r="GQ64" s="14"/>
      <x:c r="GR64" s="14"/>
      <x:c r="GS64" s="14"/>
      <x:c r="GT64" s="14"/>
      <x:c r="GU64" s="14"/>
      <x:c r="GV64" s="14"/>
      <x:c r="GW64" s="14"/>
      <x:c r="GX64" s="14"/>
      <x:c r="GY64" s="14"/>
      <x:c r="GZ64" s="14"/>
      <x:c r="HA64" s="14"/>
      <x:c r="HB64" s="14"/>
      <x:c r="HC64" s="14"/>
      <x:c r="HD64" s="14"/>
      <x:c r="HE64" s="14"/>
      <x:c r="HF64" s="14"/>
      <x:c r="HG64" s="14"/>
      <x:c r="HH64" s="14"/>
      <x:c r="HI64" s="14"/>
      <x:c r="HJ64" s="14"/>
      <x:c r="HK64" s="14"/>
      <x:c r="HL64" s="14"/>
      <x:c r="HM64" s="14"/>
      <x:c r="HN64" s="14"/>
      <x:c r="HO64" s="14"/>
      <x:c r="HP64" s="14"/>
      <x:c r="HQ64" s="14"/>
      <x:c r="HR64" s="14"/>
      <x:c r="HS64" s="14"/>
      <x:c r="HT64" s="14"/>
      <x:c r="HU64" s="14"/>
      <x:c r="HV64" s="14"/>
      <x:c r="HW64" s="14"/>
      <x:c r="HX64" s="14"/>
      <x:c r="HY64" s="14"/>
      <x:c r="HZ64" s="14"/>
      <x:c r="IA64" s="14"/>
      <x:c r="IB64" s="14"/>
      <x:c r="IC64" s="14"/>
      <x:c r="ID64" s="14"/>
      <x:c r="IE64" s="14"/>
      <x:c r="IF64" s="14"/>
      <x:c r="IG64" s="14"/>
      <x:c r="IH64" s="14"/>
      <x:c r="II64" s="14"/>
      <x:c r="IJ64" s="14"/>
      <x:c r="IK64" s="14"/>
      <x:c r="IL64" s="14"/>
      <x:c r="IM64" s="14"/>
      <x:c r="IN64" s="14"/>
      <x:c r="IO64" s="14"/>
      <x:c r="IP64" s="14"/>
      <x:c r="IQ64" s="14"/>
      <x:c r="IR64" s="14"/>
      <x:c r="IS64" s="14"/>
      <x:c r="IT64" s="14"/>
      <x:c r="IU64" s="14"/>
      <x:c r="IV64" s="14"/>
      <x:c r="IW64" s="14"/>
      <x:c r="IX64" s="14"/>
      <x:c r="IY64" s="14"/>
      <x:c r="IZ64" s="14"/>
      <x:c r="JA64" s="14"/>
      <x:c r="JB64" s="14"/>
      <x:c r="JC64" s="14"/>
      <x:c r="JD64" s="14"/>
      <x:c r="JE64" s="14"/>
      <x:c r="JF64" s="14"/>
      <x:c r="JG64" s="14"/>
      <x:c r="JH64" s="14"/>
      <x:c r="JI64" s="14"/>
      <x:c r="JJ64" s="14"/>
      <x:c r="JK64" s="14"/>
      <x:c r="JL64" s="14"/>
      <x:c r="JM64" s="14"/>
      <x:c r="JN64" s="14"/>
      <x:c r="JO64" s="14"/>
      <x:c r="JP64" s="14"/>
      <x:c r="JQ64" s="14"/>
      <x:c r="JR64" s="14"/>
      <x:c r="JS64" s="14"/>
      <x:c r="JT64" s="14"/>
      <x:c r="JU64" s="14"/>
      <x:c r="JV64" s="14"/>
      <x:c r="JW64" s="14"/>
      <x:c r="JX64" s="14"/>
      <x:c r="JY64" s="14"/>
      <x:c r="JZ64" s="14"/>
      <x:c r="KA64" s="14"/>
      <x:c r="KB64" s="14"/>
      <x:c r="KC64" s="14"/>
      <x:c r="KD64" s="14"/>
      <x:c r="KE64" s="14"/>
      <x:c r="KF64" s="14"/>
      <x:c r="KG64" s="14"/>
      <x:c r="KH64" s="14"/>
      <x:c r="KI64" s="14"/>
      <x:c r="KJ64" s="14"/>
      <x:c r="KK64" s="14"/>
      <x:c r="KL64" s="14"/>
      <x:c r="KM64" s="14"/>
      <x:c r="KN64" s="14"/>
      <x:c r="KO64" s="14"/>
      <x:c r="KP64" s="14"/>
      <x:c r="KQ64" s="14"/>
      <x:c r="KR64" s="14"/>
      <x:c r="KS64" s="14"/>
      <x:c r="KT64" s="14"/>
      <x:c r="KU64" s="14"/>
      <x:c r="KV64" s="14"/>
      <x:c r="KW64" s="14"/>
      <x:c r="KX64" s="14"/>
      <x:c r="KY64" s="14"/>
      <x:c r="KZ64" s="14"/>
      <x:c r="LA64" s="14"/>
      <x:c r="LB64" s="14"/>
      <x:c r="LC64" s="14"/>
      <x:c r="LD64" s="14"/>
      <x:c r="LE64" s="14"/>
      <x:c r="LF64" s="14"/>
      <x:c r="LG64" s="14"/>
      <x:c r="LH64" s="14"/>
      <x:c r="LI64" s="14"/>
      <x:c r="LJ64" s="14"/>
      <x:c r="LK64" s="14"/>
      <x:c r="LL64" s="14"/>
      <x:c r="LM64" s="14"/>
      <x:c r="LN64" s="14"/>
      <x:c r="LO64" s="14"/>
      <x:c r="LP64" s="14"/>
      <x:c r="LQ64" s="14"/>
      <x:c r="LR64" s="14"/>
      <x:c r="LS64" s="14"/>
      <x:c r="LT64" s="14"/>
      <x:c r="LU64" s="14"/>
      <x:c r="LV64" s="14"/>
      <x:c r="LW64" s="14"/>
      <x:c r="LX64" s="14"/>
      <x:c r="LY64" s="14"/>
      <x:c r="LZ64" s="14"/>
      <x:c r="MA64" s="14"/>
      <x:c r="MB64" s="14"/>
      <x:c r="MC64" s="14"/>
      <x:c r="MD64" s="14"/>
      <x:c r="ME64" s="14"/>
      <x:c r="MF64" s="14"/>
      <x:c r="MG64" s="14"/>
      <x:c r="MH64" s="14"/>
      <x:c r="MI64" s="14"/>
      <x:c r="MJ64" s="14"/>
      <x:c r="MK64" s="14"/>
      <x:c r="ML64" s="14"/>
      <x:c r="MM64" s="14"/>
      <x:c r="MN64" s="14"/>
      <x:c r="MO64" s="14"/>
      <x:c r="MP64" s="14"/>
      <x:c r="MQ64" s="14"/>
      <x:c r="MR64" s="14"/>
      <x:c r="MS64" s="14"/>
      <x:c r="MT64" s="14"/>
      <x:c r="MU64" s="14"/>
      <x:c r="MV64" s="14"/>
      <x:c r="MW64" s="14" t="str">
        <x:v>24573</x:v>
      </x:c>
      <x:c r="MX64" s="14" t="n">
        <x:v>5</x:v>
      </x:c>
      <x:c r="MY64" s="14" t="n">
        <x:v>1837</x:v>
      </x:c>
      <x:c r="MZ64" s="14" t="n">
        <x:v>189</x:v>
      </x:c>
      <x:c r="NA64" s="14" t="n">
        <x:v>24</x:v>
      </x:c>
      <x:c r="NB64" s="14" t="n">
        <x:v>1</x:v>
      </x:c>
      <x:c r="NC64" s="14" t="str">
        <x:v>未收錄</x:v>
      </x:c>
      <x:c r="ND64" s="14" t="str">
        <x:v>24574</x:v>
      </x:c>
      <x:c r="NE64" s="14" t="n">
        <x:v>5</x:v>
      </x:c>
      <x:c r="NF64" s="14" t="n">
        <x:v>1838</x:v>
      </x:c>
      <x:c r="NG64" s="14" t="n">
        <x:v>190</x:v>
      </x:c>
      <x:c r="NH64" s="14" t="n">
        <x:v>24</x:v>
      </x:c>
      <x:c r="NI64" s="14" t="n">
        <x:v>2</x:v>
      </x:c>
      <x:c r="NJ64" s="14" t="str">
        <x:v>未收錄</x:v>
      </x:c>
      <x:c r="NK64" s="14" t="str">
        <x:v>24575</x:v>
      </x:c>
      <x:c r="NL64" s="14" t="n">
        <x:v>5</x:v>
      </x:c>
      <x:c r="NM64" s="14" t="n">
        <x:v>1839</x:v>
      </x:c>
      <x:c r="NN64" s="14" t="n">
        <x:v>191</x:v>
      </x:c>
      <x:c r="NO64" s="14" t="n">
        <x:v>24</x:v>
      </x:c>
      <x:c r="NP64" s="14" t="n">
        <x:v>3</x:v>
      </x:c>
      <x:c r="NQ64" s="14" t="str">
        <x:v>未收錄</x:v>
      </x:c>
      <x:c r="NR64" s="14" t="str">
        <x:v>24576</x:v>
      </x:c>
      <x:c r="NS64" s="14" t="n">
        <x:v>5</x:v>
      </x:c>
      <x:c r="NT64" s="14" t="n">
        <x:v>1840</x:v>
      </x:c>
      <x:c r="NU64" s="14" t="n">
        <x:v>192</x:v>
      </x:c>
      <x:c r="NV64" s="14" t="n">
        <x:v>24</x:v>
      </x:c>
      <x:c r="NW64" s="14" t="n">
        <x:v>4</x:v>
      </x:c>
      <x:c r="NX64" s="14" t="str">
        <x:v>未收錄</x:v>
      </x:c>
      <x:c r="NY64" s="14" t="str">
        <x:v>24440</x:v>
      </x:c>
      <x:c r="NZ64" s="14" t="n">
        <x:v>5</x:v>
      </x:c>
      <x:c r="OA64" s="14" t="n">
        <x:v>2290</x:v>
      </x:c>
      <x:c r="OB64" s="14" t="n">
        <x:v>189</x:v>
      </x:c>
      <x:c r="OC64" s="14" t="n">
        <x:v>24</x:v>
      </x:c>
      <x:c r="OD64" s="14" t="n">
        <x:v>1</x:v>
      </x:c>
      <x:c r="OE64" s="14" t="str">
        <x:v>未收錄</x:v>
      </x:c>
      <x:c r="OF64" s="14" t="str">
        <x:v>24441</x:v>
      </x:c>
      <x:c r="OG64" s="14" t="n">
        <x:v>5</x:v>
      </x:c>
      <x:c r="OH64" s="14" t="n">
        <x:v>2291</x:v>
      </x:c>
      <x:c r="OI64" s="14" t="n">
        <x:v>190</x:v>
      </x:c>
      <x:c r="OJ64" s="14" t="n">
        <x:v>24</x:v>
      </x:c>
      <x:c r="OK64" s="14" t="n">
        <x:v>2</x:v>
      </x:c>
      <x:c r="OL64" s="14" t="str">
        <x:v>未收錄</x:v>
      </x:c>
      <x:c r="OM64" s="14" t="str">
        <x:v>24442</x:v>
      </x:c>
      <x:c r="ON64" s="14" t="n">
        <x:v>5</x:v>
      </x:c>
      <x:c r="OO64" s="14" t="n">
        <x:v>2292</x:v>
      </x:c>
      <x:c r="OP64" s="14" t="n">
        <x:v>191</x:v>
      </x:c>
      <x:c r="OQ64" s="14" t="n">
        <x:v>24</x:v>
      </x:c>
      <x:c r="OR64" s="14" t="n">
        <x:v>3</x:v>
      </x:c>
      <x:c r="OS64" s="14" t="str">
        <x:v>未收錄</x:v>
      </x:c>
      <x:c r="OT64" s="14" t="str">
        <x:v>24443</x:v>
      </x:c>
      <x:c r="OU64" s="14" t="n">
        <x:v>5</x:v>
      </x:c>
      <x:c r="OV64" s="14" t="n">
        <x:v>2293</x:v>
      </x:c>
      <x:c r="OW64" s="14" t="n">
        <x:v>192</x:v>
      </x:c>
      <x:c r="OX64" s="14" t="n">
        <x:v>24</x:v>
      </x:c>
      <x:c r="OY64" s="14" t="n">
        <x:v>4</x:v>
      </x:c>
      <x:c r="OZ64" s="14" t="str">
        <x:v>未收錄</x:v>
      </x:c>
      <x:c r="PA64" s="14" t="str">
        <x:v>26032</x:v>
      </x:c>
      <x:c r="PB64" s="14" t="n">
        <x:v>5</x:v>
      </x:c>
      <x:c r="PC64" s="14" t="n">
        <x:v>2836</x:v>
      </x:c>
      <x:c r="PD64" s="14" t="n">
        <x:v>189</x:v>
      </x:c>
      <x:c r="PE64" s="14" t="n">
        <x:v>24</x:v>
      </x:c>
      <x:c r="PF64" s="14" t="n">
        <x:v>1</x:v>
      </x:c>
      <x:c r="PG64" s="14" t="str">
        <x:v>未收錄</x:v>
      </x:c>
      <x:c r="PH64" s="14" t="str">
        <x:v>26033</x:v>
      </x:c>
      <x:c r="PI64" s="14" t="n">
        <x:v>5</x:v>
      </x:c>
      <x:c r="PJ64" s="14" t="n">
        <x:v>2837</x:v>
      </x:c>
      <x:c r="PK64" s="14" t="n">
        <x:v>190</x:v>
      </x:c>
      <x:c r="PL64" s="14" t="n">
        <x:v>24</x:v>
      </x:c>
      <x:c r="PM64" s="14" t="n">
        <x:v>2</x:v>
      </x:c>
      <x:c r="PN64" s="14" t="str">
        <x:v>未收錄</x:v>
      </x:c>
      <x:c r="PO64" s="14" t="str">
        <x:v>26034</x:v>
      </x:c>
      <x:c r="PP64" s="14" t="n">
        <x:v>5</x:v>
      </x:c>
      <x:c r="PQ64" s="14" t="n">
        <x:v>2838</x:v>
      </x:c>
      <x:c r="PR64" s="14" t="n">
        <x:v>191</x:v>
      </x:c>
      <x:c r="PS64" s="14" t="n">
        <x:v>24</x:v>
      </x:c>
      <x:c r="PT64" s="14" t="n">
        <x:v>3</x:v>
      </x:c>
      <x:c r="PU64" s="14" t="str">
        <x:v>未收錄</x:v>
      </x:c>
      <x:c r="PV64" s="14" t="str">
        <x:v>26035</x:v>
      </x:c>
      <x:c r="PW64" s="14" t="n">
        <x:v>5</x:v>
      </x:c>
      <x:c r="PX64" s="14" t="n">
        <x:v>2839</x:v>
      </x:c>
      <x:c r="PY64" s="14" t="n">
        <x:v>192</x:v>
      </x:c>
      <x:c r="PZ64" s="14" t="n">
        <x:v>24</x:v>
      </x:c>
      <x:c r="QA64" s="14" t="n">
        <x:v>4</x:v>
      </x:c>
      <x:c r="QB64" s="14" t="str">
        <x:v>未收錄</x:v>
      </x:c>
      <x:c r="QC64" s="14" t="str">
        <x:v>26039</x:v>
      </x:c>
      <x:c r="QD64" s="14" t="n">
        <x:v>5</x:v>
      </x:c>
      <x:c r="QE64" s="14" t="n">
        <x:v>3273</x:v>
      </x:c>
      <x:c r="QF64" s="14" t="n">
        <x:v>189</x:v>
      </x:c>
      <x:c r="QG64" s="14" t="n">
        <x:v>24</x:v>
      </x:c>
      <x:c r="QH64" s="14" t="n">
        <x:v>1</x:v>
      </x:c>
      <x:c r="QI64" s="14" t="str">
        <x:v>未收錄</x:v>
      </x:c>
      <x:c r="QJ64" s="14" t="str">
        <x:v>26040</x:v>
      </x:c>
      <x:c r="QK64" s="14" t="n">
        <x:v>5</x:v>
      </x:c>
      <x:c r="QL64" s="14" t="n">
        <x:v>3274</x:v>
      </x:c>
      <x:c r="QM64" s="14" t="n">
        <x:v>190</x:v>
      </x:c>
      <x:c r="QN64" s="14" t="n">
        <x:v>24</x:v>
      </x:c>
      <x:c r="QO64" s="14" t="n">
        <x:v>2</x:v>
      </x:c>
      <x:c r="QP64" s="14" t="str">
        <x:v>未收錄</x:v>
      </x:c>
      <x:c r="QQ64" s="14" t="str">
        <x:v>26041</x:v>
      </x:c>
      <x:c r="QR64" s="14" t="n">
        <x:v>5</x:v>
      </x:c>
      <x:c r="QS64" s="14" t="n">
        <x:v>3275</x:v>
      </x:c>
      <x:c r="QT64" s="14" t="n">
        <x:v>191</x:v>
      </x:c>
      <x:c r="QU64" s="14" t="n">
        <x:v>24</x:v>
      </x:c>
      <x:c r="QV64" s="14" t="n">
        <x:v>3</x:v>
      </x:c>
      <x:c r="QW64" s="14" t="str">
        <x:v>未收錄</x:v>
      </x:c>
      <x:c r="QX64" s="14" t="str">
        <x:v>26042</x:v>
      </x:c>
      <x:c r="QY64" s="14" t="n">
        <x:v>5</x:v>
      </x:c>
      <x:c r="QZ64" s="14" t="n">
        <x:v>3276</x:v>
      </x:c>
      <x:c r="RA64" s="14" t="n">
        <x:v>192</x:v>
      </x:c>
      <x:c r="RB64" s="14" t="n">
        <x:v>24</x:v>
      </x:c>
      <x:c r="RC64" s="14" t="n">
        <x:v>4</x:v>
      </x:c>
      <x:c r="RD64" s="14" t="str">
        <x:v>未收錄</x:v>
      </x:c>
      <x:c r="RE64" s="14" t="str">
        <x:v>27156</x:v>
      </x:c>
      <x:c r="RF64" s="14" t="n">
        <x:v>5</x:v>
      </x:c>
      <x:c r="RG64" s="14" t="n">
        <x:v>3734</x:v>
      </x:c>
      <x:c r="RH64" s="14" t="n">
        <x:v>189</x:v>
      </x:c>
      <x:c r="RI64" s="14" t="n">
        <x:v>24</x:v>
      </x:c>
      <x:c r="RJ64" s="14" t="n">
        <x:v>1</x:v>
      </x:c>
      <x:c r="RK64" s="14" t="str">
        <x:v>未收錄</x:v>
      </x:c>
      <x:c r="RL64" s="14" t="str">
        <x:v>27157</x:v>
      </x:c>
      <x:c r="RM64" s="14" t="n">
        <x:v>5</x:v>
      </x:c>
      <x:c r="RN64" s="14" t="n">
        <x:v>3735</x:v>
      </x:c>
      <x:c r="RO64" s="14" t="n">
        <x:v>190</x:v>
      </x:c>
      <x:c r="RP64" s="14" t="n">
        <x:v>24</x:v>
      </x:c>
      <x:c r="RQ64" s="14" t="n">
        <x:v>2</x:v>
      </x:c>
      <x:c r="RR64" s="14" t="str">
        <x:v>未收錄</x:v>
      </x:c>
      <x:c r="RS64" s="14" t="str">
        <x:v>27158</x:v>
      </x:c>
      <x:c r="RT64" s="14" t="n">
        <x:v>5</x:v>
      </x:c>
      <x:c r="RU64" s="14" t="n">
        <x:v>3736</x:v>
      </x:c>
      <x:c r="RV64" s="14" t="n">
        <x:v>191</x:v>
      </x:c>
      <x:c r="RW64" s="14" t="n">
        <x:v>24</x:v>
      </x:c>
      <x:c r="RX64" s="14" t="n">
        <x:v>3</x:v>
      </x:c>
      <x:c r="RY64" s="14" t="str">
        <x:v>未收錄</x:v>
      </x:c>
      <x:c r="RZ64" s="14" t="str">
        <x:v>27159</x:v>
      </x:c>
      <x:c r="SA64" s="14" t="n">
        <x:v>5</x:v>
      </x:c>
      <x:c r="SB64" s="14" t="n">
        <x:v>3737</x:v>
      </x:c>
      <x:c r="SC64" s="14" t="n">
        <x:v>192</x:v>
      </x:c>
      <x:c r="SD64" s="14" t="n">
        <x:v>24</x:v>
      </x:c>
      <x:c r="SE64" s="14" t="n">
        <x:v>4</x:v>
      </x:c>
      <x:c r="SF64" s="14" t="str">
        <x:v>未收錄</x:v>
      </x:c>
      <x:c r="SG64" s="14"/>
      <x:c r="SH64" s="14"/>
      <x:c r="SI64" s="14"/>
      <x:c r="SJ64" s="14"/>
      <x:c r="SK64" s="14"/>
      <x:c r="SL64" s="14"/>
      <x:c r="SM64" s="14"/>
      <x:c r="SN64" s="14"/>
      <x:c r="SO64" s="14"/>
      <x:c r="SP64" s="14"/>
      <x:c r="SQ64" s="14"/>
      <x:c r="SR64" s="14"/>
      <x:c r="SS64" s="14"/>
      <x:c r="ST64" s="14"/>
      <x:c r="SU64" s="14"/>
      <x:c r="SV64" s="14"/>
      <x:c r="SW64" s="14"/>
      <x:c r="SX64" s="14"/>
      <x:c r="SY64" s="14"/>
      <x:c r="SZ64" s="14"/>
      <x:c r="TA64" s="14"/>
      <x:c r="TB64" s="14"/>
      <x:c r="TC64" s="14"/>
      <x:c r="TD64" s="14"/>
      <x:c r="TE64" s="14"/>
      <x:c r="TF64" s="14"/>
      <x:c r="TG64" s="14"/>
      <x:c r="TH64" s="14"/>
    </x:row>
    <x:row r="65">
      <x:c r="A65" s="14"/>
      <x:c r="B65" s="14"/>
      <x:c r="C65" s="14"/>
      <x:c r="D65" s="14"/>
      <x:c r="E65" s="14"/>
      <x:c r="F65" s="14"/>
      <x:c r="G65" s="14"/>
      <x:c r="H65" s="14"/>
      <x:c r="I65" s="14"/>
      <x:c r="J65" s="14"/>
      <x:c r="K65" s="14"/>
      <x:c r="L65" s="14"/>
      <x:c r="M65" s="14"/>
      <x:c r="N65" s="14"/>
      <x:c r="O65" s="14"/>
      <x:c r="P65" s="14"/>
      <x:c r="Q65" s="14"/>
      <x:c r="R65" s="14"/>
      <x:c r="S65" s="14"/>
      <x:c r="T65" s="14"/>
      <x:c r="U65" s="14"/>
      <x:c r="V65" s="14"/>
      <x:c r="W65" s="14"/>
      <x:c r="X65" s="14"/>
      <x:c r="Y65" s="14"/>
      <x:c r="Z65" s="14"/>
      <x:c r="AA65" s="14"/>
      <x:c r="AB65" s="14"/>
      <x:c r="AC65" s="14"/>
      <x:c r="AD65" s="14"/>
      <x:c r="AE65" s="14"/>
      <x:c r="AF65" s="14"/>
      <x:c r="AG65" s="14"/>
      <x:c r="AH65" s="14"/>
      <x:c r="AI65" s="14"/>
      <x:c r="AJ65" s="14"/>
      <x:c r="AK65" s="14"/>
      <x:c r="AL65" s="14"/>
      <x:c r="AM65" s="14"/>
      <x:c r="AN65" s="14"/>
      <x:c r="AO65" s="14"/>
      <x:c r="AP65" s="14"/>
      <x:c r="AQ65" s="14"/>
      <x:c r="AR65" s="14"/>
      <x:c r="AS65" s="14"/>
      <x:c r="AT65" s="14"/>
      <x:c r="AU65" s="14"/>
      <x:c r="AV65" s="14"/>
      <x:c r="AW65" s="14"/>
      <x:c r="AX65" s="14"/>
      <x:c r="AY65" s="14"/>
      <x:c r="AZ65" s="14"/>
      <x:c r="BA65" s="14"/>
      <x:c r="BB65" s="14"/>
      <x:c r="BC65" s="14"/>
      <x:c r="BD65" s="14"/>
      <x:c r="BE65" s="14"/>
      <x:c r="BF65" s="14"/>
      <x:c r="BG65" s="14"/>
      <x:c r="BH65" s="14"/>
      <x:c r="BI65" s="14"/>
      <x:c r="BJ65" s="14"/>
      <x:c r="BK65" s="14"/>
      <x:c r="BL65" s="14"/>
      <x:c r="BM65" s="14"/>
      <x:c r="BN65" s="14"/>
      <x:c r="BO65" s="14"/>
      <x:c r="BP65" s="14"/>
      <x:c r="BQ65" s="14"/>
      <x:c r="BR65" s="14"/>
      <x:c r="BS65" s="14"/>
      <x:c r="BT65" s="14"/>
      <x:c r="BU65" s="14"/>
      <x:c r="BV65" s="14"/>
      <x:c r="BW65" s="14"/>
      <x:c r="BX65" s="14"/>
      <x:c r="BY65" s="14"/>
      <x:c r="BZ65" s="14"/>
      <x:c r="CA65" s="14"/>
      <x:c r="CB65" s="14"/>
      <x:c r="CC65" s="14"/>
      <x:c r="CD65" s="14"/>
      <x:c r="CE65" s="14"/>
      <x:c r="CF65" s="14"/>
      <x:c r="CG65" s="14"/>
      <x:c r="CH65" s="14"/>
      <x:c r="CI65" s="14"/>
      <x:c r="CJ65" s="14"/>
      <x:c r="CK65" s="14"/>
      <x:c r="CL65" s="14"/>
      <x:c r="CM65" s="14"/>
      <x:c r="CN65" s="14"/>
      <x:c r="CO65" s="14"/>
      <x:c r="CP65" s="14"/>
      <x:c r="CQ65" s="14"/>
      <x:c r="CR65" s="14"/>
      <x:c r="CS65" s="14"/>
      <x:c r="CT65" s="14"/>
      <x:c r="CU65" s="14"/>
      <x:c r="CV65" s="14"/>
      <x:c r="CW65" s="14"/>
      <x:c r="CX65" s="14"/>
      <x:c r="CY65" s="14"/>
      <x:c r="CZ65" s="14"/>
      <x:c r="DA65" s="14"/>
      <x:c r="DB65" s="14"/>
      <x:c r="DC65" s="14"/>
      <x:c r="DD65" s="14"/>
      <x:c r="DE65" s="14"/>
      <x:c r="DF65" s="14"/>
      <x:c r="DG65" s="14"/>
      <x:c r="DH65" s="14"/>
      <x:c r="DI65" s="14"/>
      <x:c r="DJ65" s="14"/>
      <x:c r="DK65" s="14"/>
      <x:c r="DL65" s="14"/>
      <x:c r="DM65" s="14"/>
      <x:c r="DN65" s="14"/>
      <x:c r="DO65" s="14"/>
      <x:c r="DP65" s="14"/>
      <x:c r="DQ65" s="14"/>
      <x:c r="DR65" s="14"/>
      <x:c r="DS65" s="14"/>
      <x:c r="DT65" s="14"/>
      <x:c r="DU65" s="14"/>
      <x:c r="DV65" s="14"/>
      <x:c r="DW65" s="14"/>
      <x:c r="DX65" s="14"/>
      <x:c r="DY65" s="14"/>
      <x:c r="DZ65" s="14"/>
      <x:c r="EA65" s="14"/>
      <x:c r="EB65" s="14"/>
      <x:c r="EC65" s="14"/>
      <x:c r="ED65" s="14"/>
      <x:c r="EE65" s="14"/>
      <x:c r="EF65" s="14"/>
      <x:c r="EG65" s="14"/>
      <x:c r="EH65" s="14"/>
      <x:c r="EI65" s="14"/>
      <x:c r="EJ65" s="14"/>
      <x:c r="EK65" s="14"/>
      <x:c r="EL65" s="14"/>
      <x:c r="EM65" s="14"/>
      <x:c r="EN65" s="14"/>
      <x:c r="EO65" s="14"/>
      <x:c r="EP65" s="14"/>
      <x:c r="EQ65" s="14"/>
      <x:c r="ER65" s="14"/>
      <x:c r="ES65" s="14"/>
      <x:c r="ET65" s="14"/>
      <x:c r="EU65" s="14"/>
      <x:c r="EV65" s="14"/>
      <x:c r="EW65" s="14"/>
      <x:c r="EX65" s="14"/>
      <x:c r="EY65" s="14"/>
      <x:c r="EZ65" s="14"/>
      <x:c r="FA65" s="14"/>
      <x:c r="FB65" s="14"/>
      <x:c r="FC65" s="14"/>
      <x:c r="FD65" s="14"/>
      <x:c r="FE65" s="14"/>
      <x:c r="FF65" s="14"/>
      <x:c r="FG65" s="14"/>
      <x:c r="FH65" s="14"/>
      <x:c r="FI65" s="14"/>
      <x:c r="FJ65" s="14"/>
      <x:c r="FK65" s="14"/>
      <x:c r="FL65" s="14"/>
      <x:c r="FM65" s="14"/>
      <x:c r="FN65" s="14"/>
      <x:c r="FO65" s="14"/>
      <x:c r="FP65" s="14"/>
      <x:c r="FQ65" s="14"/>
      <x:c r="FR65" s="14"/>
      <x:c r="FS65" s="14"/>
      <x:c r="FT65" s="14"/>
      <x:c r="FU65" s="14"/>
      <x:c r="FV65" s="14"/>
      <x:c r="FW65" s="14"/>
      <x:c r="FX65" s="14"/>
      <x:c r="FY65" s="14"/>
      <x:c r="FZ65" s="14"/>
      <x:c r="GA65" s="14"/>
      <x:c r="GB65" s="14"/>
      <x:c r="GC65" s="14"/>
      <x:c r="GD65" s="14"/>
      <x:c r="GE65" s="14"/>
      <x:c r="GF65" s="14"/>
      <x:c r="GG65" s="14"/>
      <x:c r="GH65" s="14"/>
      <x:c r="GI65" s="14"/>
      <x:c r="GJ65" s="14"/>
      <x:c r="GK65" s="14"/>
      <x:c r="GL65" s="14"/>
      <x:c r="GM65" s="14"/>
      <x:c r="GN65" s="14"/>
      <x:c r="GO65" s="14"/>
      <x:c r="GP65" s="14"/>
      <x:c r="GQ65" s="14"/>
      <x:c r="GR65" s="14"/>
      <x:c r="GS65" s="14"/>
      <x:c r="GT65" s="14"/>
      <x:c r="GU65" s="14"/>
      <x:c r="GV65" s="14"/>
      <x:c r="GW65" s="14"/>
      <x:c r="GX65" s="14"/>
      <x:c r="GY65" s="14"/>
      <x:c r="GZ65" s="14"/>
      <x:c r="HA65" s="14"/>
      <x:c r="HB65" s="14"/>
      <x:c r="HC65" s="14"/>
      <x:c r="HD65" s="14"/>
      <x:c r="HE65" s="14"/>
      <x:c r="HF65" s="14"/>
      <x:c r="HG65" s="14"/>
      <x:c r="HH65" s="14"/>
      <x:c r="HI65" s="14"/>
      <x:c r="HJ65" s="14"/>
      <x:c r="HK65" s="14"/>
      <x:c r="HL65" s="14"/>
      <x:c r="HM65" s="14"/>
      <x:c r="HN65" s="14"/>
      <x:c r="HO65" s="14"/>
      <x:c r="HP65" s="14"/>
      <x:c r="HQ65" s="14"/>
      <x:c r="HR65" s="14"/>
      <x:c r="HS65" s="14"/>
      <x:c r="HT65" s="14"/>
      <x:c r="HU65" s="14"/>
      <x:c r="HV65" s="14"/>
      <x:c r="HW65" s="14"/>
      <x:c r="HX65" s="14"/>
      <x:c r="HY65" s="14"/>
      <x:c r="HZ65" s="14"/>
      <x:c r="IA65" s="14"/>
      <x:c r="IB65" s="14"/>
      <x:c r="IC65" s="14"/>
      <x:c r="ID65" s="14"/>
      <x:c r="IE65" s="14"/>
      <x:c r="IF65" s="14"/>
      <x:c r="IG65" s="14"/>
      <x:c r="IH65" s="14"/>
      <x:c r="II65" s="14"/>
      <x:c r="IJ65" s="14"/>
      <x:c r="IK65" s="14"/>
      <x:c r="IL65" s="14"/>
      <x:c r="IM65" s="14"/>
      <x:c r="IN65" s="14"/>
      <x:c r="IO65" s="14"/>
      <x:c r="IP65" s="14"/>
      <x:c r="IQ65" s="14"/>
      <x:c r="IR65" s="14"/>
      <x:c r="IS65" s="14"/>
      <x:c r="IT65" s="14"/>
      <x:c r="IU65" s="14"/>
      <x:c r="IV65" s="14"/>
      <x:c r="IW65" s="14"/>
      <x:c r="IX65" s="14"/>
      <x:c r="IY65" s="14"/>
      <x:c r="IZ65" s="14"/>
      <x:c r="JA65" s="14"/>
      <x:c r="JB65" s="14"/>
      <x:c r="JC65" s="14"/>
      <x:c r="JD65" s="14"/>
      <x:c r="JE65" s="14"/>
      <x:c r="JF65" s="14"/>
      <x:c r="JG65" s="14"/>
      <x:c r="JH65" s="14"/>
      <x:c r="JI65" s="14"/>
      <x:c r="JJ65" s="14"/>
      <x:c r="JK65" s="14"/>
      <x:c r="JL65" s="14"/>
      <x:c r="JM65" s="14"/>
      <x:c r="JN65" s="14"/>
      <x:c r="JO65" s="14"/>
      <x:c r="JP65" s="14"/>
      <x:c r="JQ65" s="14"/>
      <x:c r="JR65" s="14"/>
      <x:c r="JS65" s="14"/>
      <x:c r="JT65" s="14"/>
      <x:c r="JU65" s="14"/>
      <x:c r="JV65" s="14"/>
      <x:c r="JW65" s="14"/>
      <x:c r="JX65" s="14"/>
      <x:c r="JY65" s="14"/>
      <x:c r="JZ65" s="14"/>
      <x:c r="KA65" s="14"/>
      <x:c r="KB65" s="14"/>
      <x:c r="KC65" s="14"/>
      <x:c r="KD65" s="14"/>
      <x:c r="KE65" s="14"/>
      <x:c r="KF65" s="14"/>
      <x:c r="KG65" s="14"/>
      <x:c r="KH65" s="14"/>
      <x:c r="KI65" s="14"/>
      <x:c r="KJ65" s="14"/>
      <x:c r="KK65" s="14"/>
      <x:c r="KL65" s="14"/>
      <x:c r="KM65" s="14"/>
      <x:c r="KN65" s="14"/>
      <x:c r="KO65" s="14"/>
      <x:c r="KP65" s="14"/>
      <x:c r="KQ65" s="14"/>
      <x:c r="KR65" s="14"/>
      <x:c r="KS65" s="14"/>
      <x:c r="KT65" s="14"/>
      <x:c r="KU65" s="14"/>
      <x:c r="KV65" s="14"/>
      <x:c r="KW65" s="14"/>
      <x:c r="KX65" s="14"/>
      <x:c r="KY65" s="14"/>
      <x:c r="KZ65" s="14"/>
      <x:c r="LA65" s="14"/>
      <x:c r="LB65" s="14"/>
      <x:c r="LC65" s="14"/>
      <x:c r="LD65" s="14"/>
      <x:c r="LE65" s="14"/>
      <x:c r="LF65" s="14"/>
      <x:c r="LG65" s="14"/>
      <x:c r="LH65" s="14"/>
      <x:c r="LI65" s="14"/>
      <x:c r="LJ65" s="14"/>
      <x:c r="LK65" s="14"/>
      <x:c r="LL65" s="14"/>
      <x:c r="LM65" s="14"/>
      <x:c r="LN65" s="14"/>
      <x:c r="LO65" s="14"/>
      <x:c r="LP65" s="14"/>
      <x:c r="LQ65" s="14"/>
      <x:c r="LR65" s="14"/>
      <x:c r="LS65" s="14"/>
      <x:c r="LT65" s="14"/>
      <x:c r="LU65" s="14"/>
      <x:c r="LV65" s="14"/>
      <x:c r="LW65" s="14"/>
      <x:c r="LX65" s="14"/>
      <x:c r="LY65" s="14"/>
      <x:c r="LZ65" s="14"/>
      <x:c r="MA65" s="14"/>
      <x:c r="MB65" s="14"/>
      <x:c r="MC65" s="14"/>
      <x:c r="MD65" s="14"/>
      <x:c r="ME65" s="14"/>
      <x:c r="MF65" s="14"/>
      <x:c r="MG65" s="14"/>
      <x:c r="MH65" s="14"/>
      <x:c r="MI65" s="14"/>
      <x:c r="MJ65" s="14"/>
      <x:c r="MK65" s="14"/>
      <x:c r="ML65" s="14"/>
      <x:c r="MM65" s="14"/>
      <x:c r="MN65" s="14"/>
      <x:c r="MO65" s="14"/>
      <x:c r="MP65" s="14"/>
      <x:c r="MQ65" s="14"/>
      <x:c r="MR65" s="14"/>
      <x:c r="MS65" s="14"/>
      <x:c r="MT65" s="14"/>
      <x:c r="MU65" s="14"/>
      <x:c r="MV65" s="14"/>
      <x:c r="MW65" s="14"/>
      <x:c r="MX65" s="14"/>
      <x:c r="MY65" s="14"/>
      <x:c r="MZ65" s="14"/>
      <x:c r="NA65" s="14"/>
      <x:c r="NB65" s="14"/>
      <x:c r="NC65" s="14"/>
      <x:c r="ND65" s="14"/>
      <x:c r="NE65" s="14"/>
      <x:c r="NF65" s="14"/>
      <x:c r="NG65" s="14"/>
      <x:c r="NH65" s="14"/>
      <x:c r="NI65" s="14"/>
      <x:c r="NJ65" s="14"/>
      <x:c r="NK65" s="14"/>
      <x:c r="NL65" s="14"/>
      <x:c r="NM65" s="14"/>
      <x:c r="NN65" s="14"/>
      <x:c r="NO65" s="14"/>
      <x:c r="NP65" s="14"/>
      <x:c r="NQ65" s="14"/>
      <x:c r="NR65" s="14"/>
      <x:c r="NS65" s="14"/>
      <x:c r="NT65" s="14"/>
      <x:c r="NU65" s="14"/>
      <x:c r="NV65" s="14"/>
      <x:c r="NW65" s="14"/>
      <x:c r="NX65" s="14"/>
      <x:c r="NY65" s="14"/>
      <x:c r="NZ65" s="14"/>
      <x:c r="OA65" s="14"/>
      <x:c r="OB65" s="14"/>
      <x:c r="OC65" s="14"/>
      <x:c r="OD65" s="14"/>
      <x:c r="OE65" s="14"/>
      <x:c r="OF65" s="14"/>
      <x:c r="OG65" s="14"/>
      <x:c r="OH65" s="14"/>
      <x:c r="OI65" s="14"/>
      <x:c r="OJ65" s="14"/>
      <x:c r="OK65" s="14"/>
      <x:c r="OL65" s="14"/>
      <x:c r="OM65" s="14"/>
      <x:c r="ON65" s="14"/>
      <x:c r="OO65" s="14"/>
      <x:c r="OP65" s="14"/>
      <x:c r="OQ65" s="14"/>
      <x:c r="OR65" s="14"/>
      <x:c r="OS65" s="14"/>
      <x:c r="OT65" s="14"/>
      <x:c r="OU65" s="14"/>
      <x:c r="OV65" s="14"/>
      <x:c r="OW65" s="14"/>
      <x:c r="OX65" s="14"/>
      <x:c r="OY65" s="14"/>
      <x:c r="OZ65" s="14"/>
      <x:c r="PA65" s="14"/>
      <x:c r="PB65" s="14"/>
      <x:c r="PC65" s="14"/>
      <x:c r="PD65" s="14"/>
      <x:c r="PE65" s="14"/>
      <x:c r="PF65" s="14"/>
      <x:c r="PG65" s="14"/>
      <x:c r="PH65" s="14"/>
      <x:c r="PI65" s="14"/>
      <x:c r="PJ65" s="14"/>
      <x:c r="PK65" s="14"/>
      <x:c r="PL65" s="14"/>
      <x:c r="PM65" s="14"/>
      <x:c r="PN65" s="14"/>
      <x:c r="PO65" s="14"/>
      <x:c r="PP65" s="14"/>
      <x:c r="PQ65" s="14"/>
      <x:c r="PR65" s="14"/>
      <x:c r="PS65" s="14"/>
      <x:c r="PT65" s="14"/>
      <x:c r="PU65" s="14"/>
      <x:c r="PV65" s="14"/>
      <x:c r="PW65" s="14"/>
      <x:c r="PX65" s="14"/>
      <x:c r="PY65" s="14"/>
      <x:c r="PZ65" s="14"/>
      <x:c r="QA65" s="14"/>
      <x:c r="QB65" s="14"/>
      <x:c r="QC65" s="14"/>
      <x:c r="QD65" s="14"/>
      <x:c r="QE65" s="14"/>
      <x:c r="QF65" s="14"/>
      <x:c r="QG65" s="14"/>
      <x:c r="QH65" s="14"/>
      <x:c r="QI65" s="14"/>
      <x:c r="QJ65" s="14"/>
      <x:c r="QK65" s="14"/>
      <x:c r="QL65" s="14"/>
      <x:c r="QM65" s="14"/>
      <x:c r="QN65" s="14"/>
      <x:c r="QO65" s="14"/>
      <x:c r="QP65" s="14"/>
      <x:c r="QQ65" s="14"/>
      <x:c r="QR65" s="14"/>
      <x:c r="QS65" s="14"/>
      <x:c r="QT65" s="14"/>
      <x:c r="QU65" s="14"/>
      <x:c r="QV65" s="14"/>
      <x:c r="QW65" s="14"/>
      <x:c r="QX65" s="14"/>
      <x:c r="QY65" s="14"/>
      <x:c r="QZ65" s="14"/>
      <x:c r="RA65" s="14"/>
      <x:c r="RB65" s="14"/>
      <x:c r="RC65" s="14"/>
      <x:c r="RD65" s="14"/>
      <x:c r="RE65" s="14"/>
      <x:c r="RF65" s="14"/>
      <x:c r="RG65" s="14"/>
      <x:c r="RH65" s="14"/>
      <x:c r="RI65" s="14"/>
      <x:c r="RJ65" s="14"/>
      <x:c r="RK65" s="14"/>
      <x:c r="RL65" s="14"/>
      <x:c r="RM65" s="14"/>
      <x:c r="RN65" s="14"/>
      <x:c r="RO65" s="14"/>
      <x:c r="RP65" s="14"/>
      <x:c r="RQ65" s="14"/>
      <x:c r="RR65" s="14"/>
      <x:c r="RS65" s="14"/>
      <x:c r="RT65" s="14"/>
      <x:c r="RU65" s="14"/>
      <x:c r="RV65" s="14"/>
      <x:c r="RW65" s="14"/>
      <x:c r="RX65" s="14"/>
      <x:c r="RY65" s="14"/>
      <x:c r="RZ65" s="14"/>
      <x:c r="SA65" s="14"/>
      <x:c r="SB65" s="14"/>
      <x:c r="SC65" s="14"/>
      <x:c r="SD65" s="14"/>
      <x:c r="SE65" s="14"/>
      <x:c r="SF65" s="14"/>
      <x:c r="SG65" s="14"/>
      <x:c r="SH65" s="14"/>
      <x:c r="SI65" s="14"/>
      <x:c r="SJ65" s="14"/>
      <x:c r="SK65" s="14"/>
      <x:c r="SL65" s="14"/>
      <x:c r="SM65" s="14"/>
      <x:c r="SN65" s="14"/>
      <x:c r="SO65" s="14"/>
      <x:c r="SP65" s="14"/>
      <x:c r="SQ65" s="14"/>
      <x:c r="SR65" s="14"/>
      <x:c r="SS65" s="14"/>
      <x:c r="ST65" s="14"/>
      <x:c r="SU65" s="14"/>
      <x:c r="SV65" s="14"/>
      <x:c r="SW65" s="14"/>
      <x:c r="SX65" s="14"/>
      <x:c r="SY65" s="14"/>
      <x:c r="SZ65" s="14"/>
      <x:c r="TA65" s="14"/>
      <x:c r="TB65" s="14"/>
      <x:c r="TC65" s="14"/>
      <x:c r="TD65" s="14"/>
      <x:c r="TE65" s="14"/>
      <x:c r="TF65" s="14"/>
      <x:c r="TG65" s="14"/>
      <x:c r="TH65" s="14"/>
    </x:row>
    <x:row r="66" ht="25" customHeight="1">
      <x:c r="A66" s="16" t="str">
        <x:v>劍類3　／　53 筆</x:v>
      </x:c>
      <x:c r="B66" s="16"/>
      <x:c r="C66" s="16"/>
      <x:c r="D66" s="16"/>
      <x:c r="E66" s="14"/>
      <x:c r="F66" s="16" t="str">
        <x:v>刀類3　／　44 筆</x:v>
      </x:c>
      <x:c r="G66" s="16"/>
      <x:c r="H66" s="16"/>
      <x:c r="I66" s="16"/>
      <x:c r="J66" s="14"/>
      <x:c r="K66" s="14"/>
      <x:c r="L66" s="14"/>
      <x:c r="M66" s="14"/>
      <x:c r="N66" s="14"/>
      <x:c r="O66" s="14"/>
      <x:c r="P66" s="14"/>
      <x:c r="Q66" s="14"/>
      <x:c r="R66" s="14"/>
      <x:c r="S66" s="14"/>
      <x:c r="T66" s="14"/>
      <x:c r="U66" s="14"/>
      <x:c r="V66" s="14"/>
      <x:c r="W66" s="14"/>
      <x:c r="X66" s="14"/>
      <x:c r="Y66" s="14"/>
      <x:c r="Z66" s="14"/>
      <x:c r="AA66" s="14"/>
      <x:c r="AB66" s="14"/>
      <x:c r="AC66" s="14"/>
      <x:c r="AD66" s="14"/>
      <x:c r="AE66" s="14"/>
      <x:c r="AF66" s="14"/>
      <x:c r="AG66" s="14"/>
      <x:c r="AH66" s="14"/>
      <x:c r="AI66" s="14"/>
      <x:c r="AJ66" s="14"/>
      <x:c r="AK66" s="14"/>
      <x:c r="AL66" s="14"/>
      <x:c r="AM66" s="14"/>
      <x:c r="AN66" s="14"/>
      <x:c r="AO66" s="14"/>
      <x:c r="AP66" s="14"/>
      <x:c r="AQ66" s="14"/>
      <x:c r="AR66" s="14"/>
      <x:c r="AS66" s="14"/>
      <x:c r="AT66" s="14"/>
      <x:c r="AU66" s="14"/>
      <x:c r="AV66" s="14"/>
      <x:c r="AW66" s="14"/>
      <x:c r="AX66" s="14"/>
      <x:c r="AY66" s="16" t="str">
        <x:v>帽子類3　／　96 筆</x:v>
      </x:c>
      <x:c r="AZ66" s="16"/>
      <x:c r="BA66" s="16"/>
      <x:c r="BB66" s="16"/>
      <x:c r="BC66" s="14"/>
      <x:c r="BD66" s="16" t="str">
        <x:v>衣服類3　／　96 筆</x:v>
      </x:c>
      <x:c r="BE66" s="16"/>
      <x:c r="BF66" s="16"/>
      <x:c r="BG66" s="16"/>
      <x:c r="BH66" s="14"/>
      <x:c r="BI66" s="16" t="str">
        <x:v>護腕類3　／　96 筆</x:v>
      </x:c>
      <x:c r="BJ66" s="16"/>
      <x:c r="BK66" s="16"/>
      <x:c r="BL66" s="16"/>
      <x:c r="BM66" s="14"/>
      <x:c r="BN66" s="16" t="str">
        <x:v>鞋子類3　／　96 筆</x:v>
      </x:c>
      <x:c r="BO66" s="16"/>
      <x:c r="BP66" s="16"/>
      <x:c r="BQ66" s="16"/>
      <x:c r="BR66" s="14"/>
      <x:c r="BS66" s="16" t="str">
        <x:v>飾品類3　／　96 筆</x:v>
      </x:c>
      <x:c r="BT66" s="16"/>
      <x:c r="BU66" s="16"/>
      <x:c r="BV66" s="16"/>
      <x:c r="BW66" s="14"/>
      <x:c r="BX66" s="14"/>
      <x:c r="BY66" s="14"/>
      <x:c r="BZ66" s="14"/>
      <x:c r="CA66" s="14"/>
      <x:c r="CB66" s="14"/>
      <x:c r="CC66" s="14"/>
      <x:c r="CD66" s="14"/>
      <x:c r="CE66" s="14"/>
      <x:c r="CF66" s="14"/>
      <x:c r="CG66" s="14"/>
      <x:c r="CH66" s="14"/>
      <x:c r="CI66" s="14"/>
      <x:c r="CJ66" s="14"/>
      <x:c r="CK66" s="14"/>
      <x:c r="CL66" s="14"/>
      <x:c r="CM66" s="14"/>
      <x:c r="CN66" s="14"/>
      <x:c r="CO66" s="14"/>
      <x:c r="CP66" s="14"/>
      <x:c r="CQ66" s="14"/>
      <x:c r="CR66" s="14"/>
      <x:c r="CS66" s="14"/>
      <x:c r="CT66" s="14"/>
      <x:c r="CU66" s="14"/>
      <x:c r="CV66" s="14"/>
      <x:c r="CW66" s="14"/>
      <x:c r="CX66" s="14"/>
      <x:c r="CY66" s="14"/>
      <x:c r="CZ66" s="14"/>
      <x:c r="DA66" s="14"/>
      <x:c r="DB66" s="14"/>
      <x:c r="DC66" s="14"/>
      <x:c r="DD66" s="14"/>
      <x:c r="DE66" s="14"/>
      <x:c r="DF66" s="14"/>
      <x:c r="DG66" s="14"/>
      <x:c r="DH66" s="14"/>
      <x:c r="DI66" s="14"/>
      <x:c r="DJ66" s="14"/>
      <x:c r="DK66" s="14"/>
      <x:c r="DL66" s="14"/>
      <x:c r="DM66" s="14"/>
      <x:c r="DN66" s="14"/>
      <x:c r="DO66" s="14"/>
      <x:c r="DP66" s="14"/>
      <x:c r="DQ66" s="14"/>
      <x:c r="DR66" s="14"/>
      <x:c r="DS66" s="14"/>
      <x:c r="DT66" s="14"/>
      <x:c r="DU66" s="14"/>
      <x:c r="DV66" s="14"/>
      <x:c r="DW66" s="14"/>
      <x:c r="DX66" s="14"/>
      <x:c r="DY66" s="14"/>
      <x:c r="DZ66" s="14"/>
      <x:c r="EA66" s="14"/>
      <x:c r="EB66" s="14"/>
      <x:c r="EC66" s="14"/>
      <x:c r="ED66" s="14"/>
      <x:c r="EE66" s="14"/>
      <x:c r="EF66" s="14"/>
      <x:c r="EG66" s="14"/>
      <x:c r="EH66" s="14"/>
      <x:c r="EI66" s="14"/>
      <x:c r="EJ66" s="14"/>
      <x:c r="EK66" s="14"/>
      <x:c r="EL66" s="14"/>
      <x:c r="EM66" s="14"/>
      <x:c r="EN66" s="14"/>
      <x:c r="EO66" s="14"/>
      <x:c r="EP66" s="14"/>
      <x:c r="EQ66" s="14"/>
      <x:c r="ER66" s="14"/>
      <x:c r="ES66" s="14"/>
      <x:c r="ET66" s="14"/>
      <x:c r="EU66" s="14"/>
      <x:c r="EV66" s="14"/>
      <x:c r="EW66" s="14"/>
      <x:c r="EX66" s="14"/>
      <x:c r="EY66" s="14"/>
      <x:c r="EZ66" s="14"/>
      <x:c r="FA66" s="14"/>
      <x:c r="FB66" s="14"/>
      <x:c r="FC66" s="14"/>
      <x:c r="FD66" s="14"/>
      <x:c r="FE66" s="14"/>
      <x:c r="FF66" s="14"/>
      <x:c r="FG66" s="14"/>
      <x:c r="FH66" s="14"/>
      <x:c r="FI66" s="14"/>
      <x:c r="FJ66" s="14"/>
      <x:c r="FK66" s="14"/>
      <x:c r="FL66" s="14"/>
      <x:c r="FM66" s="14"/>
      <x:c r="FN66" s="14"/>
      <x:c r="FO66" s="14"/>
      <x:c r="FP66" s="14"/>
      <x:c r="FQ66" s="14"/>
      <x:c r="FR66" s="14"/>
      <x:c r="FS66" s="14"/>
      <x:c r="FT66" s="14"/>
      <x:c r="FU66" s="14"/>
      <x:c r="FV66" s="14"/>
      <x:c r="FW66" s="14"/>
      <x:c r="FX66" s="14"/>
      <x:c r="FY66" s="14"/>
      <x:c r="FZ66" s="14"/>
      <x:c r="GA66" s="14"/>
      <x:c r="GB66" s="14"/>
      <x:c r="GC66" s="14"/>
      <x:c r="GD66" s="14"/>
      <x:c r="GE66" s="14"/>
      <x:c r="GF66" s="14"/>
      <x:c r="GG66" s="14"/>
      <x:c r="GH66" s="14"/>
      <x:c r="GI66" s="14"/>
      <x:c r="GJ66" s="14"/>
      <x:c r="GK66" s="14"/>
      <x:c r="GL66" s="14"/>
      <x:c r="GM66" s="14"/>
      <x:c r="GN66" s="14"/>
      <x:c r="GO66" s="14"/>
      <x:c r="GP66" s="14"/>
      <x:c r="GQ66" s="14"/>
      <x:c r="GR66" s="14"/>
      <x:c r="GS66" s="14"/>
      <x:c r="GT66" s="14"/>
      <x:c r="GU66" s="14"/>
      <x:c r="GV66" s="14"/>
      <x:c r="GW66" s="14"/>
      <x:c r="GX66" s="14"/>
      <x:c r="GY66" s="14"/>
      <x:c r="GZ66" s="14"/>
      <x:c r="HA66" s="14"/>
      <x:c r="HB66" s="14"/>
      <x:c r="HC66" s="14"/>
      <x:c r="HD66" s="14"/>
      <x:c r="HE66" s="14"/>
      <x:c r="HF66" s="14"/>
      <x:c r="HG66" s="14"/>
      <x:c r="HH66" s="14"/>
      <x:c r="HI66" s="14"/>
      <x:c r="HJ66" s="14"/>
      <x:c r="HK66" s="14"/>
      <x:c r="HL66" s="14"/>
      <x:c r="HM66" s="14"/>
      <x:c r="HN66" s="14"/>
      <x:c r="HO66" s="14"/>
      <x:c r="HP66" s="14"/>
      <x:c r="HQ66" s="14"/>
      <x:c r="HR66" s="14"/>
      <x:c r="HS66" s="14"/>
      <x:c r="HT66" s="14"/>
      <x:c r="HU66" s="14"/>
      <x:c r="HV66" s="14"/>
      <x:c r="HW66" s="14"/>
      <x:c r="HX66" s="14"/>
      <x:c r="HY66" s="14"/>
      <x:c r="HZ66" s="14"/>
      <x:c r="IA66" s="14"/>
      <x:c r="IB66" s="14"/>
      <x:c r="IC66" s="14"/>
      <x:c r="ID66" s="14"/>
      <x:c r="IE66" s="14"/>
      <x:c r="IF66" s="14"/>
      <x:c r="IG66" s="14"/>
      <x:c r="IH66" s="14"/>
      <x:c r="II66" s="14"/>
      <x:c r="IJ66" s="14"/>
      <x:c r="IK66" s="14"/>
      <x:c r="IL66" s="14"/>
      <x:c r="IM66" s="14"/>
      <x:c r="IN66" s="14"/>
      <x:c r="IO66" s="14"/>
      <x:c r="IP66" s="14"/>
      <x:c r="IQ66" s="14"/>
      <x:c r="IR66" s="14"/>
      <x:c r="IS66" s="14"/>
      <x:c r="IT66" s="14"/>
      <x:c r="IU66" s="14"/>
      <x:c r="IV66" s="14"/>
      <x:c r="IW66" s="14"/>
      <x:c r="IX66" s="14"/>
      <x:c r="IY66" s="14"/>
      <x:c r="IZ66" s="14"/>
      <x:c r="JA66" s="14"/>
      <x:c r="JB66" s="14"/>
      <x:c r="JC66" s="14"/>
      <x:c r="JD66" s="14"/>
      <x:c r="JE66" s="14"/>
      <x:c r="JF66" s="14"/>
      <x:c r="JG66" s="14"/>
      <x:c r="JH66" s="14"/>
      <x:c r="JI66" s="14"/>
      <x:c r="JJ66" s="14"/>
      <x:c r="JK66" s="14"/>
      <x:c r="JL66" s="14"/>
      <x:c r="JM66" s="14"/>
      <x:c r="JN66" s="14"/>
      <x:c r="JO66" s="14"/>
      <x:c r="JP66" s="14"/>
      <x:c r="JQ66" s="14"/>
      <x:c r="JR66" s="14"/>
      <x:c r="JS66" s="14"/>
      <x:c r="JT66" s="14"/>
      <x:c r="JU66" s="14"/>
      <x:c r="JV66" s="14"/>
      <x:c r="JW66" s="14"/>
      <x:c r="JX66" s="14"/>
      <x:c r="JY66" s="14"/>
      <x:c r="JZ66" s="14"/>
      <x:c r="KA66" s="14"/>
      <x:c r="KB66" s="14"/>
      <x:c r="KC66" s="14"/>
      <x:c r="KD66" s="14"/>
      <x:c r="KE66" s="14"/>
      <x:c r="KF66" s="14"/>
      <x:c r="KG66" s="14"/>
      <x:c r="KH66" s="14"/>
      <x:c r="KI66" s="14"/>
      <x:c r="KJ66" s="14"/>
      <x:c r="KK66" s="14"/>
      <x:c r="KL66" s="14"/>
      <x:c r="KM66" s="14"/>
      <x:c r="KN66" s="14"/>
      <x:c r="KO66" s="14"/>
      <x:c r="KP66" s="14"/>
      <x:c r="KQ66" s="14"/>
      <x:c r="KR66" s="14"/>
      <x:c r="KS66" s="14"/>
      <x:c r="KT66" s="14"/>
      <x:c r="KU66" s="14"/>
      <x:c r="KV66" s="14"/>
      <x:c r="KW66" s="14"/>
      <x:c r="KX66" s="14"/>
      <x:c r="KY66" s="14"/>
      <x:c r="KZ66" s="14"/>
      <x:c r="LA66" s="14"/>
      <x:c r="LB66" s="14"/>
      <x:c r="LC66" s="14"/>
      <x:c r="LD66" s="14"/>
      <x:c r="LE66" s="14"/>
      <x:c r="LF66" s="14"/>
      <x:c r="LG66" s="14"/>
      <x:c r="LH66" s="14"/>
      <x:c r="LI66" s="14"/>
      <x:c r="LJ66" s="14"/>
      <x:c r="LK66" s="14"/>
      <x:c r="LL66" s="14"/>
      <x:c r="LM66" s="14"/>
      <x:c r="LN66" s="14"/>
      <x:c r="LO66" s="14"/>
      <x:c r="LP66" s="14"/>
      <x:c r="LQ66" s="14"/>
      <x:c r="LR66" s="14"/>
      <x:c r="LS66" s="14"/>
      <x:c r="LT66" s="14"/>
      <x:c r="LU66" s="14"/>
      <x:c r="LV66" s="14"/>
      <x:c r="LW66" s="14"/>
      <x:c r="LX66" s="14"/>
      <x:c r="LY66" s="14"/>
      <x:c r="LZ66" s="14"/>
      <x:c r="MA66" s="14"/>
      <x:c r="MB66" s="14"/>
      <x:c r="MC66" s="14"/>
      <x:c r="MD66" s="14"/>
      <x:c r="ME66" s="14"/>
      <x:c r="MF66" s="14"/>
      <x:c r="MG66" s="14"/>
      <x:c r="MH66" s="14"/>
      <x:c r="MI66" s="14"/>
      <x:c r="MJ66" s="14"/>
      <x:c r="MK66" s="14"/>
      <x:c r="ML66" s="14"/>
      <x:c r="MM66" s="14"/>
      <x:c r="MN66" s="14"/>
      <x:c r="MO66" s="14"/>
      <x:c r="MP66" s="14"/>
      <x:c r="MQ66" s="14"/>
      <x:c r="MR66" s="14"/>
      <x:c r="MS66" s="14"/>
      <x:c r="MT66" s="14"/>
      <x:c r="MU66" s="14"/>
      <x:c r="MV66" s="14"/>
      <x:c r="MW66" s="14"/>
      <x:c r="MX66" s="14"/>
      <x:c r="MY66" s="14"/>
      <x:c r="MZ66" s="14"/>
      <x:c r="NA66" s="14"/>
      <x:c r="NB66" s="14"/>
      <x:c r="NC66" s="14"/>
      <x:c r="ND66" s="14"/>
      <x:c r="NE66" s="14"/>
      <x:c r="NF66" s="14"/>
      <x:c r="NG66" s="14"/>
      <x:c r="NH66" s="14"/>
      <x:c r="NI66" s="14"/>
      <x:c r="NJ66" s="14"/>
      <x:c r="NK66" s="14"/>
      <x:c r="NL66" s="14"/>
      <x:c r="NM66" s="14"/>
      <x:c r="NN66" s="14"/>
      <x:c r="NO66" s="14"/>
      <x:c r="NP66" s="14"/>
      <x:c r="NQ66" s="14"/>
      <x:c r="NR66" s="14"/>
      <x:c r="NS66" s="14"/>
      <x:c r="NT66" s="14"/>
      <x:c r="NU66" s="14"/>
      <x:c r="NV66" s="14"/>
      <x:c r="NW66" s="14"/>
      <x:c r="NX66" s="14"/>
      <x:c r="NY66" s="14"/>
      <x:c r="NZ66" s="14"/>
      <x:c r="OA66" s="14"/>
      <x:c r="OB66" s="14"/>
      <x:c r="OC66" s="14"/>
      <x:c r="OD66" s="14"/>
      <x:c r="OE66" s="14"/>
      <x:c r="OF66" s="14"/>
      <x:c r="OG66" s="14"/>
      <x:c r="OH66" s="14"/>
      <x:c r="OI66" s="14"/>
      <x:c r="OJ66" s="14"/>
      <x:c r="OK66" s="14"/>
      <x:c r="OL66" s="14"/>
      <x:c r="OM66" s="14"/>
      <x:c r="ON66" s="14"/>
      <x:c r="OO66" s="14"/>
      <x:c r="OP66" s="14"/>
      <x:c r="OQ66" s="14"/>
      <x:c r="OR66" s="14"/>
      <x:c r="OS66" s="14"/>
      <x:c r="OT66" s="14"/>
      <x:c r="OU66" s="14"/>
      <x:c r="OV66" s="14"/>
      <x:c r="OW66" s="14"/>
      <x:c r="OX66" s="14"/>
      <x:c r="OY66" s="14"/>
      <x:c r="OZ66" s="14"/>
      <x:c r="PA66" s="14"/>
      <x:c r="PB66" s="14"/>
      <x:c r="PC66" s="14"/>
      <x:c r="PD66" s="14"/>
      <x:c r="PE66" s="14"/>
      <x:c r="PF66" s="14"/>
      <x:c r="PG66" s="14"/>
      <x:c r="PH66" s="14"/>
      <x:c r="PI66" s="14"/>
      <x:c r="PJ66" s="14"/>
      <x:c r="PK66" s="14"/>
      <x:c r="PL66" s="14"/>
      <x:c r="PM66" s="14"/>
      <x:c r="PN66" s="14"/>
      <x:c r="PO66" s="14"/>
      <x:c r="PP66" s="14"/>
      <x:c r="PQ66" s="14"/>
      <x:c r="PR66" s="14"/>
      <x:c r="PS66" s="14"/>
      <x:c r="PT66" s="14"/>
      <x:c r="PU66" s="14"/>
      <x:c r="PV66" s="14"/>
      <x:c r="PW66" s="14"/>
      <x:c r="PX66" s="14"/>
      <x:c r="PY66" s="14"/>
      <x:c r="PZ66" s="14"/>
      <x:c r="QA66" s="14"/>
      <x:c r="QB66" s="14"/>
      <x:c r="QC66" s="14"/>
      <x:c r="QD66" s="14"/>
      <x:c r="QE66" s="14"/>
      <x:c r="QF66" s="14"/>
      <x:c r="QG66" s="14"/>
      <x:c r="QH66" s="14"/>
      <x:c r="QI66" s="14"/>
      <x:c r="QJ66" s="14"/>
      <x:c r="QK66" s="14"/>
      <x:c r="QL66" s="14"/>
      <x:c r="QM66" s="14"/>
      <x:c r="QN66" s="14"/>
      <x:c r="QO66" s="14"/>
      <x:c r="QP66" s="14"/>
      <x:c r="QQ66" s="14"/>
      <x:c r="QR66" s="14"/>
      <x:c r="QS66" s="14"/>
      <x:c r="QT66" s="14"/>
      <x:c r="QU66" s="14"/>
      <x:c r="QV66" s="14"/>
      <x:c r="QW66" s="14"/>
      <x:c r="QX66" s="14"/>
      <x:c r="QY66" s="14"/>
      <x:c r="QZ66" s="14"/>
      <x:c r="RA66" s="14"/>
      <x:c r="RB66" s="14"/>
      <x:c r="RC66" s="14"/>
      <x:c r="RD66" s="14"/>
      <x:c r="RE66" s="14"/>
      <x:c r="RF66" s="14"/>
      <x:c r="RG66" s="14"/>
      <x:c r="RH66" s="14"/>
      <x:c r="RI66" s="14"/>
      <x:c r="RJ66" s="14"/>
      <x:c r="RK66" s="14"/>
      <x:c r="RL66" s="14"/>
      <x:c r="RM66" s="14"/>
      <x:c r="RN66" s="14"/>
      <x:c r="RO66" s="14"/>
      <x:c r="RP66" s="14"/>
      <x:c r="RQ66" s="14"/>
      <x:c r="RR66" s="14"/>
      <x:c r="RS66" s="14"/>
      <x:c r="RT66" s="14"/>
      <x:c r="RU66" s="14"/>
      <x:c r="RV66" s="14"/>
      <x:c r="RW66" s="14"/>
      <x:c r="RX66" s="14"/>
      <x:c r="RY66" s="14"/>
      <x:c r="RZ66" s="14"/>
      <x:c r="SA66" s="14"/>
      <x:c r="SB66" s="14"/>
      <x:c r="SC66" s="14"/>
      <x:c r="SD66" s="14"/>
      <x:c r="SE66" s="14"/>
      <x:c r="SF66" s="14"/>
      <x:c r="SG66" s="14"/>
      <x:c r="SH66" s="14"/>
      <x:c r="SI66" s="14"/>
      <x:c r="SJ66" s="14"/>
      <x:c r="SK66" s="14"/>
      <x:c r="SL66" s="14"/>
      <x:c r="SM66" s="14"/>
      <x:c r="SN66" s="14"/>
      <x:c r="SO66" s="14"/>
      <x:c r="SP66" s="14"/>
      <x:c r="SQ66" s="14"/>
      <x:c r="SR66" s="14"/>
      <x:c r="SS66" s="14"/>
      <x:c r="ST66" s="14"/>
      <x:c r="SU66" s="14"/>
      <x:c r="SV66" s="14"/>
      <x:c r="SW66" s="14"/>
      <x:c r="SX66" s="14"/>
      <x:c r="SY66" s="14"/>
      <x:c r="SZ66" s="14"/>
      <x:c r="TA66" s="14"/>
      <x:c r="TB66" s="14"/>
      <x:c r="TC66" s="14"/>
      <x:c r="TD66" s="14"/>
      <x:c r="TE66" s="14"/>
      <x:c r="TF66" s="14"/>
      <x:c r="TG66" s="14"/>
      <x:c r="TH66" s="14"/>
    </x:row>
    <x:row r="67" ht="15" customHeight="1">
      <x:c r="A67" s="17" t="str">
        <x:v>乾坤太極　天劍</x:v>
      </x:c>
      <x:c r="B67" s="17" t="str">
        <x:v>證道無瑕劍</x:v>
      </x:c>
      <x:c r="C67" s="17" t="str">
        <x:v>幻神霸凰劍</x:v>
      </x:c>
      <x:c r="D67" s="17" t="str">
        <x:v>太初聖曦劍</x:v>
      </x:c>
      <x:c r="E67" s="14"/>
      <x:c r="F67" s="17" t="str">
        <x:v>金獅宮逆斬刀</x:v>
      </x:c>
      <x:c r="G67" s="17" t="str">
        <x:v>北荒燭龍刀</x:v>
      </x:c>
      <x:c r="H67" s="17" t="str">
        <x:v>法皇刃‧無私</x:v>
      </x:c>
      <x:c r="I67" s="17" t="str">
        <x:v>滅刃‧達因斯</x:v>
      </x:c>
      <x:c r="J67" s="14"/>
      <x:c r="K67" s="14"/>
      <x:c r="L67" s="14"/>
      <x:c r="M67" s="14"/>
      <x:c r="N67" s="14"/>
      <x:c r="O67" s="14"/>
      <x:c r="P67" s="14"/>
      <x:c r="Q67" s="14"/>
      <x:c r="R67" s="14"/>
      <x:c r="S67" s="14"/>
      <x:c r="T67" s="14"/>
      <x:c r="U67" s="14"/>
      <x:c r="V67" s="14"/>
      <x:c r="W67" s="14"/>
      <x:c r="X67" s="14"/>
      <x:c r="Y67" s="14"/>
      <x:c r="Z67" s="14"/>
      <x:c r="AA67" s="14"/>
      <x:c r="AB67" s="14"/>
      <x:c r="AC67" s="14"/>
      <x:c r="AD67" s="14"/>
      <x:c r="AE67" s="14"/>
      <x:c r="AF67" s="14"/>
      <x:c r="AG67" s="14"/>
      <x:c r="AH67" s="14"/>
      <x:c r="AI67" s="14"/>
      <x:c r="AJ67" s="14"/>
      <x:c r="AK67" s="14"/>
      <x:c r="AL67" s="14"/>
      <x:c r="AM67" s="14"/>
      <x:c r="AN67" s="14"/>
      <x:c r="AO67" s="14"/>
      <x:c r="AP67" s="14"/>
      <x:c r="AQ67" s="14"/>
      <x:c r="AR67" s="14"/>
      <x:c r="AS67" s="14"/>
      <x:c r="AT67" s="14"/>
      <x:c r="AU67" s="14"/>
      <x:c r="AV67" s="14"/>
      <x:c r="AW67" s="14"/>
      <x:c r="AX67" s="14"/>
      <x:c r="AY67" s="17" t="str">
        <x:v>鎢銀戰盔</x:v>
      </x:c>
      <x:c r="AZ67" s="17" t="str">
        <x:v>逐浪羽巾</x:v>
      </x:c>
      <x:c r="BA67" s="17" t="str">
        <x:v>星儀天幔</x:v>
      </x:c>
      <x:c r="BB67" s="17" t="str">
        <x:v>智法禪帽</x:v>
      </x:c>
      <x:c r="BC67" s="14"/>
      <x:c r="BD67" s="17" t="str">
        <x:v>騰煉戰甲</x:v>
      </x:c>
      <x:c r="BE67" s="17" t="str">
        <x:v>六虛織袍</x:v>
      </x:c>
      <x:c r="BF67" s="17" t="str">
        <x:v>碧虛織袍</x:v>
      </x:c>
      <x:c r="BG67" s="17" t="str">
        <x:v>太虛織袍</x:v>
      </x:c>
      <x:c r="BH67" s="14"/>
      <x:c r="BI67" s="17" t="str">
        <x:v>銀宇真幻虹腕</x:v>
      </x:c>
      <x:c r="BJ67" s="17" t="str">
        <x:v>劍宗御護腕</x:v>
      </x:c>
      <x:c r="BK67" s="17" t="str">
        <x:v>武宗尊勇臂</x:v>
      </x:c>
      <x:c r="BL67" s="17" t="str">
        <x:v>術宗雲飛手</x:v>
      </x:c>
      <x:c r="BM67" s="14"/>
      <x:c r="BN67" s="17" t="str">
        <x:v>魔滅脛甲</x:v>
      </x:c>
      <x:c r="BO67" s="17" t="str">
        <x:v>聖庇道靴</x:v>
      </x:c>
      <x:c r="BP67" s="17" t="str">
        <x:v>天導禪靴</x:v>
      </x:c>
      <x:c r="BQ67" s="17" t="str">
        <x:v>寰地真仙馳靴</x:v>
      </x:c>
      <x:c r="BR67" s="14"/>
      <x:c r="BS67" s="17" t="str">
        <x:v>仙鑄‧朱雀環</x:v>
      </x:c>
      <x:c r="BT67" s="17" t="str">
        <x:v>仙鑄‧玄武璧</x:v>
      </x:c>
      <x:c r="BU67" s="17" t="str">
        <x:v>神煉‧青龍戒</x:v>
      </x:c>
      <x:c r="BV67" s="17" t="str">
        <x:v>神煉‧白虎玉</x:v>
      </x:c>
      <x:c r="BW67" s="14"/>
      <x:c r="BX67" s="14"/>
      <x:c r="BY67" s="14"/>
      <x:c r="BZ67" s="14"/>
      <x:c r="CA67" s="14"/>
      <x:c r="CB67" s="14"/>
      <x:c r="CC67" s="14" t="str">
        <x:v>26416</x:v>
      </x:c>
      <x:c r="CD67" s="14" t="n">
        <x:v>10</x:v>
      </x:c>
      <x:c r="CE67" s="14" t="n">
        <x:v>193</x:v>
      </x:c>
      <x:c r="CF67" s="14" t="n">
        <x:v>193</x:v>
      </x:c>
      <x:c r="CG67" s="14" t="n">
        <x:v>1</x:v>
      </x:c>
      <x:c r="CH67" s="14" t="n">
        <x:v>1</x:v>
      </x:c>
      <x:c r="CI67" s="14" t="str">
        <x:v>未收錄</x:v>
      </x:c>
      <x:c r="CJ67" s="14" t="str">
        <x:v>23382</x:v>
      </x:c>
      <x:c r="CK67" s="14" t="n">
        <x:v>20</x:v>
      </x:c>
      <x:c r="CL67" s="14" t="n">
        <x:v>194</x:v>
      </x:c>
      <x:c r="CM67" s="14" t="n">
        <x:v>194</x:v>
      </x:c>
      <x:c r="CN67" s="14" t="n">
        <x:v>1</x:v>
      </x:c>
      <x:c r="CO67" s="14" t="n">
        <x:v>2</x:v>
      </x:c>
      <x:c r="CP67" s="14" t="str">
        <x:v>未收錄</x:v>
      </x:c>
      <x:c r="CQ67" s="14" t="str">
        <x:v>23775</x:v>
      </x:c>
      <x:c r="CR67" s="14" t="n">
        <x:v>20</x:v>
      </x:c>
      <x:c r="CS67" s="14" t="n">
        <x:v>195</x:v>
      </x:c>
      <x:c r="CT67" s="14" t="n">
        <x:v>195</x:v>
      </x:c>
      <x:c r="CU67" s="14" t="n">
        <x:v>1</x:v>
      </x:c>
      <x:c r="CV67" s="14" t="n">
        <x:v>3</x:v>
      </x:c>
      <x:c r="CW67" s="14" t="str">
        <x:v>未收錄</x:v>
      </x:c>
      <x:c r="CX67" s="14" t="str">
        <x:v>24242</x:v>
      </x:c>
      <x:c r="CY67" s="14" t="n">
        <x:v>20</x:v>
      </x:c>
      <x:c r="CZ67" s="14" t="n">
        <x:v>196</x:v>
      </x:c>
      <x:c r="DA67" s="14" t="n">
        <x:v>196</x:v>
      </x:c>
      <x:c r="DB67" s="14" t="n">
        <x:v>1</x:v>
      </x:c>
      <x:c r="DC67" s="14" t="n">
        <x:v>4</x:v>
      </x:c>
      <x:c r="DD67" s="14" t="str">
        <x:v>未收錄</x:v>
      </x:c>
      <x:c r="DE67" s="14" t="str">
        <x:v>27568</x:v>
      </x:c>
      <x:c r="DF67" s="14" t="n">
        <x:v>20</x:v>
      </x:c>
      <x:c r="DG67" s="14" t="n">
        <x:v>438</x:v>
      </x:c>
      <x:c r="DH67" s="14" t="n">
        <x:v>193</x:v>
      </x:c>
      <x:c r="DI67" s="14" t="n">
        <x:v>1</x:v>
      </x:c>
      <x:c r="DJ67" s="14" t="n">
        <x:v>1</x:v>
      </x:c>
      <x:c r="DK67" s="14" t="str">
        <x:v>未收錄</x:v>
      </x:c>
      <x:c r="DL67" s="14" t="str">
        <x:v>27995</x:v>
      </x:c>
      <x:c r="DM67" s="14" t="n">
        <x:v>20</x:v>
      </x:c>
      <x:c r="DN67" s="14" t="n">
        <x:v>439</x:v>
      </x:c>
      <x:c r="DO67" s="14" t="n">
        <x:v>194</x:v>
      </x:c>
      <x:c r="DP67" s="14" t="n">
        <x:v>1</x:v>
      </x:c>
      <x:c r="DQ67" s="14" t="n">
        <x:v>2</x:v>
      </x:c>
      <x:c r="DR67" s="14" t="str">
        <x:v>未收錄</x:v>
      </x:c>
      <x:c r="DS67" s="14" t="str">
        <x:v>28153</x:v>
      </x:c>
      <x:c r="DT67" s="14" t="n">
        <x:v>20</x:v>
      </x:c>
      <x:c r="DU67" s="14" t="n">
        <x:v>440</x:v>
      </x:c>
      <x:c r="DV67" s="14" t="n">
        <x:v>195</x:v>
      </x:c>
      <x:c r="DW67" s="14" t="n">
        <x:v>1</x:v>
      </x:c>
      <x:c r="DX67" s="14" t="n">
        <x:v>3</x:v>
      </x:c>
      <x:c r="DY67" s="14" t="str">
        <x:v>未收錄</x:v>
      </x:c>
      <x:c r="DZ67" s="14" t="str">
        <x:v>28490</x:v>
      </x:c>
      <x:c r="EA67" s="14" t="n">
        <x:v>20</x:v>
      </x:c>
      <x:c r="EB67" s="14" t="n">
        <x:v>441</x:v>
      </x:c>
      <x:c r="EC67" s="14" t="n">
        <x:v>196</x:v>
      </x:c>
      <x:c r="ED67" s="14" t="n">
        <x:v>1</x:v>
      </x:c>
      <x:c r="EE67" s="14" t="n">
        <x:v>4</x:v>
      </x:c>
      <x:c r="EF67" s="14" t="str">
        <x:v>未收錄</x:v>
      </x:c>
      <x:c r="EG67" s="14"/>
      <x:c r="EH67" s="14"/>
      <x:c r="EI67" s="14"/>
      <x:c r="EJ67" s="14"/>
      <x:c r="EK67" s="14"/>
      <x:c r="EL67" s="14"/>
      <x:c r="EM67" s="14"/>
      <x:c r="EN67" s="14"/>
      <x:c r="EO67" s="14"/>
      <x:c r="EP67" s="14"/>
      <x:c r="EQ67" s="14"/>
      <x:c r="ER67" s="14"/>
      <x:c r="ES67" s="14"/>
      <x:c r="ET67" s="14"/>
      <x:c r="EU67" s="14"/>
      <x:c r="EV67" s="14"/>
      <x:c r="EW67" s="14"/>
      <x:c r="EX67" s="14"/>
      <x:c r="EY67" s="14"/>
      <x:c r="EZ67" s="14"/>
      <x:c r="FA67" s="14"/>
      <x:c r="FB67" s="14"/>
      <x:c r="FC67" s="14"/>
      <x:c r="FD67" s="14"/>
      <x:c r="FE67" s="14"/>
      <x:c r="FF67" s="14"/>
      <x:c r="FG67" s="14"/>
      <x:c r="FH67" s="14"/>
      <x:c r="FI67" s="14"/>
      <x:c r="FJ67" s="14"/>
      <x:c r="FK67" s="14"/>
      <x:c r="FL67" s="14"/>
      <x:c r="FM67" s="14"/>
      <x:c r="FN67" s="14"/>
      <x:c r="FO67" s="14"/>
      <x:c r="FP67" s="14"/>
      <x:c r="FQ67" s="14"/>
      <x:c r="FR67" s="14"/>
      <x:c r="FS67" s="14"/>
      <x:c r="FT67" s="14"/>
      <x:c r="FU67" s="14"/>
      <x:c r="FV67" s="14"/>
      <x:c r="FW67" s="14"/>
      <x:c r="FX67" s="14"/>
      <x:c r="FY67" s="14"/>
      <x:c r="FZ67" s="14"/>
      <x:c r="GA67" s="14"/>
      <x:c r="GB67" s="14"/>
      <x:c r="GC67" s="14"/>
      <x:c r="GD67" s="14"/>
      <x:c r="GE67" s="14"/>
      <x:c r="GF67" s="14"/>
      <x:c r="GG67" s="14"/>
      <x:c r="GH67" s="14"/>
      <x:c r="GI67" s="14"/>
      <x:c r="GJ67" s="14"/>
      <x:c r="GK67" s="14"/>
      <x:c r="GL67" s="14"/>
      <x:c r="GM67" s="14"/>
      <x:c r="GN67" s="14"/>
      <x:c r="GO67" s="14"/>
      <x:c r="GP67" s="14"/>
      <x:c r="GQ67" s="14"/>
      <x:c r="GR67" s="14"/>
      <x:c r="GS67" s="14"/>
      <x:c r="GT67" s="14"/>
      <x:c r="GU67" s="14"/>
      <x:c r="GV67" s="14"/>
      <x:c r="GW67" s="14"/>
      <x:c r="GX67" s="14"/>
      <x:c r="GY67" s="14"/>
      <x:c r="GZ67" s="14"/>
      <x:c r="HA67" s="14"/>
      <x:c r="HB67" s="14"/>
      <x:c r="HC67" s="14"/>
      <x:c r="HD67" s="14"/>
      <x:c r="HE67" s="14"/>
      <x:c r="HF67" s="14"/>
      <x:c r="HG67" s="14"/>
      <x:c r="HH67" s="14"/>
      <x:c r="HI67" s="14"/>
      <x:c r="HJ67" s="14"/>
      <x:c r="HK67" s="14"/>
      <x:c r="HL67" s="14"/>
      <x:c r="HM67" s="14"/>
      <x:c r="HN67" s="14"/>
      <x:c r="HO67" s="14"/>
      <x:c r="HP67" s="14"/>
      <x:c r="HQ67" s="14"/>
      <x:c r="HR67" s="14"/>
      <x:c r="HS67" s="14"/>
      <x:c r="HT67" s="14"/>
      <x:c r="HU67" s="14"/>
      <x:c r="HV67" s="14"/>
      <x:c r="HW67" s="14"/>
      <x:c r="HX67" s="14"/>
      <x:c r="HY67" s="14"/>
      <x:c r="HZ67" s="14"/>
      <x:c r="IA67" s="14"/>
      <x:c r="IB67" s="14"/>
      <x:c r="IC67" s="14"/>
      <x:c r="ID67" s="14"/>
      <x:c r="IE67" s="14"/>
      <x:c r="IF67" s="14"/>
      <x:c r="IG67" s="14"/>
      <x:c r="IH67" s="14"/>
      <x:c r="II67" s="14"/>
      <x:c r="IJ67" s="14"/>
      <x:c r="IK67" s="14"/>
      <x:c r="IL67" s="14"/>
      <x:c r="IM67" s="14"/>
      <x:c r="IN67" s="14"/>
      <x:c r="IO67" s="14"/>
      <x:c r="IP67" s="14"/>
      <x:c r="IQ67" s="14"/>
      <x:c r="IR67" s="14"/>
      <x:c r="IS67" s="14"/>
      <x:c r="IT67" s="14"/>
      <x:c r="IU67" s="14"/>
      <x:c r="IV67" s="14"/>
      <x:c r="IW67" s="14"/>
      <x:c r="IX67" s="14"/>
      <x:c r="IY67" s="14"/>
      <x:c r="IZ67" s="14"/>
      <x:c r="JA67" s="14"/>
      <x:c r="JB67" s="14"/>
      <x:c r="JC67" s="14"/>
      <x:c r="JD67" s="14"/>
      <x:c r="JE67" s="14"/>
      <x:c r="JF67" s="14"/>
      <x:c r="JG67" s="14"/>
      <x:c r="JH67" s="14"/>
      <x:c r="JI67" s="14"/>
      <x:c r="JJ67" s="14"/>
      <x:c r="JK67" s="14"/>
      <x:c r="JL67" s="14"/>
      <x:c r="JM67" s="14"/>
      <x:c r="JN67" s="14"/>
      <x:c r="JO67" s="14"/>
      <x:c r="JP67" s="14"/>
      <x:c r="JQ67" s="14"/>
      <x:c r="JR67" s="14"/>
      <x:c r="JS67" s="14"/>
      <x:c r="JT67" s="14"/>
      <x:c r="JU67" s="14"/>
      <x:c r="JV67" s="14"/>
      <x:c r="JW67" s="14"/>
      <x:c r="JX67" s="14"/>
      <x:c r="JY67" s="14"/>
      <x:c r="JZ67" s="14"/>
      <x:c r="KA67" s="14"/>
      <x:c r="KB67" s="14"/>
      <x:c r="KC67" s="14"/>
      <x:c r="KD67" s="14"/>
      <x:c r="KE67" s="14"/>
      <x:c r="KF67" s="14"/>
      <x:c r="KG67" s="14"/>
      <x:c r="KH67" s="14"/>
      <x:c r="KI67" s="14"/>
      <x:c r="KJ67" s="14"/>
      <x:c r="KK67" s="14"/>
      <x:c r="KL67" s="14"/>
      <x:c r="KM67" s="14"/>
      <x:c r="KN67" s="14"/>
      <x:c r="KO67" s="14"/>
      <x:c r="KP67" s="14"/>
      <x:c r="KQ67" s="14"/>
      <x:c r="KR67" s="14"/>
      <x:c r="KS67" s="14"/>
      <x:c r="KT67" s="14"/>
      <x:c r="KU67" s="14"/>
      <x:c r="KV67" s="14"/>
      <x:c r="KW67" s="14"/>
      <x:c r="KX67" s="14"/>
      <x:c r="KY67" s="14"/>
      <x:c r="KZ67" s="14"/>
      <x:c r="LA67" s="14"/>
      <x:c r="LB67" s="14"/>
      <x:c r="LC67" s="14"/>
      <x:c r="LD67" s="14"/>
      <x:c r="LE67" s="14"/>
      <x:c r="LF67" s="14"/>
      <x:c r="LG67" s="14"/>
      <x:c r="LH67" s="14"/>
      <x:c r="LI67" s="14"/>
      <x:c r="LJ67" s="14"/>
      <x:c r="LK67" s="14"/>
      <x:c r="LL67" s="14"/>
      <x:c r="LM67" s="14"/>
      <x:c r="LN67" s="14"/>
      <x:c r="LO67" s="14"/>
      <x:c r="LP67" s="14"/>
      <x:c r="LQ67" s="14"/>
      <x:c r="LR67" s="14"/>
      <x:c r="LS67" s="14"/>
      <x:c r="LT67" s="14"/>
      <x:c r="LU67" s="14"/>
      <x:c r="LV67" s="14"/>
      <x:c r="LW67" s="14"/>
      <x:c r="LX67" s="14"/>
      <x:c r="LY67" s="14"/>
      <x:c r="LZ67" s="14"/>
      <x:c r="MA67" s="14"/>
      <x:c r="MB67" s="14"/>
      <x:c r="MC67" s="14"/>
      <x:c r="MD67" s="14"/>
      <x:c r="ME67" s="14"/>
      <x:c r="MF67" s="14"/>
      <x:c r="MG67" s="14"/>
      <x:c r="MH67" s="14"/>
      <x:c r="MI67" s="14"/>
      <x:c r="MJ67" s="14"/>
      <x:c r="MK67" s="14"/>
      <x:c r="ML67" s="14"/>
      <x:c r="MM67" s="14"/>
      <x:c r="MN67" s="14"/>
      <x:c r="MO67" s="14"/>
      <x:c r="MP67" s="14"/>
      <x:c r="MQ67" s="14"/>
      <x:c r="MR67" s="14"/>
      <x:c r="MS67" s="14"/>
      <x:c r="MT67" s="14"/>
      <x:c r="MU67" s="14"/>
      <x:c r="MV67" s="14"/>
      <x:c r="MW67" s="14" t="str">
        <x:v>24577</x:v>
      </x:c>
      <x:c r="MX67" s="14" t="n">
        <x:v>5</x:v>
      </x:c>
      <x:c r="MY67" s="14" t="n">
        <x:v>1841</x:v>
      </x:c>
      <x:c r="MZ67" s="14" t="n">
        <x:v>193</x:v>
      </x:c>
      <x:c r="NA67" s="14" t="n">
        <x:v>1</x:v>
      </x:c>
      <x:c r="NB67" s="14" t="n">
        <x:v>1</x:v>
      </x:c>
      <x:c r="NC67" s="14" t="str">
        <x:v>未收錄</x:v>
      </x:c>
      <x:c r="ND67" s="14" t="str">
        <x:v>24578</x:v>
      </x:c>
      <x:c r="NE67" s="14" t="n">
        <x:v>5</x:v>
      </x:c>
      <x:c r="NF67" s="14" t="n">
        <x:v>1842</x:v>
      </x:c>
      <x:c r="NG67" s="14" t="n">
        <x:v>194</x:v>
      </x:c>
      <x:c r="NH67" s="14" t="n">
        <x:v>1</x:v>
      </x:c>
      <x:c r="NI67" s="14" t="n">
        <x:v>2</x:v>
      </x:c>
      <x:c r="NJ67" s="14" t="str">
        <x:v>未收錄</x:v>
      </x:c>
      <x:c r="NK67" s="14" t="str">
        <x:v>24579</x:v>
      </x:c>
      <x:c r="NL67" s="14" t="n">
        <x:v>5</x:v>
      </x:c>
      <x:c r="NM67" s="14" t="n">
        <x:v>1843</x:v>
      </x:c>
      <x:c r="NN67" s="14" t="n">
        <x:v>195</x:v>
      </x:c>
      <x:c r="NO67" s="14" t="n">
        <x:v>1</x:v>
      </x:c>
      <x:c r="NP67" s="14" t="n">
        <x:v>3</x:v>
      </x:c>
      <x:c r="NQ67" s="14" t="str">
        <x:v>未收錄</x:v>
      </x:c>
      <x:c r="NR67" s="14" t="str">
        <x:v>24580</x:v>
      </x:c>
      <x:c r="NS67" s="14" t="n">
        <x:v>5</x:v>
      </x:c>
      <x:c r="NT67" s="14" t="n">
        <x:v>1844</x:v>
      </x:c>
      <x:c r="NU67" s="14" t="n">
        <x:v>196</x:v>
      </x:c>
      <x:c r="NV67" s="14" t="n">
        <x:v>1</x:v>
      </x:c>
      <x:c r="NW67" s="14" t="n">
        <x:v>4</x:v>
      </x:c>
      <x:c r="NX67" s="14" t="str">
        <x:v>未收錄</x:v>
      </x:c>
      <x:c r="NY67" s="14" t="str">
        <x:v>24444</x:v>
      </x:c>
      <x:c r="NZ67" s="14" t="n">
        <x:v>5</x:v>
      </x:c>
      <x:c r="OA67" s="14" t="n">
        <x:v>2294</x:v>
      </x:c>
      <x:c r="OB67" s="14" t="n">
        <x:v>193</x:v>
      </x:c>
      <x:c r="OC67" s="14" t="n">
        <x:v>1</x:v>
      </x:c>
      <x:c r="OD67" s="14" t="n">
        <x:v>1</x:v>
      </x:c>
      <x:c r="OE67" s="14" t="str">
        <x:v>未收錄</x:v>
      </x:c>
      <x:c r="OF67" s="14" t="str">
        <x:v>24445</x:v>
      </x:c>
      <x:c r="OG67" s="14" t="n">
        <x:v>5</x:v>
      </x:c>
      <x:c r="OH67" s="14" t="n">
        <x:v>2295</x:v>
      </x:c>
      <x:c r="OI67" s="14" t="n">
        <x:v>194</x:v>
      </x:c>
      <x:c r="OJ67" s="14" t="n">
        <x:v>1</x:v>
      </x:c>
      <x:c r="OK67" s="14" t="n">
        <x:v>2</x:v>
      </x:c>
      <x:c r="OL67" s="14" t="str">
        <x:v>未收錄</x:v>
      </x:c>
      <x:c r="OM67" s="14" t="str">
        <x:v>24446</x:v>
      </x:c>
      <x:c r="ON67" s="14" t="n">
        <x:v>5</x:v>
      </x:c>
      <x:c r="OO67" s="14" t="n">
        <x:v>2296</x:v>
      </x:c>
      <x:c r="OP67" s="14" t="n">
        <x:v>195</x:v>
      </x:c>
      <x:c r="OQ67" s="14" t="n">
        <x:v>1</x:v>
      </x:c>
      <x:c r="OR67" s="14" t="n">
        <x:v>3</x:v>
      </x:c>
      <x:c r="OS67" s="14" t="str">
        <x:v>未收錄</x:v>
      </x:c>
      <x:c r="OT67" s="14" t="str">
        <x:v>24447</x:v>
      </x:c>
      <x:c r="OU67" s="14" t="n">
        <x:v>5</x:v>
      </x:c>
      <x:c r="OV67" s="14" t="n">
        <x:v>2297</x:v>
      </x:c>
      <x:c r="OW67" s="14" t="n">
        <x:v>196</x:v>
      </x:c>
      <x:c r="OX67" s="14" t="n">
        <x:v>1</x:v>
      </x:c>
      <x:c r="OY67" s="14" t="n">
        <x:v>4</x:v>
      </x:c>
      <x:c r="OZ67" s="14" t="str">
        <x:v>未收錄</x:v>
      </x:c>
      <x:c r="PA67" s="14" t="str">
        <x:v>26420</x:v>
      </x:c>
      <x:c r="PB67" s="14" t="n">
        <x:v>10</x:v>
      </x:c>
      <x:c r="PC67" s="14" t="n">
        <x:v>2840</x:v>
      </x:c>
      <x:c r="PD67" s="14" t="n">
        <x:v>193</x:v>
      </x:c>
      <x:c r="PE67" s="14" t="n">
        <x:v>1</x:v>
      </x:c>
      <x:c r="PF67" s="14" t="n">
        <x:v>1</x:v>
      </x:c>
      <x:c r="PG67" s="14" t="str">
        <x:v>未收錄</x:v>
      </x:c>
      <x:c r="PH67" s="14" t="str">
        <x:v>26514</x:v>
      </x:c>
      <x:c r="PI67" s="14" t="n">
        <x:v>5</x:v>
      </x:c>
      <x:c r="PJ67" s="14" t="n">
        <x:v>2841</x:v>
      </x:c>
      <x:c r="PK67" s="14" t="n">
        <x:v>194</x:v>
      </x:c>
      <x:c r="PL67" s="14" t="n">
        <x:v>1</x:v>
      </x:c>
      <x:c r="PM67" s="14" t="n">
        <x:v>2</x:v>
      </x:c>
      <x:c r="PN67" s="14" t="str">
        <x:v>未收錄</x:v>
      </x:c>
      <x:c r="PO67" s="14" t="str">
        <x:v>26515</x:v>
      </x:c>
      <x:c r="PP67" s="14" t="n">
        <x:v>5</x:v>
      </x:c>
      <x:c r="PQ67" s="14" t="n">
        <x:v>2842</x:v>
      </x:c>
      <x:c r="PR67" s="14" t="n">
        <x:v>195</x:v>
      </x:c>
      <x:c r="PS67" s="14" t="n">
        <x:v>1</x:v>
      </x:c>
      <x:c r="PT67" s="14" t="n">
        <x:v>3</x:v>
      </x:c>
      <x:c r="PU67" s="14" t="str">
        <x:v>未收錄</x:v>
      </x:c>
      <x:c r="PV67" s="14" t="str">
        <x:v>26516</x:v>
      </x:c>
      <x:c r="PW67" s="14" t="n">
        <x:v>5</x:v>
      </x:c>
      <x:c r="PX67" s="14" t="n">
        <x:v>2843</x:v>
      </x:c>
      <x:c r="PY67" s="14" t="n">
        <x:v>196</x:v>
      </x:c>
      <x:c r="PZ67" s="14" t="n">
        <x:v>1</x:v>
      </x:c>
      <x:c r="QA67" s="14" t="n">
        <x:v>4</x:v>
      </x:c>
      <x:c r="QB67" s="14" t="str">
        <x:v>未收錄</x:v>
      </x:c>
      <x:c r="QC67" s="14" t="str">
        <x:v>26043</x:v>
      </x:c>
      <x:c r="QD67" s="14" t="n">
        <x:v>5</x:v>
      </x:c>
      <x:c r="QE67" s="14" t="n">
        <x:v>3277</x:v>
      </x:c>
      <x:c r="QF67" s="14" t="n">
        <x:v>193</x:v>
      </x:c>
      <x:c r="QG67" s="14" t="n">
        <x:v>1</x:v>
      </x:c>
      <x:c r="QH67" s="14" t="n">
        <x:v>1</x:v>
      </x:c>
      <x:c r="QI67" s="14" t="str">
        <x:v>未收錄</x:v>
      </x:c>
      <x:c r="QJ67" s="14" t="str">
        <x:v>26044</x:v>
      </x:c>
      <x:c r="QK67" s="14" t="n">
        <x:v>5</x:v>
      </x:c>
      <x:c r="QL67" s="14" t="n">
        <x:v>3278</x:v>
      </x:c>
      <x:c r="QM67" s="14" t="n">
        <x:v>194</x:v>
      </x:c>
      <x:c r="QN67" s="14" t="n">
        <x:v>1</x:v>
      </x:c>
      <x:c r="QO67" s="14" t="n">
        <x:v>2</x:v>
      </x:c>
      <x:c r="QP67" s="14" t="str">
        <x:v>未收錄</x:v>
      </x:c>
      <x:c r="QQ67" s="14" t="str">
        <x:v>26045</x:v>
      </x:c>
      <x:c r="QR67" s="14" t="n">
        <x:v>5</x:v>
      </x:c>
      <x:c r="QS67" s="14" t="n">
        <x:v>3279</x:v>
      </x:c>
      <x:c r="QT67" s="14" t="n">
        <x:v>195</x:v>
      </x:c>
      <x:c r="QU67" s="14" t="n">
        <x:v>1</x:v>
      </x:c>
      <x:c r="QV67" s="14" t="n">
        <x:v>3</x:v>
      </x:c>
      <x:c r="QW67" s="14" t="str">
        <x:v>未收錄</x:v>
      </x:c>
      <x:c r="QX67" s="14" t="str">
        <x:v>26421</x:v>
      </x:c>
      <x:c r="QY67" s="14" t="n">
        <x:v>10</x:v>
      </x:c>
      <x:c r="QZ67" s="14" t="n">
        <x:v>3280</x:v>
      </x:c>
      <x:c r="RA67" s="14" t="n">
        <x:v>196</x:v>
      </x:c>
      <x:c r="RB67" s="14" t="n">
        <x:v>1</x:v>
      </x:c>
      <x:c r="RC67" s="14" t="n">
        <x:v>4</x:v>
      </x:c>
      <x:c r="RD67" s="14" t="str">
        <x:v>未收錄</x:v>
      </x:c>
      <x:c r="RE67" s="14" t="str">
        <x:v>27160</x:v>
      </x:c>
      <x:c r="RF67" s="14" t="n">
        <x:v>5</x:v>
      </x:c>
      <x:c r="RG67" s="14" t="n">
        <x:v>3738</x:v>
      </x:c>
      <x:c r="RH67" s="14" t="n">
        <x:v>193</x:v>
      </x:c>
      <x:c r="RI67" s="14" t="n">
        <x:v>1</x:v>
      </x:c>
      <x:c r="RJ67" s="14" t="n">
        <x:v>1</x:v>
      </x:c>
      <x:c r="RK67" s="14" t="str">
        <x:v>未收錄</x:v>
      </x:c>
      <x:c r="RL67" s="14" t="str">
        <x:v>27161</x:v>
      </x:c>
      <x:c r="RM67" s="14" t="n">
        <x:v>5</x:v>
      </x:c>
      <x:c r="RN67" s="14" t="n">
        <x:v>3739</x:v>
      </x:c>
      <x:c r="RO67" s="14" t="n">
        <x:v>194</x:v>
      </x:c>
      <x:c r="RP67" s="14" t="n">
        <x:v>1</x:v>
      </x:c>
      <x:c r="RQ67" s="14" t="n">
        <x:v>2</x:v>
      </x:c>
      <x:c r="RR67" s="14" t="str">
        <x:v>未收錄</x:v>
      </x:c>
      <x:c r="RS67" s="14" t="str">
        <x:v>27162</x:v>
      </x:c>
      <x:c r="RT67" s="14" t="n">
        <x:v>5</x:v>
      </x:c>
      <x:c r="RU67" s="14" t="n">
        <x:v>3740</x:v>
      </x:c>
      <x:c r="RV67" s="14" t="n">
        <x:v>195</x:v>
      </x:c>
      <x:c r="RW67" s="14" t="n">
        <x:v>1</x:v>
      </x:c>
      <x:c r="RX67" s="14" t="n">
        <x:v>3</x:v>
      </x:c>
      <x:c r="RY67" s="14" t="str">
        <x:v>未收錄</x:v>
      </x:c>
      <x:c r="RZ67" s="14" t="str">
        <x:v>27163</x:v>
      </x:c>
      <x:c r="SA67" s="14" t="n">
        <x:v>5</x:v>
      </x:c>
      <x:c r="SB67" s="14" t="n">
        <x:v>3741</x:v>
      </x:c>
      <x:c r="SC67" s="14" t="n">
        <x:v>196</x:v>
      </x:c>
      <x:c r="SD67" s="14" t="n">
        <x:v>1</x:v>
      </x:c>
      <x:c r="SE67" s="14" t="n">
        <x:v>4</x:v>
      </x:c>
      <x:c r="SF67" s="14" t="str">
        <x:v>未收錄</x:v>
      </x:c>
      <x:c r="SG67" s="14"/>
      <x:c r="SH67" s="14"/>
      <x:c r="SI67" s="14"/>
      <x:c r="SJ67" s="14"/>
      <x:c r="SK67" s="14"/>
      <x:c r="SL67" s="14"/>
      <x:c r="SM67" s="14"/>
      <x:c r="SN67" s="14"/>
      <x:c r="SO67" s="14"/>
      <x:c r="SP67" s="14"/>
      <x:c r="SQ67" s="14"/>
      <x:c r="SR67" s="14"/>
      <x:c r="SS67" s="14"/>
      <x:c r="ST67" s="14"/>
      <x:c r="SU67" s="14"/>
      <x:c r="SV67" s="14"/>
      <x:c r="SW67" s="14"/>
      <x:c r="SX67" s="14"/>
      <x:c r="SY67" s="14"/>
      <x:c r="SZ67" s="14"/>
      <x:c r="TA67" s="14"/>
      <x:c r="TB67" s="14"/>
      <x:c r="TC67" s="14"/>
      <x:c r="TD67" s="14"/>
      <x:c r="TE67" s="14"/>
      <x:c r="TF67" s="14"/>
      <x:c r="TG67" s="14"/>
      <x:c r="TH67" s="14"/>
    </x:row>
    <x:row r="68" ht="15" customHeight="1">
      <x:c r="A68" s="18" t="str">
        <x:v>帝星創界劍</x:v>
      </x:c>
      <x:c r="B68" s="18" t="str">
        <x:v>宙斯神雷劍</x:v>
      </x:c>
      <x:c r="C68" s="18" t="str">
        <x:v>宙斯神雷劍</x:v>
      </x:c>
      <x:c r="D68" s="18" t="str">
        <x:v>五帝太昊劍</x:v>
      </x:c>
      <x:c r="E68" s="14"/>
      <x:c r="F68" s="18" t="str">
        <x:v>滅刃‧達因斯</x:v>
      </x:c>
      <x:c r="G68" s="18" t="str">
        <x:v>煌刀瑟‧凱布</x:v>
      </x:c>
      <x:c r="H68" s="18" t="str">
        <x:v>煌刀瑟‧凱布</x:v>
      </x:c>
      <x:c r="I68" s="18" t="str">
        <x:v>千古一帝刀</x:v>
      </x:c>
      <x:c r="J68" s="14"/>
      <x:c r="K68" s="14"/>
      <x:c r="L68" s="14"/>
      <x:c r="M68" s="14"/>
      <x:c r="N68" s="14"/>
      <x:c r="O68" s="14"/>
      <x:c r="P68" s="14"/>
      <x:c r="Q68" s="14"/>
      <x:c r="R68" s="14"/>
      <x:c r="S68" s="14"/>
      <x:c r="T68" s="14"/>
      <x:c r="U68" s="14"/>
      <x:c r="V68" s="14"/>
      <x:c r="W68" s="14"/>
      <x:c r="X68" s="14"/>
      <x:c r="Y68" s="14"/>
      <x:c r="Z68" s="14"/>
      <x:c r="AA68" s="14"/>
      <x:c r="AB68" s="14"/>
      <x:c r="AC68" s="14"/>
      <x:c r="AD68" s="14"/>
      <x:c r="AE68" s="14"/>
      <x:c r="AF68" s="14"/>
      <x:c r="AG68" s="14"/>
      <x:c r="AH68" s="14"/>
      <x:c r="AI68" s="14"/>
      <x:c r="AJ68" s="14"/>
      <x:c r="AK68" s="14"/>
      <x:c r="AL68" s="14"/>
      <x:c r="AM68" s="14"/>
      <x:c r="AN68" s="14"/>
      <x:c r="AO68" s="14"/>
      <x:c r="AP68" s="14"/>
      <x:c r="AQ68" s="14"/>
      <x:c r="AR68" s="14"/>
      <x:c r="AS68" s="14"/>
      <x:c r="AT68" s="14"/>
      <x:c r="AU68" s="14"/>
      <x:c r="AV68" s="14"/>
      <x:c r="AW68" s="14"/>
      <x:c r="AX68" s="14"/>
      <x:c r="AY68" s="18" t="str">
        <x:v>圓桌戰盔</x:v>
      </x:c>
      <x:c r="AZ68" s="18" t="str">
        <x:v>獅王鋼盔</x:v>
      </x:c>
      <x:c r="BA68" s="18" t="str">
        <x:v>夜龍羽帽</x:v>
      </x:c>
      <x:c r="BB68" s="18" t="str">
        <x:v>沐聖道罩</x:v>
      </x:c>
      <x:c r="BC68" s="14"/>
      <x:c r="BD68" s="18" t="str">
        <x:v>鴻緒道衫</x:v>
      </x:c>
      <x:c r="BE68" s="18" t="str">
        <x:v>明緒道衫</x:v>
      </x:c>
      <x:c r="BF68" s="18" t="str">
        <x:v>正緒道衫</x:v>
      </x:c>
      <x:c r="BG68" s="18" t="str">
        <x:v>定恆僧裟</x:v>
      </x:c>
      <x:c r="BH68" s="14"/>
      <x:c r="BI68" s="18" t="str">
        <x:v>道宗太幻腕</x:v>
      </x:c>
      <x:c r="BJ68" s="18" t="str">
        <x:v>禪宗妙法腕</x:v>
      </x:c>
      <x:c r="BK68" s="18" t="str">
        <x:v>飛仙雲腕</x:v>
      </x:c>
      <x:c r="BL68" s="18" t="str">
        <x:v>泰山巨臂</x:v>
      </x:c>
      <x:c r="BM68" s="14"/>
      <x:c r="BN68" s="18" t="str">
        <x:v>劍宗御氣靴</x:v>
      </x:c>
      <x:c r="BO68" s="18" t="str">
        <x:v>武宗尊勇靴</x:v>
      </x:c>
      <x:c r="BP68" s="18" t="str">
        <x:v>術宗雲踏履</x:v>
      </x:c>
      <x:c r="BQ68" s="18" t="str">
        <x:v>道宗太獨靴</x:v>
      </x:c>
      <x:c r="BR68" s="14"/>
      <x:c r="BS68" s="18" t="str">
        <x:v>神煉‧朱雀環</x:v>
      </x:c>
      <x:c r="BT68" s="18" t="str">
        <x:v>神煉‧玄武璧</x:v>
      </x:c>
      <x:c r="BU68" s="18" t="str">
        <x:v>宇傲‧青龍戒</x:v>
      </x:c>
      <x:c r="BV68" s="18" t="str">
        <x:v>宇傲‧白虎玉</x:v>
      </x:c>
      <x:c r="BW68" s="14"/>
      <x:c r="BX68" s="14"/>
      <x:c r="BY68" s="14"/>
      <x:c r="BZ68" s="14"/>
      <x:c r="CA68" s="14"/>
      <x:c r="CB68" s="14"/>
      <x:c r="CC68" s="14" t="str">
        <x:v>24758</x:v>
      </x:c>
      <x:c r="CD68" s="14" t="n">
        <x:v>20</x:v>
      </x:c>
      <x:c r="CE68" s="14" t="n">
        <x:v>197</x:v>
      </x:c>
      <x:c r="CF68" s="14" t="n">
        <x:v>197</x:v>
      </x:c>
      <x:c r="CG68" s="14" t="n">
        <x:v>2</x:v>
      </x:c>
      <x:c r="CH68" s="14" t="n">
        <x:v>1</x:v>
      </x:c>
      <x:c r="CI68" s="14" t="str">
        <x:v>未收錄</x:v>
      </x:c>
      <x:c r="CJ68" s="14" t="str">
        <x:v>26287</x:v>
      </x:c>
      <x:c r="CK68" s="14" t="n">
        <x:v>20</x:v>
      </x:c>
      <x:c r="CL68" s="14" t="n">
        <x:v>198</x:v>
      </x:c>
      <x:c r="CM68" s="14" t="n">
        <x:v>198</x:v>
      </x:c>
      <x:c r="CN68" s="14" t="n">
        <x:v>2</x:v>
      </x:c>
      <x:c r="CO68" s="14" t="n">
        <x:v>2</x:v>
      </x:c>
      <x:c r="CP68" s="14" t="str">
        <x:v>未收錄</x:v>
      </x:c>
      <x:c r="CQ68" s="14" t="str">
        <x:v>26492</x:v>
      </x:c>
      <x:c r="CR68" s="14" t="n">
        <x:v>20</x:v>
      </x:c>
      <x:c r="CS68" s="14" t="n">
        <x:v>199</x:v>
      </x:c>
      <x:c r="CT68" s="14" t="n">
        <x:v>199</x:v>
      </x:c>
      <x:c r="CU68" s="14" t="n">
        <x:v>2</x:v>
      </x:c>
      <x:c r="CV68" s="14" t="n">
        <x:v>3</x:v>
      </x:c>
      <x:c r="CW68" s="14" t="str">
        <x:v>未收錄</x:v>
      </x:c>
      <x:c r="CX68" s="14" t="str">
        <x:v>26784</x:v>
      </x:c>
      <x:c r="CY68" s="14" t="n">
        <x:v>20</x:v>
      </x:c>
      <x:c r="CZ68" s="14" t="n">
        <x:v>200</x:v>
      </x:c>
      <x:c r="DA68" s="14" t="n">
        <x:v>200</x:v>
      </x:c>
      <x:c r="DB68" s="14" t="n">
        <x:v>2</x:v>
      </x:c>
      <x:c r="DC68" s="14" t="n">
        <x:v>4</x:v>
      </x:c>
      <x:c r="DD68" s="14" t="str">
        <x:v>未收錄</x:v>
      </x:c>
      <x:c r="DE68" s="14" t="str">
        <x:v>28777</x:v>
      </x:c>
      <x:c r="DF68" s="14" t="n">
        <x:v>20</x:v>
      </x:c>
      <x:c r="DG68" s="14" t="n">
        <x:v>442</x:v>
      </x:c>
      <x:c r="DH68" s="14" t="n">
        <x:v>197</x:v>
      </x:c>
      <x:c r="DI68" s="14" t="n">
        <x:v>2</x:v>
      </x:c>
      <x:c r="DJ68" s="14" t="n">
        <x:v>1</x:v>
      </x:c>
      <x:c r="DK68" s="14" t="str">
        <x:v>未收錄</x:v>
      </x:c>
      <x:c r="DL68" s="14" t="str">
        <x:v>29002</x:v>
      </x:c>
      <x:c r="DM68" s="14" t="n">
        <x:v>20</x:v>
      </x:c>
      <x:c r="DN68" s="14" t="n">
        <x:v>443</x:v>
      </x:c>
      <x:c r="DO68" s="14" t="n">
        <x:v>198</x:v>
      </x:c>
      <x:c r="DP68" s="14" t="n">
        <x:v>2</x:v>
      </x:c>
      <x:c r="DQ68" s="14" t="n">
        <x:v>2</x:v>
      </x:c>
      <x:c r="DR68" s="14" t="str">
        <x:v>未收錄</x:v>
      </x:c>
      <x:c r="DS68" s="14" t="str">
        <x:v>29015</x:v>
      </x:c>
      <x:c r="DT68" s="14" t="n">
        <x:v>20</x:v>
      </x:c>
      <x:c r="DU68" s="14" t="n">
        <x:v>444</x:v>
      </x:c>
      <x:c r="DV68" s="14" t="n">
        <x:v>199</x:v>
      </x:c>
      <x:c r="DW68" s="14" t="n">
        <x:v>2</x:v>
      </x:c>
      <x:c r="DX68" s="14" t="n">
        <x:v>3</x:v>
      </x:c>
      <x:c r="DY68" s="14" t="str">
        <x:v>未收錄</x:v>
      </x:c>
      <x:c r="DZ68" s="14" t="str">
        <x:v>29655</x:v>
      </x:c>
      <x:c r="EA68" s="14" t="n">
        <x:v>20</x:v>
      </x:c>
      <x:c r="EB68" s="14" t="n">
        <x:v>445</x:v>
      </x:c>
      <x:c r="EC68" s="14" t="n">
        <x:v>200</x:v>
      </x:c>
      <x:c r="ED68" s="14" t="n">
        <x:v>2</x:v>
      </x:c>
      <x:c r="EE68" s="14" t="n">
        <x:v>4</x:v>
      </x:c>
      <x:c r="EF68" s="14" t="str">
        <x:v>未收錄</x:v>
      </x:c>
      <x:c r="EG68" s="14"/>
      <x:c r="EH68" s="14"/>
      <x:c r="EI68" s="14"/>
      <x:c r="EJ68" s="14"/>
      <x:c r="EK68" s="14"/>
      <x:c r="EL68" s="14"/>
      <x:c r="EM68" s="14"/>
      <x:c r="EN68" s="14"/>
      <x:c r="EO68" s="14"/>
      <x:c r="EP68" s="14"/>
      <x:c r="EQ68" s="14"/>
      <x:c r="ER68" s="14"/>
      <x:c r="ES68" s="14"/>
      <x:c r="ET68" s="14"/>
      <x:c r="EU68" s="14"/>
      <x:c r="EV68" s="14"/>
      <x:c r="EW68" s="14"/>
      <x:c r="EX68" s="14"/>
      <x:c r="EY68" s="14"/>
      <x:c r="EZ68" s="14"/>
      <x:c r="FA68" s="14"/>
      <x:c r="FB68" s="14"/>
      <x:c r="FC68" s="14"/>
      <x:c r="FD68" s="14"/>
      <x:c r="FE68" s="14"/>
      <x:c r="FF68" s="14"/>
      <x:c r="FG68" s="14"/>
      <x:c r="FH68" s="14"/>
      <x:c r="FI68" s="14"/>
      <x:c r="FJ68" s="14"/>
      <x:c r="FK68" s="14"/>
      <x:c r="FL68" s="14"/>
      <x:c r="FM68" s="14"/>
      <x:c r="FN68" s="14"/>
      <x:c r="FO68" s="14"/>
      <x:c r="FP68" s="14"/>
      <x:c r="FQ68" s="14"/>
      <x:c r="FR68" s="14"/>
      <x:c r="FS68" s="14"/>
      <x:c r="FT68" s="14"/>
      <x:c r="FU68" s="14"/>
      <x:c r="FV68" s="14"/>
      <x:c r="FW68" s="14"/>
      <x:c r="FX68" s="14"/>
      <x:c r="FY68" s="14"/>
      <x:c r="FZ68" s="14"/>
      <x:c r="GA68" s="14"/>
      <x:c r="GB68" s="14"/>
      <x:c r="GC68" s="14"/>
      <x:c r="GD68" s="14"/>
      <x:c r="GE68" s="14"/>
      <x:c r="GF68" s="14"/>
      <x:c r="GG68" s="14"/>
      <x:c r="GH68" s="14"/>
      <x:c r="GI68" s="14"/>
      <x:c r="GJ68" s="14"/>
      <x:c r="GK68" s="14"/>
      <x:c r="GL68" s="14"/>
      <x:c r="GM68" s="14"/>
      <x:c r="GN68" s="14"/>
      <x:c r="GO68" s="14"/>
      <x:c r="GP68" s="14"/>
      <x:c r="GQ68" s="14"/>
      <x:c r="GR68" s="14"/>
      <x:c r="GS68" s="14"/>
      <x:c r="GT68" s="14"/>
      <x:c r="GU68" s="14"/>
      <x:c r="GV68" s="14"/>
      <x:c r="GW68" s="14"/>
      <x:c r="GX68" s="14"/>
      <x:c r="GY68" s="14"/>
      <x:c r="GZ68" s="14"/>
      <x:c r="HA68" s="14"/>
      <x:c r="HB68" s="14"/>
      <x:c r="HC68" s="14"/>
      <x:c r="HD68" s="14"/>
      <x:c r="HE68" s="14"/>
      <x:c r="HF68" s="14"/>
      <x:c r="HG68" s="14"/>
      <x:c r="HH68" s="14"/>
      <x:c r="HI68" s="14"/>
      <x:c r="HJ68" s="14"/>
      <x:c r="HK68" s="14"/>
      <x:c r="HL68" s="14"/>
      <x:c r="HM68" s="14"/>
      <x:c r="HN68" s="14"/>
      <x:c r="HO68" s="14"/>
      <x:c r="HP68" s="14"/>
      <x:c r="HQ68" s="14"/>
      <x:c r="HR68" s="14"/>
      <x:c r="HS68" s="14"/>
      <x:c r="HT68" s="14"/>
      <x:c r="HU68" s="14"/>
      <x:c r="HV68" s="14"/>
      <x:c r="HW68" s="14"/>
      <x:c r="HX68" s="14"/>
      <x:c r="HY68" s="14"/>
      <x:c r="HZ68" s="14"/>
      <x:c r="IA68" s="14"/>
      <x:c r="IB68" s="14"/>
      <x:c r="IC68" s="14"/>
      <x:c r="ID68" s="14"/>
      <x:c r="IE68" s="14"/>
      <x:c r="IF68" s="14"/>
      <x:c r="IG68" s="14"/>
      <x:c r="IH68" s="14"/>
      <x:c r="II68" s="14"/>
      <x:c r="IJ68" s="14"/>
      <x:c r="IK68" s="14"/>
      <x:c r="IL68" s="14"/>
      <x:c r="IM68" s="14"/>
      <x:c r="IN68" s="14"/>
      <x:c r="IO68" s="14"/>
      <x:c r="IP68" s="14"/>
      <x:c r="IQ68" s="14"/>
      <x:c r="IR68" s="14"/>
      <x:c r="IS68" s="14"/>
      <x:c r="IT68" s="14"/>
      <x:c r="IU68" s="14"/>
      <x:c r="IV68" s="14"/>
      <x:c r="IW68" s="14"/>
      <x:c r="IX68" s="14"/>
      <x:c r="IY68" s="14"/>
      <x:c r="IZ68" s="14"/>
      <x:c r="JA68" s="14"/>
      <x:c r="JB68" s="14"/>
      <x:c r="JC68" s="14"/>
      <x:c r="JD68" s="14"/>
      <x:c r="JE68" s="14"/>
      <x:c r="JF68" s="14"/>
      <x:c r="JG68" s="14"/>
      <x:c r="JH68" s="14"/>
      <x:c r="JI68" s="14"/>
      <x:c r="JJ68" s="14"/>
      <x:c r="JK68" s="14"/>
      <x:c r="JL68" s="14"/>
      <x:c r="JM68" s="14"/>
      <x:c r="JN68" s="14"/>
      <x:c r="JO68" s="14"/>
      <x:c r="JP68" s="14"/>
      <x:c r="JQ68" s="14"/>
      <x:c r="JR68" s="14"/>
      <x:c r="JS68" s="14"/>
      <x:c r="JT68" s="14"/>
      <x:c r="JU68" s="14"/>
      <x:c r="JV68" s="14"/>
      <x:c r="JW68" s="14"/>
      <x:c r="JX68" s="14"/>
      <x:c r="JY68" s="14"/>
      <x:c r="JZ68" s="14"/>
      <x:c r="KA68" s="14"/>
      <x:c r="KB68" s="14"/>
      <x:c r="KC68" s="14"/>
      <x:c r="KD68" s="14"/>
      <x:c r="KE68" s="14"/>
      <x:c r="KF68" s="14"/>
      <x:c r="KG68" s="14"/>
      <x:c r="KH68" s="14"/>
      <x:c r="KI68" s="14"/>
      <x:c r="KJ68" s="14"/>
      <x:c r="KK68" s="14"/>
      <x:c r="KL68" s="14"/>
      <x:c r="KM68" s="14"/>
      <x:c r="KN68" s="14"/>
      <x:c r="KO68" s="14"/>
      <x:c r="KP68" s="14"/>
      <x:c r="KQ68" s="14"/>
      <x:c r="KR68" s="14"/>
      <x:c r="KS68" s="14"/>
      <x:c r="KT68" s="14"/>
      <x:c r="KU68" s="14"/>
      <x:c r="KV68" s="14"/>
      <x:c r="KW68" s="14"/>
      <x:c r="KX68" s="14"/>
      <x:c r="KY68" s="14"/>
      <x:c r="KZ68" s="14"/>
      <x:c r="LA68" s="14"/>
      <x:c r="LB68" s="14"/>
      <x:c r="LC68" s="14"/>
      <x:c r="LD68" s="14"/>
      <x:c r="LE68" s="14"/>
      <x:c r="LF68" s="14"/>
      <x:c r="LG68" s="14"/>
      <x:c r="LH68" s="14"/>
      <x:c r="LI68" s="14"/>
      <x:c r="LJ68" s="14"/>
      <x:c r="LK68" s="14"/>
      <x:c r="LL68" s="14"/>
      <x:c r="LM68" s="14"/>
      <x:c r="LN68" s="14"/>
      <x:c r="LO68" s="14"/>
      <x:c r="LP68" s="14"/>
      <x:c r="LQ68" s="14"/>
      <x:c r="LR68" s="14"/>
      <x:c r="LS68" s="14"/>
      <x:c r="LT68" s="14"/>
      <x:c r="LU68" s="14"/>
      <x:c r="LV68" s="14"/>
      <x:c r="LW68" s="14"/>
      <x:c r="LX68" s="14"/>
      <x:c r="LY68" s="14"/>
      <x:c r="LZ68" s="14"/>
      <x:c r="MA68" s="14"/>
      <x:c r="MB68" s="14"/>
      <x:c r="MC68" s="14"/>
      <x:c r="MD68" s="14"/>
      <x:c r="ME68" s="14"/>
      <x:c r="MF68" s="14"/>
      <x:c r="MG68" s="14"/>
      <x:c r="MH68" s="14"/>
      <x:c r="MI68" s="14"/>
      <x:c r="MJ68" s="14"/>
      <x:c r="MK68" s="14"/>
      <x:c r="ML68" s="14"/>
      <x:c r="MM68" s="14"/>
      <x:c r="MN68" s="14"/>
      <x:c r="MO68" s="14"/>
      <x:c r="MP68" s="14"/>
      <x:c r="MQ68" s="14"/>
      <x:c r="MR68" s="14"/>
      <x:c r="MS68" s="14"/>
      <x:c r="MT68" s="14"/>
      <x:c r="MU68" s="14"/>
      <x:c r="MV68" s="14"/>
      <x:c r="MW68" s="14" t="str">
        <x:v>26006</x:v>
      </x:c>
      <x:c r="MX68" s="14" t="n">
        <x:v>5</x:v>
      </x:c>
      <x:c r="MY68" s="14" t="n">
        <x:v>1845</x:v>
      </x:c>
      <x:c r="MZ68" s="14" t="n">
        <x:v>197</x:v>
      </x:c>
      <x:c r="NA68" s="14" t="n">
        <x:v>2</x:v>
      </x:c>
      <x:c r="NB68" s="14" t="n">
        <x:v>1</x:v>
      </x:c>
      <x:c r="NC68" s="14" t="str">
        <x:v>未收錄</x:v>
      </x:c>
      <x:c r="ND68" s="14" t="str">
        <x:v>26007</x:v>
      </x:c>
      <x:c r="NE68" s="14" t="n">
        <x:v>5</x:v>
      </x:c>
      <x:c r="NF68" s="14" t="n">
        <x:v>1846</x:v>
      </x:c>
      <x:c r="NG68" s="14" t="n">
        <x:v>198</x:v>
      </x:c>
      <x:c r="NH68" s="14" t="n">
        <x:v>2</x:v>
      </x:c>
      <x:c r="NI68" s="14" t="n">
        <x:v>2</x:v>
      </x:c>
      <x:c r="NJ68" s="14" t="str">
        <x:v>未收錄</x:v>
      </x:c>
      <x:c r="NK68" s="14" t="str">
        <x:v>26008</x:v>
      </x:c>
      <x:c r="NL68" s="14" t="n">
        <x:v>5</x:v>
      </x:c>
      <x:c r="NM68" s="14" t="n">
        <x:v>1847</x:v>
      </x:c>
      <x:c r="NN68" s="14" t="n">
        <x:v>199</x:v>
      </x:c>
      <x:c r="NO68" s="14" t="n">
        <x:v>2</x:v>
      </x:c>
      <x:c r="NP68" s="14" t="n">
        <x:v>3</x:v>
      </x:c>
      <x:c r="NQ68" s="14" t="str">
        <x:v>未收錄</x:v>
      </x:c>
      <x:c r="NR68" s="14" t="str">
        <x:v>26009</x:v>
      </x:c>
      <x:c r="NS68" s="14" t="n">
        <x:v>5</x:v>
      </x:c>
      <x:c r="NT68" s="14" t="n">
        <x:v>1848</x:v>
      </x:c>
      <x:c r="NU68" s="14" t="n">
        <x:v>200</x:v>
      </x:c>
      <x:c r="NV68" s="14" t="n">
        <x:v>2</x:v>
      </x:c>
      <x:c r="NW68" s="14" t="n">
        <x:v>4</x:v>
      </x:c>
      <x:c r="NX68" s="14" t="str">
        <x:v>未收錄</x:v>
      </x:c>
      <x:c r="NY68" s="14" t="str">
        <x:v>24448</x:v>
      </x:c>
      <x:c r="NZ68" s="14" t="n">
        <x:v>5</x:v>
      </x:c>
      <x:c r="OA68" s="14" t="n">
        <x:v>2298</x:v>
      </x:c>
      <x:c r="OB68" s="14" t="n">
        <x:v>197</x:v>
      </x:c>
      <x:c r="OC68" s="14" t="n">
        <x:v>2</x:v>
      </x:c>
      <x:c r="OD68" s="14" t="n">
        <x:v>1</x:v>
      </x:c>
      <x:c r="OE68" s="14" t="str">
        <x:v>未收錄</x:v>
      </x:c>
      <x:c r="OF68" s="14" t="str">
        <x:v>24449</x:v>
      </x:c>
      <x:c r="OG68" s="14" t="n">
        <x:v>5</x:v>
      </x:c>
      <x:c r="OH68" s="14" t="n">
        <x:v>2299</x:v>
      </x:c>
      <x:c r="OI68" s="14" t="n">
        <x:v>198</x:v>
      </x:c>
      <x:c r="OJ68" s="14" t="n">
        <x:v>2</x:v>
      </x:c>
      <x:c r="OK68" s="14" t="n">
        <x:v>2</x:v>
      </x:c>
      <x:c r="OL68" s="14" t="str">
        <x:v>未收錄</x:v>
      </x:c>
      <x:c r="OM68" s="14" t="str">
        <x:v>24450</x:v>
      </x:c>
      <x:c r="ON68" s="14" t="n">
        <x:v>5</x:v>
      </x:c>
      <x:c r="OO68" s="14" t="n">
        <x:v>2300</x:v>
      </x:c>
      <x:c r="OP68" s="14" t="n">
        <x:v>199</x:v>
      </x:c>
      <x:c r="OQ68" s="14" t="n">
        <x:v>2</x:v>
      </x:c>
      <x:c r="OR68" s="14" t="n">
        <x:v>3</x:v>
      </x:c>
      <x:c r="OS68" s="14" t="str">
        <x:v>未收錄</x:v>
      </x:c>
      <x:c r="OT68" s="14" t="str">
        <x:v>24451</x:v>
      </x:c>
      <x:c r="OU68" s="14" t="n">
        <x:v>5</x:v>
      </x:c>
      <x:c r="OV68" s="14" t="n">
        <x:v>2301</x:v>
      </x:c>
      <x:c r="OW68" s="14" t="n">
        <x:v>200</x:v>
      </x:c>
      <x:c r="OX68" s="14" t="n">
        <x:v>2</x:v>
      </x:c>
      <x:c r="OY68" s="14" t="n">
        <x:v>4</x:v>
      </x:c>
      <x:c r="OZ68" s="14" t="str">
        <x:v>未收錄</x:v>
      </x:c>
      <x:c r="PA68" s="14" t="str">
        <x:v>26517</x:v>
      </x:c>
      <x:c r="PB68" s="14" t="n">
        <x:v>5</x:v>
      </x:c>
      <x:c r="PC68" s="14" t="n">
        <x:v>2844</x:v>
      </x:c>
      <x:c r="PD68" s="14" t="n">
        <x:v>197</x:v>
      </x:c>
      <x:c r="PE68" s="14" t="n">
        <x:v>2</x:v>
      </x:c>
      <x:c r="PF68" s="14" t="n">
        <x:v>1</x:v>
      </x:c>
      <x:c r="PG68" s="14" t="str">
        <x:v>未收錄</x:v>
      </x:c>
      <x:c r="PH68" s="14" t="str">
        <x:v>26518</x:v>
      </x:c>
      <x:c r="PI68" s="14" t="n">
        <x:v>5</x:v>
      </x:c>
      <x:c r="PJ68" s="14" t="n">
        <x:v>2845</x:v>
      </x:c>
      <x:c r="PK68" s="14" t="n">
        <x:v>198</x:v>
      </x:c>
      <x:c r="PL68" s="14" t="n">
        <x:v>2</x:v>
      </x:c>
      <x:c r="PM68" s="14" t="n">
        <x:v>2</x:v>
      </x:c>
      <x:c r="PN68" s="14" t="str">
        <x:v>未收錄</x:v>
      </x:c>
      <x:c r="PO68" s="14" t="str">
        <x:v>26572</x:v>
      </x:c>
      <x:c r="PP68" s="14" t="n">
        <x:v>5</x:v>
      </x:c>
      <x:c r="PQ68" s="14" t="n">
        <x:v>2846</x:v>
      </x:c>
      <x:c r="PR68" s="14" t="n">
        <x:v>199</x:v>
      </x:c>
      <x:c r="PS68" s="14" t="n">
        <x:v>2</x:v>
      </x:c>
      <x:c r="PT68" s="14" t="n">
        <x:v>3</x:v>
      </x:c>
      <x:c r="PU68" s="14" t="str">
        <x:v>未收錄</x:v>
      </x:c>
      <x:c r="PV68" s="14" t="str">
        <x:v>26573</x:v>
      </x:c>
      <x:c r="PW68" s="14" t="n">
        <x:v>5</x:v>
      </x:c>
      <x:c r="PX68" s="14" t="n">
        <x:v>2847</x:v>
      </x:c>
      <x:c r="PY68" s="14" t="n">
        <x:v>200</x:v>
      </x:c>
      <x:c r="PZ68" s="14" t="n">
        <x:v>2</x:v>
      </x:c>
      <x:c r="QA68" s="14" t="n">
        <x:v>4</x:v>
      </x:c>
      <x:c r="QB68" s="14" t="str">
        <x:v>未收錄</x:v>
      </x:c>
      <x:c r="QC68" s="14" t="str">
        <x:v>26519</x:v>
      </x:c>
      <x:c r="QD68" s="14" t="n">
        <x:v>5</x:v>
      </x:c>
      <x:c r="QE68" s="14" t="n">
        <x:v>3281</x:v>
      </x:c>
      <x:c r="QF68" s="14" t="n">
        <x:v>197</x:v>
      </x:c>
      <x:c r="QG68" s="14" t="n">
        <x:v>2</x:v>
      </x:c>
      <x:c r="QH68" s="14" t="n">
        <x:v>1</x:v>
      </x:c>
      <x:c r="QI68" s="14" t="str">
        <x:v>未收錄</x:v>
      </x:c>
      <x:c r="QJ68" s="14" t="str">
        <x:v>26520</x:v>
      </x:c>
      <x:c r="QK68" s="14" t="n">
        <x:v>5</x:v>
      </x:c>
      <x:c r="QL68" s="14" t="n">
        <x:v>3282</x:v>
      </x:c>
      <x:c r="QM68" s="14" t="n">
        <x:v>198</x:v>
      </x:c>
      <x:c r="QN68" s="14" t="n">
        <x:v>2</x:v>
      </x:c>
      <x:c r="QO68" s="14" t="n">
        <x:v>2</x:v>
      </x:c>
      <x:c r="QP68" s="14" t="str">
        <x:v>未收錄</x:v>
      </x:c>
      <x:c r="QQ68" s="14" t="str">
        <x:v>26521</x:v>
      </x:c>
      <x:c r="QR68" s="14" t="n">
        <x:v>5</x:v>
      </x:c>
      <x:c r="QS68" s="14" t="n">
        <x:v>3283</x:v>
      </x:c>
      <x:c r="QT68" s="14" t="n">
        <x:v>199</x:v>
      </x:c>
      <x:c r="QU68" s="14" t="n">
        <x:v>2</x:v>
      </x:c>
      <x:c r="QV68" s="14" t="n">
        <x:v>3</x:v>
      </x:c>
      <x:c r="QW68" s="14" t="str">
        <x:v>未收錄</x:v>
      </x:c>
      <x:c r="QX68" s="14" t="str">
        <x:v>26522</x:v>
      </x:c>
      <x:c r="QY68" s="14" t="n">
        <x:v>5</x:v>
      </x:c>
      <x:c r="QZ68" s="14" t="n">
        <x:v>3284</x:v>
      </x:c>
      <x:c r="RA68" s="14" t="n">
        <x:v>200</x:v>
      </x:c>
      <x:c r="RB68" s="14" t="n">
        <x:v>2</x:v>
      </x:c>
      <x:c r="RC68" s="14" t="n">
        <x:v>4</x:v>
      </x:c>
      <x:c r="RD68" s="14" t="str">
        <x:v>未收錄</x:v>
      </x:c>
      <x:c r="RE68" s="14" t="str">
        <x:v>27164</x:v>
      </x:c>
      <x:c r="RF68" s="14" t="n">
        <x:v>5</x:v>
      </x:c>
      <x:c r="RG68" s="14" t="n">
        <x:v>3742</x:v>
      </x:c>
      <x:c r="RH68" s="14" t="n">
        <x:v>197</x:v>
      </x:c>
      <x:c r="RI68" s="14" t="n">
        <x:v>2</x:v>
      </x:c>
      <x:c r="RJ68" s="14" t="n">
        <x:v>1</x:v>
      </x:c>
      <x:c r="RK68" s="14" t="str">
        <x:v>未收錄</x:v>
      </x:c>
      <x:c r="RL68" s="14" t="str">
        <x:v>27165</x:v>
      </x:c>
      <x:c r="RM68" s="14" t="n">
        <x:v>5</x:v>
      </x:c>
      <x:c r="RN68" s="14" t="n">
        <x:v>3743</x:v>
      </x:c>
      <x:c r="RO68" s="14" t="n">
        <x:v>198</x:v>
      </x:c>
      <x:c r="RP68" s="14" t="n">
        <x:v>2</x:v>
      </x:c>
      <x:c r="RQ68" s="14" t="n">
        <x:v>2</x:v>
      </x:c>
      <x:c r="RR68" s="14" t="str">
        <x:v>未收錄</x:v>
      </x:c>
      <x:c r="RS68" s="14" t="str">
        <x:v>27166</x:v>
      </x:c>
      <x:c r="RT68" s="14" t="n">
        <x:v>5</x:v>
      </x:c>
      <x:c r="RU68" s="14" t="n">
        <x:v>3744</x:v>
      </x:c>
      <x:c r="RV68" s="14" t="n">
        <x:v>199</x:v>
      </x:c>
      <x:c r="RW68" s="14" t="n">
        <x:v>2</x:v>
      </x:c>
      <x:c r="RX68" s="14" t="n">
        <x:v>3</x:v>
      </x:c>
      <x:c r="RY68" s="14" t="str">
        <x:v>未收錄</x:v>
      </x:c>
      <x:c r="RZ68" s="14" t="str">
        <x:v>27167</x:v>
      </x:c>
      <x:c r="SA68" s="14" t="n">
        <x:v>5</x:v>
      </x:c>
      <x:c r="SB68" s="14" t="n">
        <x:v>3745</x:v>
      </x:c>
      <x:c r="SC68" s="14" t="n">
        <x:v>200</x:v>
      </x:c>
      <x:c r="SD68" s="14" t="n">
        <x:v>2</x:v>
      </x:c>
      <x:c r="SE68" s="14" t="n">
        <x:v>4</x:v>
      </x:c>
      <x:c r="SF68" s="14" t="str">
        <x:v>未收錄</x:v>
      </x:c>
      <x:c r="SG68" s="14"/>
      <x:c r="SH68" s="14"/>
      <x:c r="SI68" s="14"/>
      <x:c r="SJ68" s="14"/>
      <x:c r="SK68" s="14"/>
      <x:c r="SL68" s="14"/>
      <x:c r="SM68" s="14"/>
      <x:c r="SN68" s="14"/>
      <x:c r="SO68" s="14"/>
      <x:c r="SP68" s="14"/>
      <x:c r="SQ68" s="14"/>
      <x:c r="SR68" s="14"/>
      <x:c r="SS68" s="14"/>
      <x:c r="ST68" s="14"/>
      <x:c r="SU68" s="14"/>
      <x:c r="SV68" s="14"/>
      <x:c r="SW68" s="14"/>
      <x:c r="SX68" s="14"/>
      <x:c r="SY68" s="14"/>
      <x:c r="SZ68" s="14"/>
      <x:c r="TA68" s="14"/>
      <x:c r="TB68" s="14"/>
      <x:c r="TC68" s="14"/>
      <x:c r="TD68" s="14"/>
      <x:c r="TE68" s="14"/>
      <x:c r="TF68" s="14"/>
      <x:c r="TG68" s="14"/>
      <x:c r="TH68" s="14"/>
    </x:row>
    <x:row r="69" ht="15" customHeight="1">
      <x:c r="A69" s="17" t="str">
        <x:v>五帝太昊劍</x:v>
      </x:c>
      <x:c r="B69" s="17" t="str">
        <x:v>紫微帝極劍</x:v>
      </x:c>
      <x:c r="C69" s="17" t="str">
        <x:v>麒麟宮雙星劍</x:v>
      </x:c>
      <x:c r="D69" s="17" t="str">
        <x:v>山海開明劍</x:v>
      </x:c>
      <x:c r="E69" s="14"/>
      <x:c r="F69" s="17" t="str">
        <x:v>千古一帝刀</x:v>
      </x:c>
      <x:c r="G69" s="17" t="str">
        <x:v>武烈春秋刀</x:v>
      </x:c>
      <x:c r="H69" s="17" t="str">
        <x:v>武烈春秋刀</x:v>
      </x:c>
      <x:c r="I69" s="17" t="str">
        <x:v>大聖明王刀</x:v>
      </x:c>
      <x:c r="J69" s="14"/>
      <x:c r="K69" s="14"/>
      <x:c r="L69" s="14"/>
      <x:c r="M69" s="14"/>
      <x:c r="N69" s="14"/>
      <x:c r="O69" s="14"/>
      <x:c r="P69" s="14"/>
      <x:c r="Q69" s="14"/>
      <x:c r="R69" s="14"/>
      <x:c r="S69" s="14"/>
      <x:c r="T69" s="14"/>
      <x:c r="U69" s="14"/>
      <x:c r="V69" s="14"/>
      <x:c r="W69" s="14"/>
      <x:c r="X69" s="14"/>
      <x:c r="Y69" s="14"/>
      <x:c r="Z69" s="14"/>
      <x:c r="AA69" s="14"/>
      <x:c r="AB69" s="14"/>
      <x:c r="AC69" s="14"/>
      <x:c r="AD69" s="14"/>
      <x:c r="AE69" s="14"/>
      <x:c r="AF69" s="14"/>
      <x:c r="AG69" s="14"/>
      <x:c r="AH69" s="14"/>
      <x:c r="AI69" s="14"/>
      <x:c r="AJ69" s="14"/>
      <x:c r="AK69" s="14"/>
      <x:c r="AL69" s="14"/>
      <x:c r="AM69" s="14"/>
      <x:c r="AN69" s="14"/>
      <x:c r="AO69" s="14"/>
      <x:c r="AP69" s="14"/>
      <x:c r="AQ69" s="14"/>
      <x:c r="AR69" s="14"/>
      <x:c r="AS69" s="14"/>
      <x:c r="AT69" s="14"/>
      <x:c r="AU69" s="14"/>
      <x:c r="AV69" s="14"/>
      <x:c r="AW69" s="14"/>
      <x:c r="AX69" s="14"/>
      <x:c r="AY69" s="17" t="str">
        <x:v>典儀禪帽</x:v>
      </x:c>
      <x:c r="AZ69" s="17" t="str">
        <x:v>龍閣戰盔</x:v>
      </x:c>
      <x:c r="BA69" s="17" t="str">
        <x:v>聖皇鋼盔</x:v>
      </x:c>
      <x:c r="BB69" s="17" t="str">
        <x:v>魔滅輕巾</x:v>
      </x:c>
      <x:c r="BC69" s="14"/>
      <x:c r="BD69" s="17" t="str">
        <x:v>常恆僧裟</x:v>
      </x:c>
      <x:c r="BE69" s="17" t="str">
        <x:v>念恆僧裟</x:v>
      </x:c>
      <x:c r="BF69" s="17" t="str">
        <x:v>劍宗御鋒衣</x:v>
      </x:c>
      <x:c r="BG69" s="17" t="str">
        <x:v>武宗尊勇冑</x:v>
      </x:c>
      <x:c r="BH69" s="14"/>
      <x:c r="BI69" s="17" t="str">
        <x:v>天蝶靈手</x:v>
      </x:c>
      <x:c r="BJ69" s="17" t="str">
        <x:v>重陽道腕</x:v>
      </x:c>
      <x:c r="BK69" s="17" t="str">
        <x:v>樓至佛腕</x:v>
      </x:c>
      <x:c r="BL69" s="17" t="str">
        <x:v>剎霆之手</x:v>
      </x:c>
      <x:c r="BM69" s="14"/>
      <x:c r="BN69" s="17" t="str">
        <x:v>禪宗妙行足</x:v>
      </x:c>
      <x:c r="BO69" s="17" t="str">
        <x:v>飛仙雲踏</x:v>
      </x:c>
      <x:c r="BP69" s="17" t="str">
        <x:v>泰山定靴</x:v>
      </x:c>
      <x:c r="BQ69" s="17" t="str">
        <x:v>天蝶仙履</x:v>
      </x:c>
      <x:c r="BR69" s="14"/>
      <x:c r="BS69" s="17" t="str">
        <x:v>宇傲‧朱雀環</x:v>
      </x:c>
      <x:c r="BT69" s="17" t="str">
        <x:v>宇傲‧玄武璧</x:v>
      </x:c>
      <x:c r="BU69" s="17" t="str">
        <x:v>峻霆‧青龍戒</x:v>
      </x:c>
      <x:c r="BV69" s="17" t="str">
        <x:v>峻霆‧白虎玉</x:v>
      </x:c>
      <x:c r="BW69" s="14"/>
      <x:c r="BX69" s="14"/>
      <x:c r="BY69" s="14"/>
      <x:c r="BZ69" s="14"/>
      <x:c r="CA69" s="14"/>
      <x:c r="CB69" s="14"/>
      <x:c r="CC69" s="14" t="str">
        <x:v>27436</x:v>
      </x:c>
      <x:c r="CD69" s="14" t="n">
        <x:v>20</x:v>
      </x:c>
      <x:c r="CE69" s="14" t="n">
        <x:v>201</x:v>
      </x:c>
      <x:c r="CF69" s="14" t="n">
        <x:v>201</x:v>
      </x:c>
      <x:c r="CG69" s="14" t="n">
        <x:v>3</x:v>
      </x:c>
      <x:c r="CH69" s="14" t="n">
        <x:v>1</x:v>
      </x:c>
      <x:c r="CI69" s="14" t="str">
        <x:v>未收錄</x:v>
      </x:c>
      <x:c r="CJ69" s="14" t="str">
        <x:v>27353</x:v>
      </x:c>
      <x:c r="CK69" s="14" t="n">
        <x:v>20</x:v>
      </x:c>
      <x:c r="CL69" s="14" t="n">
        <x:v>202</x:v>
      </x:c>
      <x:c r="CM69" s="14" t="n">
        <x:v>202</x:v>
      </x:c>
      <x:c r="CN69" s="14" t="n">
        <x:v>3</x:v>
      </x:c>
      <x:c r="CO69" s="14" t="n">
        <x:v>2</x:v>
      </x:c>
      <x:c r="CP69" s="14" t="str">
        <x:v>未收錄</x:v>
      </x:c>
      <x:c r="CQ69" s="14" t="str">
        <x:v>27567</x:v>
      </x:c>
      <x:c r="CR69" s="14" t="n">
        <x:v>20</x:v>
      </x:c>
      <x:c r="CS69" s="14" t="n">
        <x:v>203</x:v>
      </x:c>
      <x:c r="CT69" s="14" t="n">
        <x:v>203</x:v>
      </x:c>
      <x:c r="CU69" s="14" t="n">
        <x:v>3</x:v>
      </x:c>
      <x:c r="CV69" s="14" t="n">
        <x:v>3</x:v>
      </x:c>
      <x:c r="CW69" s="14" t="str">
        <x:v>未收錄</x:v>
      </x:c>
      <x:c r="CX69" s="14" t="str">
        <x:v>27994</x:v>
      </x:c>
      <x:c r="CY69" s="14" t="n">
        <x:v>20</x:v>
      </x:c>
      <x:c r="CZ69" s="14" t="n">
        <x:v>204</x:v>
      </x:c>
      <x:c r="DA69" s="14" t="n">
        <x:v>204</x:v>
      </x:c>
      <x:c r="DB69" s="14" t="n">
        <x:v>3</x:v>
      </x:c>
      <x:c r="DC69" s="14" t="n">
        <x:v>4</x:v>
      </x:c>
      <x:c r="DD69" s="14" t="str">
        <x:v>未收錄</x:v>
      </x:c>
      <x:c r="DE69" s="14" t="str">
        <x:v>29665</x:v>
      </x:c>
      <x:c r="DF69" s="14" t="n">
        <x:v>20</x:v>
      </x:c>
      <x:c r="DG69" s="14" t="n">
        <x:v>446</x:v>
      </x:c>
      <x:c r="DH69" s="14" t="n">
        <x:v>201</x:v>
      </x:c>
      <x:c r="DI69" s="14" t="n">
        <x:v>3</x:v>
      </x:c>
      <x:c r="DJ69" s="14" t="n">
        <x:v>1</x:v>
      </x:c>
      <x:c r="DK69" s="14" t="str">
        <x:v>未收錄</x:v>
      </x:c>
      <x:c r="DL69" s="14" t="str">
        <x:v>29914</x:v>
      </x:c>
      <x:c r="DM69" s="14" t="n">
        <x:v>20</x:v>
      </x:c>
      <x:c r="DN69" s="14" t="n">
        <x:v>447</x:v>
      </x:c>
      <x:c r="DO69" s="14" t="n">
        <x:v>202</x:v>
      </x:c>
      <x:c r="DP69" s="14" t="n">
        <x:v>3</x:v>
      </x:c>
      <x:c r="DQ69" s="14" t="n">
        <x:v>2</x:v>
      </x:c>
      <x:c r="DR69" s="14" t="str">
        <x:v>未收錄</x:v>
      </x:c>
      <x:c r="DS69" s="14" t="str">
        <x:v>29924</x:v>
      </x:c>
      <x:c r="DT69" s="14" t="n">
        <x:v>20</x:v>
      </x:c>
      <x:c r="DU69" s="14" t="n">
        <x:v>448</x:v>
      </x:c>
      <x:c r="DV69" s="14" t="n">
        <x:v>203</x:v>
      </x:c>
      <x:c r="DW69" s="14" t="n">
        <x:v>3</x:v>
      </x:c>
      <x:c r="DX69" s="14" t="n">
        <x:v>3</x:v>
      </x:c>
      <x:c r="DY69" s="14" t="str">
        <x:v>未收錄</x:v>
      </x:c>
      <x:c r="DZ69" s="14" t="str">
        <x:v>28184</x:v>
      </x:c>
      <x:c r="EA69" s="14" t="n">
        <x:v>50</x:v>
      </x:c>
      <x:c r="EB69" s="14" t="n">
        <x:v>449</x:v>
      </x:c>
      <x:c r="EC69" s="14" t="n">
        <x:v>204</x:v>
      </x:c>
      <x:c r="ED69" s="14" t="n">
        <x:v>3</x:v>
      </x:c>
      <x:c r="EE69" s="14" t="n">
        <x:v>4</x:v>
      </x:c>
      <x:c r="EF69" s="14" t="str">
        <x:v>未收錄</x:v>
      </x:c>
      <x:c r="EG69" s="14"/>
      <x:c r="EH69" s="14"/>
      <x:c r="EI69" s="14"/>
      <x:c r="EJ69" s="14"/>
      <x:c r="EK69" s="14"/>
      <x:c r="EL69" s="14"/>
      <x:c r="EM69" s="14"/>
      <x:c r="EN69" s="14"/>
      <x:c r="EO69" s="14"/>
      <x:c r="EP69" s="14"/>
      <x:c r="EQ69" s="14"/>
      <x:c r="ER69" s="14"/>
      <x:c r="ES69" s="14"/>
      <x:c r="ET69" s="14"/>
      <x:c r="EU69" s="14"/>
      <x:c r="EV69" s="14"/>
      <x:c r="EW69" s="14"/>
      <x:c r="EX69" s="14"/>
      <x:c r="EY69" s="14"/>
      <x:c r="EZ69" s="14"/>
      <x:c r="FA69" s="14"/>
      <x:c r="FB69" s="14"/>
      <x:c r="FC69" s="14"/>
      <x:c r="FD69" s="14"/>
      <x:c r="FE69" s="14"/>
      <x:c r="FF69" s="14"/>
      <x:c r="FG69" s="14"/>
      <x:c r="FH69" s="14"/>
      <x:c r="FI69" s="14"/>
      <x:c r="FJ69" s="14"/>
      <x:c r="FK69" s="14"/>
      <x:c r="FL69" s="14"/>
      <x:c r="FM69" s="14"/>
      <x:c r="FN69" s="14"/>
      <x:c r="FO69" s="14"/>
      <x:c r="FP69" s="14"/>
      <x:c r="FQ69" s="14"/>
      <x:c r="FR69" s="14"/>
      <x:c r="FS69" s="14"/>
      <x:c r="FT69" s="14"/>
      <x:c r="FU69" s="14"/>
      <x:c r="FV69" s="14"/>
      <x:c r="FW69" s="14"/>
      <x:c r="FX69" s="14"/>
      <x:c r="FY69" s="14"/>
      <x:c r="FZ69" s="14"/>
      <x:c r="GA69" s="14"/>
      <x:c r="GB69" s="14"/>
      <x:c r="GC69" s="14"/>
      <x:c r="GD69" s="14"/>
      <x:c r="GE69" s="14"/>
      <x:c r="GF69" s="14"/>
      <x:c r="GG69" s="14"/>
      <x:c r="GH69" s="14"/>
      <x:c r="GI69" s="14"/>
      <x:c r="GJ69" s="14"/>
      <x:c r="GK69" s="14"/>
      <x:c r="GL69" s="14"/>
      <x:c r="GM69" s="14"/>
      <x:c r="GN69" s="14"/>
      <x:c r="GO69" s="14"/>
      <x:c r="GP69" s="14"/>
      <x:c r="GQ69" s="14"/>
      <x:c r="GR69" s="14"/>
      <x:c r="GS69" s="14"/>
      <x:c r="GT69" s="14"/>
      <x:c r="GU69" s="14"/>
      <x:c r="GV69" s="14"/>
      <x:c r="GW69" s="14"/>
      <x:c r="GX69" s="14"/>
      <x:c r="GY69" s="14"/>
      <x:c r="GZ69" s="14"/>
      <x:c r="HA69" s="14"/>
      <x:c r="HB69" s="14"/>
      <x:c r="HC69" s="14"/>
      <x:c r="HD69" s="14"/>
      <x:c r="HE69" s="14"/>
      <x:c r="HF69" s="14"/>
      <x:c r="HG69" s="14"/>
      <x:c r="HH69" s="14"/>
      <x:c r="HI69" s="14"/>
      <x:c r="HJ69" s="14"/>
      <x:c r="HK69" s="14"/>
      <x:c r="HL69" s="14"/>
      <x:c r="HM69" s="14"/>
      <x:c r="HN69" s="14"/>
      <x:c r="HO69" s="14"/>
      <x:c r="HP69" s="14"/>
      <x:c r="HQ69" s="14"/>
      <x:c r="HR69" s="14"/>
      <x:c r="HS69" s="14"/>
      <x:c r="HT69" s="14"/>
      <x:c r="HU69" s="14"/>
      <x:c r="HV69" s="14"/>
      <x:c r="HW69" s="14"/>
      <x:c r="HX69" s="14"/>
      <x:c r="HY69" s="14"/>
      <x:c r="HZ69" s="14"/>
      <x:c r="IA69" s="14"/>
      <x:c r="IB69" s="14"/>
      <x:c r="IC69" s="14"/>
      <x:c r="ID69" s="14"/>
      <x:c r="IE69" s="14"/>
      <x:c r="IF69" s="14"/>
      <x:c r="IG69" s="14"/>
      <x:c r="IH69" s="14"/>
      <x:c r="II69" s="14"/>
      <x:c r="IJ69" s="14"/>
      <x:c r="IK69" s="14"/>
      <x:c r="IL69" s="14"/>
      <x:c r="IM69" s="14"/>
      <x:c r="IN69" s="14"/>
      <x:c r="IO69" s="14"/>
      <x:c r="IP69" s="14"/>
      <x:c r="IQ69" s="14"/>
      <x:c r="IR69" s="14"/>
      <x:c r="IS69" s="14"/>
      <x:c r="IT69" s="14"/>
      <x:c r="IU69" s="14"/>
      <x:c r="IV69" s="14"/>
      <x:c r="IW69" s="14"/>
      <x:c r="IX69" s="14"/>
      <x:c r="IY69" s="14"/>
      <x:c r="IZ69" s="14"/>
      <x:c r="JA69" s="14"/>
      <x:c r="JB69" s="14"/>
      <x:c r="JC69" s="14"/>
      <x:c r="JD69" s="14"/>
      <x:c r="JE69" s="14"/>
      <x:c r="JF69" s="14"/>
      <x:c r="JG69" s="14"/>
      <x:c r="JH69" s="14"/>
      <x:c r="JI69" s="14"/>
      <x:c r="JJ69" s="14"/>
      <x:c r="JK69" s="14"/>
      <x:c r="JL69" s="14"/>
      <x:c r="JM69" s="14"/>
      <x:c r="JN69" s="14"/>
      <x:c r="JO69" s="14"/>
      <x:c r="JP69" s="14"/>
      <x:c r="JQ69" s="14"/>
      <x:c r="JR69" s="14"/>
      <x:c r="JS69" s="14"/>
      <x:c r="JT69" s="14"/>
      <x:c r="JU69" s="14"/>
      <x:c r="JV69" s="14"/>
      <x:c r="JW69" s="14"/>
      <x:c r="JX69" s="14"/>
      <x:c r="JY69" s="14"/>
      <x:c r="JZ69" s="14"/>
      <x:c r="KA69" s="14"/>
      <x:c r="KB69" s="14"/>
      <x:c r="KC69" s="14"/>
      <x:c r="KD69" s="14"/>
      <x:c r="KE69" s="14"/>
      <x:c r="KF69" s="14"/>
      <x:c r="KG69" s="14"/>
      <x:c r="KH69" s="14"/>
      <x:c r="KI69" s="14"/>
      <x:c r="KJ69" s="14"/>
      <x:c r="KK69" s="14"/>
      <x:c r="KL69" s="14"/>
      <x:c r="KM69" s="14"/>
      <x:c r="KN69" s="14"/>
      <x:c r="KO69" s="14"/>
      <x:c r="KP69" s="14"/>
      <x:c r="KQ69" s="14"/>
      <x:c r="KR69" s="14"/>
      <x:c r="KS69" s="14"/>
      <x:c r="KT69" s="14"/>
      <x:c r="KU69" s="14"/>
      <x:c r="KV69" s="14"/>
      <x:c r="KW69" s="14"/>
      <x:c r="KX69" s="14"/>
      <x:c r="KY69" s="14"/>
      <x:c r="KZ69" s="14"/>
      <x:c r="LA69" s="14"/>
      <x:c r="LB69" s="14"/>
      <x:c r="LC69" s="14"/>
      <x:c r="LD69" s="14"/>
      <x:c r="LE69" s="14"/>
      <x:c r="LF69" s="14"/>
      <x:c r="LG69" s="14"/>
      <x:c r="LH69" s="14"/>
      <x:c r="LI69" s="14"/>
      <x:c r="LJ69" s="14"/>
      <x:c r="LK69" s="14"/>
      <x:c r="LL69" s="14"/>
      <x:c r="LM69" s="14"/>
      <x:c r="LN69" s="14"/>
      <x:c r="LO69" s="14"/>
      <x:c r="LP69" s="14"/>
      <x:c r="LQ69" s="14"/>
      <x:c r="LR69" s="14"/>
      <x:c r="LS69" s="14"/>
      <x:c r="LT69" s="14"/>
      <x:c r="LU69" s="14"/>
      <x:c r="LV69" s="14"/>
      <x:c r="LW69" s="14"/>
      <x:c r="LX69" s="14"/>
      <x:c r="LY69" s="14"/>
      <x:c r="LZ69" s="14"/>
      <x:c r="MA69" s="14"/>
      <x:c r="MB69" s="14"/>
      <x:c r="MC69" s="14"/>
      <x:c r="MD69" s="14"/>
      <x:c r="ME69" s="14"/>
      <x:c r="MF69" s="14"/>
      <x:c r="MG69" s="14"/>
      <x:c r="MH69" s="14"/>
      <x:c r="MI69" s="14"/>
      <x:c r="MJ69" s="14"/>
      <x:c r="MK69" s="14"/>
      <x:c r="ML69" s="14"/>
      <x:c r="MM69" s="14"/>
      <x:c r="MN69" s="14"/>
      <x:c r="MO69" s="14"/>
      <x:c r="MP69" s="14"/>
      <x:c r="MQ69" s="14"/>
      <x:c r="MR69" s="14"/>
      <x:c r="MS69" s="14"/>
      <x:c r="MT69" s="14"/>
      <x:c r="MU69" s="14"/>
      <x:c r="MV69" s="14"/>
      <x:c r="MW69" s="14" t="str">
        <x:v>26010</x:v>
      </x:c>
      <x:c r="MX69" s="14" t="n">
        <x:v>5</x:v>
      </x:c>
      <x:c r="MY69" s="14" t="n">
        <x:v>1849</x:v>
      </x:c>
      <x:c r="MZ69" s="14" t="n">
        <x:v>201</x:v>
      </x:c>
      <x:c r="NA69" s="14" t="n">
        <x:v>3</x:v>
      </x:c>
      <x:c r="NB69" s="14" t="n">
        <x:v>1</x:v>
      </x:c>
      <x:c r="NC69" s="14" t="str">
        <x:v>未收錄</x:v>
      </x:c>
      <x:c r="ND69" s="14" t="str">
        <x:v>26011</x:v>
      </x:c>
      <x:c r="NE69" s="14" t="n">
        <x:v>5</x:v>
      </x:c>
      <x:c r="NF69" s="14" t="n">
        <x:v>1850</x:v>
      </x:c>
      <x:c r="NG69" s="14" t="n">
        <x:v>202</x:v>
      </x:c>
      <x:c r="NH69" s="14" t="n">
        <x:v>3</x:v>
      </x:c>
      <x:c r="NI69" s="14" t="n">
        <x:v>2</x:v>
      </x:c>
      <x:c r="NJ69" s="14" t="str">
        <x:v>未收錄</x:v>
      </x:c>
      <x:c r="NK69" s="14" t="str">
        <x:v>26012</x:v>
      </x:c>
      <x:c r="NL69" s="14" t="n">
        <x:v>5</x:v>
      </x:c>
      <x:c r="NM69" s="14" t="n">
        <x:v>1851</x:v>
      </x:c>
      <x:c r="NN69" s="14" t="n">
        <x:v>203</x:v>
      </x:c>
      <x:c r="NO69" s="14" t="n">
        <x:v>3</x:v>
      </x:c>
      <x:c r="NP69" s="14" t="n">
        <x:v>3</x:v>
      </x:c>
      <x:c r="NQ69" s="14" t="str">
        <x:v>未收錄</x:v>
      </x:c>
      <x:c r="NR69" s="14" t="str">
        <x:v>26013</x:v>
      </x:c>
      <x:c r="NS69" s="14" t="n">
        <x:v>5</x:v>
      </x:c>
      <x:c r="NT69" s="14" t="n">
        <x:v>1852</x:v>
      </x:c>
      <x:c r="NU69" s="14" t="n">
        <x:v>204</x:v>
      </x:c>
      <x:c r="NV69" s="14" t="n">
        <x:v>3</x:v>
      </x:c>
      <x:c r="NW69" s="14" t="n">
        <x:v>4</x:v>
      </x:c>
      <x:c r="NX69" s="14" t="str">
        <x:v>未收錄</x:v>
      </x:c>
      <x:c r="NY69" s="14" t="str">
        <x:v>24452</x:v>
      </x:c>
      <x:c r="NZ69" s="14" t="n">
        <x:v>5</x:v>
      </x:c>
      <x:c r="OA69" s="14" t="n">
        <x:v>2302</x:v>
      </x:c>
      <x:c r="OB69" s="14" t="n">
        <x:v>201</x:v>
      </x:c>
      <x:c r="OC69" s="14" t="n">
        <x:v>3</x:v>
      </x:c>
      <x:c r="OD69" s="14" t="n">
        <x:v>1</x:v>
      </x:c>
      <x:c r="OE69" s="14" t="str">
        <x:v>未收錄</x:v>
      </x:c>
      <x:c r="OF69" s="14" t="str">
        <x:v>24453</x:v>
      </x:c>
      <x:c r="OG69" s="14" t="n">
        <x:v>5</x:v>
      </x:c>
      <x:c r="OH69" s="14" t="n">
        <x:v>2303</x:v>
      </x:c>
      <x:c r="OI69" s="14" t="n">
        <x:v>202</x:v>
      </x:c>
      <x:c r="OJ69" s="14" t="n">
        <x:v>3</x:v>
      </x:c>
      <x:c r="OK69" s="14" t="n">
        <x:v>2</x:v>
      </x:c>
      <x:c r="OL69" s="14" t="str">
        <x:v>未收錄</x:v>
      </x:c>
      <x:c r="OM69" s="14" t="str">
        <x:v>26509</x:v>
      </x:c>
      <x:c r="ON69" s="14" t="n">
        <x:v>5</x:v>
      </x:c>
      <x:c r="OO69" s="14" t="n">
        <x:v>2304</x:v>
      </x:c>
      <x:c r="OP69" s="14" t="n">
        <x:v>203</x:v>
      </x:c>
      <x:c r="OQ69" s="14" t="n">
        <x:v>3</x:v>
      </x:c>
      <x:c r="OR69" s="14" t="n">
        <x:v>3</x:v>
      </x:c>
      <x:c r="OS69" s="14" t="str">
        <x:v>未收錄</x:v>
      </x:c>
      <x:c r="OT69" s="14" t="str">
        <x:v>26510</x:v>
      </x:c>
      <x:c r="OU69" s="14" t="n">
        <x:v>5</x:v>
      </x:c>
      <x:c r="OV69" s="14" t="n">
        <x:v>2305</x:v>
      </x:c>
      <x:c r="OW69" s="14" t="n">
        <x:v>204</x:v>
      </x:c>
      <x:c r="OX69" s="14" t="n">
        <x:v>3</x:v>
      </x:c>
      <x:c r="OY69" s="14" t="n">
        <x:v>4</x:v>
      </x:c>
      <x:c r="OZ69" s="14" t="str">
        <x:v>未收錄</x:v>
      </x:c>
      <x:c r="PA69" s="14" t="str">
        <x:v>26574</x:v>
      </x:c>
      <x:c r="PB69" s="14" t="n">
        <x:v>5</x:v>
      </x:c>
      <x:c r="PC69" s="14" t="n">
        <x:v>2848</x:v>
      </x:c>
      <x:c r="PD69" s="14" t="n">
        <x:v>201</x:v>
      </x:c>
      <x:c r="PE69" s="14" t="n">
        <x:v>3</x:v>
      </x:c>
      <x:c r="PF69" s="14" t="n">
        <x:v>1</x:v>
      </x:c>
      <x:c r="PG69" s="14" t="str">
        <x:v>未收錄</x:v>
      </x:c>
      <x:c r="PH69" s="14" t="str">
        <x:v>26575</x:v>
      </x:c>
      <x:c r="PI69" s="14" t="n">
        <x:v>5</x:v>
      </x:c>
      <x:c r="PJ69" s="14" t="n">
        <x:v>2849</x:v>
      </x:c>
      <x:c r="PK69" s="14" t="n">
        <x:v>202</x:v>
      </x:c>
      <x:c r="PL69" s="14" t="n">
        <x:v>3</x:v>
      </x:c>
      <x:c r="PM69" s="14" t="n">
        <x:v>2</x:v>
      </x:c>
      <x:c r="PN69" s="14" t="str">
        <x:v>未收錄</x:v>
      </x:c>
      <x:c r="PO69" s="14" t="str">
        <x:v>26576</x:v>
      </x:c>
      <x:c r="PP69" s="14" t="n">
        <x:v>5</x:v>
      </x:c>
      <x:c r="PQ69" s="14" t="n">
        <x:v>2850</x:v>
      </x:c>
      <x:c r="PR69" s="14" t="n">
        <x:v>203</x:v>
      </x:c>
      <x:c r="PS69" s="14" t="n">
        <x:v>3</x:v>
      </x:c>
      <x:c r="PT69" s="14" t="n">
        <x:v>3</x:v>
      </x:c>
      <x:c r="PU69" s="14" t="str">
        <x:v>未收錄</x:v>
      </x:c>
      <x:c r="PV69" s="14" t="str">
        <x:v>26577</x:v>
      </x:c>
      <x:c r="PW69" s="14" t="n">
        <x:v>5</x:v>
      </x:c>
      <x:c r="PX69" s="14" t="n">
        <x:v>2851</x:v>
      </x:c>
      <x:c r="PY69" s="14" t="n">
        <x:v>204</x:v>
      </x:c>
      <x:c r="PZ69" s="14" t="n">
        <x:v>3</x:v>
      </x:c>
      <x:c r="QA69" s="14" t="n">
        <x:v>4</x:v>
      </x:c>
      <x:c r="QB69" s="14" t="str">
        <x:v>未收錄</x:v>
      </x:c>
      <x:c r="QC69" s="14" t="str">
        <x:v>26523</x:v>
      </x:c>
      <x:c r="QD69" s="14" t="n">
        <x:v>5</x:v>
      </x:c>
      <x:c r="QE69" s="14" t="n">
        <x:v>3285</x:v>
      </x:c>
      <x:c r="QF69" s="14" t="n">
        <x:v>201</x:v>
      </x:c>
      <x:c r="QG69" s="14" t="n">
        <x:v>3</x:v>
      </x:c>
      <x:c r="QH69" s="14" t="n">
        <x:v>1</x:v>
      </x:c>
      <x:c r="QI69" s="14" t="str">
        <x:v>未收錄</x:v>
      </x:c>
      <x:c r="QJ69" s="14" t="str">
        <x:v>26582</x:v>
      </x:c>
      <x:c r="QK69" s="14" t="n">
        <x:v>5</x:v>
      </x:c>
      <x:c r="QL69" s="14" t="n">
        <x:v>3286</x:v>
      </x:c>
      <x:c r="QM69" s="14" t="n">
        <x:v>202</x:v>
      </x:c>
      <x:c r="QN69" s="14" t="n">
        <x:v>3</x:v>
      </x:c>
      <x:c r="QO69" s="14" t="n">
        <x:v>2</x:v>
      </x:c>
      <x:c r="QP69" s="14" t="str">
        <x:v>未收錄</x:v>
      </x:c>
      <x:c r="QQ69" s="14" t="str">
        <x:v>26583</x:v>
      </x:c>
      <x:c r="QR69" s="14" t="n">
        <x:v>5</x:v>
      </x:c>
      <x:c r="QS69" s="14" t="n">
        <x:v>3287</x:v>
      </x:c>
      <x:c r="QT69" s="14" t="n">
        <x:v>203</x:v>
      </x:c>
      <x:c r="QU69" s="14" t="n">
        <x:v>3</x:v>
      </x:c>
      <x:c r="QV69" s="14" t="n">
        <x:v>3</x:v>
      </x:c>
      <x:c r="QW69" s="14" t="str">
        <x:v>未收錄</x:v>
      </x:c>
      <x:c r="QX69" s="14" t="str">
        <x:v>26584</x:v>
      </x:c>
      <x:c r="QY69" s="14" t="n">
        <x:v>5</x:v>
      </x:c>
      <x:c r="QZ69" s="14" t="n">
        <x:v>3288</x:v>
      </x:c>
      <x:c r="RA69" s="14" t="n">
        <x:v>204</x:v>
      </x:c>
      <x:c r="RB69" s="14" t="n">
        <x:v>3</x:v>
      </x:c>
      <x:c r="RC69" s="14" t="n">
        <x:v>4</x:v>
      </x:c>
      <x:c r="RD69" s="14" t="str">
        <x:v>未收錄</x:v>
      </x:c>
      <x:c r="RE69" s="14" t="str">
        <x:v>27168</x:v>
      </x:c>
      <x:c r="RF69" s="14" t="n">
        <x:v>5</x:v>
      </x:c>
      <x:c r="RG69" s="14" t="n">
        <x:v>3746</x:v>
      </x:c>
      <x:c r="RH69" s="14" t="n">
        <x:v>201</x:v>
      </x:c>
      <x:c r="RI69" s="14" t="n">
        <x:v>3</x:v>
      </x:c>
      <x:c r="RJ69" s="14" t="n">
        <x:v>1</x:v>
      </x:c>
      <x:c r="RK69" s="14" t="str">
        <x:v>未收錄</x:v>
      </x:c>
      <x:c r="RL69" s="14" t="str">
        <x:v>27169</x:v>
      </x:c>
      <x:c r="RM69" s="14" t="n">
        <x:v>5</x:v>
      </x:c>
      <x:c r="RN69" s="14" t="n">
        <x:v>3747</x:v>
      </x:c>
      <x:c r="RO69" s="14" t="n">
        <x:v>202</x:v>
      </x:c>
      <x:c r="RP69" s="14" t="n">
        <x:v>3</x:v>
      </x:c>
      <x:c r="RQ69" s="14" t="n">
        <x:v>2</x:v>
      </x:c>
      <x:c r="RR69" s="14" t="str">
        <x:v>未收錄</x:v>
      </x:c>
      <x:c r="RS69" s="14" t="str">
        <x:v>27720</x:v>
      </x:c>
      <x:c r="RT69" s="14" t="n">
        <x:v>5</x:v>
      </x:c>
      <x:c r="RU69" s="14" t="n">
        <x:v>3748</x:v>
      </x:c>
      <x:c r="RV69" s="14" t="n">
        <x:v>203</x:v>
      </x:c>
      <x:c r="RW69" s="14" t="n">
        <x:v>3</x:v>
      </x:c>
      <x:c r="RX69" s="14" t="n">
        <x:v>3</x:v>
      </x:c>
      <x:c r="RY69" s="14" t="str">
        <x:v>未收錄</x:v>
      </x:c>
      <x:c r="RZ69" s="14" t="str">
        <x:v>27721</x:v>
      </x:c>
      <x:c r="SA69" s="14" t="n">
        <x:v>5</x:v>
      </x:c>
      <x:c r="SB69" s="14" t="n">
        <x:v>3749</x:v>
      </x:c>
      <x:c r="SC69" s="14" t="n">
        <x:v>204</x:v>
      </x:c>
      <x:c r="SD69" s="14" t="n">
        <x:v>3</x:v>
      </x:c>
      <x:c r="SE69" s="14" t="n">
        <x:v>4</x:v>
      </x:c>
      <x:c r="SF69" s="14" t="str">
        <x:v>未收錄</x:v>
      </x:c>
      <x:c r="SG69" s="14"/>
      <x:c r="SH69" s="14"/>
      <x:c r="SI69" s="14"/>
      <x:c r="SJ69" s="14"/>
      <x:c r="SK69" s="14"/>
      <x:c r="SL69" s="14"/>
      <x:c r="SM69" s="14"/>
      <x:c r="SN69" s="14"/>
      <x:c r="SO69" s="14"/>
      <x:c r="SP69" s="14"/>
      <x:c r="SQ69" s="14"/>
      <x:c r="SR69" s="14"/>
      <x:c r="SS69" s="14"/>
      <x:c r="ST69" s="14"/>
      <x:c r="SU69" s="14"/>
      <x:c r="SV69" s="14"/>
      <x:c r="SW69" s="14"/>
      <x:c r="SX69" s="14"/>
      <x:c r="SY69" s="14"/>
      <x:c r="SZ69" s="14"/>
      <x:c r="TA69" s="14"/>
      <x:c r="TB69" s="14"/>
      <x:c r="TC69" s="14"/>
      <x:c r="TD69" s="14"/>
      <x:c r="TE69" s="14"/>
      <x:c r="TF69" s="14"/>
      <x:c r="TG69" s="14"/>
      <x:c r="TH69" s="14"/>
    </x:row>
    <x:row r="70" ht="15" customHeight="1">
      <x:c r="A70" s="18" t="str">
        <x:v>天諭劍‧仙緲</x:v>
      </x:c>
      <x:c r="B70" s="18" t="str">
        <x:v>焱劍‧雷瓦汀</x:v>
      </x:c>
      <x:c r="C70" s="18" t="str">
        <x:v>焱劍‧雷瓦汀</x:v>
      </x:c>
      <x:c r="D70" s="18" t="str">
        <x:v>歿劍迪‧亞特</x:v>
      </x:c>
      <x:c r="E70" s="14"/>
      <x:c r="F70" s="18" t="str">
        <x:v>六滅化神刀</x:v>
      </x:c>
      <x:c r="G70" s="18" t="str">
        <x:v>真六滅化神刀</x:v>
      </x:c>
      <x:c r="H70" s="18" t="str">
        <x:v>超六滅化神刀</x:v>
      </x:c>
      <x:c r="I70" s="18" t="str">
        <x:v>絕六滅化神刀</x:v>
      </x:c>
      <x:c r="J70" s="14"/>
      <x:c r="K70" s="14"/>
      <x:c r="L70" s="14"/>
      <x:c r="M70" s="14"/>
      <x:c r="N70" s="14"/>
      <x:c r="O70" s="14"/>
      <x:c r="P70" s="14"/>
      <x:c r="Q70" s="14"/>
      <x:c r="R70" s="14"/>
      <x:c r="S70" s="14"/>
      <x:c r="T70" s="14"/>
      <x:c r="U70" s="14"/>
      <x:c r="V70" s="14"/>
      <x:c r="W70" s="14"/>
      <x:c r="X70" s="14"/>
      <x:c r="Y70" s="14"/>
      <x:c r="Z70" s="14"/>
      <x:c r="AA70" s="14"/>
      <x:c r="AB70" s="14"/>
      <x:c r="AC70" s="14"/>
      <x:c r="AD70" s="14"/>
      <x:c r="AE70" s="14"/>
      <x:c r="AF70" s="14"/>
      <x:c r="AG70" s="14"/>
      <x:c r="AH70" s="14"/>
      <x:c r="AI70" s="14"/>
      <x:c r="AJ70" s="14"/>
      <x:c r="AK70" s="14"/>
      <x:c r="AL70" s="14"/>
      <x:c r="AM70" s="14"/>
      <x:c r="AN70" s="14"/>
      <x:c r="AO70" s="14"/>
      <x:c r="AP70" s="14"/>
      <x:c r="AQ70" s="14"/>
      <x:c r="AR70" s="14"/>
      <x:c r="AS70" s="14"/>
      <x:c r="AT70" s="14"/>
      <x:c r="AU70" s="14"/>
      <x:c r="AV70" s="14"/>
      <x:c r="AW70" s="14"/>
      <x:c r="AX70" s="14"/>
      <x:c r="AY70" s="18" t="str">
        <x:v>聖庇道冠</x:v>
      </x:c>
      <x:c r="AZ70" s="18" t="str">
        <x:v>天導禪帽</x:v>
      </x:c>
      <x:c r="BA70" s="18" t="str">
        <x:v>參天真神律盔</x:v>
      </x:c>
      <x:c r="BB70" s="18" t="str">
        <x:v>月讀紗巾‧帝</x:v>
      </x:c>
      <x:c r="BC70" s="14"/>
      <x:c r="BD70" s="18" t="str">
        <x:v>術宗雲騰斗</x:v>
      </x:c>
      <x:c r="BE70" s="18" t="str">
        <x:v>道宗太真袍</x:v>
      </x:c>
      <x:c r="BF70" s="18" t="str">
        <x:v>禪宗妙袈裟</x:v>
      </x:c>
      <x:c r="BG70" s="18" t="str">
        <x:v>希亞劍甲</x:v>
      </x:c>
      <x:c r="BH70" s="14"/>
      <x:c r="BI70" s="18" t="str">
        <x:v>英霸鋼臂</x:v>
      </x:c>
      <x:c r="BJ70" s="18" t="str">
        <x:v>燕霑護手</x:v>
      </x:c>
      <x:c r="BK70" s="18" t="str">
        <x:v>渺霧道腕</x:v>
      </x:c>
      <x:c r="BL70" s="18" t="str">
        <x:v>祈霖佛腕</x:v>
      </x:c>
      <x:c r="BM70" s="14"/>
      <x:c r="BN70" s="18" t="str">
        <x:v>重陽道靴</x:v>
      </x:c>
      <x:c r="BO70" s="18" t="str">
        <x:v>樓至行腳</x:v>
      </x:c>
      <x:c r="BP70" s="18" t="str">
        <x:v>剎霆之步</x:v>
      </x:c>
      <x:c r="BQ70" s="18" t="str">
        <x:v>英霸鋼靴</x:v>
      </x:c>
      <x:c r="BR70" s="14"/>
      <x:c r="BS70" s="18" t="str">
        <x:v>峻霆‧朱雀環</x:v>
      </x:c>
      <x:c r="BT70" s="18" t="str">
        <x:v>峻霆‧玄武璧</x:v>
      </x:c>
      <x:c r="BU70" s="18" t="str">
        <x:v>窮極‧青龍戒</x:v>
      </x:c>
      <x:c r="BV70" s="18" t="str">
        <x:v>窮極‧白虎玉</x:v>
      </x:c>
      <x:c r="BW70" s="14"/>
      <x:c r="BX70" s="14"/>
      <x:c r="BY70" s="14"/>
      <x:c r="BZ70" s="14"/>
      <x:c r="CA70" s="14"/>
      <x:c r="CB70" s="14"/>
      <x:c r="CC70" s="14" t="str">
        <x:v>28152</x:v>
      </x:c>
      <x:c r="CD70" s="14" t="n">
        <x:v>20</x:v>
      </x:c>
      <x:c r="CE70" s="14" t="n">
        <x:v>205</x:v>
      </x:c>
      <x:c r="CF70" s="14" t="n">
        <x:v>205</x:v>
      </x:c>
      <x:c r="CG70" s="14" t="n">
        <x:v>4</x:v>
      </x:c>
      <x:c r="CH70" s="14" t="n">
        <x:v>1</x:v>
      </x:c>
      <x:c r="CI70" s="14" t="str">
        <x:v>未收錄</x:v>
      </x:c>
      <x:c r="CJ70" s="14" t="str">
        <x:v>28489</x:v>
      </x:c>
      <x:c r="CK70" s="14" t="n">
        <x:v>20</x:v>
      </x:c>
      <x:c r="CL70" s="14" t="n">
        <x:v>206</x:v>
      </x:c>
      <x:c r="CM70" s="14" t="n">
        <x:v>206</x:v>
      </x:c>
      <x:c r="CN70" s="14" t="n">
        <x:v>4</x:v>
      </x:c>
      <x:c r="CO70" s="14" t="n">
        <x:v>2</x:v>
      </x:c>
      <x:c r="CP70" s="14" t="str">
        <x:v>未收錄</x:v>
      </x:c>
      <x:c r="CQ70" s="14" t="str">
        <x:v>28776</x:v>
      </x:c>
      <x:c r="CR70" s="14" t="n">
        <x:v>20</x:v>
      </x:c>
      <x:c r="CS70" s="14" t="n">
        <x:v>207</x:v>
      </x:c>
      <x:c r="CT70" s="14" t="n">
        <x:v>207</x:v>
      </x:c>
      <x:c r="CU70" s="14" t="n">
        <x:v>4</x:v>
      </x:c>
      <x:c r="CV70" s="14" t="n">
        <x:v>3</x:v>
      </x:c>
      <x:c r="CW70" s="14" t="str">
        <x:v>未收錄</x:v>
      </x:c>
      <x:c r="CX70" s="14" t="str">
        <x:v>29001</x:v>
      </x:c>
      <x:c r="CY70" s="14" t="n">
        <x:v>20</x:v>
      </x:c>
      <x:c r="CZ70" s="14" t="n">
        <x:v>208</x:v>
      </x:c>
      <x:c r="DA70" s="14" t="n">
        <x:v>208</x:v>
      </x:c>
      <x:c r="DB70" s="14" t="n">
        <x:v>4</x:v>
      </x:c>
      <x:c r="DC70" s="14" t="n">
        <x:v>4</x:v>
      </x:c>
      <x:c r="DD70" s="14" t="str">
        <x:v>未收錄</x:v>
      </x:c>
      <x:c r="DE70" s="14" t="str">
        <x:v>23632</x:v>
      </x:c>
      <x:c r="DF70" s="14" t="n">
        <x:v>10</x:v>
      </x:c>
      <x:c r="DG70" s="14" t="n">
        <x:v>450</x:v>
      </x:c>
      <x:c r="DH70" s="14" t="n">
        <x:v>205</x:v>
      </x:c>
      <x:c r="DI70" s="14" t="n">
        <x:v>4</x:v>
      </x:c>
      <x:c r="DJ70" s="14" t="n">
        <x:v>1</x:v>
      </x:c>
      <x:c r="DK70" s="14" t="str">
        <x:v>未收錄</x:v>
      </x:c>
      <x:c r="DL70" s="14" t="str">
        <x:v>24376</x:v>
      </x:c>
      <x:c r="DM70" s="14" t="n">
        <x:v>10</x:v>
      </x:c>
      <x:c r="DN70" s="14" t="n">
        <x:v>451</x:v>
      </x:c>
      <x:c r="DO70" s="14" t="n">
        <x:v>206</x:v>
      </x:c>
      <x:c r="DP70" s="14" t="n">
        <x:v>4</x:v>
      </x:c>
      <x:c r="DQ70" s="14" t="n">
        <x:v>2</x:v>
      </x:c>
      <x:c r="DR70" s="14" t="str">
        <x:v>未收錄</x:v>
      </x:c>
      <x:c r="DS70" s="14" t="str">
        <x:v>24951</x:v>
      </x:c>
      <x:c r="DT70" s="14" t="n">
        <x:v>10</x:v>
      </x:c>
      <x:c r="DU70" s="14" t="n">
        <x:v>452</x:v>
      </x:c>
      <x:c r="DV70" s="14" t="n">
        <x:v>207</x:v>
      </x:c>
      <x:c r="DW70" s="14" t="n">
        <x:v>4</x:v>
      </x:c>
      <x:c r="DX70" s="14" t="n">
        <x:v>3</x:v>
      </x:c>
      <x:c r="DY70" s="14" t="str">
        <x:v>未收錄</x:v>
      </x:c>
      <x:c r="DZ70" s="14" t="str">
        <x:v>26797</x:v>
      </x:c>
      <x:c r="EA70" s="14" t="n">
        <x:v>10</x:v>
      </x:c>
      <x:c r="EB70" s="14" t="n">
        <x:v>453</x:v>
      </x:c>
      <x:c r="EC70" s="14" t="n">
        <x:v>208</x:v>
      </x:c>
      <x:c r="ED70" s="14" t="n">
        <x:v>4</x:v>
      </x:c>
      <x:c r="EE70" s="14" t="n">
        <x:v>4</x:v>
      </x:c>
      <x:c r="EF70" s="14" t="str">
        <x:v>未收錄</x:v>
      </x:c>
      <x:c r="EG70" s="14"/>
      <x:c r="EH70" s="14"/>
      <x:c r="EI70" s="14"/>
      <x:c r="EJ70" s="14"/>
      <x:c r="EK70" s="14"/>
      <x:c r="EL70" s="14"/>
      <x:c r="EM70" s="14"/>
      <x:c r="EN70" s="14"/>
      <x:c r="EO70" s="14"/>
      <x:c r="EP70" s="14"/>
      <x:c r="EQ70" s="14"/>
      <x:c r="ER70" s="14"/>
      <x:c r="ES70" s="14"/>
      <x:c r="ET70" s="14"/>
      <x:c r="EU70" s="14"/>
      <x:c r="EV70" s="14"/>
      <x:c r="EW70" s="14"/>
      <x:c r="EX70" s="14"/>
      <x:c r="EY70" s="14"/>
      <x:c r="EZ70" s="14"/>
      <x:c r="FA70" s="14"/>
      <x:c r="FB70" s="14"/>
      <x:c r="FC70" s="14"/>
      <x:c r="FD70" s="14"/>
      <x:c r="FE70" s="14"/>
      <x:c r="FF70" s="14"/>
      <x:c r="FG70" s="14"/>
      <x:c r="FH70" s="14"/>
      <x:c r="FI70" s="14"/>
      <x:c r="FJ70" s="14"/>
      <x:c r="FK70" s="14"/>
      <x:c r="FL70" s="14"/>
      <x:c r="FM70" s="14"/>
      <x:c r="FN70" s="14"/>
      <x:c r="FO70" s="14"/>
      <x:c r="FP70" s="14"/>
      <x:c r="FQ70" s="14"/>
      <x:c r="FR70" s="14"/>
      <x:c r="FS70" s="14"/>
      <x:c r="FT70" s="14"/>
      <x:c r="FU70" s="14"/>
      <x:c r="FV70" s="14"/>
      <x:c r="FW70" s="14"/>
      <x:c r="FX70" s="14"/>
      <x:c r="FY70" s="14"/>
      <x:c r="FZ70" s="14"/>
      <x:c r="GA70" s="14"/>
      <x:c r="GB70" s="14"/>
      <x:c r="GC70" s="14"/>
      <x:c r="GD70" s="14"/>
      <x:c r="GE70" s="14"/>
      <x:c r="GF70" s="14"/>
      <x:c r="GG70" s="14"/>
      <x:c r="GH70" s="14"/>
      <x:c r="GI70" s="14"/>
      <x:c r="GJ70" s="14"/>
      <x:c r="GK70" s="14"/>
      <x:c r="GL70" s="14"/>
      <x:c r="GM70" s="14"/>
      <x:c r="GN70" s="14"/>
      <x:c r="GO70" s="14"/>
      <x:c r="GP70" s="14"/>
      <x:c r="GQ70" s="14"/>
      <x:c r="GR70" s="14"/>
      <x:c r="GS70" s="14"/>
      <x:c r="GT70" s="14"/>
      <x:c r="GU70" s="14"/>
      <x:c r="GV70" s="14"/>
      <x:c r="GW70" s="14"/>
      <x:c r="GX70" s="14"/>
      <x:c r="GY70" s="14"/>
      <x:c r="GZ70" s="14"/>
      <x:c r="HA70" s="14"/>
      <x:c r="HB70" s="14"/>
      <x:c r="HC70" s="14"/>
      <x:c r="HD70" s="14"/>
      <x:c r="HE70" s="14"/>
      <x:c r="HF70" s="14"/>
      <x:c r="HG70" s="14"/>
      <x:c r="HH70" s="14"/>
      <x:c r="HI70" s="14"/>
      <x:c r="HJ70" s="14"/>
      <x:c r="HK70" s="14"/>
      <x:c r="HL70" s="14"/>
      <x:c r="HM70" s="14"/>
      <x:c r="HN70" s="14"/>
      <x:c r="HO70" s="14"/>
      <x:c r="HP70" s="14"/>
      <x:c r="HQ70" s="14"/>
      <x:c r="HR70" s="14"/>
      <x:c r="HS70" s="14"/>
      <x:c r="HT70" s="14"/>
      <x:c r="HU70" s="14"/>
      <x:c r="HV70" s="14"/>
      <x:c r="HW70" s="14"/>
      <x:c r="HX70" s="14"/>
      <x:c r="HY70" s="14"/>
      <x:c r="HZ70" s="14"/>
      <x:c r="IA70" s="14"/>
      <x:c r="IB70" s="14"/>
      <x:c r="IC70" s="14"/>
      <x:c r="ID70" s="14"/>
      <x:c r="IE70" s="14"/>
      <x:c r="IF70" s="14"/>
      <x:c r="IG70" s="14"/>
      <x:c r="IH70" s="14"/>
      <x:c r="II70" s="14"/>
      <x:c r="IJ70" s="14"/>
      <x:c r="IK70" s="14"/>
      <x:c r="IL70" s="14"/>
      <x:c r="IM70" s="14"/>
      <x:c r="IN70" s="14"/>
      <x:c r="IO70" s="14"/>
      <x:c r="IP70" s="14"/>
      <x:c r="IQ70" s="14"/>
      <x:c r="IR70" s="14"/>
      <x:c r="IS70" s="14"/>
      <x:c r="IT70" s="14"/>
      <x:c r="IU70" s="14"/>
      <x:c r="IV70" s="14"/>
      <x:c r="IW70" s="14"/>
      <x:c r="IX70" s="14"/>
      <x:c r="IY70" s="14"/>
      <x:c r="IZ70" s="14"/>
      <x:c r="JA70" s="14"/>
      <x:c r="JB70" s="14"/>
      <x:c r="JC70" s="14"/>
      <x:c r="JD70" s="14"/>
      <x:c r="JE70" s="14"/>
      <x:c r="JF70" s="14"/>
      <x:c r="JG70" s="14"/>
      <x:c r="JH70" s="14"/>
      <x:c r="JI70" s="14"/>
      <x:c r="JJ70" s="14"/>
      <x:c r="JK70" s="14"/>
      <x:c r="JL70" s="14"/>
      <x:c r="JM70" s="14"/>
      <x:c r="JN70" s="14"/>
      <x:c r="JO70" s="14"/>
      <x:c r="JP70" s="14"/>
      <x:c r="JQ70" s="14"/>
      <x:c r="JR70" s="14"/>
      <x:c r="JS70" s="14"/>
      <x:c r="JT70" s="14"/>
      <x:c r="JU70" s="14"/>
      <x:c r="JV70" s="14"/>
      <x:c r="JW70" s="14"/>
      <x:c r="JX70" s="14"/>
      <x:c r="JY70" s="14"/>
      <x:c r="JZ70" s="14"/>
      <x:c r="KA70" s="14"/>
      <x:c r="KB70" s="14"/>
      <x:c r="KC70" s="14"/>
      <x:c r="KD70" s="14"/>
      <x:c r="KE70" s="14"/>
      <x:c r="KF70" s="14"/>
      <x:c r="KG70" s="14"/>
      <x:c r="KH70" s="14"/>
      <x:c r="KI70" s="14"/>
      <x:c r="KJ70" s="14"/>
      <x:c r="KK70" s="14"/>
      <x:c r="KL70" s="14"/>
      <x:c r="KM70" s="14"/>
      <x:c r="KN70" s="14"/>
      <x:c r="KO70" s="14"/>
      <x:c r="KP70" s="14"/>
      <x:c r="KQ70" s="14"/>
      <x:c r="KR70" s="14"/>
      <x:c r="KS70" s="14"/>
      <x:c r="KT70" s="14"/>
      <x:c r="KU70" s="14"/>
      <x:c r="KV70" s="14"/>
      <x:c r="KW70" s="14"/>
      <x:c r="KX70" s="14"/>
      <x:c r="KY70" s="14"/>
      <x:c r="KZ70" s="14"/>
      <x:c r="LA70" s="14"/>
      <x:c r="LB70" s="14"/>
      <x:c r="LC70" s="14"/>
      <x:c r="LD70" s="14"/>
      <x:c r="LE70" s="14"/>
      <x:c r="LF70" s="14"/>
      <x:c r="LG70" s="14"/>
      <x:c r="LH70" s="14"/>
      <x:c r="LI70" s="14"/>
      <x:c r="LJ70" s="14"/>
      <x:c r="LK70" s="14"/>
      <x:c r="LL70" s="14"/>
      <x:c r="LM70" s="14"/>
      <x:c r="LN70" s="14"/>
      <x:c r="LO70" s="14"/>
      <x:c r="LP70" s="14"/>
      <x:c r="LQ70" s="14"/>
      <x:c r="LR70" s="14"/>
      <x:c r="LS70" s="14"/>
      <x:c r="LT70" s="14"/>
      <x:c r="LU70" s="14"/>
      <x:c r="LV70" s="14"/>
      <x:c r="LW70" s="14"/>
      <x:c r="LX70" s="14"/>
      <x:c r="LY70" s="14"/>
      <x:c r="LZ70" s="14"/>
      <x:c r="MA70" s="14"/>
      <x:c r="MB70" s="14"/>
      <x:c r="MC70" s="14"/>
      <x:c r="MD70" s="14"/>
      <x:c r="ME70" s="14"/>
      <x:c r="MF70" s="14"/>
      <x:c r="MG70" s="14"/>
      <x:c r="MH70" s="14"/>
      <x:c r="MI70" s="14"/>
      <x:c r="MJ70" s="14"/>
      <x:c r="MK70" s="14"/>
      <x:c r="ML70" s="14"/>
      <x:c r="MM70" s="14"/>
      <x:c r="MN70" s="14"/>
      <x:c r="MO70" s="14"/>
      <x:c r="MP70" s="14"/>
      <x:c r="MQ70" s="14"/>
      <x:c r="MR70" s="14"/>
      <x:c r="MS70" s="14"/>
      <x:c r="MT70" s="14"/>
      <x:c r="MU70" s="14"/>
      <x:c r="MV70" s="14"/>
      <x:c r="MW70" s="14" t="str">
        <x:v>26014</x:v>
      </x:c>
      <x:c r="MX70" s="14" t="n">
        <x:v>5</x:v>
      </x:c>
      <x:c r="MY70" s="14" t="n">
        <x:v>1853</x:v>
      </x:c>
      <x:c r="MZ70" s="14" t="n">
        <x:v>205</x:v>
      </x:c>
      <x:c r="NA70" s="14" t="n">
        <x:v>4</x:v>
      </x:c>
      <x:c r="NB70" s="14" t="n">
        <x:v>1</x:v>
      </x:c>
      <x:c r="NC70" s="14" t="str">
        <x:v>未收錄</x:v>
      </x:c>
      <x:c r="ND70" s="14" t="str">
        <x:v>26015</x:v>
      </x:c>
      <x:c r="NE70" s="14" t="n">
        <x:v>5</x:v>
      </x:c>
      <x:c r="NF70" s="14" t="n">
        <x:v>1854</x:v>
      </x:c>
      <x:c r="NG70" s="14" t="n">
        <x:v>206</x:v>
      </x:c>
      <x:c r="NH70" s="14" t="n">
        <x:v>4</x:v>
      </x:c>
      <x:c r="NI70" s="14" t="n">
        <x:v>2</x:v>
      </x:c>
      <x:c r="NJ70" s="14" t="str">
        <x:v>未收錄</x:v>
      </x:c>
      <x:c r="NK70" s="14" t="str">
        <x:v>26418</x:v>
      </x:c>
      <x:c r="NL70" s="14" t="n">
        <x:v>10</x:v>
      </x:c>
      <x:c r="NM70" s="14" t="n">
        <x:v>1855</x:v>
      </x:c>
      <x:c r="NN70" s="14" t="n">
        <x:v>207</x:v>
      </x:c>
      <x:c r="NO70" s="14" t="n">
        <x:v>4</x:v>
      </x:c>
      <x:c r="NP70" s="14" t="n">
        <x:v>3</x:v>
      </x:c>
      <x:c r="NQ70" s="14" t="str">
        <x:v>未收錄</x:v>
      </x:c>
      <x:c r="NR70" s="14" t="str">
        <x:v>24979</x:v>
      </x:c>
      <x:c r="NS70" s="14" t="n">
        <x:v>10</x:v>
      </x:c>
      <x:c r="NT70" s="14" t="n">
        <x:v>1856</x:v>
      </x:c>
      <x:c r="NU70" s="14" t="n">
        <x:v>208</x:v>
      </x:c>
      <x:c r="NV70" s="14" t="n">
        <x:v>4</x:v>
      </x:c>
      <x:c r="NW70" s="14" t="n">
        <x:v>4</x:v>
      </x:c>
      <x:c r="NX70" s="14" t="str">
        <x:v>未收錄</x:v>
      </x:c>
      <x:c r="NY70" s="14" t="str">
        <x:v>26511</x:v>
      </x:c>
      <x:c r="NZ70" s="14" t="n">
        <x:v>5</x:v>
      </x:c>
      <x:c r="OA70" s="14" t="n">
        <x:v>2306</x:v>
      </x:c>
      <x:c r="OB70" s="14" t="n">
        <x:v>205</x:v>
      </x:c>
      <x:c r="OC70" s="14" t="n">
        <x:v>4</x:v>
      </x:c>
      <x:c r="OD70" s="14" t="n">
        <x:v>1</x:v>
      </x:c>
      <x:c r="OE70" s="14" t="str">
        <x:v>未收錄</x:v>
      </x:c>
      <x:c r="OF70" s="14" t="str">
        <x:v>26512</x:v>
      </x:c>
      <x:c r="OG70" s="14" t="n">
        <x:v>5</x:v>
      </x:c>
      <x:c r="OH70" s="14" t="n">
        <x:v>2307</x:v>
      </x:c>
      <x:c r="OI70" s="14" t="n">
        <x:v>206</x:v>
      </x:c>
      <x:c r="OJ70" s="14" t="n">
        <x:v>4</x:v>
      </x:c>
      <x:c r="OK70" s="14" t="n">
        <x:v>2</x:v>
      </x:c>
      <x:c r="OL70" s="14" t="str">
        <x:v>未收錄</x:v>
      </x:c>
      <x:c r="OM70" s="14" t="str">
        <x:v>26513</x:v>
      </x:c>
      <x:c r="ON70" s="14" t="n">
        <x:v>5</x:v>
      </x:c>
      <x:c r="OO70" s="14" t="n">
        <x:v>2308</x:v>
      </x:c>
      <x:c r="OP70" s="14" t="n">
        <x:v>207</x:v>
      </x:c>
      <x:c r="OQ70" s="14" t="n">
        <x:v>4</x:v>
      </x:c>
      <x:c r="OR70" s="14" t="n">
        <x:v>3</x:v>
      </x:c>
      <x:c r="OS70" s="14" t="str">
        <x:v>未收錄</x:v>
      </x:c>
      <x:c r="OT70" s="14" t="str">
        <x:v>24581</x:v>
      </x:c>
      <x:c r="OU70" s="14" t="n">
        <x:v>5</x:v>
      </x:c>
      <x:c r="OV70" s="14" t="n">
        <x:v>2309</x:v>
      </x:c>
      <x:c r="OW70" s="14" t="n">
        <x:v>208</x:v>
      </x:c>
      <x:c r="OX70" s="14" t="n">
        <x:v>4</x:v>
      </x:c>
      <x:c r="OY70" s="14" t="n">
        <x:v>4</x:v>
      </x:c>
      <x:c r="OZ70" s="14" t="str">
        <x:v>未收錄</x:v>
      </x:c>
      <x:c r="PA70" s="14" t="str">
        <x:v>26578</x:v>
      </x:c>
      <x:c r="PB70" s="14" t="n">
        <x:v>5</x:v>
      </x:c>
      <x:c r="PC70" s="14" t="n">
        <x:v>2852</x:v>
      </x:c>
      <x:c r="PD70" s="14" t="n">
        <x:v>205</x:v>
      </x:c>
      <x:c r="PE70" s="14" t="n">
        <x:v>4</x:v>
      </x:c>
      <x:c r="PF70" s="14" t="n">
        <x:v>1</x:v>
      </x:c>
      <x:c r="PG70" s="14" t="str">
        <x:v>未收錄</x:v>
      </x:c>
      <x:c r="PH70" s="14" t="str">
        <x:v>26579</x:v>
      </x:c>
      <x:c r="PI70" s="14" t="n">
        <x:v>5</x:v>
      </x:c>
      <x:c r="PJ70" s="14" t="n">
        <x:v>2853</x:v>
      </x:c>
      <x:c r="PK70" s="14" t="n">
        <x:v>206</x:v>
      </x:c>
      <x:c r="PL70" s="14" t="n">
        <x:v>4</x:v>
      </x:c>
      <x:c r="PM70" s="14" t="n">
        <x:v>2</x:v>
      </x:c>
      <x:c r="PN70" s="14" t="str">
        <x:v>未收錄</x:v>
      </x:c>
      <x:c r="PO70" s="14" t="str">
        <x:v>26580</x:v>
      </x:c>
      <x:c r="PP70" s="14" t="n">
        <x:v>5</x:v>
      </x:c>
      <x:c r="PQ70" s="14" t="n">
        <x:v>2854</x:v>
      </x:c>
      <x:c r="PR70" s="14" t="n">
        <x:v>207</x:v>
      </x:c>
      <x:c r="PS70" s="14" t="n">
        <x:v>4</x:v>
      </x:c>
      <x:c r="PT70" s="14" t="n">
        <x:v>3</x:v>
      </x:c>
      <x:c r="PU70" s="14" t="str">
        <x:v>未收錄</x:v>
      </x:c>
      <x:c r="PV70" s="14" t="str">
        <x:v>26581</x:v>
      </x:c>
      <x:c r="PW70" s="14" t="n">
        <x:v>5</x:v>
      </x:c>
      <x:c r="PX70" s="14" t="n">
        <x:v>2855</x:v>
      </x:c>
      <x:c r="PY70" s="14" t="n">
        <x:v>208</x:v>
      </x:c>
      <x:c r="PZ70" s="14" t="n">
        <x:v>4</x:v>
      </x:c>
      <x:c r="QA70" s="14" t="n">
        <x:v>4</x:v>
      </x:c>
      <x:c r="QB70" s="14" t="str">
        <x:v>未收錄</x:v>
      </x:c>
      <x:c r="QC70" s="14" t="str">
        <x:v>26585</x:v>
      </x:c>
      <x:c r="QD70" s="14" t="n">
        <x:v>5</x:v>
      </x:c>
      <x:c r="QE70" s="14" t="n">
        <x:v>3289</x:v>
      </x:c>
      <x:c r="QF70" s="14" t="n">
        <x:v>205</x:v>
      </x:c>
      <x:c r="QG70" s="14" t="n">
        <x:v>4</x:v>
      </x:c>
      <x:c r="QH70" s="14" t="n">
        <x:v>1</x:v>
      </x:c>
      <x:c r="QI70" s="14" t="str">
        <x:v>未收錄</x:v>
      </x:c>
      <x:c r="QJ70" s="14" t="str">
        <x:v>26586</x:v>
      </x:c>
      <x:c r="QK70" s="14" t="n">
        <x:v>5</x:v>
      </x:c>
      <x:c r="QL70" s="14" t="n">
        <x:v>3290</x:v>
      </x:c>
      <x:c r="QM70" s="14" t="n">
        <x:v>206</x:v>
      </x:c>
      <x:c r="QN70" s="14" t="n">
        <x:v>4</x:v>
      </x:c>
      <x:c r="QO70" s="14" t="n">
        <x:v>2</x:v>
      </x:c>
      <x:c r="QP70" s="14" t="str">
        <x:v>未收錄</x:v>
      </x:c>
      <x:c r="QQ70" s="14" t="str">
        <x:v>26587</x:v>
      </x:c>
      <x:c r="QR70" s="14" t="n">
        <x:v>5</x:v>
      </x:c>
      <x:c r="QS70" s="14" t="n">
        <x:v>3291</x:v>
      </x:c>
      <x:c r="QT70" s="14" t="n">
        <x:v>207</x:v>
      </x:c>
      <x:c r="QU70" s="14" t="n">
        <x:v>4</x:v>
      </x:c>
      <x:c r="QV70" s="14" t="n">
        <x:v>3</x:v>
      </x:c>
      <x:c r="QW70" s="14" t="str">
        <x:v>未收錄</x:v>
      </x:c>
      <x:c r="QX70" s="14" t="str">
        <x:v>26588</x:v>
      </x:c>
      <x:c r="QY70" s="14" t="n">
        <x:v>5</x:v>
      </x:c>
      <x:c r="QZ70" s="14" t="n">
        <x:v>3292</x:v>
      </x:c>
      <x:c r="RA70" s="14" t="n">
        <x:v>208</x:v>
      </x:c>
      <x:c r="RB70" s="14" t="n">
        <x:v>4</x:v>
      </x:c>
      <x:c r="RC70" s="14" t="n">
        <x:v>4</x:v>
      </x:c>
      <x:c r="RD70" s="14" t="str">
        <x:v>未收錄</x:v>
      </x:c>
      <x:c r="RE70" s="14" t="str">
        <x:v>27722</x:v>
      </x:c>
      <x:c r="RF70" s="14" t="n">
        <x:v>5</x:v>
      </x:c>
      <x:c r="RG70" s="14" t="n">
        <x:v>3750</x:v>
      </x:c>
      <x:c r="RH70" s="14" t="n">
        <x:v>205</x:v>
      </x:c>
      <x:c r="RI70" s="14" t="n">
        <x:v>4</x:v>
      </x:c>
      <x:c r="RJ70" s="14" t="n">
        <x:v>1</x:v>
      </x:c>
      <x:c r="RK70" s="14" t="str">
        <x:v>未收錄</x:v>
      </x:c>
      <x:c r="RL70" s="14" t="str">
        <x:v>27723</x:v>
      </x:c>
      <x:c r="RM70" s="14" t="n">
        <x:v>5</x:v>
      </x:c>
      <x:c r="RN70" s="14" t="n">
        <x:v>3751</x:v>
      </x:c>
      <x:c r="RO70" s="14" t="n">
        <x:v>206</x:v>
      </x:c>
      <x:c r="RP70" s="14" t="n">
        <x:v>4</x:v>
      </x:c>
      <x:c r="RQ70" s="14" t="n">
        <x:v>2</x:v>
      </x:c>
      <x:c r="RR70" s="14" t="str">
        <x:v>未收錄</x:v>
      </x:c>
      <x:c r="RS70" s="14" t="str">
        <x:v>27724</x:v>
      </x:c>
      <x:c r="RT70" s="14" t="n">
        <x:v>5</x:v>
      </x:c>
      <x:c r="RU70" s="14" t="n">
        <x:v>3752</x:v>
      </x:c>
      <x:c r="RV70" s="14" t="n">
        <x:v>207</x:v>
      </x:c>
      <x:c r="RW70" s="14" t="n">
        <x:v>4</x:v>
      </x:c>
      <x:c r="RX70" s="14" t="n">
        <x:v>3</x:v>
      </x:c>
      <x:c r="RY70" s="14" t="str">
        <x:v>未收錄</x:v>
      </x:c>
      <x:c r="RZ70" s="14" t="str">
        <x:v>27725</x:v>
      </x:c>
      <x:c r="SA70" s="14" t="n">
        <x:v>5</x:v>
      </x:c>
      <x:c r="SB70" s="14" t="n">
        <x:v>3753</x:v>
      </x:c>
      <x:c r="SC70" s="14" t="n">
        <x:v>208</x:v>
      </x:c>
      <x:c r="SD70" s="14" t="n">
        <x:v>4</x:v>
      </x:c>
      <x:c r="SE70" s="14" t="n">
        <x:v>4</x:v>
      </x:c>
      <x:c r="SF70" s="14" t="str">
        <x:v>未收錄</x:v>
      </x:c>
      <x:c r="SG70" s="14"/>
      <x:c r="SH70" s="14"/>
      <x:c r="SI70" s="14"/>
      <x:c r="SJ70" s="14"/>
      <x:c r="SK70" s="14"/>
      <x:c r="SL70" s="14"/>
      <x:c r="SM70" s="14"/>
      <x:c r="SN70" s="14"/>
      <x:c r="SO70" s="14"/>
      <x:c r="SP70" s="14"/>
      <x:c r="SQ70" s="14"/>
      <x:c r="SR70" s="14"/>
      <x:c r="SS70" s="14"/>
      <x:c r="ST70" s="14"/>
      <x:c r="SU70" s="14"/>
      <x:c r="SV70" s="14"/>
      <x:c r="SW70" s="14"/>
      <x:c r="SX70" s="14"/>
      <x:c r="SY70" s="14"/>
      <x:c r="SZ70" s="14"/>
      <x:c r="TA70" s="14"/>
      <x:c r="TB70" s="14"/>
      <x:c r="TC70" s="14"/>
      <x:c r="TD70" s="14"/>
      <x:c r="TE70" s="14"/>
      <x:c r="TF70" s="14"/>
      <x:c r="TG70" s="14"/>
      <x:c r="TH70" s="14"/>
    </x:row>
    <x:row r="71" ht="15" customHeight="1">
      <x:c r="A71" s="17" t="str">
        <x:v>歿劍迪‧亞特</x:v>
      </x:c>
      <x:c r="B71" s="17" t="str">
        <x:v>龍熙軒轅劍</x:v>
      </x:c>
      <x:c r="C71" s="17" t="str">
        <x:v>龍熙軒轅劍</x:v>
      </x:c>
      <x:c r="D71" s="17" t="str">
        <x:v>釋提桓因劍</x:v>
      </x:c>
      <x:c r="E71" s="14"/>
      <x:c r="F71" s="17" t="str">
        <x:v>無六滅化神刀</x:v>
      </x:c>
      <x:c r="G71" s="17" t="str">
        <x:v>帝六滅化神刀</x:v>
      </x:c>
      <x:c r="H71" s="17" t="str">
        <x:v>終六滅化神刀</x:v>
      </x:c>
      <x:c r="I71" s="17" t="str">
        <x:v>創六滅化神刀</x:v>
      </x:c>
      <x:c r="J71" s="14"/>
      <x:c r="K71" s="14"/>
      <x:c r="L71" s="14"/>
      <x:c r="M71" s="14"/>
      <x:c r="N71" s="14"/>
      <x:c r="O71" s="14"/>
      <x:c r="P71" s="14"/>
      <x:c r="Q71" s="14"/>
      <x:c r="R71" s="14"/>
      <x:c r="S71" s="14"/>
      <x:c r="T71" s="14"/>
      <x:c r="U71" s="14"/>
      <x:c r="V71" s="14"/>
      <x:c r="W71" s="14"/>
      <x:c r="X71" s="14"/>
      <x:c r="Y71" s="14"/>
      <x:c r="Z71" s="14"/>
      <x:c r="AA71" s="14"/>
      <x:c r="AB71" s="14"/>
      <x:c r="AC71" s="14"/>
      <x:c r="AD71" s="14"/>
      <x:c r="AE71" s="14"/>
      <x:c r="AF71" s="14"/>
      <x:c r="AG71" s="14"/>
      <x:c r="AH71" s="14"/>
      <x:c r="AI71" s="14"/>
      <x:c r="AJ71" s="14"/>
      <x:c r="AK71" s="14"/>
      <x:c r="AL71" s="14"/>
      <x:c r="AM71" s="14"/>
      <x:c r="AN71" s="14"/>
      <x:c r="AO71" s="14"/>
      <x:c r="AP71" s="14"/>
      <x:c r="AQ71" s="14"/>
      <x:c r="AR71" s="14"/>
      <x:c r="AS71" s="14"/>
      <x:c r="AT71" s="14"/>
      <x:c r="AU71" s="14"/>
      <x:c r="AV71" s="14"/>
      <x:c r="AW71" s="14"/>
      <x:c r="AX71" s="14"/>
      <x:c r="AY71" s="17" t="str">
        <x:v>劍宗御冠巾</x:v>
      </x:c>
      <x:c r="AZ71" s="17" t="str">
        <x:v>武宗尊勇首</x:v>
      </x:c>
      <x:c r="BA71" s="17" t="str">
        <x:v>術宗雲隱披</x:v>
      </x:c>
      <x:c r="BB71" s="17" t="str">
        <x:v>道宗太化冠</x:v>
      </x:c>
      <x:c r="BC71" s="14"/>
      <x:c r="BD71" s="17" t="str">
        <x:v>花剌征鎧</x:v>
      </x:c>
      <x:c r="BE71" s="17" t="str">
        <x:v>波斯毯披</x:v>
      </x:c>
      <x:c r="BF71" s="17" t="str">
        <x:v>薩珊靈袍</x:v>
      </x:c>
      <x:c r="BG71" s="17" t="str">
        <x:v>兩河檀裟</x:v>
      </x:c>
      <x:c r="BH71" s="14"/>
      <x:c r="BI71" s="17" t="str">
        <x:v>檮杌空滅手</x:v>
      </x:c>
      <x:c r="BJ71" s="17" t="str">
        <x:v>素盞鳴腕‧終</x:v>
      </x:c>
      <x:c r="BK71" s="17" t="str">
        <x:v>天鍛‧劍聖腕</x:v>
      </x:c>
      <x:c r="BL71" s="17" t="str">
        <x:v>天鍛‧武尊臂</x:v>
      </x:c>
      <x:c r="BM71" s="14"/>
      <x:c r="BN71" s="17" t="str">
        <x:v>燕霑天履</x:v>
      </x:c>
      <x:c r="BO71" s="17" t="str">
        <x:v>渺霧道靴</x:v>
      </x:c>
      <x:c r="BP71" s="17" t="str">
        <x:v>祈霖禪靴</x:v>
      </x:c>
      <x:c r="BQ71" s="17" t="str">
        <x:v>窮奇千煞靴</x:v>
      </x:c>
      <x:c r="BR71" s="14"/>
      <x:c r="BS71" s="17" t="str">
        <x:v>窮極‧朱雀環</x:v>
      </x:c>
      <x:c r="BT71" s="17" t="str">
        <x:v>窮極‧玄武璧</x:v>
      </x:c>
      <x:c r="BU71" s="17" t="str">
        <x:v>元宙‧青龍戒</x:v>
      </x:c>
      <x:c r="BV71" s="17" t="str">
        <x:v>元宙‧白虎玉</x:v>
      </x:c>
      <x:c r="BW71" s="14"/>
      <x:c r="BX71" s="14"/>
      <x:c r="BY71" s="14"/>
      <x:c r="BZ71" s="14"/>
      <x:c r="CA71" s="14"/>
      <x:c r="CB71" s="14"/>
      <x:c r="CC71" s="14" t="str">
        <x:v>29014</x:v>
      </x:c>
      <x:c r="CD71" s="14" t="n">
        <x:v>20</x:v>
      </x:c>
      <x:c r="CE71" s="14" t="n">
        <x:v>209</x:v>
      </x:c>
      <x:c r="CF71" s="14" t="n">
        <x:v>209</x:v>
      </x:c>
      <x:c r="CG71" s="14" t="n">
        <x:v>5</x:v>
      </x:c>
      <x:c r="CH71" s="14" t="n">
        <x:v>1</x:v>
      </x:c>
      <x:c r="CI71" s="14" t="str">
        <x:v>未收錄</x:v>
      </x:c>
      <x:c r="CJ71" s="14" t="str">
        <x:v>29654</x:v>
      </x:c>
      <x:c r="CK71" s="14" t="n">
        <x:v>20</x:v>
      </x:c>
      <x:c r="CL71" s="14" t="n">
        <x:v>210</x:v>
      </x:c>
      <x:c r="CM71" s="14" t="n">
        <x:v>210</x:v>
      </x:c>
      <x:c r="CN71" s="14" t="n">
        <x:v>5</x:v>
      </x:c>
      <x:c r="CO71" s="14" t="n">
        <x:v>2</x:v>
      </x:c>
      <x:c r="CP71" s="14" t="str">
        <x:v>未收錄</x:v>
      </x:c>
      <x:c r="CQ71" s="14" t="str">
        <x:v>29664</x:v>
      </x:c>
      <x:c r="CR71" s="14" t="n">
        <x:v>20</x:v>
      </x:c>
      <x:c r="CS71" s="14" t="n">
        <x:v>211</x:v>
      </x:c>
      <x:c r="CT71" s="14" t="n">
        <x:v>211</x:v>
      </x:c>
      <x:c r="CU71" s="14" t="n">
        <x:v>5</x:v>
      </x:c>
      <x:c r="CV71" s="14" t="n">
        <x:v>3</x:v>
      </x:c>
      <x:c r="CW71" s="14" t="str">
        <x:v>未收錄</x:v>
      </x:c>
      <x:c r="CX71" s="14" t="str">
        <x:v>29913</x:v>
      </x:c>
      <x:c r="CY71" s="14" t="n">
        <x:v>20</x:v>
      </x:c>
      <x:c r="CZ71" s="14" t="n">
        <x:v>212</x:v>
      </x:c>
      <x:c r="DA71" s="14" t="n">
        <x:v>212</x:v>
      </x:c>
      <x:c r="DB71" s="14" t="n">
        <x:v>5</x:v>
      </x:c>
      <x:c r="DC71" s="14" t="n">
        <x:v>4</x:v>
      </x:c>
      <x:c r="DD71" s="14" t="str">
        <x:v>未收錄</x:v>
      </x:c>
      <x:c r="DE71" s="14" t="str">
        <x:v>27366</x:v>
      </x:c>
      <x:c r="DF71" s="14" t="n">
        <x:v>10</x:v>
      </x:c>
      <x:c r="DG71" s="14" t="n">
        <x:v>454</x:v>
      </x:c>
      <x:c r="DH71" s="14" t="n">
        <x:v>209</x:v>
      </x:c>
      <x:c r="DI71" s="14" t="n">
        <x:v>5</x:v>
      </x:c>
      <x:c r="DJ71" s="14" t="n">
        <x:v>1</x:v>
      </x:c>
      <x:c r="DK71" s="14" t="str">
        <x:v>未收錄</x:v>
      </x:c>
      <x:c r="DL71" s="14" t="str">
        <x:v>27582</x:v>
      </x:c>
      <x:c r="DM71" s="14" t="n">
        <x:v>10</x:v>
      </x:c>
      <x:c r="DN71" s="14" t="n">
        <x:v>455</x:v>
      </x:c>
      <x:c r="DO71" s="14" t="n">
        <x:v>210</x:v>
      </x:c>
      <x:c r="DP71" s="14" t="n">
        <x:v>5</x:v>
      </x:c>
      <x:c r="DQ71" s="14" t="n">
        <x:v>2</x:v>
      </x:c>
      <x:c r="DR71" s="14" t="str">
        <x:v>未收錄</x:v>
      </x:c>
      <x:c r="DS71" s="14" t="str">
        <x:v>28187</x:v>
      </x:c>
      <x:c r="DT71" s="14" t="n">
        <x:v>10</x:v>
      </x:c>
      <x:c r="DU71" s="14" t="n">
        <x:v>456</x:v>
      </x:c>
      <x:c r="DV71" s="14" t="n">
        <x:v>211</x:v>
      </x:c>
      <x:c r="DW71" s="14" t="n">
        <x:v>5</x:v>
      </x:c>
      <x:c r="DX71" s="14" t="n">
        <x:v>3</x:v>
      </x:c>
      <x:c r="DY71" s="14" t="str">
        <x:v>未收錄</x:v>
      </x:c>
      <x:c r="DZ71" s="14" t="str">
        <x:v>28525</x:v>
      </x:c>
      <x:c r="EA71" s="14" t="n">
        <x:v>10</x:v>
      </x:c>
      <x:c r="EB71" s="14" t="n">
        <x:v>457</x:v>
      </x:c>
      <x:c r="EC71" s="14" t="n">
        <x:v>212</x:v>
      </x:c>
      <x:c r="ED71" s="14" t="n">
        <x:v>5</x:v>
      </x:c>
      <x:c r="EE71" s="14" t="n">
        <x:v>4</x:v>
      </x:c>
      <x:c r="EF71" s="14" t="str">
        <x:v>未收錄</x:v>
      </x:c>
      <x:c r="EG71" s="14"/>
      <x:c r="EH71" s="14"/>
      <x:c r="EI71" s="14"/>
      <x:c r="EJ71" s="14"/>
      <x:c r="EK71" s="14"/>
      <x:c r="EL71" s="14"/>
      <x:c r="EM71" s="14"/>
      <x:c r="EN71" s="14"/>
      <x:c r="EO71" s="14"/>
      <x:c r="EP71" s="14"/>
      <x:c r="EQ71" s="14"/>
      <x:c r="ER71" s="14"/>
      <x:c r="ES71" s="14"/>
      <x:c r="ET71" s="14"/>
      <x:c r="EU71" s="14"/>
      <x:c r="EV71" s="14"/>
      <x:c r="EW71" s="14"/>
      <x:c r="EX71" s="14"/>
      <x:c r="EY71" s="14"/>
      <x:c r="EZ71" s="14"/>
      <x:c r="FA71" s="14"/>
      <x:c r="FB71" s="14"/>
      <x:c r="FC71" s="14"/>
      <x:c r="FD71" s="14"/>
      <x:c r="FE71" s="14"/>
      <x:c r="FF71" s="14"/>
      <x:c r="FG71" s="14"/>
      <x:c r="FH71" s="14"/>
      <x:c r="FI71" s="14"/>
      <x:c r="FJ71" s="14"/>
      <x:c r="FK71" s="14"/>
      <x:c r="FL71" s="14"/>
      <x:c r="FM71" s="14"/>
      <x:c r="FN71" s="14"/>
      <x:c r="FO71" s="14"/>
      <x:c r="FP71" s="14"/>
      <x:c r="FQ71" s="14"/>
      <x:c r="FR71" s="14"/>
      <x:c r="FS71" s="14"/>
      <x:c r="FT71" s="14"/>
      <x:c r="FU71" s="14"/>
      <x:c r="FV71" s="14"/>
      <x:c r="FW71" s="14"/>
      <x:c r="FX71" s="14"/>
      <x:c r="FY71" s="14"/>
      <x:c r="FZ71" s="14"/>
      <x:c r="GA71" s="14"/>
      <x:c r="GB71" s="14"/>
      <x:c r="GC71" s="14"/>
      <x:c r="GD71" s="14"/>
      <x:c r="GE71" s="14"/>
      <x:c r="GF71" s="14"/>
      <x:c r="GG71" s="14"/>
      <x:c r="GH71" s="14"/>
      <x:c r="GI71" s="14"/>
      <x:c r="GJ71" s="14"/>
      <x:c r="GK71" s="14"/>
      <x:c r="GL71" s="14"/>
      <x:c r="GM71" s="14"/>
      <x:c r="GN71" s="14"/>
      <x:c r="GO71" s="14"/>
      <x:c r="GP71" s="14"/>
      <x:c r="GQ71" s="14"/>
      <x:c r="GR71" s="14"/>
      <x:c r="GS71" s="14"/>
      <x:c r="GT71" s="14"/>
      <x:c r="GU71" s="14"/>
      <x:c r="GV71" s="14"/>
      <x:c r="GW71" s="14"/>
      <x:c r="GX71" s="14"/>
      <x:c r="GY71" s="14"/>
      <x:c r="GZ71" s="14"/>
      <x:c r="HA71" s="14"/>
      <x:c r="HB71" s="14"/>
      <x:c r="HC71" s="14"/>
      <x:c r="HD71" s="14"/>
      <x:c r="HE71" s="14"/>
      <x:c r="HF71" s="14"/>
      <x:c r="HG71" s="14"/>
      <x:c r="HH71" s="14"/>
      <x:c r="HI71" s="14"/>
      <x:c r="HJ71" s="14"/>
      <x:c r="HK71" s="14"/>
      <x:c r="HL71" s="14"/>
      <x:c r="HM71" s="14"/>
      <x:c r="HN71" s="14"/>
      <x:c r="HO71" s="14"/>
      <x:c r="HP71" s="14"/>
      <x:c r="HQ71" s="14"/>
      <x:c r="HR71" s="14"/>
      <x:c r="HS71" s="14"/>
      <x:c r="HT71" s="14"/>
      <x:c r="HU71" s="14"/>
      <x:c r="HV71" s="14"/>
      <x:c r="HW71" s="14"/>
      <x:c r="HX71" s="14"/>
      <x:c r="HY71" s="14"/>
      <x:c r="HZ71" s="14"/>
      <x:c r="IA71" s="14"/>
      <x:c r="IB71" s="14"/>
      <x:c r="IC71" s="14"/>
      <x:c r="ID71" s="14"/>
      <x:c r="IE71" s="14"/>
      <x:c r="IF71" s="14"/>
      <x:c r="IG71" s="14"/>
      <x:c r="IH71" s="14"/>
      <x:c r="II71" s="14"/>
      <x:c r="IJ71" s="14"/>
      <x:c r="IK71" s="14"/>
      <x:c r="IL71" s="14"/>
      <x:c r="IM71" s="14"/>
      <x:c r="IN71" s="14"/>
      <x:c r="IO71" s="14"/>
      <x:c r="IP71" s="14"/>
      <x:c r="IQ71" s="14"/>
      <x:c r="IR71" s="14"/>
      <x:c r="IS71" s="14"/>
      <x:c r="IT71" s="14"/>
      <x:c r="IU71" s="14"/>
      <x:c r="IV71" s="14"/>
      <x:c r="IW71" s="14"/>
      <x:c r="IX71" s="14"/>
      <x:c r="IY71" s="14"/>
      <x:c r="IZ71" s="14"/>
      <x:c r="JA71" s="14"/>
      <x:c r="JB71" s="14"/>
      <x:c r="JC71" s="14"/>
      <x:c r="JD71" s="14"/>
      <x:c r="JE71" s="14"/>
      <x:c r="JF71" s="14"/>
      <x:c r="JG71" s="14"/>
      <x:c r="JH71" s="14"/>
      <x:c r="JI71" s="14"/>
      <x:c r="JJ71" s="14"/>
      <x:c r="JK71" s="14"/>
      <x:c r="JL71" s="14"/>
      <x:c r="JM71" s="14"/>
      <x:c r="JN71" s="14"/>
      <x:c r="JO71" s="14"/>
      <x:c r="JP71" s="14"/>
      <x:c r="JQ71" s="14"/>
      <x:c r="JR71" s="14"/>
      <x:c r="JS71" s="14"/>
      <x:c r="JT71" s="14"/>
      <x:c r="JU71" s="14"/>
      <x:c r="JV71" s="14"/>
      <x:c r="JW71" s="14"/>
      <x:c r="JX71" s="14"/>
      <x:c r="JY71" s="14"/>
      <x:c r="JZ71" s="14"/>
      <x:c r="KA71" s="14"/>
      <x:c r="KB71" s="14"/>
      <x:c r="KC71" s="14"/>
      <x:c r="KD71" s="14"/>
      <x:c r="KE71" s="14"/>
      <x:c r="KF71" s="14"/>
      <x:c r="KG71" s="14"/>
      <x:c r="KH71" s="14"/>
      <x:c r="KI71" s="14"/>
      <x:c r="KJ71" s="14"/>
      <x:c r="KK71" s="14"/>
      <x:c r="KL71" s="14"/>
      <x:c r="KM71" s="14"/>
      <x:c r="KN71" s="14"/>
      <x:c r="KO71" s="14"/>
      <x:c r="KP71" s="14"/>
      <x:c r="KQ71" s="14"/>
      <x:c r="KR71" s="14"/>
      <x:c r="KS71" s="14"/>
      <x:c r="KT71" s="14"/>
      <x:c r="KU71" s="14"/>
      <x:c r="KV71" s="14"/>
      <x:c r="KW71" s="14"/>
      <x:c r="KX71" s="14"/>
      <x:c r="KY71" s="14"/>
      <x:c r="KZ71" s="14"/>
      <x:c r="LA71" s="14"/>
      <x:c r="LB71" s="14"/>
      <x:c r="LC71" s="14"/>
      <x:c r="LD71" s="14"/>
      <x:c r="LE71" s="14"/>
      <x:c r="LF71" s="14"/>
      <x:c r="LG71" s="14"/>
      <x:c r="LH71" s="14"/>
      <x:c r="LI71" s="14"/>
      <x:c r="LJ71" s="14"/>
      <x:c r="LK71" s="14"/>
      <x:c r="LL71" s="14"/>
      <x:c r="LM71" s="14"/>
      <x:c r="LN71" s="14"/>
      <x:c r="LO71" s="14"/>
      <x:c r="LP71" s="14"/>
      <x:c r="LQ71" s="14"/>
      <x:c r="LR71" s="14"/>
      <x:c r="LS71" s="14"/>
      <x:c r="LT71" s="14"/>
      <x:c r="LU71" s="14"/>
      <x:c r="LV71" s="14"/>
      <x:c r="LW71" s="14"/>
      <x:c r="LX71" s="14"/>
      <x:c r="LY71" s="14"/>
      <x:c r="LZ71" s="14"/>
      <x:c r="MA71" s="14"/>
      <x:c r="MB71" s="14"/>
      <x:c r="MC71" s="14"/>
      <x:c r="MD71" s="14"/>
      <x:c r="ME71" s="14"/>
      <x:c r="MF71" s="14"/>
      <x:c r="MG71" s="14"/>
      <x:c r="MH71" s="14"/>
      <x:c r="MI71" s="14"/>
      <x:c r="MJ71" s="14"/>
      <x:c r="MK71" s="14"/>
      <x:c r="ML71" s="14"/>
      <x:c r="MM71" s="14"/>
      <x:c r="MN71" s="14"/>
      <x:c r="MO71" s="14"/>
      <x:c r="MP71" s="14"/>
      <x:c r="MQ71" s="14"/>
      <x:c r="MR71" s="14"/>
      <x:c r="MS71" s="14"/>
      <x:c r="MT71" s="14"/>
      <x:c r="MU71" s="14"/>
      <x:c r="MV71" s="14"/>
      <x:c r="MW71" s="14" t="str">
        <x:v>26504</x:v>
      </x:c>
      <x:c r="MX71" s="14" t="n">
        <x:v>5</x:v>
      </x:c>
      <x:c r="MY71" s="14" t="n">
        <x:v>1857</x:v>
      </x:c>
      <x:c r="MZ71" s="14" t="n">
        <x:v>209</x:v>
      </x:c>
      <x:c r="NA71" s="14" t="n">
        <x:v>5</x:v>
      </x:c>
      <x:c r="NB71" s="14" t="n">
        <x:v>1</x:v>
      </x:c>
      <x:c r="NC71" s="14" t="str">
        <x:v>未收錄</x:v>
      </x:c>
      <x:c r="ND71" s="14" t="str">
        <x:v>26505</x:v>
      </x:c>
      <x:c r="NE71" s="14" t="n">
        <x:v>5</x:v>
      </x:c>
      <x:c r="NF71" s="14" t="n">
        <x:v>1858</x:v>
      </x:c>
      <x:c r="NG71" s="14" t="n">
        <x:v>210</x:v>
      </x:c>
      <x:c r="NH71" s="14" t="n">
        <x:v>5</x:v>
      </x:c>
      <x:c r="NI71" s="14" t="n">
        <x:v>2</x:v>
      </x:c>
      <x:c r="NJ71" s="14" t="str">
        <x:v>未收錄</x:v>
      </x:c>
      <x:c r="NK71" s="14" t="str">
        <x:v>26506</x:v>
      </x:c>
      <x:c r="NL71" s="14" t="n">
        <x:v>5</x:v>
      </x:c>
      <x:c r="NM71" s="14" t="n">
        <x:v>1859</x:v>
      </x:c>
      <x:c r="NN71" s="14" t="n">
        <x:v>211</x:v>
      </x:c>
      <x:c r="NO71" s="14" t="n">
        <x:v>5</x:v>
      </x:c>
      <x:c r="NP71" s="14" t="n">
        <x:v>3</x:v>
      </x:c>
      <x:c r="NQ71" s="14" t="str">
        <x:v>未收錄</x:v>
      </x:c>
      <x:c r="NR71" s="14" t="str">
        <x:v>26507</x:v>
      </x:c>
      <x:c r="NS71" s="14" t="n">
        <x:v>5</x:v>
      </x:c>
      <x:c r="NT71" s="14" t="n">
        <x:v>1860</x:v>
      </x:c>
      <x:c r="NU71" s="14" t="n">
        <x:v>212</x:v>
      </x:c>
      <x:c r="NV71" s="14" t="n">
        <x:v>5</x:v>
      </x:c>
      <x:c r="NW71" s="14" t="n">
        <x:v>4</x:v>
      </x:c>
      <x:c r="NX71" s="14" t="str">
        <x:v>未收錄</x:v>
      </x:c>
      <x:c r="NY71" s="14" t="str">
        <x:v>24582</x:v>
      </x:c>
      <x:c r="NZ71" s="14" t="n">
        <x:v>5</x:v>
      </x:c>
      <x:c r="OA71" s="14" t="n">
        <x:v>2310</x:v>
      </x:c>
      <x:c r="OB71" s="14" t="n">
        <x:v>209</x:v>
      </x:c>
      <x:c r="OC71" s="14" t="n">
        <x:v>5</x:v>
      </x:c>
      <x:c r="OD71" s="14" t="n">
        <x:v>1</x:v>
      </x:c>
      <x:c r="OE71" s="14" t="str">
        <x:v>未收錄</x:v>
      </x:c>
      <x:c r="OF71" s="14" t="str">
        <x:v>24583</x:v>
      </x:c>
      <x:c r="OG71" s="14" t="n">
        <x:v>5</x:v>
      </x:c>
      <x:c r="OH71" s="14" t="n">
        <x:v>2311</x:v>
      </x:c>
      <x:c r="OI71" s="14" t="n">
        <x:v>210</x:v>
      </x:c>
      <x:c r="OJ71" s="14" t="n">
        <x:v>5</x:v>
      </x:c>
      <x:c r="OK71" s="14" t="n">
        <x:v>2</x:v>
      </x:c>
      <x:c r="OL71" s="14" t="str">
        <x:v>未收錄</x:v>
      </x:c>
      <x:c r="OM71" s="14" t="str">
        <x:v>24584</x:v>
      </x:c>
      <x:c r="ON71" s="14" t="n">
        <x:v>5</x:v>
      </x:c>
      <x:c r="OO71" s="14" t="n">
        <x:v>2312</x:v>
      </x:c>
      <x:c r="OP71" s="14" t="n">
        <x:v>211</x:v>
      </x:c>
      <x:c r="OQ71" s="14" t="n">
        <x:v>5</x:v>
      </x:c>
      <x:c r="OR71" s="14" t="n">
        <x:v>3</x:v>
      </x:c>
      <x:c r="OS71" s="14" t="str">
        <x:v>未收錄</x:v>
      </x:c>
      <x:c r="OT71" s="14" t="str">
        <x:v>24585</x:v>
      </x:c>
      <x:c r="OU71" s="14" t="n">
        <x:v>5</x:v>
      </x:c>
      <x:c r="OV71" s="14" t="n">
        <x:v>2313</x:v>
      </x:c>
      <x:c r="OW71" s="14" t="n">
        <x:v>212</x:v>
      </x:c>
      <x:c r="OX71" s="14" t="n">
        <x:v>5</x:v>
      </x:c>
      <x:c r="OY71" s="14" t="n">
        <x:v>4</x:v>
      </x:c>
      <x:c r="OZ71" s="14" t="str">
        <x:v>未收錄</x:v>
      </x:c>
      <x:c r="PA71" s="14" t="str">
        <x:v>26804</x:v>
      </x:c>
      <x:c r="PB71" s="14" t="n">
        <x:v>10</x:v>
      </x:c>
      <x:c r="PC71" s="14" t="n">
        <x:v>2856</x:v>
      </x:c>
      <x:c r="PD71" s="14" t="n">
        <x:v>209</x:v>
      </x:c>
      <x:c r="PE71" s="14" t="n">
        <x:v>5</x:v>
      </x:c>
      <x:c r="PF71" s="14" t="n">
        <x:v>1</x:v>
      </x:c>
      <x:c r="PG71" s="14" t="str">
        <x:v>未收錄</x:v>
      </x:c>
      <x:c r="PH71" s="14" t="str">
        <x:v>26834</x:v>
      </x:c>
      <x:c r="PI71" s="14" t="n">
        <x:v>10</x:v>
      </x:c>
      <x:c r="PJ71" s="14" t="n">
        <x:v>2857</x:v>
      </x:c>
      <x:c r="PK71" s="14" t="n">
        <x:v>210</x:v>
      </x:c>
      <x:c r="PL71" s="14" t="n">
        <x:v>5</x:v>
      </x:c>
      <x:c r="PM71" s="14" t="n">
        <x:v>2</x:v>
      </x:c>
      <x:c r="PN71" s="14" t="str">
        <x:v>未收錄</x:v>
      </x:c>
      <x:c r="PO71" s="14" t="str">
        <x:v>27114</x:v>
      </x:c>
      <x:c r="PP71" s="14" t="n">
        <x:v>5</x:v>
      </x:c>
      <x:c r="PQ71" s="14" t="n">
        <x:v>2858</x:v>
      </x:c>
      <x:c r="PR71" s="14" t="n">
        <x:v>211</x:v>
      </x:c>
      <x:c r="PS71" s="14" t="n">
        <x:v>5</x:v>
      </x:c>
      <x:c r="PT71" s="14" t="n">
        <x:v>3</x:v>
      </x:c>
      <x:c r="PU71" s="14" t="str">
        <x:v>未收錄</x:v>
      </x:c>
      <x:c r="PV71" s="14" t="str">
        <x:v>27115</x:v>
      </x:c>
      <x:c r="PW71" s="14" t="n">
        <x:v>5</x:v>
      </x:c>
      <x:c r="PX71" s="14" t="n">
        <x:v>2859</x:v>
      </x:c>
      <x:c r="PY71" s="14" t="n">
        <x:v>212</x:v>
      </x:c>
      <x:c r="PZ71" s="14" t="n">
        <x:v>5</x:v>
      </x:c>
      <x:c r="QA71" s="14" t="n">
        <x:v>4</x:v>
      </x:c>
      <x:c r="QB71" s="14" t="str">
        <x:v>未收錄</x:v>
      </x:c>
      <x:c r="QC71" s="14" t="str">
        <x:v>26589</x:v>
      </x:c>
      <x:c r="QD71" s="14" t="n">
        <x:v>5</x:v>
      </x:c>
      <x:c r="QE71" s="14" t="n">
        <x:v>3293</x:v>
      </x:c>
      <x:c r="QF71" s="14" t="n">
        <x:v>209</x:v>
      </x:c>
      <x:c r="QG71" s="14" t="n">
        <x:v>5</x:v>
      </x:c>
      <x:c r="QH71" s="14" t="n">
        <x:v>1</x:v>
      </x:c>
      <x:c r="QI71" s="14" t="str">
        <x:v>未收錄</x:v>
      </x:c>
      <x:c r="QJ71" s="14" t="str">
        <x:v>26590</x:v>
      </x:c>
      <x:c r="QK71" s="14" t="n">
        <x:v>5</x:v>
      </x:c>
      <x:c r="QL71" s="14" t="n">
        <x:v>3294</x:v>
      </x:c>
      <x:c r="QM71" s="14" t="n">
        <x:v>210</x:v>
      </x:c>
      <x:c r="QN71" s="14" t="n">
        <x:v>5</x:v>
      </x:c>
      <x:c r="QO71" s="14" t="n">
        <x:v>2</x:v>
      </x:c>
      <x:c r="QP71" s="14" t="str">
        <x:v>未收錄</x:v>
      </x:c>
      <x:c r="QQ71" s="14" t="str">
        <x:v>26591</x:v>
      </x:c>
      <x:c r="QR71" s="14" t="n">
        <x:v>5</x:v>
      </x:c>
      <x:c r="QS71" s="14" t="n">
        <x:v>3295</x:v>
      </x:c>
      <x:c r="QT71" s="14" t="n">
        <x:v>211</x:v>
      </x:c>
      <x:c r="QU71" s="14" t="n">
        <x:v>5</x:v>
      </x:c>
      <x:c r="QV71" s="14" t="n">
        <x:v>3</x:v>
      </x:c>
      <x:c r="QW71" s="14" t="str">
        <x:v>未收錄</x:v>
      </x:c>
      <x:c r="QX71" s="14" t="str">
        <x:v>26805</x:v>
      </x:c>
      <x:c r="QY71" s="14" t="n">
        <x:v>10</x:v>
      </x:c>
      <x:c r="QZ71" s="14" t="n">
        <x:v>3296</x:v>
      </x:c>
      <x:c r="RA71" s="14" t="n">
        <x:v>212</x:v>
      </x:c>
      <x:c r="RB71" s="14" t="n">
        <x:v>5</x:v>
      </x:c>
      <x:c r="RC71" s="14" t="n">
        <x:v>4</x:v>
      </x:c>
      <x:c r="RD71" s="14" t="str">
        <x:v>未收錄</x:v>
      </x:c>
      <x:c r="RE71" s="14" t="str">
        <x:v>27726</x:v>
      </x:c>
      <x:c r="RF71" s="14" t="n">
        <x:v>5</x:v>
      </x:c>
      <x:c r="RG71" s="14" t="n">
        <x:v>3754</x:v>
      </x:c>
      <x:c r="RH71" s="14" t="n">
        <x:v>209</x:v>
      </x:c>
      <x:c r="RI71" s="14" t="n">
        <x:v>5</x:v>
      </x:c>
      <x:c r="RJ71" s="14" t="n">
        <x:v>1</x:v>
      </x:c>
      <x:c r="RK71" s="14" t="str">
        <x:v>未收錄</x:v>
      </x:c>
      <x:c r="RL71" s="14" t="str">
        <x:v>27727</x:v>
      </x:c>
      <x:c r="RM71" s="14" t="n">
        <x:v>5</x:v>
      </x:c>
      <x:c r="RN71" s="14" t="n">
        <x:v>3755</x:v>
      </x:c>
      <x:c r="RO71" s="14" t="n">
        <x:v>210</x:v>
      </x:c>
      <x:c r="RP71" s="14" t="n">
        <x:v>5</x:v>
      </x:c>
      <x:c r="RQ71" s="14" t="n">
        <x:v>2</x:v>
      </x:c>
      <x:c r="RR71" s="14" t="str">
        <x:v>未收錄</x:v>
      </x:c>
      <x:c r="RS71" s="14" t="str">
        <x:v>27728</x:v>
      </x:c>
      <x:c r="RT71" s="14" t="n">
        <x:v>5</x:v>
      </x:c>
      <x:c r="RU71" s="14" t="n">
        <x:v>3756</x:v>
      </x:c>
      <x:c r="RV71" s="14" t="n">
        <x:v>211</x:v>
      </x:c>
      <x:c r="RW71" s="14" t="n">
        <x:v>5</x:v>
      </x:c>
      <x:c r="RX71" s="14" t="n">
        <x:v>3</x:v>
      </x:c>
      <x:c r="RY71" s="14" t="str">
        <x:v>未收錄</x:v>
      </x:c>
      <x:c r="RZ71" s="14" t="str">
        <x:v>27729</x:v>
      </x:c>
      <x:c r="SA71" s="14" t="n">
        <x:v>5</x:v>
      </x:c>
      <x:c r="SB71" s="14" t="n">
        <x:v>3757</x:v>
      </x:c>
      <x:c r="SC71" s="14" t="n">
        <x:v>212</x:v>
      </x:c>
      <x:c r="SD71" s="14" t="n">
        <x:v>5</x:v>
      </x:c>
      <x:c r="SE71" s="14" t="n">
        <x:v>4</x:v>
      </x:c>
      <x:c r="SF71" s="14" t="str">
        <x:v>未收錄</x:v>
      </x:c>
      <x:c r="SG71" s="14"/>
      <x:c r="SH71" s="14"/>
      <x:c r="SI71" s="14"/>
      <x:c r="SJ71" s="14"/>
      <x:c r="SK71" s="14"/>
      <x:c r="SL71" s="14"/>
      <x:c r="SM71" s="14"/>
      <x:c r="SN71" s="14"/>
      <x:c r="SO71" s="14"/>
      <x:c r="SP71" s="14"/>
      <x:c r="SQ71" s="14"/>
      <x:c r="SR71" s="14"/>
      <x:c r="SS71" s="14"/>
      <x:c r="ST71" s="14"/>
      <x:c r="SU71" s="14"/>
      <x:c r="SV71" s="14"/>
      <x:c r="SW71" s="14"/>
      <x:c r="SX71" s="14"/>
      <x:c r="SY71" s="14"/>
      <x:c r="SZ71" s="14"/>
      <x:c r="TA71" s="14"/>
      <x:c r="TB71" s="14"/>
      <x:c r="TC71" s="14"/>
      <x:c r="TD71" s="14"/>
      <x:c r="TE71" s="14"/>
      <x:c r="TF71" s="14"/>
      <x:c r="TG71" s="14"/>
      <x:c r="TH71" s="14"/>
    </x:row>
    <x:row r="72" ht="15" customHeight="1">
      <x:c r="A72" s="18" t="str">
        <x:v>釋提桓因劍</x:v>
      </x:c>
      <x:c r="B72" s="18" t="str">
        <x:v>至尊不動劍</x:v>
      </x:c>
      <x:c r="C72" s="18" t="str">
        <x:v>六滅化神劍</x:v>
      </x:c>
      <x:c r="D72" s="18" t="str">
        <x:v>真六滅化神劍</x:v>
      </x:c>
      <x:c r="E72" s="14"/>
      <x:c r="F72" s="18" t="str">
        <x:v>星六滅化神刀</x:v>
      </x:c>
      <x:c r="G72" s="18" t="str">
        <x:v>皇六滅化神刀</x:v>
      </x:c>
      <x:c r="H72" s="18" t="str">
        <x:v>終極六滅神刀</x:v>
      </x:c>
      <x:c r="I72" s="18" t="str">
        <x:v>新星之火魄刀</x:v>
      </x:c>
      <x:c r="J72" s="14"/>
      <x:c r="K72" s="14"/>
      <x:c r="L72" s="14"/>
      <x:c r="M72" s="14"/>
      <x:c r="N72" s="14"/>
      <x:c r="O72" s="14"/>
      <x:c r="P72" s="14"/>
      <x:c r="Q72" s="14"/>
      <x:c r="R72" s="14"/>
      <x:c r="S72" s="14"/>
      <x:c r="T72" s="14"/>
      <x:c r="U72" s="14"/>
      <x:c r="V72" s="14"/>
      <x:c r="W72" s="14"/>
      <x:c r="X72" s="14"/>
      <x:c r="Y72" s="14"/>
      <x:c r="Z72" s="14"/>
      <x:c r="AA72" s="14"/>
      <x:c r="AB72" s="14"/>
      <x:c r="AC72" s="14"/>
      <x:c r="AD72" s="14"/>
      <x:c r="AE72" s="14"/>
      <x:c r="AF72" s="14"/>
      <x:c r="AG72" s="14"/>
      <x:c r="AH72" s="14"/>
      <x:c r="AI72" s="14"/>
      <x:c r="AJ72" s="14"/>
      <x:c r="AK72" s="14"/>
      <x:c r="AL72" s="14"/>
      <x:c r="AM72" s="14"/>
      <x:c r="AN72" s="14"/>
      <x:c r="AO72" s="14"/>
      <x:c r="AP72" s="14"/>
      <x:c r="AQ72" s="14"/>
      <x:c r="AR72" s="14"/>
      <x:c r="AS72" s="14"/>
      <x:c r="AT72" s="14"/>
      <x:c r="AU72" s="14"/>
      <x:c r="AV72" s="14"/>
      <x:c r="AW72" s="14"/>
      <x:c r="AX72" s="14"/>
      <x:c r="AY72" s="18" t="str">
        <x:v>禪宗妙法幔</x:v>
      </x:c>
      <x:c r="AZ72" s="18" t="str">
        <x:v>飛仙雲兜</x:v>
      </x:c>
      <x:c r="BA72" s="18" t="str">
        <x:v>泰山將盔</x:v>
      </x:c>
      <x:c r="BB72" s="18" t="str">
        <x:v>天蝶覆面</x:v>
      </x:c>
      <x:c r="BC72" s="14"/>
      <x:c r="BD72" s="18" t="str">
        <x:v>天揚劍甲</x:v>
      </x:c>
      <x:c r="BE72" s="18" t="str">
        <x:v>鎢銀鑄鎧</x:v>
      </x:c>
      <x:c r="BF72" s="18" t="str">
        <x:v>逐浪霓衣</x:v>
      </x:c>
      <x:c r="BG72" s="18" t="str">
        <x:v>星儀咒袍</x:v>
      </x:c>
      <x:c r="BH72" s="14"/>
      <x:c r="BI72" s="18" t="str">
        <x:v>天鍛‧術幻指</x:v>
      </x:c>
      <x:c r="BJ72" s="18" t="str">
        <x:v>天鍛‧道輝手</x:v>
      </x:c>
      <x:c r="BK72" s="18" t="str">
        <x:v>天鍛‧禪光握</x:v>
      </x:c>
      <x:c r="BL72" s="18" t="str">
        <x:v>天鍛‧檮杌手</x:v>
      </x:c>
      <x:c r="BM72" s="14"/>
      <x:c r="BN72" s="18" t="str">
        <x:v>韋駝天足‧終</x:v>
      </x:c>
      <x:c r="BO72" s="18" t="str">
        <x:v>流星雲湘靴</x:v>
      </x:c>
      <x:c r="BP72" s="18" t="str">
        <x:v>天鍛‧劍聖靴</x:v>
      </x:c>
      <x:c r="BQ72" s="18" t="str">
        <x:v>天鍛‧武尊踏</x:v>
      </x:c>
      <x:c r="BR72" s="14"/>
      <x:c r="BS72" s="18" t="str">
        <x:v>元宙‧朱雀環</x:v>
      </x:c>
      <x:c r="BT72" s="18" t="str">
        <x:v>元宙‧玄武璧</x:v>
      </x:c>
      <x:c r="BU72" s="18" t="str">
        <x:v>真宇傲青龍戒</x:v>
      </x:c>
      <x:c r="BV72" s="18" t="str">
        <x:v>真宇傲白虎玉</x:v>
      </x:c>
      <x:c r="BW72" s="14"/>
      <x:c r="BX72" s="14"/>
      <x:c r="BY72" s="14"/>
      <x:c r="BZ72" s="14"/>
      <x:c r="CA72" s="14"/>
      <x:c r="CB72" s="14"/>
      <x:c r="CC72" s="14" t="str">
        <x:v>29923</x:v>
      </x:c>
      <x:c r="CD72" s="14" t="n">
        <x:v>20</x:v>
      </x:c>
      <x:c r="CE72" s="14" t="n">
        <x:v>213</x:v>
      </x:c>
      <x:c r="CF72" s="14" t="n">
        <x:v>213</x:v>
      </x:c>
      <x:c r="CG72" s="14" t="n">
        <x:v>6</x:v>
      </x:c>
      <x:c r="CH72" s="14" t="n">
        <x:v>1</x:v>
      </x:c>
      <x:c r="CI72" s="14" t="str">
        <x:v>未收錄</x:v>
      </x:c>
      <x:c r="CJ72" s="14" t="str">
        <x:v>22797</x:v>
      </x:c>
      <x:c r="CK72" s="14" t="n">
        <x:v>50</x:v>
      </x:c>
      <x:c r="CL72" s="14" t="n">
        <x:v>214</x:v>
      </x:c>
      <x:c r="CM72" s="14" t="n">
        <x:v>214</x:v>
      </x:c>
      <x:c r="CN72" s="14" t="n">
        <x:v>6</x:v>
      </x:c>
      <x:c r="CO72" s="14" t="n">
        <x:v>2</x:v>
      </x:c>
      <x:c r="CP72" s="14" t="str">
        <x:v>未收錄</x:v>
      </x:c>
      <x:c r="CQ72" s="14" t="str">
        <x:v>23631</x:v>
      </x:c>
      <x:c r="CR72" s="14" t="n">
        <x:v>10</x:v>
      </x:c>
      <x:c r="CS72" s="14" t="n">
        <x:v>215</x:v>
      </x:c>
      <x:c r="CT72" s="14" t="n">
        <x:v>215</x:v>
      </x:c>
      <x:c r="CU72" s="14" t="n">
        <x:v>6</x:v>
      </x:c>
      <x:c r="CV72" s="14" t="n">
        <x:v>3</x:v>
      </x:c>
      <x:c r="CW72" s="14" t="str">
        <x:v>未收錄</x:v>
      </x:c>
      <x:c r="CX72" s="14" t="str">
        <x:v>24375</x:v>
      </x:c>
      <x:c r="CY72" s="14" t="n">
        <x:v>10</x:v>
      </x:c>
      <x:c r="CZ72" s="14" t="n">
        <x:v>216</x:v>
      </x:c>
      <x:c r="DA72" s="14" t="n">
        <x:v>216</x:v>
      </x:c>
      <x:c r="DB72" s="14" t="n">
        <x:v>6</x:v>
      </x:c>
      <x:c r="DC72" s="14" t="n">
        <x:v>4</x:v>
      </x:c>
      <x:c r="DD72" s="14" t="str">
        <x:v>未收錄</x:v>
      </x:c>
      <x:c r="DE72" s="14" t="str">
        <x:v>28996</x:v>
      </x:c>
      <x:c r="DF72" s="14" t="n">
        <x:v>10</x:v>
      </x:c>
      <x:c r="DG72" s="14" t="n">
        <x:v>458</x:v>
      </x:c>
      <x:c r="DH72" s="14" t="n">
        <x:v>213</x:v>
      </x:c>
      <x:c r="DI72" s="14" t="n">
        <x:v>6</x:v>
      </x:c>
      <x:c r="DJ72" s="14" t="n">
        <x:v>1</x:v>
      </x:c>
      <x:c r="DK72" s="14" t="str">
        <x:v>未收錄</x:v>
      </x:c>
      <x:c r="DL72" s="14" t="str">
        <x:v>29685</x:v>
      </x:c>
      <x:c r="DM72" s="14" t="n">
        <x:v>10</x:v>
      </x:c>
      <x:c r="DN72" s="14" t="n">
        <x:v>459</x:v>
      </x:c>
      <x:c r="DO72" s="14" t="n">
        <x:v>214</x:v>
      </x:c>
      <x:c r="DP72" s="14" t="n">
        <x:v>6</x:v>
      </x:c>
      <x:c r="DQ72" s="14" t="n">
        <x:v>2</x:v>
      </x:c>
      <x:c r="DR72" s="14" t="str">
        <x:v>未收錄</x:v>
      </x:c>
      <x:c r="DS72" s="14" t="str">
        <x:v>29944</x:v>
      </x:c>
      <x:c r="DT72" s="14" t="n">
        <x:v>10</x:v>
      </x:c>
      <x:c r="DU72" s="14" t="n">
        <x:v>460</x:v>
      </x:c>
      <x:c r="DV72" s="14" t="n">
        <x:v>215</x:v>
      </x:c>
      <x:c r="DW72" s="14" t="n">
        <x:v>6</x:v>
      </x:c>
      <x:c r="DX72" s="14" t="n">
        <x:v>3</x:v>
      </x:c>
      <x:c r="DY72" s="14" t="str">
        <x:v>未收錄</x:v>
      </x:c>
      <x:c r="DZ72" s="14" t="str">
        <x:v>27236</x:v>
      </x:c>
      <x:c r="EA72" s="14" t="n">
        <x:v>8</x:v>
      </x:c>
      <x:c r="EB72" s="14" t="n">
        <x:v>461</x:v>
      </x:c>
      <x:c r="EC72" s="14" t="n">
        <x:v>216</x:v>
      </x:c>
      <x:c r="ED72" s="14" t="n">
        <x:v>6</x:v>
      </x:c>
      <x:c r="EE72" s="14" t="n">
        <x:v>4</x:v>
      </x:c>
      <x:c r="EF72" s="14" t="str">
        <x:v>未收錄</x:v>
      </x:c>
      <x:c r="EG72" s="14"/>
      <x:c r="EH72" s="14"/>
      <x:c r="EI72" s="14"/>
      <x:c r="EJ72" s="14"/>
      <x:c r="EK72" s="14"/>
      <x:c r="EL72" s="14"/>
      <x:c r="EM72" s="14"/>
      <x:c r="EN72" s="14"/>
      <x:c r="EO72" s="14"/>
      <x:c r="EP72" s="14"/>
      <x:c r="EQ72" s="14"/>
      <x:c r="ER72" s="14"/>
      <x:c r="ES72" s="14"/>
      <x:c r="ET72" s="14"/>
      <x:c r="EU72" s="14"/>
      <x:c r="EV72" s="14"/>
      <x:c r="EW72" s="14"/>
      <x:c r="EX72" s="14"/>
      <x:c r="EY72" s="14"/>
      <x:c r="EZ72" s="14"/>
      <x:c r="FA72" s="14"/>
      <x:c r="FB72" s="14"/>
      <x:c r="FC72" s="14"/>
      <x:c r="FD72" s="14"/>
      <x:c r="FE72" s="14"/>
      <x:c r="FF72" s="14"/>
      <x:c r="FG72" s="14"/>
      <x:c r="FH72" s="14"/>
      <x:c r="FI72" s="14"/>
      <x:c r="FJ72" s="14"/>
      <x:c r="FK72" s="14"/>
      <x:c r="FL72" s="14"/>
      <x:c r="FM72" s="14"/>
      <x:c r="FN72" s="14"/>
      <x:c r="FO72" s="14"/>
      <x:c r="FP72" s="14"/>
      <x:c r="FQ72" s="14"/>
      <x:c r="FR72" s="14"/>
      <x:c r="FS72" s="14"/>
      <x:c r="FT72" s="14"/>
      <x:c r="FU72" s="14"/>
      <x:c r="FV72" s="14"/>
      <x:c r="FW72" s="14"/>
      <x:c r="FX72" s="14"/>
      <x:c r="FY72" s="14"/>
      <x:c r="FZ72" s="14"/>
      <x:c r="GA72" s="14"/>
      <x:c r="GB72" s="14"/>
      <x:c r="GC72" s="14"/>
      <x:c r="GD72" s="14"/>
      <x:c r="GE72" s="14"/>
      <x:c r="GF72" s="14"/>
      <x:c r="GG72" s="14"/>
      <x:c r="GH72" s="14"/>
      <x:c r="GI72" s="14"/>
      <x:c r="GJ72" s="14"/>
      <x:c r="GK72" s="14"/>
      <x:c r="GL72" s="14"/>
      <x:c r="GM72" s="14"/>
      <x:c r="GN72" s="14"/>
      <x:c r="GO72" s="14"/>
      <x:c r="GP72" s="14"/>
      <x:c r="GQ72" s="14"/>
      <x:c r="GR72" s="14"/>
      <x:c r="GS72" s="14"/>
      <x:c r="GT72" s="14"/>
      <x:c r="GU72" s="14"/>
      <x:c r="GV72" s="14"/>
      <x:c r="GW72" s="14"/>
      <x:c r="GX72" s="14"/>
      <x:c r="GY72" s="14"/>
      <x:c r="GZ72" s="14"/>
      <x:c r="HA72" s="14"/>
      <x:c r="HB72" s="14"/>
      <x:c r="HC72" s="14"/>
      <x:c r="HD72" s="14"/>
      <x:c r="HE72" s="14"/>
      <x:c r="HF72" s="14"/>
      <x:c r="HG72" s="14"/>
      <x:c r="HH72" s="14"/>
      <x:c r="HI72" s="14"/>
      <x:c r="HJ72" s="14"/>
      <x:c r="HK72" s="14"/>
      <x:c r="HL72" s="14"/>
      <x:c r="HM72" s="14"/>
      <x:c r="HN72" s="14"/>
      <x:c r="HO72" s="14"/>
      <x:c r="HP72" s="14"/>
      <x:c r="HQ72" s="14"/>
      <x:c r="HR72" s="14"/>
      <x:c r="HS72" s="14"/>
      <x:c r="HT72" s="14"/>
      <x:c r="HU72" s="14"/>
      <x:c r="HV72" s="14"/>
      <x:c r="HW72" s="14"/>
      <x:c r="HX72" s="14"/>
      <x:c r="HY72" s="14"/>
      <x:c r="HZ72" s="14"/>
      <x:c r="IA72" s="14"/>
      <x:c r="IB72" s="14"/>
      <x:c r="IC72" s="14"/>
      <x:c r="ID72" s="14"/>
      <x:c r="IE72" s="14"/>
      <x:c r="IF72" s="14"/>
      <x:c r="IG72" s="14"/>
      <x:c r="IH72" s="14"/>
      <x:c r="II72" s="14"/>
      <x:c r="IJ72" s="14"/>
      <x:c r="IK72" s="14"/>
      <x:c r="IL72" s="14"/>
      <x:c r="IM72" s="14"/>
      <x:c r="IN72" s="14"/>
      <x:c r="IO72" s="14"/>
      <x:c r="IP72" s="14"/>
      <x:c r="IQ72" s="14"/>
      <x:c r="IR72" s="14"/>
      <x:c r="IS72" s="14"/>
      <x:c r="IT72" s="14"/>
      <x:c r="IU72" s="14"/>
      <x:c r="IV72" s="14"/>
      <x:c r="IW72" s="14"/>
      <x:c r="IX72" s="14"/>
      <x:c r="IY72" s="14"/>
      <x:c r="IZ72" s="14"/>
      <x:c r="JA72" s="14"/>
      <x:c r="JB72" s="14"/>
      <x:c r="JC72" s="14"/>
      <x:c r="JD72" s="14"/>
      <x:c r="JE72" s="14"/>
      <x:c r="JF72" s="14"/>
      <x:c r="JG72" s="14"/>
      <x:c r="JH72" s="14"/>
      <x:c r="JI72" s="14"/>
      <x:c r="JJ72" s="14"/>
      <x:c r="JK72" s="14"/>
      <x:c r="JL72" s="14"/>
      <x:c r="JM72" s="14"/>
      <x:c r="JN72" s="14"/>
      <x:c r="JO72" s="14"/>
      <x:c r="JP72" s="14"/>
      <x:c r="JQ72" s="14"/>
      <x:c r="JR72" s="14"/>
      <x:c r="JS72" s="14"/>
      <x:c r="JT72" s="14"/>
      <x:c r="JU72" s="14"/>
      <x:c r="JV72" s="14"/>
      <x:c r="JW72" s="14"/>
      <x:c r="JX72" s="14"/>
      <x:c r="JY72" s="14"/>
      <x:c r="JZ72" s="14"/>
      <x:c r="KA72" s="14"/>
      <x:c r="KB72" s="14"/>
      <x:c r="KC72" s="14"/>
      <x:c r="KD72" s="14"/>
      <x:c r="KE72" s="14"/>
      <x:c r="KF72" s="14"/>
      <x:c r="KG72" s="14"/>
      <x:c r="KH72" s="14"/>
      <x:c r="KI72" s="14"/>
      <x:c r="KJ72" s="14"/>
      <x:c r="KK72" s="14"/>
      <x:c r="KL72" s="14"/>
      <x:c r="KM72" s="14"/>
      <x:c r="KN72" s="14"/>
      <x:c r="KO72" s="14"/>
      <x:c r="KP72" s="14"/>
      <x:c r="KQ72" s="14"/>
      <x:c r="KR72" s="14"/>
      <x:c r="KS72" s="14"/>
      <x:c r="KT72" s="14"/>
      <x:c r="KU72" s="14"/>
      <x:c r="KV72" s="14"/>
      <x:c r="KW72" s="14"/>
      <x:c r="KX72" s="14"/>
      <x:c r="KY72" s="14"/>
      <x:c r="KZ72" s="14"/>
      <x:c r="LA72" s="14"/>
      <x:c r="LB72" s="14"/>
      <x:c r="LC72" s="14"/>
      <x:c r="LD72" s="14"/>
      <x:c r="LE72" s="14"/>
      <x:c r="LF72" s="14"/>
      <x:c r="LG72" s="14"/>
      <x:c r="LH72" s="14"/>
      <x:c r="LI72" s="14"/>
      <x:c r="LJ72" s="14"/>
      <x:c r="LK72" s="14"/>
      <x:c r="LL72" s="14"/>
      <x:c r="LM72" s="14"/>
      <x:c r="LN72" s="14"/>
      <x:c r="LO72" s="14"/>
      <x:c r="LP72" s="14"/>
      <x:c r="LQ72" s="14"/>
      <x:c r="LR72" s="14"/>
      <x:c r="LS72" s="14"/>
      <x:c r="LT72" s="14"/>
      <x:c r="LU72" s="14"/>
      <x:c r="LV72" s="14"/>
      <x:c r="LW72" s="14"/>
      <x:c r="LX72" s="14"/>
      <x:c r="LY72" s="14"/>
      <x:c r="LZ72" s="14"/>
      <x:c r="MA72" s="14"/>
      <x:c r="MB72" s="14"/>
      <x:c r="MC72" s="14"/>
      <x:c r="MD72" s="14"/>
      <x:c r="ME72" s="14"/>
      <x:c r="MF72" s="14"/>
      <x:c r="MG72" s="14"/>
      <x:c r="MH72" s="14"/>
      <x:c r="MI72" s="14"/>
      <x:c r="MJ72" s="14"/>
      <x:c r="MK72" s="14"/>
      <x:c r="ML72" s="14"/>
      <x:c r="MM72" s="14"/>
      <x:c r="MN72" s="14"/>
      <x:c r="MO72" s="14"/>
      <x:c r="MP72" s="14"/>
      <x:c r="MQ72" s="14"/>
      <x:c r="MR72" s="14"/>
      <x:c r="MS72" s="14"/>
      <x:c r="MT72" s="14"/>
      <x:c r="MU72" s="14"/>
      <x:c r="MV72" s="14"/>
      <x:c r="MW72" s="14" t="str">
        <x:v>26508</x:v>
      </x:c>
      <x:c r="MX72" s="14" t="n">
        <x:v>5</x:v>
      </x:c>
      <x:c r="MY72" s="14" t="n">
        <x:v>1861</x:v>
      </x:c>
      <x:c r="MZ72" s="14" t="n">
        <x:v>213</x:v>
      </x:c>
      <x:c r="NA72" s="14" t="n">
        <x:v>6</x:v>
      </x:c>
      <x:c r="NB72" s="14" t="n">
        <x:v>1</x:v>
      </x:c>
      <x:c r="NC72" s="14" t="str">
        <x:v>未收錄</x:v>
      </x:c>
      <x:c r="ND72" s="14" t="str">
        <x:v>26552</x:v>
      </x:c>
      <x:c r="NE72" s="14" t="n">
        <x:v>5</x:v>
      </x:c>
      <x:c r="NF72" s="14" t="n">
        <x:v>1862</x:v>
      </x:c>
      <x:c r="NG72" s="14" t="n">
        <x:v>214</x:v>
      </x:c>
      <x:c r="NH72" s="14" t="n">
        <x:v>6</x:v>
      </x:c>
      <x:c r="NI72" s="14" t="n">
        <x:v>2</x:v>
      </x:c>
      <x:c r="NJ72" s="14" t="str">
        <x:v>未收錄</x:v>
      </x:c>
      <x:c r="NK72" s="14" t="str">
        <x:v>26553</x:v>
      </x:c>
      <x:c r="NL72" s="14" t="n">
        <x:v>5</x:v>
      </x:c>
      <x:c r="NM72" s="14" t="n">
        <x:v>1863</x:v>
      </x:c>
      <x:c r="NN72" s="14" t="n">
        <x:v>215</x:v>
      </x:c>
      <x:c r="NO72" s="14" t="n">
        <x:v>6</x:v>
      </x:c>
      <x:c r="NP72" s="14" t="n">
        <x:v>3</x:v>
      </x:c>
      <x:c r="NQ72" s="14" t="str">
        <x:v>未收錄</x:v>
      </x:c>
      <x:c r="NR72" s="14" t="str">
        <x:v>26554</x:v>
      </x:c>
      <x:c r="NS72" s="14" t="n">
        <x:v>5</x:v>
      </x:c>
      <x:c r="NT72" s="14" t="n">
        <x:v>1864</x:v>
      </x:c>
      <x:c r="NU72" s="14" t="n">
        <x:v>216</x:v>
      </x:c>
      <x:c r="NV72" s="14" t="n">
        <x:v>6</x:v>
      </x:c>
      <x:c r="NW72" s="14" t="n">
        <x:v>4</x:v>
      </x:c>
      <x:c r="NX72" s="14" t="str">
        <x:v>未收錄</x:v>
      </x:c>
      <x:c r="NY72" s="14" t="str">
        <x:v>24586</x:v>
      </x:c>
      <x:c r="NZ72" s="14" t="n">
        <x:v>5</x:v>
      </x:c>
      <x:c r="OA72" s="14" t="n">
        <x:v>2314</x:v>
      </x:c>
      <x:c r="OB72" s="14" t="n">
        <x:v>213</x:v>
      </x:c>
      <x:c r="OC72" s="14" t="n">
        <x:v>6</x:v>
      </x:c>
      <x:c r="OD72" s="14" t="n">
        <x:v>1</x:v>
      </x:c>
      <x:c r="OE72" s="14" t="str">
        <x:v>未收錄</x:v>
      </x:c>
      <x:c r="OF72" s="14" t="str">
        <x:v>24587</x:v>
      </x:c>
      <x:c r="OG72" s="14" t="n">
        <x:v>5</x:v>
      </x:c>
      <x:c r="OH72" s="14" t="n">
        <x:v>2315</x:v>
      </x:c>
      <x:c r="OI72" s="14" t="n">
        <x:v>214</x:v>
      </x:c>
      <x:c r="OJ72" s="14" t="n">
        <x:v>6</x:v>
      </x:c>
      <x:c r="OK72" s="14" t="n">
        <x:v>2</x:v>
      </x:c>
      <x:c r="OL72" s="14" t="str">
        <x:v>未收錄</x:v>
      </x:c>
      <x:c r="OM72" s="14" t="str">
        <x:v>24588</x:v>
      </x:c>
      <x:c r="ON72" s="14" t="n">
        <x:v>5</x:v>
      </x:c>
      <x:c r="OO72" s="14" t="n">
        <x:v>2316</x:v>
      </x:c>
      <x:c r="OP72" s="14" t="n">
        <x:v>215</x:v>
      </x:c>
      <x:c r="OQ72" s="14" t="n">
        <x:v>6</x:v>
      </x:c>
      <x:c r="OR72" s="14" t="n">
        <x:v>3</x:v>
      </x:c>
      <x:c r="OS72" s="14" t="str">
        <x:v>未收錄</x:v>
      </x:c>
      <x:c r="OT72" s="14" t="str">
        <x:v>24589</x:v>
      </x:c>
      <x:c r="OU72" s="14" t="n">
        <x:v>5</x:v>
      </x:c>
      <x:c r="OV72" s="14" t="n">
        <x:v>2317</x:v>
      </x:c>
      <x:c r="OW72" s="14" t="n">
        <x:v>216</x:v>
      </x:c>
      <x:c r="OX72" s="14" t="n">
        <x:v>6</x:v>
      </x:c>
      <x:c r="OY72" s="14" t="n">
        <x:v>4</x:v>
      </x:c>
      <x:c r="OZ72" s="14" t="str">
        <x:v>未收錄</x:v>
      </x:c>
      <x:c r="PA72" s="14" t="str">
        <x:v>27116</x:v>
      </x:c>
      <x:c r="PB72" s="14" t="n">
        <x:v>5</x:v>
      </x:c>
      <x:c r="PC72" s="14" t="n">
        <x:v>2860</x:v>
      </x:c>
      <x:c r="PD72" s="14" t="n">
        <x:v>213</x:v>
      </x:c>
      <x:c r="PE72" s="14" t="n">
        <x:v>6</x:v>
      </x:c>
      <x:c r="PF72" s="14" t="n">
        <x:v>1</x:v>
      </x:c>
      <x:c r="PG72" s="14" t="str">
        <x:v>未收錄</x:v>
      </x:c>
      <x:c r="PH72" s="14" t="str">
        <x:v>27117</x:v>
      </x:c>
      <x:c r="PI72" s="14" t="n">
        <x:v>5</x:v>
      </x:c>
      <x:c r="PJ72" s="14" t="n">
        <x:v>2861</x:v>
      </x:c>
      <x:c r="PK72" s="14" t="n">
        <x:v>214</x:v>
      </x:c>
      <x:c r="PL72" s="14" t="n">
        <x:v>6</x:v>
      </x:c>
      <x:c r="PM72" s="14" t="n">
        <x:v>2</x:v>
      </x:c>
      <x:c r="PN72" s="14" t="str">
        <x:v>未收錄</x:v>
      </x:c>
      <x:c r="PO72" s="14" t="str">
        <x:v>27118</x:v>
      </x:c>
      <x:c r="PP72" s="14" t="n">
        <x:v>5</x:v>
      </x:c>
      <x:c r="PQ72" s="14" t="n">
        <x:v>2862</x:v>
      </x:c>
      <x:c r="PR72" s="14" t="n">
        <x:v>215</x:v>
      </x:c>
      <x:c r="PS72" s="14" t="n">
        <x:v>6</x:v>
      </x:c>
      <x:c r="PT72" s="14" t="n">
        <x:v>3</x:v>
      </x:c>
      <x:c r="PU72" s="14" t="str">
        <x:v>未收錄</x:v>
      </x:c>
      <x:c r="PV72" s="14" t="str">
        <x:v>27218</x:v>
      </x:c>
      <x:c r="PW72" s="14" t="n">
        <x:v>10</x:v>
      </x:c>
      <x:c r="PX72" s="14" t="n">
        <x:v>2863</x:v>
      </x:c>
      <x:c r="PY72" s="14" t="n">
        <x:v>216</x:v>
      </x:c>
      <x:c r="PZ72" s="14" t="n">
        <x:v>6</x:v>
      </x:c>
      <x:c r="QA72" s="14" t="n">
        <x:v>4</x:v>
      </x:c>
      <x:c r="QB72" s="14" t="str">
        <x:v>未收錄</x:v>
      </x:c>
      <x:c r="QC72" s="14" t="str">
        <x:v>26835</x:v>
      </x:c>
      <x:c r="QD72" s="14" t="n">
        <x:v>10</x:v>
      </x:c>
      <x:c r="QE72" s="14" t="n">
        <x:v>3297</x:v>
      </x:c>
      <x:c r="QF72" s="14" t="n">
        <x:v>213</x:v>
      </x:c>
      <x:c r="QG72" s="14" t="n">
        <x:v>6</x:v>
      </x:c>
      <x:c r="QH72" s="14" t="n">
        <x:v>1</x:v>
      </x:c>
      <x:c r="QI72" s="14" t="str">
        <x:v>未收錄</x:v>
      </x:c>
      <x:c r="QJ72" s="14" t="str">
        <x:v>26819</x:v>
      </x:c>
      <x:c r="QK72" s="14" t="n">
        <x:v>10</x:v>
      </x:c>
      <x:c r="QL72" s="14" t="n">
        <x:v>3298</x:v>
      </x:c>
      <x:c r="QM72" s="14" t="n">
        <x:v>214</x:v>
      </x:c>
      <x:c r="QN72" s="14" t="n">
        <x:v>6</x:v>
      </x:c>
      <x:c r="QO72" s="14" t="n">
        <x:v>2</x:v>
      </x:c>
      <x:c r="QP72" s="14" t="str">
        <x:v>未收錄</x:v>
      </x:c>
      <x:c r="QQ72" s="14" t="str">
        <x:v>27134</x:v>
      </x:c>
      <x:c r="QR72" s="14" t="n">
        <x:v>5</x:v>
      </x:c>
      <x:c r="QS72" s="14" t="n">
        <x:v>3299</x:v>
      </x:c>
      <x:c r="QT72" s="14" t="n">
        <x:v>215</x:v>
      </x:c>
      <x:c r="QU72" s="14" t="n">
        <x:v>6</x:v>
      </x:c>
      <x:c r="QV72" s="14" t="n">
        <x:v>3</x:v>
      </x:c>
      <x:c r="QW72" s="14" t="str">
        <x:v>未收錄</x:v>
      </x:c>
      <x:c r="QX72" s="14" t="str">
        <x:v>27135</x:v>
      </x:c>
      <x:c r="QY72" s="14" t="n">
        <x:v>5</x:v>
      </x:c>
      <x:c r="QZ72" s="14" t="n">
        <x:v>3300</x:v>
      </x:c>
      <x:c r="RA72" s="14" t="n">
        <x:v>216</x:v>
      </x:c>
      <x:c r="RB72" s="14" t="n">
        <x:v>6</x:v>
      </x:c>
      <x:c r="RC72" s="14" t="n">
        <x:v>4</x:v>
      </x:c>
      <x:c r="RD72" s="14" t="str">
        <x:v>未收錄</x:v>
      </x:c>
      <x:c r="RE72" s="14" t="str">
        <x:v>27730</x:v>
      </x:c>
      <x:c r="RF72" s="14" t="n">
        <x:v>5</x:v>
      </x:c>
      <x:c r="RG72" s="14" t="n">
        <x:v>3758</x:v>
      </x:c>
      <x:c r="RH72" s="14" t="n">
        <x:v>213</x:v>
      </x:c>
      <x:c r="RI72" s="14" t="n">
        <x:v>6</x:v>
      </x:c>
      <x:c r="RJ72" s="14" t="n">
        <x:v>1</x:v>
      </x:c>
      <x:c r="RK72" s="14" t="str">
        <x:v>未收錄</x:v>
      </x:c>
      <x:c r="RL72" s="14" t="str">
        <x:v>27731</x:v>
      </x:c>
      <x:c r="RM72" s="14" t="n">
        <x:v>5</x:v>
      </x:c>
      <x:c r="RN72" s="14" t="n">
        <x:v>3759</x:v>
      </x:c>
      <x:c r="RO72" s="14" t="n">
        <x:v>214</x:v>
      </x:c>
      <x:c r="RP72" s="14" t="n">
        <x:v>6</x:v>
      </x:c>
      <x:c r="RQ72" s="14" t="n">
        <x:v>2</x:v>
      </x:c>
      <x:c r="RR72" s="14" t="str">
        <x:v>未收錄</x:v>
      </x:c>
      <x:c r="RS72" s="14" t="str">
        <x:v>27732</x:v>
      </x:c>
      <x:c r="RT72" s="14" t="n">
        <x:v>5</x:v>
      </x:c>
      <x:c r="RU72" s="14" t="n">
        <x:v>3760</x:v>
      </x:c>
      <x:c r="RV72" s="14" t="n">
        <x:v>215</x:v>
      </x:c>
      <x:c r="RW72" s="14" t="n">
        <x:v>6</x:v>
      </x:c>
      <x:c r="RX72" s="14" t="n">
        <x:v>3</x:v>
      </x:c>
      <x:c r="RY72" s="14" t="str">
        <x:v>未收錄</x:v>
      </x:c>
      <x:c r="RZ72" s="14" t="str">
        <x:v>27733</x:v>
      </x:c>
      <x:c r="SA72" s="14" t="n">
        <x:v>5</x:v>
      </x:c>
      <x:c r="SB72" s="14" t="n">
        <x:v>3761</x:v>
      </x:c>
      <x:c r="SC72" s="14" t="n">
        <x:v>216</x:v>
      </x:c>
      <x:c r="SD72" s="14" t="n">
        <x:v>6</x:v>
      </x:c>
      <x:c r="SE72" s="14" t="n">
        <x:v>4</x:v>
      </x:c>
      <x:c r="SF72" s="14" t="str">
        <x:v>未收錄</x:v>
      </x:c>
      <x:c r="SG72" s="14"/>
      <x:c r="SH72" s="14"/>
      <x:c r="SI72" s="14"/>
      <x:c r="SJ72" s="14"/>
      <x:c r="SK72" s="14"/>
      <x:c r="SL72" s="14"/>
      <x:c r="SM72" s="14"/>
      <x:c r="SN72" s="14"/>
      <x:c r="SO72" s="14"/>
      <x:c r="SP72" s="14"/>
      <x:c r="SQ72" s="14"/>
      <x:c r="SR72" s="14"/>
      <x:c r="SS72" s="14"/>
      <x:c r="ST72" s="14"/>
      <x:c r="SU72" s="14"/>
      <x:c r="SV72" s="14"/>
      <x:c r="SW72" s="14"/>
      <x:c r="SX72" s="14"/>
      <x:c r="SY72" s="14"/>
      <x:c r="SZ72" s="14"/>
      <x:c r="TA72" s="14"/>
      <x:c r="TB72" s="14"/>
      <x:c r="TC72" s="14"/>
      <x:c r="TD72" s="14"/>
      <x:c r="TE72" s="14"/>
      <x:c r="TF72" s="14"/>
      <x:c r="TG72" s="14"/>
      <x:c r="TH72" s="14"/>
    </x:row>
    <x:row r="73" ht="15" customHeight="1">
      <x:c r="A73" s="17" t="str">
        <x:v>超六滅化神劍</x:v>
      </x:c>
      <x:c r="B73" s="17" t="str">
        <x:v>絕六滅化神劍</x:v>
      </x:c>
      <x:c r="C73" s="17" t="str">
        <x:v>無六滅化神劍</x:v>
      </x:c>
      <x:c r="D73" s="17" t="str">
        <x:v>帝六滅化神劍</x:v>
      </x:c>
      <x:c r="E73" s="14"/>
      <x:c r="F73" s="17" t="str">
        <x:v>蛇眼刀</x:v>
      </x:c>
      <x:c r="G73" s="17" t="str">
        <x:v>璇蟬鳴刀Ⅰ</x:v>
      </x:c>
      <x:c r="H73" s="17" t="str">
        <x:v>璇蟬鳴刀Ⅱ</x:v>
      </x:c>
      <x:c r="I73" s="17" t="str">
        <x:v>璇蟬鳴刀Ⅲ</x:v>
      </x:c>
      <x:c r="J73" s="14"/>
      <x:c r="K73" s="14"/>
      <x:c r="L73" s="14"/>
      <x:c r="M73" s="14"/>
      <x:c r="N73" s="14"/>
      <x:c r="O73" s="14"/>
      <x:c r="P73" s="14"/>
      <x:c r="Q73" s="14"/>
      <x:c r="R73" s="14"/>
      <x:c r="S73" s="14"/>
      <x:c r="T73" s="14"/>
      <x:c r="U73" s="14"/>
      <x:c r="V73" s="14"/>
      <x:c r="W73" s="14"/>
      <x:c r="X73" s="14"/>
      <x:c r="Y73" s="14"/>
      <x:c r="Z73" s="14"/>
      <x:c r="AA73" s="14"/>
      <x:c r="AB73" s="14"/>
      <x:c r="AC73" s="14"/>
      <x:c r="AD73" s="14"/>
      <x:c r="AE73" s="14"/>
      <x:c r="AF73" s="14"/>
      <x:c r="AG73" s="14"/>
      <x:c r="AH73" s="14"/>
      <x:c r="AI73" s="14"/>
      <x:c r="AJ73" s="14"/>
      <x:c r="AK73" s="14"/>
      <x:c r="AL73" s="14"/>
      <x:c r="AM73" s="14"/>
      <x:c r="AN73" s="14"/>
      <x:c r="AO73" s="14"/>
      <x:c r="AP73" s="14"/>
      <x:c r="AQ73" s="14"/>
      <x:c r="AR73" s="14"/>
      <x:c r="AS73" s="14"/>
      <x:c r="AT73" s="14"/>
      <x:c r="AU73" s="14"/>
      <x:c r="AV73" s="14"/>
      <x:c r="AW73" s="14"/>
      <x:c r="AX73" s="14"/>
      <x:c r="AY73" s="17" t="str">
        <x:v>重陽聖冠</x:v>
      </x:c>
      <x:c r="AZ73" s="17" t="str">
        <x:v>樓至禪頂</x:v>
      </x:c>
      <x:c r="BA73" s="17" t="str">
        <x:v>剎霆之兜</x:v>
      </x:c>
      <x:c r="BB73" s="17" t="str">
        <x:v>英霸將盔</x:v>
      </x:c>
      <x:c r="BC73" s="14"/>
      <x:c r="BD73" s="17" t="str">
        <x:v>智法煉裟</x:v>
      </x:c>
      <x:c r="BE73" s="17" t="str">
        <x:v>圓桌戰甲</x:v>
      </x:c>
      <x:c r="BF73" s="17" t="str">
        <x:v>獅王巨鎧</x:v>
      </x:c>
      <x:c r="BG73" s="17" t="str">
        <x:v>夜龍風衣</x:v>
      </x:c>
      <x:c r="BH73" s="14"/>
      <x:c r="BI73" s="17" t="str">
        <x:v>天鍛‧素鳴腕</x:v>
      </x:c>
      <x:c r="BJ73" s="17" t="str">
        <x:v>仙鑄‧劍聖腕</x:v>
      </x:c>
      <x:c r="BK73" s="17" t="str">
        <x:v>仙鑄‧武尊臂</x:v>
      </x:c>
      <x:c r="BL73" s="17" t="str">
        <x:v>仙鑄‧術幻指</x:v>
      </x:c>
      <x:c r="BM73" s="14"/>
      <x:c r="BN73" s="17" t="str">
        <x:v>天鍛‧術幻履</x:v>
      </x:c>
      <x:c r="BO73" s="17" t="str">
        <x:v>天鍛‧道輝步</x:v>
      </x:c>
      <x:c r="BP73" s="17" t="str">
        <x:v>天鍛‧禪光行</x:v>
      </x:c>
      <x:c r="BQ73" s="17" t="str">
        <x:v>天鍛‧窮奇靴</x:v>
      </x:c>
      <x:c r="BR73" s="14"/>
      <x:c r="BS73" s="17" t="str">
        <x:v>真宇傲朱雀環</x:v>
      </x:c>
      <x:c r="BT73" s="17" t="str">
        <x:v>真宇傲玄武璧</x:v>
      </x:c>
      <x:c r="BU73" s="17" t="str">
        <x:v>絕‧戰神負重鍊</x:v>
      </x:c>
      <x:c r="BV73" s="17" t="str">
        <x:v>聖白虎之心</x:v>
      </x:c>
      <x:c r="BW73" s="14"/>
      <x:c r="BX73" s="14"/>
      <x:c r="BY73" s="14"/>
      <x:c r="BZ73" s="14"/>
      <x:c r="CA73" s="14"/>
      <x:c r="CB73" s="14"/>
      <x:c r="CC73" s="14" t="str">
        <x:v>24950</x:v>
      </x:c>
      <x:c r="CD73" s="14" t="n">
        <x:v>10</x:v>
      </x:c>
      <x:c r="CE73" s="14" t="n">
        <x:v>217</x:v>
      </x:c>
      <x:c r="CF73" s="14" t="n">
        <x:v>217</x:v>
      </x:c>
      <x:c r="CG73" s="14" t="n">
        <x:v>7</x:v>
      </x:c>
      <x:c r="CH73" s="14" t="n">
        <x:v>1</x:v>
      </x:c>
      <x:c r="CI73" s="14" t="str">
        <x:v>未收錄</x:v>
      </x:c>
      <x:c r="CJ73" s="14" t="str">
        <x:v>26796</x:v>
      </x:c>
      <x:c r="CK73" s="14" t="n">
        <x:v>10</x:v>
      </x:c>
      <x:c r="CL73" s="14" t="n">
        <x:v>218</x:v>
      </x:c>
      <x:c r="CM73" s="14" t="n">
        <x:v>218</x:v>
      </x:c>
      <x:c r="CN73" s="14" t="n">
        <x:v>7</x:v>
      </x:c>
      <x:c r="CO73" s="14" t="n">
        <x:v>2</x:v>
      </x:c>
      <x:c r="CP73" s="14" t="str">
        <x:v>未收錄</x:v>
      </x:c>
      <x:c r="CQ73" s="14" t="str">
        <x:v>27365</x:v>
      </x:c>
      <x:c r="CR73" s="14" t="n">
        <x:v>10</x:v>
      </x:c>
      <x:c r="CS73" s="14" t="n">
        <x:v>219</x:v>
      </x:c>
      <x:c r="CT73" s="14" t="n">
        <x:v>219</x:v>
      </x:c>
      <x:c r="CU73" s="14" t="n">
        <x:v>7</x:v>
      </x:c>
      <x:c r="CV73" s="14" t="n">
        <x:v>3</x:v>
      </x:c>
      <x:c r="CW73" s="14" t="str">
        <x:v>未收錄</x:v>
      </x:c>
      <x:c r="CX73" s="14" t="str">
        <x:v>27581</x:v>
      </x:c>
      <x:c r="CY73" s="14" t="n">
        <x:v>10</x:v>
      </x:c>
      <x:c r="CZ73" s="14" t="n">
        <x:v>220</x:v>
      </x:c>
      <x:c r="DA73" s="14" t="n">
        <x:v>220</x:v>
      </x:c>
      <x:c r="DB73" s="14" t="n">
        <x:v>7</x:v>
      </x:c>
      <x:c r="DC73" s="14" t="n">
        <x:v>4</x:v>
      </x:c>
      <x:c r="DD73" s="14" t="str">
        <x:v>未收錄</x:v>
      </x:c>
      <x:c r="DE73" s="14" t="str">
        <x:v>31074</x:v>
      </x:c>
      <x:c r="DF73" s="14" t="n">
        <x:v>1</x:v>
      </x:c>
      <x:c r="DG73" s="14" t="n">
        <x:v>462</x:v>
      </x:c>
      <x:c r="DH73" s="14" t="n">
        <x:v>217</x:v>
      </x:c>
      <x:c r="DI73" s="14" t="n">
        <x:v>7</x:v>
      </x:c>
      <x:c r="DJ73" s="14" t="n">
        <x:v>1</x:v>
      </x:c>
      <x:c r="DK73" s="14" t="str">
        <x:v>未收錄</x:v>
      </x:c>
      <x:c r="DL73" s="14" t="str">
        <x:v>30206</x:v>
      </x:c>
      <x:c r="DM73" s="14" t="n">
        <x:v>8</x:v>
      </x:c>
      <x:c r="DN73" s="14" t="n">
        <x:v>463</x:v>
      </x:c>
      <x:c r="DO73" s="14" t="n">
        <x:v>218</x:v>
      </x:c>
      <x:c r="DP73" s="14" t="n">
        <x:v>7</x:v>
      </x:c>
      <x:c r="DQ73" s="14" t="n">
        <x:v>2</x:v>
      </x:c>
      <x:c r="DR73" s="14" t="str">
        <x:v>未收錄</x:v>
      </x:c>
      <x:c r="DS73" s="14" t="str">
        <x:v>30207</x:v>
      </x:c>
      <x:c r="DT73" s="14" t="n">
        <x:v>8</x:v>
      </x:c>
      <x:c r="DU73" s="14" t="n">
        <x:v>464</x:v>
      </x:c>
      <x:c r="DV73" s="14" t="n">
        <x:v>219</x:v>
      </x:c>
      <x:c r="DW73" s="14" t="n">
        <x:v>7</x:v>
      </x:c>
      <x:c r="DX73" s="14" t="n">
        <x:v>3</x:v>
      </x:c>
      <x:c r="DY73" s="14" t="str">
        <x:v>未收錄</x:v>
      </x:c>
      <x:c r="DZ73" s="14" t="str">
        <x:v>30208</x:v>
      </x:c>
      <x:c r="EA73" s="14" t="n">
        <x:v>8</x:v>
      </x:c>
      <x:c r="EB73" s="14" t="n">
        <x:v>465</x:v>
      </x:c>
      <x:c r="EC73" s="14" t="n">
        <x:v>220</x:v>
      </x:c>
      <x:c r="ED73" s="14" t="n">
        <x:v>7</x:v>
      </x:c>
      <x:c r="EE73" s="14" t="n">
        <x:v>4</x:v>
      </x:c>
      <x:c r="EF73" s="14" t="str">
        <x:v>未收錄</x:v>
      </x:c>
      <x:c r="EG73" s="14"/>
      <x:c r="EH73" s="14"/>
      <x:c r="EI73" s="14"/>
      <x:c r="EJ73" s="14"/>
      <x:c r="EK73" s="14"/>
      <x:c r="EL73" s="14"/>
      <x:c r="EM73" s="14"/>
      <x:c r="EN73" s="14"/>
      <x:c r="EO73" s="14"/>
      <x:c r="EP73" s="14"/>
      <x:c r="EQ73" s="14"/>
      <x:c r="ER73" s="14"/>
      <x:c r="ES73" s="14"/>
      <x:c r="ET73" s="14"/>
      <x:c r="EU73" s="14"/>
      <x:c r="EV73" s="14"/>
      <x:c r="EW73" s="14"/>
      <x:c r="EX73" s="14"/>
      <x:c r="EY73" s="14"/>
      <x:c r="EZ73" s="14"/>
      <x:c r="FA73" s="14"/>
      <x:c r="FB73" s="14"/>
      <x:c r="FC73" s="14"/>
      <x:c r="FD73" s="14"/>
      <x:c r="FE73" s="14"/>
      <x:c r="FF73" s="14"/>
      <x:c r="FG73" s="14"/>
      <x:c r="FH73" s="14"/>
      <x:c r="FI73" s="14"/>
      <x:c r="FJ73" s="14"/>
      <x:c r="FK73" s="14"/>
      <x:c r="FL73" s="14"/>
      <x:c r="FM73" s="14"/>
      <x:c r="FN73" s="14"/>
      <x:c r="FO73" s="14"/>
      <x:c r="FP73" s="14"/>
      <x:c r="FQ73" s="14"/>
      <x:c r="FR73" s="14"/>
      <x:c r="FS73" s="14"/>
      <x:c r="FT73" s="14"/>
      <x:c r="FU73" s="14"/>
      <x:c r="FV73" s="14"/>
      <x:c r="FW73" s="14"/>
      <x:c r="FX73" s="14"/>
      <x:c r="FY73" s="14"/>
      <x:c r="FZ73" s="14"/>
      <x:c r="GA73" s="14"/>
      <x:c r="GB73" s="14"/>
      <x:c r="GC73" s="14"/>
      <x:c r="GD73" s="14"/>
      <x:c r="GE73" s="14"/>
      <x:c r="GF73" s="14"/>
      <x:c r="GG73" s="14"/>
      <x:c r="GH73" s="14"/>
      <x:c r="GI73" s="14"/>
      <x:c r="GJ73" s="14"/>
      <x:c r="GK73" s="14"/>
      <x:c r="GL73" s="14"/>
      <x:c r="GM73" s="14"/>
      <x:c r="GN73" s="14"/>
      <x:c r="GO73" s="14"/>
      <x:c r="GP73" s="14"/>
      <x:c r="GQ73" s="14"/>
      <x:c r="GR73" s="14"/>
      <x:c r="GS73" s="14"/>
      <x:c r="GT73" s="14"/>
      <x:c r="GU73" s="14"/>
      <x:c r="GV73" s="14"/>
      <x:c r="GW73" s="14"/>
      <x:c r="GX73" s="14"/>
      <x:c r="GY73" s="14"/>
      <x:c r="GZ73" s="14"/>
      <x:c r="HA73" s="14"/>
      <x:c r="HB73" s="14"/>
      <x:c r="HC73" s="14"/>
      <x:c r="HD73" s="14"/>
      <x:c r="HE73" s="14"/>
      <x:c r="HF73" s="14"/>
      <x:c r="HG73" s="14"/>
      <x:c r="HH73" s="14"/>
      <x:c r="HI73" s="14"/>
      <x:c r="HJ73" s="14"/>
      <x:c r="HK73" s="14"/>
      <x:c r="HL73" s="14"/>
      <x:c r="HM73" s="14"/>
      <x:c r="HN73" s="14"/>
      <x:c r="HO73" s="14"/>
      <x:c r="HP73" s="14"/>
      <x:c r="HQ73" s="14"/>
      <x:c r="HR73" s="14"/>
      <x:c r="HS73" s="14"/>
      <x:c r="HT73" s="14"/>
      <x:c r="HU73" s="14"/>
      <x:c r="HV73" s="14"/>
      <x:c r="HW73" s="14"/>
      <x:c r="HX73" s="14"/>
      <x:c r="HY73" s="14"/>
      <x:c r="HZ73" s="14"/>
      <x:c r="IA73" s="14"/>
      <x:c r="IB73" s="14"/>
      <x:c r="IC73" s="14"/>
      <x:c r="ID73" s="14"/>
      <x:c r="IE73" s="14"/>
      <x:c r="IF73" s="14"/>
      <x:c r="IG73" s="14"/>
      <x:c r="IH73" s="14"/>
      <x:c r="II73" s="14"/>
      <x:c r="IJ73" s="14"/>
      <x:c r="IK73" s="14"/>
      <x:c r="IL73" s="14"/>
      <x:c r="IM73" s="14"/>
      <x:c r="IN73" s="14"/>
      <x:c r="IO73" s="14"/>
      <x:c r="IP73" s="14"/>
      <x:c r="IQ73" s="14"/>
      <x:c r="IR73" s="14"/>
      <x:c r="IS73" s="14"/>
      <x:c r="IT73" s="14"/>
      <x:c r="IU73" s="14"/>
      <x:c r="IV73" s="14"/>
      <x:c r="IW73" s="14"/>
      <x:c r="IX73" s="14"/>
      <x:c r="IY73" s="14"/>
      <x:c r="IZ73" s="14"/>
      <x:c r="JA73" s="14"/>
      <x:c r="JB73" s="14"/>
      <x:c r="JC73" s="14"/>
      <x:c r="JD73" s="14"/>
      <x:c r="JE73" s="14"/>
      <x:c r="JF73" s="14"/>
      <x:c r="JG73" s="14"/>
      <x:c r="JH73" s="14"/>
      <x:c r="JI73" s="14"/>
      <x:c r="JJ73" s="14"/>
      <x:c r="JK73" s="14"/>
      <x:c r="JL73" s="14"/>
      <x:c r="JM73" s="14"/>
      <x:c r="JN73" s="14"/>
      <x:c r="JO73" s="14"/>
      <x:c r="JP73" s="14"/>
      <x:c r="JQ73" s="14"/>
      <x:c r="JR73" s="14"/>
      <x:c r="JS73" s="14"/>
      <x:c r="JT73" s="14"/>
      <x:c r="JU73" s="14"/>
      <x:c r="JV73" s="14"/>
      <x:c r="JW73" s="14"/>
      <x:c r="JX73" s="14"/>
      <x:c r="JY73" s="14"/>
      <x:c r="JZ73" s="14"/>
      <x:c r="KA73" s="14"/>
      <x:c r="KB73" s="14"/>
      <x:c r="KC73" s="14"/>
      <x:c r="KD73" s="14"/>
      <x:c r="KE73" s="14"/>
      <x:c r="KF73" s="14"/>
      <x:c r="KG73" s="14"/>
      <x:c r="KH73" s="14"/>
      <x:c r="KI73" s="14"/>
      <x:c r="KJ73" s="14"/>
      <x:c r="KK73" s="14"/>
      <x:c r="KL73" s="14"/>
      <x:c r="KM73" s="14"/>
      <x:c r="KN73" s="14"/>
      <x:c r="KO73" s="14"/>
      <x:c r="KP73" s="14"/>
      <x:c r="KQ73" s="14"/>
      <x:c r="KR73" s="14"/>
      <x:c r="KS73" s="14"/>
      <x:c r="KT73" s="14"/>
      <x:c r="KU73" s="14"/>
      <x:c r="KV73" s="14"/>
      <x:c r="KW73" s="14"/>
      <x:c r="KX73" s="14"/>
      <x:c r="KY73" s="14"/>
      <x:c r="KZ73" s="14"/>
      <x:c r="LA73" s="14"/>
      <x:c r="LB73" s="14"/>
      <x:c r="LC73" s="14"/>
      <x:c r="LD73" s="14"/>
      <x:c r="LE73" s="14"/>
      <x:c r="LF73" s="14"/>
      <x:c r="LG73" s="14"/>
      <x:c r="LH73" s="14"/>
      <x:c r="LI73" s="14"/>
      <x:c r="LJ73" s="14"/>
      <x:c r="LK73" s="14"/>
      <x:c r="LL73" s="14"/>
      <x:c r="LM73" s="14"/>
      <x:c r="LN73" s="14"/>
      <x:c r="LO73" s="14"/>
      <x:c r="LP73" s="14"/>
      <x:c r="LQ73" s="14"/>
      <x:c r="LR73" s="14"/>
      <x:c r="LS73" s="14"/>
      <x:c r="LT73" s="14"/>
      <x:c r="LU73" s="14"/>
      <x:c r="LV73" s="14"/>
      <x:c r="LW73" s="14"/>
      <x:c r="LX73" s="14"/>
      <x:c r="LY73" s="14"/>
      <x:c r="LZ73" s="14"/>
      <x:c r="MA73" s="14"/>
      <x:c r="MB73" s="14"/>
      <x:c r="MC73" s="14"/>
      <x:c r="MD73" s="14"/>
      <x:c r="ME73" s="14"/>
      <x:c r="MF73" s="14"/>
      <x:c r="MG73" s="14"/>
      <x:c r="MH73" s="14"/>
      <x:c r="MI73" s="14"/>
      <x:c r="MJ73" s="14"/>
      <x:c r="MK73" s="14"/>
      <x:c r="ML73" s="14"/>
      <x:c r="MM73" s="14"/>
      <x:c r="MN73" s="14"/>
      <x:c r="MO73" s="14"/>
      <x:c r="MP73" s="14"/>
      <x:c r="MQ73" s="14"/>
      <x:c r="MR73" s="14"/>
      <x:c r="MS73" s="14"/>
      <x:c r="MT73" s="14"/>
      <x:c r="MU73" s="14"/>
      <x:c r="MV73" s="14"/>
      <x:c r="MW73" s="14" t="str">
        <x:v>26555</x:v>
      </x:c>
      <x:c r="MX73" s="14" t="n">
        <x:v>5</x:v>
      </x:c>
      <x:c r="MY73" s="14" t="n">
        <x:v>1865</x:v>
      </x:c>
      <x:c r="MZ73" s="14" t="n">
        <x:v>217</x:v>
      </x:c>
      <x:c r="NA73" s="14" t="n">
        <x:v>7</x:v>
      </x:c>
      <x:c r="NB73" s="14" t="n">
        <x:v>1</x:v>
      </x:c>
      <x:c r="NC73" s="14" t="str">
        <x:v>未收錄</x:v>
      </x:c>
      <x:c r="ND73" s="14" t="str">
        <x:v>26556</x:v>
      </x:c>
      <x:c r="NE73" s="14" t="n">
        <x:v>5</x:v>
      </x:c>
      <x:c r="NF73" s="14" t="n">
        <x:v>1866</x:v>
      </x:c>
      <x:c r="NG73" s="14" t="n">
        <x:v>218</x:v>
      </x:c>
      <x:c r="NH73" s="14" t="n">
        <x:v>7</x:v>
      </x:c>
      <x:c r="NI73" s="14" t="n">
        <x:v>2</x:v>
      </x:c>
      <x:c r="NJ73" s="14" t="str">
        <x:v>未收錄</x:v>
      </x:c>
      <x:c r="NK73" s="14" t="str">
        <x:v>26557</x:v>
      </x:c>
      <x:c r="NL73" s="14" t="n">
        <x:v>5</x:v>
      </x:c>
      <x:c r="NM73" s="14" t="n">
        <x:v>1867</x:v>
      </x:c>
      <x:c r="NN73" s="14" t="n">
        <x:v>219</x:v>
      </x:c>
      <x:c r="NO73" s="14" t="n">
        <x:v>7</x:v>
      </x:c>
      <x:c r="NP73" s="14" t="n">
        <x:v>3</x:v>
      </x:c>
      <x:c r="NQ73" s="14" t="str">
        <x:v>未收錄</x:v>
      </x:c>
      <x:c r="NR73" s="14" t="str">
        <x:v>26558</x:v>
      </x:c>
      <x:c r="NS73" s="14" t="n">
        <x:v>5</x:v>
      </x:c>
      <x:c r="NT73" s="14" t="n">
        <x:v>1868</x:v>
      </x:c>
      <x:c r="NU73" s="14" t="n">
        <x:v>220</x:v>
      </x:c>
      <x:c r="NV73" s="14" t="n">
        <x:v>7</x:v>
      </x:c>
      <x:c r="NW73" s="14" t="n">
        <x:v>4</x:v>
      </x:c>
      <x:c r="NX73" s="14" t="str">
        <x:v>未收錄</x:v>
      </x:c>
      <x:c r="NY73" s="14" t="str">
        <x:v>24590</x:v>
      </x:c>
      <x:c r="NZ73" s="14" t="n">
        <x:v>5</x:v>
      </x:c>
      <x:c r="OA73" s="14" t="n">
        <x:v>2318</x:v>
      </x:c>
      <x:c r="OB73" s="14" t="n">
        <x:v>217</x:v>
      </x:c>
      <x:c r="OC73" s="14" t="n">
        <x:v>7</x:v>
      </x:c>
      <x:c r="OD73" s="14" t="n">
        <x:v>1</x:v>
      </x:c>
      <x:c r="OE73" s="14" t="str">
        <x:v>未收錄</x:v>
      </x:c>
      <x:c r="OF73" s="14" t="str">
        <x:v>26016</x:v>
      </x:c>
      <x:c r="OG73" s="14" t="n">
        <x:v>5</x:v>
      </x:c>
      <x:c r="OH73" s="14" t="n">
        <x:v>2319</x:v>
      </x:c>
      <x:c r="OI73" s="14" t="n">
        <x:v>218</x:v>
      </x:c>
      <x:c r="OJ73" s="14" t="n">
        <x:v>7</x:v>
      </x:c>
      <x:c r="OK73" s="14" t="n">
        <x:v>2</x:v>
      </x:c>
      <x:c r="OL73" s="14" t="str">
        <x:v>未收錄</x:v>
      </x:c>
      <x:c r="OM73" s="14" t="str">
        <x:v>26017</x:v>
      </x:c>
      <x:c r="ON73" s="14" t="n">
        <x:v>5</x:v>
      </x:c>
      <x:c r="OO73" s="14" t="n">
        <x:v>2320</x:v>
      </x:c>
      <x:c r="OP73" s="14" t="n">
        <x:v>219</x:v>
      </x:c>
      <x:c r="OQ73" s="14" t="n">
        <x:v>7</x:v>
      </x:c>
      <x:c r="OR73" s="14" t="n">
        <x:v>3</x:v>
      </x:c>
      <x:c r="OS73" s="14" t="str">
        <x:v>未收錄</x:v>
      </x:c>
      <x:c r="OT73" s="14" t="str">
        <x:v>26018</x:v>
      </x:c>
      <x:c r="OU73" s="14" t="n">
        <x:v>5</x:v>
      </x:c>
      <x:c r="OV73" s="14" t="n">
        <x:v>2321</x:v>
      </x:c>
      <x:c r="OW73" s="14" t="n">
        <x:v>220</x:v>
      </x:c>
      <x:c r="OX73" s="14" t="n">
        <x:v>7</x:v>
      </x:c>
      <x:c r="OY73" s="14" t="n">
        <x:v>4</x:v>
      </x:c>
      <x:c r="OZ73" s="14" t="str">
        <x:v>未收錄</x:v>
      </x:c>
      <x:c r="PA73" s="14" t="str">
        <x:v>27403</x:v>
      </x:c>
      <x:c r="PB73" s="14" t="n">
        <x:v>10</x:v>
      </x:c>
      <x:c r="PC73" s="14" t="n">
        <x:v>2864</x:v>
      </x:c>
      <x:c r="PD73" s="14" t="n">
        <x:v>217</x:v>
      </x:c>
      <x:c r="PE73" s="14" t="n">
        <x:v>7</x:v>
      </x:c>
      <x:c r="PF73" s="14" t="n">
        <x:v>1</x:v>
      </x:c>
      <x:c r="PG73" s="14" t="str">
        <x:v>未收錄</x:v>
      </x:c>
      <x:c r="PH73" s="14" t="str">
        <x:v>27119</x:v>
      </x:c>
      <x:c r="PI73" s="14" t="n">
        <x:v>5</x:v>
      </x:c>
      <x:c r="PJ73" s="14" t="n">
        <x:v>2865</x:v>
      </x:c>
      <x:c r="PK73" s="14" t="n">
        <x:v>218</x:v>
      </x:c>
      <x:c r="PL73" s="14" t="n">
        <x:v>7</x:v>
      </x:c>
      <x:c r="PM73" s="14" t="n">
        <x:v>2</x:v>
      </x:c>
      <x:c r="PN73" s="14" t="str">
        <x:v>未收錄</x:v>
      </x:c>
      <x:c r="PO73" s="14" t="str">
        <x:v>27120</x:v>
      </x:c>
      <x:c r="PP73" s="14" t="n">
        <x:v>5</x:v>
      </x:c>
      <x:c r="PQ73" s="14" t="n">
        <x:v>2866</x:v>
      </x:c>
      <x:c r="PR73" s="14" t="n">
        <x:v>219</x:v>
      </x:c>
      <x:c r="PS73" s="14" t="n">
        <x:v>7</x:v>
      </x:c>
      <x:c r="PT73" s="14" t="n">
        <x:v>3</x:v>
      </x:c>
      <x:c r="PU73" s="14" t="str">
        <x:v>未收錄</x:v>
      </x:c>
      <x:c r="PV73" s="14" t="str">
        <x:v>27121</x:v>
      </x:c>
      <x:c r="PW73" s="14" t="n">
        <x:v>5</x:v>
      </x:c>
      <x:c r="PX73" s="14" t="n">
        <x:v>2867</x:v>
      </x:c>
      <x:c r="PY73" s="14" t="n">
        <x:v>220</x:v>
      </x:c>
      <x:c r="PZ73" s="14" t="n">
        <x:v>7</x:v>
      </x:c>
      <x:c r="QA73" s="14" t="n">
        <x:v>4</x:v>
      </x:c>
      <x:c r="QB73" s="14" t="str">
        <x:v>未收錄</x:v>
      </x:c>
      <x:c r="QC73" s="14" t="str">
        <x:v>27136</x:v>
      </x:c>
      <x:c r="QD73" s="14" t="n">
        <x:v>5</x:v>
      </x:c>
      <x:c r="QE73" s="14" t="n">
        <x:v>3301</x:v>
      </x:c>
      <x:c r="QF73" s="14" t="n">
        <x:v>217</x:v>
      </x:c>
      <x:c r="QG73" s="14" t="n">
        <x:v>7</x:v>
      </x:c>
      <x:c r="QH73" s="14" t="n">
        <x:v>1</x:v>
      </x:c>
      <x:c r="QI73" s="14" t="str">
        <x:v>未收錄</x:v>
      </x:c>
      <x:c r="QJ73" s="14" t="str">
        <x:v>27137</x:v>
      </x:c>
      <x:c r="QK73" s="14" t="n">
        <x:v>5</x:v>
      </x:c>
      <x:c r="QL73" s="14" t="n">
        <x:v>3302</x:v>
      </x:c>
      <x:c r="QM73" s="14" t="n">
        <x:v>218</x:v>
      </x:c>
      <x:c r="QN73" s="14" t="n">
        <x:v>7</x:v>
      </x:c>
      <x:c r="QO73" s="14" t="n">
        <x:v>2</x:v>
      </x:c>
      <x:c r="QP73" s="14" t="str">
        <x:v>未收錄</x:v>
      </x:c>
      <x:c r="QQ73" s="14" t="str">
        <x:v>27138</x:v>
      </x:c>
      <x:c r="QR73" s="14" t="n">
        <x:v>5</x:v>
      </x:c>
      <x:c r="QS73" s="14" t="n">
        <x:v>3303</x:v>
      </x:c>
      <x:c r="QT73" s="14" t="n">
        <x:v>219</x:v>
      </x:c>
      <x:c r="QU73" s="14" t="n">
        <x:v>7</x:v>
      </x:c>
      <x:c r="QV73" s="14" t="n">
        <x:v>3</x:v>
      </x:c>
      <x:c r="QW73" s="14" t="str">
        <x:v>未收錄</x:v>
      </x:c>
      <x:c r="QX73" s="14" t="str">
        <x:v>27222</x:v>
      </x:c>
      <x:c r="QY73" s="14" t="n">
        <x:v>10</x:v>
      </x:c>
      <x:c r="QZ73" s="14" t="n">
        <x:v>3304</x:v>
      </x:c>
      <x:c r="RA73" s="14" t="n">
        <x:v>220</x:v>
      </x:c>
      <x:c r="RB73" s="14" t="n">
        <x:v>7</x:v>
      </x:c>
      <x:c r="RC73" s="14" t="n">
        <x:v>4</x:v>
      </x:c>
      <x:c r="RD73" s="14" t="str">
        <x:v>未收錄</x:v>
      </x:c>
      <x:c r="RE73" s="14" t="str">
        <x:v>27734</x:v>
      </x:c>
      <x:c r="RF73" s="14" t="n">
        <x:v>5</x:v>
      </x:c>
      <x:c r="RG73" s="14" t="n">
        <x:v>3762</x:v>
      </x:c>
      <x:c r="RH73" s="14" t="n">
        <x:v>217</x:v>
      </x:c>
      <x:c r="RI73" s="14" t="n">
        <x:v>7</x:v>
      </x:c>
      <x:c r="RJ73" s="14" t="n">
        <x:v>1</x:v>
      </x:c>
      <x:c r="RK73" s="14" t="str">
        <x:v>未收錄</x:v>
      </x:c>
      <x:c r="RL73" s="14" t="str">
        <x:v>27735</x:v>
      </x:c>
      <x:c r="RM73" s="14" t="n">
        <x:v>5</x:v>
      </x:c>
      <x:c r="RN73" s="14" t="n">
        <x:v>3763</x:v>
      </x:c>
      <x:c r="RO73" s="14" t="n">
        <x:v>218</x:v>
      </x:c>
      <x:c r="RP73" s="14" t="n">
        <x:v>7</x:v>
      </x:c>
      <x:c r="RQ73" s="14" t="n">
        <x:v>2</x:v>
      </x:c>
      <x:c r="RR73" s="14" t="str">
        <x:v>未收錄</x:v>
      </x:c>
      <x:c r="RS73" s="14" t="str">
        <x:v>27209</x:v>
      </x:c>
      <x:c r="RT73" s="14" t="n">
        <x:v>5</x:v>
      </x:c>
      <x:c r="RU73" s="14" t="n">
        <x:v>3764</x:v>
      </x:c>
      <x:c r="RV73" s="14" t="n">
        <x:v>219</x:v>
      </x:c>
      <x:c r="RW73" s="14" t="n">
        <x:v>7</x:v>
      </x:c>
      <x:c r="RX73" s="14" t="n">
        <x:v>3</x:v>
      </x:c>
      <x:c r="RY73" s="14" t="str">
        <x:v>未收錄</x:v>
      </x:c>
      <x:c r="RZ73" s="14" t="str">
        <x:v>27378</x:v>
      </x:c>
      <x:c r="SA73" s="14" t="n">
        <x:v>5</x:v>
      </x:c>
      <x:c r="SB73" s="14" t="n">
        <x:v>3765</x:v>
      </x:c>
      <x:c r="SC73" s="14" t="n">
        <x:v>220</x:v>
      </x:c>
      <x:c r="SD73" s="14" t="n">
        <x:v>7</x:v>
      </x:c>
      <x:c r="SE73" s="14" t="n">
        <x:v>4</x:v>
      </x:c>
      <x:c r="SF73" s="14" t="str">
        <x:v>未收錄</x:v>
      </x:c>
      <x:c r="SG73" s="14"/>
      <x:c r="SH73" s="14"/>
      <x:c r="SI73" s="14"/>
      <x:c r="SJ73" s="14"/>
      <x:c r="SK73" s="14"/>
      <x:c r="SL73" s="14"/>
      <x:c r="SM73" s="14"/>
      <x:c r="SN73" s="14"/>
      <x:c r="SO73" s="14"/>
      <x:c r="SP73" s="14"/>
      <x:c r="SQ73" s="14"/>
      <x:c r="SR73" s="14"/>
      <x:c r="SS73" s="14"/>
      <x:c r="ST73" s="14"/>
      <x:c r="SU73" s="14"/>
      <x:c r="SV73" s="14"/>
      <x:c r="SW73" s="14"/>
      <x:c r="SX73" s="14"/>
      <x:c r="SY73" s="14"/>
      <x:c r="SZ73" s="14"/>
      <x:c r="TA73" s="14"/>
      <x:c r="TB73" s="14"/>
      <x:c r="TC73" s="14"/>
      <x:c r="TD73" s="14"/>
      <x:c r="TE73" s="14"/>
      <x:c r="TF73" s="14"/>
      <x:c r="TG73" s="14"/>
      <x:c r="TH73" s="14"/>
    </x:row>
    <x:row r="74" ht="15" customHeight="1">
      <x:c r="A74" s="18" t="str">
        <x:v>終六滅化神劍</x:v>
      </x:c>
      <x:c r="B74" s="18" t="str">
        <x:v>創六滅化神劍</x:v>
      </x:c>
      <x:c r="C74" s="18" t="str">
        <x:v>星六滅化神劍</x:v>
      </x:c>
      <x:c r="D74" s="18" t="str">
        <x:v>皇六滅化神劍</x:v>
      </x:c>
      <x:c r="E74" s="14"/>
      <x:c r="F74" s="18" t="str">
        <x:v>璇蟬鳴刀Ⅳ</x:v>
      </x:c>
      <x:c r="G74" s="18" t="str">
        <x:v>璇蟬鳴刀Ⅴ</x:v>
      </x:c>
      <x:c r="H74" s="18" t="str">
        <x:v>滅裂曉光刀</x:v>
      </x:c>
      <x:c r="I74" s="18" t="str">
        <x:v>滅裂曉光刀</x:v>
      </x:c>
      <x:c r="J74" s="14"/>
      <x:c r="K74" s="14"/>
      <x:c r="L74" s="14"/>
      <x:c r="M74" s="14"/>
      <x:c r="N74" s="14"/>
      <x:c r="O74" s="14"/>
      <x:c r="P74" s="14"/>
      <x:c r="Q74" s="14"/>
      <x:c r="R74" s="14"/>
      <x:c r="S74" s="14"/>
      <x:c r="T74" s="14"/>
      <x:c r="U74" s="14"/>
      <x:c r="V74" s="14"/>
      <x:c r="W74" s="14"/>
      <x:c r="X74" s="14"/>
      <x:c r="Y74" s="14"/>
      <x:c r="Z74" s="14"/>
      <x:c r="AA74" s="14"/>
      <x:c r="AB74" s="14"/>
      <x:c r="AC74" s="14"/>
      <x:c r="AD74" s="14"/>
      <x:c r="AE74" s="14"/>
      <x:c r="AF74" s="14"/>
      <x:c r="AG74" s="14"/>
      <x:c r="AH74" s="14"/>
      <x:c r="AI74" s="14"/>
      <x:c r="AJ74" s="14"/>
      <x:c r="AK74" s="14"/>
      <x:c r="AL74" s="14"/>
      <x:c r="AM74" s="14"/>
      <x:c r="AN74" s="14"/>
      <x:c r="AO74" s="14"/>
      <x:c r="AP74" s="14"/>
      <x:c r="AQ74" s="14"/>
      <x:c r="AR74" s="14"/>
      <x:c r="AS74" s="14"/>
      <x:c r="AT74" s="14"/>
      <x:c r="AU74" s="14"/>
      <x:c r="AV74" s="14"/>
      <x:c r="AW74" s="14"/>
      <x:c r="AX74" s="14"/>
      <x:c r="AY74" s="18" t="str">
        <x:v>燕霑護面</x:v>
      </x:c>
      <x:c r="AZ74" s="18" t="str">
        <x:v>渺霧天冠</x:v>
      </x:c>
      <x:c r="BA74" s="18" t="str">
        <x:v>祈霖禪帽</x:v>
      </x:c>
      <x:c r="BB74" s="18" t="str">
        <x:v>混沌霸怒冠</x:v>
      </x:c>
      <x:c r="BC74" s="14"/>
      <x:c r="BD74" s="18" t="str">
        <x:v>沐聖法袍</x:v>
      </x:c>
      <x:c r="BE74" s="18" t="str">
        <x:v>典儀禪裟</x:v>
      </x:c>
      <x:c r="BF74" s="18" t="str">
        <x:v>龍閣戰甲</x:v>
      </x:c>
      <x:c r="BG74" s="18" t="str">
        <x:v>聖皇鋼鎧</x:v>
      </x:c>
      <x:c r="BH74" s="14"/>
      <x:c r="BI74" s="18" t="str">
        <x:v>仙鑄‧道輝手</x:v>
      </x:c>
      <x:c r="BJ74" s="18" t="str">
        <x:v>仙鑄‧禪光握</x:v>
      </x:c>
      <x:c r="BK74" s="18" t="str">
        <x:v>仙鑄‧檮杌手</x:v>
      </x:c>
      <x:c r="BL74" s="18" t="str">
        <x:v>仙鑄‧素鳴腕</x:v>
      </x:c>
      <x:c r="BM74" s="14"/>
      <x:c r="BN74" s="18" t="str">
        <x:v>天鍛‧韋駝足</x:v>
      </x:c>
      <x:c r="BO74" s="18" t="str">
        <x:v>天鍛‧流星靴</x:v>
      </x:c>
      <x:c r="BP74" s="18" t="str">
        <x:v>仙鑄‧劍聖靴</x:v>
      </x:c>
      <x:c r="BQ74" s="18" t="str">
        <x:v>仙鑄‧武尊踏</x:v>
      </x:c>
      <x:c r="BR74" s="14"/>
      <x:c r="BS74" s="18" t="str">
        <x:v>天機南極儀</x:v>
      </x:c>
      <x:c r="BT74" s="18" t="str">
        <x:v>無‧六滅化神</x:v>
      </x:c>
      <x:c r="BU74" s="18" t="str">
        <x:v>真聖玄武之心</x:v>
      </x:c>
      <x:c r="BV74" s="18" t="str">
        <x:v>真聖白虎之心</x:v>
      </x:c>
      <x:c r="BW74" s="14"/>
      <x:c r="BX74" s="14"/>
      <x:c r="BY74" s="14"/>
      <x:c r="BZ74" s="14"/>
      <x:c r="CA74" s="14"/>
      <x:c r="CB74" s="14"/>
      <x:c r="CC74" s="14" t="str">
        <x:v>28186</x:v>
      </x:c>
      <x:c r="CD74" s="14" t="n">
        <x:v>10</x:v>
      </x:c>
      <x:c r="CE74" s="14" t="n">
        <x:v>221</x:v>
      </x:c>
      <x:c r="CF74" s="14" t="n">
        <x:v>221</x:v>
      </x:c>
      <x:c r="CG74" s="14" t="n">
        <x:v>8</x:v>
      </x:c>
      <x:c r="CH74" s="14" t="n">
        <x:v>1</x:v>
      </x:c>
      <x:c r="CI74" s="14" t="str">
        <x:v>未收錄</x:v>
      </x:c>
      <x:c r="CJ74" s="14" t="str">
        <x:v>28524</x:v>
      </x:c>
      <x:c r="CK74" s="14" t="n">
        <x:v>10</x:v>
      </x:c>
      <x:c r="CL74" s="14" t="n">
        <x:v>222</x:v>
      </x:c>
      <x:c r="CM74" s="14" t="n">
        <x:v>222</x:v>
      </x:c>
      <x:c r="CN74" s="14" t="n">
        <x:v>8</x:v>
      </x:c>
      <x:c r="CO74" s="14" t="n">
        <x:v>2</x:v>
      </x:c>
      <x:c r="CP74" s="14" t="str">
        <x:v>未收錄</x:v>
      </x:c>
      <x:c r="CQ74" s="14" t="str">
        <x:v>28995</x:v>
      </x:c>
      <x:c r="CR74" s="14" t="n">
        <x:v>10</x:v>
      </x:c>
      <x:c r="CS74" s="14" t="n">
        <x:v>223</x:v>
      </x:c>
      <x:c r="CT74" s="14" t="n">
        <x:v>223</x:v>
      </x:c>
      <x:c r="CU74" s="14" t="n">
        <x:v>8</x:v>
      </x:c>
      <x:c r="CV74" s="14" t="n">
        <x:v>3</x:v>
      </x:c>
      <x:c r="CW74" s="14" t="str">
        <x:v>未收錄</x:v>
      </x:c>
      <x:c r="CX74" s="14" t="str">
        <x:v>29684</x:v>
      </x:c>
      <x:c r="CY74" s="14" t="n">
        <x:v>10</x:v>
      </x:c>
      <x:c r="CZ74" s="14" t="n">
        <x:v>224</x:v>
      </x:c>
      <x:c r="DA74" s="14" t="n">
        <x:v>224</x:v>
      </x:c>
      <x:c r="DB74" s="14" t="n">
        <x:v>8</x:v>
      </x:c>
      <x:c r="DC74" s="14" t="n">
        <x:v>4</x:v>
      </x:c>
      <x:c r="DD74" s="14" t="str">
        <x:v>未收錄</x:v>
      </x:c>
      <x:c r="DE74" s="14" t="str">
        <x:v>30209</x:v>
      </x:c>
      <x:c r="DF74" s="14" t="n">
        <x:v>8</x:v>
      </x:c>
      <x:c r="DG74" s="14" t="n">
        <x:v>466</x:v>
      </x:c>
      <x:c r="DH74" s="14" t="n">
        <x:v>221</x:v>
      </x:c>
      <x:c r="DI74" s="14" t="n">
        <x:v>8</x:v>
      </x:c>
      <x:c r="DJ74" s="14" t="n">
        <x:v>1</x:v>
      </x:c>
      <x:c r="DK74" s="14" t="str">
        <x:v>未收錄</x:v>
      </x:c>
      <x:c r="DL74" s="14" t="str">
        <x:v>30210</x:v>
      </x:c>
      <x:c r="DM74" s="14" t="n">
        <x:v>8</x:v>
      </x:c>
      <x:c r="DN74" s="14" t="n">
        <x:v>467</x:v>
      </x:c>
      <x:c r="DO74" s="14" t="n">
        <x:v>222</x:v>
      </x:c>
      <x:c r="DP74" s="14" t="n">
        <x:v>8</x:v>
      </x:c>
      <x:c r="DQ74" s="14" t="n">
        <x:v>2</x:v>
      </x:c>
      <x:c r="DR74" s="14" t="str">
        <x:v>未收錄</x:v>
      </x:c>
      <x:c r="DS74" s="14" t="str">
        <x:v>30612</x:v>
      </x:c>
      <x:c r="DT74" s="14" t="n">
        <x:v>20</x:v>
      </x:c>
      <x:c r="DU74" s="14" t="n">
        <x:v>468</x:v>
      </x:c>
      <x:c r="DV74" s="14" t="n">
        <x:v>223</x:v>
      </x:c>
      <x:c r="DW74" s="14" t="n">
        <x:v>8</x:v>
      </x:c>
      <x:c r="DX74" s="14" t="n">
        <x:v>3</x:v>
      </x:c>
      <x:c r="DY74" s="14" t="str">
        <x:v>未收錄</x:v>
      </x:c>
      <x:c r="DZ74" s="14" t="str">
        <x:v>30622</x:v>
      </x:c>
      <x:c r="EA74" s="14" t="n">
        <x:v>20</x:v>
      </x:c>
      <x:c r="EB74" s="14" t="n">
        <x:v>469</x:v>
      </x:c>
      <x:c r="EC74" s="14" t="n">
        <x:v>224</x:v>
      </x:c>
      <x:c r="ED74" s="14" t="n">
        <x:v>8</x:v>
      </x:c>
      <x:c r="EE74" s="14" t="n">
        <x:v>4</x:v>
      </x:c>
      <x:c r="EF74" s="14" t="str">
        <x:v>未收錄</x:v>
      </x:c>
      <x:c r="EG74" s="14"/>
      <x:c r="EH74" s="14"/>
      <x:c r="EI74" s="14"/>
      <x:c r="EJ74" s="14"/>
      <x:c r="EK74" s="14"/>
      <x:c r="EL74" s="14"/>
      <x:c r="EM74" s="14"/>
      <x:c r="EN74" s="14"/>
      <x:c r="EO74" s="14"/>
      <x:c r="EP74" s="14"/>
      <x:c r="EQ74" s="14"/>
      <x:c r="ER74" s="14"/>
      <x:c r="ES74" s="14"/>
      <x:c r="ET74" s="14"/>
      <x:c r="EU74" s="14"/>
      <x:c r="EV74" s="14"/>
      <x:c r="EW74" s="14"/>
      <x:c r="EX74" s="14"/>
      <x:c r="EY74" s="14"/>
      <x:c r="EZ74" s="14"/>
      <x:c r="FA74" s="14"/>
      <x:c r="FB74" s="14"/>
      <x:c r="FC74" s="14"/>
      <x:c r="FD74" s="14"/>
      <x:c r="FE74" s="14"/>
      <x:c r="FF74" s="14"/>
      <x:c r="FG74" s="14"/>
      <x:c r="FH74" s="14"/>
      <x:c r="FI74" s="14"/>
      <x:c r="FJ74" s="14"/>
      <x:c r="FK74" s="14"/>
      <x:c r="FL74" s="14"/>
      <x:c r="FM74" s="14"/>
      <x:c r="FN74" s="14"/>
      <x:c r="FO74" s="14"/>
      <x:c r="FP74" s="14"/>
      <x:c r="FQ74" s="14"/>
      <x:c r="FR74" s="14"/>
      <x:c r="FS74" s="14"/>
      <x:c r="FT74" s="14"/>
      <x:c r="FU74" s="14"/>
      <x:c r="FV74" s="14"/>
      <x:c r="FW74" s="14"/>
      <x:c r="FX74" s="14"/>
      <x:c r="FY74" s="14"/>
      <x:c r="FZ74" s="14"/>
      <x:c r="GA74" s="14"/>
      <x:c r="GB74" s="14"/>
      <x:c r="GC74" s="14"/>
      <x:c r="GD74" s="14"/>
      <x:c r="GE74" s="14"/>
      <x:c r="GF74" s="14"/>
      <x:c r="GG74" s="14"/>
      <x:c r="GH74" s="14"/>
      <x:c r="GI74" s="14"/>
      <x:c r="GJ74" s="14"/>
      <x:c r="GK74" s="14"/>
      <x:c r="GL74" s="14"/>
      <x:c r="GM74" s="14"/>
      <x:c r="GN74" s="14"/>
      <x:c r="GO74" s="14"/>
      <x:c r="GP74" s="14"/>
      <x:c r="GQ74" s="14"/>
      <x:c r="GR74" s="14"/>
      <x:c r="GS74" s="14"/>
      <x:c r="GT74" s="14"/>
      <x:c r="GU74" s="14"/>
      <x:c r="GV74" s="14"/>
      <x:c r="GW74" s="14"/>
      <x:c r="GX74" s="14"/>
      <x:c r="GY74" s="14"/>
      <x:c r="GZ74" s="14"/>
      <x:c r="HA74" s="14"/>
      <x:c r="HB74" s="14"/>
      <x:c r="HC74" s="14"/>
      <x:c r="HD74" s="14"/>
      <x:c r="HE74" s="14"/>
      <x:c r="HF74" s="14"/>
      <x:c r="HG74" s="14"/>
      <x:c r="HH74" s="14"/>
      <x:c r="HI74" s="14"/>
      <x:c r="HJ74" s="14"/>
      <x:c r="HK74" s="14"/>
      <x:c r="HL74" s="14"/>
      <x:c r="HM74" s="14"/>
      <x:c r="HN74" s="14"/>
      <x:c r="HO74" s="14"/>
      <x:c r="HP74" s="14"/>
      <x:c r="HQ74" s="14"/>
      <x:c r="HR74" s="14"/>
      <x:c r="HS74" s="14"/>
      <x:c r="HT74" s="14"/>
      <x:c r="HU74" s="14"/>
      <x:c r="HV74" s="14"/>
      <x:c r="HW74" s="14"/>
      <x:c r="HX74" s="14"/>
      <x:c r="HY74" s="14"/>
      <x:c r="HZ74" s="14"/>
      <x:c r="IA74" s="14"/>
      <x:c r="IB74" s="14"/>
      <x:c r="IC74" s="14"/>
      <x:c r="ID74" s="14"/>
      <x:c r="IE74" s="14"/>
      <x:c r="IF74" s="14"/>
      <x:c r="IG74" s="14"/>
      <x:c r="IH74" s="14"/>
      <x:c r="II74" s="14"/>
      <x:c r="IJ74" s="14"/>
      <x:c r="IK74" s="14"/>
      <x:c r="IL74" s="14"/>
      <x:c r="IM74" s="14"/>
      <x:c r="IN74" s="14"/>
      <x:c r="IO74" s="14"/>
      <x:c r="IP74" s="14"/>
      <x:c r="IQ74" s="14"/>
      <x:c r="IR74" s="14"/>
      <x:c r="IS74" s="14"/>
      <x:c r="IT74" s="14"/>
      <x:c r="IU74" s="14"/>
      <x:c r="IV74" s="14"/>
      <x:c r="IW74" s="14"/>
      <x:c r="IX74" s="14"/>
      <x:c r="IY74" s="14"/>
      <x:c r="IZ74" s="14"/>
      <x:c r="JA74" s="14"/>
      <x:c r="JB74" s="14"/>
      <x:c r="JC74" s="14"/>
      <x:c r="JD74" s="14"/>
      <x:c r="JE74" s="14"/>
      <x:c r="JF74" s="14"/>
      <x:c r="JG74" s="14"/>
      <x:c r="JH74" s="14"/>
      <x:c r="JI74" s="14"/>
      <x:c r="JJ74" s="14"/>
      <x:c r="JK74" s="14"/>
      <x:c r="JL74" s="14"/>
      <x:c r="JM74" s="14"/>
      <x:c r="JN74" s="14"/>
      <x:c r="JO74" s="14"/>
      <x:c r="JP74" s="14"/>
      <x:c r="JQ74" s="14"/>
      <x:c r="JR74" s="14"/>
      <x:c r="JS74" s="14"/>
      <x:c r="JT74" s="14"/>
      <x:c r="JU74" s="14"/>
      <x:c r="JV74" s="14"/>
      <x:c r="JW74" s="14"/>
      <x:c r="JX74" s="14"/>
      <x:c r="JY74" s="14"/>
      <x:c r="JZ74" s="14"/>
      <x:c r="KA74" s="14"/>
      <x:c r="KB74" s="14"/>
      <x:c r="KC74" s="14"/>
      <x:c r="KD74" s="14"/>
      <x:c r="KE74" s="14"/>
      <x:c r="KF74" s="14"/>
      <x:c r="KG74" s="14"/>
      <x:c r="KH74" s="14"/>
      <x:c r="KI74" s="14"/>
      <x:c r="KJ74" s="14"/>
      <x:c r="KK74" s="14"/>
      <x:c r="KL74" s="14"/>
      <x:c r="KM74" s="14"/>
      <x:c r="KN74" s="14"/>
      <x:c r="KO74" s="14"/>
      <x:c r="KP74" s="14"/>
      <x:c r="KQ74" s="14"/>
      <x:c r="KR74" s="14"/>
      <x:c r="KS74" s="14"/>
      <x:c r="KT74" s="14"/>
      <x:c r="KU74" s="14"/>
      <x:c r="KV74" s="14"/>
      <x:c r="KW74" s="14"/>
      <x:c r="KX74" s="14"/>
      <x:c r="KY74" s="14"/>
      <x:c r="KZ74" s="14"/>
      <x:c r="LA74" s="14"/>
      <x:c r="LB74" s="14"/>
      <x:c r="LC74" s="14"/>
      <x:c r="LD74" s="14"/>
      <x:c r="LE74" s="14"/>
      <x:c r="LF74" s="14"/>
      <x:c r="LG74" s="14"/>
      <x:c r="LH74" s="14"/>
      <x:c r="LI74" s="14"/>
      <x:c r="LJ74" s="14"/>
      <x:c r="LK74" s="14"/>
      <x:c r="LL74" s="14"/>
      <x:c r="LM74" s="14"/>
      <x:c r="LN74" s="14"/>
      <x:c r="LO74" s="14"/>
      <x:c r="LP74" s="14"/>
      <x:c r="LQ74" s="14"/>
      <x:c r="LR74" s="14"/>
      <x:c r="LS74" s="14"/>
      <x:c r="LT74" s="14"/>
      <x:c r="LU74" s="14"/>
      <x:c r="LV74" s="14"/>
      <x:c r="LW74" s="14"/>
      <x:c r="LX74" s="14"/>
      <x:c r="LY74" s="14"/>
      <x:c r="LZ74" s="14"/>
      <x:c r="MA74" s="14"/>
      <x:c r="MB74" s="14"/>
      <x:c r="MC74" s="14"/>
      <x:c r="MD74" s="14"/>
      <x:c r="ME74" s="14"/>
      <x:c r="MF74" s="14"/>
      <x:c r="MG74" s="14"/>
      <x:c r="MH74" s="14"/>
      <x:c r="MI74" s="14"/>
      <x:c r="MJ74" s="14"/>
      <x:c r="MK74" s="14"/>
      <x:c r="ML74" s="14"/>
      <x:c r="MM74" s="14"/>
      <x:c r="MN74" s="14"/>
      <x:c r="MO74" s="14"/>
      <x:c r="MP74" s="14"/>
      <x:c r="MQ74" s="14"/>
      <x:c r="MR74" s="14"/>
      <x:c r="MS74" s="14"/>
      <x:c r="MT74" s="14"/>
      <x:c r="MU74" s="14"/>
      <x:c r="MV74" s="14"/>
      <x:c r="MW74" s="14" t="str">
        <x:v>26559</x:v>
      </x:c>
      <x:c r="MX74" s="14" t="n">
        <x:v>5</x:v>
      </x:c>
      <x:c r="MY74" s="14" t="n">
        <x:v>1869</x:v>
      </x:c>
      <x:c r="MZ74" s="14" t="n">
        <x:v>221</x:v>
      </x:c>
      <x:c r="NA74" s="14" t="n">
        <x:v>8</x:v>
      </x:c>
      <x:c r="NB74" s="14" t="n">
        <x:v>1</x:v>
      </x:c>
      <x:c r="NC74" s="14" t="str">
        <x:v>未收錄</x:v>
      </x:c>
      <x:c r="ND74" s="14" t="str">
        <x:v>26560</x:v>
      </x:c>
      <x:c r="NE74" s="14" t="n">
        <x:v>5</x:v>
      </x:c>
      <x:c r="NF74" s="14" t="n">
        <x:v>1870</x:v>
      </x:c>
      <x:c r="NG74" s="14" t="n">
        <x:v>222</x:v>
      </x:c>
      <x:c r="NH74" s="14" t="n">
        <x:v>8</x:v>
      </x:c>
      <x:c r="NI74" s="14" t="n">
        <x:v>2</x:v>
      </x:c>
      <x:c r="NJ74" s="14" t="str">
        <x:v>未收錄</x:v>
      </x:c>
      <x:c r="NK74" s="14" t="str">
        <x:v>26561</x:v>
      </x:c>
      <x:c r="NL74" s="14" t="n">
        <x:v>5</x:v>
      </x:c>
      <x:c r="NM74" s="14" t="n">
        <x:v>1871</x:v>
      </x:c>
      <x:c r="NN74" s="14" t="n">
        <x:v>223</x:v>
      </x:c>
      <x:c r="NO74" s="14" t="n">
        <x:v>8</x:v>
      </x:c>
      <x:c r="NP74" s="14" t="n">
        <x:v>3</x:v>
      </x:c>
      <x:c r="NQ74" s="14" t="str">
        <x:v>未收錄</x:v>
      </x:c>
      <x:c r="NR74" s="14" t="str">
        <x:v>26802</x:v>
      </x:c>
      <x:c r="NS74" s="14" t="n">
        <x:v>10</x:v>
      </x:c>
      <x:c r="NT74" s="14" t="n">
        <x:v>1872</x:v>
      </x:c>
      <x:c r="NU74" s="14" t="n">
        <x:v>224</x:v>
      </x:c>
      <x:c r="NV74" s="14" t="n">
        <x:v>8</x:v>
      </x:c>
      <x:c r="NW74" s="14" t="n">
        <x:v>4</x:v>
      </x:c>
      <x:c r="NX74" s="14" t="str">
        <x:v>未收錄</x:v>
      </x:c>
      <x:c r="NY74" s="14" t="str">
        <x:v>26019</x:v>
      </x:c>
      <x:c r="NZ74" s="14" t="n">
        <x:v>5</x:v>
      </x:c>
      <x:c r="OA74" s="14" t="n">
        <x:v>2322</x:v>
      </x:c>
      <x:c r="OB74" s="14" t="n">
        <x:v>221</x:v>
      </x:c>
      <x:c r="OC74" s="14" t="n">
        <x:v>8</x:v>
      </x:c>
      <x:c r="OD74" s="14" t="n">
        <x:v>1</x:v>
      </x:c>
      <x:c r="OE74" s="14" t="str">
        <x:v>未收錄</x:v>
      </x:c>
      <x:c r="OF74" s="14" t="str">
        <x:v>26020</x:v>
      </x:c>
      <x:c r="OG74" s="14" t="n">
        <x:v>5</x:v>
      </x:c>
      <x:c r="OH74" s="14" t="n">
        <x:v>2323</x:v>
      </x:c>
      <x:c r="OI74" s="14" t="n">
        <x:v>222</x:v>
      </x:c>
      <x:c r="OJ74" s="14" t="n">
        <x:v>8</x:v>
      </x:c>
      <x:c r="OK74" s="14" t="n">
        <x:v>2</x:v>
      </x:c>
      <x:c r="OL74" s="14" t="str">
        <x:v>未收錄</x:v>
      </x:c>
      <x:c r="OM74" s="14" t="str">
        <x:v>26021</x:v>
      </x:c>
      <x:c r="ON74" s="14" t="n">
        <x:v>5</x:v>
      </x:c>
      <x:c r="OO74" s="14" t="n">
        <x:v>2324</x:v>
      </x:c>
      <x:c r="OP74" s="14" t="n">
        <x:v>223</x:v>
      </x:c>
      <x:c r="OQ74" s="14" t="n">
        <x:v>8</x:v>
      </x:c>
      <x:c r="OR74" s="14" t="n">
        <x:v>3</x:v>
      </x:c>
      <x:c r="OS74" s="14" t="str">
        <x:v>未收錄</x:v>
      </x:c>
      <x:c r="OT74" s="14" t="str">
        <x:v>26022</x:v>
      </x:c>
      <x:c r="OU74" s="14" t="n">
        <x:v>5</x:v>
      </x:c>
      <x:c r="OV74" s="14" t="n">
        <x:v>2325</x:v>
      </x:c>
      <x:c r="OW74" s="14" t="n">
        <x:v>224</x:v>
      </x:c>
      <x:c r="OX74" s="14" t="n">
        <x:v>8</x:v>
      </x:c>
      <x:c r="OY74" s="14" t="n">
        <x:v>4</x:v>
      </x:c>
      <x:c r="OZ74" s="14" t="str">
        <x:v>未收錄</x:v>
      </x:c>
      <x:c r="PA74" s="14" t="str">
        <x:v>27122</x:v>
      </x:c>
      <x:c r="PB74" s="14" t="n">
        <x:v>5</x:v>
      </x:c>
      <x:c r="PC74" s="14" t="n">
        <x:v>2868</x:v>
      </x:c>
      <x:c r="PD74" s="14" t="n">
        <x:v>221</x:v>
      </x:c>
      <x:c r="PE74" s="14" t="n">
        <x:v>8</x:v>
      </x:c>
      <x:c r="PF74" s="14" t="n">
        <x:v>1</x:v>
      </x:c>
      <x:c r="PG74" s="14" t="str">
        <x:v>未收錄</x:v>
      </x:c>
      <x:c r="PH74" s="14" t="str">
        <x:v>27123</x:v>
      </x:c>
      <x:c r="PI74" s="14" t="n">
        <x:v>5</x:v>
      </x:c>
      <x:c r="PJ74" s="14" t="n">
        <x:v>2869</x:v>
      </x:c>
      <x:c r="PK74" s="14" t="n">
        <x:v>222</x:v>
      </x:c>
      <x:c r="PL74" s="14" t="n">
        <x:v>8</x:v>
      </x:c>
      <x:c r="PM74" s="14" t="n">
        <x:v>2</x:v>
      </x:c>
      <x:c r="PN74" s="14" t="str">
        <x:v>未收錄</x:v>
      </x:c>
      <x:c r="PO74" s="14" t="str">
        <x:v>27219</x:v>
      </x:c>
      <x:c r="PP74" s="14" t="n">
        <x:v>10</x:v>
      </x:c>
      <x:c r="PQ74" s="14" t="n">
        <x:v>2870</x:v>
      </x:c>
      <x:c r="PR74" s="14" t="n">
        <x:v>223</x:v>
      </x:c>
      <x:c r="PS74" s="14" t="n">
        <x:v>8</x:v>
      </x:c>
      <x:c r="PT74" s="14" t="n">
        <x:v>3</x:v>
      </x:c>
      <x:c r="PU74" s="14" t="str">
        <x:v>未收錄</x:v>
      </x:c>
      <x:c r="PV74" s="14" t="str">
        <x:v>27404</x:v>
      </x:c>
      <x:c r="PW74" s="14" t="n">
        <x:v>10</x:v>
      </x:c>
      <x:c r="PX74" s="14" t="n">
        <x:v>2871</x:v>
      </x:c>
      <x:c r="PY74" s="14" t="n">
        <x:v>224</x:v>
      </x:c>
      <x:c r="PZ74" s="14" t="n">
        <x:v>8</x:v>
      </x:c>
      <x:c r="QA74" s="14" t="n">
        <x:v>4</x:v>
      </x:c>
      <x:c r="QB74" s="14" t="str">
        <x:v>未收錄</x:v>
      </x:c>
      <x:c r="QC74" s="14" t="str">
        <x:v>27407</x:v>
      </x:c>
      <x:c r="QD74" s="14" t="n">
        <x:v>10</x:v>
      </x:c>
      <x:c r="QE74" s="14" t="n">
        <x:v>3305</x:v>
      </x:c>
      <x:c r="QF74" s="14" t="n">
        <x:v>221</x:v>
      </x:c>
      <x:c r="QG74" s="14" t="n">
        <x:v>8</x:v>
      </x:c>
      <x:c r="QH74" s="14" t="n">
        <x:v>1</x:v>
      </x:c>
      <x:c r="QI74" s="14" t="str">
        <x:v>未收錄</x:v>
      </x:c>
      <x:c r="QJ74" s="14" t="str">
        <x:v>27419</x:v>
      </x:c>
      <x:c r="QK74" s="14" t="n">
        <x:v>10</x:v>
      </x:c>
      <x:c r="QL74" s="14" t="n">
        <x:v>3306</x:v>
      </x:c>
      <x:c r="QM74" s="14" t="n">
        <x:v>222</x:v>
      </x:c>
      <x:c r="QN74" s="14" t="n">
        <x:v>8</x:v>
      </x:c>
      <x:c r="QO74" s="14" t="n">
        <x:v>2</x:v>
      </x:c>
      <x:c r="QP74" s="14" t="str">
        <x:v>未收錄</x:v>
      </x:c>
      <x:c r="QQ74" s="14" t="str">
        <x:v>27139</x:v>
      </x:c>
      <x:c r="QR74" s="14" t="n">
        <x:v>5</x:v>
      </x:c>
      <x:c r="QS74" s="14" t="n">
        <x:v>3307</x:v>
      </x:c>
      <x:c r="QT74" s="14" t="n">
        <x:v>223</x:v>
      </x:c>
      <x:c r="QU74" s="14" t="n">
        <x:v>8</x:v>
      </x:c>
      <x:c r="QV74" s="14" t="n">
        <x:v>3</x:v>
      </x:c>
      <x:c r="QW74" s="14" t="str">
        <x:v>未收錄</x:v>
      </x:c>
      <x:c r="QX74" s="14" t="str">
        <x:v>27140</x:v>
      </x:c>
      <x:c r="QY74" s="14" t="n">
        <x:v>5</x:v>
      </x:c>
      <x:c r="QZ74" s="14" t="n">
        <x:v>3308</x:v>
      </x:c>
      <x:c r="RA74" s="14" t="n">
        <x:v>224</x:v>
      </x:c>
      <x:c r="RB74" s="14" t="n">
        <x:v>8</x:v>
      </x:c>
      <x:c r="RC74" s="14" t="n">
        <x:v>4</x:v>
      </x:c>
      <x:c r="RD74" s="14" t="str">
        <x:v>未收錄</x:v>
      </x:c>
      <x:c r="RE74" s="14" t="str">
        <x:v>27377</x:v>
      </x:c>
      <x:c r="RF74" s="14" t="n">
        <x:v>10</x:v>
      </x:c>
      <x:c r="RG74" s="14" t="n">
        <x:v>3766</x:v>
      </x:c>
      <x:c r="RH74" s="14" t="n">
        <x:v>221</x:v>
      </x:c>
      <x:c r="RI74" s="14" t="n">
        <x:v>8</x:v>
      </x:c>
      <x:c r="RJ74" s="14" t="n">
        <x:v>1</x:v>
      </x:c>
      <x:c r="RK74" s="14" t="str">
        <x:v>未收錄</x:v>
      </x:c>
      <x:c r="RL74" s="14" t="str">
        <x:v>27364</x:v>
      </x:c>
      <x:c r="RM74" s="14" t="n">
        <x:v>10</x:v>
      </x:c>
      <x:c r="RN74" s="14" t="n">
        <x:v>3767</x:v>
      </x:c>
      <x:c r="RO74" s="14" t="n">
        <x:v>222</x:v>
      </x:c>
      <x:c r="RP74" s="14" t="n">
        <x:v>8</x:v>
      </x:c>
      <x:c r="RQ74" s="14" t="n">
        <x:v>2</x:v>
      </x:c>
      <x:c r="RR74" s="14" t="str">
        <x:v>未收錄</x:v>
      </x:c>
      <x:c r="RS74" s="14" t="str">
        <x:v>27505</x:v>
      </x:c>
      <x:c r="RT74" s="14" t="n">
        <x:v>5</x:v>
      </x:c>
      <x:c r="RU74" s="14" t="n">
        <x:v>3768</x:v>
      </x:c>
      <x:c r="RV74" s="14" t="n">
        <x:v>223</x:v>
      </x:c>
      <x:c r="RW74" s="14" t="n">
        <x:v>8</x:v>
      </x:c>
      <x:c r="RX74" s="14" t="n">
        <x:v>3</x:v>
      </x:c>
      <x:c r="RY74" s="14" t="str">
        <x:v>未收錄</x:v>
      </x:c>
      <x:c r="RZ74" s="14" t="str">
        <x:v>27506</x:v>
      </x:c>
      <x:c r="SA74" s="14" t="n">
        <x:v>5</x:v>
      </x:c>
      <x:c r="SB74" s="14" t="n">
        <x:v>3769</x:v>
      </x:c>
      <x:c r="SC74" s="14" t="n">
        <x:v>224</x:v>
      </x:c>
      <x:c r="SD74" s="14" t="n">
        <x:v>8</x:v>
      </x:c>
      <x:c r="SE74" s="14" t="n">
        <x:v>4</x:v>
      </x:c>
      <x:c r="SF74" s="14" t="str">
        <x:v>未收錄</x:v>
      </x:c>
      <x:c r="SG74" s="14"/>
      <x:c r="SH74" s="14"/>
      <x:c r="SI74" s="14"/>
      <x:c r="SJ74" s="14"/>
      <x:c r="SK74" s="14"/>
      <x:c r="SL74" s="14"/>
      <x:c r="SM74" s="14"/>
      <x:c r="SN74" s="14"/>
      <x:c r="SO74" s="14"/>
      <x:c r="SP74" s="14"/>
      <x:c r="SQ74" s="14"/>
      <x:c r="SR74" s="14"/>
      <x:c r="SS74" s="14"/>
      <x:c r="ST74" s="14"/>
      <x:c r="SU74" s="14"/>
      <x:c r="SV74" s="14"/>
      <x:c r="SW74" s="14"/>
      <x:c r="SX74" s="14"/>
      <x:c r="SY74" s="14"/>
      <x:c r="SZ74" s="14"/>
      <x:c r="TA74" s="14"/>
      <x:c r="TB74" s="14"/>
      <x:c r="TC74" s="14"/>
      <x:c r="TD74" s="14"/>
      <x:c r="TE74" s="14"/>
      <x:c r="TF74" s="14"/>
      <x:c r="TG74" s="14"/>
      <x:c r="TH74" s="14"/>
    </x:row>
    <x:row r="75" ht="15" customHeight="1">
      <x:c r="A75" s="17" t="str">
        <x:v>終極六滅神劍</x:v>
      </x:c>
      <x:c r="B75" s="17" t="str">
        <x:v>新星之驚雷劍</x:v>
      </x:c>
      <x:c r="C75" s="17" t="str">
        <x:v>殺昇劍</x:v>
      </x:c>
      <x:c r="D75" s="17" t="str">
        <x:v>光翼翔劍Ⅰ</x:v>
      </x:c>
      <x:c r="E75" s="14"/>
      <x:c r="F75" s="17" t="str">
        <x:v>帝凰霸星斬</x:v>
      </x:c>
      <x:c r="G75" s="17" t="str">
        <x:v>帝凰霸星斬</x:v>
      </x:c>
      <x:c r="H75" s="17" t="str">
        <x:v>長刀〔銀霞〕</x:v>
      </x:c>
      <x:c r="I75" s="17" t="str">
        <x:v>長刀〔銀霞〕</x:v>
      </x:c>
      <x:c r="J75" s="14"/>
      <x:c r="K75" s="14"/>
      <x:c r="L75" s="14"/>
      <x:c r="M75" s="14"/>
      <x:c r="N75" s="14"/>
      <x:c r="O75" s="14"/>
      <x:c r="P75" s="14"/>
      <x:c r="Q75" s="14"/>
      <x:c r="R75" s="14"/>
      <x:c r="S75" s="14"/>
      <x:c r="T75" s="14"/>
      <x:c r="U75" s="14"/>
      <x:c r="V75" s="14"/>
      <x:c r="W75" s="14"/>
      <x:c r="X75" s="14"/>
      <x:c r="Y75" s="14"/>
      <x:c r="Z75" s="14"/>
      <x:c r="AA75" s="14"/>
      <x:c r="AB75" s="14"/>
      <x:c r="AC75" s="14"/>
      <x:c r="AD75" s="14"/>
      <x:c r="AE75" s="14"/>
      <x:c r="AF75" s="14"/>
      <x:c r="AG75" s="14"/>
      <x:c r="AH75" s="14"/>
      <x:c r="AI75" s="14"/>
      <x:c r="AJ75" s="14"/>
      <x:c r="AK75" s="14"/>
      <x:c r="AL75" s="14"/>
      <x:c r="AM75" s="14"/>
      <x:c r="AN75" s="14"/>
      <x:c r="AO75" s="14"/>
      <x:c r="AP75" s="14"/>
      <x:c r="AQ75" s="14"/>
      <x:c r="AR75" s="14"/>
      <x:c r="AS75" s="14"/>
      <x:c r="AT75" s="14"/>
      <x:c r="AU75" s="14"/>
      <x:c r="AV75" s="14"/>
      <x:c r="AW75" s="14"/>
      <x:c r="AX75" s="14"/>
      <x:c r="AY75" s="17" t="str">
        <x:v>月讀紗巾‧終</x:v>
      </x:c>
      <x:c r="AZ75" s="17" t="str">
        <x:v>天鍛‧劍聖盔</x:v>
      </x:c>
      <x:c r="BA75" s="17" t="str">
        <x:v>天鍛‧武尊盔</x:v>
      </x:c>
      <x:c r="BB75" s="17" t="str">
        <x:v>天鍛‧術幻紗</x:v>
      </x:c>
      <x:c r="BC75" s="14"/>
      <x:c r="BD75" s="17" t="str">
        <x:v>魔滅輕冑</x:v>
      </x:c>
      <x:c r="BE75" s="17" t="str">
        <x:v>聖庇法袍</x:v>
      </x:c>
      <x:c r="BF75" s="17" t="str">
        <x:v>天導禪裟</x:v>
      </x:c>
      <x:c r="BG75" s="17" t="str">
        <x:v>極．智者聖甲</x:v>
      </x:c>
      <x:c r="BH75" s="14"/>
      <x:c r="BI75" s="17" t="str">
        <x:v>神煉‧劍聖腕</x:v>
      </x:c>
      <x:c r="BJ75" s="17" t="str">
        <x:v>神煉‧武尊臂</x:v>
      </x:c>
      <x:c r="BK75" s="17" t="str">
        <x:v>神煉‧術幻指</x:v>
      </x:c>
      <x:c r="BL75" s="17" t="str">
        <x:v>神煉‧道輝手</x:v>
      </x:c>
      <x:c r="BM75" s="14"/>
      <x:c r="BN75" s="17" t="str">
        <x:v>仙鑄‧術幻履</x:v>
      </x:c>
      <x:c r="BO75" s="17" t="str">
        <x:v>仙鑄‧道輝步</x:v>
      </x:c>
      <x:c r="BP75" s="17" t="str">
        <x:v>仙鑄‧禪光行</x:v>
      </x:c>
      <x:c r="BQ75" s="17" t="str">
        <x:v>仙鑄‧窮奇靴</x:v>
      </x:c>
      <x:c r="BR75" s="14"/>
      <x:c r="BS75" s="17" t="str">
        <x:v>真聖青龍之心</x:v>
      </x:c>
      <x:c r="BT75" s="17" t="str">
        <x:v>真聖鳳凰之心</x:v>
      </x:c>
      <x:c r="BU75" s="17" t="str">
        <x:v>白虎宮嘯塵玉</x:v>
      </x:c>
      <x:c r="BV75" s="17" t="str">
        <x:v>荒狼宮皓月戒</x:v>
      </x:c>
      <x:c r="BW75" s="14"/>
      <x:c r="BX75" s="14"/>
      <x:c r="BY75" s="14"/>
      <x:c r="BZ75" s="14"/>
      <x:c r="CA75" s="14"/>
      <x:c r="CB75" s="14"/>
      <x:c r="CC75" s="14" t="str">
        <x:v>29943</x:v>
      </x:c>
      <x:c r="CD75" s="14" t="n">
        <x:v>10</x:v>
      </x:c>
      <x:c r="CE75" s="14" t="n">
        <x:v>225</x:v>
      </x:c>
      <x:c r="CF75" s="14" t="n">
        <x:v>225</x:v>
      </x:c>
      <x:c r="CG75" s="14" t="n">
        <x:v>9</x:v>
      </x:c>
      <x:c r="CH75" s="14" t="n">
        <x:v>1</x:v>
      </x:c>
      <x:c r="CI75" s="14" t="str">
        <x:v>未收錄</x:v>
      </x:c>
      <x:c r="CJ75" s="14" t="str">
        <x:v>27232</x:v>
      </x:c>
      <x:c r="CK75" s="14" t="n">
        <x:v>8</x:v>
      </x:c>
      <x:c r="CL75" s="14" t="n">
        <x:v>226</x:v>
      </x:c>
      <x:c r="CM75" s="14" t="n">
        <x:v>226</x:v>
      </x:c>
      <x:c r="CN75" s="14" t="n">
        <x:v>9</x:v>
      </x:c>
      <x:c r="CO75" s="14" t="n">
        <x:v>2</x:v>
      </x:c>
      <x:c r="CP75" s="14" t="str">
        <x:v>未收錄</x:v>
      </x:c>
      <x:c r="CQ75" s="14" t="str">
        <x:v>31073</x:v>
      </x:c>
      <x:c r="CR75" s="14" t="n">
        <x:v>1</x:v>
      </x:c>
      <x:c r="CS75" s="14" t="n">
        <x:v>227</x:v>
      </x:c>
      <x:c r="CT75" s="14" t="n">
        <x:v>227</x:v>
      </x:c>
      <x:c r="CU75" s="14" t="n">
        <x:v>9</x:v>
      </x:c>
      <x:c r="CV75" s="14" t="n">
        <x:v>3</x:v>
      </x:c>
      <x:c r="CW75" s="14" t="str">
        <x:v>未收錄</x:v>
      </x:c>
      <x:c r="CX75" s="14" t="str">
        <x:v>30201</x:v>
      </x:c>
      <x:c r="CY75" s="14" t="n">
        <x:v>8</x:v>
      </x:c>
      <x:c r="CZ75" s="14" t="n">
        <x:v>228</x:v>
      </x:c>
      <x:c r="DA75" s="14" t="n">
        <x:v>228</x:v>
      </x:c>
      <x:c r="DB75" s="14" t="n">
        <x:v>9</x:v>
      </x:c>
      <x:c r="DC75" s="14" t="n">
        <x:v>4</x:v>
      </x:c>
      <x:c r="DD75" s="14" t="str">
        <x:v>未收錄</x:v>
      </x:c>
      <x:c r="DE75" s="14" t="str">
        <x:v>30950</x:v>
      </x:c>
      <x:c r="DF75" s="14" t="n">
        <x:v>20</x:v>
      </x:c>
      <x:c r="DG75" s="14" t="n">
        <x:v>470</x:v>
      </x:c>
      <x:c r="DH75" s="14" t="n">
        <x:v>225</x:v>
      </x:c>
      <x:c r="DI75" s="14" t="n">
        <x:v>9</x:v>
      </x:c>
      <x:c r="DJ75" s="14" t="n">
        <x:v>1</x:v>
      </x:c>
      <x:c r="DK75" s="14" t="str">
        <x:v>未收錄</x:v>
      </x:c>
      <x:c r="DL75" s="14" t="str">
        <x:v>30960</x:v>
      </x:c>
      <x:c r="DM75" s="14" t="n">
        <x:v>20</x:v>
      </x:c>
      <x:c r="DN75" s="14" t="n">
        <x:v>471</x:v>
      </x:c>
      <x:c r="DO75" s="14" t="n">
        <x:v>226</x:v>
      </x:c>
      <x:c r="DP75" s="14" t="n">
        <x:v>9</x:v>
      </x:c>
      <x:c r="DQ75" s="14" t="n">
        <x:v>2</x:v>
      </x:c>
      <x:c r="DR75" s="14" t="str">
        <x:v>未收錄</x:v>
      </x:c>
      <x:c r="DS75" s="14" t="str">
        <x:v>31553</x:v>
      </x:c>
      <x:c r="DT75" s="14" t="n">
        <x:v>20</x:v>
      </x:c>
      <x:c r="DU75" s="14" t="n">
        <x:v>472</x:v>
      </x:c>
      <x:c r="DV75" s="14" t="n">
        <x:v>227</x:v>
      </x:c>
      <x:c r="DW75" s="14" t="n">
        <x:v>9</x:v>
      </x:c>
      <x:c r="DX75" s="14" t="n">
        <x:v>3</x:v>
      </x:c>
      <x:c r="DY75" s="14" t="str">
        <x:v>未收錄</x:v>
      </x:c>
      <x:c r="DZ75" s="14" t="str">
        <x:v>31563</x:v>
      </x:c>
      <x:c r="EA75" s="14" t="n">
        <x:v>20</x:v>
      </x:c>
      <x:c r="EB75" s="14" t="n">
        <x:v>473</x:v>
      </x:c>
      <x:c r="EC75" s="14" t="n">
        <x:v>228</x:v>
      </x:c>
      <x:c r="ED75" s="14" t="n">
        <x:v>9</x:v>
      </x:c>
      <x:c r="EE75" s="14" t="n">
        <x:v>4</x:v>
      </x:c>
      <x:c r="EF75" s="14" t="str">
        <x:v>未收錄</x:v>
      </x:c>
      <x:c r="EG75" s="14"/>
      <x:c r="EH75" s="14"/>
      <x:c r="EI75" s="14"/>
      <x:c r="EJ75" s="14"/>
      <x:c r="EK75" s="14"/>
      <x:c r="EL75" s="14"/>
      <x:c r="EM75" s="14"/>
      <x:c r="EN75" s="14"/>
      <x:c r="EO75" s="14"/>
      <x:c r="EP75" s="14"/>
      <x:c r="EQ75" s="14"/>
      <x:c r="ER75" s="14"/>
      <x:c r="ES75" s="14"/>
      <x:c r="ET75" s="14"/>
      <x:c r="EU75" s="14"/>
      <x:c r="EV75" s="14"/>
      <x:c r="EW75" s="14"/>
      <x:c r="EX75" s="14"/>
      <x:c r="EY75" s="14"/>
      <x:c r="EZ75" s="14"/>
      <x:c r="FA75" s="14"/>
      <x:c r="FB75" s="14"/>
      <x:c r="FC75" s="14"/>
      <x:c r="FD75" s="14"/>
      <x:c r="FE75" s="14"/>
      <x:c r="FF75" s="14"/>
      <x:c r="FG75" s="14"/>
      <x:c r="FH75" s="14"/>
      <x:c r="FI75" s="14"/>
      <x:c r="FJ75" s="14"/>
      <x:c r="FK75" s="14"/>
      <x:c r="FL75" s="14"/>
      <x:c r="FM75" s="14"/>
      <x:c r="FN75" s="14"/>
      <x:c r="FO75" s="14"/>
      <x:c r="FP75" s="14"/>
      <x:c r="FQ75" s="14"/>
      <x:c r="FR75" s="14"/>
      <x:c r="FS75" s="14"/>
      <x:c r="FT75" s="14"/>
      <x:c r="FU75" s="14"/>
      <x:c r="FV75" s="14"/>
      <x:c r="FW75" s="14"/>
      <x:c r="FX75" s="14"/>
      <x:c r="FY75" s="14"/>
      <x:c r="FZ75" s="14"/>
      <x:c r="GA75" s="14"/>
      <x:c r="GB75" s="14"/>
      <x:c r="GC75" s="14"/>
      <x:c r="GD75" s="14"/>
      <x:c r="GE75" s="14"/>
      <x:c r="GF75" s="14"/>
      <x:c r="GG75" s="14"/>
      <x:c r="GH75" s="14"/>
      <x:c r="GI75" s="14"/>
      <x:c r="GJ75" s="14"/>
      <x:c r="GK75" s="14"/>
      <x:c r="GL75" s="14"/>
      <x:c r="GM75" s="14"/>
      <x:c r="GN75" s="14"/>
      <x:c r="GO75" s="14"/>
      <x:c r="GP75" s="14"/>
      <x:c r="GQ75" s="14"/>
      <x:c r="GR75" s="14"/>
      <x:c r="GS75" s="14"/>
      <x:c r="GT75" s="14"/>
      <x:c r="GU75" s="14"/>
      <x:c r="GV75" s="14"/>
      <x:c r="GW75" s="14"/>
      <x:c r="GX75" s="14"/>
      <x:c r="GY75" s="14"/>
      <x:c r="GZ75" s="14"/>
      <x:c r="HA75" s="14"/>
      <x:c r="HB75" s="14"/>
      <x:c r="HC75" s="14"/>
      <x:c r="HD75" s="14"/>
      <x:c r="HE75" s="14"/>
      <x:c r="HF75" s="14"/>
      <x:c r="HG75" s="14"/>
      <x:c r="HH75" s="14"/>
      <x:c r="HI75" s="14"/>
      <x:c r="HJ75" s="14"/>
      <x:c r="HK75" s="14"/>
      <x:c r="HL75" s="14"/>
      <x:c r="HM75" s="14"/>
      <x:c r="HN75" s="14"/>
      <x:c r="HO75" s="14"/>
      <x:c r="HP75" s="14"/>
      <x:c r="HQ75" s="14"/>
      <x:c r="HR75" s="14"/>
      <x:c r="HS75" s="14"/>
      <x:c r="HT75" s="14"/>
      <x:c r="HU75" s="14"/>
      <x:c r="HV75" s="14"/>
      <x:c r="HW75" s="14"/>
      <x:c r="HX75" s="14"/>
      <x:c r="HY75" s="14"/>
      <x:c r="HZ75" s="14"/>
      <x:c r="IA75" s="14"/>
      <x:c r="IB75" s="14"/>
      <x:c r="IC75" s="14"/>
      <x:c r="ID75" s="14"/>
      <x:c r="IE75" s="14"/>
      <x:c r="IF75" s="14"/>
      <x:c r="IG75" s="14"/>
      <x:c r="IH75" s="14"/>
      <x:c r="II75" s="14"/>
      <x:c r="IJ75" s="14"/>
      <x:c r="IK75" s="14"/>
      <x:c r="IL75" s="14"/>
      <x:c r="IM75" s="14"/>
      <x:c r="IN75" s="14"/>
      <x:c r="IO75" s="14"/>
      <x:c r="IP75" s="14"/>
      <x:c r="IQ75" s="14"/>
      <x:c r="IR75" s="14"/>
      <x:c r="IS75" s="14"/>
      <x:c r="IT75" s="14"/>
      <x:c r="IU75" s="14"/>
      <x:c r="IV75" s="14"/>
      <x:c r="IW75" s="14"/>
      <x:c r="IX75" s="14"/>
      <x:c r="IY75" s="14"/>
      <x:c r="IZ75" s="14"/>
      <x:c r="JA75" s="14"/>
      <x:c r="JB75" s="14"/>
      <x:c r="JC75" s="14"/>
      <x:c r="JD75" s="14"/>
      <x:c r="JE75" s="14"/>
      <x:c r="JF75" s="14"/>
      <x:c r="JG75" s="14"/>
      <x:c r="JH75" s="14"/>
      <x:c r="JI75" s="14"/>
      <x:c r="JJ75" s="14"/>
      <x:c r="JK75" s="14"/>
      <x:c r="JL75" s="14"/>
      <x:c r="JM75" s="14"/>
      <x:c r="JN75" s="14"/>
      <x:c r="JO75" s="14"/>
      <x:c r="JP75" s="14"/>
      <x:c r="JQ75" s="14"/>
      <x:c r="JR75" s="14"/>
      <x:c r="JS75" s="14"/>
      <x:c r="JT75" s="14"/>
      <x:c r="JU75" s="14"/>
      <x:c r="JV75" s="14"/>
      <x:c r="JW75" s="14"/>
      <x:c r="JX75" s="14"/>
      <x:c r="JY75" s="14"/>
      <x:c r="JZ75" s="14"/>
      <x:c r="KA75" s="14"/>
      <x:c r="KB75" s="14"/>
      <x:c r="KC75" s="14"/>
      <x:c r="KD75" s="14"/>
      <x:c r="KE75" s="14"/>
      <x:c r="KF75" s="14"/>
      <x:c r="KG75" s="14"/>
      <x:c r="KH75" s="14"/>
      <x:c r="KI75" s="14"/>
      <x:c r="KJ75" s="14"/>
      <x:c r="KK75" s="14"/>
      <x:c r="KL75" s="14"/>
      <x:c r="KM75" s="14"/>
      <x:c r="KN75" s="14"/>
      <x:c r="KO75" s="14"/>
      <x:c r="KP75" s="14"/>
      <x:c r="KQ75" s="14"/>
      <x:c r="KR75" s="14"/>
      <x:c r="KS75" s="14"/>
      <x:c r="KT75" s="14"/>
      <x:c r="KU75" s="14"/>
      <x:c r="KV75" s="14"/>
      <x:c r="KW75" s="14"/>
      <x:c r="KX75" s="14"/>
      <x:c r="KY75" s="14"/>
      <x:c r="KZ75" s="14"/>
      <x:c r="LA75" s="14"/>
      <x:c r="LB75" s="14"/>
      <x:c r="LC75" s="14"/>
      <x:c r="LD75" s="14"/>
      <x:c r="LE75" s="14"/>
      <x:c r="LF75" s="14"/>
      <x:c r="LG75" s="14"/>
      <x:c r="LH75" s="14"/>
      <x:c r="LI75" s="14"/>
      <x:c r="LJ75" s="14"/>
      <x:c r="LK75" s="14"/>
      <x:c r="LL75" s="14"/>
      <x:c r="LM75" s="14"/>
      <x:c r="LN75" s="14"/>
      <x:c r="LO75" s="14"/>
      <x:c r="LP75" s="14"/>
      <x:c r="LQ75" s="14"/>
      <x:c r="LR75" s="14"/>
      <x:c r="LS75" s="14"/>
      <x:c r="LT75" s="14"/>
      <x:c r="LU75" s="14"/>
      <x:c r="LV75" s="14"/>
      <x:c r="LW75" s="14"/>
      <x:c r="LX75" s="14"/>
      <x:c r="LY75" s="14"/>
      <x:c r="LZ75" s="14"/>
      <x:c r="MA75" s="14"/>
      <x:c r="MB75" s="14"/>
      <x:c r="MC75" s="14"/>
      <x:c r="MD75" s="14"/>
      <x:c r="ME75" s="14"/>
      <x:c r="MF75" s="14"/>
      <x:c r="MG75" s="14"/>
      <x:c r="MH75" s="14"/>
      <x:c r="MI75" s="14"/>
      <x:c r="MJ75" s="14"/>
      <x:c r="MK75" s="14"/>
      <x:c r="ML75" s="14"/>
      <x:c r="MM75" s="14"/>
      <x:c r="MN75" s="14"/>
      <x:c r="MO75" s="14"/>
      <x:c r="MP75" s="14"/>
      <x:c r="MQ75" s="14"/>
      <x:c r="MR75" s="14"/>
      <x:c r="MS75" s="14"/>
      <x:c r="MT75" s="14"/>
      <x:c r="MU75" s="14"/>
      <x:c r="MV75" s="14"/>
      <x:c r="MW75" s="14" t="str">
        <x:v>26833</x:v>
      </x:c>
      <x:c r="MX75" s="14" t="n">
        <x:v>10</x:v>
      </x:c>
      <x:c r="MY75" s="14" t="n">
        <x:v>1873</x:v>
      </x:c>
      <x:c r="MZ75" s="14" t="n">
        <x:v>225</x:v>
      </x:c>
      <x:c r="NA75" s="14" t="n">
        <x:v>9</x:v>
      </x:c>
      <x:c r="NB75" s="14" t="n">
        <x:v>1</x:v>
      </x:c>
      <x:c r="NC75" s="14" t="str">
        <x:v>未收錄</x:v>
      </x:c>
      <x:c r="ND75" s="14" t="str">
        <x:v>27074</x:v>
      </x:c>
      <x:c r="NE75" s="14" t="n">
        <x:v>5</x:v>
      </x:c>
      <x:c r="NF75" s="14" t="n">
        <x:v>1874</x:v>
      </x:c>
      <x:c r="NG75" s="14" t="n">
        <x:v>226</x:v>
      </x:c>
      <x:c r="NH75" s="14" t="n">
        <x:v>9</x:v>
      </x:c>
      <x:c r="NI75" s="14" t="n">
        <x:v>2</x:v>
      </x:c>
      <x:c r="NJ75" s="14" t="str">
        <x:v>未收錄</x:v>
      </x:c>
      <x:c r="NK75" s="14" t="str">
        <x:v>27075</x:v>
      </x:c>
      <x:c r="NL75" s="14" t="n">
        <x:v>5</x:v>
      </x:c>
      <x:c r="NM75" s="14" t="n">
        <x:v>1875</x:v>
      </x:c>
      <x:c r="NN75" s="14" t="n">
        <x:v>227</x:v>
      </x:c>
      <x:c r="NO75" s="14" t="n">
        <x:v>9</x:v>
      </x:c>
      <x:c r="NP75" s="14" t="n">
        <x:v>3</x:v>
      </x:c>
      <x:c r="NQ75" s="14" t="str">
        <x:v>未收錄</x:v>
      </x:c>
      <x:c r="NR75" s="14" t="str">
        <x:v>27076</x:v>
      </x:c>
      <x:c r="NS75" s="14" t="n">
        <x:v>5</x:v>
      </x:c>
      <x:c r="NT75" s="14" t="n">
        <x:v>1876</x:v>
      </x:c>
      <x:c r="NU75" s="14" t="n">
        <x:v>228</x:v>
      </x:c>
      <x:c r="NV75" s="14" t="n">
        <x:v>9</x:v>
      </x:c>
      <x:c r="NW75" s="14" t="n">
        <x:v>4</x:v>
      </x:c>
      <x:c r="NX75" s="14" t="str">
        <x:v>未收錄</x:v>
      </x:c>
      <x:c r="NY75" s="14" t="str">
        <x:v>26023</x:v>
      </x:c>
      <x:c r="NZ75" s="14" t="n">
        <x:v>5</x:v>
      </x:c>
      <x:c r="OA75" s="14" t="n">
        <x:v>2326</x:v>
      </x:c>
      <x:c r="OB75" s="14" t="n">
        <x:v>225</x:v>
      </x:c>
      <x:c r="OC75" s="14" t="n">
        <x:v>9</x:v>
      </x:c>
      <x:c r="OD75" s="14" t="n">
        <x:v>1</x:v>
      </x:c>
      <x:c r="OE75" s="14" t="str">
        <x:v>未收錄</x:v>
      </x:c>
      <x:c r="OF75" s="14" t="str">
        <x:v>26024</x:v>
      </x:c>
      <x:c r="OG75" s="14" t="n">
        <x:v>5</x:v>
      </x:c>
      <x:c r="OH75" s="14" t="n">
        <x:v>2327</x:v>
      </x:c>
      <x:c r="OI75" s="14" t="n">
        <x:v>226</x:v>
      </x:c>
      <x:c r="OJ75" s="14" t="n">
        <x:v>9</x:v>
      </x:c>
      <x:c r="OK75" s="14" t="n">
        <x:v>2</x:v>
      </x:c>
      <x:c r="OL75" s="14" t="str">
        <x:v>未收錄</x:v>
      </x:c>
      <x:c r="OM75" s="14" t="str">
        <x:v>26025</x:v>
      </x:c>
      <x:c r="ON75" s="14" t="n">
        <x:v>5</x:v>
      </x:c>
      <x:c r="OO75" s="14" t="n">
        <x:v>2328</x:v>
      </x:c>
      <x:c r="OP75" s="14" t="n">
        <x:v>227</x:v>
      </x:c>
      <x:c r="OQ75" s="14" t="n">
        <x:v>9</x:v>
      </x:c>
      <x:c r="OR75" s="14" t="n">
        <x:v>3</x:v>
      </x:c>
      <x:c r="OS75" s="14" t="str">
        <x:v>未收錄</x:v>
      </x:c>
      <x:c r="OT75" s="14" t="str">
        <x:v>26298</x:v>
      </x:c>
      <x:c r="OU75" s="14" t="n">
        <x:v>10</x:v>
      </x:c>
      <x:c r="OV75" s="14" t="n">
        <x:v>2329</x:v>
      </x:c>
      <x:c r="OW75" s="14" t="n">
        <x:v>228</x:v>
      </x:c>
      <x:c r="OX75" s="14" t="n">
        <x:v>9</x:v>
      </x:c>
      <x:c r="OY75" s="14" t="n">
        <x:v>4</x:v>
      </x:c>
      <x:c r="OZ75" s="14" t="str">
        <x:v>未收錄</x:v>
      </x:c>
      <x:c r="PA75" s="14" t="str">
        <x:v>27124</x:v>
      </x:c>
      <x:c r="PB75" s="14" t="n">
        <x:v>5</x:v>
      </x:c>
      <x:c r="PC75" s="14" t="n">
        <x:v>2872</x:v>
      </x:c>
      <x:c r="PD75" s="14" t="n">
        <x:v>225</x:v>
      </x:c>
      <x:c r="PE75" s="14" t="n">
        <x:v>9</x:v>
      </x:c>
      <x:c r="PF75" s="14" t="n">
        <x:v>1</x:v>
      </x:c>
      <x:c r="PG75" s="14" t="str">
        <x:v>未收錄</x:v>
      </x:c>
      <x:c r="PH75" s="14" t="str">
        <x:v>27125</x:v>
      </x:c>
      <x:c r="PI75" s="14" t="n">
        <x:v>5</x:v>
      </x:c>
      <x:c r="PJ75" s="14" t="n">
        <x:v>2873</x:v>
      </x:c>
      <x:c r="PK75" s="14" t="n">
        <x:v>226</x:v>
      </x:c>
      <x:c r="PL75" s="14" t="n">
        <x:v>9</x:v>
      </x:c>
      <x:c r="PM75" s="14" t="n">
        <x:v>2</x:v>
      </x:c>
      <x:c r="PN75" s="14" t="str">
        <x:v>未收錄</x:v>
      </x:c>
      <x:c r="PO75" s="14" t="str">
        <x:v>27126</x:v>
      </x:c>
      <x:c r="PP75" s="14" t="n">
        <x:v>5</x:v>
      </x:c>
      <x:c r="PQ75" s="14" t="n">
        <x:v>2874</x:v>
      </x:c>
      <x:c r="PR75" s="14" t="n">
        <x:v>227</x:v>
      </x:c>
      <x:c r="PS75" s="14" t="n">
        <x:v>9</x:v>
      </x:c>
      <x:c r="PT75" s="14" t="n">
        <x:v>3</x:v>
      </x:c>
      <x:c r="PU75" s="14" t="str">
        <x:v>未收錄</x:v>
      </x:c>
      <x:c r="PV75" s="14" t="str">
        <x:v>27127</x:v>
      </x:c>
      <x:c r="PW75" s="14" t="n">
        <x:v>5</x:v>
      </x:c>
      <x:c r="PX75" s="14" t="n">
        <x:v>2875</x:v>
      </x:c>
      <x:c r="PY75" s="14" t="n">
        <x:v>228</x:v>
      </x:c>
      <x:c r="PZ75" s="14" t="n">
        <x:v>9</x:v>
      </x:c>
      <x:c r="QA75" s="14" t="n">
        <x:v>4</x:v>
      </x:c>
      <x:c r="QB75" s="14" t="str">
        <x:v>未收錄</x:v>
      </x:c>
      <x:c r="QC75" s="14" t="str">
        <x:v>27141</x:v>
      </x:c>
      <x:c r="QD75" s="14" t="n">
        <x:v>5</x:v>
      </x:c>
      <x:c r="QE75" s="14" t="n">
        <x:v>3309</x:v>
      </x:c>
      <x:c r="QF75" s="14" t="n">
        <x:v>225</x:v>
      </x:c>
      <x:c r="QG75" s="14" t="n">
        <x:v>9</x:v>
      </x:c>
      <x:c r="QH75" s="14" t="n">
        <x:v>1</x:v>
      </x:c>
      <x:c r="QI75" s="14" t="str">
        <x:v>未收錄</x:v>
      </x:c>
      <x:c r="QJ75" s="14" t="str">
        <x:v>27142</x:v>
      </x:c>
      <x:c r="QK75" s="14" t="n">
        <x:v>5</x:v>
      </x:c>
      <x:c r="QL75" s="14" t="n">
        <x:v>3310</x:v>
      </x:c>
      <x:c r="QM75" s="14" t="n">
        <x:v>226</x:v>
      </x:c>
      <x:c r="QN75" s="14" t="n">
        <x:v>9</x:v>
      </x:c>
      <x:c r="QO75" s="14" t="n">
        <x:v>2</x:v>
      </x:c>
      <x:c r="QP75" s="14" t="str">
        <x:v>未收錄</x:v>
      </x:c>
      <x:c r="QQ75" s="14" t="str">
        <x:v>27143</x:v>
      </x:c>
      <x:c r="QR75" s="14" t="n">
        <x:v>5</x:v>
      </x:c>
      <x:c r="QS75" s="14" t="n">
        <x:v>3311</x:v>
      </x:c>
      <x:c r="QT75" s="14" t="n">
        <x:v>227</x:v>
      </x:c>
      <x:c r="QU75" s="14" t="n">
        <x:v>9</x:v>
      </x:c>
      <x:c r="QV75" s="14" t="n">
        <x:v>3</x:v>
      </x:c>
      <x:c r="QW75" s="14" t="str">
        <x:v>未收錄</x:v>
      </x:c>
      <x:c r="QX75" s="14" t="str">
        <x:v>27223</x:v>
      </x:c>
      <x:c r="QY75" s="14" t="n">
        <x:v>10</x:v>
      </x:c>
      <x:c r="QZ75" s="14" t="n">
        <x:v>3312</x:v>
      </x:c>
      <x:c r="RA75" s="14" t="n">
        <x:v>228</x:v>
      </x:c>
      <x:c r="RB75" s="14" t="n">
        <x:v>9</x:v>
      </x:c>
      <x:c r="RC75" s="14" t="n">
        <x:v>4</x:v>
      </x:c>
      <x:c r="RD75" s="14" t="str">
        <x:v>未收錄</x:v>
      </x:c>
      <x:c r="RE75" s="14" t="str">
        <x:v>27507</x:v>
      </x:c>
      <x:c r="RF75" s="14" t="n">
        <x:v>5</x:v>
      </x:c>
      <x:c r="RG75" s="14" t="n">
        <x:v>3770</x:v>
      </x:c>
      <x:c r="RH75" s="14" t="n">
        <x:v>225</x:v>
      </x:c>
      <x:c r="RI75" s="14" t="n">
        <x:v>9</x:v>
      </x:c>
      <x:c r="RJ75" s="14" t="n">
        <x:v>1</x:v>
      </x:c>
      <x:c r="RK75" s="14" t="str">
        <x:v>未收錄</x:v>
      </x:c>
      <x:c r="RL75" s="14" t="str">
        <x:v>27508</x:v>
      </x:c>
      <x:c r="RM75" s="14" t="n">
        <x:v>5</x:v>
      </x:c>
      <x:c r="RN75" s="14" t="n">
        <x:v>3771</x:v>
      </x:c>
      <x:c r="RO75" s="14" t="n">
        <x:v>226</x:v>
      </x:c>
      <x:c r="RP75" s="14" t="n">
        <x:v>9</x:v>
      </x:c>
      <x:c r="RQ75" s="14" t="n">
        <x:v>2</x:v>
      </x:c>
      <x:c r="RR75" s="14" t="str">
        <x:v>未收錄</x:v>
      </x:c>
      <x:c r="RS75" s="14" t="str">
        <x:v>27577</x:v>
      </x:c>
      <x:c r="RT75" s="14" t="n">
        <x:v>10</x:v>
      </x:c>
      <x:c r="RU75" s="14" t="n">
        <x:v>3772</x:v>
      </x:c>
      <x:c r="RV75" s="14" t="n">
        <x:v>227</x:v>
      </x:c>
      <x:c r="RW75" s="14" t="n">
        <x:v>9</x:v>
      </x:c>
      <x:c r="RX75" s="14" t="n">
        <x:v>3</x:v>
      </x:c>
      <x:c r="RY75" s="14" t="str">
        <x:v>未收錄</x:v>
      </x:c>
      <x:c r="RZ75" s="14" t="str">
        <x:v>27578</x:v>
      </x:c>
      <x:c r="SA75" s="14" t="n">
        <x:v>10</x:v>
      </x:c>
      <x:c r="SB75" s="14" t="n">
        <x:v>3773</x:v>
      </x:c>
      <x:c r="SC75" s="14" t="n">
        <x:v>228</x:v>
      </x:c>
      <x:c r="SD75" s="14" t="n">
        <x:v>9</x:v>
      </x:c>
      <x:c r="SE75" s="14" t="n">
        <x:v>4</x:v>
      </x:c>
      <x:c r="SF75" s="14" t="str">
        <x:v>未收錄</x:v>
      </x:c>
      <x:c r="SG75" s="14"/>
      <x:c r="SH75" s="14"/>
      <x:c r="SI75" s="14"/>
      <x:c r="SJ75" s="14"/>
      <x:c r="SK75" s="14"/>
      <x:c r="SL75" s="14"/>
      <x:c r="SM75" s="14"/>
      <x:c r="SN75" s="14"/>
      <x:c r="SO75" s="14"/>
      <x:c r="SP75" s="14"/>
      <x:c r="SQ75" s="14"/>
      <x:c r="SR75" s="14"/>
      <x:c r="SS75" s="14"/>
      <x:c r="ST75" s="14"/>
      <x:c r="SU75" s="14"/>
      <x:c r="SV75" s="14"/>
      <x:c r="SW75" s="14"/>
      <x:c r="SX75" s="14"/>
      <x:c r="SY75" s="14"/>
      <x:c r="SZ75" s="14"/>
      <x:c r="TA75" s="14"/>
      <x:c r="TB75" s="14"/>
      <x:c r="TC75" s="14"/>
      <x:c r="TD75" s="14"/>
      <x:c r="TE75" s="14"/>
      <x:c r="TF75" s="14"/>
      <x:c r="TG75" s="14"/>
      <x:c r="TH75" s="14"/>
    </x:row>
    <x:row r="76" ht="15" customHeight="1">
      <x:c r="A76" s="18" t="str">
        <x:v>光翼翔劍Ⅱ</x:v>
      </x:c>
      <x:c r="B76" s="18" t="str">
        <x:v>光翼翔劍Ⅲ</x:v>
      </x:c>
      <x:c r="C76" s="18" t="str">
        <x:v>光翼翔劍Ⅳ</x:v>
      </x:c>
      <x:c r="D76" s="18" t="str">
        <x:v>光翼翔劍Ⅴ</x:v>
      </x:c>
      <x:c r="E76" s="14"/>
      <x:c r="F76" s="18" t="str">
        <x:v>金猊晉殿刀</x:v>
      </x:c>
      <x:c r="G76" s="18" t="str">
        <x:v>金猊晉殿刀</x:v>
      </x:c>
      <x:c r="H76" s="18" t="str">
        <x:v>泰源玉刀Ⅰ</x:v>
      </x:c>
      <x:c r="I76" s="18" t="str">
        <x:v>泰源玉刀Ⅱ</x:v>
      </x:c>
      <x:c r="J76" s="14"/>
      <x:c r="K76" s="14"/>
      <x:c r="L76" s="14"/>
      <x:c r="M76" s="14"/>
      <x:c r="N76" s="14"/>
      <x:c r="O76" s="14"/>
      <x:c r="P76" s="14"/>
      <x:c r="Q76" s="14"/>
      <x:c r="R76" s="14"/>
      <x:c r="S76" s="14"/>
      <x:c r="T76" s="14"/>
      <x:c r="U76" s="14"/>
      <x:c r="V76" s="14"/>
      <x:c r="W76" s="14"/>
      <x:c r="X76" s="14"/>
      <x:c r="Y76" s="14"/>
      <x:c r="Z76" s="14"/>
      <x:c r="AA76" s="14"/>
      <x:c r="AB76" s="14"/>
      <x:c r="AC76" s="14"/>
      <x:c r="AD76" s="14"/>
      <x:c r="AE76" s="14"/>
      <x:c r="AF76" s="14"/>
      <x:c r="AG76" s="14"/>
      <x:c r="AH76" s="14"/>
      <x:c r="AI76" s="14"/>
      <x:c r="AJ76" s="14"/>
      <x:c r="AK76" s="14"/>
      <x:c r="AL76" s="14"/>
      <x:c r="AM76" s="14"/>
      <x:c r="AN76" s="14"/>
      <x:c r="AO76" s="14"/>
      <x:c r="AP76" s="14"/>
      <x:c r="AQ76" s="14"/>
      <x:c r="AR76" s="14"/>
      <x:c r="AS76" s="14"/>
      <x:c r="AT76" s="14"/>
      <x:c r="AU76" s="14"/>
      <x:c r="AV76" s="14"/>
      <x:c r="AW76" s="14"/>
      <x:c r="AX76" s="14"/>
      <x:c r="AY76" s="18" t="str">
        <x:v>天鍛‧道輝冠</x:v>
      </x:c>
      <x:c r="AZ76" s="18" t="str">
        <x:v>天鍛‧禪光帽</x:v>
      </x:c>
      <x:c r="BA76" s="18" t="str">
        <x:v>天鍛‧月讀巾</x:v>
      </x:c>
      <x:c r="BB76" s="18" t="str">
        <x:v>天鍛‧混沌冠</x:v>
      </x:c>
      <x:c r="BC76" s="14"/>
      <x:c r="BD76" s="18" t="str">
        <x:v>極．仁者聖甲</x:v>
      </x:c>
      <x:c r="BE76" s="18" t="str">
        <x:v>極．勇者聖甲</x:v>
      </x:c>
      <x:c r="BF76" s="18" t="str">
        <x:v>極．義者聖甲</x:v>
      </x:c>
      <x:c r="BG76" s="18" t="str">
        <x:v>廣宙真太儀甲</x:v>
      </x:c>
      <x:c r="BH76" s="14"/>
      <x:c r="BI76" s="18" t="str">
        <x:v>神煉‧禪光握</x:v>
      </x:c>
      <x:c r="BJ76" s="18" t="str">
        <x:v>神煉‧檮杌手</x:v>
      </x:c>
      <x:c r="BK76" s="18" t="str">
        <x:v>神煉‧素鳴腕</x:v>
      </x:c>
      <x:c r="BL76" s="18" t="str">
        <x:v>宇傲‧劍聖腕</x:v>
      </x:c>
      <x:c r="BM76" s="14"/>
      <x:c r="BN76" s="18" t="str">
        <x:v>仙鑄‧韋駝足</x:v>
      </x:c>
      <x:c r="BO76" s="18" t="str">
        <x:v>仙鑄‧流星靴</x:v>
      </x:c>
      <x:c r="BP76" s="18" t="str">
        <x:v>神煉‧劍聖靴</x:v>
      </x:c>
      <x:c r="BQ76" s="18" t="str">
        <x:v>神煉‧武尊踏</x:v>
      </x:c>
      <x:c r="BR76" s="14"/>
      <x:c r="BS76" s="18" t="str">
        <x:v>帝‧六滅化神</x:v>
      </x:c>
      <x:c r="BT76" s="18" t="str">
        <x:v>極惡噬運魔戒</x:v>
      </x:c>
      <x:c r="BU76" s="18" t="str">
        <x:v>極惡蝕元魔鍊</x:v>
      </x:c>
      <x:c r="BV76" s="18" t="str">
        <x:v>超聖玄武之心</x:v>
      </x:c>
      <x:c r="BW76" s="14"/>
      <x:c r="BX76" s="14"/>
      <x:c r="BY76" s="14"/>
      <x:c r="BZ76" s="14"/>
      <x:c r="CA76" s="14"/>
      <x:c r="CB76" s="14"/>
      <x:c r="CC76" s="14" t="str">
        <x:v>30202</x:v>
      </x:c>
      <x:c r="CD76" s="14" t="n">
        <x:v>8</x:v>
      </x:c>
      <x:c r="CE76" s="14" t="n">
        <x:v>229</x:v>
      </x:c>
      <x:c r="CF76" s="14" t="n">
        <x:v>229</x:v>
      </x:c>
      <x:c r="CG76" s="14" t="n">
        <x:v>10</x:v>
      </x:c>
      <x:c r="CH76" s="14" t="n">
        <x:v>1</x:v>
      </x:c>
      <x:c r="CI76" s="14" t="str">
        <x:v>未收錄</x:v>
      </x:c>
      <x:c r="CJ76" s="14" t="str">
        <x:v>30203</x:v>
      </x:c>
      <x:c r="CK76" s="14" t="n">
        <x:v>8</x:v>
      </x:c>
      <x:c r="CL76" s="14" t="n">
        <x:v>230</x:v>
      </x:c>
      <x:c r="CM76" s="14" t="n">
        <x:v>230</x:v>
      </x:c>
      <x:c r="CN76" s="14" t="n">
        <x:v>10</x:v>
      </x:c>
      <x:c r="CO76" s="14" t="n">
        <x:v>2</x:v>
      </x:c>
      <x:c r="CP76" s="14" t="str">
        <x:v>未收錄</x:v>
      </x:c>
      <x:c r="CQ76" s="14" t="str">
        <x:v>30204</x:v>
      </x:c>
      <x:c r="CR76" s="14" t="n">
        <x:v>8</x:v>
      </x:c>
      <x:c r="CS76" s="14" t="n">
        <x:v>231</x:v>
      </x:c>
      <x:c r="CT76" s="14" t="n">
        <x:v>231</x:v>
      </x:c>
      <x:c r="CU76" s="14" t="n">
        <x:v>10</x:v>
      </x:c>
      <x:c r="CV76" s="14" t="n">
        <x:v>3</x:v>
      </x:c>
      <x:c r="CW76" s="14" t="str">
        <x:v>未收錄</x:v>
      </x:c>
      <x:c r="CX76" s="14" t="str">
        <x:v>30205</x:v>
      </x:c>
      <x:c r="CY76" s="14" t="n">
        <x:v>8</x:v>
      </x:c>
      <x:c r="CZ76" s="14" t="n">
        <x:v>232</x:v>
      </x:c>
      <x:c r="DA76" s="14" t="n">
        <x:v>232</x:v>
      </x:c>
      <x:c r="DB76" s="14" t="n">
        <x:v>10</x:v>
      </x:c>
      <x:c r="DC76" s="14" t="n">
        <x:v>4</x:v>
      </x:c>
      <x:c r="DD76" s="14" t="str">
        <x:v>未收錄</x:v>
      </x:c>
      <x:c r="DE76" s="14" t="str">
        <x:v>31836</x:v>
      </x:c>
      <x:c r="DF76" s="14" t="n">
        <x:v>20</x:v>
      </x:c>
      <x:c r="DG76" s="14" t="n">
        <x:v>474</x:v>
      </x:c>
      <x:c r="DH76" s="14" t="n">
        <x:v>229</x:v>
      </x:c>
      <x:c r="DI76" s="14" t="n">
        <x:v>10</x:v>
      </x:c>
      <x:c r="DJ76" s="14" t="n">
        <x:v>1</x:v>
      </x:c>
      <x:c r="DK76" s="14" t="str">
        <x:v>未收錄</x:v>
      </x:c>
      <x:c r="DL76" s="14" t="str">
        <x:v>31846</x:v>
      </x:c>
      <x:c r="DM76" s="14" t="n">
        <x:v>20</x:v>
      </x:c>
      <x:c r="DN76" s="14" t="n">
        <x:v>475</x:v>
      </x:c>
      <x:c r="DO76" s="14" t="n">
        <x:v>230</x:v>
      </x:c>
      <x:c r="DP76" s="14" t="n">
        <x:v>10</x:v>
      </x:c>
      <x:c r="DQ76" s="14" t="n">
        <x:v>2</x:v>
      </x:c>
      <x:c r="DR76" s="14" t="str">
        <x:v>未收錄</x:v>
      </x:c>
      <x:c r="DS76" s="14" t="str">
        <x:v>31106</x:v>
      </x:c>
      <x:c r="DT76" s="14" t="n">
        <x:v>8</x:v>
      </x:c>
      <x:c r="DU76" s="14" t="n">
        <x:v>476</x:v>
      </x:c>
      <x:c r="DV76" s="14" t="n">
        <x:v>231</x:v>
      </x:c>
      <x:c r="DW76" s="14" t="n">
        <x:v>10</x:v>
      </x:c>
      <x:c r="DX76" s="14" t="n">
        <x:v>3</x:v>
      </x:c>
      <x:c r="DY76" s="14" t="str">
        <x:v>未收錄</x:v>
      </x:c>
      <x:c r="DZ76" s="14" t="str">
        <x:v>31107</x:v>
      </x:c>
      <x:c r="EA76" s="14" t="n">
        <x:v>8</x:v>
      </x:c>
      <x:c r="EB76" s="14" t="n">
        <x:v>477</x:v>
      </x:c>
      <x:c r="EC76" s="14" t="n">
        <x:v>232</x:v>
      </x:c>
      <x:c r="ED76" s="14" t="n">
        <x:v>10</x:v>
      </x:c>
      <x:c r="EE76" s="14" t="n">
        <x:v>4</x:v>
      </x:c>
      <x:c r="EF76" s="14" t="str">
        <x:v>未收錄</x:v>
      </x:c>
      <x:c r="EG76" s="14"/>
      <x:c r="EH76" s="14"/>
      <x:c r="EI76" s="14"/>
      <x:c r="EJ76" s="14"/>
      <x:c r="EK76" s="14"/>
      <x:c r="EL76" s="14"/>
      <x:c r="EM76" s="14"/>
      <x:c r="EN76" s="14"/>
      <x:c r="EO76" s="14"/>
      <x:c r="EP76" s="14"/>
      <x:c r="EQ76" s="14"/>
      <x:c r="ER76" s="14"/>
      <x:c r="ES76" s="14"/>
      <x:c r="ET76" s="14"/>
      <x:c r="EU76" s="14"/>
      <x:c r="EV76" s="14"/>
      <x:c r="EW76" s="14"/>
      <x:c r="EX76" s="14"/>
      <x:c r="EY76" s="14"/>
      <x:c r="EZ76" s="14"/>
      <x:c r="FA76" s="14"/>
      <x:c r="FB76" s="14"/>
      <x:c r="FC76" s="14"/>
      <x:c r="FD76" s="14"/>
      <x:c r="FE76" s="14"/>
      <x:c r="FF76" s="14"/>
      <x:c r="FG76" s="14"/>
      <x:c r="FH76" s="14"/>
      <x:c r="FI76" s="14"/>
      <x:c r="FJ76" s="14"/>
      <x:c r="FK76" s="14"/>
      <x:c r="FL76" s="14"/>
      <x:c r="FM76" s="14"/>
      <x:c r="FN76" s="14"/>
      <x:c r="FO76" s="14"/>
      <x:c r="FP76" s="14"/>
      <x:c r="FQ76" s="14"/>
      <x:c r="FR76" s="14"/>
      <x:c r="FS76" s="14"/>
      <x:c r="FT76" s="14"/>
      <x:c r="FU76" s="14"/>
      <x:c r="FV76" s="14"/>
      <x:c r="FW76" s="14"/>
      <x:c r="FX76" s="14"/>
      <x:c r="FY76" s="14"/>
      <x:c r="FZ76" s="14"/>
      <x:c r="GA76" s="14"/>
      <x:c r="GB76" s="14"/>
      <x:c r="GC76" s="14"/>
      <x:c r="GD76" s="14"/>
      <x:c r="GE76" s="14"/>
      <x:c r="GF76" s="14"/>
      <x:c r="GG76" s="14"/>
      <x:c r="GH76" s="14"/>
      <x:c r="GI76" s="14"/>
      <x:c r="GJ76" s="14"/>
      <x:c r="GK76" s="14"/>
      <x:c r="GL76" s="14"/>
      <x:c r="GM76" s="14"/>
      <x:c r="GN76" s="14"/>
      <x:c r="GO76" s="14"/>
      <x:c r="GP76" s="14"/>
      <x:c r="GQ76" s="14"/>
      <x:c r="GR76" s="14"/>
      <x:c r="GS76" s="14"/>
      <x:c r="GT76" s="14"/>
      <x:c r="GU76" s="14"/>
      <x:c r="GV76" s="14"/>
      <x:c r="GW76" s="14"/>
      <x:c r="GX76" s="14"/>
      <x:c r="GY76" s="14"/>
      <x:c r="GZ76" s="14"/>
      <x:c r="HA76" s="14"/>
      <x:c r="HB76" s="14"/>
      <x:c r="HC76" s="14"/>
      <x:c r="HD76" s="14"/>
      <x:c r="HE76" s="14"/>
      <x:c r="HF76" s="14"/>
      <x:c r="HG76" s="14"/>
      <x:c r="HH76" s="14"/>
      <x:c r="HI76" s="14"/>
      <x:c r="HJ76" s="14"/>
      <x:c r="HK76" s="14"/>
      <x:c r="HL76" s="14"/>
      <x:c r="HM76" s="14"/>
      <x:c r="HN76" s="14"/>
      <x:c r="HO76" s="14"/>
      <x:c r="HP76" s="14"/>
      <x:c r="HQ76" s="14"/>
      <x:c r="HR76" s="14"/>
      <x:c r="HS76" s="14"/>
      <x:c r="HT76" s="14"/>
      <x:c r="HU76" s="14"/>
      <x:c r="HV76" s="14"/>
      <x:c r="HW76" s="14"/>
      <x:c r="HX76" s="14"/>
      <x:c r="HY76" s="14"/>
      <x:c r="HZ76" s="14"/>
      <x:c r="IA76" s="14"/>
      <x:c r="IB76" s="14"/>
      <x:c r="IC76" s="14"/>
      <x:c r="ID76" s="14"/>
      <x:c r="IE76" s="14"/>
      <x:c r="IF76" s="14"/>
      <x:c r="IG76" s="14"/>
      <x:c r="IH76" s="14"/>
      <x:c r="II76" s="14"/>
      <x:c r="IJ76" s="14"/>
      <x:c r="IK76" s="14"/>
      <x:c r="IL76" s="14"/>
      <x:c r="IM76" s="14"/>
      <x:c r="IN76" s="14"/>
      <x:c r="IO76" s="14"/>
      <x:c r="IP76" s="14"/>
      <x:c r="IQ76" s="14"/>
      <x:c r="IR76" s="14"/>
      <x:c r="IS76" s="14"/>
      <x:c r="IT76" s="14"/>
      <x:c r="IU76" s="14"/>
      <x:c r="IV76" s="14"/>
      <x:c r="IW76" s="14"/>
      <x:c r="IX76" s="14"/>
      <x:c r="IY76" s="14"/>
      <x:c r="IZ76" s="14"/>
      <x:c r="JA76" s="14"/>
      <x:c r="JB76" s="14"/>
      <x:c r="JC76" s="14"/>
      <x:c r="JD76" s="14"/>
      <x:c r="JE76" s="14"/>
      <x:c r="JF76" s="14"/>
      <x:c r="JG76" s="14"/>
      <x:c r="JH76" s="14"/>
      <x:c r="JI76" s="14"/>
      <x:c r="JJ76" s="14"/>
      <x:c r="JK76" s="14"/>
      <x:c r="JL76" s="14"/>
      <x:c r="JM76" s="14"/>
      <x:c r="JN76" s="14"/>
      <x:c r="JO76" s="14"/>
      <x:c r="JP76" s="14"/>
      <x:c r="JQ76" s="14"/>
      <x:c r="JR76" s="14"/>
      <x:c r="JS76" s="14"/>
      <x:c r="JT76" s="14"/>
      <x:c r="JU76" s="14"/>
      <x:c r="JV76" s="14"/>
      <x:c r="JW76" s="14"/>
      <x:c r="JX76" s="14"/>
      <x:c r="JY76" s="14"/>
      <x:c r="JZ76" s="14"/>
      <x:c r="KA76" s="14"/>
      <x:c r="KB76" s="14"/>
      <x:c r="KC76" s="14"/>
      <x:c r="KD76" s="14"/>
      <x:c r="KE76" s="14"/>
      <x:c r="KF76" s="14"/>
      <x:c r="KG76" s="14"/>
      <x:c r="KH76" s="14"/>
      <x:c r="KI76" s="14"/>
      <x:c r="KJ76" s="14"/>
      <x:c r="KK76" s="14"/>
      <x:c r="KL76" s="14"/>
      <x:c r="KM76" s="14"/>
      <x:c r="KN76" s="14"/>
      <x:c r="KO76" s="14"/>
      <x:c r="KP76" s="14"/>
      <x:c r="KQ76" s="14"/>
      <x:c r="KR76" s="14"/>
      <x:c r="KS76" s="14"/>
      <x:c r="KT76" s="14"/>
      <x:c r="KU76" s="14"/>
      <x:c r="KV76" s="14"/>
      <x:c r="KW76" s="14"/>
      <x:c r="KX76" s="14"/>
      <x:c r="KY76" s="14"/>
      <x:c r="KZ76" s="14"/>
      <x:c r="LA76" s="14"/>
      <x:c r="LB76" s="14"/>
      <x:c r="LC76" s="14"/>
      <x:c r="LD76" s="14"/>
      <x:c r="LE76" s="14"/>
      <x:c r="LF76" s="14"/>
      <x:c r="LG76" s="14"/>
      <x:c r="LH76" s="14"/>
      <x:c r="LI76" s="14"/>
      <x:c r="LJ76" s="14"/>
      <x:c r="LK76" s="14"/>
      <x:c r="LL76" s="14"/>
      <x:c r="LM76" s="14"/>
      <x:c r="LN76" s="14"/>
      <x:c r="LO76" s="14"/>
      <x:c r="LP76" s="14"/>
      <x:c r="LQ76" s="14"/>
      <x:c r="LR76" s="14"/>
      <x:c r="LS76" s="14"/>
      <x:c r="LT76" s="14"/>
      <x:c r="LU76" s="14"/>
      <x:c r="LV76" s="14"/>
      <x:c r="LW76" s="14"/>
      <x:c r="LX76" s="14"/>
      <x:c r="LY76" s="14"/>
      <x:c r="LZ76" s="14"/>
      <x:c r="MA76" s="14"/>
      <x:c r="MB76" s="14"/>
      <x:c r="MC76" s="14"/>
      <x:c r="MD76" s="14"/>
      <x:c r="ME76" s="14"/>
      <x:c r="MF76" s="14"/>
      <x:c r="MG76" s="14"/>
      <x:c r="MH76" s="14"/>
      <x:c r="MI76" s="14"/>
      <x:c r="MJ76" s="14"/>
      <x:c r="MK76" s="14"/>
      <x:c r="ML76" s="14"/>
      <x:c r="MM76" s="14"/>
      <x:c r="MN76" s="14"/>
      <x:c r="MO76" s="14"/>
      <x:c r="MP76" s="14"/>
      <x:c r="MQ76" s="14"/>
      <x:c r="MR76" s="14"/>
      <x:c r="MS76" s="14"/>
      <x:c r="MT76" s="14"/>
      <x:c r="MU76" s="14"/>
      <x:c r="MV76" s="14"/>
      <x:c r="MW76" s="14" t="str">
        <x:v>27077</x:v>
      </x:c>
      <x:c r="MX76" s="14" t="n">
        <x:v>5</x:v>
      </x:c>
      <x:c r="MY76" s="14" t="n">
        <x:v>1877</x:v>
      </x:c>
      <x:c r="MZ76" s="14" t="n">
        <x:v>229</x:v>
      </x:c>
      <x:c r="NA76" s="14" t="n">
        <x:v>10</x:v>
      </x:c>
      <x:c r="NB76" s="14" t="n">
        <x:v>1</x:v>
      </x:c>
      <x:c r="NC76" s="14" t="str">
        <x:v>未收錄</x:v>
      </x:c>
      <x:c r="ND76" s="14" t="str">
        <x:v>27078</x:v>
      </x:c>
      <x:c r="NE76" s="14" t="n">
        <x:v>5</x:v>
      </x:c>
      <x:c r="NF76" s="14" t="n">
        <x:v>1878</x:v>
      </x:c>
      <x:c r="NG76" s="14" t="n">
        <x:v>230</x:v>
      </x:c>
      <x:c r="NH76" s="14" t="n">
        <x:v>10</x:v>
      </x:c>
      <x:c r="NI76" s="14" t="n">
        <x:v>2</x:v>
      </x:c>
      <x:c r="NJ76" s="14" t="str">
        <x:v>未收錄</x:v>
      </x:c>
      <x:c r="NK76" s="14" t="str">
        <x:v>27399</x:v>
      </x:c>
      <x:c r="NL76" s="14" t="n">
        <x:v>10</x:v>
      </x:c>
      <x:c r="NM76" s="14" t="n">
        <x:v>1879</x:v>
      </x:c>
      <x:c r="NN76" s="14" t="n">
        <x:v>231</x:v>
      </x:c>
      <x:c r="NO76" s="14" t="n">
        <x:v>10</x:v>
      </x:c>
      <x:c r="NP76" s="14" t="n">
        <x:v>3</x:v>
      </x:c>
      <x:c r="NQ76" s="14" t="str">
        <x:v>未收錄</x:v>
      </x:c>
      <x:c r="NR76" s="14" t="str">
        <x:v>27210</x:v>
      </x:c>
      <x:c r="NS76" s="14" t="n">
        <x:v>10</x:v>
      </x:c>
      <x:c r="NT76" s="14" t="n">
        <x:v>1880</x:v>
      </x:c>
      <x:c r="NU76" s="14" t="n">
        <x:v>232</x:v>
      </x:c>
      <x:c r="NV76" s="14" t="n">
        <x:v>10</x:v>
      </x:c>
      <x:c r="NW76" s="14" t="n">
        <x:v>4</x:v>
      </x:c>
      <x:c r="NX76" s="14" t="str">
        <x:v>未收錄</x:v>
      </x:c>
      <x:c r="NY76" s="14" t="str">
        <x:v>26299</x:v>
      </x:c>
      <x:c r="NZ76" s="14" t="n">
        <x:v>10</x:v>
      </x:c>
      <x:c r="OA76" s="14" t="n">
        <x:v>2330</x:v>
      </x:c>
      <x:c r="OB76" s="14" t="n">
        <x:v>229</x:v>
      </x:c>
      <x:c r="OC76" s="14" t="n">
        <x:v>10</x:v>
      </x:c>
      <x:c r="OD76" s="14" t="n">
        <x:v>1</x:v>
      </x:c>
      <x:c r="OE76" s="14" t="str">
        <x:v>未收錄</x:v>
      </x:c>
      <x:c r="OF76" s="14" t="str">
        <x:v>26301</x:v>
      </x:c>
      <x:c r="OG76" s="14" t="n">
        <x:v>10</x:v>
      </x:c>
      <x:c r="OH76" s="14" t="n">
        <x:v>2331</x:v>
      </x:c>
      <x:c r="OI76" s="14" t="n">
        <x:v>230</x:v>
      </x:c>
      <x:c r="OJ76" s="14" t="n">
        <x:v>10</x:v>
      </x:c>
      <x:c r="OK76" s="14" t="n">
        <x:v>2</x:v>
      </x:c>
      <x:c r="OL76" s="14" t="str">
        <x:v>未收錄</x:v>
      </x:c>
      <x:c r="OM76" s="14" t="str">
        <x:v>26300</x:v>
      </x:c>
      <x:c r="ON76" s="14" t="n">
        <x:v>10</x:v>
      </x:c>
      <x:c r="OO76" s="14" t="n">
        <x:v>2332</x:v>
      </x:c>
      <x:c r="OP76" s="14" t="n">
        <x:v>231</x:v>
      </x:c>
      <x:c r="OQ76" s="14" t="n">
        <x:v>10</x:v>
      </x:c>
      <x:c r="OR76" s="14" t="n">
        <x:v>3</x:v>
      </x:c>
      <x:c r="OS76" s="14" t="str">
        <x:v>未收錄</x:v>
      </x:c>
      <x:c r="OT76" s="14" t="str">
        <x:v>26419</x:v>
      </x:c>
      <x:c r="OU76" s="14" t="n">
        <x:v>10</x:v>
      </x:c>
      <x:c r="OV76" s="14" t="n">
        <x:v>2333</x:v>
      </x:c>
      <x:c r="OW76" s="14" t="n">
        <x:v>232</x:v>
      </x:c>
      <x:c r="OX76" s="14" t="n">
        <x:v>10</x:v>
      </x:c>
      <x:c r="OY76" s="14" t="n">
        <x:v>4</x:v>
      </x:c>
      <x:c r="OZ76" s="14" t="str">
        <x:v>未收錄</x:v>
      </x:c>
      <x:c r="PA76" s="14" t="str">
        <x:v>27128</x:v>
      </x:c>
      <x:c r="PB76" s="14" t="n">
        <x:v>5</x:v>
      </x:c>
      <x:c r="PC76" s="14" t="n">
        <x:v>2876</x:v>
      </x:c>
      <x:c r="PD76" s="14" t="n">
        <x:v>229</x:v>
      </x:c>
      <x:c r="PE76" s="14" t="n">
        <x:v>10</x:v>
      </x:c>
      <x:c r="PF76" s="14" t="n">
        <x:v>1</x:v>
      </x:c>
      <x:c r="PG76" s="14" t="str">
        <x:v>未收錄</x:v>
      </x:c>
      <x:c r="PH76" s="14" t="str">
        <x:v>27220</x:v>
      </x:c>
      <x:c r="PI76" s="14" t="n">
        <x:v>10</x:v>
      </x:c>
      <x:c r="PJ76" s="14" t="n">
        <x:v>2877</x:v>
      </x:c>
      <x:c r="PK76" s="14" t="n">
        <x:v>230</x:v>
      </x:c>
      <x:c r="PL76" s="14" t="n">
        <x:v>10</x:v>
      </x:c>
      <x:c r="PM76" s="14" t="n">
        <x:v>2</x:v>
      </x:c>
      <x:c r="PN76" s="14" t="str">
        <x:v>未收錄</x:v>
      </x:c>
      <x:c r="PO76" s="14" t="str">
        <x:v>27405</x:v>
      </x:c>
      <x:c r="PP76" s="14" t="n">
        <x:v>10</x:v>
      </x:c>
      <x:c r="PQ76" s="14" t="n">
        <x:v>2878</x:v>
      </x:c>
      <x:c r="PR76" s="14" t="n">
        <x:v>231</x:v>
      </x:c>
      <x:c r="PS76" s="14" t="n">
        <x:v>10</x:v>
      </x:c>
      <x:c r="PT76" s="14" t="n">
        <x:v>3</x:v>
      </x:c>
      <x:c r="PU76" s="14" t="str">
        <x:v>未收錄</x:v>
      </x:c>
      <x:c r="PV76" s="14" t="str">
        <x:v>27129</x:v>
      </x:c>
      <x:c r="PW76" s="14" t="n">
        <x:v>5</x:v>
      </x:c>
      <x:c r="PX76" s="14" t="n">
        <x:v>2879</x:v>
      </x:c>
      <x:c r="PY76" s="14" t="n">
        <x:v>232</x:v>
      </x:c>
      <x:c r="PZ76" s="14" t="n">
        <x:v>10</x:v>
      </x:c>
      <x:c r="QA76" s="14" t="n">
        <x:v>4</x:v>
      </x:c>
      <x:c r="QB76" s="14" t="str">
        <x:v>未收錄</x:v>
      </x:c>
      <x:c r="QC76" s="14" t="str">
        <x:v>27408</x:v>
      </x:c>
      <x:c r="QD76" s="14" t="n">
        <x:v>10</x:v>
      </x:c>
      <x:c r="QE76" s="14" t="n">
        <x:v>3313</x:v>
      </x:c>
      <x:c r="QF76" s="14" t="n">
        <x:v>229</x:v>
      </x:c>
      <x:c r="QG76" s="14" t="n">
        <x:v>10</x:v>
      </x:c>
      <x:c r="QH76" s="14" t="n">
        <x:v>1</x:v>
      </x:c>
      <x:c r="QI76" s="14" t="str">
        <x:v>未收錄</x:v>
      </x:c>
      <x:c r="QJ76" s="14" t="str">
        <x:v>27420</x:v>
      </x:c>
      <x:c r="QK76" s="14" t="n">
        <x:v>10</x:v>
      </x:c>
      <x:c r="QL76" s="14" t="n">
        <x:v>3314</x:v>
      </x:c>
      <x:c r="QM76" s="14" t="n">
        <x:v>230</x:v>
      </x:c>
      <x:c r="QN76" s="14" t="n">
        <x:v>10</x:v>
      </x:c>
      <x:c r="QO76" s="14" t="n">
        <x:v>2</x:v>
      </x:c>
      <x:c r="QP76" s="14" t="str">
        <x:v>未收錄</x:v>
      </x:c>
      <x:c r="QQ76" s="14" t="str">
        <x:v>27144</x:v>
      </x:c>
      <x:c r="QR76" s="14" t="n">
        <x:v>5</x:v>
      </x:c>
      <x:c r="QS76" s="14" t="n">
        <x:v>3315</x:v>
      </x:c>
      <x:c r="QT76" s="14" t="n">
        <x:v>231</x:v>
      </x:c>
      <x:c r="QU76" s="14" t="n">
        <x:v>10</x:v>
      </x:c>
      <x:c r="QV76" s="14" t="n">
        <x:v>3</x:v>
      </x:c>
      <x:c r="QW76" s="14" t="str">
        <x:v>未收錄</x:v>
      </x:c>
      <x:c r="QX76" s="14" t="str">
        <x:v>27145</x:v>
      </x:c>
      <x:c r="QY76" s="14" t="n">
        <x:v>5</x:v>
      </x:c>
      <x:c r="QZ76" s="14" t="n">
        <x:v>3316</x:v>
      </x:c>
      <x:c r="RA76" s="14" t="n">
        <x:v>232</x:v>
      </x:c>
      <x:c r="RB76" s="14" t="n">
        <x:v>10</x:v>
      </x:c>
      <x:c r="RC76" s="14" t="n">
        <x:v>4</x:v>
      </x:c>
      <x:c r="RD76" s="14" t="str">
        <x:v>未收錄</x:v>
      </x:c>
      <x:c r="RE76" s="14" t="str">
        <x:v>27580</x:v>
      </x:c>
      <x:c r="RF76" s="14" t="n">
        <x:v>10</x:v>
      </x:c>
      <x:c r="RG76" s="14" t="n">
        <x:v>3774</x:v>
      </x:c>
      <x:c r="RH76" s="14" t="n">
        <x:v>229</x:v>
      </x:c>
      <x:c r="RI76" s="14" t="n">
        <x:v>10</x:v>
      </x:c>
      <x:c r="RJ76" s="14" t="n">
        <x:v>1</x:v>
      </x:c>
      <x:c r="RK76" s="14" t="str">
        <x:v>未收錄</x:v>
      </x:c>
      <x:c r="RL76" s="14" t="str">
        <x:v>27950</x:v>
      </x:c>
      <x:c r="RM76" s="14" t="n">
        <x:v>5</x:v>
      </x:c>
      <x:c r="RN76" s="14" t="n">
        <x:v>3775</x:v>
      </x:c>
      <x:c r="RO76" s="14" t="n">
        <x:v>230</x:v>
      </x:c>
      <x:c r="RP76" s="14" t="n">
        <x:v>10</x:v>
      </x:c>
      <x:c r="RQ76" s="14" t="n">
        <x:v>2</x:v>
      </x:c>
      <x:c r="RR76" s="14" t="str">
        <x:v>未收錄</x:v>
      </x:c>
      <x:c r="RS76" s="14" t="str">
        <x:v>27951</x:v>
      </x:c>
      <x:c r="RT76" s="14" t="n">
        <x:v>5</x:v>
      </x:c>
      <x:c r="RU76" s="14" t="n">
        <x:v>3776</x:v>
      </x:c>
      <x:c r="RV76" s="14" t="n">
        <x:v>231</x:v>
      </x:c>
      <x:c r="RW76" s="14" t="n">
        <x:v>10</x:v>
      </x:c>
      <x:c r="RX76" s="14" t="n">
        <x:v>3</x:v>
      </x:c>
      <x:c r="RY76" s="14" t="str">
        <x:v>未收錄</x:v>
      </x:c>
      <x:c r="RZ76" s="14" t="str">
        <x:v>28011</x:v>
      </x:c>
      <x:c r="SA76" s="14" t="n">
        <x:v>5</x:v>
      </x:c>
      <x:c r="SB76" s="14" t="n">
        <x:v>3777</x:v>
      </x:c>
      <x:c r="SC76" s="14" t="n">
        <x:v>232</x:v>
      </x:c>
      <x:c r="SD76" s="14" t="n">
        <x:v>10</x:v>
      </x:c>
      <x:c r="SE76" s="14" t="n">
        <x:v>4</x:v>
      </x:c>
      <x:c r="SF76" s="14" t="str">
        <x:v>未收錄</x:v>
      </x:c>
      <x:c r="SG76" s="14"/>
      <x:c r="SH76" s="14"/>
      <x:c r="SI76" s="14"/>
      <x:c r="SJ76" s="14"/>
      <x:c r="SK76" s="14"/>
      <x:c r="SL76" s="14"/>
      <x:c r="SM76" s="14"/>
      <x:c r="SN76" s="14"/>
      <x:c r="SO76" s="14"/>
      <x:c r="SP76" s="14"/>
      <x:c r="SQ76" s="14"/>
      <x:c r="SR76" s="14"/>
      <x:c r="SS76" s="14"/>
      <x:c r="ST76" s="14"/>
      <x:c r="SU76" s="14"/>
      <x:c r="SV76" s="14"/>
      <x:c r="SW76" s="14"/>
      <x:c r="SX76" s="14"/>
      <x:c r="SY76" s="14"/>
      <x:c r="SZ76" s="14"/>
      <x:c r="TA76" s="14"/>
      <x:c r="TB76" s="14"/>
      <x:c r="TC76" s="14"/>
      <x:c r="TD76" s="14"/>
      <x:c r="TE76" s="14"/>
      <x:c r="TF76" s="14"/>
      <x:c r="TG76" s="14"/>
      <x:c r="TH76" s="14"/>
    </x:row>
    <x:row r="77" ht="15" customHeight="1">
      <x:c r="A77" s="17" t="str">
        <x:v>赫絕緋暮劍</x:v>
      </x:c>
      <x:c r="B77" s="17" t="str">
        <x:v>赫絕緋暮劍</x:v>
      </x:c>
      <x:c r="C77" s="17" t="str">
        <x:v>真龍漢天劍</x:v>
      </x:c>
      <x:c r="D77" s="17" t="str">
        <x:v>真龍漢天劍</x:v>
      </x:c>
      <x:c r="E77" s="14"/>
      <x:c r="F77" s="17" t="str">
        <x:v>泰源玉刀Ⅲ</x:v>
      </x:c>
      <x:c r="G77" s="17" t="str">
        <x:v>泰源玉刀Ⅳ</x:v>
      </x:c>
      <x:c r="H77" s="17" t="str">
        <x:v>泰源玉刀Ⅴ</x:v>
      </x:c>
      <x:c r="I77" s="17" t="str">
        <x:v>獵刀．天狼王</x:v>
      </x:c>
      <x:c r="J77" s="14"/>
      <x:c r="K77" s="14"/>
      <x:c r="L77" s="14"/>
      <x:c r="M77" s="14"/>
      <x:c r="N77" s="14"/>
      <x:c r="O77" s="14"/>
      <x:c r="P77" s="14"/>
      <x:c r="Q77" s="14"/>
      <x:c r="R77" s="14"/>
      <x:c r="S77" s="14"/>
      <x:c r="T77" s="14"/>
      <x:c r="U77" s="14"/>
      <x:c r="V77" s="14"/>
      <x:c r="W77" s="14"/>
      <x:c r="X77" s="14"/>
      <x:c r="Y77" s="14"/>
      <x:c r="Z77" s="14"/>
      <x:c r="AA77" s="14"/>
      <x:c r="AB77" s="14"/>
      <x:c r="AC77" s="14"/>
      <x:c r="AD77" s="14"/>
      <x:c r="AE77" s="14"/>
      <x:c r="AF77" s="14"/>
      <x:c r="AG77" s="14"/>
      <x:c r="AH77" s="14"/>
      <x:c r="AI77" s="14"/>
      <x:c r="AJ77" s="14"/>
      <x:c r="AK77" s="14"/>
      <x:c r="AL77" s="14"/>
      <x:c r="AM77" s="14"/>
      <x:c r="AN77" s="14"/>
      <x:c r="AO77" s="14"/>
      <x:c r="AP77" s="14"/>
      <x:c r="AQ77" s="14"/>
      <x:c r="AR77" s="14"/>
      <x:c r="AS77" s="14"/>
      <x:c r="AT77" s="14"/>
      <x:c r="AU77" s="14"/>
      <x:c r="AV77" s="14"/>
      <x:c r="AW77" s="14"/>
      <x:c r="AX77" s="14"/>
      <x:c r="AY77" s="17" t="str">
        <x:v>仙鑄‧劍聖盔</x:v>
      </x:c>
      <x:c r="AZ77" s="17" t="str">
        <x:v>仙鑄‧武尊盔</x:v>
      </x:c>
      <x:c r="BA77" s="17" t="str">
        <x:v>仙鑄‧術幻紗</x:v>
      </x:c>
      <x:c r="BB77" s="17" t="str">
        <x:v>仙鑄‧道輝冠</x:v>
      </x:c>
      <x:c r="BC77" s="14"/>
      <x:c r="BD77" s="17" t="str">
        <x:v>天狗法衣‧帝</x:v>
      </x:c>
      <x:c r="BE77" s="17" t="str">
        <x:v>飛仙雲甲</x:v>
      </x:c>
      <x:c r="BF77" s="17" t="str">
        <x:v>泰山將鎧</x:v>
      </x:c>
      <x:c r="BG77" s="17" t="str">
        <x:v>天蝶羽霓</x:v>
      </x:c>
      <x:c r="BH77" s="14"/>
      <x:c r="BI77" s="17" t="str">
        <x:v>宇傲‧武尊臂</x:v>
      </x:c>
      <x:c r="BJ77" s="17" t="str">
        <x:v>宇傲‧術幻指</x:v>
      </x:c>
      <x:c r="BK77" s="17" t="str">
        <x:v>宇傲‧道輝手</x:v>
      </x:c>
      <x:c r="BL77" s="17" t="str">
        <x:v>宇傲‧禪光握</x:v>
      </x:c>
      <x:c r="BM77" s="14"/>
      <x:c r="BN77" s="17" t="str">
        <x:v>神煉‧術幻履</x:v>
      </x:c>
      <x:c r="BO77" s="17" t="str">
        <x:v>神煉‧道輝步</x:v>
      </x:c>
      <x:c r="BP77" s="17" t="str">
        <x:v>神煉‧禪光行</x:v>
      </x:c>
      <x:c r="BQ77" s="17" t="str">
        <x:v>神煉‧窮奇靴</x:v>
      </x:c>
      <x:c r="BR77" s="14"/>
      <x:c r="BS77" s="17" t="str">
        <x:v>超聖白虎之心</x:v>
      </x:c>
      <x:c r="BT77" s="17" t="str">
        <x:v>超聖青龍之心</x:v>
      </x:c>
      <x:c r="BU77" s="17" t="str">
        <x:v>超聖鳳凰之心</x:v>
      </x:c>
      <x:c r="BV77" s="17" t="str">
        <x:v>擎陽不周戒</x:v>
      </x:c>
      <x:c r="BW77" s="14"/>
      <x:c r="BX77" s="14"/>
      <x:c r="BY77" s="14"/>
      <x:c r="BZ77" s="14"/>
      <x:c r="CA77" s="14"/>
      <x:c r="CB77" s="14"/>
      <x:c r="CC77" s="14" t="str">
        <x:v>30611</x:v>
      </x:c>
      <x:c r="CD77" s="14" t="n">
        <x:v>20</x:v>
      </x:c>
      <x:c r="CE77" s="14" t="n">
        <x:v>233</x:v>
      </x:c>
      <x:c r="CF77" s="14" t="n">
        <x:v>233</x:v>
      </x:c>
      <x:c r="CG77" s="14" t="n">
        <x:v>11</x:v>
      </x:c>
      <x:c r="CH77" s="14" t="n">
        <x:v>1</x:v>
      </x:c>
      <x:c r="CI77" s="14" t="str">
        <x:v>未收錄</x:v>
      </x:c>
      <x:c r="CJ77" s="14" t="str">
        <x:v>30621</x:v>
      </x:c>
      <x:c r="CK77" s="14" t="n">
        <x:v>20</x:v>
      </x:c>
      <x:c r="CL77" s="14" t="n">
        <x:v>234</x:v>
      </x:c>
      <x:c r="CM77" s="14" t="n">
        <x:v>234</x:v>
      </x:c>
      <x:c r="CN77" s="14" t="n">
        <x:v>11</x:v>
      </x:c>
      <x:c r="CO77" s="14" t="n">
        <x:v>2</x:v>
      </x:c>
      <x:c r="CP77" s="14" t="str">
        <x:v>未收錄</x:v>
      </x:c>
      <x:c r="CQ77" s="14" t="str">
        <x:v>30949</x:v>
      </x:c>
      <x:c r="CR77" s="14" t="n">
        <x:v>20</x:v>
      </x:c>
      <x:c r="CS77" s="14" t="n">
        <x:v>235</x:v>
      </x:c>
      <x:c r="CT77" s="14" t="n">
        <x:v>235</x:v>
      </x:c>
      <x:c r="CU77" s="14" t="n">
        <x:v>11</x:v>
      </x:c>
      <x:c r="CV77" s="14" t="n">
        <x:v>3</x:v>
      </x:c>
      <x:c r="CW77" s="14" t="str">
        <x:v>未收錄</x:v>
      </x:c>
      <x:c r="CX77" s="14" t="str">
        <x:v>30959</x:v>
      </x:c>
      <x:c r="CY77" s="14" t="n">
        <x:v>20</x:v>
      </x:c>
      <x:c r="CZ77" s="14" t="n">
        <x:v>236</x:v>
      </x:c>
      <x:c r="DA77" s="14" t="n">
        <x:v>236</x:v>
      </x:c>
      <x:c r="DB77" s="14" t="n">
        <x:v>11</x:v>
      </x:c>
      <x:c r="DC77" s="14" t="n">
        <x:v>4</x:v>
      </x:c>
      <x:c r="DD77" s="14" t="str">
        <x:v>未收錄</x:v>
      </x:c>
      <x:c r="DE77" s="14" t="str">
        <x:v>31108</x:v>
      </x:c>
      <x:c r="DF77" s="14" t="n">
        <x:v>8</x:v>
      </x:c>
      <x:c r="DG77" s="14" t="n">
        <x:v>478</x:v>
      </x:c>
      <x:c r="DH77" s="14" t="n">
        <x:v>233</x:v>
      </x:c>
      <x:c r="DI77" s="14" t="n">
        <x:v>11</x:v>
      </x:c>
      <x:c r="DJ77" s="14" t="n">
        <x:v>1</x:v>
      </x:c>
      <x:c r="DK77" s="14" t="str">
        <x:v>未收錄</x:v>
      </x:c>
      <x:c r="DL77" s="14" t="str">
        <x:v>31109</x:v>
      </x:c>
      <x:c r="DM77" s="14" t="n">
        <x:v>8</x:v>
      </x:c>
      <x:c r="DN77" s="14" t="n">
        <x:v>479</x:v>
      </x:c>
      <x:c r="DO77" s="14" t="n">
        <x:v>234</x:v>
      </x:c>
      <x:c r="DP77" s="14" t="n">
        <x:v>11</x:v>
      </x:c>
      <x:c r="DQ77" s="14" t="n">
        <x:v>2</x:v>
      </x:c>
      <x:c r="DR77" s="14" t="str">
        <x:v>未收錄</x:v>
      </x:c>
      <x:c r="DS77" s="14" t="str">
        <x:v>31110</x:v>
      </x:c>
      <x:c r="DT77" s="14" t="n">
        <x:v>8</x:v>
      </x:c>
      <x:c r="DU77" s="14" t="n">
        <x:v>480</x:v>
      </x:c>
      <x:c r="DV77" s="14" t="n">
        <x:v>235</x:v>
      </x:c>
      <x:c r="DW77" s="14" t="n">
        <x:v>11</x:v>
      </x:c>
      <x:c r="DX77" s="14" t="n">
        <x:v>3</x:v>
      </x:c>
      <x:c r="DY77" s="14" t="str">
        <x:v>未收錄</x:v>
      </x:c>
      <x:c r="DZ77" s="14" t="str">
        <x:v>32187</x:v>
      </x:c>
      <x:c r="EA77" s="14" t="n">
        <x:v>2</x:v>
      </x:c>
      <x:c r="EB77" s="14" t="n">
        <x:v>481</x:v>
      </x:c>
      <x:c r="EC77" s="14" t="n">
        <x:v>236</x:v>
      </x:c>
      <x:c r="ED77" s="14" t="n">
        <x:v>11</x:v>
      </x:c>
      <x:c r="EE77" s="14" t="n">
        <x:v>4</x:v>
      </x:c>
      <x:c r="EF77" s="14" t="str">
        <x:v>未收錄</x:v>
      </x:c>
      <x:c r="EG77" s="14"/>
      <x:c r="EH77" s="14"/>
      <x:c r="EI77" s="14"/>
      <x:c r="EJ77" s="14"/>
      <x:c r="EK77" s="14"/>
      <x:c r="EL77" s="14"/>
      <x:c r="EM77" s="14"/>
      <x:c r="EN77" s="14"/>
      <x:c r="EO77" s="14"/>
      <x:c r="EP77" s="14"/>
      <x:c r="EQ77" s="14"/>
      <x:c r="ER77" s="14"/>
      <x:c r="ES77" s="14"/>
      <x:c r="ET77" s="14"/>
      <x:c r="EU77" s="14"/>
      <x:c r="EV77" s="14"/>
      <x:c r="EW77" s="14"/>
      <x:c r="EX77" s="14"/>
      <x:c r="EY77" s="14"/>
      <x:c r="EZ77" s="14"/>
      <x:c r="FA77" s="14"/>
      <x:c r="FB77" s="14"/>
      <x:c r="FC77" s="14"/>
      <x:c r="FD77" s="14"/>
      <x:c r="FE77" s="14"/>
      <x:c r="FF77" s="14"/>
      <x:c r="FG77" s="14"/>
      <x:c r="FH77" s="14"/>
      <x:c r="FI77" s="14"/>
      <x:c r="FJ77" s="14"/>
      <x:c r="FK77" s="14"/>
      <x:c r="FL77" s="14"/>
      <x:c r="FM77" s="14"/>
      <x:c r="FN77" s="14"/>
      <x:c r="FO77" s="14"/>
      <x:c r="FP77" s="14"/>
      <x:c r="FQ77" s="14"/>
      <x:c r="FR77" s="14"/>
      <x:c r="FS77" s="14"/>
      <x:c r="FT77" s="14"/>
      <x:c r="FU77" s="14"/>
      <x:c r="FV77" s="14"/>
      <x:c r="FW77" s="14"/>
      <x:c r="FX77" s="14"/>
      <x:c r="FY77" s="14"/>
      <x:c r="FZ77" s="14"/>
      <x:c r="GA77" s="14"/>
      <x:c r="GB77" s="14"/>
      <x:c r="GC77" s="14"/>
      <x:c r="GD77" s="14"/>
      <x:c r="GE77" s="14"/>
      <x:c r="GF77" s="14"/>
      <x:c r="GG77" s="14"/>
      <x:c r="GH77" s="14"/>
      <x:c r="GI77" s="14"/>
      <x:c r="GJ77" s="14"/>
      <x:c r="GK77" s="14"/>
      <x:c r="GL77" s="14"/>
      <x:c r="GM77" s="14"/>
      <x:c r="GN77" s="14"/>
      <x:c r="GO77" s="14"/>
      <x:c r="GP77" s="14"/>
      <x:c r="GQ77" s="14"/>
      <x:c r="GR77" s="14"/>
      <x:c r="GS77" s="14"/>
      <x:c r="GT77" s="14"/>
      <x:c r="GU77" s="14"/>
      <x:c r="GV77" s="14"/>
      <x:c r="GW77" s="14"/>
      <x:c r="GX77" s="14"/>
      <x:c r="GY77" s="14"/>
      <x:c r="GZ77" s="14"/>
      <x:c r="HA77" s="14"/>
      <x:c r="HB77" s="14"/>
      <x:c r="HC77" s="14"/>
      <x:c r="HD77" s="14"/>
      <x:c r="HE77" s="14"/>
      <x:c r="HF77" s="14"/>
      <x:c r="HG77" s="14"/>
      <x:c r="HH77" s="14"/>
      <x:c r="HI77" s="14"/>
      <x:c r="HJ77" s="14"/>
      <x:c r="HK77" s="14"/>
      <x:c r="HL77" s="14"/>
      <x:c r="HM77" s="14"/>
      <x:c r="HN77" s="14"/>
      <x:c r="HO77" s="14"/>
      <x:c r="HP77" s="14"/>
      <x:c r="HQ77" s="14"/>
      <x:c r="HR77" s="14"/>
      <x:c r="HS77" s="14"/>
      <x:c r="HT77" s="14"/>
      <x:c r="HU77" s="14"/>
      <x:c r="HV77" s="14"/>
      <x:c r="HW77" s="14"/>
      <x:c r="HX77" s="14"/>
      <x:c r="HY77" s="14"/>
      <x:c r="HZ77" s="14"/>
      <x:c r="IA77" s="14"/>
      <x:c r="IB77" s="14"/>
      <x:c r="IC77" s="14"/>
      <x:c r="ID77" s="14"/>
      <x:c r="IE77" s="14"/>
      <x:c r="IF77" s="14"/>
      <x:c r="IG77" s="14"/>
      <x:c r="IH77" s="14"/>
      <x:c r="II77" s="14"/>
      <x:c r="IJ77" s="14"/>
      <x:c r="IK77" s="14"/>
      <x:c r="IL77" s="14"/>
      <x:c r="IM77" s="14"/>
      <x:c r="IN77" s="14"/>
      <x:c r="IO77" s="14"/>
      <x:c r="IP77" s="14"/>
      <x:c r="IQ77" s="14"/>
      <x:c r="IR77" s="14"/>
      <x:c r="IS77" s="14"/>
      <x:c r="IT77" s="14"/>
      <x:c r="IU77" s="14"/>
      <x:c r="IV77" s="14"/>
      <x:c r="IW77" s="14"/>
      <x:c r="IX77" s="14"/>
      <x:c r="IY77" s="14"/>
      <x:c r="IZ77" s="14"/>
      <x:c r="JA77" s="14"/>
      <x:c r="JB77" s="14"/>
      <x:c r="JC77" s="14"/>
      <x:c r="JD77" s="14"/>
      <x:c r="JE77" s="14"/>
      <x:c r="JF77" s="14"/>
      <x:c r="JG77" s="14"/>
      <x:c r="JH77" s="14"/>
      <x:c r="JI77" s="14"/>
      <x:c r="JJ77" s="14"/>
      <x:c r="JK77" s="14"/>
      <x:c r="JL77" s="14"/>
      <x:c r="JM77" s="14"/>
      <x:c r="JN77" s="14"/>
      <x:c r="JO77" s="14"/>
      <x:c r="JP77" s="14"/>
      <x:c r="JQ77" s="14"/>
      <x:c r="JR77" s="14"/>
      <x:c r="JS77" s="14"/>
      <x:c r="JT77" s="14"/>
      <x:c r="JU77" s="14"/>
      <x:c r="JV77" s="14"/>
      <x:c r="JW77" s="14"/>
      <x:c r="JX77" s="14"/>
      <x:c r="JY77" s="14"/>
      <x:c r="JZ77" s="14"/>
      <x:c r="KA77" s="14"/>
      <x:c r="KB77" s="14"/>
      <x:c r="KC77" s="14"/>
      <x:c r="KD77" s="14"/>
      <x:c r="KE77" s="14"/>
      <x:c r="KF77" s="14"/>
      <x:c r="KG77" s="14"/>
      <x:c r="KH77" s="14"/>
      <x:c r="KI77" s="14"/>
      <x:c r="KJ77" s="14"/>
      <x:c r="KK77" s="14"/>
      <x:c r="KL77" s="14"/>
      <x:c r="KM77" s="14"/>
      <x:c r="KN77" s="14"/>
      <x:c r="KO77" s="14"/>
      <x:c r="KP77" s="14"/>
      <x:c r="KQ77" s="14"/>
      <x:c r="KR77" s="14"/>
      <x:c r="KS77" s="14"/>
      <x:c r="KT77" s="14"/>
      <x:c r="KU77" s="14"/>
      <x:c r="KV77" s="14"/>
      <x:c r="KW77" s="14"/>
      <x:c r="KX77" s="14"/>
      <x:c r="KY77" s="14"/>
      <x:c r="KZ77" s="14"/>
      <x:c r="LA77" s="14"/>
      <x:c r="LB77" s="14"/>
      <x:c r="LC77" s="14"/>
      <x:c r="LD77" s="14"/>
      <x:c r="LE77" s="14"/>
      <x:c r="LF77" s="14"/>
      <x:c r="LG77" s="14"/>
      <x:c r="LH77" s="14"/>
      <x:c r="LI77" s="14"/>
      <x:c r="LJ77" s="14"/>
      <x:c r="LK77" s="14"/>
      <x:c r="LL77" s="14"/>
      <x:c r="LM77" s="14"/>
      <x:c r="LN77" s="14"/>
      <x:c r="LO77" s="14"/>
      <x:c r="LP77" s="14"/>
      <x:c r="LQ77" s="14"/>
      <x:c r="LR77" s="14"/>
      <x:c r="LS77" s="14"/>
      <x:c r="LT77" s="14"/>
      <x:c r="LU77" s="14"/>
      <x:c r="LV77" s="14"/>
      <x:c r="LW77" s="14"/>
      <x:c r="LX77" s="14"/>
      <x:c r="LY77" s="14"/>
      <x:c r="LZ77" s="14"/>
      <x:c r="MA77" s="14"/>
      <x:c r="MB77" s="14"/>
      <x:c r="MC77" s="14"/>
      <x:c r="MD77" s="14"/>
      <x:c r="ME77" s="14"/>
      <x:c r="MF77" s="14"/>
      <x:c r="MG77" s="14"/>
      <x:c r="MH77" s="14"/>
      <x:c r="MI77" s="14"/>
      <x:c r="MJ77" s="14"/>
      <x:c r="MK77" s="14"/>
      <x:c r="ML77" s="14"/>
      <x:c r="MM77" s="14"/>
      <x:c r="MN77" s="14"/>
      <x:c r="MO77" s="14"/>
      <x:c r="MP77" s="14"/>
      <x:c r="MQ77" s="14"/>
      <x:c r="MR77" s="14"/>
      <x:c r="MS77" s="14"/>
      <x:c r="MT77" s="14"/>
      <x:c r="MU77" s="14"/>
      <x:c r="MV77" s="14"/>
      <x:c r="MW77" s="14" t="str">
        <x:v>27079</x:v>
      </x:c>
      <x:c r="MX77" s="14" t="n">
        <x:v>5</x:v>
      </x:c>
      <x:c r="MY77" s="14" t="n">
        <x:v>1881</x:v>
      </x:c>
      <x:c r="MZ77" s="14" t="n">
        <x:v>233</x:v>
      </x:c>
      <x:c r="NA77" s="14" t="n">
        <x:v>11</x:v>
      </x:c>
      <x:c r="NB77" s="14" t="n">
        <x:v>1</x:v>
      </x:c>
      <x:c r="NC77" s="14" t="str">
        <x:v>未收錄</x:v>
      </x:c>
      <x:c r="ND77" s="14" t="str">
        <x:v>27080</x:v>
      </x:c>
      <x:c r="NE77" s="14" t="n">
        <x:v>5</x:v>
      </x:c>
      <x:c r="NF77" s="14" t="n">
        <x:v>1882</x:v>
      </x:c>
      <x:c r="NG77" s="14" t="n">
        <x:v>234</x:v>
      </x:c>
      <x:c r="NH77" s="14" t="n">
        <x:v>11</x:v>
      </x:c>
      <x:c r="NI77" s="14" t="n">
        <x:v>2</x:v>
      </x:c>
      <x:c r="NJ77" s="14" t="str">
        <x:v>未收錄</x:v>
      </x:c>
      <x:c r="NK77" s="14" t="str">
        <x:v>27081</x:v>
      </x:c>
      <x:c r="NL77" s="14" t="n">
        <x:v>5</x:v>
      </x:c>
      <x:c r="NM77" s="14" t="n">
        <x:v>1883</x:v>
      </x:c>
      <x:c r="NN77" s="14" t="n">
        <x:v>235</x:v>
      </x:c>
      <x:c r="NO77" s="14" t="n">
        <x:v>11</x:v>
      </x:c>
      <x:c r="NP77" s="14" t="n">
        <x:v>3</x:v>
      </x:c>
      <x:c r="NQ77" s="14" t="str">
        <x:v>未收錄</x:v>
      </x:c>
      <x:c r="NR77" s="14" t="str">
        <x:v>27082</x:v>
      </x:c>
      <x:c r="NS77" s="14" t="n">
        <x:v>5</x:v>
      </x:c>
      <x:c r="NT77" s="14" t="n">
        <x:v>1884</x:v>
      </x:c>
      <x:c r="NU77" s="14" t="n">
        <x:v>236</x:v>
      </x:c>
      <x:c r="NV77" s="14" t="n">
        <x:v>11</x:v>
      </x:c>
      <x:c r="NW77" s="14" t="n">
        <x:v>4</x:v>
      </x:c>
      <x:c r="NX77" s="14" t="str">
        <x:v>未收錄</x:v>
      </x:c>
      <x:c r="NY77" s="14" t="str">
        <x:v>24978</x:v>
      </x:c>
      <x:c r="NZ77" s="14" t="n">
        <x:v>10</x:v>
      </x:c>
      <x:c r="OA77" s="14" t="n">
        <x:v>2334</x:v>
      </x:c>
      <x:c r="OB77" s="14" t="n">
        <x:v>233</x:v>
      </x:c>
      <x:c r="OC77" s="14" t="n">
        <x:v>11</x:v>
      </x:c>
      <x:c r="OD77" s="14" t="n">
        <x:v>1</x:v>
      </x:c>
      <x:c r="OE77" s="14" t="str">
        <x:v>未收錄</x:v>
      </x:c>
      <x:c r="OF77" s="14" t="str">
        <x:v>26562</x:v>
      </x:c>
      <x:c r="OG77" s="14" t="n">
        <x:v>5</x:v>
      </x:c>
      <x:c r="OH77" s="14" t="n">
        <x:v>2335</x:v>
      </x:c>
      <x:c r="OI77" s="14" t="n">
        <x:v>234</x:v>
      </x:c>
      <x:c r="OJ77" s="14" t="n">
        <x:v>11</x:v>
      </x:c>
      <x:c r="OK77" s="14" t="n">
        <x:v>2</x:v>
      </x:c>
      <x:c r="OL77" s="14" t="str">
        <x:v>未收錄</x:v>
      </x:c>
      <x:c r="OM77" s="14" t="str">
        <x:v>26563</x:v>
      </x:c>
      <x:c r="ON77" s="14" t="n">
        <x:v>5</x:v>
      </x:c>
      <x:c r="OO77" s="14" t="n">
        <x:v>2336</x:v>
      </x:c>
      <x:c r="OP77" s="14" t="n">
        <x:v>235</x:v>
      </x:c>
      <x:c r="OQ77" s="14" t="n">
        <x:v>11</x:v>
      </x:c>
      <x:c r="OR77" s="14" t="n">
        <x:v>3</x:v>
      </x:c>
      <x:c r="OS77" s="14" t="str">
        <x:v>未收錄</x:v>
      </x:c>
      <x:c r="OT77" s="14" t="str">
        <x:v>26564</x:v>
      </x:c>
      <x:c r="OU77" s="14" t="n">
        <x:v>5</x:v>
      </x:c>
      <x:c r="OV77" s="14" t="n">
        <x:v>2337</x:v>
      </x:c>
      <x:c r="OW77" s="14" t="n">
        <x:v>236</x:v>
      </x:c>
      <x:c r="OX77" s="14" t="n">
        <x:v>11</x:v>
      </x:c>
      <x:c r="OY77" s="14" t="n">
        <x:v>4</x:v>
      </x:c>
      <x:c r="OZ77" s="14" t="str">
        <x:v>未收錄</x:v>
      </x:c>
      <x:c r="PA77" s="14" t="str">
        <x:v>27130</x:v>
      </x:c>
      <x:c r="PB77" s="14" t="n">
        <x:v>5</x:v>
      </x:c>
      <x:c r="PC77" s="14" t="n">
        <x:v>2880</x:v>
      </x:c>
      <x:c r="PD77" s="14" t="n">
        <x:v>233</x:v>
      </x:c>
      <x:c r="PE77" s="14" t="n">
        <x:v>11</x:v>
      </x:c>
      <x:c r="PF77" s="14" t="n">
        <x:v>1</x:v>
      </x:c>
      <x:c r="PG77" s="14" t="str">
        <x:v>未收錄</x:v>
      </x:c>
      <x:c r="PH77" s="14" t="str">
        <x:v>27131</x:v>
      </x:c>
      <x:c r="PI77" s="14" t="n">
        <x:v>5</x:v>
      </x:c>
      <x:c r="PJ77" s="14" t="n">
        <x:v>2881</x:v>
      </x:c>
      <x:c r="PK77" s="14" t="n">
        <x:v>234</x:v>
      </x:c>
      <x:c r="PL77" s="14" t="n">
        <x:v>11</x:v>
      </x:c>
      <x:c r="PM77" s="14" t="n">
        <x:v>2</x:v>
      </x:c>
      <x:c r="PN77" s="14" t="str">
        <x:v>未收錄</x:v>
      </x:c>
      <x:c r="PO77" s="14" t="str">
        <x:v>27132</x:v>
      </x:c>
      <x:c r="PP77" s="14" t="n">
        <x:v>5</x:v>
      </x:c>
      <x:c r="PQ77" s="14" t="n">
        <x:v>2882</x:v>
      </x:c>
      <x:c r="PR77" s="14" t="n">
        <x:v>235</x:v>
      </x:c>
      <x:c r="PS77" s="14" t="n">
        <x:v>11</x:v>
      </x:c>
      <x:c r="PT77" s="14" t="n">
        <x:v>3</x:v>
      </x:c>
      <x:c r="PU77" s="14" t="str">
        <x:v>未收錄</x:v>
      </x:c>
      <x:c r="PV77" s="14" t="str">
        <x:v>27133</x:v>
      </x:c>
      <x:c r="PW77" s="14" t="n">
        <x:v>5</x:v>
      </x:c>
      <x:c r="PX77" s="14" t="n">
        <x:v>2883</x:v>
      </x:c>
      <x:c r="PY77" s="14" t="n">
        <x:v>236</x:v>
      </x:c>
      <x:c r="PZ77" s="14" t="n">
        <x:v>11</x:v>
      </x:c>
      <x:c r="QA77" s="14" t="n">
        <x:v>4</x:v>
      </x:c>
      <x:c r="QB77" s="14" t="str">
        <x:v>未收錄</x:v>
      </x:c>
      <x:c r="QC77" s="14" t="str">
        <x:v>27146</x:v>
      </x:c>
      <x:c r="QD77" s="14" t="n">
        <x:v>5</x:v>
      </x:c>
      <x:c r="QE77" s="14" t="n">
        <x:v>3317</x:v>
      </x:c>
      <x:c r="QF77" s="14" t="n">
        <x:v>233</x:v>
      </x:c>
      <x:c r="QG77" s="14" t="n">
        <x:v>11</x:v>
      </x:c>
      <x:c r="QH77" s="14" t="n">
        <x:v>1</x:v>
      </x:c>
      <x:c r="QI77" s="14" t="str">
        <x:v>未收錄</x:v>
      </x:c>
      <x:c r="QJ77" s="14" t="str">
        <x:v>27147</x:v>
      </x:c>
      <x:c r="QK77" s="14" t="n">
        <x:v>5</x:v>
      </x:c>
      <x:c r="QL77" s="14" t="n">
        <x:v>3318</x:v>
      </x:c>
      <x:c r="QM77" s="14" t="n">
        <x:v>234</x:v>
      </x:c>
      <x:c r="QN77" s="14" t="n">
        <x:v>11</x:v>
      </x:c>
      <x:c r="QO77" s="14" t="n">
        <x:v>2</x:v>
      </x:c>
      <x:c r="QP77" s="14" t="str">
        <x:v>未收錄</x:v>
      </x:c>
      <x:c r="QQ77" s="14" t="str">
        <x:v>27148</x:v>
      </x:c>
      <x:c r="QR77" s="14" t="n">
        <x:v>5</x:v>
      </x:c>
      <x:c r="QS77" s="14" t="n">
        <x:v>3319</x:v>
      </x:c>
      <x:c r="QT77" s="14" t="n">
        <x:v>235</x:v>
      </x:c>
      <x:c r="QU77" s="14" t="n">
        <x:v>11</x:v>
      </x:c>
      <x:c r="QV77" s="14" t="n">
        <x:v>3</x:v>
      </x:c>
      <x:c r="QW77" s="14" t="str">
        <x:v>未收錄</x:v>
      </x:c>
      <x:c r="QX77" s="14" t="str">
        <x:v>27224</x:v>
      </x:c>
      <x:c r="QY77" s="14" t="n">
        <x:v>10</x:v>
      </x:c>
      <x:c r="QZ77" s="14" t="n">
        <x:v>3320</x:v>
      </x:c>
      <x:c r="RA77" s="14" t="n">
        <x:v>236</x:v>
      </x:c>
      <x:c r="RB77" s="14" t="n">
        <x:v>11</x:v>
      </x:c>
      <x:c r="RC77" s="14" t="n">
        <x:v>4</x:v>
      </x:c>
      <x:c r="RD77" s="14" t="str">
        <x:v>未收錄</x:v>
      </x:c>
      <x:c r="RE77" s="14" t="str">
        <x:v>28012</x:v>
      </x:c>
      <x:c r="RF77" s="14" t="n">
        <x:v>5</x:v>
      </x:c>
      <x:c r="RG77" s="14" t="n">
        <x:v>3778</x:v>
      </x:c>
      <x:c r="RH77" s="14" t="n">
        <x:v>233</x:v>
      </x:c>
      <x:c r="RI77" s="14" t="n">
        <x:v>11</x:v>
      </x:c>
      <x:c r="RJ77" s="14" t="n">
        <x:v>1</x:v>
      </x:c>
      <x:c r="RK77" s="14" t="str">
        <x:v>未收錄</x:v>
      </x:c>
      <x:c r="RL77" s="14" t="str">
        <x:v>28013</x:v>
      </x:c>
      <x:c r="RM77" s="14" t="n">
        <x:v>5</x:v>
      </x:c>
      <x:c r="RN77" s="14" t="n">
        <x:v>3779</x:v>
      </x:c>
      <x:c r="RO77" s="14" t="n">
        <x:v>234</x:v>
      </x:c>
      <x:c r="RP77" s="14" t="n">
        <x:v>11</x:v>
      </x:c>
      <x:c r="RQ77" s="14" t="n">
        <x:v>2</x:v>
      </x:c>
      <x:c r="RR77" s="14" t="str">
        <x:v>未收錄</x:v>
      </x:c>
      <x:c r="RS77" s="14" t="str">
        <x:v>28014</x:v>
      </x:c>
      <x:c r="RT77" s="14" t="n">
        <x:v>5</x:v>
      </x:c>
      <x:c r="RU77" s="14" t="n">
        <x:v>3780</x:v>
      </x:c>
      <x:c r="RV77" s="14" t="n">
        <x:v>235</x:v>
      </x:c>
      <x:c r="RW77" s="14" t="n">
        <x:v>11</x:v>
      </x:c>
      <x:c r="RX77" s="14" t="n">
        <x:v>3</x:v>
      </x:c>
      <x:c r="RY77" s="14" t="str">
        <x:v>未收錄</x:v>
      </x:c>
      <x:c r="RZ77" s="14" t="str">
        <x:v>28004</x:v>
      </x:c>
      <x:c r="SA77" s="14" t="n">
        <x:v>10</x:v>
      </x:c>
      <x:c r="SB77" s="14" t="n">
        <x:v>3781</x:v>
      </x:c>
      <x:c r="SC77" s="14" t="n">
        <x:v>236</x:v>
      </x:c>
      <x:c r="SD77" s="14" t="n">
        <x:v>11</x:v>
      </x:c>
      <x:c r="SE77" s="14" t="n">
        <x:v>4</x:v>
      </x:c>
      <x:c r="SF77" s="14" t="str">
        <x:v>未收錄</x:v>
      </x:c>
      <x:c r="SG77" s="14"/>
      <x:c r="SH77" s="14"/>
      <x:c r="SI77" s="14"/>
      <x:c r="SJ77" s="14"/>
      <x:c r="SK77" s="14"/>
      <x:c r="SL77" s="14"/>
      <x:c r="SM77" s="14"/>
      <x:c r="SN77" s="14"/>
      <x:c r="SO77" s="14"/>
      <x:c r="SP77" s="14"/>
      <x:c r="SQ77" s="14"/>
      <x:c r="SR77" s="14"/>
      <x:c r="SS77" s="14"/>
      <x:c r="ST77" s="14"/>
      <x:c r="SU77" s="14"/>
      <x:c r="SV77" s="14"/>
      <x:c r="SW77" s="14"/>
      <x:c r="SX77" s="14"/>
      <x:c r="SY77" s="14"/>
      <x:c r="SZ77" s="14"/>
      <x:c r="TA77" s="14"/>
      <x:c r="TB77" s="14"/>
      <x:c r="TC77" s="14"/>
      <x:c r="TD77" s="14"/>
      <x:c r="TE77" s="14"/>
      <x:c r="TF77" s="14"/>
      <x:c r="TG77" s="14"/>
      <x:c r="TH77" s="14"/>
    </x:row>
    <x:row r="78" ht="15" customHeight="1">
      <x:c r="A78" s="18" t="str">
        <x:v>古劍〔干將〕</x:v>
      </x:c>
      <x:c r="B78" s="18" t="str">
        <x:v>古劍〔干將〕</x:v>
      </x:c>
      <x:c r="C78" s="18" t="str">
        <x:v>睚眥龍吞劍</x:v>
      </x:c>
      <x:c r="D78" s="18" t="str">
        <x:v>睚眥龍吞劍</x:v>
      </x:c>
      <x:c r="E78" s="14"/>
      <x:c r="F78" s="14"/>
      <x:c r="G78" s="14"/>
      <x:c r="H78" s="14"/>
      <x:c r="I78" s="14"/>
      <x:c r="J78" s="14"/>
      <x:c r="K78" s="14"/>
      <x:c r="L78" s="14"/>
      <x:c r="M78" s="14"/>
      <x:c r="N78" s="14"/>
      <x:c r="O78" s="14"/>
      <x:c r="P78" s="14"/>
      <x:c r="Q78" s="14"/>
      <x:c r="R78" s="14"/>
      <x:c r="S78" s="14"/>
      <x:c r="T78" s="14"/>
      <x:c r="U78" s="14"/>
      <x:c r="V78" s="14"/>
      <x:c r="W78" s="14"/>
      <x:c r="X78" s="14"/>
      <x:c r="Y78" s="14"/>
      <x:c r="Z78" s="14"/>
      <x:c r="AA78" s="14"/>
      <x:c r="AB78" s="14"/>
      <x:c r="AC78" s="14"/>
      <x:c r="AD78" s="14"/>
      <x:c r="AE78" s="14"/>
      <x:c r="AF78" s="14"/>
      <x:c r="AG78" s="14"/>
      <x:c r="AH78" s="14"/>
      <x:c r="AI78" s="14"/>
      <x:c r="AJ78" s="14"/>
      <x:c r="AK78" s="14"/>
      <x:c r="AL78" s="14"/>
      <x:c r="AM78" s="14"/>
      <x:c r="AN78" s="14"/>
      <x:c r="AO78" s="14"/>
      <x:c r="AP78" s="14"/>
      <x:c r="AQ78" s="14"/>
      <x:c r="AR78" s="14"/>
      <x:c r="AS78" s="14"/>
      <x:c r="AT78" s="14"/>
      <x:c r="AU78" s="14"/>
      <x:c r="AV78" s="14"/>
      <x:c r="AW78" s="14"/>
      <x:c r="AX78" s="14"/>
      <x:c r="AY78" s="18" t="str">
        <x:v>仙鑄‧禪光帽</x:v>
      </x:c>
      <x:c r="AZ78" s="18" t="str">
        <x:v>仙鑄‧月讀巾</x:v>
      </x:c>
      <x:c r="BA78" s="18" t="str">
        <x:v>仙鑄‧混沌冠</x:v>
      </x:c>
      <x:c r="BB78" s="18" t="str">
        <x:v>神煉‧劍聖盔</x:v>
      </x:c>
      <x:c r="BC78" s="14"/>
      <x:c r="BD78" s="18" t="str">
        <x:v>重陽道袍</x:v>
      </x:c>
      <x:c r="BE78" s="18" t="str">
        <x:v>樓至佛裟</x:v>
      </x:c>
      <x:c r="BF78" s="18" t="str">
        <x:v>剎霆之甲</x:v>
      </x:c>
      <x:c r="BG78" s="18" t="str">
        <x:v>英霸將鎧</x:v>
      </x:c>
      <x:c r="BH78" s="14"/>
      <x:c r="BI78" s="18" t="str">
        <x:v>宇傲‧檮杌手</x:v>
      </x:c>
      <x:c r="BJ78" s="18" t="str">
        <x:v>宇傲‧素鳴腕</x:v>
      </x:c>
      <x:c r="BK78" s="18" t="str">
        <x:v>峻霆‧劍聖腕</x:v>
      </x:c>
      <x:c r="BL78" s="18" t="str">
        <x:v>峻霆‧武尊臂</x:v>
      </x:c>
      <x:c r="BM78" s="14"/>
      <x:c r="BN78" s="18" t="str">
        <x:v>神煉‧韋駝足</x:v>
      </x:c>
      <x:c r="BO78" s="18" t="str">
        <x:v>神煉‧流星靴</x:v>
      </x:c>
      <x:c r="BP78" s="18" t="str">
        <x:v>宇傲‧劍聖靴</x:v>
      </x:c>
      <x:c r="BQ78" s="18" t="str">
        <x:v>宇傲‧武尊踏</x:v>
      </x:c>
      <x:c r="BR78" s="14"/>
      <x:c r="BS78" s="18" t="str">
        <x:v>御月常羲鍊</x:v>
      </x:c>
      <x:c r="BT78" s="18" t="str">
        <x:v>絕聖玄武之心</x:v>
      </x:c>
      <x:c r="BU78" s="18" t="str">
        <x:v>絕聖白虎之心</x:v>
      </x:c>
      <x:c r="BV78" s="18" t="str">
        <x:v>絕聖青龍之心</x:v>
      </x:c>
      <x:c r="BW78" s="14"/>
      <x:c r="BX78" s="14"/>
      <x:c r="BY78" s="14"/>
      <x:c r="BZ78" s="14"/>
      <x:c r="CA78" s="14"/>
      <x:c r="CB78" s="14"/>
      <x:c r="CC78" s="14" t="str">
        <x:v>31552</x:v>
      </x:c>
      <x:c r="CD78" s="14" t="n">
        <x:v>20</x:v>
      </x:c>
      <x:c r="CE78" s="14" t="n">
        <x:v>237</x:v>
      </x:c>
      <x:c r="CF78" s="14" t="n">
        <x:v>237</x:v>
      </x:c>
      <x:c r="CG78" s="14" t="n">
        <x:v>12</x:v>
      </x:c>
      <x:c r="CH78" s="14" t="n">
        <x:v>1</x:v>
      </x:c>
      <x:c r="CI78" s="14" t="str">
        <x:v>未收錄</x:v>
      </x:c>
      <x:c r="CJ78" s="14" t="str">
        <x:v>31562</x:v>
      </x:c>
      <x:c r="CK78" s="14" t="n">
        <x:v>20</x:v>
      </x:c>
      <x:c r="CL78" s="14" t="n">
        <x:v>238</x:v>
      </x:c>
      <x:c r="CM78" s="14" t="n">
        <x:v>238</x:v>
      </x:c>
      <x:c r="CN78" s="14" t="n">
        <x:v>12</x:v>
      </x:c>
      <x:c r="CO78" s="14" t="n">
        <x:v>2</x:v>
      </x:c>
      <x:c r="CP78" s="14" t="str">
        <x:v>未收錄</x:v>
      </x:c>
      <x:c r="CQ78" s="14" t="str">
        <x:v>31835</x:v>
      </x:c>
      <x:c r="CR78" s="14" t="n">
        <x:v>20</x:v>
      </x:c>
      <x:c r="CS78" s="14" t="n">
        <x:v>239</x:v>
      </x:c>
      <x:c r="CT78" s="14" t="n">
        <x:v>239</x:v>
      </x:c>
      <x:c r="CU78" s="14" t="n">
        <x:v>12</x:v>
      </x:c>
      <x:c r="CV78" s="14" t="n">
        <x:v>3</x:v>
      </x:c>
      <x:c r="CW78" s="14" t="str">
        <x:v>未收錄</x:v>
      </x:c>
      <x:c r="CX78" s="14" t="str">
        <x:v>31845</x:v>
      </x:c>
      <x:c r="CY78" s="14" t="n">
        <x:v>20</x:v>
      </x:c>
      <x:c r="CZ78" s="14" t="n">
        <x:v>240</x:v>
      </x:c>
      <x:c r="DA78" s="14" t="n">
        <x:v>240</x:v>
      </x:c>
      <x:c r="DB78" s="14" t="n">
        <x:v>12</x:v>
      </x:c>
      <x:c r="DC78" s="14" t="n">
        <x:v>4</x:v>
      </x:c>
      <x:c r="DD78" s="14" t="str">
        <x:v>未收錄</x:v>
      </x:c>
      <x:c r="DE78" s="14"/>
      <x:c r="DF78" s="14"/>
      <x:c r="DG78" s="14"/>
      <x:c r="DH78" s="14"/>
      <x:c r="DI78" s="14"/>
      <x:c r="DJ78" s="14"/>
      <x:c r="DK78" s="14"/>
      <x:c r="DL78" s="14"/>
      <x:c r="DM78" s="14"/>
      <x:c r="DN78" s="14"/>
      <x:c r="DO78" s="14"/>
      <x:c r="DP78" s="14"/>
      <x:c r="DQ78" s="14"/>
      <x:c r="DR78" s="14"/>
      <x:c r="DS78" s="14"/>
      <x:c r="DT78" s="14"/>
      <x:c r="DU78" s="14"/>
      <x:c r="DV78" s="14"/>
      <x:c r="DW78" s="14"/>
      <x:c r="DX78" s="14"/>
      <x:c r="DY78" s="14"/>
      <x:c r="DZ78" s="14"/>
      <x:c r="EA78" s="14"/>
      <x:c r="EB78" s="14"/>
      <x:c r="EC78" s="14"/>
      <x:c r="ED78" s="14"/>
      <x:c r="EE78" s="14"/>
      <x:c r="EF78" s="14"/>
      <x:c r="EG78" s="14"/>
      <x:c r="EH78" s="14"/>
      <x:c r="EI78" s="14"/>
      <x:c r="EJ78" s="14"/>
      <x:c r="EK78" s="14"/>
      <x:c r="EL78" s="14"/>
      <x:c r="EM78" s="14"/>
      <x:c r="EN78" s="14"/>
      <x:c r="EO78" s="14"/>
      <x:c r="EP78" s="14"/>
      <x:c r="EQ78" s="14"/>
      <x:c r="ER78" s="14"/>
      <x:c r="ES78" s="14"/>
      <x:c r="ET78" s="14"/>
      <x:c r="EU78" s="14"/>
      <x:c r="EV78" s="14"/>
      <x:c r="EW78" s="14"/>
      <x:c r="EX78" s="14"/>
      <x:c r="EY78" s="14"/>
      <x:c r="EZ78" s="14"/>
      <x:c r="FA78" s="14"/>
      <x:c r="FB78" s="14"/>
      <x:c r="FC78" s="14"/>
      <x:c r="FD78" s="14"/>
      <x:c r="FE78" s="14"/>
      <x:c r="FF78" s="14"/>
      <x:c r="FG78" s="14"/>
      <x:c r="FH78" s="14"/>
      <x:c r="FI78" s="14"/>
      <x:c r="FJ78" s="14"/>
      <x:c r="FK78" s="14"/>
      <x:c r="FL78" s="14"/>
      <x:c r="FM78" s="14"/>
      <x:c r="FN78" s="14"/>
      <x:c r="FO78" s="14"/>
      <x:c r="FP78" s="14"/>
      <x:c r="FQ78" s="14"/>
      <x:c r="FR78" s="14"/>
      <x:c r="FS78" s="14"/>
      <x:c r="FT78" s="14"/>
      <x:c r="FU78" s="14"/>
      <x:c r="FV78" s="14"/>
      <x:c r="FW78" s="14"/>
      <x:c r="FX78" s="14"/>
      <x:c r="FY78" s="14"/>
      <x:c r="FZ78" s="14"/>
      <x:c r="GA78" s="14"/>
      <x:c r="GB78" s="14"/>
      <x:c r="GC78" s="14"/>
      <x:c r="GD78" s="14"/>
      <x:c r="GE78" s="14"/>
      <x:c r="GF78" s="14"/>
      <x:c r="GG78" s="14"/>
      <x:c r="GH78" s="14"/>
      <x:c r="GI78" s="14"/>
      <x:c r="GJ78" s="14"/>
      <x:c r="GK78" s="14"/>
      <x:c r="GL78" s="14"/>
      <x:c r="GM78" s="14"/>
      <x:c r="GN78" s="14"/>
      <x:c r="GO78" s="14"/>
      <x:c r="GP78" s="14"/>
      <x:c r="GQ78" s="14"/>
      <x:c r="GR78" s="14"/>
      <x:c r="GS78" s="14"/>
      <x:c r="GT78" s="14"/>
      <x:c r="GU78" s="14"/>
      <x:c r="GV78" s="14"/>
      <x:c r="GW78" s="14"/>
      <x:c r="GX78" s="14"/>
      <x:c r="GY78" s="14"/>
      <x:c r="GZ78" s="14"/>
      <x:c r="HA78" s="14"/>
      <x:c r="HB78" s="14"/>
      <x:c r="HC78" s="14"/>
      <x:c r="HD78" s="14"/>
      <x:c r="HE78" s="14"/>
      <x:c r="HF78" s="14"/>
      <x:c r="HG78" s="14"/>
      <x:c r="HH78" s="14"/>
      <x:c r="HI78" s="14"/>
      <x:c r="HJ78" s="14"/>
      <x:c r="HK78" s="14"/>
      <x:c r="HL78" s="14"/>
      <x:c r="HM78" s="14"/>
      <x:c r="HN78" s="14"/>
      <x:c r="HO78" s="14"/>
      <x:c r="HP78" s="14"/>
      <x:c r="HQ78" s="14"/>
      <x:c r="HR78" s="14"/>
      <x:c r="HS78" s="14"/>
      <x:c r="HT78" s="14"/>
      <x:c r="HU78" s="14"/>
      <x:c r="HV78" s="14"/>
      <x:c r="HW78" s="14"/>
      <x:c r="HX78" s="14"/>
      <x:c r="HY78" s="14"/>
      <x:c r="HZ78" s="14"/>
      <x:c r="IA78" s="14"/>
      <x:c r="IB78" s="14"/>
      <x:c r="IC78" s="14"/>
      <x:c r="ID78" s="14"/>
      <x:c r="IE78" s="14"/>
      <x:c r="IF78" s="14"/>
      <x:c r="IG78" s="14"/>
      <x:c r="IH78" s="14"/>
      <x:c r="II78" s="14"/>
      <x:c r="IJ78" s="14"/>
      <x:c r="IK78" s="14"/>
      <x:c r="IL78" s="14"/>
      <x:c r="IM78" s="14"/>
      <x:c r="IN78" s="14"/>
      <x:c r="IO78" s="14"/>
      <x:c r="IP78" s="14"/>
      <x:c r="IQ78" s="14"/>
      <x:c r="IR78" s="14"/>
      <x:c r="IS78" s="14"/>
      <x:c r="IT78" s="14"/>
      <x:c r="IU78" s="14"/>
      <x:c r="IV78" s="14"/>
      <x:c r="IW78" s="14"/>
      <x:c r="IX78" s="14"/>
      <x:c r="IY78" s="14"/>
      <x:c r="IZ78" s="14"/>
      <x:c r="JA78" s="14"/>
      <x:c r="JB78" s="14"/>
      <x:c r="JC78" s="14"/>
      <x:c r="JD78" s="14"/>
      <x:c r="JE78" s="14"/>
      <x:c r="JF78" s="14"/>
      <x:c r="JG78" s="14"/>
      <x:c r="JH78" s="14"/>
      <x:c r="JI78" s="14"/>
      <x:c r="JJ78" s="14"/>
      <x:c r="JK78" s="14"/>
      <x:c r="JL78" s="14"/>
      <x:c r="JM78" s="14"/>
      <x:c r="JN78" s="14"/>
      <x:c r="JO78" s="14"/>
      <x:c r="JP78" s="14"/>
      <x:c r="JQ78" s="14"/>
      <x:c r="JR78" s="14"/>
      <x:c r="JS78" s="14"/>
      <x:c r="JT78" s="14"/>
      <x:c r="JU78" s="14"/>
      <x:c r="JV78" s="14"/>
      <x:c r="JW78" s="14"/>
      <x:c r="JX78" s="14"/>
      <x:c r="JY78" s="14"/>
      <x:c r="JZ78" s="14"/>
      <x:c r="KA78" s="14"/>
      <x:c r="KB78" s="14"/>
      <x:c r="KC78" s="14"/>
      <x:c r="KD78" s="14"/>
      <x:c r="KE78" s="14"/>
      <x:c r="KF78" s="14"/>
      <x:c r="KG78" s="14"/>
      <x:c r="KH78" s="14"/>
      <x:c r="KI78" s="14"/>
      <x:c r="KJ78" s="14"/>
      <x:c r="KK78" s="14"/>
      <x:c r="KL78" s="14"/>
      <x:c r="KM78" s="14"/>
      <x:c r="KN78" s="14"/>
      <x:c r="KO78" s="14"/>
      <x:c r="KP78" s="14"/>
      <x:c r="KQ78" s="14"/>
      <x:c r="KR78" s="14"/>
      <x:c r="KS78" s="14"/>
      <x:c r="KT78" s="14"/>
      <x:c r="KU78" s="14"/>
      <x:c r="KV78" s="14"/>
      <x:c r="KW78" s="14"/>
      <x:c r="KX78" s="14"/>
      <x:c r="KY78" s="14"/>
      <x:c r="KZ78" s="14"/>
      <x:c r="LA78" s="14"/>
      <x:c r="LB78" s="14"/>
      <x:c r="LC78" s="14"/>
      <x:c r="LD78" s="14"/>
      <x:c r="LE78" s="14"/>
      <x:c r="LF78" s="14"/>
      <x:c r="LG78" s="14"/>
      <x:c r="LH78" s="14"/>
      <x:c r="LI78" s="14"/>
      <x:c r="LJ78" s="14"/>
      <x:c r="LK78" s="14"/>
      <x:c r="LL78" s="14"/>
      <x:c r="LM78" s="14"/>
      <x:c r="LN78" s="14"/>
      <x:c r="LO78" s="14"/>
      <x:c r="LP78" s="14"/>
      <x:c r="LQ78" s="14"/>
      <x:c r="LR78" s="14"/>
      <x:c r="LS78" s="14"/>
      <x:c r="LT78" s="14"/>
      <x:c r="LU78" s="14"/>
      <x:c r="LV78" s="14"/>
      <x:c r="LW78" s="14"/>
      <x:c r="LX78" s="14"/>
      <x:c r="LY78" s="14"/>
      <x:c r="LZ78" s="14"/>
      <x:c r="MA78" s="14"/>
      <x:c r="MB78" s="14"/>
      <x:c r="MC78" s="14"/>
      <x:c r="MD78" s="14"/>
      <x:c r="ME78" s="14"/>
      <x:c r="MF78" s="14"/>
      <x:c r="MG78" s="14"/>
      <x:c r="MH78" s="14"/>
      <x:c r="MI78" s="14"/>
      <x:c r="MJ78" s="14"/>
      <x:c r="MK78" s="14"/>
      <x:c r="ML78" s="14"/>
      <x:c r="MM78" s="14"/>
      <x:c r="MN78" s="14"/>
      <x:c r="MO78" s="14"/>
      <x:c r="MP78" s="14"/>
      <x:c r="MQ78" s="14"/>
      <x:c r="MR78" s="14"/>
      <x:c r="MS78" s="14"/>
      <x:c r="MT78" s="14"/>
      <x:c r="MU78" s="14"/>
      <x:c r="MV78" s="14"/>
      <x:c r="MW78" s="14" t="str">
        <x:v>27083</x:v>
      </x:c>
      <x:c r="MX78" s="14" t="n">
        <x:v>5</x:v>
      </x:c>
      <x:c r="MY78" s="14" t="n">
        <x:v>1885</x:v>
      </x:c>
      <x:c r="MZ78" s="14" t="n">
        <x:v>237</x:v>
      </x:c>
      <x:c r="NA78" s="14" t="n">
        <x:v>12</x:v>
      </x:c>
      <x:c r="NB78" s="14" t="n">
        <x:v>1</x:v>
      </x:c>
      <x:c r="NC78" s="14" t="str">
        <x:v>未收錄</x:v>
      </x:c>
      <x:c r="ND78" s="14" t="str">
        <x:v>27400</x:v>
      </x:c>
      <x:c r="NE78" s="14" t="n">
        <x:v>10</x:v>
      </x:c>
      <x:c r="NF78" s="14" t="n">
        <x:v>1886</x:v>
      </x:c>
      <x:c r="NG78" s="14" t="n">
        <x:v>238</x:v>
      </x:c>
      <x:c r="NH78" s="14" t="n">
        <x:v>12</x:v>
      </x:c>
      <x:c r="NI78" s="14" t="n">
        <x:v>2</x:v>
      </x:c>
      <x:c r="NJ78" s="14" t="str">
        <x:v>未收錄</x:v>
      </x:c>
      <x:c r="NK78" s="14" t="str">
        <x:v>27211</x:v>
      </x:c>
      <x:c r="NL78" s="14" t="n">
        <x:v>10</x:v>
      </x:c>
      <x:c r="NM78" s="14" t="n">
        <x:v>1887</x:v>
      </x:c>
      <x:c r="NN78" s="14" t="n">
        <x:v>239</x:v>
      </x:c>
      <x:c r="NO78" s="14" t="n">
        <x:v>12</x:v>
      </x:c>
      <x:c r="NP78" s="14" t="n">
        <x:v>3</x:v>
      </x:c>
      <x:c r="NQ78" s="14" t="str">
        <x:v>未收錄</x:v>
      </x:c>
      <x:c r="NR78" s="14" t="str">
        <x:v>27084</x:v>
      </x:c>
      <x:c r="NS78" s="14" t="n">
        <x:v>5</x:v>
      </x:c>
      <x:c r="NT78" s="14" t="n">
        <x:v>1888</x:v>
      </x:c>
      <x:c r="NU78" s="14" t="n">
        <x:v>240</x:v>
      </x:c>
      <x:c r="NV78" s="14" t="n">
        <x:v>12</x:v>
      </x:c>
      <x:c r="NW78" s="14" t="n">
        <x:v>4</x:v>
      </x:c>
      <x:c r="NX78" s="14" t="str">
        <x:v>未收錄</x:v>
      </x:c>
      <x:c r="NY78" s="14" t="str">
        <x:v>26565</x:v>
      </x:c>
      <x:c r="NZ78" s="14" t="n">
        <x:v>5</x:v>
      </x:c>
      <x:c r="OA78" s="14" t="n">
        <x:v>2338</x:v>
      </x:c>
      <x:c r="OB78" s="14" t="n">
        <x:v>237</x:v>
      </x:c>
      <x:c r="OC78" s="14" t="n">
        <x:v>12</x:v>
      </x:c>
      <x:c r="OD78" s="14" t="n">
        <x:v>1</x:v>
      </x:c>
      <x:c r="OE78" s="14" t="str">
        <x:v>未收錄</x:v>
      </x:c>
      <x:c r="OF78" s="14" t="str">
        <x:v>26566</x:v>
      </x:c>
      <x:c r="OG78" s="14" t="n">
        <x:v>5</x:v>
      </x:c>
      <x:c r="OH78" s="14" t="n">
        <x:v>2339</x:v>
      </x:c>
      <x:c r="OI78" s="14" t="n">
        <x:v>238</x:v>
      </x:c>
      <x:c r="OJ78" s="14" t="n">
        <x:v>12</x:v>
      </x:c>
      <x:c r="OK78" s="14" t="n">
        <x:v>2</x:v>
      </x:c>
      <x:c r="OL78" s="14" t="str">
        <x:v>未收錄</x:v>
      </x:c>
      <x:c r="OM78" s="14" t="str">
        <x:v>26567</x:v>
      </x:c>
      <x:c r="ON78" s="14" t="n">
        <x:v>5</x:v>
      </x:c>
      <x:c r="OO78" s="14" t="n">
        <x:v>2340</x:v>
      </x:c>
      <x:c r="OP78" s="14" t="n">
        <x:v>239</x:v>
      </x:c>
      <x:c r="OQ78" s="14" t="n">
        <x:v>12</x:v>
      </x:c>
      <x:c r="OR78" s="14" t="n">
        <x:v>3</x:v>
      </x:c>
      <x:c r="OS78" s="14" t="str">
        <x:v>未收錄</x:v>
      </x:c>
      <x:c r="OT78" s="14" t="str">
        <x:v>26568</x:v>
      </x:c>
      <x:c r="OU78" s="14" t="n">
        <x:v>5</x:v>
      </x:c>
      <x:c r="OV78" s="14" t="n">
        <x:v>2341</x:v>
      </x:c>
      <x:c r="OW78" s="14" t="n">
        <x:v>240</x:v>
      </x:c>
      <x:c r="OX78" s="14" t="n">
        <x:v>12</x:v>
      </x:c>
      <x:c r="OY78" s="14" t="n">
        <x:v>4</x:v>
      </x:c>
      <x:c r="OZ78" s="14" t="str">
        <x:v>未收錄</x:v>
      </x:c>
      <x:c r="PA78" s="14" t="str">
        <x:v>27221</x:v>
      </x:c>
      <x:c r="PB78" s="14" t="n">
        <x:v>10</x:v>
      </x:c>
      <x:c r="PC78" s="14" t="n">
        <x:v>2884</x:v>
      </x:c>
      <x:c r="PD78" s="14" t="n">
        <x:v>237</x:v>
      </x:c>
      <x:c r="PE78" s="14" t="n">
        <x:v>12</x:v>
      </x:c>
      <x:c r="PF78" s="14" t="n">
        <x:v>1</x:v>
      </x:c>
      <x:c r="PG78" s="14" t="str">
        <x:v>未收錄</x:v>
      </x:c>
      <x:c r="PH78" s="14" t="str">
        <x:v>27406</x:v>
      </x:c>
      <x:c r="PI78" s="14" t="n">
        <x:v>10</x:v>
      </x:c>
      <x:c r="PJ78" s="14" t="n">
        <x:v>2885</x:v>
      </x:c>
      <x:c r="PK78" s="14" t="n">
        <x:v>238</x:v>
      </x:c>
      <x:c r="PL78" s="14" t="n">
        <x:v>12</x:v>
      </x:c>
      <x:c r="PM78" s="14" t="n">
        <x:v>2</x:v>
      </x:c>
      <x:c r="PN78" s="14" t="str">
        <x:v>未收錄</x:v>
      </x:c>
      <x:c r="PO78" s="14" t="str">
        <x:v>27680</x:v>
      </x:c>
      <x:c r="PP78" s="14" t="n">
        <x:v>5</x:v>
      </x:c>
      <x:c r="PQ78" s="14" t="n">
        <x:v>2886</x:v>
      </x:c>
      <x:c r="PR78" s="14" t="n">
        <x:v>239</x:v>
      </x:c>
      <x:c r="PS78" s="14" t="n">
        <x:v>12</x:v>
      </x:c>
      <x:c r="PT78" s="14" t="n">
        <x:v>3</x:v>
      </x:c>
      <x:c r="PU78" s="14" t="str">
        <x:v>未收錄</x:v>
      </x:c>
      <x:c r="PV78" s="14" t="str">
        <x:v>27681</x:v>
      </x:c>
      <x:c r="PW78" s="14" t="n">
        <x:v>5</x:v>
      </x:c>
      <x:c r="PX78" s="14" t="n">
        <x:v>2887</x:v>
      </x:c>
      <x:c r="PY78" s="14" t="n">
        <x:v>240</x:v>
      </x:c>
      <x:c r="PZ78" s="14" t="n">
        <x:v>12</x:v>
      </x:c>
      <x:c r="QA78" s="14" t="n">
        <x:v>4</x:v>
      </x:c>
      <x:c r="QB78" s="14" t="str">
        <x:v>未收錄</x:v>
      </x:c>
      <x:c r="QC78" s="14" t="str">
        <x:v>27409</x:v>
      </x:c>
      <x:c r="QD78" s="14" t="n">
        <x:v>10</x:v>
      </x:c>
      <x:c r="QE78" s="14" t="n">
        <x:v>3321</x:v>
      </x:c>
      <x:c r="QF78" s="14" t="n">
        <x:v>237</x:v>
      </x:c>
      <x:c r="QG78" s="14" t="n">
        <x:v>12</x:v>
      </x:c>
      <x:c r="QH78" s="14" t="n">
        <x:v>1</x:v>
      </x:c>
      <x:c r="QI78" s="14" t="str">
        <x:v>未收錄</x:v>
      </x:c>
      <x:c r="QJ78" s="14" t="str">
        <x:v>27421</x:v>
      </x:c>
      <x:c r="QK78" s="14" t="n">
        <x:v>10</x:v>
      </x:c>
      <x:c r="QL78" s="14" t="n">
        <x:v>3322</x:v>
      </x:c>
      <x:c r="QM78" s="14" t="n">
        <x:v>238</x:v>
      </x:c>
      <x:c r="QN78" s="14" t="n">
        <x:v>12</x:v>
      </x:c>
      <x:c r="QO78" s="14" t="n">
        <x:v>2</x:v>
      </x:c>
      <x:c r="QP78" s="14" t="str">
        <x:v>未收錄</x:v>
      </x:c>
      <x:c r="QQ78" s="14" t="str">
        <x:v>27149</x:v>
      </x:c>
      <x:c r="QR78" s="14" t="n">
        <x:v>5</x:v>
      </x:c>
      <x:c r="QS78" s="14" t="n">
        <x:v>3323</x:v>
      </x:c>
      <x:c r="QT78" s="14" t="n">
        <x:v>239</x:v>
      </x:c>
      <x:c r="QU78" s="14" t="n">
        <x:v>12</x:v>
      </x:c>
      <x:c r="QV78" s="14" t="n">
        <x:v>3</x:v>
      </x:c>
      <x:c r="QW78" s="14" t="str">
        <x:v>未收錄</x:v>
      </x:c>
      <x:c r="QX78" s="14" t="str">
        <x:v>27150</x:v>
      </x:c>
      <x:c r="QY78" s="14" t="n">
        <x:v>5</x:v>
      </x:c>
      <x:c r="QZ78" s="14" t="n">
        <x:v>3324</x:v>
      </x:c>
      <x:c r="RA78" s="14" t="n">
        <x:v>240</x:v>
      </x:c>
      <x:c r="RB78" s="14" t="n">
        <x:v>12</x:v>
      </x:c>
      <x:c r="RC78" s="14" t="n">
        <x:v>4</x:v>
      </x:c>
      <x:c r="RD78" s="14" t="str">
        <x:v>未收錄</x:v>
      </x:c>
      <x:c r="RE78" s="14" t="str">
        <x:v>28005</x:v>
      </x:c>
      <x:c r="RF78" s="14" t="n">
        <x:v>10</x:v>
      </x:c>
      <x:c r="RG78" s="14" t="n">
        <x:v>3782</x:v>
      </x:c>
      <x:c r="RH78" s="14" t="n">
        <x:v>237</x:v>
      </x:c>
      <x:c r="RI78" s="14" t="n">
        <x:v>12</x:v>
      </x:c>
      <x:c r="RJ78" s="14" t="n">
        <x:v>1</x:v>
      </x:c>
      <x:c r="RK78" s="14" t="str">
        <x:v>未收錄</x:v>
      </x:c>
      <x:c r="RL78" s="14" t="str">
        <x:v>28168</x:v>
      </x:c>
      <x:c r="RM78" s="14" t="n">
        <x:v>5</x:v>
      </x:c>
      <x:c r="RN78" s="14" t="n">
        <x:v>3783</x:v>
      </x:c>
      <x:c r="RO78" s="14" t="n">
        <x:v>238</x:v>
      </x:c>
      <x:c r="RP78" s="14" t="n">
        <x:v>12</x:v>
      </x:c>
      <x:c r="RQ78" s="14" t="n">
        <x:v>2</x:v>
      </x:c>
      <x:c r="RR78" s="14" t="str">
        <x:v>未收錄</x:v>
      </x:c>
      <x:c r="RS78" s="14" t="str">
        <x:v>28169</x:v>
      </x:c>
      <x:c r="RT78" s="14" t="n">
        <x:v>5</x:v>
      </x:c>
      <x:c r="RU78" s="14" t="n">
        <x:v>3784</x:v>
      </x:c>
      <x:c r="RV78" s="14" t="n">
        <x:v>239</x:v>
      </x:c>
      <x:c r="RW78" s="14" t="n">
        <x:v>12</x:v>
      </x:c>
      <x:c r="RX78" s="14" t="n">
        <x:v>3</x:v>
      </x:c>
      <x:c r="RY78" s="14" t="str">
        <x:v>未收錄</x:v>
      </x:c>
      <x:c r="RZ78" s="14" t="str">
        <x:v>28170</x:v>
      </x:c>
      <x:c r="SA78" s="14" t="n">
        <x:v>5</x:v>
      </x:c>
      <x:c r="SB78" s="14" t="n">
        <x:v>3785</x:v>
      </x:c>
      <x:c r="SC78" s="14" t="n">
        <x:v>240</x:v>
      </x:c>
      <x:c r="SD78" s="14" t="n">
        <x:v>12</x:v>
      </x:c>
      <x:c r="SE78" s="14" t="n">
        <x:v>4</x:v>
      </x:c>
      <x:c r="SF78" s="14" t="str">
        <x:v>未收錄</x:v>
      </x:c>
      <x:c r="SG78" s="14"/>
      <x:c r="SH78" s="14"/>
      <x:c r="SI78" s="14"/>
      <x:c r="SJ78" s="14"/>
      <x:c r="SK78" s="14"/>
      <x:c r="SL78" s="14"/>
      <x:c r="SM78" s="14"/>
      <x:c r="SN78" s="14"/>
      <x:c r="SO78" s="14"/>
      <x:c r="SP78" s="14"/>
      <x:c r="SQ78" s="14"/>
      <x:c r="SR78" s="14"/>
      <x:c r="SS78" s="14"/>
      <x:c r="ST78" s="14"/>
      <x:c r="SU78" s="14"/>
      <x:c r="SV78" s="14"/>
      <x:c r="SW78" s="14"/>
      <x:c r="SX78" s="14"/>
      <x:c r="SY78" s="14"/>
      <x:c r="SZ78" s="14"/>
      <x:c r="TA78" s="14"/>
      <x:c r="TB78" s="14"/>
      <x:c r="TC78" s="14"/>
      <x:c r="TD78" s="14"/>
      <x:c r="TE78" s="14"/>
      <x:c r="TF78" s="14"/>
      <x:c r="TG78" s="14"/>
      <x:c r="TH78" s="14"/>
    </x:row>
    <x:row r="79" ht="15" customHeight="1">
      <x:c r="A79" s="17" t="str">
        <x:v>宮殤別劍Ⅰ</x:v>
      </x:c>
      <x:c r="B79" s="17" t="str">
        <x:v>宮殤別劍Ⅱ</x:v>
      </x:c>
      <x:c r="C79" s="17" t="str">
        <x:v>宮殤別劍Ⅲ</x:v>
      </x:c>
      <x:c r="D79" s="17" t="str">
        <x:v>宮殤別劍Ⅳ</x:v>
      </x:c>
      <x:c r="E79" s="14"/>
      <x:c r="F79" s="14"/>
      <x:c r="G79" s="14"/>
      <x:c r="H79" s="14"/>
      <x:c r="I79" s="14"/>
      <x:c r="J79" s="14"/>
      <x:c r="K79" s="14"/>
      <x:c r="L79" s="14"/>
      <x:c r="M79" s="14"/>
      <x:c r="N79" s="14"/>
      <x:c r="O79" s="14"/>
      <x:c r="P79" s="14"/>
      <x:c r="Q79" s="14"/>
      <x:c r="R79" s="14"/>
      <x:c r="S79" s="14"/>
      <x:c r="T79" s="14"/>
      <x:c r="U79" s="14"/>
      <x:c r="V79" s="14"/>
      <x:c r="W79" s="14"/>
      <x:c r="X79" s="14"/>
      <x:c r="Y79" s="14"/>
      <x:c r="Z79" s="14"/>
      <x:c r="AA79" s="14"/>
      <x:c r="AB79" s="14"/>
      <x:c r="AC79" s="14"/>
      <x:c r="AD79" s="14"/>
      <x:c r="AE79" s="14"/>
      <x:c r="AF79" s="14"/>
      <x:c r="AG79" s="14"/>
      <x:c r="AH79" s="14"/>
      <x:c r="AI79" s="14"/>
      <x:c r="AJ79" s="14"/>
      <x:c r="AK79" s="14"/>
      <x:c r="AL79" s="14"/>
      <x:c r="AM79" s="14"/>
      <x:c r="AN79" s="14"/>
      <x:c r="AO79" s="14"/>
      <x:c r="AP79" s="14"/>
      <x:c r="AQ79" s="14"/>
      <x:c r="AR79" s="14"/>
      <x:c r="AS79" s="14"/>
      <x:c r="AT79" s="14"/>
      <x:c r="AU79" s="14"/>
      <x:c r="AV79" s="14"/>
      <x:c r="AW79" s="14"/>
      <x:c r="AX79" s="14"/>
      <x:c r="AY79" s="17" t="str">
        <x:v>神煉‧武尊盔</x:v>
      </x:c>
      <x:c r="AZ79" s="17" t="str">
        <x:v>神煉‧術幻紗</x:v>
      </x:c>
      <x:c r="BA79" s="17" t="str">
        <x:v>神煉‧道輝冠</x:v>
      </x:c>
      <x:c r="BB79" s="17" t="str">
        <x:v>神煉‧禪光帽</x:v>
      </x:c>
      <x:c r="BC79" s="14"/>
      <x:c r="BD79" s="17" t="str">
        <x:v>燕霑輕冑</x:v>
      </x:c>
      <x:c r="BE79" s="17" t="str">
        <x:v>渺霧道袍</x:v>
      </x:c>
      <x:c r="BF79" s="17" t="str">
        <x:v>祈霖禪裟</x:v>
      </x:c>
      <x:c r="BG79" s="17" t="str">
        <x:v>饕餮禍吞鎧</x:v>
      </x:c>
      <x:c r="BH79" s="14"/>
      <x:c r="BI79" s="17" t="str">
        <x:v>峻霆‧術幻指</x:v>
      </x:c>
      <x:c r="BJ79" s="17" t="str">
        <x:v>峻霆‧道輝手</x:v>
      </x:c>
      <x:c r="BK79" s="17" t="str">
        <x:v>峻霆‧禪光握</x:v>
      </x:c>
      <x:c r="BL79" s="17" t="str">
        <x:v>峻霆‧檮杌手</x:v>
      </x:c>
      <x:c r="BM79" s="14"/>
      <x:c r="BN79" s="17" t="str">
        <x:v>宇傲‧術幻履</x:v>
      </x:c>
      <x:c r="BO79" s="17" t="str">
        <x:v>宇傲‧道輝步</x:v>
      </x:c>
      <x:c r="BP79" s="17" t="str">
        <x:v>宇傲‧禪光行</x:v>
      </x:c>
      <x:c r="BQ79" s="17" t="str">
        <x:v>宇傲‧窮奇靴</x:v>
      </x:c>
      <x:c r="BR79" s="14"/>
      <x:c r="BS79" s="17" t="str">
        <x:v>絕聖鳳凰之心</x:v>
      </x:c>
      <x:c r="BT79" s="17" t="str">
        <x:v>御妖戒‧八歧</x:v>
      </x:c>
      <x:c r="BU79" s="17" t="str">
        <x:v>尋奇鍊‧洪荒</x:v>
      </x:c>
      <x:c r="BV79" s="17" t="str">
        <x:v>終‧六滅化神</x:v>
      </x:c>
      <x:c r="BW79" s="14"/>
      <x:c r="BX79" s="14"/>
      <x:c r="BY79" s="14"/>
      <x:c r="BZ79" s="14"/>
      <x:c r="CA79" s="14"/>
      <x:c r="CB79" s="14"/>
      <x:c r="CC79" s="14" t="str">
        <x:v>31101</x:v>
      </x:c>
      <x:c r="CD79" s="14" t="n">
        <x:v>8</x:v>
      </x:c>
      <x:c r="CE79" s="14" t="n">
        <x:v>241</x:v>
      </x:c>
      <x:c r="CF79" s="14" t="n">
        <x:v>241</x:v>
      </x:c>
      <x:c r="CG79" s="14" t="n">
        <x:v>13</x:v>
      </x:c>
      <x:c r="CH79" s="14" t="n">
        <x:v>1</x:v>
      </x:c>
      <x:c r="CI79" s="14" t="str">
        <x:v>未收錄</x:v>
      </x:c>
      <x:c r="CJ79" s="14" t="str">
        <x:v>31102</x:v>
      </x:c>
      <x:c r="CK79" s="14" t="n">
        <x:v>8</x:v>
      </x:c>
      <x:c r="CL79" s="14" t="n">
        <x:v>242</x:v>
      </x:c>
      <x:c r="CM79" s="14" t="n">
        <x:v>242</x:v>
      </x:c>
      <x:c r="CN79" s="14" t="n">
        <x:v>13</x:v>
      </x:c>
      <x:c r="CO79" s="14" t="n">
        <x:v>2</x:v>
      </x:c>
      <x:c r="CP79" s="14" t="str">
        <x:v>未收錄</x:v>
      </x:c>
      <x:c r="CQ79" s="14" t="str">
        <x:v>31103</x:v>
      </x:c>
      <x:c r="CR79" s="14" t="n">
        <x:v>8</x:v>
      </x:c>
      <x:c r="CS79" s="14" t="n">
        <x:v>243</x:v>
      </x:c>
      <x:c r="CT79" s="14" t="n">
        <x:v>243</x:v>
      </x:c>
      <x:c r="CU79" s="14" t="n">
        <x:v>13</x:v>
      </x:c>
      <x:c r="CV79" s="14" t="n">
        <x:v>3</x:v>
      </x:c>
      <x:c r="CW79" s="14" t="str">
        <x:v>未收錄</x:v>
      </x:c>
      <x:c r="CX79" s="14" t="str">
        <x:v>31104</x:v>
      </x:c>
      <x:c r="CY79" s="14" t="n">
        <x:v>8</x:v>
      </x:c>
      <x:c r="CZ79" s="14" t="n">
        <x:v>244</x:v>
      </x:c>
      <x:c r="DA79" s="14" t="n">
        <x:v>244</x:v>
      </x:c>
      <x:c r="DB79" s="14" t="n">
        <x:v>13</x:v>
      </x:c>
      <x:c r="DC79" s="14" t="n">
        <x:v>4</x:v>
      </x:c>
      <x:c r="DD79" s="14" t="str">
        <x:v>未收錄</x:v>
      </x:c>
      <x:c r="DE79" s="14"/>
      <x:c r="DF79" s="14"/>
      <x:c r="DG79" s="14"/>
      <x:c r="DH79" s="14"/>
      <x:c r="DI79" s="14"/>
      <x:c r="DJ79" s="14"/>
      <x:c r="DK79" s="14"/>
      <x:c r="DL79" s="14"/>
      <x:c r="DM79" s="14"/>
      <x:c r="DN79" s="14"/>
      <x:c r="DO79" s="14"/>
      <x:c r="DP79" s="14"/>
      <x:c r="DQ79" s="14"/>
      <x:c r="DR79" s="14"/>
      <x:c r="DS79" s="14"/>
      <x:c r="DT79" s="14"/>
      <x:c r="DU79" s="14"/>
      <x:c r="DV79" s="14"/>
      <x:c r="DW79" s="14"/>
      <x:c r="DX79" s="14"/>
      <x:c r="DY79" s="14"/>
      <x:c r="DZ79" s="14"/>
      <x:c r="EA79" s="14"/>
      <x:c r="EB79" s="14"/>
      <x:c r="EC79" s="14"/>
      <x:c r="ED79" s="14"/>
      <x:c r="EE79" s="14"/>
      <x:c r="EF79" s="14"/>
      <x:c r="EG79" s="14"/>
      <x:c r="EH79" s="14"/>
      <x:c r="EI79" s="14"/>
      <x:c r="EJ79" s="14"/>
      <x:c r="EK79" s="14"/>
      <x:c r="EL79" s="14"/>
      <x:c r="EM79" s="14"/>
      <x:c r="EN79" s="14"/>
      <x:c r="EO79" s="14"/>
      <x:c r="EP79" s="14"/>
      <x:c r="EQ79" s="14"/>
      <x:c r="ER79" s="14"/>
      <x:c r="ES79" s="14"/>
      <x:c r="ET79" s="14"/>
      <x:c r="EU79" s="14"/>
      <x:c r="EV79" s="14"/>
      <x:c r="EW79" s="14"/>
      <x:c r="EX79" s="14"/>
      <x:c r="EY79" s="14"/>
      <x:c r="EZ79" s="14"/>
      <x:c r="FA79" s="14"/>
      <x:c r="FB79" s="14"/>
      <x:c r="FC79" s="14"/>
      <x:c r="FD79" s="14"/>
      <x:c r="FE79" s="14"/>
      <x:c r="FF79" s="14"/>
      <x:c r="FG79" s="14"/>
      <x:c r="FH79" s="14"/>
      <x:c r="FI79" s="14"/>
      <x:c r="FJ79" s="14"/>
      <x:c r="FK79" s="14"/>
      <x:c r="FL79" s="14"/>
      <x:c r="FM79" s="14"/>
      <x:c r="FN79" s="14"/>
      <x:c r="FO79" s="14"/>
      <x:c r="FP79" s="14"/>
      <x:c r="FQ79" s="14"/>
      <x:c r="FR79" s="14"/>
      <x:c r="FS79" s="14"/>
      <x:c r="FT79" s="14"/>
      <x:c r="FU79" s="14"/>
      <x:c r="FV79" s="14"/>
      <x:c r="FW79" s="14"/>
      <x:c r="FX79" s="14"/>
      <x:c r="FY79" s="14"/>
      <x:c r="FZ79" s="14"/>
      <x:c r="GA79" s="14"/>
      <x:c r="GB79" s="14"/>
      <x:c r="GC79" s="14"/>
      <x:c r="GD79" s="14"/>
      <x:c r="GE79" s="14"/>
      <x:c r="GF79" s="14"/>
      <x:c r="GG79" s="14"/>
      <x:c r="GH79" s="14"/>
      <x:c r="GI79" s="14"/>
      <x:c r="GJ79" s="14"/>
      <x:c r="GK79" s="14"/>
      <x:c r="GL79" s="14"/>
      <x:c r="GM79" s="14"/>
      <x:c r="GN79" s="14"/>
      <x:c r="GO79" s="14"/>
      <x:c r="GP79" s="14"/>
      <x:c r="GQ79" s="14"/>
      <x:c r="GR79" s="14"/>
      <x:c r="GS79" s="14"/>
      <x:c r="GT79" s="14"/>
      <x:c r="GU79" s="14"/>
      <x:c r="GV79" s="14"/>
      <x:c r="GW79" s="14"/>
      <x:c r="GX79" s="14"/>
      <x:c r="GY79" s="14"/>
      <x:c r="GZ79" s="14"/>
      <x:c r="HA79" s="14"/>
      <x:c r="HB79" s="14"/>
      <x:c r="HC79" s="14"/>
      <x:c r="HD79" s="14"/>
      <x:c r="HE79" s="14"/>
      <x:c r="HF79" s="14"/>
      <x:c r="HG79" s="14"/>
      <x:c r="HH79" s="14"/>
      <x:c r="HI79" s="14"/>
      <x:c r="HJ79" s="14"/>
      <x:c r="HK79" s="14"/>
      <x:c r="HL79" s="14"/>
      <x:c r="HM79" s="14"/>
      <x:c r="HN79" s="14"/>
      <x:c r="HO79" s="14"/>
      <x:c r="HP79" s="14"/>
      <x:c r="HQ79" s="14"/>
      <x:c r="HR79" s="14"/>
      <x:c r="HS79" s="14"/>
      <x:c r="HT79" s="14"/>
      <x:c r="HU79" s="14"/>
      <x:c r="HV79" s="14"/>
      <x:c r="HW79" s="14"/>
      <x:c r="HX79" s="14"/>
      <x:c r="HY79" s="14"/>
      <x:c r="HZ79" s="14"/>
      <x:c r="IA79" s="14"/>
      <x:c r="IB79" s="14"/>
      <x:c r="IC79" s="14"/>
      <x:c r="ID79" s="14"/>
      <x:c r="IE79" s="14"/>
      <x:c r="IF79" s="14"/>
      <x:c r="IG79" s="14"/>
      <x:c r="IH79" s="14"/>
      <x:c r="II79" s="14"/>
      <x:c r="IJ79" s="14"/>
      <x:c r="IK79" s="14"/>
      <x:c r="IL79" s="14"/>
      <x:c r="IM79" s="14"/>
      <x:c r="IN79" s="14"/>
      <x:c r="IO79" s="14"/>
      <x:c r="IP79" s="14"/>
      <x:c r="IQ79" s="14"/>
      <x:c r="IR79" s="14"/>
      <x:c r="IS79" s="14"/>
      <x:c r="IT79" s="14"/>
      <x:c r="IU79" s="14"/>
      <x:c r="IV79" s="14"/>
      <x:c r="IW79" s="14"/>
      <x:c r="IX79" s="14"/>
      <x:c r="IY79" s="14"/>
      <x:c r="IZ79" s="14"/>
      <x:c r="JA79" s="14"/>
      <x:c r="JB79" s="14"/>
      <x:c r="JC79" s="14"/>
      <x:c r="JD79" s="14"/>
      <x:c r="JE79" s="14"/>
      <x:c r="JF79" s="14"/>
      <x:c r="JG79" s="14"/>
      <x:c r="JH79" s="14"/>
      <x:c r="JI79" s="14"/>
      <x:c r="JJ79" s="14"/>
      <x:c r="JK79" s="14"/>
      <x:c r="JL79" s="14"/>
      <x:c r="JM79" s="14"/>
      <x:c r="JN79" s="14"/>
      <x:c r="JO79" s="14"/>
      <x:c r="JP79" s="14"/>
      <x:c r="JQ79" s="14"/>
      <x:c r="JR79" s="14"/>
      <x:c r="JS79" s="14"/>
      <x:c r="JT79" s="14"/>
      <x:c r="JU79" s="14"/>
      <x:c r="JV79" s="14"/>
      <x:c r="JW79" s="14"/>
      <x:c r="JX79" s="14"/>
      <x:c r="JY79" s="14"/>
      <x:c r="JZ79" s="14"/>
      <x:c r="KA79" s="14"/>
      <x:c r="KB79" s="14"/>
      <x:c r="KC79" s="14"/>
      <x:c r="KD79" s="14"/>
      <x:c r="KE79" s="14"/>
      <x:c r="KF79" s="14"/>
      <x:c r="KG79" s="14"/>
      <x:c r="KH79" s="14"/>
      <x:c r="KI79" s="14"/>
      <x:c r="KJ79" s="14"/>
      <x:c r="KK79" s="14"/>
      <x:c r="KL79" s="14"/>
      <x:c r="KM79" s="14"/>
      <x:c r="KN79" s="14"/>
      <x:c r="KO79" s="14"/>
      <x:c r="KP79" s="14"/>
      <x:c r="KQ79" s="14"/>
      <x:c r="KR79" s="14"/>
      <x:c r="KS79" s="14"/>
      <x:c r="KT79" s="14"/>
      <x:c r="KU79" s="14"/>
      <x:c r="KV79" s="14"/>
      <x:c r="KW79" s="14"/>
      <x:c r="KX79" s="14"/>
      <x:c r="KY79" s="14"/>
      <x:c r="KZ79" s="14"/>
      <x:c r="LA79" s="14"/>
      <x:c r="LB79" s="14"/>
      <x:c r="LC79" s="14"/>
      <x:c r="LD79" s="14"/>
      <x:c r="LE79" s="14"/>
      <x:c r="LF79" s="14"/>
      <x:c r="LG79" s="14"/>
      <x:c r="LH79" s="14"/>
      <x:c r="LI79" s="14"/>
      <x:c r="LJ79" s="14"/>
      <x:c r="LK79" s="14"/>
      <x:c r="LL79" s="14"/>
      <x:c r="LM79" s="14"/>
      <x:c r="LN79" s="14"/>
      <x:c r="LO79" s="14"/>
      <x:c r="LP79" s="14"/>
      <x:c r="LQ79" s="14"/>
      <x:c r="LR79" s="14"/>
      <x:c r="LS79" s="14"/>
      <x:c r="LT79" s="14"/>
      <x:c r="LU79" s="14"/>
      <x:c r="LV79" s="14"/>
      <x:c r="LW79" s="14"/>
      <x:c r="LX79" s="14"/>
      <x:c r="LY79" s="14"/>
      <x:c r="LZ79" s="14"/>
      <x:c r="MA79" s="14"/>
      <x:c r="MB79" s="14"/>
      <x:c r="MC79" s="14"/>
      <x:c r="MD79" s="14"/>
      <x:c r="ME79" s="14"/>
      <x:c r="MF79" s="14"/>
      <x:c r="MG79" s="14"/>
      <x:c r="MH79" s="14"/>
      <x:c r="MI79" s="14"/>
      <x:c r="MJ79" s="14"/>
      <x:c r="MK79" s="14"/>
      <x:c r="ML79" s="14"/>
      <x:c r="MM79" s="14"/>
      <x:c r="MN79" s="14"/>
      <x:c r="MO79" s="14"/>
      <x:c r="MP79" s="14"/>
      <x:c r="MQ79" s="14"/>
      <x:c r="MR79" s="14"/>
      <x:c r="MS79" s="14"/>
      <x:c r="MT79" s="14"/>
      <x:c r="MU79" s="14"/>
      <x:c r="MV79" s="14"/>
      <x:c r="MW79" s="14" t="str">
        <x:v>27085</x:v>
      </x:c>
      <x:c r="MX79" s="14" t="n">
        <x:v>5</x:v>
      </x:c>
      <x:c r="MY79" s="14" t="n">
        <x:v>1889</x:v>
      </x:c>
      <x:c r="MZ79" s="14" t="n">
        <x:v>241</x:v>
      </x:c>
      <x:c r="NA79" s="14" t="n">
        <x:v>13</x:v>
      </x:c>
      <x:c r="NB79" s="14" t="n">
        <x:v>1</x:v>
      </x:c>
      <x:c r="NC79" s="14" t="str">
        <x:v>未收錄</x:v>
      </x:c>
      <x:c r="ND79" s="14" t="str">
        <x:v>27086</x:v>
      </x:c>
      <x:c r="NE79" s="14" t="n">
        <x:v>5</x:v>
      </x:c>
      <x:c r="NF79" s="14" t="n">
        <x:v>1890</x:v>
      </x:c>
      <x:c r="NG79" s="14" t="n">
        <x:v>242</x:v>
      </x:c>
      <x:c r="NH79" s="14" t="n">
        <x:v>13</x:v>
      </x:c>
      <x:c r="NI79" s="14" t="n">
        <x:v>2</x:v>
      </x:c>
      <x:c r="NJ79" s="14" t="str">
        <x:v>未收錄</x:v>
      </x:c>
      <x:c r="NK79" s="14" t="str">
        <x:v>27087</x:v>
      </x:c>
      <x:c r="NL79" s="14" t="n">
        <x:v>5</x:v>
      </x:c>
      <x:c r="NM79" s="14" t="n">
        <x:v>1891</x:v>
      </x:c>
      <x:c r="NN79" s="14" t="n">
        <x:v>243</x:v>
      </x:c>
      <x:c r="NO79" s="14" t="n">
        <x:v>13</x:v>
      </x:c>
      <x:c r="NP79" s="14" t="n">
        <x:v>3</x:v>
      </x:c>
      <x:c r="NQ79" s="14" t="str">
        <x:v>未收錄</x:v>
      </x:c>
      <x:c r="NR79" s="14" t="str">
        <x:v>27088</x:v>
      </x:c>
      <x:c r="NS79" s="14" t="n">
        <x:v>5</x:v>
      </x:c>
      <x:c r="NT79" s="14" t="n">
        <x:v>1892</x:v>
      </x:c>
      <x:c r="NU79" s="14" t="n">
        <x:v>244</x:v>
      </x:c>
      <x:c r="NV79" s="14" t="n">
        <x:v>13</x:v>
      </x:c>
      <x:c r="NW79" s="14" t="n">
        <x:v>4</x:v>
      </x:c>
      <x:c r="NX79" s="14" t="str">
        <x:v>未收錄</x:v>
      </x:c>
      <x:c r="NY79" s="14" t="str">
        <x:v>26569</x:v>
      </x:c>
      <x:c r="NZ79" s="14" t="n">
        <x:v>5</x:v>
      </x:c>
      <x:c r="OA79" s="14" t="n">
        <x:v>2342</x:v>
      </x:c>
      <x:c r="OB79" s="14" t="n">
        <x:v>241</x:v>
      </x:c>
      <x:c r="OC79" s="14" t="n">
        <x:v>13</x:v>
      </x:c>
      <x:c r="OD79" s="14" t="n">
        <x:v>1</x:v>
      </x:c>
      <x:c r="OE79" s="14" t="str">
        <x:v>未收錄</x:v>
      </x:c>
      <x:c r="OF79" s="14" t="str">
        <x:v>26570</x:v>
      </x:c>
      <x:c r="OG79" s="14" t="n">
        <x:v>5</x:v>
      </x:c>
      <x:c r="OH79" s="14" t="n">
        <x:v>2343</x:v>
      </x:c>
      <x:c r="OI79" s="14" t="n">
        <x:v>242</x:v>
      </x:c>
      <x:c r="OJ79" s="14" t="n">
        <x:v>13</x:v>
      </x:c>
      <x:c r="OK79" s="14" t="n">
        <x:v>2</x:v>
      </x:c>
      <x:c r="OL79" s="14" t="str">
        <x:v>未收錄</x:v>
      </x:c>
      <x:c r="OM79" s="14" t="str">
        <x:v>26571</x:v>
      </x:c>
      <x:c r="ON79" s="14" t="n">
        <x:v>5</x:v>
      </x:c>
      <x:c r="OO79" s="14" t="n">
        <x:v>2344</x:v>
      </x:c>
      <x:c r="OP79" s="14" t="n">
        <x:v>243</x:v>
      </x:c>
      <x:c r="OQ79" s="14" t="n">
        <x:v>13</x:v>
      </x:c>
      <x:c r="OR79" s="14" t="n">
        <x:v>3</x:v>
      </x:c>
      <x:c r="OS79" s="14" t="str">
        <x:v>未收錄</x:v>
      </x:c>
      <x:c r="OT79" s="14" t="str">
        <x:v>26803</x:v>
      </x:c>
      <x:c r="OU79" s="14" t="n">
        <x:v>10</x:v>
      </x:c>
      <x:c r="OV79" s="14" t="n">
        <x:v>2345</x:v>
      </x:c>
      <x:c r="OW79" s="14" t="n">
        <x:v>244</x:v>
      </x:c>
      <x:c r="OX79" s="14" t="n">
        <x:v>13</x:v>
      </x:c>
      <x:c r="OY79" s="14" t="n">
        <x:v>4</x:v>
      </x:c>
      <x:c r="OZ79" s="14" t="str">
        <x:v>未收錄</x:v>
      </x:c>
      <x:c r="PA79" s="14" t="str">
        <x:v>27682</x:v>
      </x:c>
      <x:c r="PB79" s="14" t="n">
        <x:v>5</x:v>
      </x:c>
      <x:c r="PC79" s="14" t="n">
        <x:v>2888</x:v>
      </x:c>
      <x:c r="PD79" s="14" t="n">
        <x:v>241</x:v>
      </x:c>
      <x:c r="PE79" s="14" t="n">
        <x:v>13</x:v>
      </x:c>
      <x:c r="PF79" s="14" t="n">
        <x:v>1</x:v>
      </x:c>
      <x:c r="PG79" s="14" t="str">
        <x:v>未收錄</x:v>
      </x:c>
      <x:c r="PH79" s="14" t="str">
        <x:v>27683</x:v>
      </x:c>
      <x:c r="PI79" s="14" t="n">
        <x:v>5</x:v>
      </x:c>
      <x:c r="PJ79" s="14" t="n">
        <x:v>2889</x:v>
      </x:c>
      <x:c r="PK79" s="14" t="n">
        <x:v>242</x:v>
      </x:c>
      <x:c r="PL79" s="14" t="n">
        <x:v>13</x:v>
      </x:c>
      <x:c r="PM79" s="14" t="n">
        <x:v>2</x:v>
      </x:c>
      <x:c r="PN79" s="14" t="str">
        <x:v>未收錄</x:v>
      </x:c>
      <x:c r="PO79" s="14" t="str">
        <x:v>27684</x:v>
      </x:c>
      <x:c r="PP79" s="14" t="n">
        <x:v>5</x:v>
      </x:c>
      <x:c r="PQ79" s="14" t="n">
        <x:v>2890</x:v>
      </x:c>
      <x:c r="PR79" s="14" t="n">
        <x:v>243</x:v>
      </x:c>
      <x:c r="PS79" s="14" t="n">
        <x:v>13</x:v>
      </x:c>
      <x:c r="PT79" s="14" t="n">
        <x:v>3</x:v>
      </x:c>
      <x:c r="PU79" s="14" t="str">
        <x:v>未收錄</x:v>
      </x:c>
      <x:c r="PV79" s="14" t="str">
        <x:v>27744</x:v>
      </x:c>
      <x:c r="PW79" s="14" t="n">
        <x:v>10</x:v>
      </x:c>
      <x:c r="PX79" s="14" t="n">
        <x:v>2891</x:v>
      </x:c>
      <x:c r="PY79" s="14" t="n">
        <x:v>244</x:v>
      </x:c>
      <x:c r="PZ79" s="14" t="n">
        <x:v>13</x:v>
      </x:c>
      <x:c r="QA79" s="14" t="n">
        <x:v>4</x:v>
      </x:c>
      <x:c r="QB79" s="14" t="str">
        <x:v>未收錄</x:v>
      </x:c>
      <x:c r="QC79" s="14" t="str">
        <x:v>27151</x:v>
      </x:c>
      <x:c r="QD79" s="14" t="n">
        <x:v>5</x:v>
      </x:c>
      <x:c r="QE79" s="14" t="n">
        <x:v>3325</x:v>
      </x:c>
      <x:c r="QF79" s="14" t="n">
        <x:v>241</x:v>
      </x:c>
      <x:c r="QG79" s="14" t="n">
        <x:v>13</x:v>
      </x:c>
      <x:c r="QH79" s="14" t="n">
        <x:v>1</x:v>
      </x:c>
      <x:c r="QI79" s="14" t="str">
        <x:v>未收錄</x:v>
      </x:c>
      <x:c r="QJ79" s="14" t="str">
        <x:v>27152</x:v>
      </x:c>
      <x:c r="QK79" s="14" t="n">
        <x:v>5</x:v>
      </x:c>
      <x:c r="QL79" s="14" t="n">
        <x:v>3326</x:v>
      </x:c>
      <x:c r="QM79" s="14" t="n">
        <x:v>242</x:v>
      </x:c>
      <x:c r="QN79" s="14" t="n">
        <x:v>13</x:v>
      </x:c>
      <x:c r="QO79" s="14" t="n">
        <x:v>2</x:v>
      </x:c>
      <x:c r="QP79" s="14" t="str">
        <x:v>未收錄</x:v>
      </x:c>
      <x:c r="QQ79" s="14" t="str">
        <x:v>27153</x:v>
      </x:c>
      <x:c r="QR79" s="14" t="n">
        <x:v>5</x:v>
      </x:c>
      <x:c r="QS79" s="14" t="n">
        <x:v>3327</x:v>
      </x:c>
      <x:c r="QT79" s="14" t="n">
        <x:v>243</x:v>
      </x:c>
      <x:c r="QU79" s="14" t="n">
        <x:v>13</x:v>
      </x:c>
      <x:c r="QV79" s="14" t="n">
        <x:v>3</x:v>
      </x:c>
      <x:c r="QW79" s="14" t="str">
        <x:v>未收錄</x:v>
      </x:c>
      <x:c r="QX79" s="14" t="str">
        <x:v>27225</x:v>
      </x:c>
      <x:c r="QY79" s="14" t="n">
        <x:v>10</x:v>
      </x:c>
      <x:c r="QZ79" s="14" t="n">
        <x:v>3328</x:v>
      </x:c>
      <x:c r="RA79" s="14" t="n">
        <x:v>244</x:v>
      </x:c>
      <x:c r="RB79" s="14" t="n">
        <x:v>13</x:v>
      </x:c>
      <x:c r="RC79" s="14" t="n">
        <x:v>4</x:v>
      </x:c>
      <x:c r="RD79" s="14" t="str">
        <x:v>未收錄</x:v>
      </x:c>
      <x:c r="RE79" s="14" t="str">
        <x:v>28171</x:v>
      </x:c>
      <x:c r="RF79" s="14" t="n">
        <x:v>5</x:v>
      </x:c>
      <x:c r="RG79" s="14" t="n">
        <x:v>3786</x:v>
      </x:c>
      <x:c r="RH79" s="14" t="n">
        <x:v>241</x:v>
      </x:c>
      <x:c r="RI79" s="14" t="n">
        <x:v>13</x:v>
      </x:c>
      <x:c r="RJ79" s="14" t="n">
        <x:v>1</x:v>
      </x:c>
      <x:c r="RK79" s="14" t="str">
        <x:v>未收錄</x:v>
      </x:c>
      <x:c r="RL79" s="14" t="str">
        <x:v>28162</x:v>
      </x:c>
      <x:c r="RM79" s="14" t="n">
        <x:v>10</x:v>
      </x:c>
      <x:c r="RN79" s="14" t="n">
        <x:v>3787</x:v>
      </x:c>
      <x:c r="RO79" s="14" t="n">
        <x:v>242</x:v>
      </x:c>
      <x:c r="RP79" s="14" t="n">
        <x:v>13</x:v>
      </x:c>
      <x:c r="RQ79" s="14" t="n">
        <x:v>2</x:v>
      </x:c>
      <x:c r="RR79" s="14" t="str">
        <x:v>未收錄</x:v>
      </x:c>
      <x:c r="RS79" s="14" t="str">
        <x:v>28163</x:v>
      </x:c>
      <x:c r="RT79" s="14" t="n">
        <x:v>10</x:v>
      </x:c>
      <x:c r="RU79" s="14" t="n">
        <x:v>3788</x:v>
      </x:c>
      <x:c r="RV79" s="14" t="n">
        <x:v>243</x:v>
      </x:c>
      <x:c r="RW79" s="14" t="n">
        <x:v>13</x:v>
      </x:c>
      <x:c r="RX79" s="14" t="n">
        <x:v>3</x:v>
      </x:c>
      <x:c r="RY79" s="14" t="str">
        <x:v>未收錄</x:v>
      </x:c>
      <x:c r="RZ79" s="14" t="str">
        <x:v>28185</x:v>
      </x:c>
      <x:c r="SA79" s="14" t="n">
        <x:v>10</x:v>
      </x:c>
      <x:c r="SB79" s="14" t="n">
        <x:v>3789</x:v>
      </x:c>
      <x:c r="SC79" s="14" t="n">
        <x:v>244</x:v>
      </x:c>
      <x:c r="SD79" s="14" t="n">
        <x:v>13</x:v>
      </x:c>
      <x:c r="SE79" s="14" t="n">
        <x:v>4</x:v>
      </x:c>
      <x:c r="SF79" s="14" t="str">
        <x:v>未收錄</x:v>
      </x:c>
      <x:c r="SG79" s="14"/>
      <x:c r="SH79" s="14"/>
      <x:c r="SI79" s="14"/>
      <x:c r="SJ79" s="14"/>
      <x:c r="SK79" s="14"/>
      <x:c r="SL79" s="14"/>
      <x:c r="SM79" s="14"/>
      <x:c r="SN79" s="14"/>
      <x:c r="SO79" s="14"/>
      <x:c r="SP79" s="14"/>
      <x:c r="SQ79" s="14"/>
      <x:c r="SR79" s="14"/>
      <x:c r="SS79" s="14"/>
      <x:c r="ST79" s="14"/>
      <x:c r="SU79" s="14"/>
      <x:c r="SV79" s="14"/>
      <x:c r="SW79" s="14"/>
      <x:c r="SX79" s="14"/>
      <x:c r="SY79" s="14"/>
      <x:c r="SZ79" s="14"/>
      <x:c r="TA79" s="14"/>
      <x:c r="TB79" s="14"/>
      <x:c r="TC79" s="14"/>
      <x:c r="TD79" s="14"/>
      <x:c r="TE79" s="14"/>
      <x:c r="TF79" s="14"/>
      <x:c r="TG79" s="14"/>
      <x:c r="TH79" s="14"/>
    </x:row>
    <x:row r="80" ht="15" customHeight="1">
      <x:c r="A80" s="18" t="str">
        <x:v>宮殤別劍Ⅴ</x:v>
      </x:c>
      <x:c r="B80" s="18"/>
      <x:c r="C80" s="18"/>
      <x:c r="D80" s="18"/>
      <x:c r="E80" s="14"/>
      <x:c r="F80" s="14"/>
      <x:c r="G80" s="14"/>
      <x:c r="H80" s="14"/>
      <x:c r="I80" s="14"/>
      <x:c r="J80" s="14"/>
      <x:c r="K80" s="14"/>
      <x:c r="L80" s="14"/>
      <x:c r="M80" s="14"/>
      <x:c r="N80" s="14"/>
      <x:c r="O80" s="14"/>
      <x:c r="P80" s="14"/>
      <x:c r="Q80" s="14"/>
      <x:c r="R80" s="14"/>
      <x:c r="S80" s="14"/>
      <x:c r="T80" s="14"/>
      <x:c r="U80" s="14"/>
      <x:c r="V80" s="14"/>
      <x:c r="W80" s="14"/>
      <x:c r="X80" s="14"/>
      <x:c r="Y80" s="14"/>
      <x:c r="Z80" s="14"/>
      <x:c r="AA80" s="14"/>
      <x:c r="AB80" s="14"/>
      <x:c r="AC80" s="14"/>
      <x:c r="AD80" s="14"/>
      <x:c r="AE80" s="14"/>
      <x:c r="AF80" s="14"/>
      <x:c r="AG80" s="14"/>
      <x:c r="AH80" s="14"/>
      <x:c r="AI80" s="14"/>
      <x:c r="AJ80" s="14"/>
      <x:c r="AK80" s="14"/>
      <x:c r="AL80" s="14"/>
      <x:c r="AM80" s="14"/>
      <x:c r="AN80" s="14"/>
      <x:c r="AO80" s="14"/>
      <x:c r="AP80" s="14"/>
      <x:c r="AQ80" s="14"/>
      <x:c r="AR80" s="14"/>
      <x:c r="AS80" s="14"/>
      <x:c r="AT80" s="14"/>
      <x:c r="AU80" s="14"/>
      <x:c r="AV80" s="14"/>
      <x:c r="AW80" s="14"/>
      <x:c r="AX80" s="14"/>
      <x:c r="AY80" s="18" t="str">
        <x:v>神煉‧月讀巾</x:v>
      </x:c>
      <x:c r="AZ80" s="18" t="str">
        <x:v>神煉‧混沌冠</x:v>
      </x:c>
      <x:c r="BA80" s="18" t="str">
        <x:v>宇傲‧劍聖盔</x:v>
      </x:c>
      <x:c r="BB80" s="18" t="str">
        <x:v>宇傲‧武尊盔</x:v>
      </x:c>
      <x:c r="BC80" s="14"/>
      <x:c r="BD80" s="18" t="str">
        <x:v>隱遁太乙冑</x:v>
      </x:c>
      <x:c r="BE80" s="18" t="str">
        <x:v>無相司命袍</x:v>
      </x:c>
      <x:c r="BF80" s="18" t="str">
        <x:v>天狗法衣‧終</x:v>
      </x:c>
      <x:c r="BG80" s="18" t="str">
        <x:v>天鍛‧劍聖冑</x:v>
      </x:c>
      <x:c r="BH80" s="14"/>
      <x:c r="BI80" s="18" t="str">
        <x:v>峻霆‧素鳴腕</x:v>
      </x:c>
      <x:c r="BJ80" s="18" t="str">
        <x:v>窮極‧劍聖腕</x:v>
      </x:c>
      <x:c r="BK80" s="18" t="str">
        <x:v>窮極‧武尊臂</x:v>
      </x:c>
      <x:c r="BL80" s="18" t="str">
        <x:v>窮極‧術幻指</x:v>
      </x:c>
      <x:c r="BM80" s="14"/>
      <x:c r="BN80" s="18" t="str">
        <x:v>宇傲‧韋駝足</x:v>
      </x:c>
      <x:c r="BO80" s="18" t="str">
        <x:v>宇傲‧流星靴</x:v>
      </x:c>
      <x:c r="BP80" s="18" t="str">
        <x:v>峻霆‧劍聖靴</x:v>
      </x:c>
      <x:c r="BQ80" s="18" t="str">
        <x:v>峻霆‧武尊踏</x:v>
      </x:c>
      <x:c r="BR80" s="14"/>
      <x:c r="BS80" s="18" t="str">
        <x:v>星龍珠★</x:v>
      </x:c>
      <x:c r="BT80" s="18" t="str">
        <x:v>星龍珠★★</x:v>
      </x:c>
      <x:c r="BU80" s="18" t="str">
        <x:v>星龍珠★★★</x:v>
      </x:c>
      <x:c r="BV80" s="18" t="str">
        <x:v>星虎披★</x:v>
      </x:c>
      <x:c r="BW80" s="14"/>
      <x:c r="BX80" s="14"/>
      <x:c r="BY80" s="14"/>
      <x:c r="BZ80" s="14"/>
      <x:c r="CA80" s="14"/>
      <x:c r="CB80" s="14"/>
      <x:c r="CC80" s="14" t="str">
        <x:v>31105</x:v>
      </x:c>
      <x:c r="CD80" s="14" t="n">
        <x:v>8</x:v>
      </x:c>
      <x:c r="CE80" s="14" t="n">
        <x:v>245</x:v>
      </x:c>
      <x:c r="CF80" s="14" t="n">
        <x:v>245</x:v>
      </x:c>
      <x:c r="CG80" s="14" t="n">
        <x:v>14</x:v>
      </x:c>
      <x:c r="CH80" s="14" t="n">
        <x:v>1</x:v>
      </x:c>
      <x:c r="CI80" s="14" t="str">
        <x:v>未收錄</x:v>
      </x:c>
      <x:c r="CJ80" s="14"/>
      <x:c r="CK80" s="14"/>
      <x:c r="CL80" s="14"/>
      <x:c r="CM80" s="14"/>
      <x:c r="CN80" s="14"/>
      <x:c r="CO80" s="14"/>
      <x:c r="CP80" s="14"/>
      <x:c r="CQ80" s="14"/>
      <x:c r="CR80" s="14"/>
      <x:c r="CS80" s="14"/>
      <x:c r="CT80" s="14"/>
      <x:c r="CU80" s="14"/>
      <x:c r="CV80" s="14"/>
      <x:c r="CW80" s="14"/>
      <x:c r="CX80" s="14"/>
      <x:c r="CY80" s="14"/>
      <x:c r="CZ80" s="14"/>
      <x:c r="DA80" s="14"/>
      <x:c r="DB80" s="14"/>
      <x:c r="DC80" s="14"/>
      <x:c r="DD80" s="14"/>
      <x:c r="DE80" s="14"/>
      <x:c r="DF80" s="14"/>
      <x:c r="DG80" s="14"/>
      <x:c r="DH80" s="14"/>
      <x:c r="DI80" s="14"/>
      <x:c r="DJ80" s="14"/>
      <x:c r="DK80" s="14"/>
      <x:c r="DL80" s="14"/>
      <x:c r="DM80" s="14"/>
      <x:c r="DN80" s="14"/>
      <x:c r="DO80" s="14"/>
      <x:c r="DP80" s="14"/>
      <x:c r="DQ80" s="14"/>
      <x:c r="DR80" s="14"/>
      <x:c r="DS80" s="14"/>
      <x:c r="DT80" s="14"/>
      <x:c r="DU80" s="14"/>
      <x:c r="DV80" s="14"/>
      <x:c r="DW80" s="14"/>
      <x:c r="DX80" s="14"/>
      <x:c r="DY80" s="14"/>
      <x:c r="DZ80" s="14"/>
      <x:c r="EA80" s="14"/>
      <x:c r="EB80" s="14"/>
      <x:c r="EC80" s="14"/>
      <x:c r="ED80" s="14"/>
      <x:c r="EE80" s="14"/>
      <x:c r="EF80" s="14"/>
      <x:c r="EG80" s="14"/>
      <x:c r="EH80" s="14"/>
      <x:c r="EI80" s="14"/>
      <x:c r="EJ80" s="14"/>
      <x:c r="EK80" s="14"/>
      <x:c r="EL80" s="14"/>
      <x:c r="EM80" s="14"/>
      <x:c r="EN80" s="14"/>
      <x:c r="EO80" s="14"/>
      <x:c r="EP80" s="14"/>
      <x:c r="EQ80" s="14"/>
      <x:c r="ER80" s="14"/>
      <x:c r="ES80" s="14"/>
      <x:c r="ET80" s="14"/>
      <x:c r="EU80" s="14"/>
      <x:c r="EV80" s="14"/>
      <x:c r="EW80" s="14"/>
      <x:c r="EX80" s="14"/>
      <x:c r="EY80" s="14"/>
      <x:c r="EZ80" s="14"/>
      <x:c r="FA80" s="14"/>
      <x:c r="FB80" s="14"/>
      <x:c r="FC80" s="14"/>
      <x:c r="FD80" s="14"/>
      <x:c r="FE80" s="14"/>
      <x:c r="FF80" s="14"/>
      <x:c r="FG80" s="14"/>
      <x:c r="FH80" s="14"/>
      <x:c r="FI80" s="14"/>
      <x:c r="FJ80" s="14"/>
      <x:c r="FK80" s="14"/>
      <x:c r="FL80" s="14"/>
      <x:c r="FM80" s="14"/>
      <x:c r="FN80" s="14"/>
      <x:c r="FO80" s="14"/>
      <x:c r="FP80" s="14"/>
      <x:c r="FQ80" s="14"/>
      <x:c r="FR80" s="14"/>
      <x:c r="FS80" s="14"/>
      <x:c r="FT80" s="14"/>
      <x:c r="FU80" s="14"/>
      <x:c r="FV80" s="14"/>
      <x:c r="FW80" s="14"/>
      <x:c r="FX80" s="14"/>
      <x:c r="FY80" s="14"/>
      <x:c r="FZ80" s="14"/>
      <x:c r="GA80" s="14"/>
      <x:c r="GB80" s="14"/>
      <x:c r="GC80" s="14"/>
      <x:c r="GD80" s="14"/>
      <x:c r="GE80" s="14"/>
      <x:c r="GF80" s="14"/>
      <x:c r="GG80" s="14"/>
      <x:c r="GH80" s="14"/>
      <x:c r="GI80" s="14"/>
      <x:c r="GJ80" s="14"/>
      <x:c r="GK80" s="14"/>
      <x:c r="GL80" s="14"/>
      <x:c r="GM80" s="14"/>
      <x:c r="GN80" s="14"/>
      <x:c r="GO80" s="14"/>
      <x:c r="GP80" s="14"/>
      <x:c r="GQ80" s="14"/>
      <x:c r="GR80" s="14"/>
      <x:c r="GS80" s="14"/>
      <x:c r="GT80" s="14"/>
      <x:c r="GU80" s="14"/>
      <x:c r="GV80" s="14"/>
      <x:c r="GW80" s="14"/>
      <x:c r="GX80" s="14"/>
      <x:c r="GY80" s="14"/>
      <x:c r="GZ80" s="14"/>
      <x:c r="HA80" s="14"/>
      <x:c r="HB80" s="14"/>
      <x:c r="HC80" s="14"/>
      <x:c r="HD80" s="14"/>
      <x:c r="HE80" s="14"/>
      <x:c r="HF80" s="14"/>
      <x:c r="HG80" s="14"/>
      <x:c r="HH80" s="14"/>
      <x:c r="HI80" s="14"/>
      <x:c r="HJ80" s="14"/>
      <x:c r="HK80" s="14"/>
      <x:c r="HL80" s="14"/>
      <x:c r="HM80" s="14"/>
      <x:c r="HN80" s="14"/>
      <x:c r="HO80" s="14"/>
      <x:c r="HP80" s="14"/>
      <x:c r="HQ80" s="14"/>
      <x:c r="HR80" s="14"/>
      <x:c r="HS80" s="14"/>
      <x:c r="HT80" s="14"/>
      <x:c r="HU80" s="14"/>
      <x:c r="HV80" s="14"/>
      <x:c r="HW80" s="14"/>
      <x:c r="HX80" s="14"/>
      <x:c r="HY80" s="14"/>
      <x:c r="HZ80" s="14"/>
      <x:c r="IA80" s="14"/>
      <x:c r="IB80" s="14"/>
      <x:c r="IC80" s="14"/>
      <x:c r="ID80" s="14"/>
      <x:c r="IE80" s="14"/>
      <x:c r="IF80" s="14"/>
      <x:c r="IG80" s="14"/>
      <x:c r="IH80" s="14"/>
      <x:c r="II80" s="14"/>
      <x:c r="IJ80" s="14"/>
      <x:c r="IK80" s="14"/>
      <x:c r="IL80" s="14"/>
      <x:c r="IM80" s="14"/>
      <x:c r="IN80" s="14"/>
      <x:c r="IO80" s="14"/>
      <x:c r="IP80" s="14"/>
      <x:c r="IQ80" s="14"/>
      <x:c r="IR80" s="14"/>
      <x:c r="IS80" s="14"/>
      <x:c r="IT80" s="14"/>
      <x:c r="IU80" s="14"/>
      <x:c r="IV80" s="14"/>
      <x:c r="IW80" s="14"/>
      <x:c r="IX80" s="14"/>
      <x:c r="IY80" s="14"/>
      <x:c r="IZ80" s="14"/>
      <x:c r="JA80" s="14"/>
      <x:c r="JB80" s="14"/>
      <x:c r="JC80" s="14"/>
      <x:c r="JD80" s="14"/>
      <x:c r="JE80" s="14"/>
      <x:c r="JF80" s="14"/>
      <x:c r="JG80" s="14"/>
      <x:c r="JH80" s="14"/>
      <x:c r="JI80" s="14"/>
      <x:c r="JJ80" s="14"/>
      <x:c r="JK80" s="14"/>
      <x:c r="JL80" s="14"/>
      <x:c r="JM80" s="14"/>
      <x:c r="JN80" s="14"/>
      <x:c r="JO80" s="14"/>
      <x:c r="JP80" s="14"/>
      <x:c r="JQ80" s="14"/>
      <x:c r="JR80" s="14"/>
      <x:c r="JS80" s="14"/>
      <x:c r="JT80" s="14"/>
      <x:c r="JU80" s="14"/>
      <x:c r="JV80" s="14"/>
      <x:c r="JW80" s="14"/>
      <x:c r="JX80" s="14"/>
      <x:c r="JY80" s="14"/>
      <x:c r="JZ80" s="14"/>
      <x:c r="KA80" s="14"/>
      <x:c r="KB80" s="14"/>
      <x:c r="KC80" s="14"/>
      <x:c r="KD80" s="14"/>
      <x:c r="KE80" s="14"/>
      <x:c r="KF80" s="14"/>
      <x:c r="KG80" s="14"/>
      <x:c r="KH80" s="14"/>
      <x:c r="KI80" s="14"/>
      <x:c r="KJ80" s="14"/>
      <x:c r="KK80" s="14"/>
      <x:c r="KL80" s="14"/>
      <x:c r="KM80" s="14"/>
      <x:c r="KN80" s="14"/>
      <x:c r="KO80" s="14"/>
      <x:c r="KP80" s="14"/>
      <x:c r="KQ80" s="14"/>
      <x:c r="KR80" s="14"/>
      <x:c r="KS80" s="14"/>
      <x:c r="KT80" s="14"/>
      <x:c r="KU80" s="14"/>
      <x:c r="KV80" s="14"/>
      <x:c r="KW80" s="14"/>
      <x:c r="KX80" s="14"/>
      <x:c r="KY80" s="14"/>
      <x:c r="KZ80" s="14"/>
      <x:c r="LA80" s="14"/>
      <x:c r="LB80" s="14"/>
      <x:c r="LC80" s="14"/>
      <x:c r="LD80" s="14"/>
      <x:c r="LE80" s="14"/>
      <x:c r="LF80" s="14"/>
      <x:c r="LG80" s="14"/>
      <x:c r="LH80" s="14"/>
      <x:c r="LI80" s="14"/>
      <x:c r="LJ80" s="14"/>
      <x:c r="LK80" s="14"/>
      <x:c r="LL80" s="14"/>
      <x:c r="LM80" s="14"/>
      <x:c r="LN80" s="14"/>
      <x:c r="LO80" s="14"/>
      <x:c r="LP80" s="14"/>
      <x:c r="LQ80" s="14"/>
      <x:c r="LR80" s="14"/>
      <x:c r="LS80" s="14"/>
      <x:c r="LT80" s="14"/>
      <x:c r="LU80" s="14"/>
      <x:c r="LV80" s="14"/>
      <x:c r="LW80" s="14"/>
      <x:c r="LX80" s="14"/>
      <x:c r="LY80" s="14"/>
      <x:c r="LZ80" s="14"/>
      <x:c r="MA80" s="14"/>
      <x:c r="MB80" s="14"/>
      <x:c r="MC80" s="14"/>
      <x:c r="MD80" s="14"/>
      <x:c r="ME80" s="14"/>
      <x:c r="MF80" s="14"/>
      <x:c r="MG80" s="14"/>
      <x:c r="MH80" s="14"/>
      <x:c r="MI80" s="14"/>
      <x:c r="MJ80" s="14"/>
      <x:c r="MK80" s="14"/>
      <x:c r="ML80" s="14"/>
      <x:c r="MM80" s="14"/>
      <x:c r="MN80" s="14"/>
      <x:c r="MO80" s="14"/>
      <x:c r="MP80" s="14"/>
      <x:c r="MQ80" s="14"/>
      <x:c r="MR80" s="14"/>
      <x:c r="MS80" s="14"/>
      <x:c r="MT80" s="14"/>
      <x:c r="MU80" s="14"/>
      <x:c r="MV80" s="14"/>
      <x:c r="MW80" s="14" t="str">
        <x:v>27401</x:v>
      </x:c>
      <x:c r="MX80" s="14" t="n">
        <x:v>10</x:v>
      </x:c>
      <x:c r="MY80" s="14" t="n">
        <x:v>1893</x:v>
      </x:c>
      <x:c r="MZ80" s="14" t="n">
        <x:v>245</x:v>
      </x:c>
      <x:c r="NA80" s="14" t="n">
        <x:v>14</x:v>
      </x:c>
      <x:c r="NB80" s="14" t="n">
        <x:v>1</x:v>
      </x:c>
      <x:c r="NC80" s="14" t="str">
        <x:v>未收錄</x:v>
      </x:c>
      <x:c r="ND80" s="14" t="str">
        <x:v>27212</x:v>
      </x:c>
      <x:c r="NE80" s="14" t="n">
        <x:v>10</x:v>
      </x:c>
      <x:c r="NF80" s="14" t="n">
        <x:v>1894</x:v>
      </x:c>
      <x:c r="NG80" s="14" t="n">
        <x:v>246</x:v>
      </x:c>
      <x:c r="NH80" s="14" t="n">
        <x:v>14</x:v>
      </x:c>
      <x:c r="NI80" s="14" t="n">
        <x:v>2</x:v>
      </x:c>
      <x:c r="NJ80" s="14" t="str">
        <x:v>未收錄</x:v>
      </x:c>
      <x:c r="NK80" s="14" t="str">
        <x:v>27089</x:v>
      </x:c>
      <x:c r="NL80" s="14" t="n">
        <x:v>5</x:v>
      </x:c>
      <x:c r="NM80" s="14" t="n">
        <x:v>1895</x:v>
      </x:c>
      <x:c r="NN80" s="14" t="n">
        <x:v>247</x:v>
      </x:c>
      <x:c r="NO80" s="14" t="n">
        <x:v>14</x:v>
      </x:c>
      <x:c r="NP80" s="14" t="n">
        <x:v>3</x:v>
      </x:c>
      <x:c r="NQ80" s="14" t="str">
        <x:v>未收錄</x:v>
      </x:c>
      <x:c r="NR80" s="14" t="str">
        <x:v>27090</x:v>
      </x:c>
      <x:c r="NS80" s="14" t="n">
        <x:v>5</x:v>
      </x:c>
      <x:c r="NT80" s="14" t="n">
        <x:v>1896</x:v>
      </x:c>
      <x:c r="NU80" s="14" t="n">
        <x:v>248</x:v>
      </x:c>
      <x:c r="NV80" s="14" t="n">
        <x:v>14</x:v>
      </x:c>
      <x:c r="NW80" s="14" t="n">
        <x:v>4</x:v>
      </x:c>
      <x:c r="NX80" s="14" t="str">
        <x:v>未收錄</x:v>
      </x:c>
      <x:c r="NY80" s="14" t="str">
        <x:v>26817</x:v>
      </x:c>
      <x:c r="NZ80" s="14" t="n">
        <x:v>10</x:v>
      </x:c>
      <x:c r="OA80" s="14" t="n">
        <x:v>2346</x:v>
      </x:c>
      <x:c r="OB80" s="14" t="n">
        <x:v>245</x:v>
      </x:c>
      <x:c r="OC80" s="14" t="n">
        <x:v>14</x:v>
      </x:c>
      <x:c r="OD80" s="14" t="n">
        <x:v>1</x:v>
      </x:c>
      <x:c r="OE80" s="14" t="str">
        <x:v>未收錄</x:v>
      </x:c>
      <x:c r="OF80" s="14" t="str">
        <x:v>26818</x:v>
      </x:c>
      <x:c r="OG80" s="14" t="n">
        <x:v>10</x:v>
      </x:c>
      <x:c r="OH80" s="14" t="n">
        <x:v>2347</x:v>
      </x:c>
      <x:c r="OI80" s="14" t="n">
        <x:v>246</x:v>
      </x:c>
      <x:c r="OJ80" s="14" t="n">
        <x:v>14</x:v>
      </x:c>
      <x:c r="OK80" s="14" t="n">
        <x:v>2</x:v>
      </x:c>
      <x:c r="OL80" s="14" t="str">
        <x:v>未收錄</x:v>
      </x:c>
      <x:c r="OM80" s="14" t="str">
        <x:v>26832</x:v>
      </x:c>
      <x:c r="ON80" s="14" t="n">
        <x:v>10</x:v>
      </x:c>
      <x:c r="OO80" s="14" t="n">
        <x:v>2348</x:v>
      </x:c>
      <x:c r="OP80" s="14" t="n">
        <x:v>247</x:v>
      </x:c>
      <x:c r="OQ80" s="14" t="n">
        <x:v>14</x:v>
      </x:c>
      <x:c r="OR80" s="14" t="n">
        <x:v>3</x:v>
      </x:c>
      <x:c r="OS80" s="14" t="str">
        <x:v>未收錄</x:v>
      </x:c>
      <x:c r="OT80" s="14" t="str">
        <x:v>27094</x:v>
      </x:c>
      <x:c r="OU80" s="14" t="n">
        <x:v>5</x:v>
      </x:c>
      <x:c r="OV80" s="14" t="n">
        <x:v>2349</x:v>
      </x:c>
      <x:c r="OW80" s="14" t="n">
        <x:v>248</x:v>
      </x:c>
      <x:c r="OX80" s="14" t="n">
        <x:v>14</x:v>
      </x:c>
      <x:c r="OY80" s="14" t="n">
        <x:v>4</x:v>
      </x:c>
      <x:c r="OZ80" s="14" t="str">
        <x:v>未收錄</x:v>
      </x:c>
      <x:c r="PA80" s="14" t="str">
        <x:v>27760</x:v>
      </x:c>
      <x:c r="PB80" s="14" t="n">
        <x:v>10</x:v>
      </x:c>
      <x:c r="PC80" s="14" t="n">
        <x:v>2892</x:v>
      </x:c>
      <x:c r="PD80" s="14" t="n">
        <x:v>245</x:v>
      </x:c>
      <x:c r="PE80" s="14" t="n">
        <x:v>14</x:v>
      </x:c>
      <x:c r="PF80" s="14" t="n">
        <x:v>1</x:v>
      </x:c>
      <x:c r="PG80" s="14" t="str">
        <x:v>未收錄</x:v>
      </x:c>
      <x:c r="PH80" s="14" t="str">
        <x:v>27685</x:v>
      </x:c>
      <x:c r="PI80" s="14" t="n">
        <x:v>5</x:v>
      </x:c>
      <x:c r="PJ80" s="14" t="n">
        <x:v>2893</x:v>
      </x:c>
      <x:c r="PK80" s="14" t="n">
        <x:v>246</x:v>
      </x:c>
      <x:c r="PL80" s="14" t="n">
        <x:v>14</x:v>
      </x:c>
      <x:c r="PM80" s="14" t="n">
        <x:v>2</x:v>
      </x:c>
      <x:c r="PN80" s="14" t="str">
        <x:v>未收錄</x:v>
      </x:c>
      <x:c r="PO80" s="14" t="str">
        <x:v>27686</x:v>
      </x:c>
      <x:c r="PP80" s="14" t="n">
        <x:v>5</x:v>
      </x:c>
      <x:c r="PQ80" s="14" t="n">
        <x:v>2894</x:v>
      </x:c>
      <x:c r="PR80" s="14" t="n">
        <x:v>247</x:v>
      </x:c>
      <x:c r="PS80" s="14" t="n">
        <x:v>14</x:v>
      </x:c>
      <x:c r="PT80" s="14" t="n">
        <x:v>3</x:v>
      </x:c>
      <x:c r="PU80" s="14" t="str">
        <x:v>未收錄</x:v>
      </x:c>
      <x:c r="PV80" s="14" t="str">
        <x:v>27687</x:v>
      </x:c>
      <x:c r="PW80" s="14" t="n">
        <x:v>5</x:v>
      </x:c>
      <x:c r="PX80" s="14" t="n">
        <x:v>2895</x:v>
      </x:c>
      <x:c r="PY80" s="14" t="n">
        <x:v>248</x:v>
      </x:c>
      <x:c r="PZ80" s="14" t="n">
        <x:v>14</x:v>
      </x:c>
      <x:c r="QA80" s="14" t="n">
        <x:v>4</x:v>
      </x:c>
      <x:c r="QB80" s="14" t="str">
        <x:v>未收錄</x:v>
      </x:c>
      <x:c r="QC80" s="14" t="str">
        <x:v>27410</x:v>
      </x:c>
      <x:c r="QD80" s="14" t="n">
        <x:v>10</x:v>
      </x:c>
      <x:c r="QE80" s="14" t="n">
        <x:v>3329</x:v>
      </x:c>
      <x:c r="QF80" s="14" t="n">
        <x:v>245</x:v>
      </x:c>
      <x:c r="QG80" s="14" t="n">
        <x:v>14</x:v>
      </x:c>
      <x:c r="QH80" s="14" t="n">
        <x:v>1</x:v>
      </x:c>
      <x:c r="QI80" s="14" t="str">
        <x:v>未收錄</x:v>
      </x:c>
      <x:c r="QJ80" s="14" t="str">
        <x:v>27422</x:v>
      </x:c>
      <x:c r="QK80" s="14" t="n">
        <x:v>10</x:v>
      </x:c>
      <x:c r="QL80" s="14" t="n">
        <x:v>3330</x:v>
      </x:c>
      <x:c r="QM80" s="14" t="n">
        <x:v>246</x:v>
      </x:c>
      <x:c r="QN80" s="14" t="n">
        <x:v>14</x:v>
      </x:c>
      <x:c r="QO80" s="14" t="n">
        <x:v>2</x:v>
      </x:c>
      <x:c r="QP80" s="14" t="str">
        <x:v>未收錄</x:v>
      </x:c>
      <x:c r="QQ80" s="14" t="str">
        <x:v>27700</x:v>
      </x:c>
      <x:c r="QR80" s="14" t="n">
        <x:v>5</x:v>
      </x:c>
      <x:c r="QS80" s="14" t="n">
        <x:v>3331</x:v>
      </x:c>
      <x:c r="QT80" s="14" t="n">
        <x:v>247</x:v>
      </x:c>
      <x:c r="QU80" s="14" t="n">
        <x:v>14</x:v>
      </x:c>
      <x:c r="QV80" s="14" t="n">
        <x:v>3</x:v>
      </x:c>
      <x:c r="QW80" s="14" t="str">
        <x:v>未收錄</x:v>
      </x:c>
      <x:c r="QX80" s="14" t="str">
        <x:v>27701</x:v>
      </x:c>
      <x:c r="QY80" s="14" t="n">
        <x:v>5</x:v>
      </x:c>
      <x:c r="QZ80" s="14" t="n">
        <x:v>3332</x:v>
      </x:c>
      <x:c r="RA80" s="14" t="n">
        <x:v>248</x:v>
      </x:c>
      <x:c r="RB80" s="14" t="n">
        <x:v>14</x:v>
      </x:c>
      <x:c r="RC80" s="14" t="n">
        <x:v>4</x:v>
      </x:c>
      <x:c r="RD80" s="14" t="str">
        <x:v>未收錄</x:v>
      </x:c>
      <x:c r="RE80" s="14" t="str">
        <x:v>28439</x:v>
      </x:c>
      <x:c r="RF80" s="14" t="n">
        <x:v>5</x:v>
      </x:c>
      <x:c r="RG80" s="14" t="n">
        <x:v>3790</x:v>
      </x:c>
      <x:c r="RH80" s="14" t="n">
        <x:v>245</x:v>
      </x:c>
      <x:c r="RI80" s="14" t="n">
        <x:v>14</x:v>
      </x:c>
      <x:c r="RJ80" s="14" t="n">
        <x:v>1</x:v>
      </x:c>
      <x:c r="RK80" s="14" t="str">
        <x:v>未收錄</x:v>
      </x:c>
      <x:c r="RL80" s="14" t="str">
        <x:v>28440</x:v>
      </x:c>
      <x:c r="RM80" s="14" t="n">
        <x:v>5</x:v>
      </x:c>
      <x:c r="RN80" s="14" t="n">
        <x:v>3791</x:v>
      </x:c>
      <x:c r="RO80" s="14" t="n">
        <x:v>246</x:v>
      </x:c>
      <x:c r="RP80" s="14" t="n">
        <x:v>14</x:v>
      </x:c>
      <x:c r="RQ80" s="14" t="n">
        <x:v>2</x:v>
      </x:c>
      <x:c r="RR80" s="14" t="str">
        <x:v>未收錄</x:v>
      </x:c>
      <x:c r="RS80" s="14" t="str">
        <x:v>28441</x:v>
      </x:c>
      <x:c r="RT80" s="14" t="n">
        <x:v>5</x:v>
      </x:c>
      <x:c r="RU80" s="14" t="n">
        <x:v>3792</x:v>
      </x:c>
      <x:c r="RV80" s="14" t="n">
        <x:v>247</x:v>
      </x:c>
      <x:c r="RW80" s="14" t="n">
        <x:v>14</x:v>
      </x:c>
      <x:c r="RX80" s="14" t="n">
        <x:v>3</x:v>
      </x:c>
      <x:c r="RY80" s="14" t="str">
        <x:v>未收錄</x:v>
      </x:c>
      <x:c r="RZ80" s="14" t="str">
        <x:v>28442</x:v>
      </x:c>
      <x:c r="SA80" s="14" t="n">
        <x:v>5</x:v>
      </x:c>
      <x:c r="SB80" s="14" t="n">
        <x:v>3793</x:v>
      </x:c>
      <x:c r="SC80" s="14" t="n">
        <x:v>248</x:v>
      </x:c>
      <x:c r="SD80" s="14" t="n">
        <x:v>14</x:v>
      </x:c>
      <x:c r="SE80" s="14" t="n">
        <x:v>4</x:v>
      </x:c>
      <x:c r="SF80" s="14" t="str">
        <x:v>未收錄</x:v>
      </x:c>
      <x:c r="SG80" s="14"/>
      <x:c r="SH80" s="14"/>
      <x:c r="SI80" s="14"/>
      <x:c r="SJ80" s="14"/>
      <x:c r="SK80" s="14"/>
      <x:c r="SL80" s="14"/>
      <x:c r="SM80" s="14"/>
      <x:c r="SN80" s="14"/>
      <x:c r="SO80" s="14"/>
      <x:c r="SP80" s="14"/>
      <x:c r="SQ80" s="14"/>
      <x:c r="SR80" s="14"/>
      <x:c r="SS80" s="14"/>
      <x:c r="ST80" s="14"/>
      <x:c r="SU80" s="14"/>
      <x:c r="SV80" s="14"/>
      <x:c r="SW80" s="14"/>
      <x:c r="SX80" s="14"/>
      <x:c r="SY80" s="14"/>
      <x:c r="SZ80" s="14"/>
      <x:c r="TA80" s="14"/>
      <x:c r="TB80" s="14"/>
      <x:c r="TC80" s="14"/>
      <x:c r="TD80" s="14"/>
      <x:c r="TE80" s="14"/>
      <x:c r="TF80" s="14"/>
      <x:c r="TG80" s="14"/>
      <x:c r="TH80" s="14"/>
    </x:row>
    <x:row r="81" ht="15" customHeight="1">
      <x:c r="A81" s="14"/>
      <x:c r="B81" s="14"/>
      <x:c r="C81" s="14"/>
      <x:c r="D81" s="14"/>
      <x:c r="E81" s="14"/>
      <x:c r="F81" s="14"/>
      <x:c r="G81" s="14"/>
      <x:c r="H81" s="14"/>
      <x:c r="I81" s="14"/>
      <x:c r="J81" s="14"/>
      <x:c r="K81" s="14"/>
      <x:c r="L81" s="14"/>
      <x:c r="M81" s="14"/>
      <x:c r="N81" s="14"/>
      <x:c r="O81" s="14"/>
      <x:c r="P81" s="14"/>
      <x:c r="Q81" s="14"/>
      <x:c r="R81" s="14"/>
      <x:c r="S81" s="14"/>
      <x:c r="T81" s="14"/>
      <x:c r="U81" s="14"/>
      <x:c r="V81" s="14"/>
      <x:c r="W81" s="14"/>
      <x:c r="X81" s="14"/>
      <x:c r="Y81" s="14"/>
      <x:c r="Z81" s="14"/>
      <x:c r="AA81" s="14"/>
      <x:c r="AB81" s="14"/>
      <x:c r="AC81" s="14"/>
      <x:c r="AD81" s="14"/>
      <x:c r="AE81" s="14"/>
      <x:c r="AF81" s="14"/>
      <x:c r="AG81" s="14"/>
      <x:c r="AH81" s="14"/>
      <x:c r="AI81" s="14"/>
      <x:c r="AJ81" s="14"/>
      <x:c r="AK81" s="14"/>
      <x:c r="AL81" s="14"/>
      <x:c r="AM81" s="14"/>
      <x:c r="AN81" s="14"/>
      <x:c r="AO81" s="14"/>
      <x:c r="AP81" s="14"/>
      <x:c r="AQ81" s="14"/>
      <x:c r="AR81" s="14"/>
      <x:c r="AS81" s="14"/>
      <x:c r="AT81" s="14"/>
      <x:c r="AU81" s="14"/>
      <x:c r="AV81" s="14"/>
      <x:c r="AW81" s="14"/>
      <x:c r="AX81" s="14"/>
      <x:c r="AY81" s="17" t="str">
        <x:v>宇傲‧術幻紗</x:v>
      </x:c>
      <x:c r="AZ81" s="17" t="str">
        <x:v>宇傲‧道輝冠</x:v>
      </x:c>
      <x:c r="BA81" s="17" t="str">
        <x:v>宇傲‧禪光帽</x:v>
      </x:c>
      <x:c r="BB81" s="17" t="str">
        <x:v>宇傲‧月讀巾</x:v>
      </x:c>
      <x:c r="BC81" s="14"/>
      <x:c r="BD81" s="17" t="str">
        <x:v>天鍛‧武尊鎧</x:v>
      </x:c>
      <x:c r="BE81" s="17" t="str">
        <x:v>天鍛‧術幻裳</x:v>
      </x:c>
      <x:c r="BF81" s="17" t="str">
        <x:v>天鍛‧道輝服</x:v>
      </x:c>
      <x:c r="BG81" s="17" t="str">
        <x:v>天鍛‧禪光衣</x:v>
      </x:c>
      <x:c r="BH81" s="14"/>
      <x:c r="BI81" s="17" t="str">
        <x:v>窮極‧道輝手</x:v>
      </x:c>
      <x:c r="BJ81" s="17" t="str">
        <x:v>窮極‧禪光握</x:v>
      </x:c>
      <x:c r="BK81" s="17" t="str">
        <x:v>窮極‧檮杌手</x:v>
      </x:c>
      <x:c r="BL81" s="17" t="str">
        <x:v>窮極‧素鳴腕</x:v>
      </x:c>
      <x:c r="BM81" s="14"/>
      <x:c r="BN81" s="17" t="str">
        <x:v>峻霆‧術幻履</x:v>
      </x:c>
      <x:c r="BO81" s="17" t="str">
        <x:v>峻霆‧道輝步</x:v>
      </x:c>
      <x:c r="BP81" s="17" t="str">
        <x:v>峻霆‧禪光行</x:v>
      </x:c>
      <x:c r="BQ81" s="17" t="str">
        <x:v>峻霆‧窮奇靴</x:v>
      </x:c>
      <x:c r="BR81" s="14"/>
      <x:c r="BS81" s="17" t="str">
        <x:v>星虎披★★</x:v>
      </x:c>
      <x:c r="BT81" s="17" t="str">
        <x:v>星虎披★★★</x:v>
      </x:c>
      <x:c r="BU81" s="17" t="str">
        <x:v>星鳳徽★</x:v>
      </x:c>
      <x:c r="BV81" s="17" t="str">
        <x:v>星鳳徽★★</x:v>
      </x:c>
      <x:c r="BW81" s="14"/>
      <x:c r="BX81" s="14"/>
      <x:c r="BY81" s="14"/>
      <x:c r="BZ81" s="14"/>
      <x:c r="CA81" s="14"/>
      <x:c r="CB81" s="14"/>
      <x:c r="CC81" s="14"/>
      <x:c r="CD81" s="14"/>
      <x:c r="CE81" s="14"/>
      <x:c r="CF81" s="14"/>
      <x:c r="CG81" s="14"/>
      <x:c r="CH81" s="14"/>
      <x:c r="CI81" s="14"/>
      <x:c r="CJ81" s="14"/>
      <x:c r="CK81" s="14"/>
      <x:c r="CL81" s="14"/>
      <x:c r="CM81" s="14"/>
      <x:c r="CN81" s="14"/>
      <x:c r="CO81" s="14"/>
      <x:c r="CP81" s="14"/>
      <x:c r="CQ81" s="14"/>
      <x:c r="CR81" s="14"/>
      <x:c r="CS81" s="14"/>
      <x:c r="CT81" s="14"/>
      <x:c r="CU81" s="14"/>
      <x:c r="CV81" s="14"/>
      <x:c r="CW81" s="14"/>
      <x:c r="CX81" s="14"/>
      <x:c r="CY81" s="14"/>
      <x:c r="CZ81" s="14"/>
      <x:c r="DA81" s="14"/>
      <x:c r="DB81" s="14"/>
      <x:c r="DC81" s="14"/>
      <x:c r="DD81" s="14"/>
      <x:c r="DE81" s="14"/>
      <x:c r="DF81" s="14"/>
      <x:c r="DG81" s="14"/>
      <x:c r="DH81" s="14"/>
      <x:c r="DI81" s="14"/>
      <x:c r="DJ81" s="14"/>
      <x:c r="DK81" s="14"/>
      <x:c r="DL81" s="14"/>
      <x:c r="DM81" s="14"/>
      <x:c r="DN81" s="14"/>
      <x:c r="DO81" s="14"/>
      <x:c r="DP81" s="14"/>
      <x:c r="DQ81" s="14"/>
      <x:c r="DR81" s="14"/>
      <x:c r="DS81" s="14"/>
      <x:c r="DT81" s="14"/>
      <x:c r="DU81" s="14"/>
      <x:c r="DV81" s="14"/>
      <x:c r="DW81" s="14"/>
      <x:c r="DX81" s="14"/>
      <x:c r="DY81" s="14"/>
      <x:c r="DZ81" s="14"/>
      <x:c r="EA81" s="14"/>
      <x:c r="EB81" s="14"/>
      <x:c r="EC81" s="14"/>
      <x:c r="ED81" s="14"/>
      <x:c r="EE81" s="14"/>
      <x:c r="EF81" s="14"/>
      <x:c r="EG81" s="14"/>
      <x:c r="EH81" s="14"/>
      <x:c r="EI81" s="14"/>
      <x:c r="EJ81" s="14"/>
      <x:c r="EK81" s="14"/>
      <x:c r="EL81" s="14"/>
      <x:c r="EM81" s="14"/>
      <x:c r="EN81" s="14"/>
      <x:c r="EO81" s="14"/>
      <x:c r="EP81" s="14"/>
      <x:c r="EQ81" s="14"/>
      <x:c r="ER81" s="14"/>
      <x:c r="ES81" s="14"/>
      <x:c r="ET81" s="14"/>
      <x:c r="EU81" s="14"/>
      <x:c r="EV81" s="14"/>
      <x:c r="EW81" s="14"/>
      <x:c r="EX81" s="14"/>
      <x:c r="EY81" s="14"/>
      <x:c r="EZ81" s="14"/>
      <x:c r="FA81" s="14"/>
      <x:c r="FB81" s="14"/>
      <x:c r="FC81" s="14"/>
      <x:c r="FD81" s="14"/>
      <x:c r="FE81" s="14"/>
      <x:c r="FF81" s="14"/>
      <x:c r="FG81" s="14"/>
      <x:c r="FH81" s="14"/>
      <x:c r="FI81" s="14"/>
      <x:c r="FJ81" s="14"/>
      <x:c r="FK81" s="14"/>
      <x:c r="FL81" s="14"/>
      <x:c r="FM81" s="14"/>
      <x:c r="FN81" s="14"/>
      <x:c r="FO81" s="14"/>
      <x:c r="FP81" s="14"/>
      <x:c r="FQ81" s="14"/>
      <x:c r="FR81" s="14"/>
      <x:c r="FS81" s="14"/>
      <x:c r="FT81" s="14"/>
      <x:c r="FU81" s="14"/>
      <x:c r="FV81" s="14"/>
      <x:c r="FW81" s="14"/>
      <x:c r="FX81" s="14"/>
      <x:c r="FY81" s="14"/>
      <x:c r="FZ81" s="14"/>
      <x:c r="GA81" s="14"/>
      <x:c r="GB81" s="14"/>
      <x:c r="GC81" s="14"/>
      <x:c r="GD81" s="14"/>
      <x:c r="GE81" s="14"/>
      <x:c r="GF81" s="14"/>
      <x:c r="GG81" s="14"/>
      <x:c r="GH81" s="14"/>
      <x:c r="GI81" s="14"/>
      <x:c r="GJ81" s="14"/>
      <x:c r="GK81" s="14"/>
      <x:c r="GL81" s="14"/>
      <x:c r="GM81" s="14"/>
      <x:c r="GN81" s="14"/>
      <x:c r="GO81" s="14"/>
      <x:c r="GP81" s="14"/>
      <x:c r="GQ81" s="14"/>
      <x:c r="GR81" s="14"/>
      <x:c r="GS81" s="14"/>
      <x:c r="GT81" s="14"/>
      <x:c r="GU81" s="14"/>
      <x:c r="GV81" s="14"/>
      <x:c r="GW81" s="14"/>
      <x:c r="GX81" s="14"/>
      <x:c r="GY81" s="14"/>
      <x:c r="GZ81" s="14"/>
      <x:c r="HA81" s="14"/>
      <x:c r="HB81" s="14"/>
      <x:c r="HC81" s="14"/>
      <x:c r="HD81" s="14"/>
      <x:c r="HE81" s="14"/>
      <x:c r="HF81" s="14"/>
      <x:c r="HG81" s="14"/>
      <x:c r="HH81" s="14"/>
      <x:c r="HI81" s="14"/>
      <x:c r="HJ81" s="14"/>
      <x:c r="HK81" s="14"/>
      <x:c r="HL81" s="14"/>
      <x:c r="HM81" s="14"/>
      <x:c r="HN81" s="14"/>
      <x:c r="HO81" s="14"/>
      <x:c r="HP81" s="14"/>
      <x:c r="HQ81" s="14"/>
      <x:c r="HR81" s="14"/>
      <x:c r="HS81" s="14"/>
      <x:c r="HT81" s="14"/>
      <x:c r="HU81" s="14"/>
      <x:c r="HV81" s="14"/>
      <x:c r="HW81" s="14"/>
      <x:c r="HX81" s="14"/>
      <x:c r="HY81" s="14"/>
      <x:c r="HZ81" s="14"/>
      <x:c r="IA81" s="14"/>
      <x:c r="IB81" s="14"/>
      <x:c r="IC81" s="14"/>
      <x:c r="ID81" s="14"/>
      <x:c r="IE81" s="14"/>
      <x:c r="IF81" s="14"/>
      <x:c r="IG81" s="14"/>
      <x:c r="IH81" s="14"/>
      <x:c r="II81" s="14"/>
      <x:c r="IJ81" s="14"/>
      <x:c r="IK81" s="14"/>
      <x:c r="IL81" s="14"/>
      <x:c r="IM81" s="14"/>
      <x:c r="IN81" s="14"/>
      <x:c r="IO81" s="14"/>
      <x:c r="IP81" s="14"/>
      <x:c r="IQ81" s="14"/>
      <x:c r="IR81" s="14"/>
      <x:c r="IS81" s="14"/>
      <x:c r="IT81" s="14"/>
      <x:c r="IU81" s="14"/>
      <x:c r="IV81" s="14"/>
      <x:c r="IW81" s="14"/>
      <x:c r="IX81" s="14"/>
      <x:c r="IY81" s="14"/>
      <x:c r="IZ81" s="14"/>
      <x:c r="JA81" s="14"/>
      <x:c r="JB81" s="14"/>
      <x:c r="JC81" s="14"/>
      <x:c r="JD81" s="14"/>
      <x:c r="JE81" s="14"/>
      <x:c r="JF81" s="14"/>
      <x:c r="JG81" s="14"/>
      <x:c r="JH81" s="14"/>
      <x:c r="JI81" s="14"/>
      <x:c r="JJ81" s="14"/>
      <x:c r="JK81" s="14"/>
      <x:c r="JL81" s="14"/>
      <x:c r="JM81" s="14"/>
      <x:c r="JN81" s="14"/>
      <x:c r="JO81" s="14"/>
      <x:c r="JP81" s="14"/>
      <x:c r="JQ81" s="14"/>
      <x:c r="JR81" s="14"/>
      <x:c r="JS81" s="14"/>
      <x:c r="JT81" s="14"/>
      <x:c r="JU81" s="14"/>
      <x:c r="JV81" s="14"/>
      <x:c r="JW81" s="14"/>
      <x:c r="JX81" s="14"/>
      <x:c r="JY81" s="14"/>
      <x:c r="JZ81" s="14"/>
      <x:c r="KA81" s="14"/>
      <x:c r="KB81" s="14"/>
      <x:c r="KC81" s="14"/>
      <x:c r="KD81" s="14"/>
      <x:c r="KE81" s="14"/>
      <x:c r="KF81" s="14"/>
      <x:c r="KG81" s="14"/>
      <x:c r="KH81" s="14"/>
      <x:c r="KI81" s="14"/>
      <x:c r="KJ81" s="14"/>
      <x:c r="KK81" s="14"/>
      <x:c r="KL81" s="14"/>
      <x:c r="KM81" s="14"/>
      <x:c r="KN81" s="14"/>
      <x:c r="KO81" s="14"/>
      <x:c r="KP81" s="14"/>
      <x:c r="KQ81" s="14"/>
      <x:c r="KR81" s="14"/>
      <x:c r="KS81" s="14"/>
      <x:c r="KT81" s="14"/>
      <x:c r="KU81" s="14"/>
      <x:c r="KV81" s="14"/>
      <x:c r="KW81" s="14"/>
      <x:c r="KX81" s="14"/>
      <x:c r="KY81" s="14"/>
      <x:c r="KZ81" s="14"/>
      <x:c r="LA81" s="14"/>
      <x:c r="LB81" s="14"/>
      <x:c r="LC81" s="14"/>
      <x:c r="LD81" s="14"/>
      <x:c r="LE81" s="14"/>
      <x:c r="LF81" s="14"/>
      <x:c r="LG81" s="14"/>
      <x:c r="LH81" s="14"/>
      <x:c r="LI81" s="14"/>
      <x:c r="LJ81" s="14"/>
      <x:c r="LK81" s="14"/>
      <x:c r="LL81" s="14"/>
      <x:c r="LM81" s="14"/>
      <x:c r="LN81" s="14"/>
      <x:c r="LO81" s="14"/>
      <x:c r="LP81" s="14"/>
      <x:c r="LQ81" s="14"/>
      <x:c r="LR81" s="14"/>
      <x:c r="LS81" s="14"/>
      <x:c r="LT81" s="14"/>
      <x:c r="LU81" s="14"/>
      <x:c r="LV81" s="14"/>
      <x:c r="LW81" s="14"/>
      <x:c r="LX81" s="14"/>
      <x:c r="LY81" s="14"/>
      <x:c r="LZ81" s="14"/>
      <x:c r="MA81" s="14"/>
      <x:c r="MB81" s="14"/>
      <x:c r="MC81" s="14"/>
      <x:c r="MD81" s="14"/>
      <x:c r="ME81" s="14"/>
      <x:c r="MF81" s="14"/>
      <x:c r="MG81" s="14"/>
      <x:c r="MH81" s="14"/>
      <x:c r="MI81" s="14"/>
      <x:c r="MJ81" s="14"/>
      <x:c r="MK81" s="14"/>
      <x:c r="ML81" s="14"/>
      <x:c r="MM81" s="14"/>
      <x:c r="MN81" s="14"/>
      <x:c r="MO81" s="14"/>
      <x:c r="MP81" s="14"/>
      <x:c r="MQ81" s="14"/>
      <x:c r="MR81" s="14"/>
      <x:c r="MS81" s="14"/>
      <x:c r="MT81" s="14"/>
      <x:c r="MU81" s="14"/>
      <x:c r="MV81" s="14"/>
      <x:c r="MW81" s="14" t="str">
        <x:v>27091</x:v>
      </x:c>
      <x:c r="MX81" s="14" t="n">
        <x:v>5</x:v>
      </x:c>
      <x:c r="MY81" s="14" t="n">
        <x:v>1897</x:v>
      </x:c>
      <x:c r="MZ81" s="14" t="n">
        <x:v>249</x:v>
      </x:c>
      <x:c r="NA81" s="14" t="n">
        <x:v>15</x:v>
      </x:c>
      <x:c r="NB81" s="14" t="n">
        <x:v>1</x:v>
      </x:c>
      <x:c r="NC81" s="14" t="str">
        <x:v>未收錄</x:v>
      </x:c>
      <x:c r="ND81" s="14" t="str">
        <x:v>27092</x:v>
      </x:c>
      <x:c r="NE81" s="14" t="n">
        <x:v>5</x:v>
      </x:c>
      <x:c r="NF81" s="14" t="n">
        <x:v>1898</x:v>
      </x:c>
      <x:c r="NG81" s="14" t="n">
        <x:v>250</x:v>
      </x:c>
      <x:c r="NH81" s="14" t="n">
        <x:v>15</x:v>
      </x:c>
      <x:c r="NI81" s="14" t="n">
        <x:v>2</x:v>
      </x:c>
      <x:c r="NJ81" s="14" t="str">
        <x:v>未收錄</x:v>
      </x:c>
      <x:c r="NK81" s="14" t="str">
        <x:v>27093</x:v>
      </x:c>
      <x:c r="NL81" s="14" t="n">
        <x:v>5</x:v>
      </x:c>
      <x:c r="NM81" s="14" t="n">
        <x:v>1899</x:v>
      </x:c>
      <x:c r="NN81" s="14" t="n">
        <x:v>251</x:v>
      </x:c>
      <x:c r="NO81" s="14" t="n">
        <x:v>15</x:v>
      </x:c>
      <x:c r="NP81" s="14" t="n">
        <x:v>3</x:v>
      </x:c>
      <x:c r="NQ81" s="14" t="str">
        <x:v>未收錄</x:v>
      </x:c>
      <x:c r="NR81" s="14" t="str">
        <x:v>27402</x:v>
      </x:c>
      <x:c r="NS81" s="14" t="n">
        <x:v>10</x:v>
      </x:c>
      <x:c r="NT81" s="14" t="n">
        <x:v>1900</x:v>
      </x:c>
      <x:c r="NU81" s="14" t="n">
        <x:v>252</x:v>
      </x:c>
      <x:c r="NV81" s="14" t="n">
        <x:v>15</x:v>
      </x:c>
      <x:c r="NW81" s="14" t="n">
        <x:v>4</x:v>
      </x:c>
      <x:c r="NX81" s="14" t="str">
        <x:v>未收錄</x:v>
      </x:c>
      <x:c r="NY81" s="14" t="str">
        <x:v>27095</x:v>
      </x:c>
      <x:c r="NZ81" s="14" t="n">
        <x:v>5</x:v>
      </x:c>
      <x:c r="OA81" s="14" t="n">
        <x:v>2350</x:v>
      </x:c>
      <x:c r="OB81" s="14" t="n">
        <x:v>249</x:v>
      </x:c>
      <x:c r="OC81" s="14" t="n">
        <x:v>15</x:v>
      </x:c>
      <x:c r="OD81" s="14" t="n">
        <x:v>1</x:v>
      </x:c>
      <x:c r="OE81" s="14" t="str">
        <x:v>未收錄</x:v>
      </x:c>
      <x:c r="OF81" s="14" t="str">
        <x:v>27096</x:v>
      </x:c>
      <x:c r="OG81" s="14" t="n">
        <x:v>5</x:v>
      </x:c>
      <x:c r="OH81" s="14" t="n">
        <x:v>2351</x:v>
      </x:c>
      <x:c r="OI81" s="14" t="n">
        <x:v>250</x:v>
      </x:c>
      <x:c r="OJ81" s="14" t="n">
        <x:v>15</x:v>
      </x:c>
      <x:c r="OK81" s="14" t="n">
        <x:v>2</x:v>
      </x:c>
      <x:c r="OL81" s="14" t="str">
        <x:v>未收錄</x:v>
      </x:c>
      <x:c r="OM81" s="14" t="str">
        <x:v>27097</x:v>
      </x:c>
      <x:c r="ON81" s="14" t="n">
        <x:v>5</x:v>
      </x:c>
      <x:c r="OO81" s="14" t="n">
        <x:v>2352</x:v>
      </x:c>
      <x:c r="OP81" s="14" t="n">
        <x:v>251</x:v>
      </x:c>
      <x:c r="OQ81" s="14" t="n">
        <x:v>15</x:v>
      </x:c>
      <x:c r="OR81" s="14" t="n">
        <x:v>3</x:v>
      </x:c>
      <x:c r="OS81" s="14" t="str">
        <x:v>未收錄</x:v>
      </x:c>
      <x:c r="OT81" s="14" t="str">
        <x:v>27098</x:v>
      </x:c>
      <x:c r="OU81" s="14" t="n">
        <x:v>5</x:v>
      </x:c>
      <x:c r="OV81" s="14" t="n">
        <x:v>2353</x:v>
      </x:c>
      <x:c r="OW81" s="14" t="n">
        <x:v>252</x:v>
      </x:c>
      <x:c r="OX81" s="14" t="n">
        <x:v>15</x:v>
      </x:c>
      <x:c r="OY81" s="14" t="n">
        <x:v>4</x:v>
      </x:c>
      <x:c r="OZ81" s="14" t="str">
        <x:v>未收錄</x:v>
      </x:c>
      <x:c r="PA81" s="14" t="str">
        <x:v>27688</x:v>
      </x:c>
      <x:c r="PB81" s="14" t="n">
        <x:v>5</x:v>
      </x:c>
      <x:c r="PC81" s="14" t="n">
        <x:v>2896</x:v>
      </x:c>
      <x:c r="PD81" s="14" t="n">
        <x:v>249</x:v>
      </x:c>
      <x:c r="PE81" s="14" t="n">
        <x:v>15</x:v>
      </x:c>
      <x:c r="PF81" s="14" t="n">
        <x:v>1</x:v>
      </x:c>
      <x:c r="PG81" s="14" t="str">
        <x:v>未收錄</x:v>
      </x:c>
      <x:c r="PH81" s="14" t="str">
        <x:v>27689</x:v>
      </x:c>
      <x:c r="PI81" s="14" t="n">
        <x:v>5</x:v>
      </x:c>
      <x:c r="PJ81" s="14" t="n">
        <x:v>2897</x:v>
      </x:c>
      <x:c r="PK81" s="14" t="n">
        <x:v>250</x:v>
      </x:c>
      <x:c r="PL81" s="14" t="n">
        <x:v>15</x:v>
      </x:c>
      <x:c r="PM81" s="14" t="n">
        <x:v>2</x:v>
      </x:c>
      <x:c r="PN81" s="14" t="str">
        <x:v>未收錄</x:v>
      </x:c>
      <x:c r="PO81" s="14" t="str">
        <x:v>27745</x:v>
      </x:c>
      <x:c r="PP81" s="14" t="n">
        <x:v>10</x:v>
      </x:c>
      <x:c r="PQ81" s="14" t="n">
        <x:v>2898</x:v>
      </x:c>
      <x:c r="PR81" s="14" t="n">
        <x:v>251</x:v>
      </x:c>
      <x:c r="PS81" s="14" t="n">
        <x:v>15</x:v>
      </x:c>
      <x:c r="PT81" s="14" t="n">
        <x:v>3</x:v>
      </x:c>
      <x:c r="PU81" s="14" t="str">
        <x:v>未收錄</x:v>
      </x:c>
      <x:c r="PV81" s="14" t="str">
        <x:v>27761</x:v>
      </x:c>
      <x:c r="PW81" s="14" t="n">
        <x:v>10</x:v>
      </x:c>
      <x:c r="PX81" s="14" t="n">
        <x:v>2899</x:v>
      </x:c>
      <x:c r="PY81" s="14" t="n">
        <x:v>252</x:v>
      </x:c>
      <x:c r="PZ81" s="14" t="n">
        <x:v>15</x:v>
      </x:c>
      <x:c r="QA81" s="14" t="n">
        <x:v>4</x:v>
      </x:c>
      <x:c r="QB81" s="14" t="str">
        <x:v>未收錄</x:v>
      </x:c>
      <x:c r="QC81" s="14" t="str">
        <x:v>27702</x:v>
      </x:c>
      <x:c r="QD81" s="14" t="n">
        <x:v>5</x:v>
      </x:c>
      <x:c r="QE81" s="14" t="n">
        <x:v>3333</x:v>
      </x:c>
      <x:c r="QF81" s="14" t="n">
        <x:v>249</x:v>
      </x:c>
      <x:c r="QG81" s="14" t="n">
        <x:v>15</x:v>
      </x:c>
      <x:c r="QH81" s="14" t="n">
        <x:v>1</x:v>
      </x:c>
      <x:c r="QI81" s="14" t="str">
        <x:v>未收錄</x:v>
      </x:c>
      <x:c r="QJ81" s="14" t="str">
        <x:v>27703</x:v>
      </x:c>
      <x:c r="QK81" s="14" t="n">
        <x:v>5</x:v>
      </x:c>
      <x:c r="QL81" s="14" t="n">
        <x:v>3334</x:v>
      </x:c>
      <x:c r="QM81" s="14" t="n">
        <x:v>250</x:v>
      </x:c>
      <x:c r="QN81" s="14" t="n">
        <x:v>15</x:v>
      </x:c>
      <x:c r="QO81" s="14" t="n">
        <x:v>2</x:v>
      </x:c>
      <x:c r="QP81" s="14" t="str">
        <x:v>未收錄</x:v>
      </x:c>
      <x:c r="QQ81" s="14" t="str">
        <x:v>27704</x:v>
      </x:c>
      <x:c r="QR81" s="14" t="n">
        <x:v>5</x:v>
      </x:c>
      <x:c r="QS81" s="14" t="n">
        <x:v>3335</x:v>
      </x:c>
      <x:c r="QT81" s="14" t="n">
        <x:v>251</x:v>
      </x:c>
      <x:c r="QU81" s="14" t="n">
        <x:v>15</x:v>
      </x:c>
      <x:c r="QV81" s="14" t="n">
        <x:v>3</x:v>
      </x:c>
      <x:c r="QW81" s="14" t="str">
        <x:v>未收錄</x:v>
      </x:c>
      <x:c r="QX81" s="14" t="str">
        <x:v>27748</x:v>
      </x:c>
      <x:c r="QY81" s="14" t="n">
        <x:v>10</x:v>
      </x:c>
      <x:c r="QZ81" s="14" t="n">
        <x:v>3336</x:v>
      </x:c>
      <x:c r="RA81" s="14" t="n">
        <x:v>252</x:v>
      </x:c>
      <x:c r="RB81" s="14" t="n">
        <x:v>15</x:v>
      </x:c>
      <x:c r="RC81" s="14" t="n">
        <x:v>4</x:v>
      </x:c>
      <x:c r="RD81" s="14" t="str">
        <x:v>未收錄</x:v>
      </x:c>
      <x:c r="RE81" s="14" t="str">
        <x:v>28443</x:v>
      </x:c>
      <x:c r="RF81" s="14" t="n">
        <x:v>5</x:v>
      </x:c>
      <x:c r="RG81" s="14" t="n">
        <x:v>3794</x:v>
      </x:c>
      <x:c r="RH81" s="14" t="n">
        <x:v>249</x:v>
      </x:c>
      <x:c r="RI81" s="14" t="n">
        <x:v>15</x:v>
      </x:c>
      <x:c r="RJ81" s="14" t="n">
        <x:v>1</x:v>
      </x:c>
      <x:c r="RK81" s="14" t="str">
        <x:v>未收錄</x:v>
      </x:c>
      <x:c r="RL81" s="14" t="str">
        <x:v>28444</x:v>
      </x:c>
      <x:c r="RM81" s="14" t="n">
        <x:v>5</x:v>
      </x:c>
      <x:c r="RN81" s="14" t="n">
        <x:v>3795</x:v>
      </x:c>
      <x:c r="RO81" s="14" t="n">
        <x:v>250</x:v>
      </x:c>
      <x:c r="RP81" s="14" t="n">
        <x:v>15</x:v>
      </x:c>
      <x:c r="RQ81" s="14" t="n">
        <x:v>2</x:v>
      </x:c>
      <x:c r="RR81" s="14" t="str">
        <x:v>未收錄</x:v>
      </x:c>
      <x:c r="RS81" s="14" t="str">
        <x:v>28445</x:v>
      </x:c>
      <x:c r="RT81" s="14" t="n">
        <x:v>5</x:v>
      </x:c>
      <x:c r="RU81" s="14" t="n">
        <x:v>3796</x:v>
      </x:c>
      <x:c r="RV81" s="14" t="n">
        <x:v>251</x:v>
      </x:c>
      <x:c r="RW81" s="14" t="n">
        <x:v>15</x:v>
      </x:c>
      <x:c r="RX81" s="14" t="n">
        <x:v>3</x:v>
      </x:c>
      <x:c r="RY81" s="14" t="str">
        <x:v>未收錄</x:v>
      </x:c>
      <x:c r="RZ81" s="14" t="str">
        <x:v>28446</x:v>
      </x:c>
      <x:c r="SA81" s="14" t="n">
        <x:v>5</x:v>
      </x:c>
      <x:c r="SB81" s="14" t="n">
        <x:v>3797</x:v>
      </x:c>
      <x:c r="SC81" s="14" t="n">
        <x:v>252</x:v>
      </x:c>
      <x:c r="SD81" s="14" t="n">
        <x:v>15</x:v>
      </x:c>
      <x:c r="SE81" s="14" t="n">
        <x:v>4</x:v>
      </x:c>
      <x:c r="SF81" s="14" t="str">
        <x:v>未收錄</x:v>
      </x:c>
      <x:c r="SG81" s="14"/>
      <x:c r="SH81" s="14"/>
      <x:c r="SI81" s="14"/>
      <x:c r="SJ81" s="14"/>
      <x:c r="SK81" s="14"/>
      <x:c r="SL81" s="14"/>
      <x:c r="SM81" s="14"/>
      <x:c r="SN81" s="14"/>
      <x:c r="SO81" s="14"/>
      <x:c r="SP81" s="14"/>
      <x:c r="SQ81" s="14"/>
      <x:c r="SR81" s="14"/>
      <x:c r="SS81" s="14"/>
      <x:c r="ST81" s="14"/>
      <x:c r="SU81" s="14"/>
      <x:c r="SV81" s="14"/>
      <x:c r="SW81" s="14"/>
      <x:c r="SX81" s="14"/>
      <x:c r="SY81" s="14"/>
      <x:c r="SZ81" s="14"/>
      <x:c r="TA81" s="14"/>
      <x:c r="TB81" s="14"/>
      <x:c r="TC81" s="14"/>
      <x:c r="TD81" s="14"/>
      <x:c r="TE81" s="14"/>
      <x:c r="TF81" s="14"/>
      <x:c r="TG81" s="14"/>
      <x:c r="TH81" s="14"/>
    </x:row>
    <x:row r="82" ht="15" customHeight="1">
      <x:c r="A82" s="14"/>
      <x:c r="B82" s="14"/>
      <x:c r="C82" s="14"/>
      <x:c r="D82" s="14"/>
      <x:c r="E82" s="14"/>
      <x:c r="F82" s="14"/>
      <x:c r="G82" s="14"/>
      <x:c r="H82" s="14"/>
      <x:c r="I82" s="14"/>
      <x:c r="J82" s="14"/>
      <x:c r="K82" s="14"/>
      <x:c r="L82" s="14"/>
      <x:c r="M82" s="14"/>
      <x:c r="N82" s="14"/>
      <x:c r="O82" s="14"/>
      <x:c r="P82" s="14"/>
      <x:c r="Q82" s="14"/>
      <x:c r="R82" s="14"/>
      <x:c r="S82" s="14"/>
      <x:c r="T82" s="14"/>
      <x:c r="U82" s="14"/>
      <x:c r="V82" s="14"/>
      <x:c r="W82" s="14"/>
      <x:c r="X82" s="14"/>
      <x:c r="Y82" s="14"/>
      <x:c r="Z82" s="14"/>
      <x:c r="AA82" s="14"/>
      <x:c r="AB82" s="14"/>
      <x:c r="AC82" s="14"/>
      <x:c r="AD82" s="14"/>
      <x:c r="AE82" s="14"/>
      <x:c r="AF82" s="14"/>
      <x:c r="AG82" s="14"/>
      <x:c r="AH82" s="14"/>
      <x:c r="AI82" s="14"/>
      <x:c r="AJ82" s="14"/>
      <x:c r="AK82" s="14"/>
      <x:c r="AL82" s="14"/>
      <x:c r="AM82" s="14"/>
      <x:c r="AN82" s="14"/>
      <x:c r="AO82" s="14"/>
      <x:c r="AP82" s="14"/>
      <x:c r="AQ82" s="14"/>
      <x:c r="AR82" s="14"/>
      <x:c r="AS82" s="14"/>
      <x:c r="AT82" s="14"/>
      <x:c r="AU82" s="14"/>
      <x:c r="AV82" s="14"/>
      <x:c r="AW82" s="14"/>
      <x:c r="AX82" s="14"/>
      <x:c r="AY82" s="18" t="str">
        <x:v>宇傲‧混沌冠</x:v>
      </x:c>
      <x:c r="AZ82" s="18" t="str">
        <x:v>峻霆‧劍聖盔</x:v>
      </x:c>
      <x:c r="BA82" s="18" t="str">
        <x:v>峻霆‧武尊盔</x:v>
      </x:c>
      <x:c r="BB82" s="18" t="str">
        <x:v>峻霆‧術幻紗</x:v>
      </x:c>
      <x:c r="BC82" s="14"/>
      <x:c r="BD82" s="18" t="str">
        <x:v>天鍛‧饕餮鎧</x:v>
      </x:c>
      <x:c r="BE82" s="18" t="str">
        <x:v>天鍛‧天狗衣</x:v>
      </x:c>
      <x:c r="BF82" s="18" t="str">
        <x:v>天鍛‧隱遁甲</x:v>
      </x:c>
      <x:c r="BG82" s="18" t="str">
        <x:v>天鍛‧無相裟</x:v>
      </x:c>
      <x:c r="BH82" s="14"/>
      <x:c r="BI82" s="18" t="str">
        <x:v>元宙‧劍聖腕</x:v>
      </x:c>
      <x:c r="BJ82" s="18" t="str">
        <x:v>元宙‧武尊臂</x:v>
      </x:c>
      <x:c r="BK82" s="18" t="str">
        <x:v>元宙‧術幻指</x:v>
      </x:c>
      <x:c r="BL82" s="18" t="str">
        <x:v>元宙‧道輝手</x:v>
      </x:c>
      <x:c r="BM82" s="14"/>
      <x:c r="BN82" s="18" t="str">
        <x:v>峻霆‧韋駝足</x:v>
      </x:c>
      <x:c r="BO82" s="18" t="str">
        <x:v>峻霆‧流星靴</x:v>
      </x:c>
      <x:c r="BP82" s="18" t="str">
        <x:v>窮極‧劍聖靴</x:v>
      </x:c>
      <x:c r="BQ82" s="18" t="str">
        <x:v>窮極‧武尊踏</x:v>
      </x:c>
      <x:c r="BR82" s="14"/>
      <x:c r="BS82" s="18" t="str">
        <x:v>星鳳徽★★★</x:v>
      </x:c>
      <x:c r="BT82" s="18" t="str">
        <x:v>星玄卦★</x:v>
      </x:c>
      <x:c r="BU82" s="18" t="str">
        <x:v>星玄卦★★</x:v>
      </x:c>
      <x:c r="BV82" s="18" t="str">
        <x:v>星玄卦★★★</x:v>
      </x:c>
      <x:c r="BW82" s="14"/>
      <x:c r="BX82" s="14"/>
      <x:c r="BY82" s="14"/>
      <x:c r="BZ82" s="14"/>
      <x:c r="CA82" s="14"/>
      <x:c r="CB82" s="14"/>
      <x:c r="CC82" s="14"/>
      <x:c r="CD82" s="14"/>
      <x:c r="CE82" s="14"/>
      <x:c r="CF82" s="14"/>
      <x:c r="CG82" s="14"/>
      <x:c r="CH82" s="14"/>
      <x:c r="CI82" s="14"/>
      <x:c r="CJ82" s="14"/>
      <x:c r="CK82" s="14"/>
      <x:c r="CL82" s="14"/>
      <x:c r="CM82" s="14"/>
      <x:c r="CN82" s="14"/>
      <x:c r="CO82" s="14"/>
      <x:c r="CP82" s="14"/>
      <x:c r="CQ82" s="14"/>
      <x:c r="CR82" s="14"/>
      <x:c r="CS82" s="14"/>
      <x:c r="CT82" s="14"/>
      <x:c r="CU82" s="14"/>
      <x:c r="CV82" s="14"/>
      <x:c r="CW82" s="14"/>
      <x:c r="CX82" s="14"/>
      <x:c r="CY82" s="14"/>
      <x:c r="CZ82" s="14"/>
      <x:c r="DA82" s="14"/>
      <x:c r="DB82" s="14"/>
      <x:c r="DC82" s="14"/>
      <x:c r="DD82" s="14"/>
      <x:c r="DE82" s="14"/>
      <x:c r="DF82" s="14"/>
      <x:c r="DG82" s="14"/>
      <x:c r="DH82" s="14"/>
      <x:c r="DI82" s="14"/>
      <x:c r="DJ82" s="14"/>
      <x:c r="DK82" s="14"/>
      <x:c r="DL82" s="14"/>
      <x:c r="DM82" s="14"/>
      <x:c r="DN82" s="14"/>
      <x:c r="DO82" s="14"/>
      <x:c r="DP82" s="14"/>
      <x:c r="DQ82" s="14"/>
      <x:c r="DR82" s="14"/>
      <x:c r="DS82" s="14"/>
      <x:c r="DT82" s="14"/>
      <x:c r="DU82" s="14"/>
      <x:c r="DV82" s="14"/>
      <x:c r="DW82" s="14"/>
      <x:c r="DX82" s="14"/>
      <x:c r="DY82" s="14"/>
      <x:c r="DZ82" s="14"/>
      <x:c r="EA82" s="14"/>
      <x:c r="EB82" s="14"/>
      <x:c r="EC82" s="14"/>
      <x:c r="ED82" s="14"/>
      <x:c r="EE82" s="14"/>
      <x:c r="EF82" s="14"/>
      <x:c r="EG82" s="14"/>
      <x:c r="EH82" s="14"/>
      <x:c r="EI82" s="14"/>
      <x:c r="EJ82" s="14"/>
      <x:c r="EK82" s="14"/>
      <x:c r="EL82" s="14"/>
      <x:c r="EM82" s="14"/>
      <x:c r="EN82" s="14"/>
      <x:c r="EO82" s="14"/>
      <x:c r="EP82" s="14"/>
      <x:c r="EQ82" s="14"/>
      <x:c r="ER82" s="14"/>
      <x:c r="ES82" s="14"/>
      <x:c r="ET82" s="14"/>
      <x:c r="EU82" s="14"/>
      <x:c r="EV82" s="14"/>
      <x:c r="EW82" s="14"/>
      <x:c r="EX82" s="14"/>
      <x:c r="EY82" s="14"/>
      <x:c r="EZ82" s="14"/>
      <x:c r="FA82" s="14"/>
      <x:c r="FB82" s="14"/>
      <x:c r="FC82" s="14"/>
      <x:c r="FD82" s="14"/>
      <x:c r="FE82" s="14"/>
      <x:c r="FF82" s="14"/>
      <x:c r="FG82" s="14"/>
      <x:c r="FH82" s="14"/>
      <x:c r="FI82" s="14"/>
      <x:c r="FJ82" s="14"/>
      <x:c r="FK82" s="14"/>
      <x:c r="FL82" s="14"/>
      <x:c r="FM82" s="14"/>
      <x:c r="FN82" s="14"/>
      <x:c r="FO82" s="14"/>
      <x:c r="FP82" s="14"/>
      <x:c r="FQ82" s="14"/>
      <x:c r="FR82" s="14"/>
      <x:c r="FS82" s="14"/>
      <x:c r="FT82" s="14"/>
      <x:c r="FU82" s="14"/>
      <x:c r="FV82" s="14"/>
      <x:c r="FW82" s="14"/>
      <x:c r="FX82" s="14"/>
      <x:c r="FY82" s="14"/>
      <x:c r="FZ82" s="14"/>
      <x:c r="GA82" s="14"/>
      <x:c r="GB82" s="14"/>
      <x:c r="GC82" s="14"/>
      <x:c r="GD82" s="14"/>
      <x:c r="GE82" s="14"/>
      <x:c r="GF82" s="14"/>
      <x:c r="GG82" s="14"/>
      <x:c r="GH82" s="14"/>
      <x:c r="GI82" s="14"/>
      <x:c r="GJ82" s="14"/>
      <x:c r="GK82" s="14"/>
      <x:c r="GL82" s="14"/>
      <x:c r="GM82" s="14"/>
      <x:c r="GN82" s="14"/>
      <x:c r="GO82" s="14"/>
      <x:c r="GP82" s="14"/>
      <x:c r="GQ82" s="14"/>
      <x:c r="GR82" s="14"/>
      <x:c r="GS82" s="14"/>
      <x:c r="GT82" s="14"/>
      <x:c r="GU82" s="14"/>
      <x:c r="GV82" s="14"/>
      <x:c r="GW82" s="14"/>
      <x:c r="GX82" s="14"/>
      <x:c r="GY82" s="14"/>
      <x:c r="GZ82" s="14"/>
      <x:c r="HA82" s="14"/>
      <x:c r="HB82" s="14"/>
      <x:c r="HC82" s="14"/>
      <x:c r="HD82" s="14"/>
      <x:c r="HE82" s="14"/>
      <x:c r="HF82" s="14"/>
      <x:c r="HG82" s="14"/>
      <x:c r="HH82" s="14"/>
      <x:c r="HI82" s="14"/>
      <x:c r="HJ82" s="14"/>
      <x:c r="HK82" s="14"/>
      <x:c r="HL82" s="14"/>
      <x:c r="HM82" s="14"/>
      <x:c r="HN82" s="14"/>
      <x:c r="HO82" s="14"/>
      <x:c r="HP82" s="14"/>
      <x:c r="HQ82" s="14"/>
      <x:c r="HR82" s="14"/>
      <x:c r="HS82" s="14"/>
      <x:c r="HT82" s="14"/>
      <x:c r="HU82" s="14"/>
      <x:c r="HV82" s="14"/>
      <x:c r="HW82" s="14"/>
      <x:c r="HX82" s="14"/>
      <x:c r="HY82" s="14"/>
      <x:c r="HZ82" s="14"/>
      <x:c r="IA82" s="14"/>
      <x:c r="IB82" s="14"/>
      <x:c r="IC82" s="14"/>
      <x:c r="ID82" s="14"/>
      <x:c r="IE82" s="14"/>
      <x:c r="IF82" s="14"/>
      <x:c r="IG82" s="14"/>
      <x:c r="IH82" s="14"/>
      <x:c r="II82" s="14"/>
      <x:c r="IJ82" s="14"/>
      <x:c r="IK82" s="14"/>
      <x:c r="IL82" s="14"/>
      <x:c r="IM82" s="14"/>
      <x:c r="IN82" s="14"/>
      <x:c r="IO82" s="14"/>
      <x:c r="IP82" s="14"/>
      <x:c r="IQ82" s="14"/>
      <x:c r="IR82" s="14"/>
      <x:c r="IS82" s="14"/>
      <x:c r="IT82" s="14"/>
      <x:c r="IU82" s="14"/>
      <x:c r="IV82" s="14"/>
      <x:c r="IW82" s="14"/>
      <x:c r="IX82" s="14"/>
      <x:c r="IY82" s="14"/>
      <x:c r="IZ82" s="14"/>
      <x:c r="JA82" s="14"/>
      <x:c r="JB82" s="14"/>
      <x:c r="JC82" s="14"/>
      <x:c r="JD82" s="14"/>
      <x:c r="JE82" s="14"/>
      <x:c r="JF82" s="14"/>
      <x:c r="JG82" s="14"/>
      <x:c r="JH82" s="14"/>
      <x:c r="JI82" s="14"/>
      <x:c r="JJ82" s="14"/>
      <x:c r="JK82" s="14"/>
      <x:c r="JL82" s="14"/>
      <x:c r="JM82" s="14"/>
      <x:c r="JN82" s="14"/>
      <x:c r="JO82" s="14"/>
      <x:c r="JP82" s="14"/>
      <x:c r="JQ82" s="14"/>
      <x:c r="JR82" s="14"/>
      <x:c r="JS82" s="14"/>
      <x:c r="JT82" s="14"/>
      <x:c r="JU82" s="14"/>
      <x:c r="JV82" s="14"/>
      <x:c r="JW82" s="14"/>
      <x:c r="JX82" s="14"/>
      <x:c r="JY82" s="14"/>
      <x:c r="JZ82" s="14"/>
      <x:c r="KA82" s="14"/>
      <x:c r="KB82" s="14"/>
      <x:c r="KC82" s="14"/>
      <x:c r="KD82" s="14"/>
      <x:c r="KE82" s="14"/>
      <x:c r="KF82" s="14"/>
      <x:c r="KG82" s="14"/>
      <x:c r="KH82" s="14"/>
      <x:c r="KI82" s="14"/>
      <x:c r="KJ82" s="14"/>
      <x:c r="KK82" s="14"/>
      <x:c r="KL82" s="14"/>
      <x:c r="KM82" s="14"/>
      <x:c r="KN82" s="14"/>
      <x:c r="KO82" s="14"/>
      <x:c r="KP82" s="14"/>
      <x:c r="KQ82" s="14"/>
      <x:c r="KR82" s="14"/>
      <x:c r="KS82" s="14"/>
      <x:c r="KT82" s="14"/>
      <x:c r="KU82" s="14"/>
      <x:c r="KV82" s="14"/>
      <x:c r="KW82" s="14"/>
      <x:c r="KX82" s="14"/>
      <x:c r="KY82" s="14"/>
      <x:c r="KZ82" s="14"/>
      <x:c r="LA82" s="14"/>
      <x:c r="LB82" s="14"/>
      <x:c r="LC82" s="14"/>
      <x:c r="LD82" s="14"/>
      <x:c r="LE82" s="14"/>
      <x:c r="LF82" s="14"/>
      <x:c r="LG82" s="14"/>
      <x:c r="LH82" s="14"/>
      <x:c r="LI82" s="14"/>
      <x:c r="LJ82" s="14"/>
      <x:c r="LK82" s="14"/>
      <x:c r="LL82" s="14"/>
      <x:c r="LM82" s="14"/>
      <x:c r="LN82" s="14"/>
      <x:c r="LO82" s="14"/>
      <x:c r="LP82" s="14"/>
      <x:c r="LQ82" s="14"/>
      <x:c r="LR82" s="14"/>
      <x:c r="LS82" s="14"/>
      <x:c r="LT82" s="14"/>
      <x:c r="LU82" s="14"/>
      <x:c r="LV82" s="14"/>
      <x:c r="LW82" s="14"/>
      <x:c r="LX82" s="14"/>
      <x:c r="LY82" s="14"/>
      <x:c r="LZ82" s="14"/>
      <x:c r="MA82" s="14"/>
      <x:c r="MB82" s="14"/>
      <x:c r="MC82" s="14"/>
      <x:c r="MD82" s="14"/>
      <x:c r="ME82" s="14"/>
      <x:c r="MF82" s="14"/>
      <x:c r="MG82" s="14"/>
      <x:c r="MH82" s="14"/>
      <x:c r="MI82" s="14"/>
      <x:c r="MJ82" s="14"/>
      <x:c r="MK82" s="14"/>
      <x:c r="ML82" s="14"/>
      <x:c r="MM82" s="14"/>
      <x:c r="MN82" s="14"/>
      <x:c r="MO82" s="14"/>
      <x:c r="MP82" s="14"/>
      <x:c r="MQ82" s="14"/>
      <x:c r="MR82" s="14"/>
      <x:c r="MS82" s="14"/>
      <x:c r="MT82" s="14"/>
      <x:c r="MU82" s="14"/>
      <x:c r="MV82" s="14"/>
      <x:c r="MW82" s="14" t="str">
        <x:v>27213</x:v>
      </x:c>
      <x:c r="MX82" s="14" t="n">
        <x:v>10</x:v>
      </x:c>
      <x:c r="MY82" s="14" t="n">
        <x:v>1901</x:v>
      </x:c>
      <x:c r="MZ82" s="14" t="n">
        <x:v>253</x:v>
      </x:c>
      <x:c r="NA82" s="14" t="n">
        <x:v>16</x:v>
      </x:c>
      <x:c r="NB82" s="14" t="n">
        <x:v>1</x:v>
      </x:c>
      <x:c r="NC82" s="14" t="str">
        <x:v>未收錄</x:v>
      </x:c>
      <x:c r="ND82" s="14" t="str">
        <x:v>27640</x:v>
      </x:c>
      <x:c r="NE82" s="14" t="n">
        <x:v>5</x:v>
      </x:c>
      <x:c r="NF82" s="14" t="n">
        <x:v>1902</x:v>
      </x:c>
      <x:c r="NG82" s="14" t="n">
        <x:v>254</x:v>
      </x:c>
      <x:c r="NH82" s="14" t="n">
        <x:v>16</x:v>
      </x:c>
      <x:c r="NI82" s="14" t="n">
        <x:v>2</x:v>
      </x:c>
      <x:c r="NJ82" s="14" t="str">
        <x:v>未收錄</x:v>
      </x:c>
      <x:c r="NK82" s="14" t="str">
        <x:v>27641</x:v>
      </x:c>
      <x:c r="NL82" s="14" t="n">
        <x:v>5</x:v>
      </x:c>
      <x:c r="NM82" s="14" t="n">
        <x:v>1903</x:v>
      </x:c>
      <x:c r="NN82" s="14" t="n">
        <x:v>255</x:v>
      </x:c>
      <x:c r="NO82" s="14" t="n">
        <x:v>16</x:v>
      </x:c>
      <x:c r="NP82" s="14" t="n">
        <x:v>3</x:v>
      </x:c>
      <x:c r="NQ82" s="14" t="str">
        <x:v>未收錄</x:v>
      </x:c>
      <x:c r="NR82" s="14" t="str">
        <x:v>27642</x:v>
      </x:c>
      <x:c r="NS82" s="14" t="n">
        <x:v>5</x:v>
      </x:c>
      <x:c r="NT82" s="14" t="n">
        <x:v>1904</x:v>
      </x:c>
      <x:c r="NU82" s="14" t="n">
        <x:v>256</x:v>
      </x:c>
      <x:c r="NV82" s="14" t="n">
        <x:v>16</x:v>
      </x:c>
      <x:c r="NW82" s="14" t="n">
        <x:v>4</x:v>
      </x:c>
      <x:c r="NX82" s="14" t="str">
        <x:v>未收錄</x:v>
      </x:c>
      <x:c r="NY82" s="14" t="str">
        <x:v>27214</x:v>
      </x:c>
      <x:c r="NZ82" s="14" t="n">
        <x:v>10</x:v>
      </x:c>
      <x:c r="OA82" s="14" t="n">
        <x:v>2354</x:v>
      </x:c>
      <x:c r="OB82" s="14" t="n">
        <x:v>253</x:v>
      </x:c>
      <x:c r="OC82" s="14" t="n">
        <x:v>16</x:v>
      </x:c>
      <x:c r="OD82" s="14" t="n">
        <x:v>1</x:v>
      </x:c>
      <x:c r="OE82" s="14" t="str">
        <x:v>未收錄</x:v>
      </x:c>
      <x:c r="OF82" s="14" t="str">
        <x:v>27395</x:v>
      </x:c>
      <x:c r="OG82" s="14" t="n">
        <x:v>10</x:v>
      </x:c>
      <x:c r="OH82" s="14" t="n">
        <x:v>2355</x:v>
      </x:c>
      <x:c r="OI82" s="14" t="n">
        <x:v>254</x:v>
      </x:c>
      <x:c r="OJ82" s="14" t="n">
        <x:v>16</x:v>
      </x:c>
      <x:c r="OK82" s="14" t="n">
        <x:v>2</x:v>
      </x:c>
      <x:c r="OL82" s="14" t="str">
        <x:v>未收錄</x:v>
      </x:c>
      <x:c r="OM82" s="14" t="str">
        <x:v>27411</x:v>
      </x:c>
      <x:c r="ON82" s="14" t="n">
        <x:v>10</x:v>
      </x:c>
      <x:c r="OO82" s="14" t="n">
        <x:v>2356</x:v>
      </x:c>
      <x:c r="OP82" s="14" t="n">
        <x:v>255</x:v>
      </x:c>
      <x:c r="OQ82" s="14" t="n">
        <x:v>16</x:v>
      </x:c>
      <x:c r="OR82" s="14" t="n">
        <x:v>3</x:v>
      </x:c>
      <x:c r="OS82" s="14" t="str">
        <x:v>未收錄</x:v>
      </x:c>
      <x:c r="OT82" s="14" t="str">
        <x:v>27415</x:v>
      </x:c>
      <x:c r="OU82" s="14" t="n">
        <x:v>10</x:v>
      </x:c>
      <x:c r="OV82" s="14" t="n">
        <x:v>2357</x:v>
      </x:c>
      <x:c r="OW82" s="14" t="n">
        <x:v>256</x:v>
      </x:c>
      <x:c r="OX82" s="14" t="n">
        <x:v>16</x:v>
      </x:c>
      <x:c r="OY82" s="14" t="n">
        <x:v>4</x:v>
      </x:c>
      <x:c r="OZ82" s="14" t="str">
        <x:v>未收錄</x:v>
      </x:c>
      <x:c r="PA82" s="14" t="str">
        <x:v>27690</x:v>
      </x:c>
      <x:c r="PB82" s="14" t="n">
        <x:v>5</x:v>
      </x:c>
      <x:c r="PC82" s="14" t="n">
        <x:v>2900</x:v>
      </x:c>
      <x:c r="PD82" s="14" t="n">
        <x:v>253</x:v>
      </x:c>
      <x:c r="PE82" s="14" t="n">
        <x:v>16</x:v>
      </x:c>
      <x:c r="PF82" s="14" t="n">
        <x:v>1</x:v>
      </x:c>
      <x:c r="PG82" s="14" t="str">
        <x:v>未收錄</x:v>
      </x:c>
      <x:c r="PH82" s="14" t="str">
        <x:v>27691</x:v>
      </x:c>
      <x:c r="PI82" s="14" t="n">
        <x:v>5</x:v>
      </x:c>
      <x:c r="PJ82" s="14" t="n">
        <x:v>2901</x:v>
      </x:c>
      <x:c r="PK82" s="14" t="n">
        <x:v>254</x:v>
      </x:c>
      <x:c r="PL82" s="14" t="n">
        <x:v>16</x:v>
      </x:c>
      <x:c r="PM82" s="14" t="n">
        <x:v>2</x:v>
      </x:c>
      <x:c r="PN82" s="14" t="str">
        <x:v>未收錄</x:v>
      </x:c>
      <x:c r="PO82" s="14" t="str">
        <x:v>27692</x:v>
      </x:c>
      <x:c r="PP82" s="14" t="n">
        <x:v>5</x:v>
      </x:c>
      <x:c r="PQ82" s="14" t="n">
        <x:v>2902</x:v>
      </x:c>
      <x:c r="PR82" s="14" t="n">
        <x:v>255</x:v>
      </x:c>
      <x:c r="PS82" s="14" t="n">
        <x:v>16</x:v>
      </x:c>
      <x:c r="PT82" s="14" t="n">
        <x:v>3</x:v>
      </x:c>
      <x:c r="PU82" s="14" t="str">
        <x:v>未收錄</x:v>
      </x:c>
      <x:c r="PV82" s="14" t="str">
        <x:v>27693</x:v>
      </x:c>
      <x:c r="PW82" s="14" t="n">
        <x:v>5</x:v>
      </x:c>
      <x:c r="PX82" s="14" t="n">
        <x:v>2903</x:v>
      </x:c>
      <x:c r="PY82" s="14" t="n">
        <x:v>256</x:v>
      </x:c>
      <x:c r="PZ82" s="14" t="n">
        <x:v>16</x:v>
      </x:c>
      <x:c r="QA82" s="14" t="n">
        <x:v>4</x:v>
      </x:c>
      <x:c r="QB82" s="14" t="str">
        <x:v>未收錄</x:v>
      </x:c>
      <x:c r="QC82" s="14" t="str">
        <x:v>27764</x:v>
      </x:c>
      <x:c r="QD82" s="14" t="n">
        <x:v>10</x:v>
      </x:c>
      <x:c r="QE82" s="14" t="n">
        <x:v>3337</x:v>
      </x:c>
      <x:c r="QF82" s="14" t="n">
        <x:v>253</x:v>
      </x:c>
      <x:c r="QG82" s="14" t="n">
        <x:v>16</x:v>
      </x:c>
      <x:c r="QH82" s="14" t="n">
        <x:v>1</x:v>
      </x:c>
      <x:c r="QI82" s="14" t="str">
        <x:v>未收錄</x:v>
      </x:c>
      <x:c r="QJ82" s="14" t="str">
        <x:v>27776</x:v>
      </x:c>
      <x:c r="QK82" s="14" t="n">
        <x:v>10</x:v>
      </x:c>
      <x:c r="QL82" s="14" t="n">
        <x:v>3338</x:v>
      </x:c>
      <x:c r="QM82" s="14" t="n">
        <x:v>254</x:v>
      </x:c>
      <x:c r="QN82" s="14" t="n">
        <x:v>16</x:v>
      </x:c>
      <x:c r="QO82" s="14" t="n">
        <x:v>2</x:v>
      </x:c>
      <x:c r="QP82" s="14" t="str">
        <x:v>未收錄</x:v>
      </x:c>
      <x:c r="QQ82" s="14" t="str">
        <x:v>27705</x:v>
      </x:c>
      <x:c r="QR82" s="14" t="n">
        <x:v>5</x:v>
      </x:c>
      <x:c r="QS82" s="14" t="n">
        <x:v>3339</x:v>
      </x:c>
      <x:c r="QT82" s="14" t="n">
        <x:v>255</x:v>
      </x:c>
      <x:c r="QU82" s="14" t="n">
        <x:v>16</x:v>
      </x:c>
      <x:c r="QV82" s="14" t="n">
        <x:v>3</x:v>
      </x:c>
      <x:c r="QW82" s="14" t="str">
        <x:v>未收錄</x:v>
      </x:c>
      <x:c r="QX82" s="14" t="str">
        <x:v>27706</x:v>
      </x:c>
      <x:c r="QY82" s="14" t="n">
        <x:v>5</x:v>
      </x:c>
      <x:c r="QZ82" s="14" t="n">
        <x:v>3340</x:v>
      </x:c>
      <x:c r="RA82" s="14" t="n">
        <x:v>256</x:v>
      </x:c>
      <x:c r="RB82" s="14" t="n">
        <x:v>16</x:v>
      </x:c>
      <x:c r="RC82" s="14" t="n">
        <x:v>4</x:v>
      </x:c>
      <x:c r="RD82" s="14" t="str">
        <x:v>未收錄</x:v>
      </x:c>
      <x:c r="RE82" s="14" t="str">
        <x:v>28447</x:v>
      </x:c>
      <x:c r="RF82" s="14" t="n">
        <x:v>5</x:v>
      </x:c>
      <x:c r="RG82" s="14" t="n">
        <x:v>3798</x:v>
      </x:c>
      <x:c r="RH82" s="14" t="n">
        <x:v>253</x:v>
      </x:c>
      <x:c r="RI82" s="14" t="n">
        <x:v>16</x:v>
      </x:c>
      <x:c r="RJ82" s="14" t="n">
        <x:v>1</x:v>
      </x:c>
      <x:c r="RK82" s="14" t="str">
        <x:v>未收錄</x:v>
      </x:c>
      <x:c r="RL82" s="14" t="str">
        <x:v>28448</x:v>
      </x:c>
      <x:c r="RM82" s="14" t="n">
        <x:v>5</x:v>
      </x:c>
      <x:c r="RN82" s="14" t="n">
        <x:v>3799</x:v>
      </x:c>
      <x:c r="RO82" s="14" t="n">
        <x:v>254</x:v>
      </x:c>
      <x:c r="RP82" s="14" t="n">
        <x:v>16</x:v>
      </x:c>
      <x:c r="RQ82" s="14" t="n">
        <x:v>2</x:v>
      </x:c>
      <x:c r="RR82" s="14" t="str">
        <x:v>未收錄</x:v>
      </x:c>
      <x:c r="RS82" s="14" t="str">
        <x:v>28449</x:v>
      </x:c>
      <x:c r="RT82" s="14" t="n">
        <x:v>5</x:v>
      </x:c>
      <x:c r="RU82" s="14" t="n">
        <x:v>3800</x:v>
      </x:c>
      <x:c r="RV82" s="14" t="n">
        <x:v>255</x:v>
      </x:c>
      <x:c r="RW82" s="14" t="n">
        <x:v>16</x:v>
      </x:c>
      <x:c r="RX82" s="14" t="n">
        <x:v>3</x:v>
      </x:c>
      <x:c r="RY82" s="14" t="str">
        <x:v>未收錄</x:v>
      </x:c>
      <x:c r="RZ82" s="14" t="str">
        <x:v>28450</x:v>
      </x:c>
      <x:c r="SA82" s="14" t="n">
        <x:v>5</x:v>
      </x:c>
      <x:c r="SB82" s="14" t="n">
        <x:v>3801</x:v>
      </x:c>
      <x:c r="SC82" s="14" t="n">
        <x:v>256</x:v>
      </x:c>
      <x:c r="SD82" s="14" t="n">
        <x:v>16</x:v>
      </x:c>
      <x:c r="SE82" s="14" t="n">
        <x:v>4</x:v>
      </x:c>
      <x:c r="SF82" s="14" t="str">
        <x:v>未收錄</x:v>
      </x:c>
      <x:c r="SG82" s="14"/>
      <x:c r="SH82" s="14"/>
      <x:c r="SI82" s="14"/>
      <x:c r="SJ82" s="14"/>
      <x:c r="SK82" s="14"/>
      <x:c r="SL82" s="14"/>
      <x:c r="SM82" s="14"/>
      <x:c r="SN82" s="14"/>
      <x:c r="SO82" s="14"/>
      <x:c r="SP82" s="14"/>
      <x:c r="SQ82" s="14"/>
      <x:c r="SR82" s="14"/>
      <x:c r="SS82" s="14"/>
      <x:c r="ST82" s="14"/>
      <x:c r="SU82" s="14"/>
      <x:c r="SV82" s="14"/>
      <x:c r="SW82" s="14"/>
      <x:c r="SX82" s="14"/>
      <x:c r="SY82" s="14"/>
      <x:c r="SZ82" s="14"/>
      <x:c r="TA82" s="14"/>
      <x:c r="TB82" s="14"/>
      <x:c r="TC82" s="14"/>
      <x:c r="TD82" s="14"/>
      <x:c r="TE82" s="14"/>
      <x:c r="TF82" s="14"/>
      <x:c r="TG82" s="14"/>
      <x:c r="TH82" s="14"/>
    </x:row>
    <x:row r="83" ht="15" customHeight="1">
      <x:c r="A83" s="14"/>
      <x:c r="B83" s="14"/>
      <x:c r="C83" s="14"/>
      <x:c r="D83" s="14"/>
      <x:c r="E83" s="14"/>
      <x:c r="F83" s="14"/>
      <x:c r="G83" s="14"/>
      <x:c r="H83" s="14"/>
      <x:c r="I83" s="14"/>
      <x:c r="J83" s="14"/>
      <x:c r="K83" s="14"/>
      <x:c r="L83" s="14"/>
      <x:c r="M83" s="14"/>
      <x:c r="N83" s="14"/>
      <x:c r="O83" s="14"/>
      <x:c r="P83" s="14"/>
      <x:c r="Q83" s="14"/>
      <x:c r="R83" s="14"/>
      <x:c r="S83" s="14"/>
      <x:c r="T83" s="14"/>
      <x:c r="U83" s="14"/>
      <x:c r="V83" s="14"/>
      <x:c r="W83" s="14"/>
      <x:c r="X83" s="14"/>
      <x:c r="Y83" s="14"/>
      <x:c r="Z83" s="14"/>
      <x:c r="AA83" s="14"/>
      <x:c r="AB83" s="14"/>
      <x:c r="AC83" s="14"/>
      <x:c r="AD83" s="14"/>
      <x:c r="AE83" s="14"/>
      <x:c r="AF83" s="14"/>
      <x:c r="AG83" s="14"/>
      <x:c r="AH83" s="14"/>
      <x:c r="AI83" s="14"/>
      <x:c r="AJ83" s="14"/>
      <x:c r="AK83" s="14"/>
      <x:c r="AL83" s="14"/>
      <x:c r="AM83" s="14"/>
      <x:c r="AN83" s="14"/>
      <x:c r="AO83" s="14"/>
      <x:c r="AP83" s="14"/>
      <x:c r="AQ83" s="14"/>
      <x:c r="AR83" s="14"/>
      <x:c r="AS83" s="14"/>
      <x:c r="AT83" s="14"/>
      <x:c r="AU83" s="14"/>
      <x:c r="AV83" s="14"/>
      <x:c r="AW83" s="14"/>
      <x:c r="AX83" s="14"/>
      <x:c r="AY83" s="17" t="str">
        <x:v>峻霆‧道輝冠</x:v>
      </x:c>
      <x:c r="AZ83" s="17" t="str">
        <x:v>峻霆‧禪光帽</x:v>
      </x:c>
      <x:c r="BA83" s="17" t="str">
        <x:v>峻霆‧月讀巾</x:v>
      </x:c>
      <x:c r="BB83" s="17" t="str">
        <x:v>峻霆‧混沌冠</x:v>
      </x:c>
      <x:c r="BC83" s="14"/>
      <x:c r="BD83" s="17" t="str">
        <x:v>仙鑄‧劍聖冑</x:v>
      </x:c>
      <x:c r="BE83" s="17" t="str">
        <x:v>仙鑄‧武尊鎧</x:v>
      </x:c>
      <x:c r="BF83" s="17" t="str">
        <x:v>仙鑄‧術幻裳</x:v>
      </x:c>
      <x:c r="BG83" s="17" t="str">
        <x:v>仙鑄‧道輝服</x:v>
      </x:c>
      <x:c r="BH83" s="14"/>
      <x:c r="BI83" s="17" t="str">
        <x:v>元宙‧禪光握</x:v>
      </x:c>
      <x:c r="BJ83" s="17" t="str">
        <x:v>元宙‧檮杌手</x:v>
      </x:c>
      <x:c r="BK83" s="17" t="str">
        <x:v>元宙‧素鳴腕</x:v>
      </x:c>
      <x:c r="BL83" s="17" t="str">
        <x:v>真宇傲劍聖腕</x:v>
      </x:c>
      <x:c r="BM83" s="14"/>
      <x:c r="BN83" s="17" t="str">
        <x:v>窮極‧術幻履</x:v>
      </x:c>
      <x:c r="BO83" s="17" t="str">
        <x:v>窮極‧道輝步</x:v>
      </x:c>
      <x:c r="BP83" s="17" t="str">
        <x:v>窮極‧禪光行</x:v>
      </x:c>
      <x:c r="BQ83" s="17" t="str">
        <x:v>窮極‧窮奇靴</x:v>
      </x:c>
      <x:c r="BR83" s="14"/>
      <x:c r="BS83" s="17" t="str">
        <x:v>三花聚頂聖玉</x:v>
      </x:c>
      <x:c r="BT83" s="17" t="str">
        <x:v>醍醐灌頂聖珮</x:v>
      </x:c>
      <x:c r="BU83" s="17" t="str">
        <x:v>星聖玄武之心</x:v>
      </x:c>
      <x:c r="BV83" s="17" t="str">
        <x:v>星聖白虎之心</x:v>
      </x:c>
      <x:c r="BW83" s="14"/>
      <x:c r="BX83" s="14"/>
      <x:c r="BY83" s="14"/>
      <x:c r="BZ83" s="14"/>
      <x:c r="CA83" s="14"/>
      <x:c r="CB83" s="14"/>
      <x:c r="CC83" s="14"/>
      <x:c r="CD83" s="14"/>
      <x:c r="CE83" s="14"/>
      <x:c r="CF83" s="14"/>
      <x:c r="CG83" s="14"/>
      <x:c r="CH83" s="14"/>
      <x:c r="CI83" s="14"/>
      <x:c r="CJ83" s="14"/>
      <x:c r="CK83" s="14"/>
      <x:c r="CL83" s="14"/>
      <x:c r="CM83" s="14"/>
      <x:c r="CN83" s="14"/>
      <x:c r="CO83" s="14"/>
      <x:c r="CP83" s="14"/>
      <x:c r="CQ83" s="14"/>
      <x:c r="CR83" s="14"/>
      <x:c r="CS83" s="14"/>
      <x:c r="CT83" s="14"/>
      <x:c r="CU83" s="14"/>
      <x:c r="CV83" s="14"/>
      <x:c r="CW83" s="14"/>
      <x:c r="CX83" s="14"/>
      <x:c r="CY83" s="14"/>
      <x:c r="CZ83" s="14"/>
      <x:c r="DA83" s="14"/>
      <x:c r="DB83" s="14"/>
      <x:c r="DC83" s="14"/>
      <x:c r="DD83" s="14"/>
      <x:c r="DE83" s="14"/>
      <x:c r="DF83" s="14"/>
      <x:c r="DG83" s="14"/>
      <x:c r="DH83" s="14"/>
      <x:c r="DI83" s="14"/>
      <x:c r="DJ83" s="14"/>
      <x:c r="DK83" s="14"/>
      <x:c r="DL83" s="14"/>
      <x:c r="DM83" s="14"/>
      <x:c r="DN83" s="14"/>
      <x:c r="DO83" s="14"/>
      <x:c r="DP83" s="14"/>
      <x:c r="DQ83" s="14"/>
      <x:c r="DR83" s="14"/>
      <x:c r="DS83" s="14"/>
      <x:c r="DT83" s="14"/>
      <x:c r="DU83" s="14"/>
      <x:c r="DV83" s="14"/>
      <x:c r="DW83" s="14"/>
      <x:c r="DX83" s="14"/>
      <x:c r="DY83" s="14"/>
      <x:c r="DZ83" s="14"/>
      <x:c r="EA83" s="14"/>
      <x:c r="EB83" s="14"/>
      <x:c r="EC83" s="14"/>
      <x:c r="ED83" s="14"/>
      <x:c r="EE83" s="14"/>
      <x:c r="EF83" s="14"/>
      <x:c r="EG83" s="14"/>
      <x:c r="EH83" s="14"/>
      <x:c r="EI83" s="14"/>
      <x:c r="EJ83" s="14"/>
      <x:c r="EK83" s="14"/>
      <x:c r="EL83" s="14"/>
      <x:c r="EM83" s="14"/>
      <x:c r="EN83" s="14"/>
      <x:c r="EO83" s="14"/>
      <x:c r="EP83" s="14"/>
      <x:c r="EQ83" s="14"/>
      <x:c r="ER83" s="14"/>
      <x:c r="ES83" s="14"/>
      <x:c r="ET83" s="14"/>
      <x:c r="EU83" s="14"/>
      <x:c r="EV83" s="14"/>
      <x:c r="EW83" s="14"/>
      <x:c r="EX83" s="14"/>
      <x:c r="EY83" s="14"/>
      <x:c r="EZ83" s="14"/>
      <x:c r="FA83" s="14"/>
      <x:c r="FB83" s="14"/>
      <x:c r="FC83" s="14"/>
      <x:c r="FD83" s="14"/>
      <x:c r="FE83" s="14"/>
      <x:c r="FF83" s="14"/>
      <x:c r="FG83" s="14"/>
      <x:c r="FH83" s="14"/>
      <x:c r="FI83" s="14"/>
      <x:c r="FJ83" s="14"/>
      <x:c r="FK83" s="14"/>
      <x:c r="FL83" s="14"/>
      <x:c r="FM83" s="14"/>
      <x:c r="FN83" s="14"/>
      <x:c r="FO83" s="14"/>
      <x:c r="FP83" s="14"/>
      <x:c r="FQ83" s="14"/>
      <x:c r="FR83" s="14"/>
      <x:c r="FS83" s="14"/>
      <x:c r="FT83" s="14"/>
      <x:c r="FU83" s="14"/>
      <x:c r="FV83" s="14"/>
      <x:c r="FW83" s="14"/>
      <x:c r="FX83" s="14"/>
      <x:c r="FY83" s="14"/>
      <x:c r="FZ83" s="14"/>
      <x:c r="GA83" s="14"/>
      <x:c r="GB83" s="14"/>
      <x:c r="GC83" s="14"/>
      <x:c r="GD83" s="14"/>
      <x:c r="GE83" s="14"/>
      <x:c r="GF83" s="14"/>
      <x:c r="GG83" s="14"/>
      <x:c r="GH83" s="14"/>
      <x:c r="GI83" s="14"/>
      <x:c r="GJ83" s="14"/>
      <x:c r="GK83" s="14"/>
      <x:c r="GL83" s="14"/>
      <x:c r="GM83" s="14"/>
      <x:c r="GN83" s="14"/>
      <x:c r="GO83" s="14"/>
      <x:c r="GP83" s="14"/>
      <x:c r="GQ83" s="14"/>
      <x:c r="GR83" s="14"/>
      <x:c r="GS83" s="14"/>
      <x:c r="GT83" s="14"/>
      <x:c r="GU83" s="14"/>
      <x:c r="GV83" s="14"/>
      <x:c r="GW83" s="14"/>
      <x:c r="GX83" s="14"/>
      <x:c r="GY83" s="14"/>
      <x:c r="GZ83" s="14"/>
      <x:c r="HA83" s="14"/>
      <x:c r="HB83" s="14"/>
      <x:c r="HC83" s="14"/>
      <x:c r="HD83" s="14"/>
      <x:c r="HE83" s="14"/>
      <x:c r="HF83" s="14"/>
      <x:c r="HG83" s="14"/>
      <x:c r="HH83" s="14"/>
      <x:c r="HI83" s="14"/>
      <x:c r="HJ83" s="14"/>
      <x:c r="HK83" s="14"/>
      <x:c r="HL83" s="14"/>
      <x:c r="HM83" s="14"/>
      <x:c r="HN83" s="14"/>
      <x:c r="HO83" s="14"/>
      <x:c r="HP83" s="14"/>
      <x:c r="HQ83" s="14"/>
      <x:c r="HR83" s="14"/>
      <x:c r="HS83" s="14"/>
      <x:c r="HT83" s="14"/>
      <x:c r="HU83" s="14"/>
      <x:c r="HV83" s="14"/>
      <x:c r="HW83" s="14"/>
      <x:c r="HX83" s="14"/>
      <x:c r="HY83" s="14"/>
      <x:c r="HZ83" s="14"/>
      <x:c r="IA83" s="14"/>
      <x:c r="IB83" s="14"/>
      <x:c r="IC83" s="14"/>
      <x:c r="ID83" s="14"/>
      <x:c r="IE83" s="14"/>
      <x:c r="IF83" s="14"/>
      <x:c r="IG83" s="14"/>
      <x:c r="IH83" s="14"/>
      <x:c r="II83" s="14"/>
      <x:c r="IJ83" s="14"/>
      <x:c r="IK83" s="14"/>
      <x:c r="IL83" s="14"/>
      <x:c r="IM83" s="14"/>
      <x:c r="IN83" s="14"/>
      <x:c r="IO83" s="14"/>
      <x:c r="IP83" s="14"/>
      <x:c r="IQ83" s="14"/>
      <x:c r="IR83" s="14"/>
      <x:c r="IS83" s="14"/>
      <x:c r="IT83" s="14"/>
      <x:c r="IU83" s="14"/>
      <x:c r="IV83" s="14"/>
      <x:c r="IW83" s="14"/>
      <x:c r="IX83" s="14"/>
      <x:c r="IY83" s="14"/>
      <x:c r="IZ83" s="14"/>
      <x:c r="JA83" s="14"/>
      <x:c r="JB83" s="14"/>
      <x:c r="JC83" s="14"/>
      <x:c r="JD83" s="14"/>
      <x:c r="JE83" s="14"/>
      <x:c r="JF83" s="14"/>
      <x:c r="JG83" s="14"/>
      <x:c r="JH83" s="14"/>
      <x:c r="JI83" s="14"/>
      <x:c r="JJ83" s="14"/>
      <x:c r="JK83" s="14"/>
      <x:c r="JL83" s="14"/>
      <x:c r="JM83" s="14"/>
      <x:c r="JN83" s="14"/>
      <x:c r="JO83" s="14"/>
      <x:c r="JP83" s="14"/>
      <x:c r="JQ83" s="14"/>
      <x:c r="JR83" s="14"/>
      <x:c r="JS83" s="14"/>
      <x:c r="JT83" s="14"/>
      <x:c r="JU83" s="14"/>
      <x:c r="JV83" s="14"/>
      <x:c r="JW83" s="14"/>
      <x:c r="JX83" s="14"/>
      <x:c r="JY83" s="14"/>
      <x:c r="JZ83" s="14"/>
      <x:c r="KA83" s="14"/>
      <x:c r="KB83" s="14"/>
      <x:c r="KC83" s="14"/>
      <x:c r="KD83" s="14"/>
      <x:c r="KE83" s="14"/>
      <x:c r="KF83" s="14"/>
      <x:c r="KG83" s="14"/>
      <x:c r="KH83" s="14"/>
      <x:c r="KI83" s="14"/>
      <x:c r="KJ83" s="14"/>
      <x:c r="KK83" s="14"/>
      <x:c r="KL83" s="14"/>
      <x:c r="KM83" s="14"/>
      <x:c r="KN83" s="14"/>
      <x:c r="KO83" s="14"/>
      <x:c r="KP83" s="14"/>
      <x:c r="KQ83" s="14"/>
      <x:c r="KR83" s="14"/>
      <x:c r="KS83" s="14"/>
      <x:c r="KT83" s="14"/>
      <x:c r="KU83" s="14"/>
      <x:c r="KV83" s="14"/>
      <x:c r="KW83" s="14"/>
      <x:c r="KX83" s="14"/>
      <x:c r="KY83" s="14"/>
      <x:c r="KZ83" s="14"/>
      <x:c r="LA83" s="14"/>
      <x:c r="LB83" s="14"/>
      <x:c r="LC83" s="14"/>
      <x:c r="LD83" s="14"/>
      <x:c r="LE83" s="14"/>
      <x:c r="LF83" s="14"/>
      <x:c r="LG83" s="14"/>
      <x:c r="LH83" s="14"/>
      <x:c r="LI83" s="14"/>
      <x:c r="LJ83" s="14"/>
      <x:c r="LK83" s="14"/>
      <x:c r="LL83" s="14"/>
      <x:c r="LM83" s="14"/>
      <x:c r="LN83" s="14"/>
      <x:c r="LO83" s="14"/>
      <x:c r="LP83" s="14"/>
      <x:c r="LQ83" s="14"/>
      <x:c r="LR83" s="14"/>
      <x:c r="LS83" s="14"/>
      <x:c r="LT83" s="14"/>
      <x:c r="LU83" s="14"/>
      <x:c r="LV83" s="14"/>
      <x:c r="LW83" s="14"/>
      <x:c r="LX83" s="14"/>
      <x:c r="LY83" s="14"/>
      <x:c r="LZ83" s="14"/>
      <x:c r="MA83" s="14"/>
      <x:c r="MB83" s="14"/>
      <x:c r="MC83" s="14"/>
      <x:c r="MD83" s="14"/>
      <x:c r="ME83" s="14"/>
      <x:c r="MF83" s="14"/>
      <x:c r="MG83" s="14"/>
      <x:c r="MH83" s="14"/>
      <x:c r="MI83" s="14"/>
      <x:c r="MJ83" s="14"/>
      <x:c r="MK83" s="14"/>
      <x:c r="ML83" s="14"/>
      <x:c r="MM83" s="14"/>
      <x:c r="MN83" s="14"/>
      <x:c r="MO83" s="14"/>
      <x:c r="MP83" s="14"/>
      <x:c r="MQ83" s="14"/>
      <x:c r="MR83" s="14"/>
      <x:c r="MS83" s="14"/>
      <x:c r="MT83" s="14"/>
      <x:c r="MU83" s="14"/>
      <x:c r="MV83" s="14"/>
      <x:c r="MW83" s="14" t="str">
        <x:v>27643</x:v>
      </x:c>
      <x:c r="MX83" s="14" t="n">
        <x:v>5</x:v>
      </x:c>
      <x:c r="MY83" s="14" t="n">
        <x:v>1905</x:v>
      </x:c>
      <x:c r="MZ83" s="14" t="n">
        <x:v>257</x:v>
      </x:c>
      <x:c r="NA83" s="14" t="n">
        <x:v>17</x:v>
      </x:c>
      <x:c r="NB83" s="14" t="n">
        <x:v>1</x:v>
      </x:c>
      <x:c r="NC83" s="14" t="str">
        <x:v>未收錄</x:v>
      </x:c>
      <x:c r="ND83" s="14" t="str">
        <x:v>27644</x:v>
      </x:c>
      <x:c r="NE83" s="14" t="n">
        <x:v>5</x:v>
      </x:c>
      <x:c r="NF83" s="14" t="n">
        <x:v>1906</x:v>
      </x:c>
      <x:c r="NG83" s="14" t="n">
        <x:v>258</x:v>
      </x:c>
      <x:c r="NH83" s="14" t="n">
        <x:v>17</x:v>
      </x:c>
      <x:c r="NI83" s="14" t="n">
        <x:v>2</x:v>
      </x:c>
      <x:c r="NJ83" s="14" t="str">
        <x:v>未收錄</x:v>
      </x:c>
      <x:c r="NK83" s="14" t="str">
        <x:v>27756</x:v>
      </x:c>
      <x:c r="NL83" s="14" t="n">
        <x:v>10</x:v>
      </x:c>
      <x:c r="NM83" s="14" t="n">
        <x:v>1907</x:v>
      </x:c>
      <x:c r="NN83" s="14" t="n">
        <x:v>259</x:v>
      </x:c>
      <x:c r="NO83" s="14" t="n">
        <x:v>17</x:v>
      </x:c>
      <x:c r="NP83" s="14" t="n">
        <x:v>3</x:v>
      </x:c>
      <x:c r="NQ83" s="14" t="str">
        <x:v>未收錄</x:v>
      </x:c>
      <x:c r="NR83" s="14" t="str">
        <x:v>27736</x:v>
      </x:c>
      <x:c r="NS83" s="14" t="n">
        <x:v>10</x:v>
      </x:c>
      <x:c r="NT83" s="14" t="n">
        <x:v>1908</x:v>
      </x:c>
      <x:c r="NU83" s="14" t="n">
        <x:v>260</x:v>
      </x:c>
      <x:c r="NV83" s="14" t="n">
        <x:v>17</x:v>
      </x:c>
      <x:c r="NW83" s="14" t="n">
        <x:v>4</x:v>
      </x:c>
      <x:c r="NX83" s="14" t="str">
        <x:v>未收錄</x:v>
      </x:c>
      <x:c r="NY83" s="14" t="str">
        <x:v>27099</x:v>
      </x:c>
      <x:c r="NZ83" s="14" t="n">
        <x:v>5</x:v>
      </x:c>
      <x:c r="OA83" s="14" t="n">
        <x:v>2358</x:v>
      </x:c>
      <x:c r="OB83" s="14" t="n">
        <x:v>257</x:v>
      </x:c>
      <x:c r="OC83" s="14" t="n">
        <x:v>17</x:v>
      </x:c>
      <x:c r="OD83" s="14" t="n">
        <x:v>1</x:v>
      </x:c>
      <x:c r="OE83" s="14" t="str">
        <x:v>未收錄</x:v>
      </x:c>
      <x:c r="OF83" s="14" t="str">
        <x:v>27100</x:v>
      </x:c>
      <x:c r="OG83" s="14" t="n">
        <x:v>5</x:v>
      </x:c>
      <x:c r="OH83" s="14" t="n">
        <x:v>2359</x:v>
      </x:c>
      <x:c r="OI83" s="14" t="n">
        <x:v>258</x:v>
      </x:c>
      <x:c r="OJ83" s="14" t="n">
        <x:v>17</x:v>
      </x:c>
      <x:c r="OK83" s="14" t="n">
        <x:v>2</x:v>
      </x:c>
      <x:c r="OL83" s="14" t="str">
        <x:v>未收錄</x:v>
      </x:c>
      <x:c r="OM83" s="14" t="str">
        <x:v>27101</x:v>
      </x:c>
      <x:c r="ON83" s="14" t="n">
        <x:v>5</x:v>
      </x:c>
      <x:c r="OO83" s="14" t="n">
        <x:v>2360</x:v>
      </x:c>
      <x:c r="OP83" s="14" t="n">
        <x:v>259</x:v>
      </x:c>
      <x:c r="OQ83" s="14" t="n">
        <x:v>17</x:v>
      </x:c>
      <x:c r="OR83" s="14" t="n">
        <x:v>3</x:v>
      </x:c>
      <x:c r="OS83" s="14" t="str">
        <x:v>未收錄</x:v>
      </x:c>
      <x:c r="OT83" s="14" t="str">
        <x:v>27102</x:v>
      </x:c>
      <x:c r="OU83" s="14" t="n">
        <x:v>5</x:v>
      </x:c>
      <x:c r="OV83" s="14" t="n">
        <x:v>2361</x:v>
      </x:c>
      <x:c r="OW83" s="14" t="n">
        <x:v>260</x:v>
      </x:c>
      <x:c r="OX83" s="14" t="n">
        <x:v>17</x:v>
      </x:c>
      <x:c r="OY83" s="14" t="n">
        <x:v>4</x:v>
      </x:c>
      <x:c r="OZ83" s="14" t="str">
        <x:v>未收錄</x:v>
      </x:c>
      <x:c r="PA83" s="14" t="str">
        <x:v>27694</x:v>
      </x:c>
      <x:c r="PB83" s="14" t="n">
        <x:v>5</x:v>
      </x:c>
      <x:c r="PC83" s="14" t="n">
        <x:v>2904</x:v>
      </x:c>
      <x:c r="PD83" s="14" t="n">
        <x:v>257</x:v>
      </x:c>
      <x:c r="PE83" s="14" t="n">
        <x:v>17</x:v>
      </x:c>
      <x:c r="PF83" s="14" t="n">
        <x:v>1</x:v>
      </x:c>
      <x:c r="PG83" s="14" t="str">
        <x:v>未收錄</x:v>
      </x:c>
      <x:c r="PH83" s="14" t="str">
        <x:v>27746</x:v>
      </x:c>
      <x:c r="PI83" s="14" t="n">
        <x:v>10</x:v>
      </x:c>
      <x:c r="PJ83" s="14" t="n">
        <x:v>2905</x:v>
      </x:c>
      <x:c r="PK83" s="14" t="n">
        <x:v>258</x:v>
      </x:c>
      <x:c r="PL83" s="14" t="n">
        <x:v>17</x:v>
      </x:c>
      <x:c r="PM83" s="14" t="n">
        <x:v>2</x:v>
      </x:c>
      <x:c r="PN83" s="14" t="str">
        <x:v>未收錄</x:v>
      </x:c>
      <x:c r="PO83" s="14" t="str">
        <x:v>27762</x:v>
      </x:c>
      <x:c r="PP83" s="14" t="n">
        <x:v>10</x:v>
      </x:c>
      <x:c r="PQ83" s="14" t="n">
        <x:v>2906</x:v>
      </x:c>
      <x:c r="PR83" s="14" t="n">
        <x:v>259</x:v>
      </x:c>
      <x:c r="PS83" s="14" t="n">
        <x:v>17</x:v>
      </x:c>
      <x:c r="PT83" s="14" t="n">
        <x:v>3</x:v>
      </x:c>
      <x:c r="PU83" s="14" t="str">
        <x:v>未收錄</x:v>
      </x:c>
      <x:c r="PV83" s="14" t="str">
        <x:v>27695</x:v>
      </x:c>
      <x:c r="PW83" s="14" t="n">
        <x:v>5</x:v>
      </x:c>
      <x:c r="PX83" s="14" t="n">
        <x:v>2907</x:v>
      </x:c>
      <x:c r="PY83" s="14" t="n">
        <x:v>260</x:v>
      </x:c>
      <x:c r="PZ83" s="14" t="n">
        <x:v>17</x:v>
      </x:c>
      <x:c r="QA83" s="14" t="n">
        <x:v>4</x:v>
      </x:c>
      <x:c r="QB83" s="14" t="str">
        <x:v>未收錄</x:v>
      </x:c>
      <x:c r="QC83" s="14" t="str">
        <x:v>27707</x:v>
      </x:c>
      <x:c r="QD83" s="14" t="n">
        <x:v>5</x:v>
      </x:c>
      <x:c r="QE83" s="14" t="n">
        <x:v>3341</x:v>
      </x:c>
      <x:c r="QF83" s="14" t="n">
        <x:v>257</x:v>
      </x:c>
      <x:c r="QG83" s="14" t="n">
        <x:v>17</x:v>
      </x:c>
      <x:c r="QH83" s="14" t="n">
        <x:v>1</x:v>
      </x:c>
      <x:c r="QI83" s="14" t="str">
        <x:v>未收錄</x:v>
      </x:c>
      <x:c r="QJ83" s="14" t="str">
        <x:v>27708</x:v>
      </x:c>
      <x:c r="QK83" s="14" t="n">
        <x:v>5</x:v>
      </x:c>
      <x:c r="QL83" s="14" t="n">
        <x:v>3342</x:v>
      </x:c>
      <x:c r="QM83" s="14" t="n">
        <x:v>258</x:v>
      </x:c>
      <x:c r="QN83" s="14" t="n">
        <x:v>17</x:v>
      </x:c>
      <x:c r="QO83" s="14" t="n">
        <x:v>2</x:v>
      </x:c>
      <x:c r="QP83" s="14" t="str">
        <x:v>未收錄</x:v>
      </x:c>
      <x:c r="QQ83" s="14" t="str">
        <x:v>27709</x:v>
      </x:c>
      <x:c r="QR83" s="14" t="n">
        <x:v>5</x:v>
      </x:c>
      <x:c r="QS83" s="14" t="n">
        <x:v>3343</x:v>
      </x:c>
      <x:c r="QT83" s="14" t="n">
        <x:v>259</x:v>
      </x:c>
      <x:c r="QU83" s="14" t="n">
        <x:v>17</x:v>
      </x:c>
      <x:c r="QV83" s="14" t="n">
        <x:v>3</x:v>
      </x:c>
      <x:c r="QW83" s="14" t="str">
        <x:v>未收錄</x:v>
      </x:c>
      <x:c r="QX83" s="14" t="str">
        <x:v>27749</x:v>
      </x:c>
      <x:c r="QY83" s="14" t="n">
        <x:v>10</x:v>
      </x:c>
      <x:c r="QZ83" s="14" t="n">
        <x:v>3344</x:v>
      </x:c>
      <x:c r="RA83" s="14" t="n">
        <x:v>260</x:v>
      </x:c>
      <x:c r="RB83" s="14" t="n">
        <x:v>17</x:v>
      </x:c>
      <x:c r="RC83" s="14" t="n">
        <x:v>4</x:v>
      </x:c>
      <x:c r="RD83" s="14" t="str">
        <x:v>未收錄</x:v>
      </x:c>
      <x:c r="RE83" s="14" t="str">
        <x:v>28192</x:v>
      </x:c>
      <x:c r="RF83" s="14" t="n">
        <x:v>5</x:v>
      </x:c>
      <x:c r="RG83" s="14" t="n">
        <x:v>3802</x:v>
      </x:c>
      <x:c r="RH83" s="14" t="n">
        <x:v>257</x:v>
      </x:c>
      <x:c r="RI83" s="14" t="n">
        <x:v>17</x:v>
      </x:c>
      <x:c r="RJ83" s="14" t="n">
        <x:v>1</x:v>
      </x:c>
      <x:c r="RK83" s="14" t="str">
        <x:v>未收錄</x:v>
      </x:c>
      <x:c r="RL83" s="14" t="str">
        <x:v>28193</x:v>
      </x:c>
      <x:c r="RM83" s="14" t="n">
        <x:v>5</x:v>
      </x:c>
      <x:c r="RN83" s="14" t="n">
        <x:v>3803</x:v>
      </x:c>
      <x:c r="RO83" s="14" t="n">
        <x:v>258</x:v>
      </x:c>
      <x:c r="RP83" s="14" t="n">
        <x:v>17</x:v>
      </x:c>
      <x:c r="RQ83" s="14" t="n">
        <x:v>2</x:v>
      </x:c>
      <x:c r="RR83" s="14" t="str">
        <x:v>未收錄</x:v>
      </x:c>
      <x:c r="RS83" s="14" t="str">
        <x:v>28566</x:v>
      </x:c>
      <x:c r="RT83" s="14" t="n">
        <x:v>5</x:v>
      </x:c>
      <x:c r="RU83" s="14" t="n">
        <x:v>3804</x:v>
      </x:c>
      <x:c r="RV83" s="14" t="n">
        <x:v>259</x:v>
      </x:c>
      <x:c r="RW83" s="14" t="n">
        <x:v>17</x:v>
      </x:c>
      <x:c r="RX83" s="14" t="n">
        <x:v>3</x:v>
      </x:c>
      <x:c r="RY83" s="14" t="str">
        <x:v>未收錄</x:v>
      </x:c>
      <x:c r="RZ83" s="14" t="str">
        <x:v>28567</x:v>
      </x:c>
      <x:c r="SA83" s="14" t="n">
        <x:v>5</x:v>
      </x:c>
      <x:c r="SB83" s="14" t="n">
        <x:v>3805</x:v>
      </x:c>
      <x:c r="SC83" s="14" t="n">
        <x:v>260</x:v>
      </x:c>
      <x:c r="SD83" s="14" t="n">
        <x:v>17</x:v>
      </x:c>
      <x:c r="SE83" s="14" t="n">
        <x:v>4</x:v>
      </x:c>
      <x:c r="SF83" s="14" t="str">
        <x:v>未收錄</x:v>
      </x:c>
      <x:c r="SG83" s="14"/>
      <x:c r="SH83" s="14"/>
      <x:c r="SI83" s="14"/>
      <x:c r="SJ83" s="14"/>
      <x:c r="SK83" s="14"/>
      <x:c r="SL83" s="14"/>
      <x:c r="SM83" s="14"/>
      <x:c r="SN83" s="14"/>
      <x:c r="SO83" s="14"/>
      <x:c r="SP83" s="14"/>
      <x:c r="SQ83" s="14"/>
      <x:c r="SR83" s="14"/>
      <x:c r="SS83" s="14"/>
      <x:c r="ST83" s="14"/>
      <x:c r="SU83" s="14"/>
      <x:c r="SV83" s="14"/>
      <x:c r="SW83" s="14"/>
      <x:c r="SX83" s="14"/>
      <x:c r="SY83" s="14"/>
      <x:c r="SZ83" s="14"/>
      <x:c r="TA83" s="14"/>
      <x:c r="TB83" s="14"/>
      <x:c r="TC83" s="14"/>
      <x:c r="TD83" s="14"/>
      <x:c r="TE83" s="14"/>
      <x:c r="TF83" s="14"/>
      <x:c r="TG83" s="14"/>
      <x:c r="TH83" s="14"/>
    </x:row>
    <x:row r="84" ht="15" customHeight="1">
      <x:c r="A84" s="14"/>
      <x:c r="B84" s="14"/>
      <x:c r="C84" s="14"/>
      <x:c r="D84" s="14"/>
      <x:c r="E84" s="14"/>
      <x:c r="F84" s="14"/>
      <x:c r="G84" s="14"/>
      <x:c r="H84" s="14"/>
      <x:c r="I84" s="14"/>
      <x:c r="J84" s="14"/>
      <x:c r="K84" s="14"/>
      <x:c r="L84" s="14"/>
      <x:c r="M84" s="14"/>
      <x:c r="N84" s="14"/>
      <x:c r="O84" s="14"/>
      <x:c r="P84" s="14"/>
      <x:c r="Q84" s="14"/>
      <x:c r="R84" s="14"/>
      <x:c r="S84" s="14"/>
      <x:c r="T84" s="14"/>
      <x:c r="U84" s="14"/>
      <x:c r="V84" s="14"/>
      <x:c r="W84" s="14"/>
      <x:c r="X84" s="14"/>
      <x:c r="Y84" s="14"/>
      <x:c r="Z84" s="14"/>
      <x:c r="AA84" s="14"/>
      <x:c r="AB84" s="14"/>
      <x:c r="AC84" s="14"/>
      <x:c r="AD84" s="14"/>
      <x:c r="AE84" s="14"/>
      <x:c r="AF84" s="14"/>
      <x:c r="AG84" s="14"/>
      <x:c r="AH84" s="14"/>
      <x:c r="AI84" s="14"/>
      <x:c r="AJ84" s="14"/>
      <x:c r="AK84" s="14"/>
      <x:c r="AL84" s="14"/>
      <x:c r="AM84" s="14"/>
      <x:c r="AN84" s="14"/>
      <x:c r="AO84" s="14"/>
      <x:c r="AP84" s="14"/>
      <x:c r="AQ84" s="14"/>
      <x:c r="AR84" s="14"/>
      <x:c r="AS84" s="14"/>
      <x:c r="AT84" s="14"/>
      <x:c r="AU84" s="14"/>
      <x:c r="AV84" s="14"/>
      <x:c r="AW84" s="14"/>
      <x:c r="AX84" s="14"/>
      <x:c r="AY84" s="18" t="str">
        <x:v>窮極‧劍聖盔</x:v>
      </x:c>
      <x:c r="AZ84" s="18" t="str">
        <x:v>窮極‧武尊盔</x:v>
      </x:c>
      <x:c r="BA84" s="18" t="str">
        <x:v>窮極‧術幻紗</x:v>
      </x:c>
      <x:c r="BB84" s="18" t="str">
        <x:v>窮極‧道輝冠</x:v>
      </x:c>
      <x:c r="BC84" s="14"/>
      <x:c r="BD84" s="18" t="str">
        <x:v>仙鑄‧禪光衣</x:v>
      </x:c>
      <x:c r="BE84" s="18" t="str">
        <x:v>仙鑄‧饕餮鎧</x:v>
      </x:c>
      <x:c r="BF84" s="18" t="str">
        <x:v>仙鑄‧天狗衣</x:v>
      </x:c>
      <x:c r="BG84" s="18" t="str">
        <x:v>仙鑄‧隱遁甲</x:v>
      </x:c>
      <x:c r="BH84" s="14"/>
      <x:c r="BI84" s="18" t="str">
        <x:v>真宇傲武尊臂</x:v>
      </x:c>
      <x:c r="BJ84" s="18" t="str">
        <x:v>真宇傲術幻指</x:v>
      </x:c>
      <x:c r="BK84" s="18" t="str">
        <x:v>真宇傲道輝手</x:v>
      </x:c>
      <x:c r="BL84" s="18" t="str">
        <x:v>真宇傲禪光握</x:v>
      </x:c>
      <x:c r="BM84" s="14"/>
      <x:c r="BN84" s="18" t="str">
        <x:v>窮極‧韋駝足</x:v>
      </x:c>
      <x:c r="BO84" s="18" t="str">
        <x:v>窮極‧流星靴</x:v>
      </x:c>
      <x:c r="BP84" s="18" t="str">
        <x:v>元宙‧劍聖靴</x:v>
      </x:c>
      <x:c r="BQ84" s="18" t="str">
        <x:v>元宙‧武尊踏</x:v>
      </x:c>
      <x:c r="BR84" s="14"/>
      <x:c r="BS84" s="18" t="str">
        <x:v>星聖青龍之心</x:v>
      </x:c>
      <x:c r="BT84" s="18" t="str">
        <x:v>星聖鳳凰之心</x:v>
      </x:c>
      <x:c r="BU84" s="18" t="str">
        <x:v>星聖麒麟之心</x:v>
      </x:c>
      <x:c r="BV84" s="18" t="str">
        <x:v>星聖螣蛇之心</x:v>
      </x:c>
      <x:c r="BW84" s="14"/>
      <x:c r="BX84" s="14"/>
      <x:c r="BY84" s="14"/>
      <x:c r="BZ84" s="14"/>
      <x:c r="CA84" s="14"/>
      <x:c r="CB84" s="14"/>
      <x:c r="CC84" s="14"/>
      <x:c r="CD84" s="14"/>
      <x:c r="CE84" s="14"/>
      <x:c r="CF84" s="14"/>
      <x:c r="CG84" s="14"/>
      <x:c r="CH84" s="14"/>
      <x:c r="CI84" s="14"/>
      <x:c r="CJ84" s="14"/>
      <x:c r="CK84" s="14"/>
      <x:c r="CL84" s="14"/>
      <x:c r="CM84" s="14"/>
      <x:c r="CN84" s="14"/>
      <x:c r="CO84" s="14"/>
      <x:c r="CP84" s="14"/>
      <x:c r="CQ84" s="14"/>
      <x:c r="CR84" s="14"/>
      <x:c r="CS84" s="14"/>
      <x:c r="CT84" s="14"/>
      <x:c r="CU84" s="14"/>
      <x:c r="CV84" s="14"/>
      <x:c r="CW84" s="14"/>
      <x:c r="CX84" s="14"/>
      <x:c r="CY84" s="14"/>
      <x:c r="CZ84" s="14"/>
      <x:c r="DA84" s="14"/>
      <x:c r="DB84" s="14"/>
      <x:c r="DC84" s="14"/>
      <x:c r="DD84" s="14"/>
      <x:c r="DE84" s="14"/>
      <x:c r="DF84" s="14"/>
      <x:c r="DG84" s="14"/>
      <x:c r="DH84" s="14"/>
      <x:c r="DI84" s="14"/>
      <x:c r="DJ84" s="14"/>
      <x:c r="DK84" s="14"/>
      <x:c r="DL84" s="14"/>
      <x:c r="DM84" s="14"/>
      <x:c r="DN84" s="14"/>
      <x:c r="DO84" s="14"/>
      <x:c r="DP84" s="14"/>
      <x:c r="DQ84" s="14"/>
      <x:c r="DR84" s="14"/>
      <x:c r="DS84" s="14"/>
      <x:c r="DT84" s="14"/>
      <x:c r="DU84" s="14"/>
      <x:c r="DV84" s="14"/>
      <x:c r="DW84" s="14"/>
      <x:c r="DX84" s="14"/>
      <x:c r="DY84" s="14"/>
      <x:c r="DZ84" s="14"/>
      <x:c r="EA84" s="14"/>
      <x:c r="EB84" s="14"/>
      <x:c r="EC84" s="14"/>
      <x:c r="ED84" s="14"/>
      <x:c r="EE84" s="14"/>
      <x:c r="EF84" s="14"/>
      <x:c r="EG84" s="14"/>
      <x:c r="EH84" s="14"/>
      <x:c r="EI84" s="14"/>
      <x:c r="EJ84" s="14"/>
      <x:c r="EK84" s="14"/>
      <x:c r="EL84" s="14"/>
      <x:c r="EM84" s="14"/>
      <x:c r="EN84" s="14"/>
      <x:c r="EO84" s="14"/>
      <x:c r="EP84" s="14"/>
      <x:c r="EQ84" s="14"/>
      <x:c r="ER84" s="14"/>
      <x:c r="ES84" s="14"/>
      <x:c r="ET84" s="14"/>
      <x:c r="EU84" s="14"/>
      <x:c r="EV84" s="14"/>
      <x:c r="EW84" s="14"/>
      <x:c r="EX84" s="14"/>
      <x:c r="EY84" s="14"/>
      <x:c r="EZ84" s="14"/>
      <x:c r="FA84" s="14"/>
      <x:c r="FB84" s="14"/>
      <x:c r="FC84" s="14"/>
      <x:c r="FD84" s="14"/>
      <x:c r="FE84" s="14"/>
      <x:c r="FF84" s="14"/>
      <x:c r="FG84" s="14"/>
      <x:c r="FH84" s="14"/>
      <x:c r="FI84" s="14"/>
      <x:c r="FJ84" s="14"/>
      <x:c r="FK84" s="14"/>
      <x:c r="FL84" s="14"/>
      <x:c r="FM84" s="14"/>
      <x:c r="FN84" s="14"/>
      <x:c r="FO84" s="14"/>
      <x:c r="FP84" s="14"/>
      <x:c r="FQ84" s="14"/>
      <x:c r="FR84" s="14"/>
      <x:c r="FS84" s="14"/>
      <x:c r="FT84" s="14"/>
      <x:c r="FU84" s="14"/>
      <x:c r="FV84" s="14"/>
      <x:c r="FW84" s="14"/>
      <x:c r="FX84" s="14"/>
      <x:c r="FY84" s="14"/>
      <x:c r="FZ84" s="14"/>
      <x:c r="GA84" s="14"/>
      <x:c r="GB84" s="14"/>
      <x:c r="GC84" s="14"/>
      <x:c r="GD84" s="14"/>
      <x:c r="GE84" s="14"/>
      <x:c r="GF84" s="14"/>
      <x:c r="GG84" s="14"/>
      <x:c r="GH84" s="14"/>
      <x:c r="GI84" s="14"/>
      <x:c r="GJ84" s="14"/>
      <x:c r="GK84" s="14"/>
      <x:c r="GL84" s="14"/>
      <x:c r="GM84" s="14"/>
      <x:c r="GN84" s="14"/>
      <x:c r="GO84" s="14"/>
      <x:c r="GP84" s="14"/>
      <x:c r="GQ84" s="14"/>
      <x:c r="GR84" s="14"/>
      <x:c r="GS84" s="14"/>
      <x:c r="GT84" s="14"/>
      <x:c r="GU84" s="14"/>
      <x:c r="GV84" s="14"/>
      <x:c r="GW84" s="14"/>
      <x:c r="GX84" s="14"/>
      <x:c r="GY84" s="14"/>
      <x:c r="GZ84" s="14"/>
      <x:c r="HA84" s="14"/>
      <x:c r="HB84" s="14"/>
      <x:c r="HC84" s="14"/>
      <x:c r="HD84" s="14"/>
      <x:c r="HE84" s="14"/>
      <x:c r="HF84" s="14"/>
      <x:c r="HG84" s="14"/>
      <x:c r="HH84" s="14"/>
      <x:c r="HI84" s="14"/>
      <x:c r="HJ84" s="14"/>
      <x:c r="HK84" s="14"/>
      <x:c r="HL84" s="14"/>
      <x:c r="HM84" s="14"/>
      <x:c r="HN84" s="14"/>
      <x:c r="HO84" s="14"/>
      <x:c r="HP84" s="14"/>
      <x:c r="HQ84" s="14"/>
      <x:c r="HR84" s="14"/>
      <x:c r="HS84" s="14"/>
      <x:c r="HT84" s="14"/>
      <x:c r="HU84" s="14"/>
      <x:c r="HV84" s="14"/>
      <x:c r="HW84" s="14"/>
      <x:c r="HX84" s="14"/>
      <x:c r="HY84" s="14"/>
      <x:c r="HZ84" s="14"/>
      <x:c r="IA84" s="14"/>
      <x:c r="IB84" s="14"/>
      <x:c r="IC84" s="14"/>
      <x:c r="ID84" s="14"/>
      <x:c r="IE84" s="14"/>
      <x:c r="IF84" s="14"/>
      <x:c r="IG84" s="14"/>
      <x:c r="IH84" s="14"/>
      <x:c r="II84" s="14"/>
      <x:c r="IJ84" s="14"/>
      <x:c r="IK84" s="14"/>
      <x:c r="IL84" s="14"/>
      <x:c r="IM84" s="14"/>
      <x:c r="IN84" s="14"/>
      <x:c r="IO84" s="14"/>
      <x:c r="IP84" s="14"/>
      <x:c r="IQ84" s="14"/>
      <x:c r="IR84" s="14"/>
      <x:c r="IS84" s="14"/>
      <x:c r="IT84" s="14"/>
      <x:c r="IU84" s="14"/>
      <x:c r="IV84" s="14"/>
      <x:c r="IW84" s="14"/>
      <x:c r="IX84" s="14"/>
      <x:c r="IY84" s="14"/>
      <x:c r="IZ84" s="14"/>
      <x:c r="JA84" s="14"/>
      <x:c r="JB84" s="14"/>
      <x:c r="JC84" s="14"/>
      <x:c r="JD84" s="14"/>
      <x:c r="JE84" s="14"/>
      <x:c r="JF84" s="14"/>
      <x:c r="JG84" s="14"/>
      <x:c r="JH84" s="14"/>
      <x:c r="JI84" s="14"/>
      <x:c r="JJ84" s="14"/>
      <x:c r="JK84" s="14"/>
      <x:c r="JL84" s="14"/>
      <x:c r="JM84" s="14"/>
      <x:c r="JN84" s="14"/>
      <x:c r="JO84" s="14"/>
      <x:c r="JP84" s="14"/>
      <x:c r="JQ84" s="14"/>
      <x:c r="JR84" s="14"/>
      <x:c r="JS84" s="14"/>
      <x:c r="JT84" s="14"/>
      <x:c r="JU84" s="14"/>
      <x:c r="JV84" s="14"/>
      <x:c r="JW84" s="14"/>
      <x:c r="JX84" s="14"/>
      <x:c r="JY84" s="14"/>
      <x:c r="JZ84" s="14"/>
      <x:c r="KA84" s="14"/>
      <x:c r="KB84" s="14"/>
      <x:c r="KC84" s="14"/>
      <x:c r="KD84" s="14"/>
      <x:c r="KE84" s="14"/>
      <x:c r="KF84" s="14"/>
      <x:c r="KG84" s="14"/>
      <x:c r="KH84" s="14"/>
      <x:c r="KI84" s="14"/>
      <x:c r="KJ84" s="14"/>
      <x:c r="KK84" s="14"/>
      <x:c r="KL84" s="14"/>
      <x:c r="KM84" s="14"/>
      <x:c r="KN84" s="14"/>
      <x:c r="KO84" s="14"/>
      <x:c r="KP84" s="14"/>
      <x:c r="KQ84" s="14"/>
      <x:c r="KR84" s="14"/>
      <x:c r="KS84" s="14"/>
      <x:c r="KT84" s="14"/>
      <x:c r="KU84" s="14"/>
      <x:c r="KV84" s="14"/>
      <x:c r="KW84" s="14"/>
      <x:c r="KX84" s="14"/>
      <x:c r="KY84" s="14"/>
      <x:c r="KZ84" s="14"/>
      <x:c r="LA84" s="14"/>
      <x:c r="LB84" s="14"/>
      <x:c r="LC84" s="14"/>
      <x:c r="LD84" s="14"/>
      <x:c r="LE84" s="14"/>
      <x:c r="LF84" s="14"/>
      <x:c r="LG84" s="14"/>
      <x:c r="LH84" s="14"/>
      <x:c r="LI84" s="14"/>
      <x:c r="LJ84" s="14"/>
      <x:c r="LK84" s="14"/>
      <x:c r="LL84" s="14"/>
      <x:c r="LM84" s="14"/>
      <x:c r="LN84" s="14"/>
      <x:c r="LO84" s="14"/>
      <x:c r="LP84" s="14"/>
      <x:c r="LQ84" s="14"/>
      <x:c r="LR84" s="14"/>
      <x:c r="LS84" s="14"/>
      <x:c r="LT84" s="14"/>
      <x:c r="LU84" s="14"/>
      <x:c r="LV84" s="14"/>
      <x:c r="LW84" s="14"/>
      <x:c r="LX84" s="14"/>
      <x:c r="LY84" s="14"/>
      <x:c r="LZ84" s="14"/>
      <x:c r="MA84" s="14"/>
      <x:c r="MB84" s="14"/>
      <x:c r="MC84" s="14"/>
      <x:c r="MD84" s="14"/>
      <x:c r="ME84" s="14"/>
      <x:c r="MF84" s="14"/>
      <x:c r="MG84" s="14"/>
      <x:c r="MH84" s="14"/>
      <x:c r="MI84" s="14"/>
      <x:c r="MJ84" s="14"/>
      <x:c r="MK84" s="14"/>
      <x:c r="ML84" s="14"/>
      <x:c r="MM84" s="14"/>
      <x:c r="MN84" s="14"/>
      <x:c r="MO84" s="14"/>
      <x:c r="MP84" s="14"/>
      <x:c r="MQ84" s="14"/>
      <x:c r="MR84" s="14"/>
      <x:c r="MS84" s="14"/>
      <x:c r="MT84" s="14"/>
      <x:c r="MU84" s="14"/>
      <x:c r="MV84" s="14"/>
      <x:c r="MW84" s="14" t="str">
        <x:v>27645</x:v>
      </x:c>
      <x:c r="MX84" s="14" t="n">
        <x:v>5</x:v>
      </x:c>
      <x:c r="MY84" s="14" t="n">
        <x:v>1909</x:v>
      </x:c>
      <x:c r="MZ84" s="14" t="n">
        <x:v>261</x:v>
      </x:c>
      <x:c r="NA84" s="14" t="n">
        <x:v>18</x:v>
      </x:c>
      <x:c r="NB84" s="14" t="n">
        <x:v>1</x:v>
      </x:c>
      <x:c r="NC84" s="14" t="str">
        <x:v>未收錄</x:v>
      </x:c>
      <x:c r="ND84" s="14" t="str">
        <x:v>27646</x:v>
      </x:c>
      <x:c r="NE84" s="14" t="n">
        <x:v>5</x:v>
      </x:c>
      <x:c r="NF84" s="14" t="n">
        <x:v>1910</x:v>
      </x:c>
      <x:c r="NG84" s="14" t="n">
        <x:v>262</x:v>
      </x:c>
      <x:c r="NH84" s="14" t="n">
        <x:v>18</x:v>
      </x:c>
      <x:c r="NI84" s="14" t="n">
        <x:v>2</x:v>
      </x:c>
      <x:c r="NJ84" s="14" t="str">
        <x:v>未收錄</x:v>
      </x:c>
      <x:c r="NK84" s="14" t="str">
        <x:v>27647</x:v>
      </x:c>
      <x:c r="NL84" s="14" t="n">
        <x:v>5</x:v>
      </x:c>
      <x:c r="NM84" s="14" t="n">
        <x:v>1911</x:v>
      </x:c>
      <x:c r="NN84" s="14" t="n">
        <x:v>263</x:v>
      </x:c>
      <x:c r="NO84" s="14" t="n">
        <x:v>18</x:v>
      </x:c>
      <x:c r="NP84" s="14" t="n">
        <x:v>3</x:v>
      </x:c>
      <x:c r="NQ84" s="14" t="str">
        <x:v>未收錄</x:v>
      </x:c>
      <x:c r="NR84" s="14" t="str">
        <x:v>27648</x:v>
      </x:c>
      <x:c r="NS84" s="14" t="n">
        <x:v>5</x:v>
      </x:c>
      <x:c r="NT84" s="14" t="n">
        <x:v>1912</x:v>
      </x:c>
      <x:c r="NU84" s="14" t="n">
        <x:v>264</x:v>
      </x:c>
      <x:c r="NV84" s="14" t="n">
        <x:v>18</x:v>
      </x:c>
      <x:c r="NW84" s="14" t="n">
        <x:v>4</x:v>
      </x:c>
      <x:c r="NX84" s="14" t="str">
        <x:v>未收錄</x:v>
      </x:c>
      <x:c r="NY84" s="14" t="str">
        <x:v>27103</x:v>
      </x:c>
      <x:c r="NZ84" s="14" t="n">
        <x:v>5</x:v>
      </x:c>
      <x:c r="OA84" s="14" t="n">
        <x:v>2362</x:v>
      </x:c>
      <x:c r="OB84" s="14" t="n">
        <x:v>261</x:v>
      </x:c>
      <x:c r="OC84" s="14" t="n">
        <x:v>18</x:v>
      </x:c>
      <x:c r="OD84" s="14" t="n">
        <x:v>1</x:v>
      </x:c>
      <x:c r="OE84" s="14" t="str">
        <x:v>未收錄</x:v>
      </x:c>
      <x:c r="OF84" s="14" t="str">
        <x:v>27215</x:v>
      </x:c>
      <x:c r="OG84" s="14" t="n">
        <x:v>10</x:v>
      </x:c>
      <x:c r="OH84" s="14" t="n">
        <x:v>2363</x:v>
      </x:c>
      <x:c r="OI84" s="14" t="n">
        <x:v>262</x:v>
      </x:c>
      <x:c r="OJ84" s="14" t="n">
        <x:v>18</x:v>
      </x:c>
      <x:c r="OK84" s="14" t="n">
        <x:v>2</x:v>
      </x:c>
      <x:c r="OL84" s="14" t="str">
        <x:v>未收錄</x:v>
      </x:c>
      <x:c r="OM84" s="14" t="str">
        <x:v>27396</x:v>
      </x:c>
      <x:c r="ON84" s="14" t="n">
        <x:v>10</x:v>
      </x:c>
      <x:c r="OO84" s="14" t="n">
        <x:v>2364</x:v>
      </x:c>
      <x:c r="OP84" s="14" t="n">
        <x:v>263</x:v>
      </x:c>
      <x:c r="OQ84" s="14" t="n">
        <x:v>18</x:v>
      </x:c>
      <x:c r="OR84" s="14" t="n">
        <x:v>3</x:v>
      </x:c>
      <x:c r="OS84" s="14" t="str">
        <x:v>未收錄</x:v>
      </x:c>
      <x:c r="OT84" s="14" t="str">
        <x:v>27412</x:v>
      </x:c>
      <x:c r="OU84" s="14" t="n">
        <x:v>10</x:v>
      </x:c>
      <x:c r="OV84" s="14" t="n">
        <x:v>2365</x:v>
      </x:c>
      <x:c r="OW84" s="14" t="n">
        <x:v>264</x:v>
      </x:c>
      <x:c r="OX84" s="14" t="n">
        <x:v>18</x:v>
      </x:c>
      <x:c r="OY84" s="14" t="n">
        <x:v>4</x:v>
      </x:c>
      <x:c r="OZ84" s="14" t="str">
        <x:v>未收錄</x:v>
      </x:c>
      <x:c r="PA84" s="14" t="str">
        <x:v>27696</x:v>
      </x:c>
      <x:c r="PB84" s="14" t="n">
        <x:v>5</x:v>
      </x:c>
      <x:c r="PC84" s="14" t="n">
        <x:v>2908</x:v>
      </x:c>
      <x:c r="PD84" s="14" t="n">
        <x:v>261</x:v>
      </x:c>
      <x:c r="PE84" s="14" t="n">
        <x:v>18</x:v>
      </x:c>
      <x:c r="PF84" s="14" t="n">
        <x:v>1</x:v>
      </x:c>
      <x:c r="PG84" s="14" t="str">
        <x:v>未收錄</x:v>
      </x:c>
      <x:c r="PH84" s="14" t="str">
        <x:v>27697</x:v>
      </x:c>
      <x:c r="PI84" s="14" t="n">
        <x:v>5</x:v>
      </x:c>
      <x:c r="PJ84" s="14" t="n">
        <x:v>2909</x:v>
      </x:c>
      <x:c r="PK84" s="14" t="n">
        <x:v>262</x:v>
      </x:c>
      <x:c r="PL84" s="14" t="n">
        <x:v>18</x:v>
      </x:c>
      <x:c r="PM84" s="14" t="n">
        <x:v>2</x:v>
      </x:c>
      <x:c r="PN84" s="14" t="str">
        <x:v>未收錄</x:v>
      </x:c>
      <x:c r="PO84" s="14" t="str">
        <x:v>27698</x:v>
      </x:c>
      <x:c r="PP84" s="14" t="n">
        <x:v>5</x:v>
      </x:c>
      <x:c r="PQ84" s="14" t="n">
        <x:v>2910</x:v>
      </x:c>
      <x:c r="PR84" s="14" t="n">
        <x:v>263</x:v>
      </x:c>
      <x:c r="PS84" s="14" t="n">
        <x:v>18</x:v>
      </x:c>
      <x:c r="PT84" s="14" t="n">
        <x:v>3</x:v>
      </x:c>
      <x:c r="PU84" s="14" t="str">
        <x:v>未收錄</x:v>
      </x:c>
      <x:c r="PV84" s="14" t="str">
        <x:v>27699</x:v>
      </x:c>
      <x:c r="PW84" s="14" t="n">
        <x:v>5</x:v>
      </x:c>
      <x:c r="PX84" s="14" t="n">
        <x:v>2911</x:v>
      </x:c>
      <x:c r="PY84" s="14" t="n">
        <x:v>264</x:v>
      </x:c>
      <x:c r="PZ84" s="14" t="n">
        <x:v>18</x:v>
      </x:c>
      <x:c r="QA84" s="14" t="n">
        <x:v>4</x:v>
      </x:c>
      <x:c r="QB84" s="14" t="str">
        <x:v>未收錄</x:v>
      </x:c>
      <x:c r="QC84" s="14" t="str">
        <x:v>27765</x:v>
      </x:c>
      <x:c r="QD84" s="14" t="n">
        <x:v>10</x:v>
      </x:c>
      <x:c r="QE84" s="14" t="n">
        <x:v>3345</x:v>
      </x:c>
      <x:c r="QF84" s="14" t="n">
        <x:v>261</x:v>
      </x:c>
      <x:c r="QG84" s="14" t="n">
        <x:v>18</x:v>
      </x:c>
      <x:c r="QH84" s="14" t="n">
        <x:v>1</x:v>
      </x:c>
      <x:c r="QI84" s="14" t="str">
        <x:v>未收錄</x:v>
      </x:c>
      <x:c r="QJ84" s="14" t="str">
        <x:v>27777</x:v>
      </x:c>
      <x:c r="QK84" s="14" t="n">
        <x:v>10</x:v>
      </x:c>
      <x:c r="QL84" s="14" t="n">
        <x:v>3346</x:v>
      </x:c>
      <x:c r="QM84" s="14" t="n">
        <x:v>262</x:v>
      </x:c>
      <x:c r="QN84" s="14" t="n">
        <x:v>18</x:v>
      </x:c>
      <x:c r="QO84" s="14" t="n">
        <x:v>2</x:v>
      </x:c>
      <x:c r="QP84" s="14" t="str">
        <x:v>未收錄</x:v>
      </x:c>
      <x:c r="QQ84" s="14" t="str">
        <x:v>27710</x:v>
      </x:c>
      <x:c r="QR84" s="14" t="n">
        <x:v>5</x:v>
      </x:c>
      <x:c r="QS84" s="14" t="n">
        <x:v>3347</x:v>
      </x:c>
      <x:c r="QT84" s="14" t="n">
        <x:v>263</x:v>
      </x:c>
      <x:c r="QU84" s="14" t="n">
        <x:v>18</x:v>
      </x:c>
      <x:c r="QV84" s="14" t="n">
        <x:v>3</x:v>
      </x:c>
      <x:c r="QW84" s="14" t="str">
        <x:v>未收錄</x:v>
      </x:c>
      <x:c r="QX84" s="14" t="str">
        <x:v>27711</x:v>
      </x:c>
      <x:c r="QY84" s="14" t="n">
        <x:v>5</x:v>
      </x:c>
      <x:c r="QZ84" s="14" t="n">
        <x:v>3348</x:v>
      </x:c>
      <x:c r="RA84" s="14" t="n">
        <x:v>264</x:v>
      </x:c>
      <x:c r="RB84" s="14" t="n">
        <x:v>18</x:v>
      </x:c>
      <x:c r="RC84" s="14" t="n">
        <x:v>4</x:v>
      </x:c>
      <x:c r="RD84" s="14" t="str">
        <x:v>未收錄</x:v>
      </x:c>
      <x:c r="RE84" s="14" t="str">
        <x:v>28568</x:v>
      </x:c>
      <x:c r="RF84" s="14" t="n">
        <x:v>5</x:v>
      </x:c>
      <x:c r="RG84" s="14" t="n">
        <x:v>3806</x:v>
      </x:c>
      <x:c r="RH84" s="14" t="n">
        <x:v>261</x:v>
      </x:c>
      <x:c r="RI84" s="14" t="n">
        <x:v>18</x:v>
      </x:c>
      <x:c r="RJ84" s="14" t="n">
        <x:v>1</x:v>
      </x:c>
      <x:c r="RK84" s="14" t="str">
        <x:v>未收錄</x:v>
      </x:c>
      <x:c r="RL84" s="14" t="str">
        <x:v>28569</x:v>
      </x:c>
      <x:c r="RM84" s="14" t="n">
        <x:v>5</x:v>
      </x:c>
      <x:c r="RN84" s="14" t="n">
        <x:v>3807</x:v>
      </x:c>
      <x:c r="RO84" s="14" t="n">
        <x:v>262</x:v>
      </x:c>
      <x:c r="RP84" s="14" t="n">
        <x:v>18</x:v>
      </x:c>
      <x:c r="RQ84" s="14" t="n">
        <x:v>2</x:v>
      </x:c>
      <x:c r="RR84" s="14" t="str">
        <x:v>未收錄</x:v>
      </x:c>
      <x:c r="RS84" s="14" t="str">
        <x:v>28570</x:v>
      </x:c>
      <x:c r="RT84" s="14" t="n">
        <x:v>5</x:v>
      </x:c>
      <x:c r="RU84" s="14" t="n">
        <x:v>3808</x:v>
      </x:c>
      <x:c r="RV84" s="14" t="n">
        <x:v>263</x:v>
      </x:c>
      <x:c r="RW84" s="14" t="n">
        <x:v>18</x:v>
      </x:c>
      <x:c r="RX84" s="14" t="n">
        <x:v>3</x:v>
      </x:c>
      <x:c r="RY84" s="14" t="str">
        <x:v>未收錄</x:v>
      </x:c>
      <x:c r="RZ84" s="14" t="str">
        <x:v>28571</x:v>
      </x:c>
      <x:c r="SA84" s="14" t="n">
        <x:v>5</x:v>
      </x:c>
      <x:c r="SB84" s="14" t="n">
        <x:v>3809</x:v>
      </x:c>
      <x:c r="SC84" s="14" t="n">
        <x:v>264</x:v>
      </x:c>
      <x:c r="SD84" s="14" t="n">
        <x:v>18</x:v>
      </x:c>
      <x:c r="SE84" s="14" t="n">
        <x:v>4</x:v>
      </x:c>
      <x:c r="SF84" s="14" t="str">
        <x:v>未收錄</x:v>
      </x:c>
      <x:c r="SG84" s="14"/>
      <x:c r="SH84" s="14"/>
      <x:c r="SI84" s="14"/>
      <x:c r="SJ84" s="14"/>
      <x:c r="SK84" s="14"/>
      <x:c r="SL84" s="14"/>
      <x:c r="SM84" s="14"/>
      <x:c r="SN84" s="14"/>
      <x:c r="SO84" s="14"/>
      <x:c r="SP84" s="14"/>
      <x:c r="SQ84" s="14"/>
      <x:c r="SR84" s="14"/>
      <x:c r="SS84" s="14"/>
      <x:c r="ST84" s="14"/>
      <x:c r="SU84" s="14"/>
      <x:c r="SV84" s="14"/>
      <x:c r="SW84" s="14"/>
      <x:c r="SX84" s="14"/>
      <x:c r="SY84" s="14"/>
      <x:c r="SZ84" s="14"/>
      <x:c r="TA84" s="14"/>
      <x:c r="TB84" s="14"/>
      <x:c r="TC84" s="14"/>
      <x:c r="TD84" s="14"/>
      <x:c r="TE84" s="14"/>
      <x:c r="TF84" s="14"/>
      <x:c r="TG84" s="14"/>
      <x:c r="TH84" s="14"/>
    </x:row>
    <x:row r="85" ht="15" customHeight="1">
      <x:c r="A85" s="14"/>
      <x:c r="B85" s="14"/>
      <x:c r="C85" s="14"/>
      <x:c r="D85" s="14"/>
      <x:c r="E85" s="14"/>
      <x:c r="F85" s="14"/>
      <x:c r="G85" s="14"/>
      <x:c r="H85" s="14"/>
      <x:c r="I85" s="14"/>
      <x:c r="J85" s="14"/>
      <x:c r="K85" s="14"/>
      <x:c r="L85" s="14"/>
      <x:c r="M85" s="14"/>
      <x:c r="N85" s="14"/>
      <x:c r="O85" s="14"/>
      <x:c r="P85" s="14"/>
      <x:c r="Q85" s="14"/>
      <x:c r="R85" s="14"/>
      <x:c r="S85" s="14"/>
      <x:c r="T85" s="14"/>
      <x:c r="U85" s="14"/>
      <x:c r="V85" s="14"/>
      <x:c r="W85" s="14"/>
      <x:c r="X85" s="14"/>
      <x:c r="Y85" s="14"/>
      <x:c r="Z85" s="14"/>
      <x:c r="AA85" s="14"/>
      <x:c r="AB85" s="14"/>
      <x:c r="AC85" s="14"/>
      <x:c r="AD85" s="14"/>
      <x:c r="AE85" s="14"/>
      <x:c r="AF85" s="14"/>
      <x:c r="AG85" s="14"/>
      <x:c r="AH85" s="14"/>
      <x:c r="AI85" s="14"/>
      <x:c r="AJ85" s="14"/>
      <x:c r="AK85" s="14"/>
      <x:c r="AL85" s="14"/>
      <x:c r="AM85" s="14"/>
      <x:c r="AN85" s="14"/>
      <x:c r="AO85" s="14"/>
      <x:c r="AP85" s="14"/>
      <x:c r="AQ85" s="14"/>
      <x:c r="AR85" s="14"/>
      <x:c r="AS85" s="14"/>
      <x:c r="AT85" s="14"/>
      <x:c r="AU85" s="14"/>
      <x:c r="AV85" s="14"/>
      <x:c r="AW85" s="14"/>
      <x:c r="AX85" s="14"/>
      <x:c r="AY85" s="17" t="str">
        <x:v>窮極‧禪光帽</x:v>
      </x:c>
      <x:c r="AZ85" s="17" t="str">
        <x:v>窮極‧月讀巾</x:v>
      </x:c>
      <x:c r="BA85" s="17" t="str">
        <x:v>窮極‧混沌冠</x:v>
      </x:c>
      <x:c r="BB85" s="17" t="str">
        <x:v>元宙‧劍聖盔</x:v>
      </x:c>
      <x:c r="BC85" s="14"/>
      <x:c r="BD85" s="17" t="str">
        <x:v>仙鑄‧無相裟</x:v>
      </x:c>
      <x:c r="BE85" s="17" t="str">
        <x:v>神煉‧劍聖冑</x:v>
      </x:c>
      <x:c r="BF85" s="17" t="str">
        <x:v>神煉‧武尊鎧</x:v>
      </x:c>
      <x:c r="BG85" s="17" t="str">
        <x:v>神煉‧術幻裳</x:v>
      </x:c>
      <x:c r="BH85" s="14"/>
      <x:c r="BI85" s="17" t="str">
        <x:v>真宇傲檮杌手</x:v>
      </x:c>
      <x:c r="BJ85" s="17" t="str">
        <x:v>真宇傲素鳴腕</x:v>
      </x:c>
      <x:c r="BK85" s="17" t="str">
        <x:v>星鋒腕★</x:v>
      </x:c>
      <x:c r="BL85" s="17" t="str">
        <x:v>鬥星臂★</x:v>
      </x:c>
      <x:c r="BM85" s="14"/>
      <x:c r="BN85" s="17" t="str">
        <x:v>元宙‧術幻履</x:v>
      </x:c>
      <x:c r="BO85" s="17" t="str">
        <x:v>元宙‧道輝步</x:v>
      </x:c>
      <x:c r="BP85" s="17" t="str">
        <x:v>元宙‧禪光行</x:v>
      </x:c>
      <x:c r="BQ85" s="17" t="str">
        <x:v>元宙‧窮奇靴</x:v>
      </x:c>
      <x:c r="BR85" s="14"/>
      <x:c r="BS85" s="17" t="str">
        <x:v>真仙氣聚納環</x:v>
      </x:c>
      <x:c r="BT85" s="17" t="str">
        <x:v>麗環布里希嘉</x:v>
      </x:c>
      <x:c r="BU85" s="17" t="str">
        <x:v>豐戒德羅普尼</x:v>
      </x:c>
      <x:c r="BV85" s="17" t="str">
        <x:v>創‧六滅化神</x:v>
      </x:c>
      <x:c r="BW85" s="14"/>
      <x:c r="BX85" s="14"/>
      <x:c r="BY85" s="14"/>
      <x:c r="BZ85" s="14"/>
      <x:c r="CA85" s="14"/>
      <x:c r="CB85" s="14"/>
      <x:c r="CC85" s="14"/>
      <x:c r="CD85" s="14"/>
      <x:c r="CE85" s="14"/>
      <x:c r="CF85" s="14"/>
      <x:c r="CG85" s="14"/>
      <x:c r="CH85" s="14"/>
      <x:c r="CI85" s="14"/>
      <x:c r="CJ85" s="14"/>
      <x:c r="CK85" s="14"/>
      <x:c r="CL85" s="14"/>
      <x:c r="CM85" s="14"/>
      <x:c r="CN85" s="14"/>
      <x:c r="CO85" s="14"/>
      <x:c r="CP85" s="14"/>
      <x:c r="CQ85" s="14"/>
      <x:c r="CR85" s="14"/>
      <x:c r="CS85" s="14"/>
      <x:c r="CT85" s="14"/>
      <x:c r="CU85" s="14"/>
      <x:c r="CV85" s="14"/>
      <x:c r="CW85" s="14"/>
      <x:c r="CX85" s="14"/>
      <x:c r="CY85" s="14"/>
      <x:c r="CZ85" s="14"/>
      <x:c r="DA85" s="14"/>
      <x:c r="DB85" s="14"/>
      <x:c r="DC85" s="14"/>
      <x:c r="DD85" s="14"/>
      <x:c r="DE85" s="14"/>
      <x:c r="DF85" s="14"/>
      <x:c r="DG85" s="14"/>
      <x:c r="DH85" s="14"/>
      <x:c r="DI85" s="14"/>
      <x:c r="DJ85" s="14"/>
      <x:c r="DK85" s="14"/>
      <x:c r="DL85" s="14"/>
      <x:c r="DM85" s="14"/>
      <x:c r="DN85" s="14"/>
      <x:c r="DO85" s="14"/>
      <x:c r="DP85" s="14"/>
      <x:c r="DQ85" s="14"/>
      <x:c r="DR85" s="14"/>
      <x:c r="DS85" s="14"/>
      <x:c r="DT85" s="14"/>
      <x:c r="DU85" s="14"/>
      <x:c r="DV85" s="14"/>
      <x:c r="DW85" s="14"/>
      <x:c r="DX85" s="14"/>
      <x:c r="DY85" s="14"/>
      <x:c r="DZ85" s="14"/>
      <x:c r="EA85" s="14"/>
      <x:c r="EB85" s="14"/>
      <x:c r="EC85" s="14"/>
      <x:c r="ED85" s="14"/>
      <x:c r="EE85" s="14"/>
      <x:c r="EF85" s="14"/>
      <x:c r="EG85" s="14"/>
      <x:c r="EH85" s="14"/>
      <x:c r="EI85" s="14"/>
      <x:c r="EJ85" s="14"/>
      <x:c r="EK85" s="14"/>
      <x:c r="EL85" s="14"/>
      <x:c r="EM85" s="14"/>
      <x:c r="EN85" s="14"/>
      <x:c r="EO85" s="14"/>
      <x:c r="EP85" s="14"/>
      <x:c r="EQ85" s="14"/>
      <x:c r="ER85" s="14"/>
      <x:c r="ES85" s="14"/>
      <x:c r="ET85" s="14"/>
      <x:c r="EU85" s="14"/>
      <x:c r="EV85" s="14"/>
      <x:c r="EW85" s="14"/>
      <x:c r="EX85" s="14"/>
      <x:c r="EY85" s="14"/>
      <x:c r="EZ85" s="14"/>
      <x:c r="FA85" s="14"/>
      <x:c r="FB85" s="14"/>
      <x:c r="FC85" s="14"/>
      <x:c r="FD85" s="14"/>
      <x:c r="FE85" s="14"/>
      <x:c r="FF85" s="14"/>
      <x:c r="FG85" s="14"/>
      <x:c r="FH85" s="14"/>
      <x:c r="FI85" s="14"/>
      <x:c r="FJ85" s="14"/>
      <x:c r="FK85" s="14"/>
      <x:c r="FL85" s="14"/>
      <x:c r="FM85" s="14"/>
      <x:c r="FN85" s="14"/>
      <x:c r="FO85" s="14"/>
      <x:c r="FP85" s="14"/>
      <x:c r="FQ85" s="14"/>
      <x:c r="FR85" s="14"/>
      <x:c r="FS85" s="14"/>
      <x:c r="FT85" s="14"/>
      <x:c r="FU85" s="14"/>
      <x:c r="FV85" s="14"/>
      <x:c r="FW85" s="14"/>
      <x:c r="FX85" s="14"/>
      <x:c r="FY85" s="14"/>
      <x:c r="FZ85" s="14"/>
      <x:c r="GA85" s="14"/>
      <x:c r="GB85" s="14"/>
      <x:c r="GC85" s="14"/>
      <x:c r="GD85" s="14"/>
      <x:c r="GE85" s="14"/>
      <x:c r="GF85" s="14"/>
      <x:c r="GG85" s="14"/>
      <x:c r="GH85" s="14"/>
      <x:c r="GI85" s="14"/>
      <x:c r="GJ85" s="14"/>
      <x:c r="GK85" s="14"/>
      <x:c r="GL85" s="14"/>
      <x:c r="GM85" s="14"/>
      <x:c r="GN85" s="14"/>
      <x:c r="GO85" s="14"/>
      <x:c r="GP85" s="14"/>
      <x:c r="GQ85" s="14"/>
      <x:c r="GR85" s="14"/>
      <x:c r="GS85" s="14"/>
      <x:c r="GT85" s="14"/>
      <x:c r="GU85" s="14"/>
      <x:c r="GV85" s="14"/>
      <x:c r="GW85" s="14"/>
      <x:c r="GX85" s="14"/>
      <x:c r="GY85" s="14"/>
      <x:c r="GZ85" s="14"/>
      <x:c r="HA85" s="14"/>
      <x:c r="HB85" s="14"/>
      <x:c r="HC85" s="14"/>
      <x:c r="HD85" s="14"/>
      <x:c r="HE85" s="14"/>
      <x:c r="HF85" s="14"/>
      <x:c r="HG85" s="14"/>
      <x:c r="HH85" s="14"/>
      <x:c r="HI85" s="14"/>
      <x:c r="HJ85" s="14"/>
      <x:c r="HK85" s="14"/>
      <x:c r="HL85" s="14"/>
      <x:c r="HM85" s="14"/>
      <x:c r="HN85" s="14"/>
      <x:c r="HO85" s="14"/>
      <x:c r="HP85" s="14"/>
      <x:c r="HQ85" s="14"/>
      <x:c r="HR85" s="14"/>
      <x:c r="HS85" s="14"/>
      <x:c r="HT85" s="14"/>
      <x:c r="HU85" s="14"/>
      <x:c r="HV85" s="14"/>
      <x:c r="HW85" s="14"/>
      <x:c r="HX85" s="14"/>
      <x:c r="HY85" s="14"/>
      <x:c r="HZ85" s="14"/>
      <x:c r="IA85" s="14"/>
      <x:c r="IB85" s="14"/>
      <x:c r="IC85" s="14"/>
      <x:c r="ID85" s="14"/>
      <x:c r="IE85" s="14"/>
      <x:c r="IF85" s="14"/>
      <x:c r="IG85" s="14"/>
      <x:c r="IH85" s="14"/>
      <x:c r="II85" s="14"/>
      <x:c r="IJ85" s="14"/>
      <x:c r="IK85" s="14"/>
      <x:c r="IL85" s="14"/>
      <x:c r="IM85" s="14"/>
      <x:c r="IN85" s="14"/>
      <x:c r="IO85" s="14"/>
      <x:c r="IP85" s="14"/>
      <x:c r="IQ85" s="14"/>
      <x:c r="IR85" s="14"/>
      <x:c r="IS85" s="14"/>
      <x:c r="IT85" s="14"/>
      <x:c r="IU85" s="14"/>
      <x:c r="IV85" s="14"/>
      <x:c r="IW85" s="14"/>
      <x:c r="IX85" s="14"/>
      <x:c r="IY85" s="14"/>
      <x:c r="IZ85" s="14"/>
      <x:c r="JA85" s="14"/>
      <x:c r="JB85" s="14"/>
      <x:c r="JC85" s="14"/>
      <x:c r="JD85" s="14"/>
      <x:c r="JE85" s="14"/>
      <x:c r="JF85" s="14"/>
      <x:c r="JG85" s="14"/>
      <x:c r="JH85" s="14"/>
      <x:c r="JI85" s="14"/>
      <x:c r="JJ85" s="14"/>
      <x:c r="JK85" s="14"/>
      <x:c r="JL85" s="14"/>
      <x:c r="JM85" s="14"/>
      <x:c r="JN85" s="14"/>
      <x:c r="JO85" s="14"/>
      <x:c r="JP85" s="14"/>
      <x:c r="JQ85" s="14"/>
      <x:c r="JR85" s="14"/>
      <x:c r="JS85" s="14"/>
      <x:c r="JT85" s="14"/>
      <x:c r="JU85" s="14"/>
      <x:c r="JV85" s="14"/>
      <x:c r="JW85" s="14"/>
      <x:c r="JX85" s="14"/>
      <x:c r="JY85" s="14"/>
      <x:c r="JZ85" s="14"/>
      <x:c r="KA85" s="14"/>
      <x:c r="KB85" s="14"/>
      <x:c r="KC85" s="14"/>
      <x:c r="KD85" s="14"/>
      <x:c r="KE85" s="14"/>
      <x:c r="KF85" s="14"/>
      <x:c r="KG85" s="14"/>
      <x:c r="KH85" s="14"/>
      <x:c r="KI85" s="14"/>
      <x:c r="KJ85" s="14"/>
      <x:c r="KK85" s="14"/>
      <x:c r="KL85" s="14"/>
      <x:c r="KM85" s="14"/>
      <x:c r="KN85" s="14"/>
      <x:c r="KO85" s="14"/>
      <x:c r="KP85" s="14"/>
      <x:c r="KQ85" s="14"/>
      <x:c r="KR85" s="14"/>
      <x:c r="KS85" s="14"/>
      <x:c r="KT85" s="14"/>
      <x:c r="KU85" s="14"/>
      <x:c r="KV85" s="14"/>
      <x:c r="KW85" s="14"/>
      <x:c r="KX85" s="14"/>
      <x:c r="KY85" s="14"/>
      <x:c r="KZ85" s="14"/>
      <x:c r="LA85" s="14"/>
      <x:c r="LB85" s="14"/>
      <x:c r="LC85" s="14"/>
      <x:c r="LD85" s="14"/>
      <x:c r="LE85" s="14"/>
      <x:c r="LF85" s="14"/>
      <x:c r="LG85" s="14"/>
      <x:c r="LH85" s="14"/>
      <x:c r="LI85" s="14"/>
      <x:c r="LJ85" s="14"/>
      <x:c r="LK85" s="14"/>
      <x:c r="LL85" s="14"/>
      <x:c r="LM85" s="14"/>
      <x:c r="LN85" s="14"/>
      <x:c r="LO85" s="14"/>
      <x:c r="LP85" s="14"/>
      <x:c r="LQ85" s="14"/>
      <x:c r="LR85" s="14"/>
      <x:c r="LS85" s="14"/>
      <x:c r="LT85" s="14"/>
      <x:c r="LU85" s="14"/>
      <x:c r="LV85" s="14"/>
      <x:c r="LW85" s="14"/>
      <x:c r="LX85" s="14"/>
      <x:c r="LY85" s="14"/>
      <x:c r="LZ85" s="14"/>
      <x:c r="MA85" s="14"/>
      <x:c r="MB85" s="14"/>
      <x:c r="MC85" s="14"/>
      <x:c r="MD85" s="14"/>
      <x:c r="ME85" s="14"/>
      <x:c r="MF85" s="14"/>
      <x:c r="MG85" s="14"/>
      <x:c r="MH85" s="14"/>
      <x:c r="MI85" s="14"/>
      <x:c r="MJ85" s="14"/>
      <x:c r="MK85" s="14"/>
      <x:c r="ML85" s="14"/>
      <x:c r="MM85" s="14"/>
      <x:c r="MN85" s="14"/>
      <x:c r="MO85" s="14"/>
      <x:c r="MP85" s="14"/>
      <x:c r="MQ85" s="14"/>
      <x:c r="MR85" s="14"/>
      <x:c r="MS85" s="14"/>
      <x:c r="MT85" s="14"/>
      <x:c r="MU85" s="14"/>
      <x:c r="MV85" s="14"/>
      <x:c r="MW85" s="14" t="str">
        <x:v>27649</x:v>
      </x:c>
      <x:c r="MX85" s="14" t="n">
        <x:v>5</x:v>
      </x:c>
      <x:c r="MY85" s="14" t="n">
        <x:v>1913</x:v>
      </x:c>
      <x:c r="MZ85" s="14" t="n">
        <x:v>265</x:v>
      </x:c>
      <x:c r="NA85" s="14" t="n">
        <x:v>19</x:v>
      </x:c>
      <x:c r="NB85" s="14" t="n">
        <x:v>1</x:v>
      </x:c>
      <x:c r="NC85" s="14" t="str">
        <x:v>未收錄</x:v>
      </x:c>
      <x:c r="ND85" s="14" t="str">
        <x:v>27757</x:v>
      </x:c>
      <x:c r="NE85" s="14" t="n">
        <x:v>10</x:v>
      </x:c>
      <x:c r="NF85" s="14" t="n">
        <x:v>1914</x:v>
      </x:c>
      <x:c r="NG85" s="14" t="n">
        <x:v>266</x:v>
      </x:c>
      <x:c r="NH85" s="14" t="n">
        <x:v>19</x:v>
      </x:c>
      <x:c r="NI85" s="14" t="n">
        <x:v>2</x:v>
      </x:c>
      <x:c r="NJ85" s="14" t="str">
        <x:v>未收錄</x:v>
      </x:c>
      <x:c r="NK85" s="14" t="str">
        <x:v>27737</x:v>
      </x:c>
      <x:c r="NL85" s="14" t="n">
        <x:v>10</x:v>
      </x:c>
      <x:c r="NM85" s="14" t="n">
        <x:v>1915</x:v>
      </x:c>
      <x:c r="NN85" s="14" t="n">
        <x:v>267</x:v>
      </x:c>
      <x:c r="NO85" s="14" t="n">
        <x:v>19</x:v>
      </x:c>
      <x:c r="NP85" s="14" t="n">
        <x:v>3</x:v>
      </x:c>
      <x:c r="NQ85" s="14" t="str">
        <x:v>未收錄</x:v>
      </x:c>
      <x:c r="NR85" s="14" t="str">
        <x:v>27650</x:v>
      </x:c>
      <x:c r="NS85" s="14" t="n">
        <x:v>5</x:v>
      </x:c>
      <x:c r="NT85" s="14" t="n">
        <x:v>1916</x:v>
      </x:c>
      <x:c r="NU85" s="14" t="n">
        <x:v>268</x:v>
      </x:c>
      <x:c r="NV85" s="14" t="n">
        <x:v>19</x:v>
      </x:c>
      <x:c r="NW85" s="14" t="n">
        <x:v>4</x:v>
      </x:c>
      <x:c r="NX85" s="14" t="str">
        <x:v>未收錄</x:v>
      </x:c>
      <x:c r="NY85" s="14" t="str">
        <x:v>27416</x:v>
      </x:c>
      <x:c r="NZ85" s="14" t="n">
        <x:v>10</x:v>
      </x:c>
      <x:c r="OA85" s="14" t="n">
        <x:v>2366</x:v>
      </x:c>
      <x:c r="OB85" s="14" t="n">
        <x:v>265</x:v>
      </x:c>
      <x:c r="OC85" s="14" t="n">
        <x:v>19</x:v>
      </x:c>
      <x:c r="OD85" s="14" t="n">
        <x:v>1</x:v>
      </x:c>
      <x:c r="OE85" s="14" t="str">
        <x:v>未收錄</x:v>
      </x:c>
      <x:c r="OF85" s="14" t="str">
        <x:v>27104</x:v>
      </x:c>
      <x:c r="OG85" s="14" t="n">
        <x:v>5</x:v>
      </x:c>
      <x:c r="OH85" s="14" t="n">
        <x:v>2367</x:v>
      </x:c>
      <x:c r="OI85" s="14" t="n">
        <x:v>266</x:v>
      </x:c>
      <x:c r="OJ85" s="14" t="n">
        <x:v>19</x:v>
      </x:c>
      <x:c r="OK85" s="14" t="n">
        <x:v>2</x:v>
      </x:c>
      <x:c r="OL85" s="14" t="str">
        <x:v>未收錄</x:v>
      </x:c>
      <x:c r="OM85" s="14" t="str">
        <x:v>27105</x:v>
      </x:c>
      <x:c r="ON85" s="14" t="n">
        <x:v>5</x:v>
      </x:c>
      <x:c r="OO85" s="14" t="n">
        <x:v>2368</x:v>
      </x:c>
      <x:c r="OP85" s="14" t="n">
        <x:v>267</x:v>
      </x:c>
      <x:c r="OQ85" s="14" t="n">
        <x:v>19</x:v>
      </x:c>
      <x:c r="OR85" s="14" t="n">
        <x:v>3</x:v>
      </x:c>
      <x:c r="OS85" s="14" t="str">
        <x:v>未收錄</x:v>
      </x:c>
      <x:c r="OT85" s="14" t="str">
        <x:v>27106</x:v>
      </x:c>
      <x:c r="OU85" s="14" t="n">
        <x:v>5</x:v>
      </x:c>
      <x:c r="OV85" s="14" t="n">
        <x:v>2369</x:v>
      </x:c>
      <x:c r="OW85" s="14" t="n">
        <x:v>268</x:v>
      </x:c>
      <x:c r="OX85" s="14" t="n">
        <x:v>19</x:v>
      </x:c>
      <x:c r="OY85" s="14" t="n">
        <x:v>4</x:v>
      </x:c>
      <x:c r="OZ85" s="14" t="str">
        <x:v>未收錄</x:v>
      </x:c>
      <x:c r="PA85" s="14" t="str">
        <x:v>27747</x:v>
      </x:c>
      <x:c r="PB85" s="14" t="n">
        <x:v>10</x:v>
      </x:c>
      <x:c r="PC85" s="14" t="n">
        <x:v>2912</x:v>
      </x:c>
      <x:c r="PD85" s="14" t="n">
        <x:v>265</x:v>
      </x:c>
      <x:c r="PE85" s="14" t="n">
        <x:v>19</x:v>
      </x:c>
      <x:c r="PF85" s="14" t="n">
        <x:v>1</x:v>
      </x:c>
      <x:c r="PG85" s="14" t="str">
        <x:v>未收錄</x:v>
      </x:c>
      <x:c r="PH85" s="14" t="str">
        <x:v>27763</x:v>
      </x:c>
      <x:c r="PI85" s="14" t="n">
        <x:v>10</x:v>
      </x:c>
      <x:c r="PJ85" s="14" t="n">
        <x:v>2913</x:v>
      </x:c>
      <x:c r="PK85" s="14" t="n">
        <x:v>266</x:v>
      </x:c>
      <x:c r="PL85" s="14" t="n">
        <x:v>19</x:v>
      </x:c>
      <x:c r="PM85" s="14" t="n">
        <x:v>2</x:v>
      </x:c>
      <x:c r="PN85" s="14" t="str">
        <x:v>未收錄</x:v>
      </x:c>
      <x:c r="PO85" s="14" t="str">
        <x:v>28409</x:v>
      </x:c>
      <x:c r="PP85" s="14" t="n">
        <x:v>5</x:v>
      </x:c>
      <x:c r="PQ85" s="14" t="n">
        <x:v>2914</x:v>
      </x:c>
      <x:c r="PR85" s="14" t="n">
        <x:v>267</x:v>
      </x:c>
      <x:c r="PS85" s="14" t="n">
        <x:v>19</x:v>
      </x:c>
      <x:c r="PT85" s="14" t="n">
        <x:v>3</x:v>
      </x:c>
      <x:c r="PU85" s="14" t="str">
        <x:v>未收錄</x:v>
      </x:c>
      <x:c r="PV85" s="14" t="str">
        <x:v>28412</x:v>
      </x:c>
      <x:c r="PW85" s="14" t="n">
        <x:v>5</x:v>
      </x:c>
      <x:c r="PX85" s="14" t="n">
        <x:v>2915</x:v>
      </x:c>
      <x:c r="PY85" s="14" t="n">
        <x:v>268</x:v>
      </x:c>
      <x:c r="PZ85" s="14" t="n">
        <x:v>19</x:v>
      </x:c>
      <x:c r="QA85" s="14" t="n">
        <x:v>4</x:v>
      </x:c>
      <x:c r="QB85" s="14" t="str">
        <x:v>未收錄</x:v>
      </x:c>
      <x:c r="QC85" s="14" t="str">
        <x:v>27712</x:v>
      </x:c>
      <x:c r="QD85" s="14" t="n">
        <x:v>5</x:v>
      </x:c>
      <x:c r="QE85" s="14" t="n">
        <x:v>3349</x:v>
      </x:c>
      <x:c r="QF85" s="14" t="n">
        <x:v>265</x:v>
      </x:c>
      <x:c r="QG85" s="14" t="n">
        <x:v>19</x:v>
      </x:c>
      <x:c r="QH85" s="14" t="n">
        <x:v>1</x:v>
      </x:c>
      <x:c r="QI85" s="14" t="str">
        <x:v>未收錄</x:v>
      </x:c>
      <x:c r="QJ85" s="14" t="str">
        <x:v>27713</x:v>
      </x:c>
      <x:c r="QK85" s="14" t="n">
        <x:v>5</x:v>
      </x:c>
      <x:c r="QL85" s="14" t="n">
        <x:v>3350</x:v>
      </x:c>
      <x:c r="QM85" s="14" t="n">
        <x:v>266</x:v>
      </x:c>
      <x:c r="QN85" s="14" t="n">
        <x:v>19</x:v>
      </x:c>
      <x:c r="QO85" s="14" t="n">
        <x:v>2</x:v>
      </x:c>
      <x:c r="QP85" s="14" t="str">
        <x:v>未收錄</x:v>
      </x:c>
      <x:c r="QQ85" s="14" t="str">
        <x:v>27714</x:v>
      </x:c>
      <x:c r="QR85" s="14" t="n">
        <x:v>5</x:v>
      </x:c>
      <x:c r="QS85" s="14" t="n">
        <x:v>3351</x:v>
      </x:c>
      <x:c r="QT85" s="14" t="n">
        <x:v>267</x:v>
      </x:c>
      <x:c r="QU85" s="14" t="n">
        <x:v>19</x:v>
      </x:c>
      <x:c r="QV85" s="14" t="n">
        <x:v>3</x:v>
      </x:c>
      <x:c r="QW85" s="14" t="str">
        <x:v>未收錄</x:v>
      </x:c>
      <x:c r="QX85" s="14" t="str">
        <x:v>27750</x:v>
      </x:c>
      <x:c r="QY85" s="14" t="n">
        <x:v>10</x:v>
      </x:c>
      <x:c r="QZ85" s="14" t="n">
        <x:v>3352</x:v>
      </x:c>
      <x:c r="RA85" s="14" t="n">
        <x:v>268</x:v>
      </x:c>
      <x:c r="RB85" s="14" t="n">
        <x:v>19</x:v>
      </x:c>
      <x:c r="RC85" s="14" t="n">
        <x:v>4</x:v>
      </x:c>
      <x:c r="RD85" s="14" t="str">
        <x:v>未收錄</x:v>
      </x:c>
      <x:c r="RE85" s="14" t="str">
        <x:v>28572</x:v>
      </x:c>
      <x:c r="RF85" s="14" t="n">
        <x:v>5</x:v>
      </x:c>
      <x:c r="RG85" s="14" t="n">
        <x:v>3810</x:v>
      </x:c>
      <x:c r="RH85" s="14" t="n">
        <x:v>265</x:v>
      </x:c>
      <x:c r="RI85" s="14" t="n">
        <x:v>19</x:v>
      </x:c>
      <x:c r="RJ85" s="14" t="n">
        <x:v>1</x:v>
      </x:c>
      <x:c r="RK85" s="14" t="str">
        <x:v>未收錄</x:v>
      </x:c>
      <x:c r="RL85" s="14" t="str">
        <x:v>28499</x:v>
      </x:c>
      <x:c r="RM85" s="14" t="n">
        <x:v>10</x:v>
      </x:c>
      <x:c r="RN85" s="14" t="n">
        <x:v>3811</x:v>
      </x:c>
      <x:c r="RO85" s="14" t="n">
        <x:v>266</x:v>
      </x:c>
      <x:c r="RP85" s="14" t="n">
        <x:v>19</x:v>
      </x:c>
      <x:c r="RQ85" s="14" t="n">
        <x:v>2</x:v>
      </x:c>
      <x:c r="RR85" s="14" t="str">
        <x:v>未收錄</x:v>
      </x:c>
      <x:c r="RS85" s="14" t="str">
        <x:v>28500</x:v>
      </x:c>
      <x:c r="RT85" s="14" t="n">
        <x:v>10</x:v>
      </x:c>
      <x:c r="RU85" s="14" t="n">
        <x:v>3812</x:v>
      </x:c>
      <x:c r="RV85" s="14" t="n">
        <x:v>267</x:v>
      </x:c>
      <x:c r="RW85" s="14" t="n">
        <x:v>19</x:v>
      </x:c>
      <x:c r="RX85" s="14" t="n">
        <x:v>3</x:v>
      </x:c>
      <x:c r="RY85" s="14" t="str">
        <x:v>未收錄</x:v>
      </x:c>
      <x:c r="RZ85" s="14" t="str">
        <x:v>28523</x:v>
      </x:c>
      <x:c r="SA85" s="14" t="n">
        <x:v>10</x:v>
      </x:c>
      <x:c r="SB85" s="14" t="n">
        <x:v>3813</x:v>
      </x:c>
      <x:c r="SC85" s="14" t="n">
        <x:v>268</x:v>
      </x:c>
      <x:c r="SD85" s="14" t="n">
        <x:v>19</x:v>
      </x:c>
      <x:c r="SE85" s="14" t="n">
        <x:v>4</x:v>
      </x:c>
      <x:c r="SF85" s="14" t="str">
        <x:v>未收錄</x:v>
      </x:c>
      <x:c r="SG85" s="14"/>
      <x:c r="SH85" s="14"/>
      <x:c r="SI85" s="14"/>
      <x:c r="SJ85" s="14"/>
      <x:c r="SK85" s="14"/>
      <x:c r="SL85" s="14"/>
      <x:c r="SM85" s="14"/>
      <x:c r="SN85" s="14"/>
      <x:c r="SO85" s="14"/>
      <x:c r="SP85" s="14"/>
      <x:c r="SQ85" s="14"/>
      <x:c r="SR85" s="14"/>
      <x:c r="SS85" s="14"/>
      <x:c r="ST85" s="14"/>
      <x:c r="SU85" s="14"/>
      <x:c r="SV85" s="14"/>
      <x:c r="SW85" s="14"/>
      <x:c r="SX85" s="14"/>
      <x:c r="SY85" s="14"/>
      <x:c r="SZ85" s="14"/>
      <x:c r="TA85" s="14"/>
      <x:c r="TB85" s="14"/>
      <x:c r="TC85" s="14"/>
      <x:c r="TD85" s="14"/>
      <x:c r="TE85" s="14"/>
      <x:c r="TF85" s="14"/>
      <x:c r="TG85" s="14"/>
      <x:c r="TH85" s="14"/>
    </x:row>
    <x:row r="86" ht="15" customHeight="1">
      <x:c r="A86" s="14"/>
      <x:c r="B86" s="14"/>
      <x:c r="C86" s="14"/>
      <x:c r="D86" s="14"/>
      <x:c r="E86" s="14"/>
      <x:c r="F86" s="14"/>
      <x:c r="G86" s="14"/>
      <x:c r="H86" s="14"/>
      <x:c r="I86" s="14"/>
      <x:c r="J86" s="14"/>
      <x:c r="K86" s="14"/>
      <x:c r="L86" s="14"/>
      <x:c r="M86" s="14"/>
      <x:c r="N86" s="14"/>
      <x:c r="O86" s="14"/>
      <x:c r="P86" s="14"/>
      <x:c r="Q86" s="14"/>
      <x:c r="R86" s="14"/>
      <x:c r="S86" s="14"/>
      <x:c r="T86" s="14"/>
      <x:c r="U86" s="14"/>
      <x:c r="V86" s="14"/>
      <x:c r="W86" s="14"/>
      <x:c r="X86" s="14"/>
      <x:c r="Y86" s="14"/>
      <x:c r="Z86" s="14"/>
      <x:c r="AA86" s="14"/>
      <x:c r="AB86" s="14"/>
      <x:c r="AC86" s="14"/>
      <x:c r="AD86" s="14"/>
      <x:c r="AE86" s="14"/>
      <x:c r="AF86" s="14"/>
      <x:c r="AG86" s="14"/>
      <x:c r="AH86" s="14"/>
      <x:c r="AI86" s="14"/>
      <x:c r="AJ86" s="14"/>
      <x:c r="AK86" s="14"/>
      <x:c r="AL86" s="14"/>
      <x:c r="AM86" s="14"/>
      <x:c r="AN86" s="14"/>
      <x:c r="AO86" s="14"/>
      <x:c r="AP86" s="14"/>
      <x:c r="AQ86" s="14"/>
      <x:c r="AR86" s="14"/>
      <x:c r="AS86" s="14"/>
      <x:c r="AT86" s="14"/>
      <x:c r="AU86" s="14"/>
      <x:c r="AV86" s="14"/>
      <x:c r="AW86" s="14"/>
      <x:c r="AX86" s="14"/>
      <x:c r="AY86" s="18" t="str">
        <x:v>元宙‧武尊盔</x:v>
      </x:c>
      <x:c r="AZ86" s="18" t="str">
        <x:v>元宙‧術幻紗</x:v>
      </x:c>
      <x:c r="BA86" s="18" t="str">
        <x:v>元宙‧道輝冠</x:v>
      </x:c>
      <x:c r="BB86" s="18" t="str">
        <x:v>元宙‧禪光帽</x:v>
      </x:c>
      <x:c r="BC86" s="14"/>
      <x:c r="BD86" s="18" t="str">
        <x:v>神煉‧道輝服</x:v>
      </x:c>
      <x:c r="BE86" s="18" t="str">
        <x:v>神煉‧禪光衣</x:v>
      </x:c>
      <x:c r="BF86" s="18" t="str">
        <x:v>神煉‧饕餮鎧</x:v>
      </x:c>
      <x:c r="BG86" s="18" t="str">
        <x:v>神煉‧天狗衣</x:v>
      </x:c>
      <x:c r="BH86" s="14"/>
      <x:c r="BI86" s="18" t="str">
        <x:v>遊星掌★</x:v>
      </x:c>
      <x:c r="BJ86" s="18" t="str">
        <x:v>星蹤手★</x:v>
      </x:c>
      <x:c r="BK86" s="18" t="str">
        <x:v>釋星拱★</x:v>
      </x:c>
      <x:c r="BL86" s="18" t="str">
        <x:v>星兇手★</x:v>
      </x:c>
      <x:c r="BM86" s="14"/>
      <x:c r="BN86" s="18" t="str">
        <x:v>元宙‧韋駝足</x:v>
      </x:c>
      <x:c r="BO86" s="18" t="str">
        <x:v>元宙‧流星靴</x:v>
      </x:c>
      <x:c r="BP86" s="18" t="str">
        <x:v>真宇傲劍聖靴</x:v>
      </x:c>
      <x:c r="BQ86" s="18" t="str">
        <x:v>真宇傲武尊踏</x:v>
      </x:c>
      <x:c r="BR86" s="14"/>
      <x:c r="BS86" s="18" t="str">
        <x:v>創‧七宗神愆</x:v>
      </x:c>
      <x:c r="BT86" s="18" t="str">
        <x:v>火煌珠☆</x:v>
      </x:c>
      <x:c r="BU86" s="18" t="str">
        <x:v>火煌珠☆☆</x:v>
      </x:c>
      <x:c r="BV86" s="18" t="str">
        <x:v>火煌珠☆☆☆</x:v>
      </x:c>
      <x:c r="BW86" s="14"/>
      <x:c r="BX86" s="14"/>
      <x:c r="BY86" s="14"/>
      <x:c r="BZ86" s="14"/>
      <x:c r="CA86" s="14"/>
      <x:c r="CB86" s="14"/>
      <x:c r="CC86" s="14"/>
      <x:c r="CD86" s="14"/>
      <x:c r="CE86" s="14"/>
      <x:c r="CF86" s="14"/>
      <x:c r="CG86" s="14"/>
      <x:c r="CH86" s="14"/>
      <x:c r="CI86" s="14"/>
      <x:c r="CJ86" s="14"/>
      <x:c r="CK86" s="14"/>
      <x:c r="CL86" s="14"/>
      <x:c r="CM86" s="14"/>
      <x:c r="CN86" s="14"/>
      <x:c r="CO86" s="14"/>
      <x:c r="CP86" s="14"/>
      <x:c r="CQ86" s="14"/>
      <x:c r="CR86" s="14"/>
      <x:c r="CS86" s="14"/>
      <x:c r="CT86" s="14"/>
      <x:c r="CU86" s="14"/>
      <x:c r="CV86" s="14"/>
      <x:c r="CW86" s="14"/>
      <x:c r="CX86" s="14"/>
      <x:c r="CY86" s="14"/>
      <x:c r="CZ86" s="14"/>
      <x:c r="DA86" s="14"/>
      <x:c r="DB86" s="14"/>
      <x:c r="DC86" s="14"/>
      <x:c r="DD86" s="14"/>
      <x:c r="DE86" s="14"/>
      <x:c r="DF86" s="14"/>
      <x:c r="DG86" s="14"/>
      <x:c r="DH86" s="14"/>
      <x:c r="DI86" s="14"/>
      <x:c r="DJ86" s="14"/>
      <x:c r="DK86" s="14"/>
      <x:c r="DL86" s="14"/>
      <x:c r="DM86" s="14"/>
      <x:c r="DN86" s="14"/>
      <x:c r="DO86" s="14"/>
      <x:c r="DP86" s="14"/>
      <x:c r="DQ86" s="14"/>
      <x:c r="DR86" s="14"/>
      <x:c r="DS86" s="14"/>
      <x:c r="DT86" s="14"/>
      <x:c r="DU86" s="14"/>
      <x:c r="DV86" s="14"/>
      <x:c r="DW86" s="14"/>
      <x:c r="DX86" s="14"/>
      <x:c r="DY86" s="14"/>
      <x:c r="DZ86" s="14"/>
      <x:c r="EA86" s="14"/>
      <x:c r="EB86" s="14"/>
      <x:c r="EC86" s="14"/>
      <x:c r="ED86" s="14"/>
      <x:c r="EE86" s="14"/>
      <x:c r="EF86" s="14"/>
      <x:c r="EG86" s="14"/>
      <x:c r="EH86" s="14"/>
      <x:c r="EI86" s="14"/>
      <x:c r="EJ86" s="14"/>
      <x:c r="EK86" s="14"/>
      <x:c r="EL86" s="14"/>
      <x:c r="EM86" s="14"/>
      <x:c r="EN86" s="14"/>
      <x:c r="EO86" s="14"/>
      <x:c r="EP86" s="14"/>
      <x:c r="EQ86" s="14"/>
      <x:c r="ER86" s="14"/>
      <x:c r="ES86" s="14"/>
      <x:c r="ET86" s="14"/>
      <x:c r="EU86" s="14"/>
      <x:c r="EV86" s="14"/>
      <x:c r="EW86" s="14"/>
      <x:c r="EX86" s="14"/>
      <x:c r="EY86" s="14"/>
      <x:c r="EZ86" s="14"/>
      <x:c r="FA86" s="14"/>
      <x:c r="FB86" s="14"/>
      <x:c r="FC86" s="14"/>
      <x:c r="FD86" s="14"/>
      <x:c r="FE86" s="14"/>
      <x:c r="FF86" s="14"/>
      <x:c r="FG86" s="14"/>
      <x:c r="FH86" s="14"/>
      <x:c r="FI86" s="14"/>
      <x:c r="FJ86" s="14"/>
      <x:c r="FK86" s="14"/>
      <x:c r="FL86" s="14"/>
      <x:c r="FM86" s="14"/>
      <x:c r="FN86" s="14"/>
      <x:c r="FO86" s="14"/>
      <x:c r="FP86" s="14"/>
      <x:c r="FQ86" s="14"/>
      <x:c r="FR86" s="14"/>
      <x:c r="FS86" s="14"/>
      <x:c r="FT86" s="14"/>
      <x:c r="FU86" s="14"/>
      <x:c r="FV86" s="14"/>
      <x:c r="FW86" s="14"/>
      <x:c r="FX86" s="14"/>
      <x:c r="FY86" s="14"/>
      <x:c r="FZ86" s="14"/>
      <x:c r="GA86" s="14"/>
      <x:c r="GB86" s="14"/>
      <x:c r="GC86" s="14"/>
      <x:c r="GD86" s="14"/>
      <x:c r="GE86" s="14"/>
      <x:c r="GF86" s="14"/>
      <x:c r="GG86" s="14"/>
      <x:c r="GH86" s="14"/>
      <x:c r="GI86" s="14"/>
      <x:c r="GJ86" s="14"/>
      <x:c r="GK86" s="14"/>
      <x:c r="GL86" s="14"/>
      <x:c r="GM86" s="14"/>
      <x:c r="GN86" s="14"/>
      <x:c r="GO86" s="14"/>
      <x:c r="GP86" s="14"/>
      <x:c r="GQ86" s="14"/>
      <x:c r="GR86" s="14"/>
      <x:c r="GS86" s="14"/>
      <x:c r="GT86" s="14"/>
      <x:c r="GU86" s="14"/>
      <x:c r="GV86" s="14"/>
      <x:c r="GW86" s="14"/>
      <x:c r="GX86" s="14"/>
      <x:c r="GY86" s="14"/>
      <x:c r="GZ86" s="14"/>
      <x:c r="HA86" s="14"/>
      <x:c r="HB86" s="14"/>
      <x:c r="HC86" s="14"/>
      <x:c r="HD86" s="14"/>
      <x:c r="HE86" s="14"/>
      <x:c r="HF86" s="14"/>
      <x:c r="HG86" s="14"/>
      <x:c r="HH86" s="14"/>
      <x:c r="HI86" s="14"/>
      <x:c r="HJ86" s="14"/>
      <x:c r="HK86" s="14"/>
      <x:c r="HL86" s="14"/>
      <x:c r="HM86" s="14"/>
      <x:c r="HN86" s="14"/>
      <x:c r="HO86" s="14"/>
      <x:c r="HP86" s="14"/>
      <x:c r="HQ86" s="14"/>
      <x:c r="HR86" s="14"/>
      <x:c r="HS86" s="14"/>
      <x:c r="HT86" s="14"/>
      <x:c r="HU86" s="14"/>
      <x:c r="HV86" s="14"/>
      <x:c r="HW86" s="14"/>
      <x:c r="HX86" s="14"/>
      <x:c r="HY86" s="14"/>
      <x:c r="HZ86" s="14"/>
      <x:c r="IA86" s="14"/>
      <x:c r="IB86" s="14"/>
      <x:c r="IC86" s="14"/>
      <x:c r="ID86" s="14"/>
      <x:c r="IE86" s="14"/>
      <x:c r="IF86" s="14"/>
      <x:c r="IG86" s="14"/>
      <x:c r="IH86" s="14"/>
      <x:c r="II86" s="14"/>
      <x:c r="IJ86" s="14"/>
      <x:c r="IK86" s="14"/>
      <x:c r="IL86" s="14"/>
      <x:c r="IM86" s="14"/>
      <x:c r="IN86" s="14"/>
      <x:c r="IO86" s="14"/>
      <x:c r="IP86" s="14"/>
      <x:c r="IQ86" s="14"/>
      <x:c r="IR86" s="14"/>
      <x:c r="IS86" s="14"/>
      <x:c r="IT86" s="14"/>
      <x:c r="IU86" s="14"/>
      <x:c r="IV86" s="14"/>
      <x:c r="IW86" s="14"/>
      <x:c r="IX86" s="14"/>
      <x:c r="IY86" s="14"/>
      <x:c r="IZ86" s="14"/>
      <x:c r="JA86" s="14"/>
      <x:c r="JB86" s="14"/>
      <x:c r="JC86" s="14"/>
      <x:c r="JD86" s="14"/>
      <x:c r="JE86" s="14"/>
      <x:c r="JF86" s="14"/>
      <x:c r="JG86" s="14"/>
      <x:c r="JH86" s="14"/>
      <x:c r="JI86" s="14"/>
      <x:c r="JJ86" s="14"/>
      <x:c r="JK86" s="14"/>
      <x:c r="JL86" s="14"/>
      <x:c r="JM86" s="14"/>
      <x:c r="JN86" s="14"/>
      <x:c r="JO86" s="14"/>
      <x:c r="JP86" s="14"/>
      <x:c r="JQ86" s="14"/>
      <x:c r="JR86" s="14"/>
      <x:c r="JS86" s="14"/>
      <x:c r="JT86" s="14"/>
      <x:c r="JU86" s="14"/>
      <x:c r="JV86" s="14"/>
      <x:c r="JW86" s="14"/>
      <x:c r="JX86" s="14"/>
      <x:c r="JY86" s="14"/>
      <x:c r="JZ86" s="14"/>
      <x:c r="KA86" s="14"/>
      <x:c r="KB86" s="14"/>
      <x:c r="KC86" s="14"/>
      <x:c r="KD86" s="14"/>
      <x:c r="KE86" s="14"/>
      <x:c r="KF86" s="14"/>
      <x:c r="KG86" s="14"/>
      <x:c r="KH86" s="14"/>
      <x:c r="KI86" s="14"/>
      <x:c r="KJ86" s="14"/>
      <x:c r="KK86" s="14"/>
      <x:c r="KL86" s="14"/>
      <x:c r="KM86" s="14"/>
      <x:c r="KN86" s="14"/>
      <x:c r="KO86" s="14"/>
      <x:c r="KP86" s="14"/>
      <x:c r="KQ86" s="14"/>
      <x:c r="KR86" s="14"/>
      <x:c r="KS86" s="14"/>
      <x:c r="KT86" s="14"/>
      <x:c r="KU86" s="14"/>
      <x:c r="KV86" s="14"/>
      <x:c r="KW86" s="14"/>
      <x:c r="KX86" s="14"/>
      <x:c r="KY86" s="14"/>
      <x:c r="KZ86" s="14"/>
      <x:c r="LA86" s="14"/>
      <x:c r="LB86" s="14"/>
      <x:c r="LC86" s="14"/>
      <x:c r="LD86" s="14"/>
      <x:c r="LE86" s="14"/>
      <x:c r="LF86" s="14"/>
      <x:c r="LG86" s="14"/>
      <x:c r="LH86" s="14"/>
      <x:c r="LI86" s="14"/>
      <x:c r="LJ86" s="14"/>
      <x:c r="LK86" s="14"/>
      <x:c r="LL86" s="14"/>
      <x:c r="LM86" s="14"/>
      <x:c r="LN86" s="14"/>
      <x:c r="LO86" s="14"/>
      <x:c r="LP86" s="14"/>
      <x:c r="LQ86" s="14"/>
      <x:c r="LR86" s="14"/>
      <x:c r="LS86" s="14"/>
      <x:c r="LT86" s="14"/>
      <x:c r="LU86" s="14"/>
      <x:c r="LV86" s="14"/>
      <x:c r="LW86" s="14"/>
      <x:c r="LX86" s="14"/>
      <x:c r="LY86" s="14"/>
      <x:c r="LZ86" s="14"/>
      <x:c r="MA86" s="14"/>
      <x:c r="MB86" s="14"/>
      <x:c r="MC86" s="14"/>
      <x:c r="MD86" s="14"/>
      <x:c r="ME86" s="14"/>
      <x:c r="MF86" s="14"/>
      <x:c r="MG86" s="14"/>
      <x:c r="MH86" s="14"/>
      <x:c r="MI86" s="14"/>
      <x:c r="MJ86" s="14"/>
      <x:c r="MK86" s="14"/>
      <x:c r="ML86" s="14"/>
      <x:c r="MM86" s="14"/>
      <x:c r="MN86" s="14"/>
      <x:c r="MO86" s="14"/>
      <x:c r="MP86" s="14"/>
      <x:c r="MQ86" s="14"/>
      <x:c r="MR86" s="14"/>
      <x:c r="MS86" s="14"/>
      <x:c r="MT86" s="14"/>
      <x:c r="MU86" s="14"/>
      <x:c r="MV86" s="14"/>
      <x:c r="MW86" s="14" t="str">
        <x:v>27651</x:v>
      </x:c>
      <x:c r="MX86" s="14" t="n">
        <x:v>5</x:v>
      </x:c>
      <x:c r="MY86" s="14" t="n">
        <x:v>1917</x:v>
      </x:c>
      <x:c r="MZ86" s="14" t="n">
        <x:v>269</x:v>
      </x:c>
      <x:c r="NA86" s="14" t="n">
        <x:v>20</x:v>
      </x:c>
      <x:c r="NB86" s="14" t="n">
        <x:v>1</x:v>
      </x:c>
      <x:c r="NC86" s="14" t="str">
        <x:v>未收錄</x:v>
      </x:c>
      <x:c r="ND86" s="14" t="str">
        <x:v>27652</x:v>
      </x:c>
      <x:c r="NE86" s="14" t="n">
        <x:v>5</x:v>
      </x:c>
      <x:c r="NF86" s="14" t="n">
        <x:v>1918</x:v>
      </x:c>
      <x:c r="NG86" s="14" t="n">
        <x:v>270</x:v>
      </x:c>
      <x:c r="NH86" s="14" t="n">
        <x:v>20</x:v>
      </x:c>
      <x:c r="NI86" s="14" t="n">
        <x:v>2</x:v>
      </x:c>
      <x:c r="NJ86" s="14" t="str">
        <x:v>未收錄</x:v>
      </x:c>
      <x:c r="NK86" s="14" t="str">
        <x:v>27653</x:v>
      </x:c>
      <x:c r="NL86" s="14" t="n">
        <x:v>5</x:v>
      </x:c>
      <x:c r="NM86" s="14" t="n">
        <x:v>1919</x:v>
      </x:c>
      <x:c r="NN86" s="14" t="n">
        <x:v>271</x:v>
      </x:c>
      <x:c r="NO86" s="14" t="n">
        <x:v>20</x:v>
      </x:c>
      <x:c r="NP86" s="14" t="n">
        <x:v>3</x:v>
      </x:c>
      <x:c r="NQ86" s="14" t="str">
        <x:v>未收錄</x:v>
      </x:c>
      <x:c r="NR86" s="14" t="str">
        <x:v>27654</x:v>
      </x:c>
      <x:c r="NS86" s="14" t="n">
        <x:v>5</x:v>
      </x:c>
      <x:c r="NT86" s="14" t="n">
        <x:v>1920</x:v>
      </x:c>
      <x:c r="NU86" s="14" t="n">
        <x:v>272</x:v>
      </x:c>
      <x:c r="NV86" s="14" t="n">
        <x:v>20</x:v>
      </x:c>
      <x:c r="NW86" s="14" t="n">
        <x:v>4</x:v>
      </x:c>
      <x:c r="NX86" s="14" t="str">
        <x:v>未收錄</x:v>
      </x:c>
      <x:c r="NY86" s="14" t="str">
        <x:v>27107</x:v>
      </x:c>
      <x:c r="NZ86" s="14" t="n">
        <x:v>5</x:v>
      </x:c>
      <x:c r="OA86" s="14" t="n">
        <x:v>2370</x:v>
      </x:c>
      <x:c r="OB86" s="14" t="n">
        <x:v>269</x:v>
      </x:c>
      <x:c r="OC86" s="14" t="n">
        <x:v>20</x:v>
      </x:c>
      <x:c r="OD86" s="14" t="n">
        <x:v>1</x:v>
      </x:c>
      <x:c r="OE86" s="14" t="str">
        <x:v>未收錄</x:v>
      </x:c>
      <x:c r="OF86" s="14" t="str">
        <x:v>27108</x:v>
      </x:c>
      <x:c r="OG86" s="14" t="n">
        <x:v>5</x:v>
      </x:c>
      <x:c r="OH86" s="14" t="n">
        <x:v>2371</x:v>
      </x:c>
      <x:c r="OI86" s="14" t="n">
        <x:v>270</x:v>
      </x:c>
      <x:c r="OJ86" s="14" t="n">
        <x:v>20</x:v>
      </x:c>
      <x:c r="OK86" s="14" t="n">
        <x:v>2</x:v>
      </x:c>
      <x:c r="OL86" s="14" t="str">
        <x:v>未收錄</x:v>
      </x:c>
      <x:c r="OM86" s="14" t="str">
        <x:v>27216</x:v>
      </x:c>
      <x:c r="ON86" s="14" t="n">
        <x:v>10</x:v>
      </x:c>
      <x:c r="OO86" s="14" t="n">
        <x:v>2372</x:v>
      </x:c>
      <x:c r="OP86" s="14" t="n">
        <x:v>271</x:v>
      </x:c>
      <x:c r="OQ86" s="14" t="n">
        <x:v>20</x:v>
      </x:c>
      <x:c r="OR86" s="14" t="n">
        <x:v>3</x:v>
      </x:c>
      <x:c r="OS86" s="14" t="str">
        <x:v>未收錄</x:v>
      </x:c>
      <x:c r="OT86" s="14" t="str">
        <x:v>27397</x:v>
      </x:c>
      <x:c r="OU86" s="14" t="n">
        <x:v>10</x:v>
      </x:c>
      <x:c r="OV86" s="14" t="n">
        <x:v>2373</x:v>
      </x:c>
      <x:c r="OW86" s="14" t="n">
        <x:v>272</x:v>
      </x:c>
      <x:c r="OX86" s="14" t="n">
        <x:v>20</x:v>
      </x:c>
      <x:c r="OY86" s="14" t="n">
        <x:v>4</x:v>
      </x:c>
      <x:c r="OZ86" s="14" t="str">
        <x:v>未收錄</x:v>
      </x:c>
      <x:c r="PA86" s="14" t="str">
        <x:v>28415</x:v>
      </x:c>
      <x:c r="PB86" s="14" t="n">
        <x:v>5</x:v>
      </x:c>
      <x:c r="PC86" s="14" t="n">
        <x:v>2916</x:v>
      </x:c>
      <x:c r="PD86" s="14" t="n">
        <x:v>269</x:v>
      </x:c>
      <x:c r="PE86" s="14" t="n">
        <x:v>20</x:v>
      </x:c>
      <x:c r="PF86" s="14" t="n">
        <x:v>1</x:v>
      </x:c>
      <x:c r="PG86" s="14" t="str">
        <x:v>未收錄</x:v>
      </x:c>
      <x:c r="PH86" s="14" t="str">
        <x:v>28418</x:v>
      </x:c>
      <x:c r="PI86" s="14" t="n">
        <x:v>5</x:v>
      </x:c>
      <x:c r="PJ86" s="14" t="n">
        <x:v>2917</x:v>
      </x:c>
      <x:c r="PK86" s="14" t="n">
        <x:v>270</x:v>
      </x:c>
      <x:c r="PL86" s="14" t="n">
        <x:v>20</x:v>
      </x:c>
      <x:c r="PM86" s="14" t="n">
        <x:v>2</x:v>
      </x:c>
      <x:c r="PN86" s="14" t="str">
        <x:v>未收錄</x:v>
      </x:c>
      <x:c r="PO86" s="14" t="str">
        <x:v>28421</x:v>
      </x:c>
      <x:c r="PP86" s="14" t="n">
        <x:v>5</x:v>
      </x:c>
      <x:c r="PQ86" s="14" t="n">
        <x:v>2918</x:v>
      </x:c>
      <x:c r="PR86" s="14" t="n">
        <x:v>271</x:v>
      </x:c>
      <x:c r="PS86" s="14" t="n">
        <x:v>20</x:v>
      </x:c>
      <x:c r="PT86" s="14" t="n">
        <x:v>3</x:v>
      </x:c>
      <x:c r="PU86" s="14" t="str">
        <x:v>未收錄</x:v>
      </x:c>
      <x:c r="PV86" s="14" t="str">
        <x:v>28535</x:v>
      </x:c>
      <x:c r="PW86" s="14" t="n">
        <x:v>10</x:v>
      </x:c>
      <x:c r="PX86" s="14" t="n">
        <x:v>2919</x:v>
      </x:c>
      <x:c r="PY86" s="14" t="n">
        <x:v>272</x:v>
      </x:c>
      <x:c r="PZ86" s="14" t="n">
        <x:v>20</x:v>
      </x:c>
      <x:c r="QA86" s="14" t="n">
        <x:v>4</x:v>
      </x:c>
      <x:c r="QB86" s="14" t="str">
        <x:v>未收錄</x:v>
      </x:c>
      <x:c r="QC86" s="14" t="str">
        <x:v>27766</x:v>
      </x:c>
      <x:c r="QD86" s="14" t="n">
        <x:v>10</x:v>
      </x:c>
      <x:c r="QE86" s="14" t="n">
        <x:v>3353</x:v>
      </x:c>
      <x:c r="QF86" s="14" t="n">
        <x:v>269</x:v>
      </x:c>
      <x:c r="QG86" s="14" t="n">
        <x:v>20</x:v>
      </x:c>
      <x:c r="QH86" s="14" t="n">
        <x:v>1</x:v>
      </x:c>
      <x:c r="QI86" s="14" t="str">
        <x:v>未收錄</x:v>
      </x:c>
      <x:c r="QJ86" s="14" t="str">
        <x:v>27778</x:v>
      </x:c>
      <x:c r="QK86" s="14" t="n">
        <x:v>10</x:v>
      </x:c>
      <x:c r="QL86" s="14" t="n">
        <x:v>3354</x:v>
      </x:c>
      <x:c r="QM86" s="14" t="n">
        <x:v>270</x:v>
      </x:c>
      <x:c r="QN86" s="14" t="n">
        <x:v>20</x:v>
      </x:c>
      <x:c r="QO86" s="14" t="n">
        <x:v>2</x:v>
      </x:c>
      <x:c r="QP86" s="14" t="str">
        <x:v>未收錄</x:v>
      </x:c>
      <x:c r="QQ86" s="14" t="str">
        <x:v>27715</x:v>
      </x:c>
      <x:c r="QR86" s="14" t="n">
        <x:v>5</x:v>
      </x:c>
      <x:c r="QS86" s="14" t="n">
        <x:v>3355</x:v>
      </x:c>
      <x:c r="QT86" s="14" t="n">
        <x:v>271</x:v>
      </x:c>
      <x:c r="QU86" s="14" t="n">
        <x:v>20</x:v>
      </x:c>
      <x:c r="QV86" s="14" t="n">
        <x:v>3</x:v>
      </x:c>
      <x:c r="QW86" s="14" t="str">
        <x:v>未收錄</x:v>
      </x:c>
      <x:c r="QX86" s="14" t="str">
        <x:v>27716</x:v>
      </x:c>
      <x:c r="QY86" s="14" t="n">
        <x:v>5</x:v>
      </x:c>
      <x:c r="QZ86" s="14" t="n">
        <x:v>3356</x:v>
      </x:c>
      <x:c r="RA86" s="14" t="n">
        <x:v>272</x:v>
      </x:c>
      <x:c r="RB86" s="14" t="n">
        <x:v>20</x:v>
      </x:c>
      <x:c r="RC86" s="14" t="n">
        <x:v>4</x:v>
      </x:c>
      <x:c r="RD86" s="14" t="str">
        <x:v>未收錄</x:v>
      </x:c>
      <x:c r="RE86" s="14" t="str">
        <x:v>28710</x:v>
      </x:c>
      <x:c r="RF86" s="14" t="n">
        <x:v>20</x:v>
      </x:c>
      <x:c r="RG86" s="14" t="n">
        <x:v>3814</x:v>
      </x:c>
      <x:c r="RH86" s="14" t="n">
        <x:v>269</x:v>
      </x:c>
      <x:c r="RI86" s="14" t="n">
        <x:v>20</x:v>
      </x:c>
      <x:c r="RJ86" s="14" t="n">
        <x:v>1</x:v>
      </x:c>
      <x:c r="RK86" s="14" t="str">
        <x:v>未收錄</x:v>
      </x:c>
      <x:c r="RL86" s="14" t="str">
        <x:v>28901</x:v>
      </x:c>
      <x:c r="RM86" s="14" t="n">
        <x:v>5</x:v>
      </x:c>
      <x:c r="RN86" s="14" t="n">
        <x:v>3815</x:v>
      </x:c>
      <x:c r="RO86" s="14" t="n">
        <x:v>270</x:v>
      </x:c>
      <x:c r="RP86" s="14" t="n">
        <x:v>20</x:v>
      </x:c>
      <x:c r="RQ86" s="14" t="n">
        <x:v>2</x:v>
      </x:c>
      <x:c r="RR86" s="14" t="str">
        <x:v>未收錄</x:v>
      </x:c>
      <x:c r="RS86" s="14" t="str">
        <x:v>28902</x:v>
      </x:c>
      <x:c r="RT86" s="14" t="n">
        <x:v>5</x:v>
      </x:c>
      <x:c r="RU86" s="14" t="n">
        <x:v>3816</x:v>
      </x:c>
      <x:c r="RV86" s="14" t="n">
        <x:v>271</x:v>
      </x:c>
      <x:c r="RW86" s="14" t="n">
        <x:v>20</x:v>
      </x:c>
      <x:c r="RX86" s="14" t="n">
        <x:v>3</x:v>
      </x:c>
      <x:c r="RY86" s="14" t="str">
        <x:v>未收錄</x:v>
      </x:c>
      <x:c r="RZ86" s="14" t="str">
        <x:v>28903</x:v>
      </x:c>
      <x:c r="SA86" s="14" t="n">
        <x:v>5</x:v>
      </x:c>
      <x:c r="SB86" s="14" t="n">
        <x:v>3817</x:v>
      </x:c>
      <x:c r="SC86" s="14" t="n">
        <x:v>272</x:v>
      </x:c>
      <x:c r="SD86" s="14" t="n">
        <x:v>20</x:v>
      </x:c>
      <x:c r="SE86" s="14" t="n">
        <x:v>4</x:v>
      </x:c>
      <x:c r="SF86" s="14" t="str">
        <x:v>未收錄</x:v>
      </x:c>
      <x:c r="SG86" s="14"/>
      <x:c r="SH86" s="14"/>
      <x:c r="SI86" s="14"/>
      <x:c r="SJ86" s="14"/>
      <x:c r="SK86" s="14"/>
      <x:c r="SL86" s="14"/>
      <x:c r="SM86" s="14"/>
      <x:c r="SN86" s="14"/>
      <x:c r="SO86" s="14"/>
      <x:c r="SP86" s="14"/>
      <x:c r="SQ86" s="14"/>
      <x:c r="SR86" s="14"/>
      <x:c r="SS86" s="14"/>
      <x:c r="ST86" s="14"/>
      <x:c r="SU86" s="14"/>
      <x:c r="SV86" s="14"/>
      <x:c r="SW86" s="14"/>
      <x:c r="SX86" s="14"/>
      <x:c r="SY86" s="14"/>
      <x:c r="SZ86" s="14"/>
      <x:c r="TA86" s="14"/>
      <x:c r="TB86" s="14"/>
      <x:c r="TC86" s="14"/>
      <x:c r="TD86" s="14"/>
      <x:c r="TE86" s="14"/>
      <x:c r="TF86" s="14"/>
      <x:c r="TG86" s="14"/>
      <x:c r="TH86" s="14"/>
    </x:row>
    <x:row r="87" ht="15" customHeight="1">
      <x:c r="A87" s="14"/>
      <x:c r="B87" s="14"/>
      <x:c r="C87" s="14"/>
      <x:c r="D87" s="14"/>
      <x:c r="E87" s="14"/>
      <x:c r="F87" s="14"/>
      <x:c r="G87" s="14"/>
      <x:c r="H87" s="14"/>
      <x:c r="I87" s="14"/>
      <x:c r="J87" s="14"/>
      <x:c r="K87" s="14"/>
      <x:c r="L87" s="14"/>
      <x:c r="M87" s="14"/>
      <x:c r="N87" s="14"/>
      <x:c r="O87" s="14"/>
      <x:c r="P87" s="14"/>
      <x:c r="Q87" s="14"/>
      <x:c r="R87" s="14"/>
      <x:c r="S87" s="14"/>
      <x:c r="T87" s="14"/>
      <x:c r="U87" s="14"/>
      <x:c r="V87" s="14"/>
      <x:c r="W87" s="14"/>
      <x:c r="X87" s="14"/>
      <x:c r="Y87" s="14"/>
      <x:c r="Z87" s="14"/>
      <x:c r="AA87" s="14"/>
      <x:c r="AB87" s="14"/>
      <x:c r="AC87" s="14"/>
      <x:c r="AD87" s="14"/>
      <x:c r="AE87" s="14"/>
      <x:c r="AF87" s="14"/>
      <x:c r="AG87" s="14"/>
      <x:c r="AH87" s="14"/>
      <x:c r="AI87" s="14"/>
      <x:c r="AJ87" s="14"/>
      <x:c r="AK87" s="14"/>
      <x:c r="AL87" s="14"/>
      <x:c r="AM87" s="14"/>
      <x:c r="AN87" s="14"/>
      <x:c r="AO87" s="14"/>
      <x:c r="AP87" s="14"/>
      <x:c r="AQ87" s="14"/>
      <x:c r="AR87" s="14"/>
      <x:c r="AS87" s="14"/>
      <x:c r="AT87" s="14"/>
      <x:c r="AU87" s="14"/>
      <x:c r="AV87" s="14"/>
      <x:c r="AW87" s="14"/>
      <x:c r="AX87" s="14"/>
      <x:c r="AY87" s="17" t="str">
        <x:v>元宙‧月讀巾</x:v>
      </x:c>
      <x:c r="AZ87" s="17" t="str">
        <x:v>元宙‧混沌冠</x:v>
      </x:c>
      <x:c r="BA87" s="17" t="str">
        <x:v>真宇傲劍聖盔</x:v>
      </x:c>
      <x:c r="BB87" s="17" t="str">
        <x:v>真宇傲武尊盔</x:v>
      </x:c>
      <x:c r="BC87" s="14"/>
      <x:c r="BD87" s="17" t="str">
        <x:v>神煉‧隱遁甲</x:v>
      </x:c>
      <x:c r="BE87" s="17" t="str">
        <x:v>神煉‧無相裟</x:v>
      </x:c>
      <x:c r="BF87" s="17" t="str">
        <x:v>宇傲‧劍聖冑</x:v>
      </x:c>
      <x:c r="BG87" s="17" t="str">
        <x:v>宇傲‧武尊鎧</x:v>
      </x:c>
      <x:c r="BH87" s="14"/>
      <x:c r="BI87" s="17" t="str">
        <x:v>煌嗚腕★</x:v>
      </x:c>
      <x:c r="BJ87" s="17" t="str">
        <x:v>星鋒腕★★</x:v>
      </x:c>
      <x:c r="BK87" s="17" t="str">
        <x:v>鬥星臂★★</x:v>
      </x:c>
      <x:c r="BL87" s="17" t="str">
        <x:v>遊星掌★★</x:v>
      </x:c>
      <x:c r="BM87" s="14"/>
      <x:c r="BN87" s="17" t="str">
        <x:v>真宇傲術幻履</x:v>
      </x:c>
      <x:c r="BO87" s="17" t="str">
        <x:v>真宇傲道輝步</x:v>
      </x:c>
      <x:c r="BP87" s="17" t="str">
        <x:v>真宇傲禪光行</x:v>
      </x:c>
      <x:c r="BQ87" s="17" t="str">
        <x:v>真宇傲窮奇靴</x:v>
      </x:c>
      <x:c r="BR87" s="14"/>
      <x:c r="BS87" s="17" t="str">
        <x:v>水煌珠☆</x:v>
      </x:c>
      <x:c r="BT87" s="17" t="str">
        <x:v>水煌珠☆☆</x:v>
      </x:c>
      <x:c r="BU87" s="17" t="str">
        <x:v>水煌珠☆☆☆</x:v>
      </x:c>
      <x:c r="BV87" s="17" t="str">
        <x:v>風煌珠☆</x:v>
      </x:c>
      <x:c r="BW87" s="14"/>
      <x:c r="BX87" s="14"/>
      <x:c r="BY87" s="14"/>
      <x:c r="BZ87" s="14"/>
      <x:c r="CA87" s="14"/>
      <x:c r="CB87" s="14"/>
      <x:c r="CC87" s="14"/>
      <x:c r="CD87" s="14"/>
      <x:c r="CE87" s="14"/>
      <x:c r="CF87" s="14"/>
      <x:c r="CG87" s="14"/>
      <x:c r="CH87" s="14"/>
      <x:c r="CI87" s="14"/>
      <x:c r="CJ87" s="14"/>
      <x:c r="CK87" s="14"/>
      <x:c r="CL87" s="14"/>
      <x:c r="CM87" s="14"/>
      <x:c r="CN87" s="14"/>
      <x:c r="CO87" s="14"/>
      <x:c r="CP87" s="14"/>
      <x:c r="CQ87" s="14"/>
      <x:c r="CR87" s="14"/>
      <x:c r="CS87" s="14"/>
      <x:c r="CT87" s="14"/>
      <x:c r="CU87" s="14"/>
      <x:c r="CV87" s="14"/>
      <x:c r="CW87" s="14"/>
      <x:c r="CX87" s="14"/>
      <x:c r="CY87" s="14"/>
      <x:c r="CZ87" s="14"/>
      <x:c r="DA87" s="14"/>
      <x:c r="DB87" s="14"/>
      <x:c r="DC87" s="14"/>
      <x:c r="DD87" s="14"/>
      <x:c r="DE87" s="14"/>
      <x:c r="DF87" s="14"/>
      <x:c r="DG87" s="14"/>
      <x:c r="DH87" s="14"/>
      <x:c r="DI87" s="14"/>
      <x:c r="DJ87" s="14"/>
      <x:c r="DK87" s="14"/>
      <x:c r="DL87" s="14"/>
      <x:c r="DM87" s="14"/>
      <x:c r="DN87" s="14"/>
      <x:c r="DO87" s="14"/>
      <x:c r="DP87" s="14"/>
      <x:c r="DQ87" s="14"/>
      <x:c r="DR87" s="14"/>
      <x:c r="DS87" s="14"/>
      <x:c r="DT87" s="14"/>
      <x:c r="DU87" s="14"/>
      <x:c r="DV87" s="14"/>
      <x:c r="DW87" s="14"/>
      <x:c r="DX87" s="14"/>
      <x:c r="DY87" s="14"/>
      <x:c r="DZ87" s="14"/>
      <x:c r="EA87" s="14"/>
      <x:c r="EB87" s="14"/>
      <x:c r="EC87" s="14"/>
      <x:c r="ED87" s="14"/>
      <x:c r="EE87" s="14"/>
      <x:c r="EF87" s="14"/>
      <x:c r="EG87" s="14"/>
      <x:c r="EH87" s="14"/>
      <x:c r="EI87" s="14"/>
      <x:c r="EJ87" s="14"/>
      <x:c r="EK87" s="14"/>
      <x:c r="EL87" s="14"/>
      <x:c r="EM87" s="14"/>
      <x:c r="EN87" s="14"/>
      <x:c r="EO87" s="14"/>
      <x:c r="EP87" s="14"/>
      <x:c r="EQ87" s="14"/>
      <x:c r="ER87" s="14"/>
      <x:c r="ES87" s="14"/>
      <x:c r="ET87" s="14"/>
      <x:c r="EU87" s="14"/>
      <x:c r="EV87" s="14"/>
      <x:c r="EW87" s="14"/>
      <x:c r="EX87" s="14"/>
      <x:c r="EY87" s="14"/>
      <x:c r="EZ87" s="14"/>
      <x:c r="FA87" s="14"/>
      <x:c r="FB87" s="14"/>
      <x:c r="FC87" s="14"/>
      <x:c r="FD87" s="14"/>
      <x:c r="FE87" s="14"/>
      <x:c r="FF87" s="14"/>
      <x:c r="FG87" s="14"/>
      <x:c r="FH87" s="14"/>
      <x:c r="FI87" s="14"/>
      <x:c r="FJ87" s="14"/>
      <x:c r="FK87" s="14"/>
      <x:c r="FL87" s="14"/>
      <x:c r="FM87" s="14"/>
      <x:c r="FN87" s="14"/>
      <x:c r="FO87" s="14"/>
      <x:c r="FP87" s="14"/>
      <x:c r="FQ87" s="14"/>
      <x:c r="FR87" s="14"/>
      <x:c r="FS87" s="14"/>
      <x:c r="FT87" s="14"/>
      <x:c r="FU87" s="14"/>
      <x:c r="FV87" s="14"/>
      <x:c r="FW87" s="14"/>
      <x:c r="FX87" s="14"/>
      <x:c r="FY87" s="14"/>
      <x:c r="FZ87" s="14"/>
      <x:c r="GA87" s="14"/>
      <x:c r="GB87" s="14"/>
      <x:c r="GC87" s="14"/>
      <x:c r="GD87" s="14"/>
      <x:c r="GE87" s="14"/>
      <x:c r="GF87" s="14"/>
      <x:c r="GG87" s="14"/>
      <x:c r="GH87" s="14"/>
      <x:c r="GI87" s="14"/>
      <x:c r="GJ87" s="14"/>
      <x:c r="GK87" s="14"/>
      <x:c r="GL87" s="14"/>
      <x:c r="GM87" s="14"/>
      <x:c r="GN87" s="14"/>
      <x:c r="GO87" s="14"/>
      <x:c r="GP87" s="14"/>
      <x:c r="GQ87" s="14"/>
      <x:c r="GR87" s="14"/>
      <x:c r="GS87" s="14"/>
      <x:c r="GT87" s="14"/>
      <x:c r="GU87" s="14"/>
      <x:c r="GV87" s="14"/>
      <x:c r="GW87" s="14"/>
      <x:c r="GX87" s="14"/>
      <x:c r="GY87" s="14"/>
      <x:c r="GZ87" s="14"/>
      <x:c r="HA87" s="14"/>
      <x:c r="HB87" s="14"/>
      <x:c r="HC87" s="14"/>
      <x:c r="HD87" s="14"/>
      <x:c r="HE87" s="14"/>
      <x:c r="HF87" s="14"/>
      <x:c r="HG87" s="14"/>
      <x:c r="HH87" s="14"/>
      <x:c r="HI87" s="14"/>
      <x:c r="HJ87" s="14"/>
      <x:c r="HK87" s="14"/>
      <x:c r="HL87" s="14"/>
      <x:c r="HM87" s="14"/>
      <x:c r="HN87" s="14"/>
      <x:c r="HO87" s="14"/>
      <x:c r="HP87" s="14"/>
      <x:c r="HQ87" s="14"/>
      <x:c r="HR87" s="14"/>
      <x:c r="HS87" s="14"/>
      <x:c r="HT87" s="14"/>
      <x:c r="HU87" s="14"/>
      <x:c r="HV87" s="14"/>
      <x:c r="HW87" s="14"/>
      <x:c r="HX87" s="14"/>
      <x:c r="HY87" s="14"/>
      <x:c r="HZ87" s="14"/>
      <x:c r="IA87" s="14"/>
      <x:c r="IB87" s="14"/>
      <x:c r="IC87" s="14"/>
      <x:c r="ID87" s="14"/>
      <x:c r="IE87" s="14"/>
      <x:c r="IF87" s="14"/>
      <x:c r="IG87" s="14"/>
      <x:c r="IH87" s="14"/>
      <x:c r="II87" s="14"/>
      <x:c r="IJ87" s="14"/>
      <x:c r="IK87" s="14"/>
      <x:c r="IL87" s="14"/>
      <x:c r="IM87" s="14"/>
      <x:c r="IN87" s="14"/>
      <x:c r="IO87" s="14"/>
      <x:c r="IP87" s="14"/>
      <x:c r="IQ87" s="14"/>
      <x:c r="IR87" s="14"/>
      <x:c r="IS87" s="14"/>
      <x:c r="IT87" s="14"/>
      <x:c r="IU87" s="14"/>
      <x:c r="IV87" s="14"/>
      <x:c r="IW87" s="14"/>
      <x:c r="IX87" s="14"/>
      <x:c r="IY87" s="14"/>
      <x:c r="IZ87" s="14"/>
      <x:c r="JA87" s="14"/>
      <x:c r="JB87" s="14"/>
      <x:c r="JC87" s="14"/>
      <x:c r="JD87" s="14"/>
      <x:c r="JE87" s="14"/>
      <x:c r="JF87" s="14"/>
      <x:c r="JG87" s="14"/>
      <x:c r="JH87" s="14"/>
      <x:c r="JI87" s="14"/>
      <x:c r="JJ87" s="14"/>
      <x:c r="JK87" s="14"/>
      <x:c r="JL87" s="14"/>
      <x:c r="JM87" s="14"/>
      <x:c r="JN87" s="14"/>
      <x:c r="JO87" s="14"/>
      <x:c r="JP87" s="14"/>
      <x:c r="JQ87" s="14"/>
      <x:c r="JR87" s="14"/>
      <x:c r="JS87" s="14"/>
      <x:c r="JT87" s="14"/>
      <x:c r="JU87" s="14"/>
      <x:c r="JV87" s="14"/>
      <x:c r="JW87" s="14"/>
      <x:c r="JX87" s="14"/>
      <x:c r="JY87" s="14"/>
      <x:c r="JZ87" s="14"/>
      <x:c r="KA87" s="14"/>
      <x:c r="KB87" s="14"/>
      <x:c r="KC87" s="14"/>
      <x:c r="KD87" s="14"/>
      <x:c r="KE87" s="14"/>
      <x:c r="KF87" s="14"/>
      <x:c r="KG87" s="14"/>
      <x:c r="KH87" s="14"/>
      <x:c r="KI87" s="14"/>
      <x:c r="KJ87" s="14"/>
      <x:c r="KK87" s="14"/>
      <x:c r="KL87" s="14"/>
      <x:c r="KM87" s="14"/>
      <x:c r="KN87" s="14"/>
      <x:c r="KO87" s="14"/>
      <x:c r="KP87" s="14"/>
      <x:c r="KQ87" s="14"/>
      <x:c r="KR87" s="14"/>
      <x:c r="KS87" s="14"/>
      <x:c r="KT87" s="14"/>
      <x:c r="KU87" s="14"/>
      <x:c r="KV87" s="14"/>
      <x:c r="KW87" s="14"/>
      <x:c r="KX87" s="14"/>
      <x:c r="KY87" s="14"/>
      <x:c r="KZ87" s="14"/>
      <x:c r="LA87" s="14"/>
      <x:c r="LB87" s="14"/>
      <x:c r="LC87" s="14"/>
      <x:c r="LD87" s="14"/>
      <x:c r="LE87" s="14"/>
      <x:c r="LF87" s="14"/>
      <x:c r="LG87" s="14"/>
      <x:c r="LH87" s="14"/>
      <x:c r="LI87" s="14"/>
      <x:c r="LJ87" s="14"/>
      <x:c r="LK87" s="14"/>
      <x:c r="LL87" s="14"/>
      <x:c r="LM87" s="14"/>
      <x:c r="LN87" s="14"/>
      <x:c r="LO87" s="14"/>
      <x:c r="LP87" s="14"/>
      <x:c r="LQ87" s="14"/>
      <x:c r="LR87" s="14"/>
      <x:c r="LS87" s="14"/>
      <x:c r="LT87" s="14"/>
      <x:c r="LU87" s="14"/>
      <x:c r="LV87" s="14"/>
      <x:c r="LW87" s="14"/>
      <x:c r="LX87" s="14"/>
      <x:c r="LY87" s="14"/>
      <x:c r="LZ87" s="14"/>
      <x:c r="MA87" s="14"/>
      <x:c r="MB87" s="14"/>
      <x:c r="MC87" s="14"/>
      <x:c r="MD87" s="14"/>
      <x:c r="ME87" s="14"/>
      <x:c r="MF87" s="14"/>
      <x:c r="MG87" s="14"/>
      <x:c r="MH87" s="14"/>
      <x:c r="MI87" s="14"/>
      <x:c r="MJ87" s="14"/>
      <x:c r="MK87" s="14"/>
      <x:c r="ML87" s="14"/>
      <x:c r="MM87" s="14"/>
      <x:c r="MN87" s="14"/>
      <x:c r="MO87" s="14"/>
      <x:c r="MP87" s="14"/>
      <x:c r="MQ87" s="14"/>
      <x:c r="MR87" s="14"/>
      <x:c r="MS87" s="14"/>
      <x:c r="MT87" s="14"/>
      <x:c r="MU87" s="14"/>
      <x:c r="MV87" s="14"/>
      <x:c r="MW87" s="14" t="str">
        <x:v>27758</x:v>
      </x:c>
      <x:c r="MX87" s="14" t="n">
        <x:v>10</x:v>
      </x:c>
      <x:c r="MY87" s="14" t="n">
        <x:v>1921</x:v>
      </x:c>
      <x:c r="MZ87" s="14" t="n">
        <x:v>273</x:v>
      </x:c>
      <x:c r="NA87" s="14" t="n">
        <x:v>21</x:v>
      </x:c>
      <x:c r="NB87" s="14" t="n">
        <x:v>1</x:v>
      </x:c>
      <x:c r="NC87" s="14" t="str">
        <x:v>未收錄</x:v>
      </x:c>
      <x:c r="ND87" s="14" t="str">
        <x:v>27738</x:v>
      </x:c>
      <x:c r="NE87" s="14" t="n">
        <x:v>10</x:v>
      </x:c>
      <x:c r="NF87" s="14" t="n">
        <x:v>1922</x:v>
      </x:c>
      <x:c r="NG87" s="14" t="n">
        <x:v>274</x:v>
      </x:c>
      <x:c r="NH87" s="14" t="n">
        <x:v>21</x:v>
      </x:c>
      <x:c r="NI87" s="14" t="n">
        <x:v>2</x:v>
      </x:c>
      <x:c r="NJ87" s="14" t="str">
        <x:v>未收錄</x:v>
      </x:c>
      <x:c r="NK87" s="14" t="str">
        <x:v>27655</x:v>
      </x:c>
      <x:c r="NL87" s="14" t="n">
        <x:v>5</x:v>
      </x:c>
      <x:c r="NM87" s="14" t="n">
        <x:v>1923</x:v>
      </x:c>
      <x:c r="NN87" s="14" t="n">
        <x:v>275</x:v>
      </x:c>
      <x:c r="NO87" s="14" t="n">
        <x:v>21</x:v>
      </x:c>
      <x:c r="NP87" s="14" t="n">
        <x:v>3</x:v>
      </x:c>
      <x:c r="NQ87" s="14" t="str">
        <x:v>未收錄</x:v>
      </x:c>
      <x:c r="NR87" s="14" t="str">
        <x:v>27656</x:v>
      </x:c>
      <x:c r="NS87" s="14" t="n">
        <x:v>5</x:v>
      </x:c>
      <x:c r="NT87" s="14" t="n">
        <x:v>1924</x:v>
      </x:c>
      <x:c r="NU87" s="14" t="n">
        <x:v>276</x:v>
      </x:c>
      <x:c r="NV87" s="14" t="n">
        <x:v>21</x:v>
      </x:c>
      <x:c r="NW87" s="14" t="n">
        <x:v>4</x:v>
      </x:c>
      <x:c r="NX87" s="14" t="str">
        <x:v>未收錄</x:v>
      </x:c>
      <x:c r="NY87" s="14" t="str">
        <x:v>27413</x:v>
      </x:c>
      <x:c r="NZ87" s="14" t="n">
        <x:v>10</x:v>
      </x:c>
      <x:c r="OA87" s="14" t="n">
        <x:v>2374</x:v>
      </x:c>
      <x:c r="OB87" s="14" t="n">
        <x:v>273</x:v>
      </x:c>
      <x:c r="OC87" s="14" t="n">
        <x:v>21</x:v>
      </x:c>
      <x:c r="OD87" s="14" t="n">
        <x:v>1</x:v>
      </x:c>
      <x:c r="OE87" s="14" t="str">
        <x:v>未收錄</x:v>
      </x:c>
      <x:c r="OF87" s="14" t="str">
        <x:v>27417</x:v>
      </x:c>
      <x:c r="OG87" s="14" t="n">
        <x:v>10</x:v>
      </x:c>
      <x:c r="OH87" s="14" t="n">
        <x:v>2375</x:v>
      </x:c>
      <x:c r="OI87" s="14" t="n">
        <x:v>274</x:v>
      </x:c>
      <x:c r="OJ87" s="14" t="n">
        <x:v>21</x:v>
      </x:c>
      <x:c r="OK87" s="14" t="n">
        <x:v>2</x:v>
      </x:c>
      <x:c r="OL87" s="14" t="str">
        <x:v>未收錄</x:v>
      </x:c>
      <x:c r="OM87" s="14" t="str">
        <x:v>27109</x:v>
      </x:c>
      <x:c r="ON87" s="14" t="n">
        <x:v>5</x:v>
      </x:c>
      <x:c r="OO87" s="14" t="n">
        <x:v>2376</x:v>
      </x:c>
      <x:c r="OP87" s="14" t="n">
        <x:v>275</x:v>
      </x:c>
      <x:c r="OQ87" s="14" t="n">
        <x:v>21</x:v>
      </x:c>
      <x:c r="OR87" s="14" t="n">
        <x:v>3</x:v>
      </x:c>
      <x:c r="OS87" s="14" t="str">
        <x:v>未收錄</x:v>
      </x:c>
      <x:c r="OT87" s="14" t="str">
        <x:v>27110</x:v>
      </x:c>
      <x:c r="OU87" s="14" t="n">
        <x:v>5</x:v>
      </x:c>
      <x:c r="OV87" s="14" t="n">
        <x:v>2377</x:v>
      </x:c>
      <x:c r="OW87" s="14" t="n">
        <x:v>276</x:v>
      </x:c>
      <x:c r="OX87" s="14" t="n">
        <x:v>21</x:v>
      </x:c>
      <x:c r="OY87" s="14" t="n">
        <x:v>4</x:v>
      </x:c>
      <x:c r="OZ87" s="14" t="str">
        <x:v>未收錄</x:v>
      </x:c>
      <x:c r="PA87" s="14" t="str">
        <x:v>28547</x:v>
      </x:c>
      <x:c r="PB87" s="14" t="n">
        <x:v>10</x:v>
      </x:c>
      <x:c r="PC87" s="14" t="n">
        <x:v>2920</x:v>
      </x:c>
      <x:c r="PD87" s="14" t="n">
        <x:v>273</x:v>
      </x:c>
      <x:c r="PE87" s="14" t="n">
        <x:v>21</x:v>
      </x:c>
      <x:c r="PF87" s="14" t="n">
        <x:v>1</x:v>
      </x:c>
      <x:c r="PG87" s="14" t="str">
        <x:v>未收錄</x:v>
      </x:c>
      <x:c r="PH87" s="14" t="str">
        <x:v>28410</x:v>
      </x:c>
      <x:c r="PI87" s="14" t="n">
        <x:v>5</x:v>
      </x:c>
      <x:c r="PJ87" s="14" t="n">
        <x:v>2921</x:v>
      </x:c>
      <x:c r="PK87" s="14" t="n">
        <x:v>274</x:v>
      </x:c>
      <x:c r="PL87" s="14" t="n">
        <x:v>21</x:v>
      </x:c>
      <x:c r="PM87" s="14" t="n">
        <x:v>2</x:v>
      </x:c>
      <x:c r="PN87" s="14" t="str">
        <x:v>未收錄</x:v>
      </x:c>
      <x:c r="PO87" s="14" t="str">
        <x:v>28413</x:v>
      </x:c>
      <x:c r="PP87" s="14" t="n">
        <x:v>5</x:v>
      </x:c>
      <x:c r="PQ87" s="14" t="n">
        <x:v>2922</x:v>
      </x:c>
      <x:c r="PR87" s="14" t="n">
        <x:v>275</x:v>
      </x:c>
      <x:c r="PS87" s="14" t="n">
        <x:v>21</x:v>
      </x:c>
      <x:c r="PT87" s="14" t="n">
        <x:v>3</x:v>
      </x:c>
      <x:c r="PU87" s="14" t="str">
        <x:v>未收錄</x:v>
      </x:c>
      <x:c r="PV87" s="14" t="str">
        <x:v>28416</x:v>
      </x:c>
      <x:c r="PW87" s="14" t="n">
        <x:v>5</x:v>
      </x:c>
      <x:c r="PX87" s="14" t="n">
        <x:v>2923</x:v>
      </x:c>
      <x:c r="PY87" s="14" t="n">
        <x:v>276</x:v>
      </x:c>
      <x:c r="PZ87" s="14" t="n">
        <x:v>21</x:v>
      </x:c>
      <x:c r="QA87" s="14" t="n">
        <x:v>4</x:v>
      </x:c>
      <x:c r="QB87" s="14" t="str">
        <x:v>未收錄</x:v>
      </x:c>
      <x:c r="QC87" s="14" t="str">
        <x:v>27717</x:v>
      </x:c>
      <x:c r="QD87" s="14" t="n">
        <x:v>5</x:v>
      </x:c>
      <x:c r="QE87" s="14" t="n">
        <x:v>3357</x:v>
      </x:c>
      <x:c r="QF87" s="14" t="n">
        <x:v>273</x:v>
      </x:c>
      <x:c r="QG87" s="14" t="n">
        <x:v>21</x:v>
      </x:c>
      <x:c r="QH87" s="14" t="n">
        <x:v>1</x:v>
      </x:c>
      <x:c r="QI87" s="14" t="str">
        <x:v>未收錄</x:v>
      </x:c>
      <x:c r="QJ87" s="14" t="str">
        <x:v>27718</x:v>
      </x:c>
      <x:c r="QK87" s="14" t="n">
        <x:v>5</x:v>
      </x:c>
      <x:c r="QL87" s="14" t="n">
        <x:v>3358</x:v>
      </x:c>
      <x:c r="QM87" s="14" t="n">
        <x:v>274</x:v>
      </x:c>
      <x:c r="QN87" s="14" t="n">
        <x:v>21</x:v>
      </x:c>
      <x:c r="QO87" s="14" t="n">
        <x:v>2</x:v>
      </x:c>
      <x:c r="QP87" s="14" t="str">
        <x:v>未收錄</x:v>
      </x:c>
      <x:c r="QQ87" s="14" t="str">
        <x:v>27719</x:v>
      </x:c>
      <x:c r="QR87" s="14" t="n">
        <x:v>5</x:v>
      </x:c>
      <x:c r="QS87" s="14" t="n">
        <x:v>3359</x:v>
      </x:c>
      <x:c r="QT87" s="14" t="n">
        <x:v>275</x:v>
      </x:c>
      <x:c r="QU87" s="14" t="n">
        <x:v>21</x:v>
      </x:c>
      <x:c r="QV87" s="14" t="n">
        <x:v>3</x:v>
      </x:c>
      <x:c r="QW87" s="14" t="str">
        <x:v>未收錄</x:v>
      </x:c>
      <x:c r="QX87" s="14" t="str">
        <x:v>27751</x:v>
      </x:c>
      <x:c r="QY87" s="14" t="n">
        <x:v>10</x:v>
      </x:c>
      <x:c r="QZ87" s="14" t="n">
        <x:v>3360</x:v>
      </x:c>
      <x:c r="RA87" s="14" t="n">
        <x:v>276</x:v>
      </x:c>
      <x:c r="RB87" s="14" t="n">
        <x:v>21</x:v>
      </x:c>
      <x:c r="RC87" s="14" t="n">
        <x:v>4</x:v>
      </x:c>
      <x:c r="RD87" s="14" t="str">
        <x:v>未收錄</x:v>
      </x:c>
      <x:c r="RE87" s="14" t="str">
        <x:v>28904</x:v>
      </x:c>
      <x:c r="RF87" s="14" t="n">
        <x:v>5</x:v>
      </x:c>
      <x:c r="RG87" s="14" t="n">
        <x:v>3818</x:v>
      </x:c>
      <x:c r="RH87" s="14" t="n">
        <x:v>273</x:v>
      </x:c>
      <x:c r="RI87" s="14" t="n">
        <x:v>21</x:v>
      </x:c>
      <x:c r="RJ87" s="14" t="n">
        <x:v>1</x:v>
      </x:c>
      <x:c r="RK87" s="14" t="str">
        <x:v>未收錄</x:v>
      </x:c>
      <x:c r="RL87" s="14" t="str">
        <x:v>28905</x:v>
      </x:c>
      <x:c r="RM87" s="14" t="n">
        <x:v>5</x:v>
      </x:c>
      <x:c r="RN87" s="14" t="n">
        <x:v>3819</x:v>
      </x:c>
      <x:c r="RO87" s="14" t="n">
        <x:v>274</x:v>
      </x:c>
      <x:c r="RP87" s="14" t="n">
        <x:v>21</x:v>
      </x:c>
      <x:c r="RQ87" s="14" t="n">
        <x:v>2</x:v>
      </x:c>
      <x:c r="RR87" s="14" t="str">
        <x:v>未收錄</x:v>
      </x:c>
      <x:c r="RS87" s="14" t="str">
        <x:v>28906</x:v>
      </x:c>
      <x:c r="RT87" s="14" t="n">
        <x:v>5</x:v>
      </x:c>
      <x:c r="RU87" s="14" t="n">
        <x:v>3820</x:v>
      </x:c>
      <x:c r="RV87" s="14" t="n">
        <x:v>275</x:v>
      </x:c>
      <x:c r="RW87" s="14" t="n">
        <x:v>21</x:v>
      </x:c>
      <x:c r="RX87" s="14" t="n">
        <x:v>3</x:v>
      </x:c>
      <x:c r="RY87" s="14" t="str">
        <x:v>未收錄</x:v>
      </x:c>
      <x:c r="RZ87" s="14" t="str">
        <x:v>28907</x:v>
      </x:c>
      <x:c r="SA87" s="14" t="n">
        <x:v>5</x:v>
      </x:c>
      <x:c r="SB87" s="14" t="n">
        <x:v>3821</x:v>
      </x:c>
      <x:c r="SC87" s="14" t="n">
        <x:v>276</x:v>
      </x:c>
      <x:c r="SD87" s="14" t="n">
        <x:v>21</x:v>
      </x:c>
      <x:c r="SE87" s="14" t="n">
        <x:v>4</x:v>
      </x:c>
      <x:c r="SF87" s="14" t="str">
        <x:v>未收錄</x:v>
      </x:c>
      <x:c r="SG87" s="14"/>
      <x:c r="SH87" s="14"/>
      <x:c r="SI87" s="14"/>
      <x:c r="SJ87" s="14"/>
      <x:c r="SK87" s="14"/>
      <x:c r="SL87" s="14"/>
      <x:c r="SM87" s="14"/>
      <x:c r="SN87" s="14"/>
      <x:c r="SO87" s="14"/>
      <x:c r="SP87" s="14"/>
      <x:c r="SQ87" s="14"/>
      <x:c r="SR87" s="14"/>
      <x:c r="SS87" s="14"/>
      <x:c r="ST87" s="14"/>
      <x:c r="SU87" s="14"/>
      <x:c r="SV87" s="14"/>
      <x:c r="SW87" s="14"/>
      <x:c r="SX87" s="14"/>
      <x:c r="SY87" s="14"/>
      <x:c r="SZ87" s="14"/>
      <x:c r="TA87" s="14"/>
      <x:c r="TB87" s="14"/>
      <x:c r="TC87" s="14"/>
      <x:c r="TD87" s="14"/>
      <x:c r="TE87" s="14"/>
      <x:c r="TF87" s="14"/>
      <x:c r="TG87" s="14"/>
      <x:c r="TH87" s="14"/>
    </x:row>
    <x:row r="88" ht="15" customHeight="1">
      <x:c r="A88" s="14"/>
      <x:c r="B88" s="14"/>
      <x:c r="C88" s="14"/>
      <x:c r="D88" s="14"/>
      <x:c r="E88" s="14"/>
      <x:c r="F88" s="14"/>
      <x:c r="G88" s="14"/>
      <x:c r="H88" s="14"/>
      <x:c r="I88" s="14"/>
      <x:c r="J88" s="14"/>
      <x:c r="K88" s="14"/>
      <x:c r="L88" s="14"/>
      <x:c r="M88" s="14"/>
      <x:c r="N88" s="14"/>
      <x:c r="O88" s="14"/>
      <x:c r="P88" s="14"/>
      <x:c r="Q88" s="14"/>
      <x:c r="R88" s="14"/>
      <x:c r="S88" s="14"/>
      <x:c r="T88" s="14"/>
      <x:c r="U88" s="14"/>
      <x:c r="V88" s="14"/>
      <x:c r="W88" s="14"/>
      <x:c r="X88" s="14"/>
      <x:c r="Y88" s="14"/>
      <x:c r="Z88" s="14"/>
      <x:c r="AA88" s="14"/>
      <x:c r="AB88" s="14"/>
      <x:c r="AC88" s="14"/>
      <x:c r="AD88" s="14"/>
      <x:c r="AE88" s="14"/>
      <x:c r="AF88" s="14"/>
      <x:c r="AG88" s="14"/>
      <x:c r="AH88" s="14"/>
      <x:c r="AI88" s="14"/>
      <x:c r="AJ88" s="14"/>
      <x:c r="AK88" s="14"/>
      <x:c r="AL88" s="14"/>
      <x:c r="AM88" s="14"/>
      <x:c r="AN88" s="14"/>
      <x:c r="AO88" s="14"/>
      <x:c r="AP88" s="14"/>
      <x:c r="AQ88" s="14"/>
      <x:c r="AR88" s="14"/>
      <x:c r="AS88" s="14"/>
      <x:c r="AT88" s="14"/>
      <x:c r="AU88" s="14"/>
      <x:c r="AV88" s="14"/>
      <x:c r="AW88" s="14"/>
      <x:c r="AX88" s="14"/>
      <x:c r="AY88" s="18" t="str">
        <x:v>真宇傲術幻紗</x:v>
      </x:c>
      <x:c r="AZ88" s="18" t="str">
        <x:v>真宇傲道輝冠</x:v>
      </x:c>
      <x:c r="BA88" s="18" t="str">
        <x:v>真宇傲禪光帽</x:v>
      </x:c>
      <x:c r="BB88" s="18" t="str">
        <x:v>真宇傲月讀巾</x:v>
      </x:c>
      <x:c r="BC88" s="14"/>
      <x:c r="BD88" s="18" t="str">
        <x:v>宇傲‧術幻裳</x:v>
      </x:c>
      <x:c r="BE88" s="18" t="str">
        <x:v>宇傲‧道輝服</x:v>
      </x:c>
      <x:c r="BF88" s="18" t="str">
        <x:v>宇傲‧禪光衣</x:v>
      </x:c>
      <x:c r="BG88" s="18" t="str">
        <x:v>宇傲‧饕餮鎧</x:v>
      </x:c>
      <x:c r="BH88" s="14"/>
      <x:c r="BI88" s="18" t="str">
        <x:v>星蹤手★★</x:v>
      </x:c>
      <x:c r="BJ88" s="18" t="str">
        <x:v>釋星拱★★</x:v>
      </x:c>
      <x:c r="BK88" s="18" t="str">
        <x:v>星兇手★★</x:v>
      </x:c>
      <x:c r="BL88" s="18" t="str">
        <x:v>煌嗚腕★★</x:v>
      </x:c>
      <x:c r="BM88" s="14"/>
      <x:c r="BN88" s="18" t="str">
        <x:v>真宇傲韋駝足</x:v>
      </x:c>
      <x:c r="BO88" s="18" t="str">
        <x:v>真宇傲流星靴</x:v>
      </x:c>
      <x:c r="BP88" s="18" t="str">
        <x:v>星鋒靴★</x:v>
      </x:c>
      <x:c r="BQ88" s="18" t="str">
        <x:v>鬥星脛★</x:v>
      </x:c>
      <x:c r="BR88" s="14"/>
      <x:c r="BS88" s="18" t="str">
        <x:v>風煌珠☆☆</x:v>
      </x:c>
      <x:c r="BT88" s="18" t="str">
        <x:v>風煌珠☆☆☆</x:v>
      </x:c>
      <x:c r="BU88" s="18" t="str">
        <x:v>地煌珠☆</x:v>
      </x:c>
      <x:c r="BV88" s="18" t="str">
        <x:v>地煌珠☆☆</x:v>
      </x:c>
      <x:c r="BW88" s="14"/>
      <x:c r="BX88" s="14"/>
      <x:c r="BY88" s="14"/>
      <x:c r="BZ88" s="14"/>
      <x:c r="CA88" s="14"/>
      <x:c r="CB88" s="14"/>
      <x:c r="CC88" s="14"/>
      <x:c r="CD88" s="14"/>
      <x:c r="CE88" s="14"/>
      <x:c r="CF88" s="14"/>
      <x:c r="CG88" s="14"/>
      <x:c r="CH88" s="14"/>
      <x:c r="CI88" s="14"/>
      <x:c r="CJ88" s="14"/>
      <x:c r="CK88" s="14"/>
      <x:c r="CL88" s="14"/>
      <x:c r="CM88" s="14"/>
      <x:c r="CN88" s="14"/>
      <x:c r="CO88" s="14"/>
      <x:c r="CP88" s="14"/>
      <x:c r="CQ88" s="14"/>
      <x:c r="CR88" s="14"/>
      <x:c r="CS88" s="14"/>
      <x:c r="CT88" s="14"/>
      <x:c r="CU88" s="14"/>
      <x:c r="CV88" s="14"/>
      <x:c r="CW88" s="14"/>
      <x:c r="CX88" s="14"/>
      <x:c r="CY88" s="14"/>
      <x:c r="CZ88" s="14"/>
      <x:c r="DA88" s="14"/>
      <x:c r="DB88" s="14"/>
      <x:c r="DC88" s="14"/>
      <x:c r="DD88" s="14"/>
      <x:c r="DE88" s="14"/>
      <x:c r="DF88" s="14"/>
      <x:c r="DG88" s="14"/>
      <x:c r="DH88" s="14"/>
      <x:c r="DI88" s="14"/>
      <x:c r="DJ88" s="14"/>
      <x:c r="DK88" s="14"/>
      <x:c r="DL88" s="14"/>
      <x:c r="DM88" s="14"/>
      <x:c r="DN88" s="14"/>
      <x:c r="DO88" s="14"/>
      <x:c r="DP88" s="14"/>
      <x:c r="DQ88" s="14"/>
      <x:c r="DR88" s="14"/>
      <x:c r="DS88" s="14"/>
      <x:c r="DT88" s="14"/>
      <x:c r="DU88" s="14"/>
      <x:c r="DV88" s="14"/>
      <x:c r="DW88" s="14"/>
      <x:c r="DX88" s="14"/>
      <x:c r="DY88" s="14"/>
      <x:c r="DZ88" s="14"/>
      <x:c r="EA88" s="14"/>
      <x:c r="EB88" s="14"/>
      <x:c r="EC88" s="14"/>
      <x:c r="ED88" s="14"/>
      <x:c r="EE88" s="14"/>
      <x:c r="EF88" s="14"/>
      <x:c r="EG88" s="14"/>
      <x:c r="EH88" s="14"/>
      <x:c r="EI88" s="14"/>
      <x:c r="EJ88" s="14"/>
      <x:c r="EK88" s="14"/>
      <x:c r="EL88" s="14"/>
      <x:c r="EM88" s="14"/>
      <x:c r="EN88" s="14"/>
      <x:c r="EO88" s="14"/>
      <x:c r="EP88" s="14"/>
      <x:c r="EQ88" s="14"/>
      <x:c r="ER88" s="14"/>
      <x:c r="ES88" s="14"/>
      <x:c r="ET88" s="14"/>
      <x:c r="EU88" s="14"/>
      <x:c r="EV88" s="14"/>
      <x:c r="EW88" s="14"/>
      <x:c r="EX88" s="14"/>
      <x:c r="EY88" s="14"/>
      <x:c r="EZ88" s="14"/>
      <x:c r="FA88" s="14"/>
      <x:c r="FB88" s="14"/>
      <x:c r="FC88" s="14"/>
      <x:c r="FD88" s="14"/>
      <x:c r="FE88" s="14"/>
      <x:c r="FF88" s="14"/>
      <x:c r="FG88" s="14"/>
      <x:c r="FH88" s="14"/>
      <x:c r="FI88" s="14"/>
      <x:c r="FJ88" s="14"/>
      <x:c r="FK88" s="14"/>
      <x:c r="FL88" s="14"/>
      <x:c r="FM88" s="14"/>
      <x:c r="FN88" s="14"/>
      <x:c r="FO88" s="14"/>
      <x:c r="FP88" s="14"/>
      <x:c r="FQ88" s="14"/>
      <x:c r="FR88" s="14"/>
      <x:c r="FS88" s="14"/>
      <x:c r="FT88" s="14"/>
      <x:c r="FU88" s="14"/>
      <x:c r="FV88" s="14"/>
      <x:c r="FW88" s="14"/>
      <x:c r="FX88" s="14"/>
      <x:c r="FY88" s="14"/>
      <x:c r="FZ88" s="14"/>
      <x:c r="GA88" s="14"/>
      <x:c r="GB88" s="14"/>
      <x:c r="GC88" s="14"/>
      <x:c r="GD88" s="14"/>
      <x:c r="GE88" s="14"/>
      <x:c r="GF88" s="14"/>
      <x:c r="GG88" s="14"/>
      <x:c r="GH88" s="14"/>
      <x:c r="GI88" s="14"/>
      <x:c r="GJ88" s="14"/>
      <x:c r="GK88" s="14"/>
      <x:c r="GL88" s="14"/>
      <x:c r="GM88" s="14"/>
      <x:c r="GN88" s="14"/>
      <x:c r="GO88" s="14"/>
      <x:c r="GP88" s="14"/>
      <x:c r="GQ88" s="14"/>
      <x:c r="GR88" s="14"/>
      <x:c r="GS88" s="14"/>
      <x:c r="GT88" s="14"/>
      <x:c r="GU88" s="14"/>
      <x:c r="GV88" s="14"/>
      <x:c r="GW88" s="14"/>
      <x:c r="GX88" s="14"/>
      <x:c r="GY88" s="14"/>
      <x:c r="GZ88" s="14"/>
      <x:c r="HA88" s="14"/>
      <x:c r="HB88" s="14"/>
      <x:c r="HC88" s="14"/>
      <x:c r="HD88" s="14"/>
      <x:c r="HE88" s="14"/>
      <x:c r="HF88" s="14"/>
      <x:c r="HG88" s="14"/>
      <x:c r="HH88" s="14"/>
      <x:c r="HI88" s="14"/>
      <x:c r="HJ88" s="14"/>
      <x:c r="HK88" s="14"/>
      <x:c r="HL88" s="14"/>
      <x:c r="HM88" s="14"/>
      <x:c r="HN88" s="14"/>
      <x:c r="HO88" s="14"/>
      <x:c r="HP88" s="14"/>
      <x:c r="HQ88" s="14"/>
      <x:c r="HR88" s="14"/>
      <x:c r="HS88" s="14"/>
      <x:c r="HT88" s="14"/>
      <x:c r="HU88" s="14"/>
      <x:c r="HV88" s="14"/>
      <x:c r="HW88" s="14"/>
      <x:c r="HX88" s="14"/>
      <x:c r="HY88" s="14"/>
      <x:c r="HZ88" s="14"/>
      <x:c r="IA88" s="14"/>
      <x:c r="IB88" s="14"/>
      <x:c r="IC88" s="14"/>
      <x:c r="ID88" s="14"/>
      <x:c r="IE88" s="14"/>
      <x:c r="IF88" s="14"/>
      <x:c r="IG88" s="14"/>
      <x:c r="IH88" s="14"/>
      <x:c r="II88" s="14"/>
      <x:c r="IJ88" s="14"/>
      <x:c r="IK88" s="14"/>
      <x:c r="IL88" s="14"/>
      <x:c r="IM88" s="14"/>
      <x:c r="IN88" s="14"/>
      <x:c r="IO88" s="14"/>
      <x:c r="IP88" s="14"/>
      <x:c r="IQ88" s="14"/>
      <x:c r="IR88" s="14"/>
      <x:c r="IS88" s="14"/>
      <x:c r="IT88" s="14"/>
      <x:c r="IU88" s="14"/>
      <x:c r="IV88" s="14"/>
      <x:c r="IW88" s="14"/>
      <x:c r="IX88" s="14"/>
      <x:c r="IY88" s="14"/>
      <x:c r="IZ88" s="14"/>
      <x:c r="JA88" s="14"/>
      <x:c r="JB88" s="14"/>
      <x:c r="JC88" s="14"/>
      <x:c r="JD88" s="14"/>
      <x:c r="JE88" s="14"/>
      <x:c r="JF88" s="14"/>
      <x:c r="JG88" s="14"/>
      <x:c r="JH88" s="14"/>
      <x:c r="JI88" s="14"/>
      <x:c r="JJ88" s="14"/>
      <x:c r="JK88" s="14"/>
      <x:c r="JL88" s="14"/>
      <x:c r="JM88" s="14"/>
      <x:c r="JN88" s="14"/>
      <x:c r="JO88" s="14"/>
      <x:c r="JP88" s="14"/>
      <x:c r="JQ88" s="14"/>
      <x:c r="JR88" s="14"/>
      <x:c r="JS88" s="14"/>
      <x:c r="JT88" s="14"/>
      <x:c r="JU88" s="14"/>
      <x:c r="JV88" s="14"/>
      <x:c r="JW88" s="14"/>
      <x:c r="JX88" s="14"/>
      <x:c r="JY88" s="14"/>
      <x:c r="JZ88" s="14"/>
      <x:c r="KA88" s="14"/>
      <x:c r="KB88" s="14"/>
      <x:c r="KC88" s="14"/>
      <x:c r="KD88" s="14"/>
      <x:c r="KE88" s="14"/>
      <x:c r="KF88" s="14"/>
      <x:c r="KG88" s="14"/>
      <x:c r="KH88" s="14"/>
      <x:c r="KI88" s="14"/>
      <x:c r="KJ88" s="14"/>
      <x:c r="KK88" s="14"/>
      <x:c r="KL88" s="14"/>
      <x:c r="KM88" s="14"/>
      <x:c r="KN88" s="14"/>
      <x:c r="KO88" s="14"/>
      <x:c r="KP88" s="14"/>
      <x:c r="KQ88" s="14"/>
      <x:c r="KR88" s="14"/>
      <x:c r="KS88" s="14"/>
      <x:c r="KT88" s="14"/>
      <x:c r="KU88" s="14"/>
      <x:c r="KV88" s="14"/>
      <x:c r="KW88" s="14"/>
      <x:c r="KX88" s="14"/>
      <x:c r="KY88" s="14"/>
      <x:c r="KZ88" s="14"/>
      <x:c r="LA88" s="14"/>
      <x:c r="LB88" s="14"/>
      <x:c r="LC88" s="14"/>
      <x:c r="LD88" s="14"/>
      <x:c r="LE88" s="14"/>
      <x:c r="LF88" s="14"/>
      <x:c r="LG88" s="14"/>
      <x:c r="LH88" s="14"/>
      <x:c r="LI88" s="14"/>
      <x:c r="LJ88" s="14"/>
      <x:c r="LK88" s="14"/>
      <x:c r="LL88" s="14"/>
      <x:c r="LM88" s="14"/>
      <x:c r="LN88" s="14"/>
      <x:c r="LO88" s="14"/>
      <x:c r="LP88" s="14"/>
      <x:c r="LQ88" s="14"/>
      <x:c r="LR88" s="14"/>
      <x:c r="LS88" s="14"/>
      <x:c r="LT88" s="14"/>
      <x:c r="LU88" s="14"/>
      <x:c r="LV88" s="14"/>
      <x:c r="LW88" s="14"/>
      <x:c r="LX88" s="14"/>
      <x:c r="LY88" s="14"/>
      <x:c r="LZ88" s="14"/>
      <x:c r="MA88" s="14"/>
      <x:c r="MB88" s="14"/>
      <x:c r="MC88" s="14"/>
      <x:c r="MD88" s="14"/>
      <x:c r="ME88" s="14"/>
      <x:c r="MF88" s="14"/>
      <x:c r="MG88" s="14"/>
      <x:c r="MH88" s="14"/>
      <x:c r="MI88" s="14"/>
      <x:c r="MJ88" s="14"/>
      <x:c r="MK88" s="14"/>
      <x:c r="ML88" s="14"/>
      <x:c r="MM88" s="14"/>
      <x:c r="MN88" s="14"/>
      <x:c r="MO88" s="14"/>
      <x:c r="MP88" s="14"/>
      <x:c r="MQ88" s="14"/>
      <x:c r="MR88" s="14"/>
      <x:c r="MS88" s="14"/>
      <x:c r="MT88" s="14"/>
      <x:c r="MU88" s="14"/>
      <x:c r="MV88" s="14"/>
      <x:c r="MW88" s="14" t="str">
        <x:v>27657</x:v>
      </x:c>
      <x:c r="MX88" s="14" t="n">
        <x:v>5</x:v>
      </x:c>
      <x:c r="MY88" s="14" t="n">
        <x:v>1925</x:v>
      </x:c>
      <x:c r="MZ88" s="14" t="n">
        <x:v>277</x:v>
      </x:c>
      <x:c r="NA88" s="14" t="n">
        <x:v>22</x:v>
      </x:c>
      <x:c r="NB88" s="14" t="n">
        <x:v>1</x:v>
      </x:c>
      <x:c r="NC88" s="14" t="str">
        <x:v>未收錄</x:v>
      </x:c>
      <x:c r="ND88" s="14" t="str">
        <x:v>27658</x:v>
      </x:c>
      <x:c r="NE88" s="14" t="n">
        <x:v>5</x:v>
      </x:c>
      <x:c r="NF88" s="14" t="n">
        <x:v>1926</x:v>
      </x:c>
      <x:c r="NG88" s="14" t="n">
        <x:v>278</x:v>
      </x:c>
      <x:c r="NH88" s="14" t="n">
        <x:v>22</x:v>
      </x:c>
      <x:c r="NI88" s="14" t="n">
        <x:v>2</x:v>
      </x:c>
      <x:c r="NJ88" s="14" t="str">
        <x:v>未收錄</x:v>
      </x:c>
      <x:c r="NK88" s="14" t="str">
        <x:v>27659</x:v>
      </x:c>
      <x:c r="NL88" s="14" t="n">
        <x:v>5</x:v>
      </x:c>
      <x:c r="NM88" s="14" t="n">
        <x:v>1927</x:v>
      </x:c>
      <x:c r="NN88" s="14" t="n">
        <x:v>279</x:v>
      </x:c>
      <x:c r="NO88" s="14" t="n">
        <x:v>22</x:v>
      </x:c>
      <x:c r="NP88" s="14" t="n">
        <x:v>3</x:v>
      </x:c>
      <x:c r="NQ88" s="14" t="str">
        <x:v>未收錄</x:v>
      </x:c>
      <x:c r="NR88" s="14" t="str">
        <x:v>27759</x:v>
      </x:c>
      <x:c r="NS88" s="14" t="n">
        <x:v>10</x:v>
      </x:c>
      <x:c r="NT88" s="14" t="n">
        <x:v>1928</x:v>
      </x:c>
      <x:c r="NU88" s="14" t="n">
        <x:v>280</x:v>
      </x:c>
      <x:c r="NV88" s="14" t="n">
        <x:v>22</x:v>
      </x:c>
      <x:c r="NW88" s="14" t="n">
        <x:v>4</x:v>
      </x:c>
      <x:c r="NX88" s="14" t="str">
        <x:v>未收錄</x:v>
      </x:c>
      <x:c r="NY88" s="14" t="str">
        <x:v>27111</x:v>
      </x:c>
      <x:c r="NZ88" s="14" t="n">
        <x:v>5</x:v>
      </x:c>
      <x:c r="OA88" s="14" t="n">
        <x:v>2378</x:v>
      </x:c>
      <x:c r="OB88" s="14" t="n">
        <x:v>277</x:v>
      </x:c>
      <x:c r="OC88" s="14" t="n">
        <x:v>22</x:v>
      </x:c>
      <x:c r="OD88" s="14" t="n">
        <x:v>1</x:v>
      </x:c>
      <x:c r="OE88" s="14" t="str">
        <x:v>未收錄</x:v>
      </x:c>
      <x:c r="OF88" s="14" t="str">
        <x:v>27112</x:v>
      </x:c>
      <x:c r="OG88" s="14" t="n">
        <x:v>5</x:v>
      </x:c>
      <x:c r="OH88" s="14" t="n">
        <x:v>2379</x:v>
      </x:c>
      <x:c r="OI88" s="14" t="n">
        <x:v>278</x:v>
      </x:c>
      <x:c r="OJ88" s="14" t="n">
        <x:v>22</x:v>
      </x:c>
      <x:c r="OK88" s="14" t="n">
        <x:v>2</x:v>
      </x:c>
      <x:c r="OL88" s="14" t="str">
        <x:v>未收錄</x:v>
      </x:c>
      <x:c r="OM88" s="14" t="str">
        <x:v>27113</x:v>
      </x:c>
      <x:c r="ON88" s="14" t="n">
        <x:v>5</x:v>
      </x:c>
      <x:c r="OO88" s="14" t="n">
        <x:v>2380</x:v>
      </x:c>
      <x:c r="OP88" s="14" t="n">
        <x:v>279</x:v>
      </x:c>
      <x:c r="OQ88" s="14" t="n">
        <x:v>22</x:v>
      </x:c>
      <x:c r="OR88" s="14" t="n">
        <x:v>3</x:v>
      </x:c>
      <x:c r="OS88" s="14" t="str">
        <x:v>未收錄</x:v>
      </x:c>
      <x:c r="OT88" s="14" t="str">
        <x:v>27217</x:v>
      </x:c>
      <x:c r="OU88" s="14" t="n">
        <x:v>10</x:v>
      </x:c>
      <x:c r="OV88" s="14" t="n">
        <x:v>2381</x:v>
      </x:c>
      <x:c r="OW88" s="14" t="n">
        <x:v>280</x:v>
      </x:c>
      <x:c r="OX88" s="14" t="n">
        <x:v>22</x:v>
      </x:c>
      <x:c r="OY88" s="14" t="n">
        <x:v>4</x:v>
      </x:c>
      <x:c r="OZ88" s="14" t="str">
        <x:v>未收錄</x:v>
      </x:c>
      <x:c r="PA88" s="14" t="str">
        <x:v>28419</x:v>
      </x:c>
      <x:c r="PB88" s="14" t="n">
        <x:v>5</x:v>
      </x:c>
      <x:c r="PC88" s="14" t="n">
        <x:v>2924</x:v>
      </x:c>
      <x:c r="PD88" s="14" t="n">
        <x:v>277</x:v>
      </x:c>
      <x:c r="PE88" s="14" t="n">
        <x:v>22</x:v>
      </x:c>
      <x:c r="PF88" s="14" t="n">
        <x:v>1</x:v>
      </x:c>
      <x:c r="PG88" s="14" t="str">
        <x:v>未收錄</x:v>
      </x:c>
      <x:c r="PH88" s="14" t="str">
        <x:v>28422</x:v>
      </x:c>
      <x:c r="PI88" s="14" t="n">
        <x:v>5</x:v>
      </x:c>
      <x:c r="PJ88" s="14" t="n">
        <x:v>2925</x:v>
      </x:c>
      <x:c r="PK88" s="14" t="n">
        <x:v>278</x:v>
      </x:c>
      <x:c r="PL88" s="14" t="n">
        <x:v>22</x:v>
      </x:c>
      <x:c r="PM88" s="14" t="n">
        <x:v>2</x:v>
      </x:c>
      <x:c r="PN88" s="14" t="str">
        <x:v>未收錄</x:v>
      </x:c>
      <x:c r="PO88" s="14" t="str">
        <x:v>28536</x:v>
      </x:c>
      <x:c r="PP88" s="14" t="n">
        <x:v>10</x:v>
      </x:c>
      <x:c r="PQ88" s="14" t="n">
        <x:v>2926</x:v>
      </x:c>
      <x:c r="PR88" s="14" t="n">
        <x:v>279</x:v>
      </x:c>
      <x:c r="PS88" s="14" t="n">
        <x:v>22</x:v>
      </x:c>
      <x:c r="PT88" s="14" t="n">
        <x:v>3</x:v>
      </x:c>
      <x:c r="PU88" s="14" t="str">
        <x:v>未收錄</x:v>
      </x:c>
      <x:c r="PV88" s="14" t="str">
        <x:v>28548</x:v>
      </x:c>
      <x:c r="PW88" s="14" t="n">
        <x:v>10</x:v>
      </x:c>
      <x:c r="PX88" s="14" t="n">
        <x:v>2927</x:v>
      </x:c>
      <x:c r="PY88" s="14" t="n">
        <x:v>280</x:v>
      </x:c>
      <x:c r="PZ88" s="14" t="n">
        <x:v>22</x:v>
      </x:c>
      <x:c r="QA88" s="14" t="n">
        <x:v>4</x:v>
      </x:c>
      <x:c r="QB88" s="14" t="str">
        <x:v>未收錄</x:v>
      </x:c>
      <x:c r="QC88" s="14" t="str">
        <x:v>27767</x:v>
      </x:c>
      <x:c r="QD88" s="14" t="n">
        <x:v>10</x:v>
      </x:c>
      <x:c r="QE88" s="14" t="n">
        <x:v>3361</x:v>
      </x:c>
      <x:c r="QF88" s="14" t="n">
        <x:v>277</x:v>
      </x:c>
      <x:c r="QG88" s="14" t="n">
        <x:v>22</x:v>
      </x:c>
      <x:c r="QH88" s="14" t="n">
        <x:v>1</x:v>
      </x:c>
      <x:c r="QI88" s="14" t="str">
        <x:v>未收錄</x:v>
      </x:c>
      <x:c r="QJ88" s="14" t="str">
        <x:v>27779</x:v>
      </x:c>
      <x:c r="QK88" s="14" t="n">
        <x:v>10</x:v>
      </x:c>
      <x:c r="QL88" s="14" t="n">
        <x:v>3362</x:v>
      </x:c>
      <x:c r="QM88" s="14" t="n">
        <x:v>278</x:v>
      </x:c>
      <x:c r="QN88" s="14" t="n">
        <x:v>22</x:v>
      </x:c>
      <x:c r="QO88" s="14" t="n">
        <x:v>2</x:v>
      </x:c>
      <x:c r="QP88" s="14" t="str">
        <x:v>未收錄</x:v>
      </x:c>
      <x:c r="QQ88" s="14" t="str">
        <x:v>28424</x:v>
      </x:c>
      <x:c r="QR88" s="14" t="n">
        <x:v>5</x:v>
      </x:c>
      <x:c r="QS88" s="14" t="n">
        <x:v>3363</x:v>
      </x:c>
      <x:c r="QT88" s="14" t="n">
        <x:v>279</x:v>
      </x:c>
      <x:c r="QU88" s="14" t="n">
        <x:v>22</x:v>
      </x:c>
      <x:c r="QV88" s="14" t="n">
        <x:v>3</x:v>
      </x:c>
      <x:c r="QW88" s="14" t="str">
        <x:v>未收錄</x:v>
      </x:c>
      <x:c r="QX88" s="14" t="str">
        <x:v>28427</x:v>
      </x:c>
      <x:c r="QY88" s="14" t="n">
        <x:v>5</x:v>
      </x:c>
      <x:c r="QZ88" s="14" t="n">
        <x:v>3364</x:v>
      </x:c>
      <x:c r="RA88" s="14" t="n">
        <x:v>280</x:v>
      </x:c>
      <x:c r="RB88" s="14" t="n">
        <x:v>22</x:v>
      </x:c>
      <x:c r="RC88" s="14" t="n">
        <x:v>4</x:v>
      </x:c>
      <x:c r="RD88" s="14" t="str">
        <x:v>未收錄</x:v>
      </x:c>
      <x:c r="RE88" s="14" t="str">
        <x:v>28908</x:v>
      </x:c>
      <x:c r="RF88" s="14" t="n">
        <x:v>5</x:v>
      </x:c>
      <x:c r="RG88" s="14" t="n">
        <x:v>3822</x:v>
      </x:c>
      <x:c r="RH88" s="14" t="n">
        <x:v>277</x:v>
      </x:c>
      <x:c r="RI88" s="14" t="n">
        <x:v>22</x:v>
      </x:c>
      <x:c r="RJ88" s="14" t="n">
        <x:v>1</x:v>
      </x:c>
      <x:c r="RK88" s="14" t="str">
        <x:v>未收錄</x:v>
      </x:c>
      <x:c r="RL88" s="14" t="str">
        <x:v>28909</x:v>
      </x:c>
      <x:c r="RM88" s="14" t="n">
        <x:v>5</x:v>
      </x:c>
      <x:c r="RN88" s="14" t="n">
        <x:v>3823</x:v>
      </x:c>
      <x:c r="RO88" s="14" t="n">
        <x:v>278</x:v>
      </x:c>
      <x:c r="RP88" s="14" t="n">
        <x:v>22</x:v>
      </x:c>
      <x:c r="RQ88" s="14" t="n">
        <x:v>2</x:v>
      </x:c>
      <x:c r="RR88" s="14" t="str">
        <x:v>未收錄</x:v>
      </x:c>
      <x:c r="RS88" s="14" t="str">
        <x:v>28910</x:v>
      </x:c>
      <x:c r="RT88" s="14" t="n">
        <x:v>5</x:v>
      </x:c>
      <x:c r="RU88" s="14" t="n">
        <x:v>3824</x:v>
      </x:c>
      <x:c r="RV88" s="14" t="n">
        <x:v>279</x:v>
      </x:c>
      <x:c r="RW88" s="14" t="n">
        <x:v>22</x:v>
      </x:c>
      <x:c r="RX88" s="14" t="n">
        <x:v>3</x:v>
      </x:c>
      <x:c r="RY88" s="14" t="str">
        <x:v>未收錄</x:v>
      </x:c>
      <x:c r="RZ88" s="14" t="str">
        <x:v>28911</x:v>
      </x:c>
      <x:c r="SA88" s="14" t="n">
        <x:v>5</x:v>
      </x:c>
      <x:c r="SB88" s="14" t="n">
        <x:v>3825</x:v>
      </x:c>
      <x:c r="SC88" s="14" t="n">
        <x:v>280</x:v>
      </x:c>
      <x:c r="SD88" s="14" t="n">
        <x:v>22</x:v>
      </x:c>
      <x:c r="SE88" s="14" t="n">
        <x:v>4</x:v>
      </x:c>
      <x:c r="SF88" s="14" t="str">
        <x:v>未收錄</x:v>
      </x:c>
      <x:c r="SG88" s="14"/>
      <x:c r="SH88" s="14"/>
      <x:c r="SI88" s="14"/>
      <x:c r="SJ88" s="14"/>
      <x:c r="SK88" s="14"/>
      <x:c r="SL88" s="14"/>
      <x:c r="SM88" s="14"/>
      <x:c r="SN88" s="14"/>
      <x:c r="SO88" s="14"/>
      <x:c r="SP88" s="14"/>
      <x:c r="SQ88" s="14"/>
      <x:c r="SR88" s="14"/>
      <x:c r="SS88" s="14"/>
      <x:c r="ST88" s="14"/>
      <x:c r="SU88" s="14"/>
      <x:c r="SV88" s="14"/>
      <x:c r="SW88" s="14"/>
      <x:c r="SX88" s="14"/>
      <x:c r="SY88" s="14"/>
      <x:c r="SZ88" s="14"/>
      <x:c r="TA88" s="14"/>
      <x:c r="TB88" s="14"/>
      <x:c r="TC88" s="14"/>
      <x:c r="TD88" s="14"/>
      <x:c r="TE88" s="14"/>
      <x:c r="TF88" s="14"/>
      <x:c r="TG88" s="14"/>
      <x:c r="TH88" s="14"/>
    </x:row>
    <x:row r="89" ht="15" customHeight="1">
      <x:c r="A89" s="14"/>
      <x:c r="B89" s="14"/>
      <x:c r="C89" s="14"/>
      <x:c r="D89" s="14"/>
      <x:c r="E89" s="14"/>
      <x:c r="F89" s="14"/>
      <x:c r="G89" s="14"/>
      <x:c r="H89" s="14"/>
      <x:c r="I89" s="14"/>
      <x:c r="J89" s="14"/>
      <x:c r="K89" s="14"/>
      <x:c r="L89" s="14"/>
      <x:c r="M89" s="14"/>
      <x:c r="N89" s="14"/>
      <x:c r="O89" s="14"/>
      <x:c r="P89" s="14"/>
      <x:c r="Q89" s="14"/>
      <x:c r="R89" s="14"/>
      <x:c r="S89" s="14"/>
      <x:c r="T89" s="14"/>
      <x:c r="U89" s="14"/>
      <x:c r="V89" s="14"/>
      <x:c r="W89" s="14"/>
      <x:c r="X89" s="14"/>
      <x:c r="Y89" s="14"/>
      <x:c r="Z89" s="14"/>
      <x:c r="AA89" s="14"/>
      <x:c r="AB89" s="14"/>
      <x:c r="AC89" s="14"/>
      <x:c r="AD89" s="14"/>
      <x:c r="AE89" s="14"/>
      <x:c r="AF89" s="14"/>
      <x:c r="AG89" s="14"/>
      <x:c r="AH89" s="14"/>
      <x:c r="AI89" s="14"/>
      <x:c r="AJ89" s="14"/>
      <x:c r="AK89" s="14"/>
      <x:c r="AL89" s="14"/>
      <x:c r="AM89" s="14"/>
      <x:c r="AN89" s="14"/>
      <x:c r="AO89" s="14"/>
      <x:c r="AP89" s="14"/>
      <x:c r="AQ89" s="14"/>
      <x:c r="AR89" s="14"/>
      <x:c r="AS89" s="14"/>
      <x:c r="AT89" s="14"/>
      <x:c r="AU89" s="14"/>
      <x:c r="AV89" s="14"/>
      <x:c r="AW89" s="14"/>
      <x:c r="AX89" s="14"/>
      <x:c r="AY89" s="17" t="str">
        <x:v>真宇傲混沌冠</x:v>
      </x:c>
      <x:c r="AZ89" s="17" t="str">
        <x:v>星鋒冠★</x:v>
      </x:c>
      <x:c r="BA89" s="17" t="str">
        <x:v>鬥星盔★</x:v>
      </x:c>
      <x:c r="BB89" s="17" t="str">
        <x:v>遊星箍★</x:v>
      </x:c>
      <x:c r="BC89" s="14"/>
      <x:c r="BD89" s="17" t="str">
        <x:v>宇傲‧天狗衣</x:v>
      </x:c>
      <x:c r="BE89" s="17" t="str">
        <x:v>宇傲‧隱遁甲</x:v>
      </x:c>
      <x:c r="BF89" s="17" t="str">
        <x:v>宇傲‧無相裟</x:v>
      </x:c>
      <x:c r="BG89" s="17" t="str">
        <x:v>峻霆‧劍聖冑</x:v>
      </x:c>
      <x:c r="BH89" s="14"/>
      <x:c r="BI89" s="17" t="str">
        <x:v>星鋒腕★★★</x:v>
      </x:c>
      <x:c r="BJ89" s="17" t="str">
        <x:v>鬥星臂★★★</x:v>
      </x:c>
      <x:c r="BK89" s="17" t="str">
        <x:v>遊星掌★★★</x:v>
      </x:c>
      <x:c r="BL89" s="17" t="str">
        <x:v>星蹤手★★★</x:v>
      </x:c>
      <x:c r="BM89" s="14"/>
      <x:c r="BN89" s="17" t="str">
        <x:v>遊星足★</x:v>
      </x:c>
      <x:c r="BO89" s="17" t="str">
        <x:v>星蹤履★</x:v>
      </x:c>
      <x:c r="BP89" s="17" t="str">
        <x:v>釋星行★</x:v>
      </x:c>
      <x:c r="BQ89" s="17" t="str">
        <x:v>星兇靴★</x:v>
      </x:c>
      <x:c r="BR89" s="14"/>
      <x:c r="BS89" s="17" t="str">
        <x:v>地煌珠☆☆☆</x:v>
      </x:c>
      <x:c r="BT89" s="17" t="str">
        <x:v>真三花聚頂玉</x:v>
      </x:c>
      <x:c r="BU89" s="17" t="str">
        <x:v>真醍醐灌頂珮</x:v>
      </x:c>
      <x:c r="BV89" s="17" t="str">
        <x:v>超仙氣聚納環</x:v>
      </x:c>
      <x:c r="BW89" s="14"/>
      <x:c r="BX89" s="14"/>
      <x:c r="BY89" s="14"/>
      <x:c r="BZ89" s="14"/>
      <x:c r="CA89" s="14"/>
      <x:c r="CB89" s="14"/>
      <x:c r="CC89" s="14"/>
      <x:c r="CD89" s="14"/>
      <x:c r="CE89" s="14"/>
      <x:c r="CF89" s="14"/>
      <x:c r="CG89" s="14"/>
      <x:c r="CH89" s="14"/>
      <x:c r="CI89" s="14"/>
      <x:c r="CJ89" s="14"/>
      <x:c r="CK89" s="14"/>
      <x:c r="CL89" s="14"/>
      <x:c r="CM89" s="14"/>
      <x:c r="CN89" s="14"/>
      <x:c r="CO89" s="14"/>
      <x:c r="CP89" s="14"/>
      <x:c r="CQ89" s="14"/>
      <x:c r="CR89" s="14"/>
      <x:c r="CS89" s="14"/>
      <x:c r="CT89" s="14"/>
      <x:c r="CU89" s="14"/>
      <x:c r="CV89" s="14"/>
      <x:c r="CW89" s="14"/>
      <x:c r="CX89" s="14"/>
      <x:c r="CY89" s="14"/>
      <x:c r="CZ89" s="14"/>
      <x:c r="DA89" s="14"/>
      <x:c r="DB89" s="14"/>
      <x:c r="DC89" s="14"/>
      <x:c r="DD89" s="14"/>
      <x:c r="DE89" s="14"/>
      <x:c r="DF89" s="14"/>
      <x:c r="DG89" s="14"/>
      <x:c r="DH89" s="14"/>
      <x:c r="DI89" s="14"/>
      <x:c r="DJ89" s="14"/>
      <x:c r="DK89" s="14"/>
      <x:c r="DL89" s="14"/>
      <x:c r="DM89" s="14"/>
      <x:c r="DN89" s="14"/>
      <x:c r="DO89" s="14"/>
      <x:c r="DP89" s="14"/>
      <x:c r="DQ89" s="14"/>
      <x:c r="DR89" s="14"/>
      <x:c r="DS89" s="14"/>
      <x:c r="DT89" s="14"/>
      <x:c r="DU89" s="14"/>
      <x:c r="DV89" s="14"/>
      <x:c r="DW89" s="14"/>
      <x:c r="DX89" s="14"/>
      <x:c r="DY89" s="14"/>
      <x:c r="DZ89" s="14"/>
      <x:c r="EA89" s="14"/>
      <x:c r="EB89" s="14"/>
      <x:c r="EC89" s="14"/>
      <x:c r="ED89" s="14"/>
      <x:c r="EE89" s="14"/>
      <x:c r="EF89" s="14"/>
      <x:c r="EG89" s="14"/>
      <x:c r="EH89" s="14"/>
      <x:c r="EI89" s="14"/>
      <x:c r="EJ89" s="14"/>
      <x:c r="EK89" s="14"/>
      <x:c r="EL89" s="14"/>
      <x:c r="EM89" s="14"/>
      <x:c r="EN89" s="14"/>
      <x:c r="EO89" s="14"/>
      <x:c r="EP89" s="14"/>
      <x:c r="EQ89" s="14"/>
      <x:c r="ER89" s="14"/>
      <x:c r="ES89" s="14"/>
      <x:c r="ET89" s="14"/>
      <x:c r="EU89" s="14"/>
      <x:c r="EV89" s="14"/>
      <x:c r="EW89" s="14"/>
      <x:c r="EX89" s="14"/>
      <x:c r="EY89" s="14"/>
      <x:c r="EZ89" s="14"/>
      <x:c r="FA89" s="14"/>
      <x:c r="FB89" s="14"/>
      <x:c r="FC89" s="14"/>
      <x:c r="FD89" s="14"/>
      <x:c r="FE89" s="14"/>
      <x:c r="FF89" s="14"/>
      <x:c r="FG89" s="14"/>
      <x:c r="FH89" s="14"/>
      <x:c r="FI89" s="14"/>
      <x:c r="FJ89" s="14"/>
      <x:c r="FK89" s="14"/>
      <x:c r="FL89" s="14"/>
      <x:c r="FM89" s="14"/>
      <x:c r="FN89" s="14"/>
      <x:c r="FO89" s="14"/>
      <x:c r="FP89" s="14"/>
      <x:c r="FQ89" s="14"/>
      <x:c r="FR89" s="14"/>
      <x:c r="FS89" s="14"/>
      <x:c r="FT89" s="14"/>
      <x:c r="FU89" s="14"/>
      <x:c r="FV89" s="14"/>
      <x:c r="FW89" s="14"/>
      <x:c r="FX89" s="14"/>
      <x:c r="FY89" s="14"/>
      <x:c r="FZ89" s="14"/>
      <x:c r="GA89" s="14"/>
      <x:c r="GB89" s="14"/>
      <x:c r="GC89" s="14"/>
      <x:c r="GD89" s="14"/>
      <x:c r="GE89" s="14"/>
      <x:c r="GF89" s="14"/>
      <x:c r="GG89" s="14"/>
      <x:c r="GH89" s="14"/>
      <x:c r="GI89" s="14"/>
      <x:c r="GJ89" s="14"/>
      <x:c r="GK89" s="14"/>
      <x:c r="GL89" s="14"/>
      <x:c r="GM89" s="14"/>
      <x:c r="GN89" s="14"/>
      <x:c r="GO89" s="14"/>
      <x:c r="GP89" s="14"/>
      <x:c r="GQ89" s="14"/>
      <x:c r="GR89" s="14"/>
      <x:c r="GS89" s="14"/>
      <x:c r="GT89" s="14"/>
      <x:c r="GU89" s="14"/>
      <x:c r="GV89" s="14"/>
      <x:c r="GW89" s="14"/>
      <x:c r="GX89" s="14"/>
      <x:c r="GY89" s="14"/>
      <x:c r="GZ89" s="14"/>
      <x:c r="HA89" s="14"/>
      <x:c r="HB89" s="14"/>
      <x:c r="HC89" s="14"/>
      <x:c r="HD89" s="14"/>
      <x:c r="HE89" s="14"/>
      <x:c r="HF89" s="14"/>
      <x:c r="HG89" s="14"/>
      <x:c r="HH89" s="14"/>
      <x:c r="HI89" s="14"/>
      <x:c r="HJ89" s="14"/>
      <x:c r="HK89" s="14"/>
      <x:c r="HL89" s="14"/>
      <x:c r="HM89" s="14"/>
      <x:c r="HN89" s="14"/>
      <x:c r="HO89" s="14"/>
      <x:c r="HP89" s="14"/>
      <x:c r="HQ89" s="14"/>
      <x:c r="HR89" s="14"/>
      <x:c r="HS89" s="14"/>
      <x:c r="HT89" s="14"/>
      <x:c r="HU89" s="14"/>
      <x:c r="HV89" s="14"/>
      <x:c r="HW89" s="14"/>
      <x:c r="HX89" s="14"/>
      <x:c r="HY89" s="14"/>
      <x:c r="HZ89" s="14"/>
      <x:c r="IA89" s="14"/>
      <x:c r="IB89" s="14"/>
      <x:c r="IC89" s="14"/>
      <x:c r="ID89" s="14"/>
      <x:c r="IE89" s="14"/>
      <x:c r="IF89" s="14"/>
      <x:c r="IG89" s="14"/>
      <x:c r="IH89" s="14"/>
      <x:c r="II89" s="14"/>
      <x:c r="IJ89" s="14"/>
      <x:c r="IK89" s="14"/>
      <x:c r="IL89" s="14"/>
      <x:c r="IM89" s="14"/>
      <x:c r="IN89" s="14"/>
      <x:c r="IO89" s="14"/>
      <x:c r="IP89" s="14"/>
      <x:c r="IQ89" s="14"/>
      <x:c r="IR89" s="14"/>
      <x:c r="IS89" s="14"/>
      <x:c r="IT89" s="14"/>
      <x:c r="IU89" s="14"/>
      <x:c r="IV89" s="14"/>
      <x:c r="IW89" s="14"/>
      <x:c r="IX89" s="14"/>
      <x:c r="IY89" s="14"/>
      <x:c r="IZ89" s="14"/>
      <x:c r="JA89" s="14"/>
      <x:c r="JB89" s="14"/>
      <x:c r="JC89" s="14"/>
      <x:c r="JD89" s="14"/>
      <x:c r="JE89" s="14"/>
      <x:c r="JF89" s="14"/>
      <x:c r="JG89" s="14"/>
      <x:c r="JH89" s="14"/>
      <x:c r="JI89" s="14"/>
      <x:c r="JJ89" s="14"/>
      <x:c r="JK89" s="14"/>
      <x:c r="JL89" s="14"/>
      <x:c r="JM89" s="14"/>
      <x:c r="JN89" s="14"/>
      <x:c r="JO89" s="14"/>
      <x:c r="JP89" s="14"/>
      <x:c r="JQ89" s="14"/>
      <x:c r="JR89" s="14"/>
      <x:c r="JS89" s="14"/>
      <x:c r="JT89" s="14"/>
      <x:c r="JU89" s="14"/>
      <x:c r="JV89" s="14"/>
      <x:c r="JW89" s="14"/>
      <x:c r="JX89" s="14"/>
      <x:c r="JY89" s="14"/>
      <x:c r="JZ89" s="14"/>
      <x:c r="KA89" s="14"/>
      <x:c r="KB89" s="14"/>
      <x:c r="KC89" s="14"/>
      <x:c r="KD89" s="14"/>
      <x:c r="KE89" s="14"/>
      <x:c r="KF89" s="14"/>
      <x:c r="KG89" s="14"/>
      <x:c r="KH89" s="14"/>
      <x:c r="KI89" s="14"/>
      <x:c r="KJ89" s="14"/>
      <x:c r="KK89" s="14"/>
      <x:c r="KL89" s="14"/>
      <x:c r="KM89" s="14"/>
      <x:c r="KN89" s="14"/>
      <x:c r="KO89" s="14"/>
      <x:c r="KP89" s="14"/>
      <x:c r="KQ89" s="14"/>
      <x:c r="KR89" s="14"/>
      <x:c r="KS89" s="14"/>
      <x:c r="KT89" s="14"/>
      <x:c r="KU89" s="14"/>
      <x:c r="KV89" s="14"/>
      <x:c r="KW89" s="14"/>
      <x:c r="KX89" s="14"/>
      <x:c r="KY89" s="14"/>
      <x:c r="KZ89" s="14"/>
      <x:c r="LA89" s="14"/>
      <x:c r="LB89" s="14"/>
      <x:c r="LC89" s="14"/>
      <x:c r="LD89" s="14"/>
      <x:c r="LE89" s="14"/>
      <x:c r="LF89" s="14"/>
      <x:c r="LG89" s="14"/>
      <x:c r="LH89" s="14"/>
      <x:c r="LI89" s="14"/>
      <x:c r="LJ89" s="14"/>
      <x:c r="LK89" s="14"/>
      <x:c r="LL89" s="14"/>
      <x:c r="LM89" s="14"/>
      <x:c r="LN89" s="14"/>
      <x:c r="LO89" s="14"/>
      <x:c r="LP89" s="14"/>
      <x:c r="LQ89" s="14"/>
      <x:c r="LR89" s="14"/>
      <x:c r="LS89" s="14"/>
      <x:c r="LT89" s="14"/>
      <x:c r="LU89" s="14"/>
      <x:c r="LV89" s="14"/>
      <x:c r="LW89" s="14"/>
      <x:c r="LX89" s="14"/>
      <x:c r="LY89" s="14"/>
      <x:c r="LZ89" s="14"/>
      <x:c r="MA89" s="14"/>
      <x:c r="MB89" s="14"/>
      <x:c r="MC89" s="14"/>
      <x:c r="MD89" s="14"/>
      <x:c r="ME89" s="14"/>
      <x:c r="MF89" s="14"/>
      <x:c r="MG89" s="14"/>
      <x:c r="MH89" s="14"/>
      <x:c r="MI89" s="14"/>
      <x:c r="MJ89" s="14"/>
      <x:c r="MK89" s="14"/>
      <x:c r="ML89" s="14"/>
      <x:c r="MM89" s="14"/>
      <x:c r="MN89" s="14"/>
      <x:c r="MO89" s="14"/>
      <x:c r="MP89" s="14"/>
      <x:c r="MQ89" s="14"/>
      <x:c r="MR89" s="14"/>
      <x:c r="MS89" s="14"/>
      <x:c r="MT89" s="14"/>
      <x:c r="MU89" s="14"/>
      <x:c r="MV89" s="14"/>
      <x:c r="MW89" s="14" t="str">
        <x:v>27739</x:v>
      </x:c>
      <x:c r="MX89" s="14" t="n">
        <x:v>10</x:v>
      </x:c>
      <x:c r="MY89" s="14" t="n">
        <x:v>1929</x:v>
      </x:c>
      <x:c r="MZ89" s="14" t="n">
        <x:v>281</x:v>
      </x:c>
      <x:c r="NA89" s="14" t="n">
        <x:v>23</x:v>
      </x:c>
      <x:c r="NB89" s="14" t="n">
        <x:v>1</x:v>
      </x:c>
      <x:c r="NC89" s="14" t="str">
        <x:v>未收錄</x:v>
      </x:c>
      <x:c r="ND89" s="14" t="str">
        <x:v>28379</x:v>
      </x:c>
      <x:c r="NE89" s="14" t="n">
        <x:v>5</x:v>
      </x:c>
      <x:c r="NF89" s="14" t="n">
        <x:v>1930</x:v>
      </x:c>
      <x:c r="NG89" s="14" t="n">
        <x:v>282</x:v>
      </x:c>
      <x:c r="NH89" s="14" t="n">
        <x:v>23</x:v>
      </x:c>
      <x:c r="NI89" s="14" t="n">
        <x:v>2</x:v>
      </x:c>
      <x:c r="NJ89" s="14" t="str">
        <x:v>未收錄</x:v>
      </x:c>
      <x:c r="NK89" s="14" t="str">
        <x:v>28382</x:v>
      </x:c>
      <x:c r="NL89" s="14" t="n">
        <x:v>5</x:v>
      </x:c>
      <x:c r="NM89" s="14" t="n">
        <x:v>1931</x:v>
      </x:c>
      <x:c r="NN89" s="14" t="n">
        <x:v>283</x:v>
      </x:c>
      <x:c r="NO89" s="14" t="n">
        <x:v>23</x:v>
      </x:c>
      <x:c r="NP89" s="14" t="n">
        <x:v>3</x:v>
      </x:c>
      <x:c r="NQ89" s="14" t="str">
        <x:v>未收錄</x:v>
      </x:c>
      <x:c r="NR89" s="14" t="str">
        <x:v>28385</x:v>
      </x:c>
      <x:c r="NS89" s="14" t="n">
        <x:v>5</x:v>
      </x:c>
      <x:c r="NT89" s="14" t="n">
        <x:v>1932</x:v>
      </x:c>
      <x:c r="NU89" s="14" t="n">
        <x:v>284</x:v>
      </x:c>
      <x:c r="NV89" s="14" t="n">
        <x:v>23</x:v>
      </x:c>
      <x:c r="NW89" s="14" t="n">
        <x:v>4</x:v>
      </x:c>
      <x:c r="NX89" s="14" t="str">
        <x:v>未收錄</x:v>
      </x:c>
      <x:c r="NY89" s="14" t="str">
        <x:v>27398</x:v>
      </x:c>
      <x:c r="NZ89" s="14" t="n">
        <x:v>10</x:v>
      </x:c>
      <x:c r="OA89" s="14" t="n">
        <x:v>2382</x:v>
      </x:c>
      <x:c r="OB89" s="14" t="n">
        <x:v>281</x:v>
      </x:c>
      <x:c r="OC89" s="14" t="n">
        <x:v>23</x:v>
      </x:c>
      <x:c r="OD89" s="14" t="n">
        <x:v>1</x:v>
      </x:c>
      <x:c r="OE89" s="14" t="str">
        <x:v>未收錄</x:v>
      </x:c>
      <x:c r="OF89" s="14" t="str">
        <x:v>27414</x:v>
      </x:c>
      <x:c r="OG89" s="14" t="n">
        <x:v>10</x:v>
      </x:c>
      <x:c r="OH89" s="14" t="n">
        <x:v>2383</x:v>
      </x:c>
      <x:c r="OI89" s="14" t="n">
        <x:v>282</x:v>
      </x:c>
      <x:c r="OJ89" s="14" t="n">
        <x:v>23</x:v>
      </x:c>
      <x:c r="OK89" s="14" t="n">
        <x:v>2</x:v>
      </x:c>
      <x:c r="OL89" s="14" t="str">
        <x:v>未收錄</x:v>
      </x:c>
      <x:c r="OM89" s="14" t="str">
        <x:v>27418</x:v>
      </x:c>
      <x:c r="ON89" s="14" t="n">
        <x:v>10</x:v>
      </x:c>
      <x:c r="OO89" s="14" t="n">
        <x:v>2384</x:v>
      </x:c>
      <x:c r="OP89" s="14" t="n">
        <x:v>283</x:v>
      </x:c>
      <x:c r="OQ89" s="14" t="n">
        <x:v>23</x:v>
      </x:c>
      <x:c r="OR89" s="14" t="n">
        <x:v>3</x:v>
      </x:c>
      <x:c r="OS89" s="14" t="str">
        <x:v>未收錄</x:v>
      </x:c>
      <x:c r="OT89" s="14" t="str">
        <x:v>27660</x:v>
      </x:c>
      <x:c r="OU89" s="14" t="n">
        <x:v>5</x:v>
      </x:c>
      <x:c r="OV89" s="14" t="n">
        <x:v>2385</x:v>
      </x:c>
      <x:c r="OW89" s="14" t="n">
        <x:v>284</x:v>
      </x:c>
      <x:c r="OX89" s="14" t="n">
        <x:v>23</x:v>
      </x:c>
      <x:c r="OY89" s="14" t="n">
        <x:v>4</x:v>
      </x:c>
      <x:c r="OZ89" s="14" t="str">
        <x:v>未收錄</x:v>
      </x:c>
      <x:c r="PA89" s="14" t="str">
        <x:v>28411</x:v>
      </x:c>
      <x:c r="PB89" s="14" t="n">
        <x:v>5</x:v>
      </x:c>
      <x:c r="PC89" s="14" t="n">
        <x:v>2928</x:v>
      </x:c>
      <x:c r="PD89" s="14" t="n">
        <x:v>281</x:v>
      </x:c>
      <x:c r="PE89" s="14" t="n">
        <x:v>23</x:v>
      </x:c>
      <x:c r="PF89" s="14" t="n">
        <x:v>1</x:v>
      </x:c>
      <x:c r="PG89" s="14" t="str">
        <x:v>未收錄</x:v>
      </x:c>
      <x:c r="PH89" s="14" t="str">
        <x:v>28414</x:v>
      </x:c>
      <x:c r="PI89" s="14" t="n">
        <x:v>5</x:v>
      </x:c>
      <x:c r="PJ89" s="14" t="n">
        <x:v>2929</x:v>
      </x:c>
      <x:c r="PK89" s="14" t="n">
        <x:v>282</x:v>
      </x:c>
      <x:c r="PL89" s="14" t="n">
        <x:v>23</x:v>
      </x:c>
      <x:c r="PM89" s="14" t="n">
        <x:v>2</x:v>
      </x:c>
      <x:c r="PN89" s="14" t="str">
        <x:v>未收錄</x:v>
      </x:c>
      <x:c r="PO89" s="14" t="str">
        <x:v>28417</x:v>
      </x:c>
      <x:c r="PP89" s="14" t="n">
        <x:v>5</x:v>
      </x:c>
      <x:c r="PQ89" s="14" t="n">
        <x:v>2930</x:v>
      </x:c>
      <x:c r="PR89" s="14" t="n">
        <x:v>283</x:v>
      </x:c>
      <x:c r="PS89" s="14" t="n">
        <x:v>23</x:v>
      </x:c>
      <x:c r="PT89" s="14" t="n">
        <x:v>3</x:v>
      </x:c>
      <x:c r="PU89" s="14" t="str">
        <x:v>未收錄</x:v>
      </x:c>
      <x:c r="PV89" s="14" t="str">
        <x:v>28420</x:v>
      </x:c>
      <x:c r="PW89" s="14" t="n">
        <x:v>5</x:v>
      </x:c>
      <x:c r="PX89" s="14" t="n">
        <x:v>2931</x:v>
      </x:c>
      <x:c r="PY89" s="14" t="n">
        <x:v>284</x:v>
      </x:c>
      <x:c r="PZ89" s="14" t="n">
        <x:v>23</x:v>
      </x:c>
      <x:c r="QA89" s="14" t="n">
        <x:v>4</x:v>
      </x:c>
      <x:c r="QB89" s="14" t="str">
        <x:v>未收錄</x:v>
      </x:c>
      <x:c r="QC89" s="14" t="str">
        <x:v>28430</x:v>
      </x:c>
      <x:c r="QD89" s="14" t="n">
        <x:v>5</x:v>
      </x:c>
      <x:c r="QE89" s="14" t="n">
        <x:v>3365</x:v>
      </x:c>
      <x:c r="QF89" s="14" t="n">
        <x:v>281</x:v>
      </x:c>
      <x:c r="QG89" s="14" t="n">
        <x:v>23</x:v>
      </x:c>
      <x:c r="QH89" s="14" t="n">
        <x:v>1</x:v>
      </x:c>
      <x:c r="QI89" s="14" t="str">
        <x:v>未收錄</x:v>
      </x:c>
      <x:c r="QJ89" s="14" t="str">
        <x:v>28433</x:v>
      </x:c>
      <x:c r="QK89" s="14" t="n">
        <x:v>5</x:v>
      </x:c>
      <x:c r="QL89" s="14" t="n">
        <x:v>3366</x:v>
      </x:c>
      <x:c r="QM89" s="14" t="n">
        <x:v>282</x:v>
      </x:c>
      <x:c r="QN89" s="14" t="n">
        <x:v>23</x:v>
      </x:c>
      <x:c r="QO89" s="14" t="n">
        <x:v>2</x:v>
      </x:c>
      <x:c r="QP89" s="14" t="str">
        <x:v>未收錄</x:v>
      </x:c>
      <x:c r="QQ89" s="14" t="str">
        <x:v>28436</x:v>
      </x:c>
      <x:c r="QR89" s="14" t="n">
        <x:v>5</x:v>
      </x:c>
      <x:c r="QS89" s="14" t="n">
        <x:v>3367</x:v>
      </x:c>
      <x:c r="QT89" s="14" t="n">
        <x:v>283</x:v>
      </x:c>
      <x:c r="QU89" s="14" t="n">
        <x:v>23</x:v>
      </x:c>
      <x:c r="QV89" s="14" t="n">
        <x:v>3</x:v>
      </x:c>
      <x:c r="QW89" s="14" t="str">
        <x:v>未收錄</x:v>
      </x:c>
      <x:c r="QX89" s="14" t="str">
        <x:v>28538</x:v>
      </x:c>
      <x:c r="QY89" s="14" t="n">
        <x:v>10</x:v>
      </x:c>
      <x:c r="QZ89" s="14" t="n">
        <x:v>3368</x:v>
      </x:c>
      <x:c r="RA89" s="14" t="n">
        <x:v>284</x:v>
      </x:c>
      <x:c r="RB89" s="14" t="n">
        <x:v>23</x:v>
      </x:c>
      <x:c r="RC89" s="14" t="n">
        <x:v>4</x:v>
      </x:c>
      <x:c r="RD89" s="14" t="str">
        <x:v>未收錄</x:v>
      </x:c>
      <x:c r="RE89" s="14" t="str">
        <x:v>28912</x:v>
      </x:c>
      <x:c r="RF89" s="14" t="n">
        <x:v>5</x:v>
      </x:c>
      <x:c r="RG89" s="14" t="n">
        <x:v>3826</x:v>
      </x:c>
      <x:c r="RH89" s="14" t="n">
        <x:v>281</x:v>
      </x:c>
      <x:c r="RI89" s="14" t="n">
        <x:v>23</x:v>
      </x:c>
      <x:c r="RJ89" s="14" t="n">
        <x:v>1</x:v>
      </x:c>
      <x:c r="RK89" s="14" t="str">
        <x:v>未收錄</x:v>
      </x:c>
      <x:c r="RL89" s="14" t="str">
        <x:v>28577</x:v>
      </x:c>
      <x:c r="RM89" s="14" t="n">
        <x:v>5</x:v>
      </x:c>
      <x:c r="RN89" s="14" t="n">
        <x:v>3827</x:v>
      </x:c>
      <x:c r="RO89" s="14" t="n">
        <x:v>282</x:v>
      </x:c>
      <x:c r="RP89" s="14" t="n">
        <x:v>23</x:v>
      </x:c>
      <x:c r="RQ89" s="14" t="n">
        <x:v>2</x:v>
      </x:c>
      <x:c r="RR89" s="14" t="str">
        <x:v>未收錄</x:v>
      </x:c>
      <x:c r="RS89" s="14" t="str">
        <x:v>28578</x:v>
      </x:c>
      <x:c r="RT89" s="14" t="n">
        <x:v>5</x:v>
      </x:c>
      <x:c r="RU89" s="14" t="n">
        <x:v>3828</x:v>
      </x:c>
      <x:c r="RV89" s="14" t="n">
        <x:v>283</x:v>
      </x:c>
      <x:c r="RW89" s="14" t="n">
        <x:v>23</x:v>
      </x:c>
      <x:c r="RX89" s="14" t="n">
        <x:v>3</x:v>
      </x:c>
      <x:c r="RY89" s="14" t="str">
        <x:v>未收錄</x:v>
      </x:c>
      <x:c r="RZ89" s="14" t="str">
        <x:v>28809</x:v>
      </x:c>
      <x:c r="SA89" s="14" t="n">
        <x:v>5</x:v>
      </x:c>
      <x:c r="SB89" s="14" t="n">
        <x:v>3829</x:v>
      </x:c>
      <x:c r="SC89" s="14" t="n">
        <x:v>284</x:v>
      </x:c>
      <x:c r="SD89" s="14" t="n">
        <x:v>23</x:v>
      </x:c>
      <x:c r="SE89" s="14" t="n">
        <x:v>4</x:v>
      </x:c>
      <x:c r="SF89" s="14" t="str">
        <x:v>未收錄</x:v>
      </x:c>
      <x:c r="SG89" s="14"/>
      <x:c r="SH89" s="14"/>
      <x:c r="SI89" s="14"/>
      <x:c r="SJ89" s="14"/>
      <x:c r="SK89" s="14"/>
      <x:c r="SL89" s="14"/>
      <x:c r="SM89" s="14"/>
      <x:c r="SN89" s="14"/>
      <x:c r="SO89" s="14"/>
      <x:c r="SP89" s="14"/>
      <x:c r="SQ89" s="14"/>
      <x:c r="SR89" s="14"/>
      <x:c r="SS89" s="14"/>
      <x:c r="ST89" s="14"/>
      <x:c r="SU89" s="14"/>
      <x:c r="SV89" s="14"/>
      <x:c r="SW89" s="14"/>
      <x:c r="SX89" s="14"/>
      <x:c r="SY89" s="14"/>
      <x:c r="SZ89" s="14"/>
      <x:c r="TA89" s="14"/>
      <x:c r="TB89" s="14"/>
      <x:c r="TC89" s="14"/>
      <x:c r="TD89" s="14"/>
      <x:c r="TE89" s="14"/>
      <x:c r="TF89" s="14"/>
      <x:c r="TG89" s="14"/>
      <x:c r="TH89" s="14"/>
    </x:row>
    <x:row r="90" ht="15" customHeight="1">
      <x:c r="A90" s="14"/>
      <x:c r="B90" s="14"/>
      <x:c r="C90" s="14"/>
      <x:c r="D90" s="14"/>
      <x:c r="E90" s="14"/>
      <x:c r="F90" s="14"/>
      <x:c r="G90" s="14"/>
      <x:c r="H90" s="14"/>
      <x:c r="I90" s="14"/>
      <x:c r="J90" s="14"/>
      <x:c r="K90" s="14"/>
      <x:c r="L90" s="14"/>
      <x:c r="M90" s="14"/>
      <x:c r="N90" s="14"/>
      <x:c r="O90" s="14"/>
      <x:c r="P90" s="14"/>
      <x:c r="Q90" s="14"/>
      <x:c r="R90" s="14"/>
      <x:c r="S90" s="14"/>
      <x:c r="T90" s="14"/>
      <x:c r="U90" s="14"/>
      <x:c r="V90" s="14"/>
      <x:c r="W90" s="14"/>
      <x:c r="X90" s="14"/>
      <x:c r="Y90" s="14"/>
      <x:c r="Z90" s="14"/>
      <x:c r="AA90" s="14"/>
      <x:c r="AB90" s="14"/>
      <x:c r="AC90" s="14"/>
      <x:c r="AD90" s="14"/>
      <x:c r="AE90" s="14"/>
      <x:c r="AF90" s="14"/>
      <x:c r="AG90" s="14"/>
      <x:c r="AH90" s="14"/>
      <x:c r="AI90" s="14"/>
      <x:c r="AJ90" s="14"/>
      <x:c r="AK90" s="14"/>
      <x:c r="AL90" s="14"/>
      <x:c r="AM90" s="14"/>
      <x:c r="AN90" s="14"/>
      <x:c r="AO90" s="14"/>
      <x:c r="AP90" s="14"/>
      <x:c r="AQ90" s="14"/>
      <x:c r="AR90" s="14"/>
      <x:c r="AS90" s="14"/>
      <x:c r="AT90" s="14"/>
      <x:c r="AU90" s="14"/>
      <x:c r="AV90" s="14"/>
      <x:c r="AW90" s="14"/>
      <x:c r="AX90" s="14"/>
      <x:c r="AY90" s="18" t="str">
        <x:v>星蹤綸★</x:v>
      </x:c>
      <x:c r="AZ90" s="18" t="str">
        <x:v>釋星頂★</x:v>
      </x:c>
      <x:c r="BA90" s="18" t="str">
        <x:v>星兇冠★</x:v>
      </x:c>
      <x:c r="BB90" s="18" t="str">
        <x:v>煌月巾★</x:v>
      </x:c>
      <x:c r="BC90" s="14"/>
      <x:c r="BD90" s="18" t="str">
        <x:v>峻霆‧武尊鎧</x:v>
      </x:c>
      <x:c r="BE90" s="18" t="str">
        <x:v>峻霆‧術幻裳</x:v>
      </x:c>
      <x:c r="BF90" s="18" t="str">
        <x:v>峻霆‧道輝服</x:v>
      </x:c>
      <x:c r="BG90" s="18" t="str">
        <x:v>峻霆‧禪光衣</x:v>
      </x:c>
      <x:c r="BH90" s="14"/>
      <x:c r="BI90" s="18" t="str">
        <x:v>釋星拱★★★</x:v>
      </x:c>
      <x:c r="BJ90" s="18" t="str">
        <x:v>星兇手★★★</x:v>
      </x:c>
      <x:c r="BK90" s="18" t="str">
        <x:v>煌嗚腕★★★</x:v>
      </x:c>
      <x:c r="BL90" s="18" t="str">
        <x:v>烈煌腕☆</x:v>
      </x:c>
      <x:c r="BM90" s="14"/>
      <x:c r="BN90" s="18" t="str">
        <x:v>煌韋足★</x:v>
      </x:c>
      <x:c r="BO90" s="18" t="str">
        <x:v>奇星靴★</x:v>
      </x:c>
      <x:c r="BP90" s="18" t="str">
        <x:v>星鋒靴★★</x:v>
      </x:c>
      <x:c r="BQ90" s="18" t="str">
        <x:v>鬥星脛★★</x:v>
      </x:c>
      <x:c r="BR90" s="14"/>
      <x:c r="BS90" s="18" t="str">
        <x:v>翼世玄武之心</x:v>
      </x:c>
      <x:c r="BT90" s="18" t="str">
        <x:v>翼世白虎之心</x:v>
      </x:c>
      <x:c r="BU90" s="18" t="str">
        <x:v>翼世青龍之心</x:v>
      </x:c>
      <x:c r="BV90" s="18" t="str">
        <x:v>翼世鳳凰之心</x:v>
      </x:c>
      <x:c r="BW90" s="14"/>
      <x:c r="BX90" s="14"/>
      <x:c r="BY90" s="14"/>
      <x:c r="BZ90" s="14"/>
      <x:c r="CA90" s="14"/>
      <x:c r="CB90" s="14"/>
      <x:c r="CC90" s="14"/>
      <x:c r="CD90" s="14"/>
      <x:c r="CE90" s="14"/>
      <x:c r="CF90" s="14"/>
      <x:c r="CG90" s="14"/>
      <x:c r="CH90" s="14"/>
      <x:c r="CI90" s="14"/>
      <x:c r="CJ90" s="14"/>
      <x:c r="CK90" s="14"/>
      <x:c r="CL90" s="14"/>
      <x:c r="CM90" s="14"/>
      <x:c r="CN90" s="14"/>
      <x:c r="CO90" s="14"/>
      <x:c r="CP90" s="14"/>
      <x:c r="CQ90" s="14"/>
      <x:c r="CR90" s="14"/>
      <x:c r="CS90" s="14"/>
      <x:c r="CT90" s="14"/>
      <x:c r="CU90" s="14"/>
      <x:c r="CV90" s="14"/>
      <x:c r="CW90" s="14"/>
      <x:c r="CX90" s="14"/>
      <x:c r="CY90" s="14"/>
      <x:c r="CZ90" s="14"/>
      <x:c r="DA90" s="14"/>
      <x:c r="DB90" s="14"/>
      <x:c r="DC90" s="14"/>
      <x:c r="DD90" s="14"/>
      <x:c r="DE90" s="14"/>
      <x:c r="DF90" s="14"/>
      <x:c r="DG90" s="14"/>
      <x:c r="DH90" s="14"/>
      <x:c r="DI90" s="14"/>
      <x:c r="DJ90" s="14"/>
      <x:c r="DK90" s="14"/>
      <x:c r="DL90" s="14"/>
      <x:c r="DM90" s="14"/>
      <x:c r="DN90" s="14"/>
      <x:c r="DO90" s="14"/>
      <x:c r="DP90" s="14"/>
      <x:c r="DQ90" s="14"/>
      <x:c r="DR90" s="14"/>
      <x:c r="DS90" s="14"/>
      <x:c r="DT90" s="14"/>
      <x:c r="DU90" s="14"/>
      <x:c r="DV90" s="14"/>
      <x:c r="DW90" s="14"/>
      <x:c r="DX90" s="14"/>
      <x:c r="DY90" s="14"/>
      <x:c r="DZ90" s="14"/>
      <x:c r="EA90" s="14"/>
      <x:c r="EB90" s="14"/>
      <x:c r="EC90" s="14"/>
      <x:c r="ED90" s="14"/>
      <x:c r="EE90" s="14"/>
      <x:c r="EF90" s="14"/>
      <x:c r="EG90" s="14"/>
      <x:c r="EH90" s="14"/>
      <x:c r="EI90" s="14"/>
      <x:c r="EJ90" s="14"/>
      <x:c r="EK90" s="14"/>
      <x:c r="EL90" s="14"/>
      <x:c r="EM90" s="14"/>
      <x:c r="EN90" s="14"/>
      <x:c r="EO90" s="14"/>
      <x:c r="EP90" s="14"/>
      <x:c r="EQ90" s="14"/>
      <x:c r="ER90" s="14"/>
      <x:c r="ES90" s="14"/>
      <x:c r="ET90" s="14"/>
      <x:c r="EU90" s="14"/>
      <x:c r="EV90" s="14"/>
      <x:c r="EW90" s="14"/>
      <x:c r="EX90" s="14"/>
      <x:c r="EY90" s="14"/>
      <x:c r="EZ90" s="14"/>
      <x:c r="FA90" s="14"/>
      <x:c r="FB90" s="14"/>
      <x:c r="FC90" s="14"/>
      <x:c r="FD90" s="14"/>
      <x:c r="FE90" s="14"/>
      <x:c r="FF90" s="14"/>
      <x:c r="FG90" s="14"/>
      <x:c r="FH90" s="14"/>
      <x:c r="FI90" s="14"/>
      <x:c r="FJ90" s="14"/>
      <x:c r="FK90" s="14"/>
      <x:c r="FL90" s="14"/>
      <x:c r="FM90" s="14"/>
      <x:c r="FN90" s="14"/>
      <x:c r="FO90" s="14"/>
      <x:c r="FP90" s="14"/>
      <x:c r="FQ90" s="14"/>
      <x:c r="FR90" s="14"/>
      <x:c r="FS90" s="14"/>
      <x:c r="FT90" s="14"/>
      <x:c r="FU90" s="14"/>
      <x:c r="FV90" s="14"/>
      <x:c r="FW90" s="14"/>
      <x:c r="FX90" s="14"/>
      <x:c r="FY90" s="14"/>
      <x:c r="FZ90" s="14"/>
      <x:c r="GA90" s="14"/>
      <x:c r="GB90" s="14"/>
      <x:c r="GC90" s="14"/>
      <x:c r="GD90" s="14"/>
      <x:c r="GE90" s="14"/>
      <x:c r="GF90" s="14"/>
      <x:c r="GG90" s="14"/>
      <x:c r="GH90" s="14"/>
      <x:c r="GI90" s="14"/>
      <x:c r="GJ90" s="14"/>
      <x:c r="GK90" s="14"/>
      <x:c r="GL90" s="14"/>
      <x:c r="GM90" s="14"/>
      <x:c r="GN90" s="14"/>
      <x:c r="GO90" s="14"/>
      <x:c r="GP90" s="14"/>
      <x:c r="GQ90" s="14"/>
      <x:c r="GR90" s="14"/>
      <x:c r="GS90" s="14"/>
      <x:c r="GT90" s="14"/>
      <x:c r="GU90" s="14"/>
      <x:c r="GV90" s="14"/>
      <x:c r="GW90" s="14"/>
      <x:c r="GX90" s="14"/>
      <x:c r="GY90" s="14"/>
      <x:c r="GZ90" s="14"/>
      <x:c r="HA90" s="14"/>
      <x:c r="HB90" s="14"/>
      <x:c r="HC90" s="14"/>
      <x:c r="HD90" s="14"/>
      <x:c r="HE90" s="14"/>
      <x:c r="HF90" s="14"/>
      <x:c r="HG90" s="14"/>
      <x:c r="HH90" s="14"/>
      <x:c r="HI90" s="14"/>
      <x:c r="HJ90" s="14"/>
      <x:c r="HK90" s="14"/>
      <x:c r="HL90" s="14"/>
      <x:c r="HM90" s="14"/>
      <x:c r="HN90" s="14"/>
      <x:c r="HO90" s="14"/>
      <x:c r="HP90" s="14"/>
      <x:c r="HQ90" s="14"/>
      <x:c r="HR90" s="14"/>
      <x:c r="HS90" s="14"/>
      <x:c r="HT90" s="14"/>
      <x:c r="HU90" s="14"/>
      <x:c r="HV90" s="14"/>
      <x:c r="HW90" s="14"/>
      <x:c r="HX90" s="14"/>
      <x:c r="HY90" s="14"/>
      <x:c r="HZ90" s="14"/>
      <x:c r="IA90" s="14"/>
      <x:c r="IB90" s="14"/>
      <x:c r="IC90" s="14"/>
      <x:c r="ID90" s="14"/>
      <x:c r="IE90" s="14"/>
      <x:c r="IF90" s="14"/>
      <x:c r="IG90" s="14"/>
      <x:c r="IH90" s="14"/>
      <x:c r="II90" s="14"/>
      <x:c r="IJ90" s="14"/>
      <x:c r="IK90" s="14"/>
      <x:c r="IL90" s="14"/>
      <x:c r="IM90" s="14"/>
      <x:c r="IN90" s="14"/>
      <x:c r="IO90" s="14"/>
      <x:c r="IP90" s="14"/>
      <x:c r="IQ90" s="14"/>
      <x:c r="IR90" s="14"/>
      <x:c r="IS90" s="14"/>
      <x:c r="IT90" s="14"/>
      <x:c r="IU90" s="14"/>
      <x:c r="IV90" s="14"/>
      <x:c r="IW90" s="14"/>
      <x:c r="IX90" s="14"/>
      <x:c r="IY90" s="14"/>
      <x:c r="IZ90" s="14"/>
      <x:c r="JA90" s="14"/>
      <x:c r="JB90" s="14"/>
      <x:c r="JC90" s="14"/>
      <x:c r="JD90" s="14"/>
      <x:c r="JE90" s="14"/>
      <x:c r="JF90" s="14"/>
      <x:c r="JG90" s="14"/>
      <x:c r="JH90" s="14"/>
      <x:c r="JI90" s="14"/>
      <x:c r="JJ90" s="14"/>
      <x:c r="JK90" s="14"/>
      <x:c r="JL90" s="14"/>
      <x:c r="JM90" s="14"/>
      <x:c r="JN90" s="14"/>
      <x:c r="JO90" s="14"/>
      <x:c r="JP90" s="14"/>
      <x:c r="JQ90" s="14"/>
      <x:c r="JR90" s="14"/>
      <x:c r="JS90" s="14"/>
      <x:c r="JT90" s="14"/>
      <x:c r="JU90" s="14"/>
      <x:c r="JV90" s="14"/>
      <x:c r="JW90" s="14"/>
      <x:c r="JX90" s="14"/>
      <x:c r="JY90" s="14"/>
      <x:c r="JZ90" s="14"/>
      <x:c r="KA90" s="14"/>
      <x:c r="KB90" s="14"/>
      <x:c r="KC90" s="14"/>
      <x:c r="KD90" s="14"/>
      <x:c r="KE90" s="14"/>
      <x:c r="KF90" s="14"/>
      <x:c r="KG90" s="14"/>
      <x:c r="KH90" s="14"/>
      <x:c r="KI90" s="14"/>
      <x:c r="KJ90" s="14"/>
      <x:c r="KK90" s="14"/>
      <x:c r="KL90" s="14"/>
      <x:c r="KM90" s="14"/>
      <x:c r="KN90" s="14"/>
      <x:c r="KO90" s="14"/>
      <x:c r="KP90" s="14"/>
      <x:c r="KQ90" s="14"/>
      <x:c r="KR90" s="14"/>
      <x:c r="KS90" s="14"/>
      <x:c r="KT90" s="14"/>
      <x:c r="KU90" s="14"/>
      <x:c r="KV90" s="14"/>
      <x:c r="KW90" s="14"/>
      <x:c r="KX90" s="14"/>
      <x:c r="KY90" s="14"/>
      <x:c r="KZ90" s="14"/>
      <x:c r="LA90" s="14"/>
      <x:c r="LB90" s="14"/>
      <x:c r="LC90" s="14"/>
      <x:c r="LD90" s="14"/>
      <x:c r="LE90" s="14"/>
      <x:c r="LF90" s="14"/>
      <x:c r="LG90" s="14"/>
      <x:c r="LH90" s="14"/>
      <x:c r="LI90" s="14"/>
      <x:c r="LJ90" s="14"/>
      <x:c r="LK90" s="14"/>
      <x:c r="LL90" s="14"/>
      <x:c r="LM90" s="14"/>
      <x:c r="LN90" s="14"/>
      <x:c r="LO90" s="14"/>
      <x:c r="LP90" s="14"/>
      <x:c r="LQ90" s="14"/>
      <x:c r="LR90" s="14"/>
      <x:c r="LS90" s="14"/>
      <x:c r="LT90" s="14"/>
      <x:c r="LU90" s="14"/>
      <x:c r="LV90" s="14"/>
      <x:c r="LW90" s="14"/>
      <x:c r="LX90" s="14"/>
      <x:c r="LY90" s="14"/>
      <x:c r="LZ90" s="14"/>
      <x:c r="MA90" s="14"/>
      <x:c r="MB90" s="14"/>
      <x:c r="MC90" s="14"/>
      <x:c r="MD90" s="14"/>
      <x:c r="ME90" s="14"/>
      <x:c r="MF90" s="14"/>
      <x:c r="MG90" s="14"/>
      <x:c r="MH90" s="14"/>
      <x:c r="MI90" s="14"/>
      <x:c r="MJ90" s="14"/>
      <x:c r="MK90" s="14"/>
      <x:c r="ML90" s="14"/>
      <x:c r="MM90" s="14"/>
      <x:c r="MN90" s="14"/>
      <x:c r="MO90" s="14"/>
      <x:c r="MP90" s="14"/>
      <x:c r="MQ90" s="14"/>
      <x:c r="MR90" s="14"/>
      <x:c r="MS90" s="14"/>
      <x:c r="MT90" s="14"/>
      <x:c r="MU90" s="14"/>
      <x:c r="MV90" s="14"/>
      <x:c r="MW90" s="14" t="str">
        <x:v>28388</x:v>
      </x:c>
      <x:c r="MX90" s="14" t="n">
        <x:v>5</x:v>
      </x:c>
      <x:c r="MY90" s="14" t="n">
        <x:v>1933</x:v>
      </x:c>
      <x:c r="MZ90" s="14" t="n">
        <x:v>285</x:v>
      </x:c>
      <x:c r="NA90" s="14" t="n">
        <x:v>24</x:v>
      </x:c>
      <x:c r="NB90" s="14" t="n">
        <x:v>1</x:v>
      </x:c>
      <x:c r="NC90" s="14" t="str">
        <x:v>未收錄</x:v>
      </x:c>
      <x:c r="ND90" s="14" t="str">
        <x:v>28391</x:v>
      </x:c>
      <x:c r="NE90" s="14" t="n">
        <x:v>5</x:v>
      </x:c>
      <x:c r="NF90" s="14" t="n">
        <x:v>1934</x:v>
      </x:c>
      <x:c r="NG90" s="14" t="n">
        <x:v>286</x:v>
      </x:c>
      <x:c r="NH90" s="14" t="n">
        <x:v>24</x:v>
      </x:c>
      <x:c r="NI90" s="14" t="n">
        <x:v>2</x:v>
      </x:c>
      <x:c r="NJ90" s="14" t="str">
        <x:v>未收錄</x:v>
      </x:c>
      <x:c r="NK90" s="14" t="str">
        <x:v>28529</x:v>
      </x:c>
      <x:c r="NL90" s="14" t="n">
        <x:v>10</x:v>
      </x:c>
      <x:c r="NM90" s="14" t="n">
        <x:v>1935</x:v>
      </x:c>
      <x:c r="NN90" s="14" t="n">
        <x:v>287</x:v>
      </x:c>
      <x:c r="NO90" s="14" t="n">
        <x:v>24</x:v>
      </x:c>
      <x:c r="NP90" s="14" t="n">
        <x:v>3</x:v>
      </x:c>
      <x:c r="NQ90" s="14" t="str">
        <x:v>未收錄</x:v>
      </x:c>
      <x:c r="NR90" s="14" t="str">
        <x:v>28541</x:v>
      </x:c>
      <x:c r="NS90" s="14" t="n">
        <x:v>10</x:v>
      </x:c>
      <x:c r="NT90" s="14" t="n">
        <x:v>1936</x:v>
      </x:c>
      <x:c r="NU90" s="14" t="n">
        <x:v>288</x:v>
      </x:c>
      <x:c r="NV90" s="14" t="n">
        <x:v>24</x:v>
      </x:c>
      <x:c r="NW90" s="14" t="n">
        <x:v>4</x:v>
      </x:c>
      <x:c r="NX90" s="14" t="str">
        <x:v>未收錄</x:v>
      </x:c>
      <x:c r="NY90" s="14" t="str">
        <x:v>27661</x:v>
      </x:c>
      <x:c r="NZ90" s="14" t="n">
        <x:v>5</x:v>
      </x:c>
      <x:c r="OA90" s="14" t="n">
        <x:v>2386</x:v>
      </x:c>
      <x:c r="OB90" s="14" t="n">
        <x:v>285</x:v>
      </x:c>
      <x:c r="OC90" s="14" t="n">
        <x:v>24</x:v>
      </x:c>
      <x:c r="OD90" s="14" t="n">
        <x:v>1</x:v>
      </x:c>
      <x:c r="OE90" s="14" t="str">
        <x:v>未收錄</x:v>
      </x:c>
      <x:c r="OF90" s="14" t="str">
        <x:v>27662</x:v>
      </x:c>
      <x:c r="OG90" s="14" t="n">
        <x:v>5</x:v>
      </x:c>
      <x:c r="OH90" s="14" t="n">
        <x:v>2387</x:v>
      </x:c>
      <x:c r="OI90" s="14" t="n">
        <x:v>286</x:v>
      </x:c>
      <x:c r="OJ90" s="14" t="n">
        <x:v>24</x:v>
      </x:c>
      <x:c r="OK90" s="14" t="n">
        <x:v>2</x:v>
      </x:c>
      <x:c r="OL90" s="14" t="str">
        <x:v>未收錄</x:v>
      </x:c>
      <x:c r="OM90" s="14" t="str">
        <x:v>27663</x:v>
      </x:c>
      <x:c r="ON90" s="14" t="n">
        <x:v>5</x:v>
      </x:c>
      <x:c r="OO90" s="14" t="n">
        <x:v>2388</x:v>
      </x:c>
      <x:c r="OP90" s="14" t="n">
        <x:v>287</x:v>
      </x:c>
      <x:c r="OQ90" s="14" t="n">
        <x:v>24</x:v>
      </x:c>
      <x:c r="OR90" s="14" t="n">
        <x:v>3</x:v>
      </x:c>
      <x:c r="OS90" s="14" t="str">
        <x:v>未收錄</x:v>
      </x:c>
      <x:c r="OT90" s="14" t="str">
        <x:v>27664</x:v>
      </x:c>
      <x:c r="OU90" s="14" t="n">
        <x:v>5</x:v>
      </x:c>
      <x:c r="OV90" s="14" t="n">
        <x:v>2389</x:v>
      </x:c>
      <x:c r="OW90" s="14" t="n">
        <x:v>288</x:v>
      </x:c>
      <x:c r="OX90" s="14" t="n">
        <x:v>24</x:v>
      </x:c>
      <x:c r="OY90" s="14" t="n">
        <x:v>4</x:v>
      </x:c>
      <x:c r="OZ90" s="14" t="str">
        <x:v>未收錄</x:v>
      </x:c>
      <x:c r="PA90" s="14" t="str">
        <x:v>28423</x:v>
      </x:c>
      <x:c r="PB90" s="14" t="n">
        <x:v>5</x:v>
      </x:c>
      <x:c r="PC90" s="14" t="n">
        <x:v>2932</x:v>
      </x:c>
      <x:c r="PD90" s="14" t="n">
        <x:v>285</x:v>
      </x:c>
      <x:c r="PE90" s="14" t="n">
        <x:v>24</x:v>
      </x:c>
      <x:c r="PF90" s="14" t="n">
        <x:v>1</x:v>
      </x:c>
      <x:c r="PG90" s="14" t="str">
        <x:v>未收錄</x:v>
      </x:c>
      <x:c r="PH90" s="14" t="str">
        <x:v>28537</x:v>
      </x:c>
      <x:c r="PI90" s="14" t="n">
        <x:v>10</x:v>
      </x:c>
      <x:c r="PJ90" s="14" t="n">
        <x:v>2933</x:v>
      </x:c>
      <x:c r="PK90" s="14" t="n">
        <x:v>286</x:v>
      </x:c>
      <x:c r="PL90" s="14" t="n">
        <x:v>24</x:v>
      </x:c>
      <x:c r="PM90" s="14" t="n">
        <x:v>2</x:v>
      </x:c>
      <x:c r="PN90" s="14" t="str">
        <x:v>未收錄</x:v>
      </x:c>
      <x:c r="PO90" s="14" t="str">
        <x:v>28549</x:v>
      </x:c>
      <x:c r="PP90" s="14" t="n">
        <x:v>10</x:v>
      </x:c>
      <x:c r="PQ90" s="14" t="n">
        <x:v>2934</x:v>
      </x:c>
      <x:c r="PR90" s="14" t="n">
        <x:v>287</x:v>
      </x:c>
      <x:c r="PS90" s="14" t="n">
        <x:v>24</x:v>
      </x:c>
      <x:c r="PT90" s="14" t="n">
        <x:v>3</x:v>
      </x:c>
      <x:c r="PU90" s="14" t="str">
        <x:v>未收錄</x:v>
      </x:c>
      <x:c r="PV90" s="14" t="str">
        <x:v>28871</x:v>
      </x:c>
      <x:c r="PW90" s="14" t="n">
        <x:v>5</x:v>
      </x:c>
      <x:c r="PX90" s="14" t="n">
        <x:v>2935</x:v>
      </x:c>
      <x:c r="PY90" s="14" t="n">
        <x:v>288</x:v>
      </x:c>
      <x:c r="PZ90" s="14" t="n">
        <x:v>24</x:v>
      </x:c>
      <x:c r="QA90" s="14" t="n">
        <x:v>4</x:v>
      </x:c>
      <x:c r="QB90" s="14" t="str">
        <x:v>未收錄</x:v>
      </x:c>
      <x:c r="QC90" s="14" t="str">
        <x:v>28550</x:v>
      </x:c>
      <x:c r="QD90" s="14" t="n">
        <x:v>10</x:v>
      </x:c>
      <x:c r="QE90" s="14" t="n">
        <x:v>3369</x:v>
      </x:c>
      <x:c r="QF90" s="14" t="n">
        <x:v>285</x:v>
      </x:c>
      <x:c r="QG90" s="14" t="n">
        <x:v>24</x:v>
      </x:c>
      <x:c r="QH90" s="14" t="n">
        <x:v>1</x:v>
      </x:c>
      <x:c r="QI90" s="14" t="str">
        <x:v>未收錄</x:v>
      </x:c>
      <x:c r="QJ90" s="14" t="str">
        <x:v>28559</x:v>
      </x:c>
      <x:c r="QK90" s="14" t="n">
        <x:v>10</x:v>
      </x:c>
      <x:c r="QL90" s="14" t="n">
        <x:v>3370</x:v>
      </x:c>
      <x:c r="QM90" s="14" t="n">
        <x:v>286</x:v>
      </x:c>
      <x:c r="QN90" s="14" t="n">
        <x:v>24</x:v>
      </x:c>
      <x:c r="QO90" s="14" t="n">
        <x:v>2</x:v>
      </x:c>
      <x:c r="QP90" s="14" t="str">
        <x:v>未收錄</x:v>
      </x:c>
      <x:c r="QQ90" s="14" t="str">
        <x:v>28425</x:v>
      </x:c>
      <x:c r="QR90" s="14" t="n">
        <x:v>5</x:v>
      </x:c>
      <x:c r="QS90" s="14" t="n">
        <x:v>3371</x:v>
      </x:c>
      <x:c r="QT90" s="14" t="n">
        <x:v>287</x:v>
      </x:c>
      <x:c r="QU90" s="14" t="n">
        <x:v>24</x:v>
      </x:c>
      <x:c r="QV90" s="14" t="n">
        <x:v>3</x:v>
      </x:c>
      <x:c r="QW90" s="14" t="str">
        <x:v>未收錄</x:v>
      </x:c>
      <x:c r="QX90" s="14" t="str">
        <x:v>28428</x:v>
      </x:c>
      <x:c r="QY90" s="14" t="n">
        <x:v>5</x:v>
      </x:c>
      <x:c r="QZ90" s="14" t="n">
        <x:v>3372</x:v>
      </x:c>
      <x:c r="RA90" s="14" t="n">
        <x:v>288</x:v>
      </x:c>
      <x:c r="RB90" s="14" t="n">
        <x:v>24</x:v>
      </x:c>
      <x:c r="RC90" s="14" t="n">
        <x:v>4</x:v>
      </x:c>
      <x:c r="RD90" s="14" t="str">
        <x:v>未收錄</x:v>
      </x:c>
      <x:c r="RE90" s="14" t="str">
        <x:v>28984</x:v>
      </x:c>
      <x:c r="RF90" s="14" t="n">
        <x:v>5</x:v>
      </x:c>
      <x:c r="RG90" s="14" t="n">
        <x:v>3830</x:v>
      </x:c>
      <x:c r="RH90" s="14" t="n">
        <x:v>285</x:v>
      </x:c>
      <x:c r="RI90" s="14" t="n">
        <x:v>24</x:v>
      </x:c>
      <x:c r="RJ90" s="14" t="n">
        <x:v>1</x:v>
      </x:c>
      <x:c r="RK90" s="14" t="str">
        <x:v>未收錄</x:v>
      </x:c>
      <x:c r="RL90" s="14" t="str">
        <x:v>28985</x:v>
      </x:c>
      <x:c r="RM90" s="14" t="n">
        <x:v>5</x:v>
      </x:c>
      <x:c r="RN90" s="14" t="n">
        <x:v>3831</x:v>
      </x:c>
      <x:c r="RO90" s="14" t="n">
        <x:v>286</x:v>
      </x:c>
      <x:c r="RP90" s="14" t="n">
        <x:v>24</x:v>
      </x:c>
      <x:c r="RQ90" s="14" t="n">
        <x:v>2</x:v>
      </x:c>
      <x:c r="RR90" s="14" t="str">
        <x:v>未收錄</x:v>
      </x:c>
      <x:c r="RS90" s="14" t="str">
        <x:v>28986</x:v>
      </x:c>
      <x:c r="RT90" s="14" t="n">
        <x:v>5</x:v>
      </x:c>
      <x:c r="RU90" s="14" t="n">
        <x:v>3832</x:v>
      </x:c>
      <x:c r="RV90" s="14" t="n">
        <x:v>287</x:v>
      </x:c>
      <x:c r="RW90" s="14" t="n">
        <x:v>24</x:v>
      </x:c>
      <x:c r="RX90" s="14" t="n">
        <x:v>3</x:v>
      </x:c>
      <x:c r="RY90" s="14" t="str">
        <x:v>未收錄</x:v>
      </x:c>
      <x:c r="RZ90" s="14" t="str">
        <x:v>28987</x:v>
      </x:c>
      <x:c r="SA90" s="14" t="n">
        <x:v>5</x:v>
      </x:c>
      <x:c r="SB90" s="14" t="n">
        <x:v>3833</x:v>
      </x:c>
      <x:c r="SC90" s="14" t="n">
        <x:v>288</x:v>
      </x:c>
      <x:c r="SD90" s="14" t="n">
        <x:v>24</x:v>
      </x:c>
      <x:c r="SE90" s="14" t="n">
        <x:v>4</x:v>
      </x:c>
      <x:c r="SF90" s="14" t="str">
        <x:v>未收錄</x:v>
      </x:c>
      <x:c r="SG90" s="14"/>
      <x:c r="SH90" s="14"/>
      <x:c r="SI90" s="14"/>
      <x:c r="SJ90" s="14"/>
      <x:c r="SK90" s="14"/>
      <x:c r="SL90" s="14"/>
      <x:c r="SM90" s="14"/>
      <x:c r="SN90" s="14"/>
      <x:c r="SO90" s="14"/>
      <x:c r="SP90" s="14"/>
      <x:c r="SQ90" s="14"/>
      <x:c r="SR90" s="14"/>
      <x:c r="SS90" s="14"/>
      <x:c r="ST90" s="14"/>
      <x:c r="SU90" s="14"/>
      <x:c r="SV90" s="14"/>
      <x:c r="SW90" s="14"/>
      <x:c r="SX90" s="14"/>
      <x:c r="SY90" s="14"/>
      <x:c r="SZ90" s="14"/>
      <x:c r="TA90" s="14"/>
      <x:c r="TB90" s="14"/>
      <x:c r="TC90" s="14"/>
      <x:c r="TD90" s="14"/>
      <x:c r="TE90" s="14"/>
      <x:c r="TF90" s="14"/>
      <x:c r="TG90" s="14"/>
      <x:c r="TH90" s="14"/>
    </x:row>
    <x:row r="91">
      <x:c r="A91" s="14"/>
      <x:c r="B91" s="14"/>
      <x:c r="C91" s="14"/>
      <x:c r="D91" s="14"/>
      <x:c r="E91" s="14"/>
      <x:c r="F91" s="14"/>
      <x:c r="G91" s="14"/>
      <x:c r="H91" s="14"/>
      <x:c r="I91" s="14"/>
      <x:c r="J91" s="14"/>
      <x:c r="K91" s="14"/>
      <x:c r="L91" s="14"/>
      <x:c r="M91" s="14"/>
      <x:c r="N91" s="14"/>
      <x:c r="O91" s="14"/>
      <x:c r="P91" s="14"/>
      <x:c r="Q91" s="14"/>
      <x:c r="R91" s="14"/>
      <x:c r="S91" s="14"/>
      <x:c r="T91" s="14"/>
      <x:c r="U91" s="14"/>
      <x:c r="V91" s="14"/>
      <x:c r="W91" s="14"/>
      <x:c r="X91" s="14"/>
      <x:c r="Y91" s="14"/>
      <x:c r="Z91" s="14"/>
      <x:c r="AA91" s="14"/>
      <x:c r="AB91" s="14"/>
      <x:c r="AC91" s="14"/>
      <x:c r="AD91" s="14"/>
      <x:c r="AE91" s="14"/>
      <x:c r="AF91" s="14"/>
      <x:c r="AG91" s="14"/>
      <x:c r="AH91" s="14"/>
      <x:c r="AI91" s="14"/>
      <x:c r="AJ91" s="14"/>
      <x:c r="AK91" s="14"/>
      <x:c r="AL91" s="14"/>
      <x:c r="AM91" s="14"/>
      <x:c r="AN91" s="14"/>
      <x:c r="AO91" s="14"/>
      <x:c r="AP91" s="14"/>
      <x:c r="AQ91" s="14"/>
      <x:c r="AR91" s="14"/>
      <x:c r="AS91" s="14"/>
      <x:c r="AT91" s="14"/>
      <x:c r="AU91" s="14"/>
      <x:c r="AV91" s="14"/>
      <x:c r="AW91" s="14"/>
      <x:c r="AX91" s="14"/>
      <x:c r="AY91" s="14"/>
      <x:c r="AZ91" s="14"/>
      <x:c r="BA91" s="14"/>
      <x:c r="BB91" s="14"/>
      <x:c r="BC91" s="14"/>
      <x:c r="BD91" s="14"/>
      <x:c r="BE91" s="14"/>
      <x:c r="BF91" s="14"/>
      <x:c r="BG91" s="14"/>
      <x:c r="BH91" s="14"/>
      <x:c r="BI91" s="14"/>
      <x:c r="BJ91" s="14"/>
      <x:c r="BK91" s="14"/>
      <x:c r="BL91" s="14"/>
      <x:c r="BM91" s="14"/>
      <x:c r="BN91" s="14"/>
      <x:c r="BO91" s="14"/>
      <x:c r="BP91" s="14"/>
      <x:c r="BQ91" s="14"/>
      <x:c r="BR91" s="14"/>
      <x:c r="BS91" s="14"/>
      <x:c r="BT91" s="14"/>
      <x:c r="BU91" s="14"/>
      <x:c r="BV91" s="14"/>
      <x:c r="BW91" s="14"/>
      <x:c r="BX91" s="14"/>
      <x:c r="BY91" s="14"/>
      <x:c r="BZ91" s="14"/>
      <x:c r="CA91" s="14"/>
      <x:c r="CB91" s="14"/>
      <x:c r="CC91" s="14"/>
      <x:c r="CD91" s="14"/>
      <x:c r="CE91" s="14"/>
      <x:c r="CF91" s="14"/>
      <x:c r="CG91" s="14"/>
      <x:c r="CH91" s="14"/>
      <x:c r="CI91" s="14"/>
      <x:c r="CJ91" s="14"/>
      <x:c r="CK91" s="14"/>
      <x:c r="CL91" s="14"/>
      <x:c r="CM91" s="14"/>
      <x:c r="CN91" s="14"/>
      <x:c r="CO91" s="14"/>
      <x:c r="CP91" s="14"/>
      <x:c r="CQ91" s="14"/>
      <x:c r="CR91" s="14"/>
      <x:c r="CS91" s="14"/>
      <x:c r="CT91" s="14"/>
      <x:c r="CU91" s="14"/>
      <x:c r="CV91" s="14"/>
      <x:c r="CW91" s="14"/>
      <x:c r="CX91" s="14"/>
      <x:c r="CY91" s="14"/>
      <x:c r="CZ91" s="14"/>
      <x:c r="DA91" s="14"/>
      <x:c r="DB91" s="14"/>
      <x:c r="DC91" s="14"/>
      <x:c r="DD91" s="14"/>
      <x:c r="DE91" s="14"/>
      <x:c r="DF91" s="14"/>
      <x:c r="DG91" s="14"/>
      <x:c r="DH91" s="14"/>
      <x:c r="DI91" s="14"/>
      <x:c r="DJ91" s="14"/>
      <x:c r="DK91" s="14"/>
      <x:c r="DL91" s="14"/>
      <x:c r="DM91" s="14"/>
      <x:c r="DN91" s="14"/>
      <x:c r="DO91" s="14"/>
      <x:c r="DP91" s="14"/>
      <x:c r="DQ91" s="14"/>
      <x:c r="DR91" s="14"/>
      <x:c r="DS91" s="14"/>
      <x:c r="DT91" s="14"/>
      <x:c r="DU91" s="14"/>
      <x:c r="DV91" s="14"/>
      <x:c r="DW91" s="14"/>
      <x:c r="DX91" s="14"/>
      <x:c r="DY91" s="14"/>
      <x:c r="DZ91" s="14"/>
      <x:c r="EA91" s="14"/>
      <x:c r="EB91" s="14"/>
      <x:c r="EC91" s="14"/>
      <x:c r="ED91" s="14"/>
      <x:c r="EE91" s="14"/>
      <x:c r="EF91" s="14"/>
      <x:c r="EG91" s="14"/>
      <x:c r="EH91" s="14"/>
      <x:c r="EI91" s="14"/>
      <x:c r="EJ91" s="14"/>
      <x:c r="EK91" s="14"/>
      <x:c r="EL91" s="14"/>
      <x:c r="EM91" s="14"/>
      <x:c r="EN91" s="14"/>
      <x:c r="EO91" s="14"/>
      <x:c r="EP91" s="14"/>
      <x:c r="EQ91" s="14"/>
      <x:c r="ER91" s="14"/>
      <x:c r="ES91" s="14"/>
      <x:c r="ET91" s="14"/>
      <x:c r="EU91" s="14"/>
      <x:c r="EV91" s="14"/>
      <x:c r="EW91" s="14"/>
      <x:c r="EX91" s="14"/>
      <x:c r="EY91" s="14"/>
      <x:c r="EZ91" s="14"/>
      <x:c r="FA91" s="14"/>
      <x:c r="FB91" s="14"/>
      <x:c r="FC91" s="14"/>
      <x:c r="FD91" s="14"/>
      <x:c r="FE91" s="14"/>
      <x:c r="FF91" s="14"/>
      <x:c r="FG91" s="14"/>
      <x:c r="FH91" s="14"/>
      <x:c r="FI91" s="14"/>
      <x:c r="FJ91" s="14"/>
      <x:c r="FK91" s="14"/>
      <x:c r="FL91" s="14"/>
      <x:c r="FM91" s="14"/>
      <x:c r="FN91" s="14"/>
      <x:c r="FO91" s="14"/>
      <x:c r="FP91" s="14"/>
      <x:c r="FQ91" s="14"/>
      <x:c r="FR91" s="14"/>
      <x:c r="FS91" s="14"/>
      <x:c r="FT91" s="14"/>
      <x:c r="FU91" s="14"/>
      <x:c r="FV91" s="14"/>
      <x:c r="FW91" s="14"/>
      <x:c r="FX91" s="14"/>
      <x:c r="FY91" s="14"/>
      <x:c r="FZ91" s="14"/>
      <x:c r="GA91" s="14"/>
      <x:c r="GB91" s="14"/>
      <x:c r="GC91" s="14"/>
      <x:c r="GD91" s="14"/>
      <x:c r="GE91" s="14"/>
      <x:c r="GF91" s="14"/>
      <x:c r="GG91" s="14"/>
      <x:c r="GH91" s="14"/>
      <x:c r="GI91" s="14"/>
      <x:c r="GJ91" s="14"/>
      <x:c r="GK91" s="14"/>
      <x:c r="GL91" s="14"/>
      <x:c r="GM91" s="14"/>
      <x:c r="GN91" s="14"/>
      <x:c r="GO91" s="14"/>
      <x:c r="GP91" s="14"/>
      <x:c r="GQ91" s="14"/>
      <x:c r="GR91" s="14"/>
      <x:c r="GS91" s="14"/>
      <x:c r="GT91" s="14"/>
      <x:c r="GU91" s="14"/>
      <x:c r="GV91" s="14"/>
      <x:c r="GW91" s="14"/>
      <x:c r="GX91" s="14"/>
      <x:c r="GY91" s="14"/>
      <x:c r="GZ91" s="14"/>
      <x:c r="HA91" s="14"/>
      <x:c r="HB91" s="14"/>
      <x:c r="HC91" s="14"/>
      <x:c r="HD91" s="14"/>
      <x:c r="HE91" s="14"/>
      <x:c r="HF91" s="14"/>
      <x:c r="HG91" s="14"/>
      <x:c r="HH91" s="14"/>
      <x:c r="HI91" s="14"/>
      <x:c r="HJ91" s="14"/>
      <x:c r="HK91" s="14"/>
      <x:c r="HL91" s="14"/>
      <x:c r="HM91" s="14"/>
      <x:c r="HN91" s="14"/>
      <x:c r="HO91" s="14"/>
      <x:c r="HP91" s="14"/>
      <x:c r="HQ91" s="14"/>
      <x:c r="HR91" s="14"/>
      <x:c r="HS91" s="14"/>
      <x:c r="HT91" s="14"/>
      <x:c r="HU91" s="14"/>
      <x:c r="HV91" s="14"/>
      <x:c r="HW91" s="14"/>
      <x:c r="HX91" s="14"/>
      <x:c r="HY91" s="14"/>
      <x:c r="HZ91" s="14"/>
      <x:c r="IA91" s="14"/>
      <x:c r="IB91" s="14"/>
      <x:c r="IC91" s="14"/>
      <x:c r="ID91" s="14"/>
      <x:c r="IE91" s="14"/>
      <x:c r="IF91" s="14"/>
      <x:c r="IG91" s="14"/>
      <x:c r="IH91" s="14"/>
      <x:c r="II91" s="14"/>
      <x:c r="IJ91" s="14"/>
      <x:c r="IK91" s="14"/>
      <x:c r="IL91" s="14"/>
      <x:c r="IM91" s="14"/>
      <x:c r="IN91" s="14"/>
      <x:c r="IO91" s="14"/>
      <x:c r="IP91" s="14"/>
      <x:c r="IQ91" s="14"/>
      <x:c r="IR91" s="14"/>
      <x:c r="IS91" s="14"/>
      <x:c r="IT91" s="14"/>
      <x:c r="IU91" s="14"/>
      <x:c r="IV91" s="14"/>
      <x:c r="IW91" s="14"/>
      <x:c r="IX91" s="14"/>
      <x:c r="IY91" s="14"/>
      <x:c r="IZ91" s="14"/>
      <x:c r="JA91" s="14"/>
      <x:c r="JB91" s="14"/>
      <x:c r="JC91" s="14"/>
      <x:c r="JD91" s="14"/>
      <x:c r="JE91" s="14"/>
      <x:c r="JF91" s="14"/>
      <x:c r="JG91" s="14"/>
      <x:c r="JH91" s="14"/>
      <x:c r="JI91" s="14"/>
      <x:c r="JJ91" s="14"/>
      <x:c r="JK91" s="14"/>
      <x:c r="JL91" s="14"/>
      <x:c r="JM91" s="14"/>
      <x:c r="JN91" s="14"/>
      <x:c r="JO91" s="14"/>
      <x:c r="JP91" s="14"/>
      <x:c r="JQ91" s="14"/>
      <x:c r="JR91" s="14"/>
      <x:c r="JS91" s="14"/>
      <x:c r="JT91" s="14"/>
      <x:c r="JU91" s="14"/>
      <x:c r="JV91" s="14"/>
      <x:c r="JW91" s="14"/>
      <x:c r="JX91" s="14"/>
      <x:c r="JY91" s="14"/>
      <x:c r="JZ91" s="14"/>
      <x:c r="KA91" s="14"/>
      <x:c r="KB91" s="14"/>
      <x:c r="KC91" s="14"/>
      <x:c r="KD91" s="14"/>
      <x:c r="KE91" s="14"/>
      <x:c r="KF91" s="14"/>
      <x:c r="KG91" s="14"/>
      <x:c r="KH91" s="14"/>
      <x:c r="KI91" s="14"/>
      <x:c r="KJ91" s="14"/>
      <x:c r="KK91" s="14"/>
      <x:c r="KL91" s="14"/>
      <x:c r="KM91" s="14"/>
      <x:c r="KN91" s="14"/>
      <x:c r="KO91" s="14"/>
      <x:c r="KP91" s="14"/>
      <x:c r="KQ91" s="14"/>
      <x:c r="KR91" s="14"/>
      <x:c r="KS91" s="14"/>
      <x:c r="KT91" s="14"/>
      <x:c r="KU91" s="14"/>
      <x:c r="KV91" s="14"/>
      <x:c r="KW91" s="14"/>
      <x:c r="KX91" s="14"/>
      <x:c r="KY91" s="14"/>
      <x:c r="KZ91" s="14"/>
      <x:c r="LA91" s="14"/>
      <x:c r="LB91" s="14"/>
      <x:c r="LC91" s="14"/>
      <x:c r="LD91" s="14"/>
      <x:c r="LE91" s="14"/>
      <x:c r="LF91" s="14"/>
      <x:c r="LG91" s="14"/>
      <x:c r="LH91" s="14"/>
      <x:c r="LI91" s="14"/>
      <x:c r="LJ91" s="14"/>
      <x:c r="LK91" s="14"/>
      <x:c r="LL91" s="14"/>
      <x:c r="LM91" s="14"/>
      <x:c r="LN91" s="14"/>
      <x:c r="LO91" s="14"/>
      <x:c r="LP91" s="14"/>
      <x:c r="LQ91" s="14"/>
      <x:c r="LR91" s="14"/>
      <x:c r="LS91" s="14"/>
      <x:c r="LT91" s="14"/>
      <x:c r="LU91" s="14"/>
      <x:c r="LV91" s="14"/>
      <x:c r="LW91" s="14"/>
      <x:c r="LX91" s="14"/>
      <x:c r="LY91" s="14"/>
      <x:c r="LZ91" s="14"/>
      <x:c r="MA91" s="14"/>
      <x:c r="MB91" s="14"/>
      <x:c r="MC91" s="14"/>
      <x:c r="MD91" s="14"/>
      <x:c r="ME91" s="14"/>
      <x:c r="MF91" s="14"/>
      <x:c r="MG91" s="14"/>
      <x:c r="MH91" s="14"/>
      <x:c r="MI91" s="14"/>
      <x:c r="MJ91" s="14"/>
      <x:c r="MK91" s="14"/>
      <x:c r="ML91" s="14"/>
      <x:c r="MM91" s="14"/>
      <x:c r="MN91" s="14"/>
      <x:c r="MO91" s="14"/>
      <x:c r="MP91" s="14"/>
      <x:c r="MQ91" s="14"/>
      <x:c r="MR91" s="14"/>
      <x:c r="MS91" s="14"/>
      <x:c r="MT91" s="14"/>
      <x:c r="MU91" s="14"/>
      <x:c r="MV91" s="14"/>
      <x:c r="MW91" s="14"/>
      <x:c r="MX91" s="14"/>
      <x:c r="MY91" s="14"/>
      <x:c r="MZ91" s="14"/>
      <x:c r="NA91" s="14"/>
      <x:c r="NB91" s="14"/>
      <x:c r="NC91" s="14"/>
      <x:c r="ND91" s="14"/>
      <x:c r="NE91" s="14"/>
      <x:c r="NF91" s="14"/>
      <x:c r="NG91" s="14"/>
      <x:c r="NH91" s="14"/>
      <x:c r="NI91" s="14"/>
      <x:c r="NJ91" s="14"/>
      <x:c r="NK91" s="14"/>
      <x:c r="NL91" s="14"/>
      <x:c r="NM91" s="14"/>
      <x:c r="NN91" s="14"/>
      <x:c r="NO91" s="14"/>
      <x:c r="NP91" s="14"/>
      <x:c r="NQ91" s="14"/>
      <x:c r="NR91" s="14"/>
      <x:c r="NS91" s="14"/>
      <x:c r="NT91" s="14"/>
      <x:c r="NU91" s="14"/>
      <x:c r="NV91" s="14"/>
      <x:c r="NW91" s="14"/>
      <x:c r="NX91" s="14"/>
      <x:c r="NY91" s="14"/>
      <x:c r="NZ91" s="14"/>
      <x:c r="OA91" s="14"/>
      <x:c r="OB91" s="14"/>
      <x:c r="OC91" s="14"/>
      <x:c r="OD91" s="14"/>
      <x:c r="OE91" s="14"/>
      <x:c r="OF91" s="14"/>
      <x:c r="OG91" s="14"/>
      <x:c r="OH91" s="14"/>
      <x:c r="OI91" s="14"/>
      <x:c r="OJ91" s="14"/>
      <x:c r="OK91" s="14"/>
      <x:c r="OL91" s="14"/>
      <x:c r="OM91" s="14"/>
      <x:c r="ON91" s="14"/>
      <x:c r="OO91" s="14"/>
      <x:c r="OP91" s="14"/>
      <x:c r="OQ91" s="14"/>
      <x:c r="OR91" s="14"/>
      <x:c r="OS91" s="14"/>
      <x:c r="OT91" s="14"/>
      <x:c r="OU91" s="14"/>
      <x:c r="OV91" s="14"/>
      <x:c r="OW91" s="14"/>
      <x:c r="OX91" s="14"/>
      <x:c r="OY91" s="14"/>
      <x:c r="OZ91" s="14"/>
      <x:c r="PA91" s="14"/>
      <x:c r="PB91" s="14"/>
      <x:c r="PC91" s="14"/>
      <x:c r="PD91" s="14"/>
      <x:c r="PE91" s="14"/>
      <x:c r="PF91" s="14"/>
      <x:c r="PG91" s="14"/>
      <x:c r="PH91" s="14"/>
      <x:c r="PI91" s="14"/>
      <x:c r="PJ91" s="14"/>
      <x:c r="PK91" s="14"/>
      <x:c r="PL91" s="14"/>
      <x:c r="PM91" s="14"/>
      <x:c r="PN91" s="14"/>
      <x:c r="PO91" s="14"/>
      <x:c r="PP91" s="14"/>
      <x:c r="PQ91" s="14"/>
      <x:c r="PR91" s="14"/>
      <x:c r="PS91" s="14"/>
      <x:c r="PT91" s="14"/>
      <x:c r="PU91" s="14"/>
      <x:c r="PV91" s="14"/>
      <x:c r="PW91" s="14"/>
      <x:c r="PX91" s="14"/>
      <x:c r="PY91" s="14"/>
      <x:c r="PZ91" s="14"/>
      <x:c r="QA91" s="14"/>
      <x:c r="QB91" s="14"/>
      <x:c r="QC91" s="14"/>
      <x:c r="QD91" s="14"/>
      <x:c r="QE91" s="14"/>
      <x:c r="QF91" s="14"/>
      <x:c r="QG91" s="14"/>
      <x:c r="QH91" s="14"/>
      <x:c r="QI91" s="14"/>
      <x:c r="QJ91" s="14"/>
      <x:c r="QK91" s="14"/>
      <x:c r="QL91" s="14"/>
      <x:c r="QM91" s="14"/>
      <x:c r="QN91" s="14"/>
      <x:c r="QO91" s="14"/>
      <x:c r="QP91" s="14"/>
      <x:c r="QQ91" s="14"/>
      <x:c r="QR91" s="14"/>
      <x:c r="QS91" s="14"/>
      <x:c r="QT91" s="14"/>
      <x:c r="QU91" s="14"/>
      <x:c r="QV91" s="14"/>
      <x:c r="QW91" s="14"/>
      <x:c r="QX91" s="14"/>
      <x:c r="QY91" s="14"/>
      <x:c r="QZ91" s="14"/>
      <x:c r="RA91" s="14"/>
      <x:c r="RB91" s="14"/>
      <x:c r="RC91" s="14"/>
      <x:c r="RD91" s="14"/>
      <x:c r="RE91" s="14"/>
      <x:c r="RF91" s="14"/>
      <x:c r="RG91" s="14"/>
      <x:c r="RH91" s="14"/>
      <x:c r="RI91" s="14"/>
      <x:c r="RJ91" s="14"/>
      <x:c r="RK91" s="14"/>
      <x:c r="RL91" s="14"/>
      <x:c r="RM91" s="14"/>
      <x:c r="RN91" s="14"/>
      <x:c r="RO91" s="14"/>
      <x:c r="RP91" s="14"/>
      <x:c r="RQ91" s="14"/>
      <x:c r="RR91" s="14"/>
      <x:c r="RS91" s="14"/>
      <x:c r="RT91" s="14"/>
      <x:c r="RU91" s="14"/>
      <x:c r="RV91" s="14"/>
      <x:c r="RW91" s="14"/>
      <x:c r="RX91" s="14"/>
      <x:c r="RY91" s="14"/>
      <x:c r="RZ91" s="14"/>
      <x:c r="SA91" s="14"/>
      <x:c r="SB91" s="14"/>
      <x:c r="SC91" s="14"/>
      <x:c r="SD91" s="14"/>
      <x:c r="SE91" s="14"/>
      <x:c r="SF91" s="14"/>
      <x:c r="SG91" s="14"/>
      <x:c r="SH91" s="14"/>
      <x:c r="SI91" s="14"/>
      <x:c r="SJ91" s="14"/>
      <x:c r="SK91" s="14"/>
      <x:c r="SL91" s="14"/>
      <x:c r="SM91" s="14"/>
      <x:c r="SN91" s="14"/>
      <x:c r="SO91" s="14"/>
      <x:c r="SP91" s="14"/>
      <x:c r="SQ91" s="14"/>
      <x:c r="SR91" s="14"/>
      <x:c r="SS91" s="14"/>
      <x:c r="ST91" s="14"/>
      <x:c r="SU91" s="14"/>
      <x:c r="SV91" s="14"/>
      <x:c r="SW91" s="14"/>
      <x:c r="SX91" s="14"/>
      <x:c r="SY91" s="14"/>
      <x:c r="SZ91" s="14"/>
      <x:c r="TA91" s="14"/>
      <x:c r="TB91" s="14"/>
      <x:c r="TC91" s="14"/>
      <x:c r="TD91" s="14"/>
      <x:c r="TE91" s="14"/>
      <x:c r="TF91" s="14"/>
      <x:c r="TG91" s="14"/>
      <x:c r="TH91" s="14"/>
    </x:row>
    <x:row r="92" ht="25" customHeight="1">
      <x:c r="A92" s="14"/>
      <x:c r="B92" s="14"/>
      <x:c r="C92" s="14"/>
      <x:c r="D92" s="14"/>
      <x:c r="E92" s="14"/>
      <x:c r="F92" s="14"/>
      <x:c r="G92" s="14"/>
      <x:c r="H92" s="14"/>
      <x:c r="I92" s="14"/>
      <x:c r="J92" s="14"/>
      <x:c r="K92" s="14"/>
      <x:c r="L92" s="14"/>
      <x:c r="M92" s="14"/>
      <x:c r="N92" s="14"/>
      <x:c r="O92" s="14"/>
      <x:c r="P92" s="14"/>
      <x:c r="Q92" s="14"/>
      <x:c r="R92" s="14"/>
      <x:c r="S92" s="14"/>
      <x:c r="T92" s="14"/>
      <x:c r="U92" s="14"/>
      <x:c r="V92" s="14"/>
      <x:c r="W92" s="14"/>
      <x:c r="X92" s="14"/>
      <x:c r="Y92" s="14"/>
      <x:c r="Z92" s="14"/>
      <x:c r="AA92" s="14"/>
      <x:c r="AB92" s="14"/>
      <x:c r="AC92" s="14"/>
      <x:c r="AD92" s="14"/>
      <x:c r="AE92" s="14"/>
      <x:c r="AF92" s="14"/>
      <x:c r="AG92" s="14"/>
      <x:c r="AH92" s="14"/>
      <x:c r="AI92" s="14"/>
      <x:c r="AJ92" s="14"/>
      <x:c r="AK92" s="14"/>
      <x:c r="AL92" s="14"/>
      <x:c r="AM92" s="14"/>
      <x:c r="AN92" s="14"/>
      <x:c r="AO92" s="14"/>
      <x:c r="AP92" s="14"/>
      <x:c r="AQ92" s="14"/>
      <x:c r="AR92" s="14"/>
      <x:c r="AS92" s="14"/>
      <x:c r="AT92" s="14"/>
      <x:c r="AU92" s="14"/>
      <x:c r="AV92" s="14"/>
      <x:c r="AW92" s="14"/>
      <x:c r="AX92" s="14"/>
      <x:c r="AY92" s="16" t="str">
        <x:v>帽子類4　／　96 筆</x:v>
      </x:c>
      <x:c r="AZ92" s="16"/>
      <x:c r="BA92" s="16"/>
      <x:c r="BB92" s="16"/>
      <x:c r="BC92" s="14"/>
      <x:c r="BD92" s="16" t="str">
        <x:v>衣服類4　／　96 筆</x:v>
      </x:c>
      <x:c r="BE92" s="16"/>
      <x:c r="BF92" s="16"/>
      <x:c r="BG92" s="16"/>
      <x:c r="BH92" s="14"/>
      <x:c r="BI92" s="16" t="str">
        <x:v>護腕類4　／　96 筆</x:v>
      </x:c>
      <x:c r="BJ92" s="16"/>
      <x:c r="BK92" s="16"/>
      <x:c r="BL92" s="16"/>
      <x:c r="BM92" s="14"/>
      <x:c r="BN92" s="16" t="str">
        <x:v>鞋子類4　／　96 筆</x:v>
      </x:c>
      <x:c r="BO92" s="16"/>
      <x:c r="BP92" s="16"/>
      <x:c r="BQ92" s="16"/>
      <x:c r="BR92" s="14"/>
      <x:c r="BS92" s="16" t="str">
        <x:v>飾品類4　／　96 筆</x:v>
      </x:c>
      <x:c r="BT92" s="16"/>
      <x:c r="BU92" s="16"/>
      <x:c r="BV92" s="16"/>
      <x:c r="BW92" s="14"/>
      <x:c r="BX92" s="14"/>
      <x:c r="BY92" s="14"/>
      <x:c r="BZ92" s="14"/>
      <x:c r="CA92" s="14"/>
      <x:c r="CB92" s="14"/>
      <x:c r="CC92" s="14"/>
      <x:c r="CD92" s="14"/>
      <x:c r="CE92" s="14"/>
      <x:c r="CF92" s="14"/>
      <x:c r="CG92" s="14"/>
      <x:c r="CH92" s="14"/>
      <x:c r="CI92" s="14"/>
      <x:c r="CJ92" s="14"/>
      <x:c r="CK92" s="14"/>
      <x:c r="CL92" s="14"/>
      <x:c r="CM92" s="14"/>
      <x:c r="CN92" s="14"/>
      <x:c r="CO92" s="14"/>
      <x:c r="CP92" s="14"/>
      <x:c r="CQ92" s="14"/>
      <x:c r="CR92" s="14"/>
      <x:c r="CS92" s="14"/>
      <x:c r="CT92" s="14"/>
      <x:c r="CU92" s="14"/>
      <x:c r="CV92" s="14"/>
      <x:c r="CW92" s="14"/>
      <x:c r="CX92" s="14"/>
      <x:c r="CY92" s="14"/>
      <x:c r="CZ92" s="14"/>
      <x:c r="DA92" s="14"/>
      <x:c r="DB92" s="14"/>
      <x:c r="DC92" s="14"/>
      <x:c r="DD92" s="14"/>
      <x:c r="DE92" s="14"/>
      <x:c r="DF92" s="14"/>
      <x:c r="DG92" s="14"/>
      <x:c r="DH92" s="14"/>
      <x:c r="DI92" s="14"/>
      <x:c r="DJ92" s="14"/>
      <x:c r="DK92" s="14"/>
      <x:c r="DL92" s="14"/>
      <x:c r="DM92" s="14"/>
      <x:c r="DN92" s="14"/>
      <x:c r="DO92" s="14"/>
      <x:c r="DP92" s="14"/>
      <x:c r="DQ92" s="14"/>
      <x:c r="DR92" s="14"/>
      <x:c r="DS92" s="14"/>
      <x:c r="DT92" s="14"/>
      <x:c r="DU92" s="14"/>
      <x:c r="DV92" s="14"/>
      <x:c r="DW92" s="14"/>
      <x:c r="DX92" s="14"/>
      <x:c r="DY92" s="14"/>
      <x:c r="DZ92" s="14"/>
      <x:c r="EA92" s="14"/>
      <x:c r="EB92" s="14"/>
      <x:c r="EC92" s="14"/>
      <x:c r="ED92" s="14"/>
      <x:c r="EE92" s="14"/>
      <x:c r="EF92" s="14"/>
      <x:c r="EG92" s="14"/>
      <x:c r="EH92" s="14"/>
      <x:c r="EI92" s="14"/>
      <x:c r="EJ92" s="14"/>
      <x:c r="EK92" s="14"/>
      <x:c r="EL92" s="14"/>
      <x:c r="EM92" s="14"/>
      <x:c r="EN92" s="14"/>
      <x:c r="EO92" s="14"/>
      <x:c r="EP92" s="14"/>
      <x:c r="EQ92" s="14"/>
      <x:c r="ER92" s="14"/>
      <x:c r="ES92" s="14"/>
      <x:c r="ET92" s="14"/>
      <x:c r="EU92" s="14"/>
      <x:c r="EV92" s="14"/>
      <x:c r="EW92" s="14"/>
      <x:c r="EX92" s="14"/>
      <x:c r="EY92" s="14"/>
      <x:c r="EZ92" s="14"/>
      <x:c r="FA92" s="14"/>
      <x:c r="FB92" s="14"/>
      <x:c r="FC92" s="14"/>
      <x:c r="FD92" s="14"/>
      <x:c r="FE92" s="14"/>
      <x:c r="FF92" s="14"/>
      <x:c r="FG92" s="14"/>
      <x:c r="FH92" s="14"/>
      <x:c r="FI92" s="14"/>
      <x:c r="FJ92" s="14"/>
      <x:c r="FK92" s="14"/>
      <x:c r="FL92" s="14"/>
      <x:c r="FM92" s="14"/>
      <x:c r="FN92" s="14"/>
      <x:c r="FO92" s="14"/>
      <x:c r="FP92" s="14"/>
      <x:c r="FQ92" s="14"/>
      <x:c r="FR92" s="14"/>
      <x:c r="FS92" s="14"/>
      <x:c r="FT92" s="14"/>
      <x:c r="FU92" s="14"/>
      <x:c r="FV92" s="14"/>
      <x:c r="FW92" s="14"/>
      <x:c r="FX92" s="14"/>
      <x:c r="FY92" s="14"/>
      <x:c r="FZ92" s="14"/>
      <x:c r="GA92" s="14"/>
      <x:c r="GB92" s="14"/>
      <x:c r="GC92" s="14"/>
      <x:c r="GD92" s="14"/>
      <x:c r="GE92" s="14"/>
      <x:c r="GF92" s="14"/>
      <x:c r="GG92" s="14"/>
      <x:c r="GH92" s="14"/>
      <x:c r="GI92" s="14"/>
      <x:c r="GJ92" s="14"/>
      <x:c r="GK92" s="14"/>
      <x:c r="GL92" s="14"/>
      <x:c r="GM92" s="14"/>
      <x:c r="GN92" s="14"/>
      <x:c r="GO92" s="14"/>
      <x:c r="GP92" s="14"/>
      <x:c r="GQ92" s="14"/>
      <x:c r="GR92" s="14"/>
      <x:c r="GS92" s="14"/>
      <x:c r="GT92" s="14"/>
      <x:c r="GU92" s="14"/>
      <x:c r="GV92" s="14"/>
      <x:c r="GW92" s="14"/>
      <x:c r="GX92" s="14"/>
      <x:c r="GY92" s="14"/>
      <x:c r="GZ92" s="14"/>
      <x:c r="HA92" s="14"/>
      <x:c r="HB92" s="14"/>
      <x:c r="HC92" s="14"/>
      <x:c r="HD92" s="14"/>
      <x:c r="HE92" s="14"/>
      <x:c r="HF92" s="14"/>
      <x:c r="HG92" s="14"/>
      <x:c r="HH92" s="14"/>
      <x:c r="HI92" s="14"/>
      <x:c r="HJ92" s="14"/>
      <x:c r="HK92" s="14"/>
      <x:c r="HL92" s="14"/>
      <x:c r="HM92" s="14"/>
      <x:c r="HN92" s="14"/>
      <x:c r="HO92" s="14"/>
      <x:c r="HP92" s="14"/>
      <x:c r="HQ92" s="14"/>
      <x:c r="HR92" s="14"/>
      <x:c r="HS92" s="14"/>
      <x:c r="HT92" s="14"/>
      <x:c r="HU92" s="14"/>
      <x:c r="HV92" s="14"/>
      <x:c r="HW92" s="14"/>
      <x:c r="HX92" s="14"/>
      <x:c r="HY92" s="14"/>
      <x:c r="HZ92" s="14"/>
      <x:c r="IA92" s="14"/>
      <x:c r="IB92" s="14"/>
      <x:c r="IC92" s="14"/>
      <x:c r="ID92" s="14"/>
      <x:c r="IE92" s="14"/>
      <x:c r="IF92" s="14"/>
      <x:c r="IG92" s="14"/>
      <x:c r="IH92" s="14"/>
      <x:c r="II92" s="14"/>
      <x:c r="IJ92" s="14"/>
      <x:c r="IK92" s="14"/>
      <x:c r="IL92" s="14"/>
      <x:c r="IM92" s="14"/>
      <x:c r="IN92" s="14"/>
      <x:c r="IO92" s="14"/>
      <x:c r="IP92" s="14"/>
      <x:c r="IQ92" s="14"/>
      <x:c r="IR92" s="14"/>
      <x:c r="IS92" s="14"/>
      <x:c r="IT92" s="14"/>
      <x:c r="IU92" s="14"/>
      <x:c r="IV92" s="14"/>
      <x:c r="IW92" s="14"/>
      <x:c r="IX92" s="14"/>
      <x:c r="IY92" s="14"/>
      <x:c r="IZ92" s="14"/>
      <x:c r="JA92" s="14"/>
      <x:c r="JB92" s="14"/>
      <x:c r="JC92" s="14"/>
      <x:c r="JD92" s="14"/>
      <x:c r="JE92" s="14"/>
      <x:c r="JF92" s="14"/>
      <x:c r="JG92" s="14"/>
      <x:c r="JH92" s="14"/>
      <x:c r="JI92" s="14"/>
      <x:c r="JJ92" s="14"/>
      <x:c r="JK92" s="14"/>
      <x:c r="JL92" s="14"/>
      <x:c r="JM92" s="14"/>
      <x:c r="JN92" s="14"/>
      <x:c r="JO92" s="14"/>
      <x:c r="JP92" s="14"/>
      <x:c r="JQ92" s="14"/>
      <x:c r="JR92" s="14"/>
      <x:c r="JS92" s="14"/>
      <x:c r="JT92" s="14"/>
      <x:c r="JU92" s="14"/>
      <x:c r="JV92" s="14"/>
      <x:c r="JW92" s="14"/>
      <x:c r="JX92" s="14"/>
      <x:c r="JY92" s="14"/>
      <x:c r="JZ92" s="14"/>
      <x:c r="KA92" s="14"/>
      <x:c r="KB92" s="14"/>
      <x:c r="KC92" s="14"/>
      <x:c r="KD92" s="14"/>
      <x:c r="KE92" s="14"/>
      <x:c r="KF92" s="14"/>
      <x:c r="KG92" s="14"/>
      <x:c r="KH92" s="14"/>
      <x:c r="KI92" s="14"/>
      <x:c r="KJ92" s="14"/>
      <x:c r="KK92" s="14"/>
      <x:c r="KL92" s="14"/>
      <x:c r="KM92" s="14"/>
      <x:c r="KN92" s="14"/>
      <x:c r="KO92" s="14"/>
      <x:c r="KP92" s="14"/>
      <x:c r="KQ92" s="14"/>
      <x:c r="KR92" s="14"/>
      <x:c r="KS92" s="14"/>
      <x:c r="KT92" s="14"/>
      <x:c r="KU92" s="14"/>
      <x:c r="KV92" s="14"/>
      <x:c r="KW92" s="14"/>
      <x:c r="KX92" s="14"/>
      <x:c r="KY92" s="14"/>
      <x:c r="KZ92" s="14"/>
      <x:c r="LA92" s="14"/>
      <x:c r="LB92" s="14"/>
      <x:c r="LC92" s="14"/>
      <x:c r="LD92" s="14"/>
      <x:c r="LE92" s="14"/>
      <x:c r="LF92" s="14"/>
      <x:c r="LG92" s="14"/>
      <x:c r="LH92" s="14"/>
      <x:c r="LI92" s="14"/>
      <x:c r="LJ92" s="14"/>
      <x:c r="LK92" s="14"/>
      <x:c r="LL92" s="14"/>
      <x:c r="LM92" s="14"/>
      <x:c r="LN92" s="14"/>
      <x:c r="LO92" s="14"/>
      <x:c r="LP92" s="14"/>
      <x:c r="LQ92" s="14"/>
      <x:c r="LR92" s="14"/>
      <x:c r="LS92" s="14"/>
      <x:c r="LT92" s="14"/>
      <x:c r="LU92" s="14"/>
      <x:c r="LV92" s="14"/>
      <x:c r="LW92" s="14"/>
      <x:c r="LX92" s="14"/>
      <x:c r="LY92" s="14"/>
      <x:c r="LZ92" s="14"/>
      <x:c r="MA92" s="14"/>
      <x:c r="MB92" s="14"/>
      <x:c r="MC92" s="14"/>
      <x:c r="MD92" s="14"/>
      <x:c r="ME92" s="14"/>
      <x:c r="MF92" s="14"/>
      <x:c r="MG92" s="14"/>
      <x:c r="MH92" s="14"/>
      <x:c r="MI92" s="14"/>
      <x:c r="MJ92" s="14"/>
      <x:c r="MK92" s="14"/>
      <x:c r="ML92" s="14"/>
      <x:c r="MM92" s="14"/>
      <x:c r="MN92" s="14"/>
      <x:c r="MO92" s="14"/>
      <x:c r="MP92" s="14"/>
      <x:c r="MQ92" s="14"/>
      <x:c r="MR92" s="14"/>
      <x:c r="MS92" s="14"/>
      <x:c r="MT92" s="14"/>
      <x:c r="MU92" s="14"/>
      <x:c r="MV92" s="14"/>
      <x:c r="MW92" s="14"/>
      <x:c r="MX92" s="14"/>
      <x:c r="MY92" s="14"/>
      <x:c r="MZ92" s="14"/>
      <x:c r="NA92" s="14"/>
      <x:c r="NB92" s="14"/>
      <x:c r="NC92" s="14"/>
      <x:c r="ND92" s="14"/>
      <x:c r="NE92" s="14"/>
      <x:c r="NF92" s="14"/>
      <x:c r="NG92" s="14"/>
      <x:c r="NH92" s="14"/>
      <x:c r="NI92" s="14"/>
      <x:c r="NJ92" s="14"/>
      <x:c r="NK92" s="14"/>
      <x:c r="NL92" s="14"/>
      <x:c r="NM92" s="14"/>
      <x:c r="NN92" s="14"/>
      <x:c r="NO92" s="14"/>
      <x:c r="NP92" s="14"/>
      <x:c r="NQ92" s="14"/>
      <x:c r="NR92" s="14"/>
      <x:c r="NS92" s="14"/>
      <x:c r="NT92" s="14"/>
      <x:c r="NU92" s="14"/>
      <x:c r="NV92" s="14"/>
      <x:c r="NW92" s="14"/>
      <x:c r="NX92" s="14"/>
      <x:c r="NY92" s="14"/>
      <x:c r="NZ92" s="14"/>
      <x:c r="OA92" s="14"/>
      <x:c r="OB92" s="14"/>
      <x:c r="OC92" s="14"/>
      <x:c r="OD92" s="14"/>
      <x:c r="OE92" s="14"/>
      <x:c r="OF92" s="14"/>
      <x:c r="OG92" s="14"/>
      <x:c r="OH92" s="14"/>
      <x:c r="OI92" s="14"/>
      <x:c r="OJ92" s="14"/>
      <x:c r="OK92" s="14"/>
      <x:c r="OL92" s="14"/>
      <x:c r="OM92" s="14"/>
      <x:c r="ON92" s="14"/>
      <x:c r="OO92" s="14"/>
      <x:c r="OP92" s="14"/>
      <x:c r="OQ92" s="14"/>
      <x:c r="OR92" s="14"/>
      <x:c r="OS92" s="14"/>
      <x:c r="OT92" s="14"/>
      <x:c r="OU92" s="14"/>
      <x:c r="OV92" s="14"/>
      <x:c r="OW92" s="14"/>
      <x:c r="OX92" s="14"/>
      <x:c r="OY92" s="14"/>
      <x:c r="OZ92" s="14"/>
      <x:c r="PA92" s="14"/>
      <x:c r="PB92" s="14"/>
      <x:c r="PC92" s="14"/>
      <x:c r="PD92" s="14"/>
      <x:c r="PE92" s="14"/>
      <x:c r="PF92" s="14"/>
      <x:c r="PG92" s="14"/>
      <x:c r="PH92" s="14"/>
      <x:c r="PI92" s="14"/>
      <x:c r="PJ92" s="14"/>
      <x:c r="PK92" s="14"/>
      <x:c r="PL92" s="14"/>
      <x:c r="PM92" s="14"/>
      <x:c r="PN92" s="14"/>
      <x:c r="PO92" s="14"/>
      <x:c r="PP92" s="14"/>
      <x:c r="PQ92" s="14"/>
      <x:c r="PR92" s="14"/>
      <x:c r="PS92" s="14"/>
      <x:c r="PT92" s="14"/>
      <x:c r="PU92" s="14"/>
      <x:c r="PV92" s="14"/>
      <x:c r="PW92" s="14"/>
      <x:c r="PX92" s="14"/>
      <x:c r="PY92" s="14"/>
      <x:c r="PZ92" s="14"/>
      <x:c r="QA92" s="14"/>
      <x:c r="QB92" s="14"/>
      <x:c r="QC92" s="14"/>
      <x:c r="QD92" s="14"/>
      <x:c r="QE92" s="14"/>
      <x:c r="QF92" s="14"/>
      <x:c r="QG92" s="14"/>
      <x:c r="QH92" s="14"/>
      <x:c r="QI92" s="14"/>
      <x:c r="QJ92" s="14"/>
      <x:c r="QK92" s="14"/>
      <x:c r="QL92" s="14"/>
      <x:c r="QM92" s="14"/>
      <x:c r="QN92" s="14"/>
      <x:c r="QO92" s="14"/>
      <x:c r="QP92" s="14"/>
      <x:c r="QQ92" s="14"/>
      <x:c r="QR92" s="14"/>
      <x:c r="QS92" s="14"/>
      <x:c r="QT92" s="14"/>
      <x:c r="QU92" s="14"/>
      <x:c r="QV92" s="14"/>
      <x:c r="QW92" s="14"/>
      <x:c r="QX92" s="14"/>
      <x:c r="QY92" s="14"/>
      <x:c r="QZ92" s="14"/>
      <x:c r="RA92" s="14"/>
      <x:c r="RB92" s="14"/>
      <x:c r="RC92" s="14"/>
      <x:c r="RD92" s="14"/>
      <x:c r="RE92" s="14"/>
      <x:c r="RF92" s="14"/>
      <x:c r="RG92" s="14"/>
      <x:c r="RH92" s="14"/>
      <x:c r="RI92" s="14"/>
      <x:c r="RJ92" s="14"/>
      <x:c r="RK92" s="14"/>
      <x:c r="RL92" s="14"/>
      <x:c r="RM92" s="14"/>
      <x:c r="RN92" s="14"/>
      <x:c r="RO92" s="14"/>
      <x:c r="RP92" s="14"/>
      <x:c r="RQ92" s="14"/>
      <x:c r="RR92" s="14"/>
      <x:c r="RS92" s="14"/>
      <x:c r="RT92" s="14"/>
      <x:c r="RU92" s="14"/>
      <x:c r="RV92" s="14"/>
      <x:c r="RW92" s="14"/>
      <x:c r="RX92" s="14"/>
      <x:c r="RY92" s="14"/>
      <x:c r="RZ92" s="14"/>
      <x:c r="SA92" s="14"/>
      <x:c r="SB92" s="14"/>
      <x:c r="SC92" s="14"/>
      <x:c r="SD92" s="14"/>
      <x:c r="SE92" s="14"/>
      <x:c r="SF92" s="14"/>
      <x:c r="SG92" s="14"/>
      <x:c r="SH92" s="14"/>
      <x:c r="SI92" s="14"/>
      <x:c r="SJ92" s="14"/>
      <x:c r="SK92" s="14"/>
      <x:c r="SL92" s="14"/>
      <x:c r="SM92" s="14"/>
      <x:c r="SN92" s="14"/>
      <x:c r="SO92" s="14"/>
      <x:c r="SP92" s="14"/>
      <x:c r="SQ92" s="14"/>
      <x:c r="SR92" s="14"/>
      <x:c r="SS92" s="14"/>
      <x:c r="ST92" s="14"/>
      <x:c r="SU92" s="14"/>
      <x:c r="SV92" s="14"/>
      <x:c r="SW92" s="14"/>
      <x:c r="SX92" s="14"/>
      <x:c r="SY92" s="14"/>
      <x:c r="SZ92" s="14"/>
      <x:c r="TA92" s="14"/>
      <x:c r="TB92" s="14"/>
      <x:c r="TC92" s="14"/>
      <x:c r="TD92" s="14"/>
      <x:c r="TE92" s="14"/>
      <x:c r="TF92" s="14"/>
      <x:c r="TG92" s="14"/>
      <x:c r="TH92" s="14"/>
    </x:row>
    <x:row r="93" ht="15" customHeight="1">
      <x:c r="A93" s="14"/>
      <x:c r="B93" s="14"/>
      <x:c r="C93" s="14"/>
      <x:c r="D93" s="14"/>
      <x:c r="E93" s="14"/>
      <x:c r="F93" s="14"/>
      <x:c r="G93" s="14"/>
      <x:c r="H93" s="14"/>
      <x:c r="I93" s="14"/>
      <x:c r="J93" s="14"/>
      <x:c r="K93" s="14"/>
      <x:c r="L93" s="14"/>
      <x:c r="M93" s="14"/>
      <x:c r="N93" s="14"/>
      <x:c r="O93" s="14"/>
      <x:c r="P93" s="14"/>
      <x:c r="Q93" s="14"/>
      <x:c r="R93" s="14"/>
      <x:c r="S93" s="14"/>
      <x:c r="T93" s="14"/>
      <x:c r="U93" s="14"/>
      <x:c r="V93" s="14"/>
      <x:c r="W93" s="14"/>
      <x:c r="X93" s="14"/>
      <x:c r="Y93" s="14"/>
      <x:c r="Z93" s="14"/>
      <x:c r="AA93" s="14"/>
      <x:c r="AB93" s="14"/>
      <x:c r="AC93" s="14"/>
      <x:c r="AD93" s="14"/>
      <x:c r="AE93" s="14"/>
      <x:c r="AF93" s="14"/>
      <x:c r="AG93" s="14"/>
      <x:c r="AH93" s="14"/>
      <x:c r="AI93" s="14"/>
      <x:c r="AJ93" s="14"/>
      <x:c r="AK93" s="14"/>
      <x:c r="AL93" s="14"/>
      <x:c r="AM93" s="14"/>
      <x:c r="AN93" s="14"/>
      <x:c r="AO93" s="14"/>
      <x:c r="AP93" s="14"/>
      <x:c r="AQ93" s="14"/>
      <x:c r="AR93" s="14"/>
      <x:c r="AS93" s="14"/>
      <x:c r="AT93" s="14"/>
      <x:c r="AU93" s="14"/>
      <x:c r="AV93" s="14"/>
      <x:c r="AW93" s="14"/>
      <x:c r="AX93" s="14"/>
      <x:c r="AY93" s="17" t="str">
        <x:v>星鋒冠★★</x:v>
      </x:c>
      <x:c r="AZ93" s="17" t="str">
        <x:v>鬥星盔★★</x:v>
      </x:c>
      <x:c r="BA93" s="17" t="str">
        <x:v>遊星箍★★</x:v>
      </x:c>
      <x:c r="BB93" s="17" t="str">
        <x:v>星蹤綸★★</x:v>
      </x:c>
      <x:c r="BC93" s="14"/>
      <x:c r="BD93" s="17" t="str">
        <x:v>峻霆‧饕餮鎧</x:v>
      </x:c>
      <x:c r="BE93" s="17" t="str">
        <x:v>峻霆‧天狗衣</x:v>
      </x:c>
      <x:c r="BF93" s="17" t="str">
        <x:v>峻霆‧隱遁甲</x:v>
      </x:c>
      <x:c r="BG93" s="17" t="str">
        <x:v>峻霆‧無相裟</x:v>
      </x:c>
      <x:c r="BH93" s="14"/>
      <x:c r="BI93" s="17" t="str">
        <x:v>戰煌臂☆</x:v>
      </x:c>
      <x:c r="BJ93" s="17" t="str">
        <x:v>燦煌掌☆</x:v>
      </x:c>
      <x:c r="BK93" s="17" t="str">
        <x:v>道煌擎☆</x:v>
      </x:c>
      <x:c r="BL93" s="17" t="str">
        <x:v>佛煌纏☆</x:v>
      </x:c>
      <x:c r="BM93" s="14"/>
      <x:c r="BN93" s="17" t="str">
        <x:v>遊星足★★</x:v>
      </x:c>
      <x:c r="BO93" s="17" t="str">
        <x:v>星蹤履★★</x:v>
      </x:c>
      <x:c r="BP93" s="17" t="str">
        <x:v>釋星行★★</x:v>
      </x:c>
      <x:c r="BQ93" s="17" t="str">
        <x:v>星兇靴★★</x:v>
      </x:c>
      <x:c r="BR93" s="14"/>
      <x:c r="BS93" s="17" t="str">
        <x:v>翼世麒麟之心</x:v>
      </x:c>
      <x:c r="BT93" s="17" t="str">
        <x:v>翼世螣蛇之心</x:v>
      </x:c>
      <x:c r="BU93" s="17" t="str">
        <x:v>太陽神翼‧拉</x:v>
      </x:c>
      <x:c r="BV93" s="17" t="str">
        <x:v>聰慧神碑‧舒</x:v>
      </x:c>
      <x:c r="BW93" s="14"/>
      <x:c r="BX93" s="14"/>
      <x:c r="BY93" s="14"/>
      <x:c r="BZ93" s="14"/>
      <x:c r="CA93" s="14"/>
      <x:c r="CB93" s="14"/>
      <x:c r="CC93" s="14"/>
      <x:c r="CD93" s="14"/>
      <x:c r="CE93" s="14"/>
      <x:c r="CF93" s="14"/>
      <x:c r="CG93" s="14"/>
      <x:c r="CH93" s="14"/>
      <x:c r="CI93" s="14"/>
      <x:c r="CJ93" s="14"/>
      <x:c r="CK93" s="14"/>
      <x:c r="CL93" s="14"/>
      <x:c r="CM93" s="14"/>
      <x:c r="CN93" s="14"/>
      <x:c r="CO93" s="14"/>
      <x:c r="CP93" s="14"/>
      <x:c r="CQ93" s="14"/>
      <x:c r="CR93" s="14"/>
      <x:c r="CS93" s="14"/>
      <x:c r="CT93" s="14"/>
      <x:c r="CU93" s="14"/>
      <x:c r="CV93" s="14"/>
      <x:c r="CW93" s="14"/>
      <x:c r="CX93" s="14"/>
      <x:c r="CY93" s="14"/>
      <x:c r="CZ93" s="14"/>
      <x:c r="DA93" s="14"/>
      <x:c r="DB93" s="14"/>
      <x:c r="DC93" s="14"/>
      <x:c r="DD93" s="14"/>
      <x:c r="DE93" s="14"/>
      <x:c r="DF93" s="14"/>
      <x:c r="DG93" s="14"/>
      <x:c r="DH93" s="14"/>
      <x:c r="DI93" s="14"/>
      <x:c r="DJ93" s="14"/>
      <x:c r="DK93" s="14"/>
      <x:c r="DL93" s="14"/>
      <x:c r="DM93" s="14"/>
      <x:c r="DN93" s="14"/>
      <x:c r="DO93" s="14"/>
      <x:c r="DP93" s="14"/>
      <x:c r="DQ93" s="14"/>
      <x:c r="DR93" s="14"/>
      <x:c r="DS93" s="14"/>
      <x:c r="DT93" s="14"/>
      <x:c r="DU93" s="14"/>
      <x:c r="DV93" s="14"/>
      <x:c r="DW93" s="14"/>
      <x:c r="DX93" s="14"/>
      <x:c r="DY93" s="14"/>
      <x:c r="DZ93" s="14"/>
      <x:c r="EA93" s="14"/>
      <x:c r="EB93" s="14"/>
      <x:c r="EC93" s="14"/>
      <x:c r="ED93" s="14"/>
      <x:c r="EE93" s="14"/>
      <x:c r="EF93" s="14"/>
      <x:c r="EG93" s="14"/>
      <x:c r="EH93" s="14"/>
      <x:c r="EI93" s="14"/>
      <x:c r="EJ93" s="14"/>
      <x:c r="EK93" s="14"/>
      <x:c r="EL93" s="14"/>
      <x:c r="EM93" s="14"/>
      <x:c r="EN93" s="14"/>
      <x:c r="EO93" s="14"/>
      <x:c r="EP93" s="14"/>
      <x:c r="EQ93" s="14"/>
      <x:c r="ER93" s="14"/>
      <x:c r="ES93" s="14"/>
      <x:c r="ET93" s="14"/>
      <x:c r="EU93" s="14"/>
      <x:c r="EV93" s="14"/>
      <x:c r="EW93" s="14"/>
      <x:c r="EX93" s="14"/>
      <x:c r="EY93" s="14"/>
      <x:c r="EZ93" s="14"/>
      <x:c r="FA93" s="14"/>
      <x:c r="FB93" s="14"/>
      <x:c r="FC93" s="14"/>
      <x:c r="FD93" s="14"/>
      <x:c r="FE93" s="14"/>
      <x:c r="FF93" s="14"/>
      <x:c r="FG93" s="14"/>
      <x:c r="FH93" s="14"/>
      <x:c r="FI93" s="14"/>
      <x:c r="FJ93" s="14"/>
      <x:c r="FK93" s="14"/>
      <x:c r="FL93" s="14"/>
      <x:c r="FM93" s="14"/>
      <x:c r="FN93" s="14"/>
      <x:c r="FO93" s="14"/>
      <x:c r="FP93" s="14"/>
      <x:c r="FQ93" s="14"/>
      <x:c r="FR93" s="14"/>
      <x:c r="FS93" s="14"/>
      <x:c r="FT93" s="14"/>
      <x:c r="FU93" s="14"/>
      <x:c r="FV93" s="14"/>
      <x:c r="FW93" s="14"/>
      <x:c r="FX93" s="14"/>
      <x:c r="FY93" s="14"/>
      <x:c r="FZ93" s="14"/>
      <x:c r="GA93" s="14"/>
      <x:c r="GB93" s="14"/>
      <x:c r="GC93" s="14"/>
      <x:c r="GD93" s="14"/>
      <x:c r="GE93" s="14"/>
      <x:c r="GF93" s="14"/>
      <x:c r="GG93" s="14"/>
      <x:c r="GH93" s="14"/>
      <x:c r="GI93" s="14"/>
      <x:c r="GJ93" s="14"/>
      <x:c r="GK93" s="14"/>
      <x:c r="GL93" s="14"/>
      <x:c r="GM93" s="14"/>
      <x:c r="GN93" s="14"/>
      <x:c r="GO93" s="14"/>
      <x:c r="GP93" s="14"/>
      <x:c r="GQ93" s="14"/>
      <x:c r="GR93" s="14"/>
      <x:c r="GS93" s="14"/>
      <x:c r="GT93" s="14"/>
      <x:c r="GU93" s="14"/>
      <x:c r="GV93" s="14"/>
      <x:c r="GW93" s="14"/>
      <x:c r="GX93" s="14"/>
      <x:c r="GY93" s="14"/>
      <x:c r="GZ93" s="14"/>
      <x:c r="HA93" s="14"/>
      <x:c r="HB93" s="14"/>
      <x:c r="HC93" s="14"/>
      <x:c r="HD93" s="14"/>
      <x:c r="HE93" s="14"/>
      <x:c r="HF93" s="14"/>
      <x:c r="HG93" s="14"/>
      <x:c r="HH93" s="14"/>
      <x:c r="HI93" s="14"/>
      <x:c r="HJ93" s="14"/>
      <x:c r="HK93" s="14"/>
      <x:c r="HL93" s="14"/>
      <x:c r="HM93" s="14"/>
      <x:c r="HN93" s="14"/>
      <x:c r="HO93" s="14"/>
      <x:c r="HP93" s="14"/>
      <x:c r="HQ93" s="14"/>
      <x:c r="HR93" s="14"/>
      <x:c r="HS93" s="14"/>
      <x:c r="HT93" s="14"/>
      <x:c r="HU93" s="14"/>
      <x:c r="HV93" s="14"/>
      <x:c r="HW93" s="14"/>
      <x:c r="HX93" s="14"/>
      <x:c r="HY93" s="14"/>
      <x:c r="HZ93" s="14"/>
      <x:c r="IA93" s="14"/>
      <x:c r="IB93" s="14"/>
      <x:c r="IC93" s="14"/>
      <x:c r="ID93" s="14"/>
      <x:c r="IE93" s="14"/>
      <x:c r="IF93" s="14"/>
      <x:c r="IG93" s="14"/>
      <x:c r="IH93" s="14"/>
      <x:c r="II93" s="14"/>
      <x:c r="IJ93" s="14"/>
      <x:c r="IK93" s="14"/>
      <x:c r="IL93" s="14"/>
      <x:c r="IM93" s="14"/>
      <x:c r="IN93" s="14"/>
      <x:c r="IO93" s="14"/>
      <x:c r="IP93" s="14"/>
      <x:c r="IQ93" s="14"/>
      <x:c r="IR93" s="14"/>
      <x:c r="IS93" s="14"/>
      <x:c r="IT93" s="14"/>
      <x:c r="IU93" s="14"/>
      <x:c r="IV93" s="14"/>
      <x:c r="IW93" s="14"/>
      <x:c r="IX93" s="14"/>
      <x:c r="IY93" s="14"/>
      <x:c r="IZ93" s="14"/>
      <x:c r="JA93" s="14"/>
      <x:c r="JB93" s="14"/>
      <x:c r="JC93" s="14"/>
      <x:c r="JD93" s="14"/>
      <x:c r="JE93" s="14"/>
      <x:c r="JF93" s="14"/>
      <x:c r="JG93" s="14"/>
      <x:c r="JH93" s="14"/>
      <x:c r="JI93" s="14"/>
      <x:c r="JJ93" s="14"/>
      <x:c r="JK93" s="14"/>
      <x:c r="JL93" s="14"/>
      <x:c r="JM93" s="14"/>
      <x:c r="JN93" s="14"/>
      <x:c r="JO93" s="14"/>
      <x:c r="JP93" s="14"/>
      <x:c r="JQ93" s="14"/>
      <x:c r="JR93" s="14"/>
      <x:c r="JS93" s="14"/>
      <x:c r="JT93" s="14"/>
      <x:c r="JU93" s="14"/>
      <x:c r="JV93" s="14"/>
      <x:c r="JW93" s="14"/>
      <x:c r="JX93" s="14"/>
      <x:c r="JY93" s="14"/>
      <x:c r="JZ93" s="14"/>
      <x:c r="KA93" s="14"/>
      <x:c r="KB93" s="14"/>
      <x:c r="KC93" s="14"/>
      <x:c r="KD93" s="14"/>
      <x:c r="KE93" s="14"/>
      <x:c r="KF93" s="14"/>
      <x:c r="KG93" s="14"/>
      <x:c r="KH93" s="14"/>
      <x:c r="KI93" s="14"/>
      <x:c r="KJ93" s="14"/>
      <x:c r="KK93" s="14"/>
      <x:c r="KL93" s="14"/>
      <x:c r="KM93" s="14"/>
      <x:c r="KN93" s="14"/>
      <x:c r="KO93" s="14"/>
      <x:c r="KP93" s="14"/>
      <x:c r="KQ93" s="14"/>
      <x:c r="KR93" s="14"/>
      <x:c r="KS93" s="14"/>
      <x:c r="KT93" s="14"/>
      <x:c r="KU93" s="14"/>
      <x:c r="KV93" s="14"/>
      <x:c r="KW93" s="14"/>
      <x:c r="KX93" s="14"/>
      <x:c r="KY93" s="14"/>
      <x:c r="KZ93" s="14"/>
      <x:c r="LA93" s="14"/>
      <x:c r="LB93" s="14"/>
      <x:c r="LC93" s="14"/>
      <x:c r="LD93" s="14"/>
      <x:c r="LE93" s="14"/>
      <x:c r="LF93" s="14"/>
      <x:c r="LG93" s="14"/>
      <x:c r="LH93" s="14"/>
      <x:c r="LI93" s="14"/>
      <x:c r="LJ93" s="14"/>
      <x:c r="LK93" s="14"/>
      <x:c r="LL93" s="14"/>
      <x:c r="LM93" s="14"/>
      <x:c r="LN93" s="14"/>
      <x:c r="LO93" s="14"/>
      <x:c r="LP93" s="14"/>
      <x:c r="LQ93" s="14"/>
      <x:c r="LR93" s="14"/>
      <x:c r="LS93" s="14"/>
      <x:c r="LT93" s="14"/>
      <x:c r="LU93" s="14"/>
      <x:c r="LV93" s="14"/>
      <x:c r="LW93" s="14"/>
      <x:c r="LX93" s="14"/>
      <x:c r="LY93" s="14"/>
      <x:c r="LZ93" s="14"/>
      <x:c r="MA93" s="14"/>
      <x:c r="MB93" s="14"/>
      <x:c r="MC93" s="14"/>
      <x:c r="MD93" s="14"/>
      <x:c r="ME93" s="14"/>
      <x:c r="MF93" s="14"/>
      <x:c r="MG93" s="14"/>
      <x:c r="MH93" s="14"/>
      <x:c r="MI93" s="14"/>
      <x:c r="MJ93" s="14"/>
      <x:c r="MK93" s="14"/>
      <x:c r="ML93" s="14"/>
      <x:c r="MM93" s="14"/>
      <x:c r="MN93" s="14"/>
      <x:c r="MO93" s="14"/>
      <x:c r="MP93" s="14"/>
      <x:c r="MQ93" s="14"/>
      <x:c r="MR93" s="14"/>
      <x:c r="MS93" s="14"/>
      <x:c r="MT93" s="14"/>
      <x:c r="MU93" s="14"/>
      <x:c r="MV93" s="14"/>
      <x:c r="MW93" s="14" t="str">
        <x:v>28380</x:v>
      </x:c>
      <x:c r="MX93" s="14" t="n">
        <x:v>5</x:v>
      </x:c>
      <x:c r="MY93" s="14" t="n">
        <x:v>1937</x:v>
      </x:c>
      <x:c r="MZ93" s="14" t="n">
        <x:v>289</x:v>
      </x:c>
      <x:c r="NA93" s="14" t="n">
        <x:v>1</x:v>
      </x:c>
      <x:c r="NB93" s="14" t="n">
        <x:v>1</x:v>
      </x:c>
      <x:c r="NC93" s="14" t="str">
        <x:v>未收錄</x:v>
      </x:c>
      <x:c r="ND93" s="14" t="str">
        <x:v>28383</x:v>
      </x:c>
      <x:c r="NE93" s="14" t="n">
        <x:v>5</x:v>
      </x:c>
      <x:c r="NF93" s="14" t="n">
        <x:v>1938</x:v>
      </x:c>
      <x:c r="NG93" s="14" t="n">
        <x:v>290</x:v>
      </x:c>
      <x:c r="NH93" s="14" t="n">
        <x:v>1</x:v>
      </x:c>
      <x:c r="NI93" s="14" t="n">
        <x:v>2</x:v>
      </x:c>
      <x:c r="NJ93" s="14" t="str">
        <x:v>未收錄</x:v>
      </x:c>
      <x:c r="NK93" s="14" t="str">
        <x:v>28386</x:v>
      </x:c>
      <x:c r="NL93" s="14" t="n">
        <x:v>5</x:v>
      </x:c>
      <x:c r="NM93" s="14" t="n">
        <x:v>1939</x:v>
      </x:c>
      <x:c r="NN93" s="14" t="n">
        <x:v>291</x:v>
      </x:c>
      <x:c r="NO93" s="14" t="n">
        <x:v>1</x:v>
      </x:c>
      <x:c r="NP93" s="14" t="n">
        <x:v>3</x:v>
      </x:c>
      <x:c r="NQ93" s="14" t="str">
        <x:v>未收錄</x:v>
      </x:c>
      <x:c r="NR93" s="14" t="str">
        <x:v>28389</x:v>
      </x:c>
      <x:c r="NS93" s="14" t="n">
        <x:v>5</x:v>
      </x:c>
      <x:c r="NT93" s="14" t="n">
        <x:v>1940</x:v>
      </x:c>
      <x:c r="NU93" s="14" t="n">
        <x:v>292</x:v>
      </x:c>
      <x:c r="NV93" s="14" t="n">
        <x:v>1</x:v>
      </x:c>
      <x:c r="NW93" s="14" t="n">
        <x:v>4</x:v>
      </x:c>
      <x:c r="NX93" s="14" t="str">
        <x:v>未收錄</x:v>
      </x:c>
      <x:c r="NY93" s="14" t="str">
        <x:v>27740</x:v>
      </x:c>
      <x:c r="NZ93" s="14" t="n">
        <x:v>10</x:v>
      </x:c>
      <x:c r="OA93" s="14" t="n">
        <x:v>2390</x:v>
      </x:c>
      <x:c r="OB93" s="14" t="n">
        <x:v>289</x:v>
      </x:c>
      <x:c r="OC93" s="14" t="n">
        <x:v>1</x:v>
      </x:c>
      <x:c r="OD93" s="14" t="n">
        <x:v>1</x:v>
      </x:c>
      <x:c r="OE93" s="14" t="str">
        <x:v>未收錄</x:v>
      </x:c>
      <x:c r="OF93" s="14" t="str">
        <x:v>27752</x:v>
      </x:c>
      <x:c r="OG93" s="14" t="n">
        <x:v>10</x:v>
      </x:c>
      <x:c r="OH93" s="14" t="n">
        <x:v>2391</x:v>
      </x:c>
      <x:c r="OI93" s="14" t="n">
        <x:v>290</x:v>
      </x:c>
      <x:c r="OJ93" s="14" t="n">
        <x:v>1</x:v>
      </x:c>
      <x:c r="OK93" s="14" t="n">
        <x:v>2</x:v>
      </x:c>
      <x:c r="OL93" s="14" t="str">
        <x:v>未收錄</x:v>
      </x:c>
      <x:c r="OM93" s="14" t="str">
        <x:v>27768</x:v>
      </x:c>
      <x:c r="ON93" s="14" t="n">
        <x:v>10</x:v>
      </x:c>
      <x:c r="OO93" s="14" t="n">
        <x:v>2392</x:v>
      </x:c>
      <x:c r="OP93" s="14" t="n">
        <x:v>291</x:v>
      </x:c>
      <x:c r="OQ93" s="14" t="n">
        <x:v>1</x:v>
      </x:c>
      <x:c r="OR93" s="14" t="n">
        <x:v>3</x:v>
      </x:c>
      <x:c r="OS93" s="14" t="str">
        <x:v>未收錄</x:v>
      </x:c>
      <x:c r="OT93" s="14" t="str">
        <x:v>27772</x:v>
      </x:c>
      <x:c r="OU93" s="14" t="n">
        <x:v>10</x:v>
      </x:c>
      <x:c r="OV93" s="14" t="n">
        <x:v>2393</x:v>
      </x:c>
      <x:c r="OW93" s="14" t="n">
        <x:v>292</x:v>
      </x:c>
      <x:c r="OX93" s="14" t="n">
        <x:v>1</x:v>
      </x:c>
      <x:c r="OY93" s="14" t="n">
        <x:v>4</x:v>
      </x:c>
      <x:c r="OZ93" s="14" t="str">
        <x:v>未收錄</x:v>
      </x:c>
      <x:c r="PA93" s="14" t="str">
        <x:v>28874</x:v>
      </x:c>
      <x:c r="PB93" s="14" t="n">
        <x:v>5</x:v>
      </x:c>
      <x:c r="PC93" s="14" t="n">
        <x:v>2936</x:v>
      </x:c>
      <x:c r="PD93" s="14" t="n">
        <x:v>289</x:v>
      </x:c>
      <x:c r="PE93" s="14" t="n">
        <x:v>1</x:v>
      </x:c>
      <x:c r="PF93" s="14" t="n">
        <x:v>1</x:v>
      </x:c>
      <x:c r="PG93" s="14" t="str">
        <x:v>未收錄</x:v>
      </x:c>
      <x:c r="PH93" s="14" t="str">
        <x:v>28877</x:v>
      </x:c>
      <x:c r="PI93" s="14" t="n">
        <x:v>5</x:v>
      </x:c>
      <x:c r="PJ93" s="14" t="n">
        <x:v>2937</x:v>
      </x:c>
      <x:c r="PK93" s="14" t="n">
        <x:v>290</x:v>
      </x:c>
      <x:c r="PL93" s="14" t="n">
        <x:v>1</x:v>
      </x:c>
      <x:c r="PM93" s="14" t="n">
        <x:v>2</x:v>
      </x:c>
      <x:c r="PN93" s="14" t="str">
        <x:v>未收錄</x:v>
      </x:c>
      <x:c r="PO93" s="14" t="str">
        <x:v>28880</x:v>
      </x:c>
      <x:c r="PP93" s="14" t="n">
        <x:v>5</x:v>
      </x:c>
      <x:c r="PQ93" s="14" t="n">
        <x:v>2938</x:v>
      </x:c>
      <x:c r="PR93" s="14" t="n">
        <x:v>291</x:v>
      </x:c>
      <x:c r="PS93" s="14" t="n">
        <x:v>1</x:v>
      </x:c>
      <x:c r="PT93" s="14" t="n">
        <x:v>3</x:v>
      </x:c>
      <x:c r="PU93" s="14" t="str">
        <x:v>未收錄</x:v>
      </x:c>
      <x:c r="PV93" s="14" t="str">
        <x:v>28883</x:v>
      </x:c>
      <x:c r="PW93" s="14" t="n">
        <x:v>5</x:v>
      </x:c>
      <x:c r="PX93" s="14" t="n">
        <x:v>2939</x:v>
      </x:c>
      <x:c r="PY93" s="14" t="n">
        <x:v>292</x:v>
      </x:c>
      <x:c r="PZ93" s="14" t="n">
        <x:v>1</x:v>
      </x:c>
      <x:c r="QA93" s="14" t="n">
        <x:v>4</x:v>
      </x:c>
      <x:c r="QB93" s="14" t="str">
        <x:v>未收錄</x:v>
      </x:c>
      <x:c r="QC93" s="14" t="str">
        <x:v>28431</x:v>
      </x:c>
      <x:c r="QD93" s="14" t="n">
        <x:v>5</x:v>
      </x:c>
      <x:c r="QE93" s="14" t="n">
        <x:v>3373</x:v>
      </x:c>
      <x:c r="QF93" s="14" t="n">
        <x:v>289</x:v>
      </x:c>
      <x:c r="QG93" s="14" t="n">
        <x:v>1</x:v>
      </x:c>
      <x:c r="QH93" s="14" t="n">
        <x:v>1</x:v>
      </x:c>
      <x:c r="QI93" s="14" t="str">
        <x:v>未收錄</x:v>
      </x:c>
      <x:c r="QJ93" s="14" t="str">
        <x:v>28434</x:v>
      </x:c>
      <x:c r="QK93" s="14" t="n">
        <x:v>5</x:v>
      </x:c>
      <x:c r="QL93" s="14" t="n">
        <x:v>3374</x:v>
      </x:c>
      <x:c r="QM93" s="14" t="n">
        <x:v>290</x:v>
      </x:c>
      <x:c r="QN93" s="14" t="n">
        <x:v>1</x:v>
      </x:c>
      <x:c r="QO93" s="14" t="n">
        <x:v>2</x:v>
      </x:c>
      <x:c r="QP93" s="14" t="str">
        <x:v>未收錄</x:v>
      </x:c>
      <x:c r="QQ93" s="14" t="str">
        <x:v>28437</x:v>
      </x:c>
      <x:c r="QR93" s="14" t="n">
        <x:v>5</x:v>
      </x:c>
      <x:c r="QS93" s="14" t="n">
        <x:v>3375</x:v>
      </x:c>
      <x:c r="QT93" s="14" t="n">
        <x:v>291</x:v>
      </x:c>
      <x:c r="QU93" s="14" t="n">
        <x:v>1</x:v>
      </x:c>
      <x:c r="QV93" s="14" t="n">
        <x:v>3</x:v>
      </x:c>
      <x:c r="QW93" s="14" t="str">
        <x:v>未收錄</x:v>
      </x:c>
      <x:c r="QX93" s="14" t="str">
        <x:v>28539</x:v>
      </x:c>
      <x:c r="QY93" s="14" t="n">
        <x:v>10</x:v>
      </x:c>
      <x:c r="QZ93" s="14" t="n">
        <x:v>3376</x:v>
      </x:c>
      <x:c r="RA93" s="14" t="n">
        <x:v>292</x:v>
      </x:c>
      <x:c r="RB93" s="14" t="n">
        <x:v>1</x:v>
      </x:c>
      <x:c r="RC93" s="14" t="n">
        <x:v>4</x:v>
      </x:c>
      <x:c r="RD93" s="14" t="str">
        <x:v>未收錄</x:v>
      </x:c>
      <x:c r="RE93" s="14" t="str">
        <x:v>28988</x:v>
      </x:c>
      <x:c r="RF93" s="14" t="n">
        <x:v>5</x:v>
      </x:c>
      <x:c r="RG93" s="14" t="n">
        <x:v>3834</x:v>
      </x:c>
      <x:c r="RH93" s="14" t="n">
        <x:v>289</x:v>
      </x:c>
      <x:c r="RI93" s="14" t="n">
        <x:v>1</x:v>
      </x:c>
      <x:c r="RJ93" s="14" t="n">
        <x:v>1</x:v>
      </x:c>
      <x:c r="RK93" s="14" t="str">
        <x:v>未收錄</x:v>
      </x:c>
      <x:c r="RL93" s="14" t="str">
        <x:v>28989</x:v>
      </x:c>
      <x:c r="RM93" s="14" t="n">
        <x:v>5</x:v>
      </x:c>
      <x:c r="RN93" s="14" t="n">
        <x:v>3835</x:v>
      </x:c>
      <x:c r="RO93" s="14" t="n">
        <x:v>290</x:v>
      </x:c>
      <x:c r="RP93" s="14" t="n">
        <x:v>1</x:v>
      </x:c>
      <x:c r="RQ93" s="14" t="n">
        <x:v>2</x:v>
      </x:c>
      <x:c r="RR93" s="14" t="str">
        <x:v>未收錄</x:v>
      </x:c>
      <x:c r="RS93" s="14" t="str">
        <x:v>29011</x:v>
      </x:c>
      <x:c r="RT93" s="14" t="n">
        <x:v>10</x:v>
      </x:c>
      <x:c r="RU93" s="14" t="n">
        <x:v>3836</x:v>
      </x:c>
      <x:c r="RV93" s="14" t="n">
        <x:v>291</x:v>
      </x:c>
      <x:c r="RW93" s="14" t="n">
        <x:v>1</x:v>
      </x:c>
      <x:c r="RX93" s="14" t="n">
        <x:v>3</x:v>
      </x:c>
      <x:c r="RY93" s="14" t="str">
        <x:v>未收錄</x:v>
      </x:c>
      <x:c r="RZ93" s="14" t="str">
        <x:v>29012</x:v>
      </x:c>
      <x:c r="SA93" s="14" t="n">
        <x:v>10</x:v>
      </x:c>
      <x:c r="SB93" s="14" t="n">
        <x:v>3837</x:v>
      </x:c>
      <x:c r="SC93" s="14" t="n">
        <x:v>292</x:v>
      </x:c>
      <x:c r="SD93" s="14" t="n">
        <x:v>1</x:v>
      </x:c>
      <x:c r="SE93" s="14" t="n">
        <x:v>4</x:v>
      </x:c>
      <x:c r="SF93" s="14" t="str">
        <x:v>未收錄</x:v>
      </x:c>
      <x:c r="SG93" s="14"/>
      <x:c r="SH93" s="14"/>
      <x:c r="SI93" s="14"/>
      <x:c r="SJ93" s="14"/>
      <x:c r="SK93" s="14"/>
      <x:c r="SL93" s="14"/>
      <x:c r="SM93" s="14"/>
      <x:c r="SN93" s="14"/>
      <x:c r="SO93" s="14"/>
      <x:c r="SP93" s="14"/>
      <x:c r="SQ93" s="14"/>
      <x:c r="SR93" s="14"/>
      <x:c r="SS93" s="14"/>
      <x:c r="ST93" s="14"/>
      <x:c r="SU93" s="14"/>
      <x:c r="SV93" s="14"/>
      <x:c r="SW93" s="14"/>
      <x:c r="SX93" s="14"/>
      <x:c r="SY93" s="14"/>
      <x:c r="SZ93" s="14"/>
      <x:c r="TA93" s="14"/>
      <x:c r="TB93" s="14"/>
      <x:c r="TC93" s="14"/>
      <x:c r="TD93" s="14"/>
      <x:c r="TE93" s="14"/>
      <x:c r="TF93" s="14"/>
      <x:c r="TG93" s="14"/>
      <x:c r="TH93" s="14"/>
    </x:row>
    <x:row r="94" ht="15" customHeight="1">
      <x:c r="A94" s="14"/>
      <x:c r="B94" s="14"/>
      <x:c r="C94" s="14"/>
      <x:c r="D94" s="14"/>
      <x:c r="E94" s="14"/>
      <x:c r="F94" s="14"/>
      <x:c r="G94" s="14"/>
      <x:c r="H94" s="14"/>
      <x:c r="I94" s="14"/>
      <x:c r="J94" s="14"/>
      <x:c r="K94" s="14"/>
      <x:c r="L94" s="14"/>
      <x:c r="M94" s="14"/>
      <x:c r="N94" s="14"/>
      <x:c r="O94" s="14"/>
      <x:c r="P94" s="14"/>
      <x:c r="Q94" s="14"/>
      <x:c r="R94" s="14"/>
      <x:c r="S94" s="14"/>
      <x:c r="T94" s="14"/>
      <x:c r="U94" s="14"/>
      <x:c r="V94" s="14"/>
      <x:c r="W94" s="14"/>
      <x:c r="X94" s="14"/>
      <x:c r="Y94" s="14"/>
      <x:c r="Z94" s="14"/>
      <x:c r="AA94" s="14"/>
      <x:c r="AB94" s="14"/>
      <x:c r="AC94" s="14"/>
      <x:c r="AD94" s="14"/>
      <x:c r="AE94" s="14"/>
      <x:c r="AF94" s="14"/>
      <x:c r="AG94" s="14"/>
      <x:c r="AH94" s="14"/>
      <x:c r="AI94" s="14"/>
      <x:c r="AJ94" s="14"/>
      <x:c r="AK94" s="14"/>
      <x:c r="AL94" s="14"/>
      <x:c r="AM94" s="14"/>
      <x:c r="AN94" s="14"/>
      <x:c r="AO94" s="14"/>
      <x:c r="AP94" s="14"/>
      <x:c r="AQ94" s="14"/>
      <x:c r="AR94" s="14"/>
      <x:c r="AS94" s="14"/>
      <x:c r="AT94" s="14"/>
      <x:c r="AU94" s="14"/>
      <x:c r="AV94" s="14"/>
      <x:c r="AW94" s="14"/>
      <x:c r="AX94" s="14"/>
      <x:c r="AY94" s="18" t="str">
        <x:v>釋星頂★★</x:v>
      </x:c>
      <x:c r="AZ94" s="18" t="str">
        <x:v>星兇冠★★</x:v>
      </x:c>
      <x:c r="BA94" s="18" t="str">
        <x:v>煌月巾★★</x:v>
      </x:c>
      <x:c r="BB94" s="18" t="str">
        <x:v>星鋒冠★★★</x:v>
      </x:c>
      <x:c r="BC94" s="14"/>
      <x:c r="BD94" s="18" t="str">
        <x:v>窮極‧劍聖冑</x:v>
      </x:c>
      <x:c r="BE94" s="18" t="str">
        <x:v>窮極‧武尊鎧</x:v>
      </x:c>
      <x:c r="BF94" s="18" t="str">
        <x:v>窮極‧術幻裳</x:v>
      </x:c>
      <x:c r="BG94" s="18" t="str">
        <x:v>窮極‧道輝服</x:v>
      </x:c>
      <x:c r="BH94" s="14"/>
      <x:c r="BI94" s="18" t="str">
        <x:v>鬼兇手☆</x:v>
      </x:c>
      <x:c r="BJ94" s="18" t="str">
        <x:v>柳嗚腕☆</x:v>
      </x:c>
      <x:c r="BK94" s="18" t="str">
        <x:v>烈煌腕☆☆</x:v>
      </x:c>
      <x:c r="BL94" s="18" t="str">
        <x:v>戰煌臂☆☆</x:v>
      </x:c>
      <x:c r="BM94" s="14"/>
      <x:c r="BN94" s="18" t="str">
        <x:v>煌韋足★★</x:v>
      </x:c>
      <x:c r="BO94" s="18" t="str">
        <x:v>奇星靴★★</x:v>
      </x:c>
      <x:c r="BP94" s="18" t="str">
        <x:v>星鋒靴★★★</x:v>
      </x:c>
      <x:c r="BQ94" s="18" t="str">
        <x:v>鬥星脛★★★</x:v>
      </x:c>
      <x:c r="BR94" s="14"/>
      <x:c r="BS94" s="18" t="str">
        <x:v>星‧六滅化神</x:v>
      </x:c>
      <x:c r="BT94" s="18" t="str">
        <x:v>星‧七宗神愆</x:v>
      </x:c>
      <x:c r="BU94" s="18" t="str">
        <x:v>宇帝珮☆</x:v>
      </x:c>
      <x:c r="BV94" s="18" t="str">
        <x:v>宇帝珮★</x:v>
      </x:c>
      <x:c r="BW94" s="14"/>
      <x:c r="BX94" s="14"/>
      <x:c r="BY94" s="14"/>
      <x:c r="BZ94" s="14"/>
      <x:c r="CA94" s="14"/>
      <x:c r="CB94" s="14"/>
      <x:c r="CC94" s="14"/>
      <x:c r="CD94" s="14"/>
      <x:c r="CE94" s="14"/>
      <x:c r="CF94" s="14"/>
      <x:c r="CG94" s="14"/>
      <x:c r="CH94" s="14"/>
      <x:c r="CI94" s="14"/>
      <x:c r="CJ94" s="14"/>
      <x:c r="CK94" s="14"/>
      <x:c r="CL94" s="14"/>
      <x:c r="CM94" s="14"/>
      <x:c r="CN94" s="14"/>
      <x:c r="CO94" s="14"/>
      <x:c r="CP94" s="14"/>
      <x:c r="CQ94" s="14"/>
      <x:c r="CR94" s="14"/>
      <x:c r="CS94" s="14"/>
      <x:c r="CT94" s="14"/>
      <x:c r="CU94" s="14"/>
      <x:c r="CV94" s="14"/>
      <x:c r="CW94" s="14"/>
      <x:c r="CX94" s="14"/>
      <x:c r="CY94" s="14"/>
      <x:c r="CZ94" s="14"/>
      <x:c r="DA94" s="14"/>
      <x:c r="DB94" s="14"/>
      <x:c r="DC94" s="14"/>
      <x:c r="DD94" s="14"/>
      <x:c r="DE94" s="14"/>
      <x:c r="DF94" s="14"/>
      <x:c r="DG94" s="14"/>
      <x:c r="DH94" s="14"/>
      <x:c r="DI94" s="14"/>
      <x:c r="DJ94" s="14"/>
      <x:c r="DK94" s="14"/>
      <x:c r="DL94" s="14"/>
      <x:c r="DM94" s="14"/>
      <x:c r="DN94" s="14"/>
      <x:c r="DO94" s="14"/>
      <x:c r="DP94" s="14"/>
      <x:c r="DQ94" s="14"/>
      <x:c r="DR94" s="14"/>
      <x:c r="DS94" s="14"/>
      <x:c r="DT94" s="14"/>
      <x:c r="DU94" s="14"/>
      <x:c r="DV94" s="14"/>
      <x:c r="DW94" s="14"/>
      <x:c r="DX94" s="14"/>
      <x:c r="DY94" s="14"/>
      <x:c r="DZ94" s="14"/>
      <x:c r="EA94" s="14"/>
      <x:c r="EB94" s="14"/>
      <x:c r="EC94" s="14"/>
      <x:c r="ED94" s="14"/>
      <x:c r="EE94" s="14"/>
      <x:c r="EF94" s="14"/>
      <x:c r="EG94" s="14"/>
      <x:c r="EH94" s="14"/>
      <x:c r="EI94" s="14"/>
      <x:c r="EJ94" s="14"/>
      <x:c r="EK94" s="14"/>
      <x:c r="EL94" s="14"/>
      <x:c r="EM94" s="14"/>
      <x:c r="EN94" s="14"/>
      <x:c r="EO94" s="14"/>
      <x:c r="EP94" s="14"/>
      <x:c r="EQ94" s="14"/>
      <x:c r="ER94" s="14"/>
      <x:c r="ES94" s="14"/>
      <x:c r="ET94" s="14"/>
      <x:c r="EU94" s="14"/>
      <x:c r="EV94" s="14"/>
      <x:c r="EW94" s="14"/>
      <x:c r="EX94" s="14"/>
      <x:c r="EY94" s="14"/>
      <x:c r="EZ94" s="14"/>
      <x:c r="FA94" s="14"/>
      <x:c r="FB94" s="14"/>
      <x:c r="FC94" s="14"/>
      <x:c r="FD94" s="14"/>
      <x:c r="FE94" s="14"/>
      <x:c r="FF94" s="14"/>
      <x:c r="FG94" s="14"/>
      <x:c r="FH94" s="14"/>
      <x:c r="FI94" s="14"/>
      <x:c r="FJ94" s="14"/>
      <x:c r="FK94" s="14"/>
      <x:c r="FL94" s="14"/>
      <x:c r="FM94" s="14"/>
      <x:c r="FN94" s="14"/>
      <x:c r="FO94" s="14"/>
      <x:c r="FP94" s="14"/>
      <x:c r="FQ94" s="14"/>
      <x:c r="FR94" s="14"/>
      <x:c r="FS94" s="14"/>
      <x:c r="FT94" s="14"/>
      <x:c r="FU94" s="14"/>
      <x:c r="FV94" s="14"/>
      <x:c r="FW94" s="14"/>
      <x:c r="FX94" s="14"/>
      <x:c r="FY94" s="14"/>
      <x:c r="FZ94" s="14"/>
      <x:c r="GA94" s="14"/>
      <x:c r="GB94" s="14"/>
      <x:c r="GC94" s="14"/>
      <x:c r="GD94" s="14"/>
      <x:c r="GE94" s="14"/>
      <x:c r="GF94" s="14"/>
      <x:c r="GG94" s="14"/>
      <x:c r="GH94" s="14"/>
      <x:c r="GI94" s="14"/>
      <x:c r="GJ94" s="14"/>
      <x:c r="GK94" s="14"/>
      <x:c r="GL94" s="14"/>
      <x:c r="GM94" s="14"/>
      <x:c r="GN94" s="14"/>
      <x:c r="GO94" s="14"/>
      <x:c r="GP94" s="14"/>
      <x:c r="GQ94" s="14"/>
      <x:c r="GR94" s="14"/>
      <x:c r="GS94" s="14"/>
      <x:c r="GT94" s="14"/>
      <x:c r="GU94" s="14"/>
      <x:c r="GV94" s="14"/>
      <x:c r="GW94" s="14"/>
      <x:c r="GX94" s="14"/>
      <x:c r="GY94" s="14"/>
      <x:c r="GZ94" s="14"/>
      <x:c r="HA94" s="14"/>
      <x:c r="HB94" s="14"/>
      <x:c r="HC94" s="14"/>
      <x:c r="HD94" s="14"/>
      <x:c r="HE94" s="14"/>
      <x:c r="HF94" s="14"/>
      <x:c r="HG94" s="14"/>
      <x:c r="HH94" s="14"/>
      <x:c r="HI94" s="14"/>
      <x:c r="HJ94" s="14"/>
      <x:c r="HK94" s="14"/>
      <x:c r="HL94" s="14"/>
      <x:c r="HM94" s="14"/>
      <x:c r="HN94" s="14"/>
      <x:c r="HO94" s="14"/>
      <x:c r="HP94" s="14"/>
      <x:c r="HQ94" s="14"/>
      <x:c r="HR94" s="14"/>
      <x:c r="HS94" s="14"/>
      <x:c r="HT94" s="14"/>
      <x:c r="HU94" s="14"/>
      <x:c r="HV94" s="14"/>
      <x:c r="HW94" s="14"/>
      <x:c r="HX94" s="14"/>
      <x:c r="HY94" s="14"/>
      <x:c r="HZ94" s="14"/>
      <x:c r="IA94" s="14"/>
      <x:c r="IB94" s="14"/>
      <x:c r="IC94" s="14"/>
      <x:c r="ID94" s="14"/>
      <x:c r="IE94" s="14"/>
      <x:c r="IF94" s="14"/>
      <x:c r="IG94" s="14"/>
      <x:c r="IH94" s="14"/>
      <x:c r="II94" s="14"/>
      <x:c r="IJ94" s="14"/>
      <x:c r="IK94" s="14"/>
      <x:c r="IL94" s="14"/>
      <x:c r="IM94" s="14"/>
      <x:c r="IN94" s="14"/>
      <x:c r="IO94" s="14"/>
      <x:c r="IP94" s="14"/>
      <x:c r="IQ94" s="14"/>
      <x:c r="IR94" s="14"/>
      <x:c r="IS94" s="14"/>
      <x:c r="IT94" s="14"/>
      <x:c r="IU94" s="14"/>
      <x:c r="IV94" s="14"/>
      <x:c r="IW94" s="14"/>
      <x:c r="IX94" s="14"/>
      <x:c r="IY94" s="14"/>
      <x:c r="IZ94" s="14"/>
      <x:c r="JA94" s="14"/>
      <x:c r="JB94" s="14"/>
      <x:c r="JC94" s="14"/>
      <x:c r="JD94" s="14"/>
      <x:c r="JE94" s="14"/>
      <x:c r="JF94" s="14"/>
      <x:c r="JG94" s="14"/>
      <x:c r="JH94" s="14"/>
      <x:c r="JI94" s="14"/>
      <x:c r="JJ94" s="14"/>
      <x:c r="JK94" s="14"/>
      <x:c r="JL94" s="14"/>
      <x:c r="JM94" s="14"/>
      <x:c r="JN94" s="14"/>
      <x:c r="JO94" s="14"/>
      <x:c r="JP94" s="14"/>
      <x:c r="JQ94" s="14"/>
      <x:c r="JR94" s="14"/>
      <x:c r="JS94" s="14"/>
      <x:c r="JT94" s="14"/>
      <x:c r="JU94" s="14"/>
      <x:c r="JV94" s="14"/>
      <x:c r="JW94" s="14"/>
      <x:c r="JX94" s="14"/>
      <x:c r="JY94" s="14"/>
      <x:c r="JZ94" s="14"/>
      <x:c r="KA94" s="14"/>
      <x:c r="KB94" s="14"/>
      <x:c r="KC94" s="14"/>
      <x:c r="KD94" s="14"/>
      <x:c r="KE94" s="14"/>
      <x:c r="KF94" s="14"/>
      <x:c r="KG94" s="14"/>
      <x:c r="KH94" s="14"/>
      <x:c r="KI94" s="14"/>
      <x:c r="KJ94" s="14"/>
      <x:c r="KK94" s="14"/>
      <x:c r="KL94" s="14"/>
      <x:c r="KM94" s="14"/>
      <x:c r="KN94" s="14"/>
      <x:c r="KO94" s="14"/>
      <x:c r="KP94" s="14"/>
      <x:c r="KQ94" s="14"/>
      <x:c r="KR94" s="14"/>
      <x:c r="KS94" s="14"/>
      <x:c r="KT94" s="14"/>
      <x:c r="KU94" s="14"/>
      <x:c r="KV94" s="14"/>
      <x:c r="KW94" s="14"/>
      <x:c r="KX94" s="14"/>
      <x:c r="KY94" s="14"/>
      <x:c r="KZ94" s="14"/>
      <x:c r="LA94" s="14"/>
      <x:c r="LB94" s="14"/>
      <x:c r="LC94" s="14"/>
      <x:c r="LD94" s="14"/>
      <x:c r="LE94" s="14"/>
      <x:c r="LF94" s="14"/>
      <x:c r="LG94" s="14"/>
      <x:c r="LH94" s="14"/>
      <x:c r="LI94" s="14"/>
      <x:c r="LJ94" s="14"/>
      <x:c r="LK94" s="14"/>
      <x:c r="LL94" s="14"/>
      <x:c r="LM94" s="14"/>
      <x:c r="LN94" s="14"/>
      <x:c r="LO94" s="14"/>
      <x:c r="LP94" s="14"/>
      <x:c r="LQ94" s="14"/>
      <x:c r="LR94" s="14"/>
      <x:c r="LS94" s="14"/>
      <x:c r="LT94" s="14"/>
      <x:c r="LU94" s="14"/>
      <x:c r="LV94" s="14"/>
      <x:c r="LW94" s="14"/>
      <x:c r="LX94" s="14"/>
      <x:c r="LY94" s="14"/>
      <x:c r="LZ94" s="14"/>
      <x:c r="MA94" s="14"/>
      <x:c r="MB94" s="14"/>
      <x:c r="MC94" s="14"/>
      <x:c r="MD94" s="14"/>
      <x:c r="ME94" s="14"/>
      <x:c r="MF94" s="14"/>
      <x:c r="MG94" s="14"/>
      <x:c r="MH94" s="14"/>
      <x:c r="MI94" s="14"/>
      <x:c r="MJ94" s="14"/>
      <x:c r="MK94" s="14"/>
      <x:c r="ML94" s="14"/>
      <x:c r="MM94" s="14"/>
      <x:c r="MN94" s="14"/>
      <x:c r="MO94" s="14"/>
      <x:c r="MP94" s="14"/>
      <x:c r="MQ94" s="14"/>
      <x:c r="MR94" s="14"/>
      <x:c r="MS94" s="14"/>
      <x:c r="MT94" s="14"/>
      <x:c r="MU94" s="14"/>
      <x:c r="MV94" s="14"/>
      <x:c r="MW94" s="14" t="str">
        <x:v>28392</x:v>
      </x:c>
      <x:c r="MX94" s="14" t="n">
        <x:v>5</x:v>
      </x:c>
      <x:c r="MY94" s="14" t="n">
        <x:v>1941</x:v>
      </x:c>
      <x:c r="MZ94" s="14" t="n">
        <x:v>293</x:v>
      </x:c>
      <x:c r="NA94" s="14" t="n">
        <x:v>2</x:v>
      </x:c>
      <x:c r="NB94" s="14" t="n">
        <x:v>1</x:v>
      </x:c>
      <x:c r="NC94" s="14" t="str">
        <x:v>未收錄</x:v>
      </x:c>
      <x:c r="ND94" s="14" t="str">
        <x:v>28530</x:v>
      </x:c>
      <x:c r="NE94" s="14" t="n">
        <x:v>10</x:v>
      </x:c>
      <x:c r="NF94" s="14" t="n">
        <x:v>1942</x:v>
      </x:c>
      <x:c r="NG94" s="14" t="n">
        <x:v>294</x:v>
      </x:c>
      <x:c r="NH94" s="14" t="n">
        <x:v>2</x:v>
      </x:c>
      <x:c r="NI94" s="14" t="n">
        <x:v>2</x:v>
      </x:c>
      <x:c r="NJ94" s="14" t="str">
        <x:v>未收錄</x:v>
      </x:c>
      <x:c r="NK94" s="14" t="str">
        <x:v>28542</x:v>
      </x:c>
      <x:c r="NL94" s="14" t="n">
        <x:v>10</x:v>
      </x:c>
      <x:c r="NM94" s="14" t="n">
        <x:v>1943</x:v>
      </x:c>
      <x:c r="NN94" s="14" t="n">
        <x:v>295</x:v>
      </x:c>
      <x:c r="NO94" s="14" t="n">
        <x:v>2</x:v>
      </x:c>
      <x:c r="NP94" s="14" t="n">
        <x:v>3</x:v>
      </x:c>
      <x:c r="NQ94" s="14" t="str">
        <x:v>未收錄</x:v>
      </x:c>
      <x:c r="NR94" s="14" t="str">
        <x:v>28381</x:v>
      </x:c>
      <x:c r="NS94" s="14" t="n">
        <x:v>5</x:v>
      </x:c>
      <x:c r="NT94" s="14" t="n">
        <x:v>1944</x:v>
      </x:c>
      <x:c r="NU94" s="14" t="n">
        <x:v>296</x:v>
      </x:c>
      <x:c r="NV94" s="14" t="n">
        <x:v>2</x:v>
      </x:c>
      <x:c r="NW94" s="14" t="n">
        <x:v>4</x:v>
      </x:c>
      <x:c r="NX94" s="14" t="str">
        <x:v>未收錄</x:v>
      </x:c>
      <x:c r="NY94" s="14" t="str">
        <x:v>27665</x:v>
      </x:c>
      <x:c r="NZ94" s="14" t="n">
        <x:v>5</x:v>
      </x:c>
      <x:c r="OA94" s="14" t="n">
        <x:v>2394</x:v>
      </x:c>
      <x:c r="OB94" s="14" t="n">
        <x:v>293</x:v>
      </x:c>
      <x:c r="OC94" s="14" t="n">
        <x:v>2</x:v>
      </x:c>
      <x:c r="OD94" s="14" t="n">
        <x:v>1</x:v>
      </x:c>
      <x:c r="OE94" s="14" t="str">
        <x:v>未收錄</x:v>
      </x:c>
      <x:c r="OF94" s="14" t="str">
        <x:v>27666</x:v>
      </x:c>
      <x:c r="OG94" s="14" t="n">
        <x:v>5</x:v>
      </x:c>
      <x:c r="OH94" s="14" t="n">
        <x:v>2395</x:v>
      </x:c>
      <x:c r="OI94" s="14" t="n">
        <x:v>294</x:v>
      </x:c>
      <x:c r="OJ94" s="14" t="n">
        <x:v>2</x:v>
      </x:c>
      <x:c r="OK94" s="14" t="n">
        <x:v>2</x:v>
      </x:c>
      <x:c r="OL94" s="14" t="str">
        <x:v>未收錄</x:v>
      </x:c>
      <x:c r="OM94" s="14" t="str">
        <x:v>27667</x:v>
      </x:c>
      <x:c r="ON94" s="14" t="n">
        <x:v>5</x:v>
      </x:c>
      <x:c r="OO94" s="14" t="n">
        <x:v>2396</x:v>
      </x:c>
      <x:c r="OP94" s="14" t="n">
        <x:v>295</x:v>
      </x:c>
      <x:c r="OQ94" s="14" t="n">
        <x:v>2</x:v>
      </x:c>
      <x:c r="OR94" s="14" t="n">
        <x:v>3</x:v>
      </x:c>
      <x:c r="OS94" s="14" t="str">
        <x:v>未收錄</x:v>
      </x:c>
      <x:c r="OT94" s="14" t="str">
        <x:v>27668</x:v>
      </x:c>
      <x:c r="OU94" s="14" t="n">
        <x:v>5</x:v>
      </x:c>
      <x:c r="OV94" s="14" t="n">
        <x:v>2397</x:v>
      </x:c>
      <x:c r="OW94" s="14" t="n">
        <x:v>296</x:v>
      </x:c>
      <x:c r="OX94" s="14" t="n">
        <x:v>2</x:v>
      </x:c>
      <x:c r="OY94" s="14" t="n">
        <x:v>4</x:v>
      </x:c>
      <x:c r="OZ94" s="14" t="str">
        <x:v>未收錄</x:v>
      </x:c>
      <x:c r="PA94" s="14" t="str">
        <x:v>28957</x:v>
      </x:c>
      <x:c r="PB94" s="14" t="n">
        <x:v>10</x:v>
      </x:c>
      <x:c r="PC94" s="14" t="n">
        <x:v>2940</x:v>
      </x:c>
      <x:c r="PD94" s="14" t="n">
        <x:v>293</x:v>
      </x:c>
      <x:c r="PE94" s="14" t="n">
        <x:v>2</x:v>
      </x:c>
      <x:c r="PF94" s="14" t="n">
        <x:v>1</x:v>
      </x:c>
      <x:c r="PG94" s="14" t="str">
        <x:v>未收錄</x:v>
      </x:c>
      <x:c r="PH94" s="14" t="str">
        <x:v>28969</x:v>
      </x:c>
      <x:c r="PI94" s="14" t="n">
        <x:v>10</x:v>
      </x:c>
      <x:c r="PJ94" s="14" t="n">
        <x:v>2941</x:v>
      </x:c>
      <x:c r="PK94" s="14" t="n">
        <x:v>294</x:v>
      </x:c>
      <x:c r="PL94" s="14" t="n">
        <x:v>2</x:v>
      </x:c>
      <x:c r="PM94" s="14" t="n">
        <x:v>2</x:v>
      </x:c>
      <x:c r="PN94" s="14" t="str">
        <x:v>未收錄</x:v>
      </x:c>
      <x:c r="PO94" s="14" t="str">
        <x:v>28872</x:v>
      </x:c>
      <x:c r="PP94" s="14" t="n">
        <x:v>5</x:v>
      </x:c>
      <x:c r="PQ94" s="14" t="n">
        <x:v>2942</x:v>
      </x:c>
      <x:c r="PR94" s="14" t="n">
        <x:v>295</x:v>
      </x:c>
      <x:c r="PS94" s="14" t="n">
        <x:v>2</x:v>
      </x:c>
      <x:c r="PT94" s="14" t="n">
        <x:v>3</x:v>
      </x:c>
      <x:c r="PU94" s="14" t="str">
        <x:v>未收錄</x:v>
      </x:c>
      <x:c r="PV94" s="14" t="str">
        <x:v>28875</x:v>
      </x:c>
      <x:c r="PW94" s="14" t="n">
        <x:v>5</x:v>
      </x:c>
      <x:c r="PX94" s="14" t="n">
        <x:v>2943</x:v>
      </x:c>
      <x:c r="PY94" s="14" t="n">
        <x:v>296</x:v>
      </x:c>
      <x:c r="PZ94" s="14" t="n">
        <x:v>2</x:v>
      </x:c>
      <x:c r="QA94" s="14" t="n">
        <x:v>4</x:v>
      </x:c>
      <x:c r="QB94" s="14" t="str">
        <x:v>未收錄</x:v>
      </x:c>
      <x:c r="QC94" s="14" t="str">
        <x:v>28551</x:v>
      </x:c>
      <x:c r="QD94" s="14" t="n">
        <x:v>10</x:v>
      </x:c>
      <x:c r="QE94" s="14" t="n">
        <x:v>3377</x:v>
      </x:c>
      <x:c r="QF94" s="14" t="n">
        <x:v>293</x:v>
      </x:c>
      <x:c r="QG94" s="14" t="n">
        <x:v>2</x:v>
      </x:c>
      <x:c r="QH94" s="14" t="n">
        <x:v>1</x:v>
      </x:c>
      <x:c r="QI94" s="14" t="str">
        <x:v>未收錄</x:v>
      </x:c>
      <x:c r="QJ94" s="14" t="str">
        <x:v>28560</x:v>
      </x:c>
      <x:c r="QK94" s="14" t="n">
        <x:v>10</x:v>
      </x:c>
      <x:c r="QL94" s="14" t="n">
        <x:v>3378</x:v>
      </x:c>
      <x:c r="QM94" s="14" t="n">
        <x:v>294</x:v>
      </x:c>
      <x:c r="QN94" s="14" t="n">
        <x:v>2</x:v>
      </x:c>
      <x:c r="QO94" s="14" t="n">
        <x:v>2</x:v>
      </x:c>
      <x:c r="QP94" s="14" t="str">
        <x:v>未收錄</x:v>
      </x:c>
      <x:c r="QQ94" s="14" t="str">
        <x:v>28426</x:v>
      </x:c>
      <x:c r="QR94" s="14" t="n">
        <x:v>5</x:v>
      </x:c>
      <x:c r="QS94" s="14" t="n">
        <x:v>3379</x:v>
      </x:c>
      <x:c r="QT94" s="14" t="n">
        <x:v>295</x:v>
      </x:c>
      <x:c r="QU94" s="14" t="n">
        <x:v>2</x:v>
      </x:c>
      <x:c r="QV94" s="14" t="n">
        <x:v>3</x:v>
      </x:c>
      <x:c r="QW94" s="14" t="str">
        <x:v>未收錄</x:v>
      </x:c>
      <x:c r="QX94" s="14" t="str">
        <x:v>28429</x:v>
      </x:c>
      <x:c r="QY94" s="14" t="n">
        <x:v>5</x:v>
      </x:c>
      <x:c r="QZ94" s="14" t="n">
        <x:v>3380</x:v>
      </x:c>
      <x:c r="RA94" s="14" t="n">
        <x:v>296</x:v>
      </x:c>
      <x:c r="RB94" s="14" t="n">
        <x:v>2</x:v>
      </x:c>
      <x:c r="RC94" s="14" t="n">
        <x:v>4</x:v>
      </x:c>
      <x:c r="RD94" s="14" t="str">
        <x:v>未收錄</x:v>
      </x:c>
      <x:c r="RE94" s="14" t="str">
        <x:v>28994</x:v>
      </x:c>
      <x:c r="RF94" s="14" t="n">
        <x:v>10</x:v>
      </x:c>
      <x:c r="RG94" s="14" t="n">
        <x:v>3838</x:v>
      </x:c>
      <x:c r="RH94" s="14" t="n">
        <x:v>293</x:v>
      </x:c>
      <x:c r="RI94" s="14" t="n">
        <x:v>2</x:v>
      </x:c>
      <x:c r="RJ94" s="14" t="n">
        <x:v>1</x:v>
      </x:c>
      <x:c r="RK94" s="14" t="str">
        <x:v>未收錄</x:v>
      </x:c>
      <x:c r="RL94" s="14" t="str">
        <x:v>29000</x:v>
      </x:c>
      <x:c r="RM94" s="14" t="n">
        <x:v>20</x:v>
      </x:c>
      <x:c r="RN94" s="14" t="n">
        <x:v>3839</x:v>
      </x:c>
      <x:c r="RO94" s="14" t="n">
        <x:v>294</x:v>
      </x:c>
      <x:c r="RP94" s="14" t="n">
        <x:v>2</x:v>
      </x:c>
      <x:c r="RQ94" s="14" t="n">
        <x:v>2</x:v>
      </x:c>
      <x:c r="RR94" s="14" t="str">
        <x:v>未收錄</x:v>
      </x:c>
      <x:c r="RS94" s="14" t="str">
        <x:v>29523</x:v>
      </x:c>
      <x:c r="RT94" s="14" t="n">
        <x:v>5</x:v>
      </x:c>
      <x:c r="RU94" s="14" t="n">
        <x:v>3840</x:v>
      </x:c>
      <x:c r="RV94" s="14" t="n">
        <x:v>295</x:v>
      </x:c>
      <x:c r="RW94" s="14" t="n">
        <x:v>2</x:v>
      </x:c>
      <x:c r="RX94" s="14" t="n">
        <x:v>3</x:v>
      </x:c>
      <x:c r="RY94" s="14" t="str">
        <x:v>未收錄</x:v>
      </x:c>
      <x:c r="RZ94" s="14" t="str">
        <x:v>29524</x:v>
      </x:c>
      <x:c r="SA94" s="14" t="n">
        <x:v>5</x:v>
      </x:c>
      <x:c r="SB94" s="14" t="n">
        <x:v>3841</x:v>
      </x:c>
      <x:c r="SC94" s="14" t="n">
        <x:v>296</x:v>
      </x:c>
      <x:c r="SD94" s="14" t="n">
        <x:v>2</x:v>
      </x:c>
      <x:c r="SE94" s="14" t="n">
        <x:v>4</x:v>
      </x:c>
      <x:c r="SF94" s="14" t="str">
        <x:v>未收錄</x:v>
      </x:c>
      <x:c r="SG94" s="14"/>
      <x:c r="SH94" s="14"/>
      <x:c r="SI94" s="14"/>
      <x:c r="SJ94" s="14"/>
      <x:c r="SK94" s="14"/>
      <x:c r="SL94" s="14"/>
      <x:c r="SM94" s="14"/>
      <x:c r="SN94" s="14"/>
      <x:c r="SO94" s="14"/>
      <x:c r="SP94" s="14"/>
      <x:c r="SQ94" s="14"/>
      <x:c r="SR94" s="14"/>
      <x:c r="SS94" s="14"/>
      <x:c r="ST94" s="14"/>
      <x:c r="SU94" s="14"/>
      <x:c r="SV94" s="14"/>
      <x:c r="SW94" s="14"/>
      <x:c r="SX94" s="14"/>
      <x:c r="SY94" s="14"/>
      <x:c r="SZ94" s="14"/>
      <x:c r="TA94" s="14"/>
      <x:c r="TB94" s="14"/>
      <x:c r="TC94" s="14"/>
      <x:c r="TD94" s="14"/>
      <x:c r="TE94" s="14"/>
      <x:c r="TF94" s="14"/>
      <x:c r="TG94" s="14"/>
      <x:c r="TH94" s="14"/>
    </x:row>
    <x:row r="95" ht="15" customHeight="1">
      <x:c r="A95" s="14"/>
      <x:c r="B95" s="14"/>
      <x:c r="C95" s="14"/>
      <x:c r="D95" s="14"/>
      <x:c r="E95" s="14"/>
      <x:c r="F95" s="14"/>
      <x:c r="G95" s="14"/>
      <x:c r="H95" s="14"/>
      <x:c r="I95" s="14"/>
      <x:c r="J95" s="14"/>
      <x:c r="K95" s="14"/>
      <x:c r="L95" s="14"/>
      <x:c r="M95" s="14"/>
      <x:c r="N95" s="14"/>
      <x:c r="O95" s="14"/>
      <x:c r="P95" s="14"/>
      <x:c r="Q95" s="14"/>
      <x:c r="R95" s="14"/>
      <x:c r="S95" s="14"/>
      <x:c r="T95" s="14"/>
      <x:c r="U95" s="14"/>
      <x:c r="V95" s="14"/>
      <x:c r="W95" s="14"/>
      <x:c r="X95" s="14"/>
      <x:c r="Y95" s="14"/>
      <x:c r="Z95" s="14"/>
      <x:c r="AA95" s="14"/>
      <x:c r="AB95" s="14"/>
      <x:c r="AC95" s="14"/>
      <x:c r="AD95" s="14"/>
      <x:c r="AE95" s="14"/>
      <x:c r="AF95" s="14"/>
      <x:c r="AG95" s="14"/>
      <x:c r="AH95" s="14"/>
      <x:c r="AI95" s="14"/>
      <x:c r="AJ95" s="14"/>
      <x:c r="AK95" s="14"/>
      <x:c r="AL95" s="14"/>
      <x:c r="AM95" s="14"/>
      <x:c r="AN95" s="14"/>
      <x:c r="AO95" s="14"/>
      <x:c r="AP95" s="14"/>
      <x:c r="AQ95" s="14"/>
      <x:c r="AR95" s="14"/>
      <x:c r="AS95" s="14"/>
      <x:c r="AT95" s="14"/>
      <x:c r="AU95" s="14"/>
      <x:c r="AV95" s="14"/>
      <x:c r="AW95" s="14"/>
      <x:c r="AX95" s="14"/>
      <x:c r="AY95" s="17" t="str">
        <x:v>鬥星盔★★★</x:v>
      </x:c>
      <x:c r="AZ95" s="17" t="str">
        <x:v>遊星箍★★★</x:v>
      </x:c>
      <x:c r="BA95" s="17" t="str">
        <x:v>星蹤綸★★★</x:v>
      </x:c>
      <x:c r="BB95" s="17" t="str">
        <x:v>釋星頂★★★</x:v>
      </x:c>
      <x:c r="BC95" s="14"/>
      <x:c r="BD95" s="17" t="str">
        <x:v>窮極‧禪光衣</x:v>
      </x:c>
      <x:c r="BE95" s="17" t="str">
        <x:v>窮極‧饕餮鎧</x:v>
      </x:c>
      <x:c r="BF95" s="17" t="str">
        <x:v>窮極‧天狗衣</x:v>
      </x:c>
      <x:c r="BG95" s="17" t="str">
        <x:v>窮極‧隱遁甲</x:v>
      </x:c>
      <x:c r="BH95" s="14"/>
      <x:c r="BI95" s="17" t="str">
        <x:v>燦煌掌☆☆</x:v>
      </x:c>
      <x:c r="BJ95" s="17" t="str">
        <x:v>道煌擎☆☆</x:v>
      </x:c>
      <x:c r="BK95" s="17" t="str">
        <x:v>佛煌纏☆☆</x:v>
      </x:c>
      <x:c r="BL95" s="17" t="str">
        <x:v>鬼兇手☆☆</x:v>
      </x:c>
      <x:c r="BM95" s="14"/>
      <x:c r="BN95" s="17" t="str">
        <x:v>遊星足★★★</x:v>
      </x:c>
      <x:c r="BO95" s="17" t="str">
        <x:v>星蹤履★★★</x:v>
      </x:c>
      <x:c r="BP95" s="17" t="str">
        <x:v>釋星行★★★</x:v>
      </x:c>
      <x:c r="BQ95" s="17" t="str">
        <x:v>星兇靴★★★</x:v>
      </x:c>
      <x:c r="BR95" s="14"/>
      <x:c r="BS95" s="17" t="str">
        <x:v>宇帝珮★☆</x:v>
      </x:c>
      <x:c r="BT95" s="17" t="str">
        <x:v>宇帝珮★★</x:v>
      </x:c>
      <x:c r="BU95" s="17" t="str">
        <x:v>宇帝珮★★☆</x:v>
      </x:c>
      <x:c r="BV95" s="17" t="str">
        <x:v>宇帝珮★★★</x:v>
      </x:c>
      <x:c r="BW95" s="14"/>
      <x:c r="BX95" s="14"/>
      <x:c r="BY95" s="14"/>
      <x:c r="BZ95" s="14"/>
      <x:c r="CA95" s="14"/>
      <x:c r="CB95" s="14"/>
      <x:c r="CC95" s="14"/>
      <x:c r="CD95" s="14"/>
      <x:c r="CE95" s="14"/>
      <x:c r="CF95" s="14"/>
      <x:c r="CG95" s="14"/>
      <x:c r="CH95" s="14"/>
      <x:c r="CI95" s="14"/>
      <x:c r="CJ95" s="14"/>
      <x:c r="CK95" s="14"/>
      <x:c r="CL95" s="14"/>
      <x:c r="CM95" s="14"/>
      <x:c r="CN95" s="14"/>
      <x:c r="CO95" s="14"/>
      <x:c r="CP95" s="14"/>
      <x:c r="CQ95" s="14"/>
      <x:c r="CR95" s="14"/>
      <x:c r="CS95" s="14"/>
      <x:c r="CT95" s="14"/>
      <x:c r="CU95" s="14"/>
      <x:c r="CV95" s="14"/>
      <x:c r="CW95" s="14"/>
      <x:c r="CX95" s="14"/>
      <x:c r="CY95" s="14"/>
      <x:c r="CZ95" s="14"/>
      <x:c r="DA95" s="14"/>
      <x:c r="DB95" s="14"/>
      <x:c r="DC95" s="14"/>
      <x:c r="DD95" s="14"/>
      <x:c r="DE95" s="14"/>
      <x:c r="DF95" s="14"/>
      <x:c r="DG95" s="14"/>
      <x:c r="DH95" s="14"/>
      <x:c r="DI95" s="14"/>
      <x:c r="DJ95" s="14"/>
      <x:c r="DK95" s="14"/>
      <x:c r="DL95" s="14"/>
      <x:c r="DM95" s="14"/>
      <x:c r="DN95" s="14"/>
      <x:c r="DO95" s="14"/>
      <x:c r="DP95" s="14"/>
      <x:c r="DQ95" s="14"/>
      <x:c r="DR95" s="14"/>
      <x:c r="DS95" s="14"/>
      <x:c r="DT95" s="14"/>
      <x:c r="DU95" s="14"/>
      <x:c r="DV95" s="14"/>
      <x:c r="DW95" s="14"/>
      <x:c r="DX95" s="14"/>
      <x:c r="DY95" s="14"/>
      <x:c r="DZ95" s="14"/>
      <x:c r="EA95" s="14"/>
      <x:c r="EB95" s="14"/>
      <x:c r="EC95" s="14"/>
      <x:c r="ED95" s="14"/>
      <x:c r="EE95" s="14"/>
      <x:c r="EF95" s="14"/>
      <x:c r="EG95" s="14"/>
      <x:c r="EH95" s="14"/>
      <x:c r="EI95" s="14"/>
      <x:c r="EJ95" s="14"/>
      <x:c r="EK95" s="14"/>
      <x:c r="EL95" s="14"/>
      <x:c r="EM95" s="14"/>
      <x:c r="EN95" s="14"/>
      <x:c r="EO95" s="14"/>
      <x:c r="EP95" s="14"/>
      <x:c r="EQ95" s="14"/>
      <x:c r="ER95" s="14"/>
      <x:c r="ES95" s="14"/>
      <x:c r="ET95" s="14"/>
      <x:c r="EU95" s="14"/>
      <x:c r="EV95" s="14"/>
      <x:c r="EW95" s="14"/>
      <x:c r="EX95" s="14"/>
      <x:c r="EY95" s="14"/>
      <x:c r="EZ95" s="14"/>
      <x:c r="FA95" s="14"/>
      <x:c r="FB95" s="14"/>
      <x:c r="FC95" s="14"/>
      <x:c r="FD95" s="14"/>
      <x:c r="FE95" s="14"/>
      <x:c r="FF95" s="14"/>
      <x:c r="FG95" s="14"/>
      <x:c r="FH95" s="14"/>
      <x:c r="FI95" s="14"/>
      <x:c r="FJ95" s="14"/>
      <x:c r="FK95" s="14"/>
      <x:c r="FL95" s="14"/>
      <x:c r="FM95" s="14"/>
      <x:c r="FN95" s="14"/>
      <x:c r="FO95" s="14"/>
      <x:c r="FP95" s="14"/>
      <x:c r="FQ95" s="14"/>
      <x:c r="FR95" s="14"/>
      <x:c r="FS95" s="14"/>
      <x:c r="FT95" s="14"/>
      <x:c r="FU95" s="14"/>
      <x:c r="FV95" s="14"/>
      <x:c r="FW95" s="14"/>
      <x:c r="FX95" s="14"/>
      <x:c r="FY95" s="14"/>
      <x:c r="FZ95" s="14"/>
      <x:c r="GA95" s="14"/>
      <x:c r="GB95" s="14"/>
      <x:c r="GC95" s="14"/>
      <x:c r="GD95" s="14"/>
      <x:c r="GE95" s="14"/>
      <x:c r="GF95" s="14"/>
      <x:c r="GG95" s="14"/>
      <x:c r="GH95" s="14"/>
      <x:c r="GI95" s="14"/>
      <x:c r="GJ95" s="14"/>
      <x:c r="GK95" s="14"/>
      <x:c r="GL95" s="14"/>
      <x:c r="GM95" s="14"/>
      <x:c r="GN95" s="14"/>
      <x:c r="GO95" s="14"/>
      <x:c r="GP95" s="14"/>
      <x:c r="GQ95" s="14"/>
      <x:c r="GR95" s="14"/>
      <x:c r="GS95" s="14"/>
      <x:c r="GT95" s="14"/>
      <x:c r="GU95" s="14"/>
      <x:c r="GV95" s="14"/>
      <x:c r="GW95" s="14"/>
      <x:c r="GX95" s="14"/>
      <x:c r="GY95" s="14"/>
      <x:c r="GZ95" s="14"/>
      <x:c r="HA95" s="14"/>
      <x:c r="HB95" s="14"/>
      <x:c r="HC95" s="14"/>
      <x:c r="HD95" s="14"/>
      <x:c r="HE95" s="14"/>
      <x:c r="HF95" s="14"/>
      <x:c r="HG95" s="14"/>
      <x:c r="HH95" s="14"/>
      <x:c r="HI95" s="14"/>
      <x:c r="HJ95" s="14"/>
      <x:c r="HK95" s="14"/>
      <x:c r="HL95" s="14"/>
      <x:c r="HM95" s="14"/>
      <x:c r="HN95" s="14"/>
      <x:c r="HO95" s="14"/>
      <x:c r="HP95" s="14"/>
      <x:c r="HQ95" s="14"/>
      <x:c r="HR95" s="14"/>
      <x:c r="HS95" s="14"/>
      <x:c r="HT95" s="14"/>
      <x:c r="HU95" s="14"/>
      <x:c r="HV95" s="14"/>
      <x:c r="HW95" s="14"/>
      <x:c r="HX95" s="14"/>
      <x:c r="HY95" s="14"/>
      <x:c r="HZ95" s="14"/>
      <x:c r="IA95" s="14"/>
      <x:c r="IB95" s="14"/>
      <x:c r="IC95" s="14"/>
      <x:c r="ID95" s="14"/>
      <x:c r="IE95" s="14"/>
      <x:c r="IF95" s="14"/>
      <x:c r="IG95" s="14"/>
      <x:c r="IH95" s="14"/>
      <x:c r="II95" s="14"/>
      <x:c r="IJ95" s="14"/>
      <x:c r="IK95" s="14"/>
      <x:c r="IL95" s="14"/>
      <x:c r="IM95" s="14"/>
      <x:c r="IN95" s="14"/>
      <x:c r="IO95" s="14"/>
      <x:c r="IP95" s="14"/>
      <x:c r="IQ95" s="14"/>
      <x:c r="IR95" s="14"/>
      <x:c r="IS95" s="14"/>
      <x:c r="IT95" s="14"/>
      <x:c r="IU95" s="14"/>
      <x:c r="IV95" s="14"/>
      <x:c r="IW95" s="14"/>
      <x:c r="IX95" s="14"/>
      <x:c r="IY95" s="14"/>
      <x:c r="IZ95" s="14"/>
      <x:c r="JA95" s="14"/>
      <x:c r="JB95" s="14"/>
      <x:c r="JC95" s="14"/>
      <x:c r="JD95" s="14"/>
      <x:c r="JE95" s="14"/>
      <x:c r="JF95" s="14"/>
      <x:c r="JG95" s="14"/>
      <x:c r="JH95" s="14"/>
      <x:c r="JI95" s="14"/>
      <x:c r="JJ95" s="14"/>
      <x:c r="JK95" s="14"/>
      <x:c r="JL95" s="14"/>
      <x:c r="JM95" s="14"/>
      <x:c r="JN95" s="14"/>
      <x:c r="JO95" s="14"/>
      <x:c r="JP95" s="14"/>
      <x:c r="JQ95" s="14"/>
      <x:c r="JR95" s="14"/>
      <x:c r="JS95" s="14"/>
      <x:c r="JT95" s="14"/>
      <x:c r="JU95" s="14"/>
      <x:c r="JV95" s="14"/>
      <x:c r="JW95" s="14"/>
      <x:c r="JX95" s="14"/>
      <x:c r="JY95" s="14"/>
      <x:c r="JZ95" s="14"/>
      <x:c r="KA95" s="14"/>
      <x:c r="KB95" s="14"/>
      <x:c r="KC95" s="14"/>
      <x:c r="KD95" s="14"/>
      <x:c r="KE95" s="14"/>
      <x:c r="KF95" s="14"/>
      <x:c r="KG95" s="14"/>
      <x:c r="KH95" s="14"/>
      <x:c r="KI95" s="14"/>
      <x:c r="KJ95" s="14"/>
      <x:c r="KK95" s="14"/>
      <x:c r="KL95" s="14"/>
      <x:c r="KM95" s="14"/>
      <x:c r="KN95" s="14"/>
      <x:c r="KO95" s="14"/>
      <x:c r="KP95" s="14"/>
      <x:c r="KQ95" s="14"/>
      <x:c r="KR95" s="14"/>
      <x:c r="KS95" s="14"/>
      <x:c r="KT95" s="14"/>
      <x:c r="KU95" s="14"/>
      <x:c r="KV95" s="14"/>
      <x:c r="KW95" s="14"/>
      <x:c r="KX95" s="14"/>
      <x:c r="KY95" s="14"/>
      <x:c r="KZ95" s="14"/>
      <x:c r="LA95" s="14"/>
      <x:c r="LB95" s="14"/>
      <x:c r="LC95" s="14"/>
      <x:c r="LD95" s="14"/>
      <x:c r="LE95" s="14"/>
      <x:c r="LF95" s="14"/>
      <x:c r="LG95" s="14"/>
      <x:c r="LH95" s="14"/>
      <x:c r="LI95" s="14"/>
      <x:c r="LJ95" s="14"/>
      <x:c r="LK95" s="14"/>
      <x:c r="LL95" s="14"/>
      <x:c r="LM95" s="14"/>
      <x:c r="LN95" s="14"/>
      <x:c r="LO95" s="14"/>
      <x:c r="LP95" s="14"/>
      <x:c r="LQ95" s="14"/>
      <x:c r="LR95" s="14"/>
      <x:c r="LS95" s="14"/>
      <x:c r="LT95" s="14"/>
      <x:c r="LU95" s="14"/>
      <x:c r="LV95" s="14"/>
      <x:c r="LW95" s="14"/>
      <x:c r="LX95" s="14"/>
      <x:c r="LY95" s="14"/>
      <x:c r="LZ95" s="14"/>
      <x:c r="MA95" s="14"/>
      <x:c r="MB95" s="14"/>
      <x:c r="MC95" s="14"/>
      <x:c r="MD95" s="14"/>
      <x:c r="ME95" s="14"/>
      <x:c r="MF95" s="14"/>
      <x:c r="MG95" s="14"/>
      <x:c r="MH95" s="14"/>
      <x:c r="MI95" s="14"/>
      <x:c r="MJ95" s="14"/>
      <x:c r="MK95" s="14"/>
      <x:c r="ML95" s="14"/>
      <x:c r="MM95" s="14"/>
      <x:c r="MN95" s="14"/>
      <x:c r="MO95" s="14"/>
      <x:c r="MP95" s="14"/>
      <x:c r="MQ95" s="14"/>
      <x:c r="MR95" s="14"/>
      <x:c r="MS95" s="14"/>
      <x:c r="MT95" s="14"/>
      <x:c r="MU95" s="14"/>
      <x:c r="MV95" s="14"/>
      <x:c r="MW95" s="14" t="str">
        <x:v>28384</x:v>
      </x:c>
      <x:c r="MX95" s="14" t="n">
        <x:v>5</x:v>
      </x:c>
      <x:c r="MY95" s="14" t="n">
        <x:v>1945</x:v>
      </x:c>
      <x:c r="MZ95" s="14" t="n">
        <x:v>297</x:v>
      </x:c>
      <x:c r="NA95" s="14" t="n">
        <x:v>3</x:v>
      </x:c>
      <x:c r="NB95" s="14" t="n">
        <x:v>1</x:v>
      </x:c>
      <x:c r="NC95" s="14" t="str">
        <x:v>未收錄</x:v>
      </x:c>
      <x:c r="ND95" s="14" t="str">
        <x:v>28387</x:v>
      </x:c>
      <x:c r="NE95" s="14" t="n">
        <x:v>5</x:v>
      </x:c>
      <x:c r="NF95" s="14" t="n">
        <x:v>1946</x:v>
      </x:c>
      <x:c r="NG95" s="14" t="n">
        <x:v>298</x:v>
      </x:c>
      <x:c r="NH95" s="14" t="n">
        <x:v>3</x:v>
      </x:c>
      <x:c r="NI95" s="14" t="n">
        <x:v>2</x:v>
      </x:c>
      <x:c r="NJ95" s="14" t="str">
        <x:v>未收錄</x:v>
      </x:c>
      <x:c r="NK95" s="14" t="str">
        <x:v>28390</x:v>
      </x:c>
      <x:c r="NL95" s="14" t="n">
        <x:v>5</x:v>
      </x:c>
      <x:c r="NM95" s="14" t="n">
        <x:v>1947</x:v>
      </x:c>
      <x:c r="NN95" s="14" t="n">
        <x:v>299</x:v>
      </x:c>
      <x:c r="NO95" s="14" t="n">
        <x:v>3</x:v>
      </x:c>
      <x:c r="NP95" s="14" t="n">
        <x:v>3</x:v>
      </x:c>
      <x:c r="NQ95" s="14" t="str">
        <x:v>未收錄</x:v>
      </x:c>
      <x:c r="NR95" s="14" t="str">
        <x:v>28393</x:v>
      </x:c>
      <x:c r="NS95" s="14" t="n">
        <x:v>5</x:v>
      </x:c>
      <x:c r="NT95" s="14" t="n">
        <x:v>1948</x:v>
      </x:c>
      <x:c r="NU95" s="14" t="n">
        <x:v>300</x:v>
      </x:c>
      <x:c r="NV95" s="14" t="n">
        <x:v>3</x:v>
      </x:c>
      <x:c r="NW95" s="14" t="n">
        <x:v>4</x:v>
      </x:c>
      <x:c r="NX95" s="14" t="str">
        <x:v>未收錄</x:v>
      </x:c>
      <x:c r="NY95" s="14" t="str">
        <x:v>27669</x:v>
      </x:c>
      <x:c r="NZ95" s="14" t="n">
        <x:v>5</x:v>
      </x:c>
      <x:c r="OA95" s="14" t="n">
        <x:v>2398</x:v>
      </x:c>
      <x:c r="OB95" s="14" t="n">
        <x:v>297</x:v>
      </x:c>
      <x:c r="OC95" s="14" t="n">
        <x:v>3</x:v>
      </x:c>
      <x:c r="OD95" s="14" t="n">
        <x:v>1</x:v>
      </x:c>
      <x:c r="OE95" s="14" t="str">
        <x:v>未收錄</x:v>
      </x:c>
      <x:c r="OF95" s="14" t="str">
        <x:v>27741</x:v>
      </x:c>
      <x:c r="OG95" s="14" t="n">
        <x:v>10</x:v>
      </x:c>
      <x:c r="OH95" s="14" t="n">
        <x:v>2399</x:v>
      </x:c>
      <x:c r="OI95" s="14" t="n">
        <x:v>298</x:v>
      </x:c>
      <x:c r="OJ95" s="14" t="n">
        <x:v>3</x:v>
      </x:c>
      <x:c r="OK95" s="14" t="n">
        <x:v>2</x:v>
      </x:c>
      <x:c r="OL95" s="14" t="str">
        <x:v>未收錄</x:v>
      </x:c>
      <x:c r="OM95" s="14" t="str">
        <x:v>27753</x:v>
      </x:c>
      <x:c r="ON95" s="14" t="n">
        <x:v>10</x:v>
      </x:c>
      <x:c r="OO95" s="14" t="n">
        <x:v>2400</x:v>
      </x:c>
      <x:c r="OP95" s="14" t="n">
        <x:v>299</x:v>
      </x:c>
      <x:c r="OQ95" s="14" t="n">
        <x:v>3</x:v>
      </x:c>
      <x:c r="OR95" s="14" t="n">
        <x:v>3</x:v>
      </x:c>
      <x:c r="OS95" s="14" t="str">
        <x:v>未收錄</x:v>
      </x:c>
      <x:c r="OT95" s="14" t="str">
        <x:v>27769</x:v>
      </x:c>
      <x:c r="OU95" s="14" t="n">
        <x:v>10</x:v>
      </x:c>
      <x:c r="OV95" s="14" t="n">
        <x:v>2401</x:v>
      </x:c>
      <x:c r="OW95" s="14" t="n">
        <x:v>300</x:v>
      </x:c>
      <x:c r="OX95" s="14" t="n">
        <x:v>3</x:v>
      </x:c>
      <x:c r="OY95" s="14" t="n">
        <x:v>4</x:v>
      </x:c>
      <x:c r="OZ95" s="14" t="str">
        <x:v>未收錄</x:v>
      </x:c>
      <x:c r="PA95" s="14" t="str">
        <x:v>28878</x:v>
      </x:c>
      <x:c r="PB95" s="14" t="n">
        <x:v>5</x:v>
      </x:c>
      <x:c r="PC95" s="14" t="n">
        <x:v>2944</x:v>
      </x:c>
      <x:c r="PD95" s="14" t="n">
        <x:v>297</x:v>
      </x:c>
      <x:c r="PE95" s="14" t="n">
        <x:v>3</x:v>
      </x:c>
      <x:c r="PF95" s="14" t="n">
        <x:v>1</x:v>
      </x:c>
      <x:c r="PG95" s="14" t="str">
        <x:v>未收錄</x:v>
      </x:c>
      <x:c r="PH95" s="14" t="str">
        <x:v>28881</x:v>
      </x:c>
      <x:c r="PI95" s="14" t="n">
        <x:v>5</x:v>
      </x:c>
      <x:c r="PJ95" s="14" t="n">
        <x:v>2945</x:v>
      </x:c>
      <x:c r="PK95" s="14" t="n">
        <x:v>298</x:v>
      </x:c>
      <x:c r="PL95" s="14" t="n">
        <x:v>3</x:v>
      </x:c>
      <x:c r="PM95" s="14" t="n">
        <x:v>2</x:v>
      </x:c>
      <x:c r="PN95" s="14" t="str">
        <x:v>未收錄</x:v>
      </x:c>
      <x:c r="PO95" s="14" t="str">
        <x:v>28884</x:v>
      </x:c>
      <x:c r="PP95" s="14" t="n">
        <x:v>5</x:v>
      </x:c>
      <x:c r="PQ95" s="14" t="n">
        <x:v>2946</x:v>
      </x:c>
      <x:c r="PR95" s="14" t="n">
        <x:v>299</x:v>
      </x:c>
      <x:c r="PS95" s="14" t="n">
        <x:v>3</x:v>
      </x:c>
      <x:c r="PT95" s="14" t="n">
        <x:v>3</x:v>
      </x:c>
      <x:c r="PU95" s="14" t="str">
        <x:v>未收錄</x:v>
      </x:c>
      <x:c r="PV95" s="14" t="str">
        <x:v>28958</x:v>
      </x:c>
      <x:c r="PW95" s="14" t="n">
        <x:v>10</x:v>
      </x:c>
      <x:c r="PX95" s="14" t="n">
        <x:v>2947</x:v>
      </x:c>
      <x:c r="PY95" s="14" t="n">
        <x:v>300</x:v>
      </x:c>
      <x:c r="PZ95" s="14" t="n">
        <x:v>3</x:v>
      </x:c>
      <x:c r="QA95" s="14" t="n">
        <x:v>4</x:v>
      </x:c>
      <x:c r="QB95" s="14" t="str">
        <x:v>未收錄</x:v>
      </x:c>
      <x:c r="QC95" s="14" t="str">
        <x:v>28432</x:v>
      </x:c>
      <x:c r="QD95" s="14" t="n">
        <x:v>5</x:v>
      </x:c>
      <x:c r="QE95" s="14" t="n">
        <x:v>3381</x:v>
      </x:c>
      <x:c r="QF95" s="14" t="n">
        <x:v>297</x:v>
      </x:c>
      <x:c r="QG95" s="14" t="n">
        <x:v>3</x:v>
      </x:c>
      <x:c r="QH95" s="14" t="n">
        <x:v>1</x:v>
      </x:c>
      <x:c r="QI95" s="14" t="str">
        <x:v>未收錄</x:v>
      </x:c>
      <x:c r="QJ95" s="14" t="str">
        <x:v>28435</x:v>
      </x:c>
      <x:c r="QK95" s="14" t="n">
        <x:v>5</x:v>
      </x:c>
      <x:c r="QL95" s="14" t="n">
        <x:v>3382</x:v>
      </x:c>
      <x:c r="QM95" s="14" t="n">
        <x:v>298</x:v>
      </x:c>
      <x:c r="QN95" s="14" t="n">
        <x:v>3</x:v>
      </x:c>
      <x:c r="QO95" s="14" t="n">
        <x:v>2</x:v>
      </x:c>
      <x:c r="QP95" s="14" t="str">
        <x:v>未收錄</x:v>
      </x:c>
      <x:c r="QQ95" s="14" t="str">
        <x:v>28438</x:v>
      </x:c>
      <x:c r="QR95" s="14" t="n">
        <x:v>5</x:v>
      </x:c>
      <x:c r="QS95" s="14" t="n">
        <x:v>3383</x:v>
      </x:c>
      <x:c r="QT95" s="14" t="n">
        <x:v>299</x:v>
      </x:c>
      <x:c r="QU95" s="14" t="n">
        <x:v>3</x:v>
      </x:c>
      <x:c r="QV95" s="14" t="n">
        <x:v>3</x:v>
      </x:c>
      <x:c r="QW95" s="14" t="str">
        <x:v>未收錄</x:v>
      </x:c>
      <x:c r="QX95" s="14" t="str">
        <x:v>28540</x:v>
      </x:c>
      <x:c r="QY95" s="14" t="n">
        <x:v>10</x:v>
      </x:c>
      <x:c r="QZ95" s="14" t="n">
        <x:v>3384</x:v>
      </x:c>
      <x:c r="RA95" s="14" t="n">
        <x:v>300</x:v>
      </x:c>
      <x:c r="RB95" s="14" t="n">
        <x:v>3</x:v>
      </x:c>
      <x:c r="RC95" s="14" t="n">
        <x:v>4</x:v>
      </x:c>
      <x:c r="RD95" s="14" t="str">
        <x:v>未收錄</x:v>
      </x:c>
      <x:c r="RE95" s="14" t="str">
        <x:v>29525</x:v>
      </x:c>
      <x:c r="RF95" s="14" t="n">
        <x:v>5</x:v>
      </x:c>
      <x:c r="RG95" s="14" t="n">
        <x:v>3842</x:v>
      </x:c>
      <x:c r="RH95" s="14" t="n">
        <x:v>297</x:v>
      </x:c>
      <x:c r="RI95" s="14" t="n">
        <x:v>3</x:v>
      </x:c>
      <x:c r="RJ95" s="14" t="n">
        <x:v>1</x:v>
      </x:c>
      <x:c r="RK95" s="14" t="str">
        <x:v>未收錄</x:v>
      </x:c>
      <x:c r="RL95" s="14" t="str">
        <x:v>29526</x:v>
      </x:c>
      <x:c r="RM95" s="14" t="n">
        <x:v>5</x:v>
      </x:c>
      <x:c r="RN95" s="14" t="n">
        <x:v>3843</x:v>
      </x:c>
      <x:c r="RO95" s="14" t="n">
        <x:v>298</x:v>
      </x:c>
      <x:c r="RP95" s="14" t="n">
        <x:v>3</x:v>
      </x:c>
      <x:c r="RQ95" s="14" t="n">
        <x:v>2</x:v>
      </x:c>
      <x:c r="RR95" s="14" t="str">
        <x:v>未收錄</x:v>
      </x:c>
      <x:c r="RS95" s="14" t="str">
        <x:v>29527</x:v>
      </x:c>
      <x:c r="RT95" s="14" t="n">
        <x:v>5</x:v>
      </x:c>
      <x:c r="RU95" s="14" t="n">
        <x:v>3844</x:v>
      </x:c>
      <x:c r="RV95" s="14" t="n">
        <x:v>299</x:v>
      </x:c>
      <x:c r="RW95" s="14" t="n">
        <x:v>3</x:v>
      </x:c>
      <x:c r="RX95" s="14" t="n">
        <x:v>3</x:v>
      </x:c>
      <x:c r="RY95" s="14" t="str">
        <x:v>未收錄</x:v>
      </x:c>
      <x:c r="RZ95" s="14" t="str">
        <x:v>29528</x:v>
      </x:c>
      <x:c r="SA95" s="14" t="n">
        <x:v>5</x:v>
      </x:c>
      <x:c r="SB95" s="14" t="n">
        <x:v>3845</x:v>
      </x:c>
      <x:c r="SC95" s="14" t="n">
        <x:v>300</x:v>
      </x:c>
      <x:c r="SD95" s="14" t="n">
        <x:v>3</x:v>
      </x:c>
      <x:c r="SE95" s="14" t="n">
        <x:v>4</x:v>
      </x:c>
      <x:c r="SF95" s="14" t="str">
        <x:v>未收錄</x:v>
      </x:c>
      <x:c r="SG95" s="14"/>
      <x:c r="SH95" s="14"/>
      <x:c r="SI95" s="14"/>
      <x:c r="SJ95" s="14"/>
      <x:c r="SK95" s="14"/>
      <x:c r="SL95" s="14"/>
      <x:c r="SM95" s="14"/>
      <x:c r="SN95" s="14"/>
      <x:c r="SO95" s="14"/>
      <x:c r="SP95" s="14"/>
      <x:c r="SQ95" s="14"/>
      <x:c r="SR95" s="14"/>
      <x:c r="SS95" s="14"/>
      <x:c r="ST95" s="14"/>
      <x:c r="SU95" s="14"/>
      <x:c r="SV95" s="14"/>
      <x:c r="SW95" s="14"/>
      <x:c r="SX95" s="14"/>
      <x:c r="SY95" s="14"/>
      <x:c r="SZ95" s="14"/>
      <x:c r="TA95" s="14"/>
      <x:c r="TB95" s="14"/>
      <x:c r="TC95" s="14"/>
      <x:c r="TD95" s="14"/>
      <x:c r="TE95" s="14"/>
      <x:c r="TF95" s="14"/>
      <x:c r="TG95" s="14"/>
      <x:c r="TH95" s="14"/>
    </x:row>
    <x:row r="96" ht="15" customHeight="1">
      <x:c r="A96" s="14"/>
      <x:c r="B96" s="14"/>
      <x:c r="C96" s="14"/>
      <x:c r="D96" s="14"/>
      <x:c r="E96" s="14"/>
      <x:c r="F96" s="14"/>
      <x:c r="G96" s="14"/>
      <x:c r="H96" s="14"/>
      <x:c r="I96" s="14"/>
      <x:c r="J96" s="14"/>
      <x:c r="K96" s="14"/>
      <x:c r="L96" s="14"/>
      <x:c r="M96" s="14"/>
      <x:c r="N96" s="14"/>
      <x:c r="O96" s="14"/>
      <x:c r="P96" s="14"/>
      <x:c r="Q96" s="14"/>
      <x:c r="R96" s="14"/>
      <x:c r="S96" s="14"/>
      <x:c r="T96" s="14"/>
      <x:c r="U96" s="14"/>
      <x:c r="V96" s="14"/>
      <x:c r="W96" s="14"/>
      <x:c r="X96" s="14"/>
      <x:c r="Y96" s="14"/>
      <x:c r="Z96" s="14"/>
      <x:c r="AA96" s="14"/>
      <x:c r="AB96" s="14"/>
      <x:c r="AC96" s="14"/>
      <x:c r="AD96" s="14"/>
      <x:c r="AE96" s="14"/>
      <x:c r="AF96" s="14"/>
      <x:c r="AG96" s="14"/>
      <x:c r="AH96" s="14"/>
      <x:c r="AI96" s="14"/>
      <x:c r="AJ96" s="14"/>
      <x:c r="AK96" s="14"/>
      <x:c r="AL96" s="14"/>
      <x:c r="AM96" s="14"/>
      <x:c r="AN96" s="14"/>
      <x:c r="AO96" s="14"/>
      <x:c r="AP96" s="14"/>
      <x:c r="AQ96" s="14"/>
      <x:c r="AR96" s="14"/>
      <x:c r="AS96" s="14"/>
      <x:c r="AT96" s="14"/>
      <x:c r="AU96" s="14"/>
      <x:c r="AV96" s="14"/>
      <x:c r="AW96" s="14"/>
      <x:c r="AX96" s="14"/>
      <x:c r="AY96" s="18" t="str">
        <x:v>星兇冠★★★</x:v>
      </x:c>
      <x:c r="AZ96" s="18" t="str">
        <x:v>煌月巾★★★</x:v>
      </x:c>
      <x:c r="BA96" s="18" t="str">
        <x:v>烈煌兜☆</x:v>
      </x:c>
      <x:c r="BB96" s="18" t="str">
        <x:v>戰煌盔☆</x:v>
      </x:c>
      <x:c r="BC96" s="14"/>
      <x:c r="BD96" s="18" t="str">
        <x:v>窮極‧無相裟</x:v>
      </x:c>
      <x:c r="BE96" s="18" t="str">
        <x:v>元宙‧劍聖冑</x:v>
      </x:c>
      <x:c r="BF96" s="18" t="str">
        <x:v>元宙‧武尊鎧</x:v>
      </x:c>
      <x:c r="BG96" s="18" t="str">
        <x:v>元宙‧術幻裳</x:v>
      </x:c>
      <x:c r="BH96" s="14"/>
      <x:c r="BI96" s="18" t="str">
        <x:v>柳嗚腕☆☆</x:v>
      </x:c>
      <x:c r="BJ96" s="18" t="str">
        <x:v>烈煌腕☆☆☆</x:v>
      </x:c>
      <x:c r="BK96" s="18" t="str">
        <x:v>戰煌臂☆☆☆</x:v>
      </x:c>
      <x:c r="BL96" s="18" t="str">
        <x:v>燦煌掌☆☆☆</x:v>
      </x:c>
      <x:c r="BM96" s="14"/>
      <x:c r="BN96" s="18" t="str">
        <x:v>煌韋足★★★</x:v>
      </x:c>
      <x:c r="BO96" s="18" t="str">
        <x:v>奇星靴★★★</x:v>
      </x:c>
      <x:c r="BP96" s="18" t="str">
        <x:v>烈煌靴☆</x:v>
      </x:c>
      <x:c r="BQ96" s="18" t="str">
        <x:v>戰煌脛☆</x:v>
      </x:c>
      <x:c r="BR96" s="14"/>
      <x:c r="BS96" s="18" t="str">
        <x:v>羲帝綴☆</x:v>
      </x:c>
      <x:c r="BT96" s="18" t="str">
        <x:v>羲帝綴★</x:v>
      </x:c>
      <x:c r="BU96" s="18" t="str">
        <x:v>羲帝綴★☆</x:v>
      </x:c>
      <x:c r="BV96" s="18" t="str">
        <x:v>羲帝綴★★</x:v>
      </x:c>
      <x:c r="BW96" s="14"/>
      <x:c r="BX96" s="14"/>
      <x:c r="BY96" s="14"/>
      <x:c r="BZ96" s="14"/>
      <x:c r="CA96" s="14"/>
      <x:c r="CB96" s="14"/>
      <x:c r="CC96" s="14"/>
      <x:c r="CD96" s="14"/>
      <x:c r="CE96" s="14"/>
      <x:c r="CF96" s="14"/>
      <x:c r="CG96" s="14"/>
      <x:c r="CH96" s="14"/>
      <x:c r="CI96" s="14"/>
      <x:c r="CJ96" s="14"/>
      <x:c r="CK96" s="14"/>
      <x:c r="CL96" s="14"/>
      <x:c r="CM96" s="14"/>
      <x:c r="CN96" s="14"/>
      <x:c r="CO96" s="14"/>
      <x:c r="CP96" s="14"/>
      <x:c r="CQ96" s="14"/>
      <x:c r="CR96" s="14"/>
      <x:c r="CS96" s="14"/>
      <x:c r="CT96" s="14"/>
      <x:c r="CU96" s="14"/>
      <x:c r="CV96" s="14"/>
      <x:c r="CW96" s="14"/>
      <x:c r="CX96" s="14"/>
      <x:c r="CY96" s="14"/>
      <x:c r="CZ96" s="14"/>
      <x:c r="DA96" s="14"/>
      <x:c r="DB96" s="14"/>
      <x:c r="DC96" s="14"/>
      <x:c r="DD96" s="14"/>
      <x:c r="DE96" s="14"/>
      <x:c r="DF96" s="14"/>
      <x:c r="DG96" s="14"/>
      <x:c r="DH96" s="14"/>
      <x:c r="DI96" s="14"/>
      <x:c r="DJ96" s="14"/>
      <x:c r="DK96" s="14"/>
      <x:c r="DL96" s="14"/>
      <x:c r="DM96" s="14"/>
      <x:c r="DN96" s="14"/>
      <x:c r="DO96" s="14"/>
      <x:c r="DP96" s="14"/>
      <x:c r="DQ96" s="14"/>
      <x:c r="DR96" s="14"/>
      <x:c r="DS96" s="14"/>
      <x:c r="DT96" s="14"/>
      <x:c r="DU96" s="14"/>
      <x:c r="DV96" s="14"/>
      <x:c r="DW96" s="14"/>
      <x:c r="DX96" s="14"/>
      <x:c r="DY96" s="14"/>
      <x:c r="DZ96" s="14"/>
      <x:c r="EA96" s="14"/>
      <x:c r="EB96" s="14"/>
      <x:c r="EC96" s="14"/>
      <x:c r="ED96" s="14"/>
      <x:c r="EE96" s="14"/>
      <x:c r="EF96" s="14"/>
      <x:c r="EG96" s="14"/>
      <x:c r="EH96" s="14"/>
      <x:c r="EI96" s="14"/>
      <x:c r="EJ96" s="14"/>
      <x:c r="EK96" s="14"/>
      <x:c r="EL96" s="14"/>
      <x:c r="EM96" s="14"/>
      <x:c r="EN96" s="14"/>
      <x:c r="EO96" s="14"/>
      <x:c r="EP96" s="14"/>
      <x:c r="EQ96" s="14"/>
      <x:c r="ER96" s="14"/>
      <x:c r="ES96" s="14"/>
      <x:c r="ET96" s="14"/>
      <x:c r="EU96" s="14"/>
      <x:c r="EV96" s="14"/>
      <x:c r="EW96" s="14"/>
      <x:c r="EX96" s="14"/>
      <x:c r="EY96" s="14"/>
      <x:c r="EZ96" s="14"/>
      <x:c r="FA96" s="14"/>
      <x:c r="FB96" s="14"/>
      <x:c r="FC96" s="14"/>
      <x:c r="FD96" s="14"/>
      <x:c r="FE96" s="14"/>
      <x:c r="FF96" s="14"/>
      <x:c r="FG96" s="14"/>
      <x:c r="FH96" s="14"/>
      <x:c r="FI96" s="14"/>
      <x:c r="FJ96" s="14"/>
      <x:c r="FK96" s="14"/>
      <x:c r="FL96" s="14"/>
      <x:c r="FM96" s="14"/>
      <x:c r="FN96" s="14"/>
      <x:c r="FO96" s="14"/>
      <x:c r="FP96" s="14"/>
      <x:c r="FQ96" s="14"/>
      <x:c r="FR96" s="14"/>
      <x:c r="FS96" s="14"/>
      <x:c r="FT96" s="14"/>
      <x:c r="FU96" s="14"/>
      <x:c r="FV96" s="14"/>
      <x:c r="FW96" s="14"/>
      <x:c r="FX96" s="14"/>
      <x:c r="FY96" s="14"/>
      <x:c r="FZ96" s="14"/>
      <x:c r="GA96" s="14"/>
      <x:c r="GB96" s="14"/>
      <x:c r="GC96" s="14"/>
      <x:c r="GD96" s="14"/>
      <x:c r="GE96" s="14"/>
      <x:c r="GF96" s="14"/>
      <x:c r="GG96" s="14"/>
      <x:c r="GH96" s="14"/>
      <x:c r="GI96" s="14"/>
      <x:c r="GJ96" s="14"/>
      <x:c r="GK96" s="14"/>
      <x:c r="GL96" s="14"/>
      <x:c r="GM96" s="14"/>
      <x:c r="GN96" s="14"/>
      <x:c r="GO96" s="14"/>
      <x:c r="GP96" s="14"/>
      <x:c r="GQ96" s="14"/>
      <x:c r="GR96" s="14"/>
      <x:c r="GS96" s="14"/>
      <x:c r="GT96" s="14"/>
      <x:c r="GU96" s="14"/>
      <x:c r="GV96" s="14"/>
      <x:c r="GW96" s="14"/>
      <x:c r="GX96" s="14"/>
      <x:c r="GY96" s="14"/>
      <x:c r="GZ96" s="14"/>
      <x:c r="HA96" s="14"/>
      <x:c r="HB96" s="14"/>
      <x:c r="HC96" s="14"/>
      <x:c r="HD96" s="14"/>
      <x:c r="HE96" s="14"/>
      <x:c r="HF96" s="14"/>
      <x:c r="HG96" s="14"/>
      <x:c r="HH96" s="14"/>
      <x:c r="HI96" s="14"/>
      <x:c r="HJ96" s="14"/>
      <x:c r="HK96" s="14"/>
      <x:c r="HL96" s="14"/>
      <x:c r="HM96" s="14"/>
      <x:c r="HN96" s="14"/>
      <x:c r="HO96" s="14"/>
      <x:c r="HP96" s="14"/>
      <x:c r="HQ96" s="14"/>
      <x:c r="HR96" s="14"/>
      <x:c r="HS96" s="14"/>
      <x:c r="HT96" s="14"/>
      <x:c r="HU96" s="14"/>
      <x:c r="HV96" s="14"/>
      <x:c r="HW96" s="14"/>
      <x:c r="HX96" s="14"/>
      <x:c r="HY96" s="14"/>
      <x:c r="HZ96" s="14"/>
      <x:c r="IA96" s="14"/>
      <x:c r="IB96" s="14"/>
      <x:c r="IC96" s="14"/>
      <x:c r="ID96" s="14"/>
      <x:c r="IE96" s="14"/>
      <x:c r="IF96" s="14"/>
      <x:c r="IG96" s="14"/>
      <x:c r="IH96" s="14"/>
      <x:c r="II96" s="14"/>
      <x:c r="IJ96" s="14"/>
      <x:c r="IK96" s="14"/>
      <x:c r="IL96" s="14"/>
      <x:c r="IM96" s="14"/>
      <x:c r="IN96" s="14"/>
      <x:c r="IO96" s="14"/>
      <x:c r="IP96" s="14"/>
      <x:c r="IQ96" s="14"/>
      <x:c r="IR96" s="14"/>
      <x:c r="IS96" s="14"/>
      <x:c r="IT96" s="14"/>
      <x:c r="IU96" s="14"/>
      <x:c r="IV96" s="14"/>
      <x:c r="IW96" s="14"/>
      <x:c r="IX96" s="14"/>
      <x:c r="IY96" s="14"/>
      <x:c r="IZ96" s="14"/>
      <x:c r="JA96" s="14"/>
      <x:c r="JB96" s="14"/>
      <x:c r="JC96" s="14"/>
      <x:c r="JD96" s="14"/>
      <x:c r="JE96" s="14"/>
      <x:c r="JF96" s="14"/>
      <x:c r="JG96" s="14"/>
      <x:c r="JH96" s="14"/>
      <x:c r="JI96" s="14"/>
      <x:c r="JJ96" s="14"/>
      <x:c r="JK96" s="14"/>
      <x:c r="JL96" s="14"/>
      <x:c r="JM96" s="14"/>
      <x:c r="JN96" s="14"/>
      <x:c r="JO96" s="14"/>
      <x:c r="JP96" s="14"/>
      <x:c r="JQ96" s="14"/>
      <x:c r="JR96" s="14"/>
      <x:c r="JS96" s="14"/>
      <x:c r="JT96" s="14"/>
      <x:c r="JU96" s="14"/>
      <x:c r="JV96" s="14"/>
      <x:c r="JW96" s="14"/>
      <x:c r="JX96" s="14"/>
      <x:c r="JY96" s="14"/>
      <x:c r="JZ96" s="14"/>
      <x:c r="KA96" s="14"/>
      <x:c r="KB96" s="14"/>
      <x:c r="KC96" s="14"/>
      <x:c r="KD96" s="14"/>
      <x:c r="KE96" s="14"/>
      <x:c r="KF96" s="14"/>
      <x:c r="KG96" s="14"/>
      <x:c r="KH96" s="14"/>
      <x:c r="KI96" s="14"/>
      <x:c r="KJ96" s="14"/>
      <x:c r="KK96" s="14"/>
      <x:c r="KL96" s="14"/>
      <x:c r="KM96" s="14"/>
      <x:c r="KN96" s="14"/>
      <x:c r="KO96" s="14"/>
      <x:c r="KP96" s="14"/>
      <x:c r="KQ96" s="14"/>
      <x:c r="KR96" s="14"/>
      <x:c r="KS96" s="14"/>
      <x:c r="KT96" s="14"/>
      <x:c r="KU96" s="14"/>
      <x:c r="KV96" s="14"/>
      <x:c r="KW96" s="14"/>
      <x:c r="KX96" s="14"/>
      <x:c r="KY96" s="14"/>
      <x:c r="KZ96" s="14"/>
      <x:c r="LA96" s="14"/>
      <x:c r="LB96" s="14"/>
      <x:c r="LC96" s="14"/>
      <x:c r="LD96" s="14"/>
      <x:c r="LE96" s="14"/>
      <x:c r="LF96" s="14"/>
      <x:c r="LG96" s="14"/>
      <x:c r="LH96" s="14"/>
      <x:c r="LI96" s="14"/>
      <x:c r="LJ96" s="14"/>
      <x:c r="LK96" s="14"/>
      <x:c r="LL96" s="14"/>
      <x:c r="LM96" s="14"/>
      <x:c r="LN96" s="14"/>
      <x:c r="LO96" s="14"/>
      <x:c r="LP96" s="14"/>
      <x:c r="LQ96" s="14"/>
      <x:c r="LR96" s="14"/>
      <x:c r="LS96" s="14"/>
      <x:c r="LT96" s="14"/>
      <x:c r="LU96" s="14"/>
      <x:c r="LV96" s="14"/>
      <x:c r="LW96" s="14"/>
      <x:c r="LX96" s="14"/>
      <x:c r="LY96" s="14"/>
      <x:c r="LZ96" s="14"/>
      <x:c r="MA96" s="14"/>
      <x:c r="MB96" s="14"/>
      <x:c r="MC96" s="14"/>
      <x:c r="MD96" s="14"/>
      <x:c r="ME96" s="14"/>
      <x:c r="MF96" s="14"/>
      <x:c r="MG96" s="14"/>
      <x:c r="MH96" s="14"/>
      <x:c r="MI96" s="14"/>
      <x:c r="MJ96" s="14"/>
      <x:c r="MK96" s="14"/>
      <x:c r="ML96" s="14"/>
      <x:c r="MM96" s="14"/>
      <x:c r="MN96" s="14"/>
      <x:c r="MO96" s="14"/>
      <x:c r="MP96" s="14"/>
      <x:c r="MQ96" s="14"/>
      <x:c r="MR96" s="14"/>
      <x:c r="MS96" s="14"/>
      <x:c r="MT96" s="14"/>
      <x:c r="MU96" s="14"/>
      <x:c r="MV96" s="14"/>
      <x:c r="MW96" s="14" t="str">
        <x:v>28531</x:v>
      </x:c>
      <x:c r="MX96" s="14" t="n">
        <x:v>10</x:v>
      </x:c>
      <x:c r="MY96" s="14" t="n">
        <x:v>1949</x:v>
      </x:c>
      <x:c r="MZ96" s="14" t="n">
        <x:v>301</x:v>
      </x:c>
      <x:c r="NA96" s="14" t="n">
        <x:v>4</x:v>
      </x:c>
      <x:c r="NB96" s="14" t="n">
        <x:v>1</x:v>
      </x:c>
      <x:c r="NC96" s="14" t="str">
        <x:v>未收錄</x:v>
      </x:c>
      <x:c r="ND96" s="14" t="str">
        <x:v>28543</x:v>
      </x:c>
      <x:c r="NE96" s="14" t="n">
        <x:v>10</x:v>
      </x:c>
      <x:c r="NF96" s="14" t="n">
        <x:v>1950</x:v>
      </x:c>
      <x:c r="NG96" s="14" t="n">
        <x:v>302</x:v>
      </x:c>
      <x:c r="NH96" s="14" t="n">
        <x:v>4</x:v>
      </x:c>
      <x:c r="NI96" s="14" t="n">
        <x:v>2</x:v>
      </x:c>
      <x:c r="NJ96" s="14" t="str">
        <x:v>未收錄</x:v>
      </x:c>
      <x:c r="NK96" s="14" t="str">
        <x:v>28841</x:v>
      </x:c>
      <x:c r="NL96" s="14" t="n">
        <x:v>5</x:v>
      </x:c>
      <x:c r="NM96" s="14" t="n">
        <x:v>1951</x:v>
      </x:c>
      <x:c r="NN96" s="14" t="n">
        <x:v>303</x:v>
      </x:c>
      <x:c r="NO96" s="14" t="n">
        <x:v>4</x:v>
      </x:c>
      <x:c r="NP96" s="14" t="n">
        <x:v>3</x:v>
      </x:c>
      <x:c r="NQ96" s="14" t="str">
        <x:v>未收錄</x:v>
      </x:c>
      <x:c r="NR96" s="14" t="str">
        <x:v>28844</x:v>
      </x:c>
      <x:c r="NS96" s="14" t="n">
        <x:v>5</x:v>
      </x:c>
      <x:c r="NT96" s="14" t="n">
        <x:v>1952</x:v>
      </x:c>
      <x:c r="NU96" s="14" t="n">
        <x:v>304</x:v>
      </x:c>
      <x:c r="NV96" s="14" t="n">
        <x:v>4</x:v>
      </x:c>
      <x:c r="NW96" s="14" t="n">
        <x:v>4</x:v>
      </x:c>
      <x:c r="NX96" s="14" t="str">
        <x:v>未收錄</x:v>
      </x:c>
      <x:c r="NY96" s="14" t="str">
        <x:v>27773</x:v>
      </x:c>
      <x:c r="NZ96" s="14" t="n">
        <x:v>10</x:v>
      </x:c>
      <x:c r="OA96" s="14" t="n">
        <x:v>2402</x:v>
      </x:c>
      <x:c r="OB96" s="14" t="n">
        <x:v>301</x:v>
      </x:c>
      <x:c r="OC96" s="14" t="n">
        <x:v>4</x:v>
      </x:c>
      <x:c r="OD96" s="14" t="n">
        <x:v>1</x:v>
      </x:c>
      <x:c r="OE96" s="14" t="str">
        <x:v>未收錄</x:v>
      </x:c>
      <x:c r="OF96" s="14" t="str">
        <x:v>27670</x:v>
      </x:c>
      <x:c r="OG96" s="14" t="n">
        <x:v>5</x:v>
      </x:c>
      <x:c r="OH96" s="14" t="n">
        <x:v>2403</x:v>
      </x:c>
      <x:c r="OI96" s="14" t="n">
        <x:v>302</x:v>
      </x:c>
      <x:c r="OJ96" s="14" t="n">
        <x:v>4</x:v>
      </x:c>
      <x:c r="OK96" s="14" t="n">
        <x:v>2</x:v>
      </x:c>
      <x:c r="OL96" s="14" t="str">
        <x:v>未收錄</x:v>
      </x:c>
      <x:c r="OM96" s="14" t="str">
        <x:v>27671</x:v>
      </x:c>
      <x:c r="ON96" s="14" t="n">
        <x:v>5</x:v>
      </x:c>
      <x:c r="OO96" s="14" t="n">
        <x:v>2404</x:v>
      </x:c>
      <x:c r="OP96" s="14" t="n">
        <x:v>303</x:v>
      </x:c>
      <x:c r="OQ96" s="14" t="n">
        <x:v>4</x:v>
      </x:c>
      <x:c r="OR96" s="14" t="n">
        <x:v>3</x:v>
      </x:c>
      <x:c r="OS96" s="14" t="str">
        <x:v>未收錄</x:v>
      </x:c>
      <x:c r="OT96" s="14" t="str">
        <x:v>27672</x:v>
      </x:c>
      <x:c r="OU96" s="14" t="n">
        <x:v>5</x:v>
      </x:c>
      <x:c r="OV96" s="14" t="n">
        <x:v>2405</x:v>
      </x:c>
      <x:c r="OW96" s="14" t="n">
        <x:v>304</x:v>
      </x:c>
      <x:c r="OX96" s="14" t="n">
        <x:v>4</x:v>
      </x:c>
      <x:c r="OY96" s="14" t="n">
        <x:v>4</x:v>
      </x:c>
      <x:c r="OZ96" s="14" t="str">
        <x:v>未收錄</x:v>
      </x:c>
      <x:c r="PA96" s="14" t="str">
        <x:v>28970</x:v>
      </x:c>
      <x:c r="PB96" s="14" t="n">
        <x:v>10</x:v>
      </x:c>
      <x:c r="PC96" s="14" t="n">
        <x:v>2948</x:v>
      </x:c>
      <x:c r="PD96" s="14" t="n">
        <x:v>301</x:v>
      </x:c>
      <x:c r="PE96" s="14" t="n">
        <x:v>4</x:v>
      </x:c>
      <x:c r="PF96" s="14" t="n">
        <x:v>1</x:v>
      </x:c>
      <x:c r="PG96" s="14" t="str">
        <x:v>未收錄</x:v>
      </x:c>
      <x:c r="PH96" s="14" t="str">
        <x:v>28873</x:v>
      </x:c>
      <x:c r="PI96" s="14" t="n">
        <x:v>5</x:v>
      </x:c>
      <x:c r="PJ96" s="14" t="n">
        <x:v>2949</x:v>
      </x:c>
      <x:c r="PK96" s="14" t="n">
        <x:v>302</x:v>
      </x:c>
      <x:c r="PL96" s="14" t="n">
        <x:v>4</x:v>
      </x:c>
      <x:c r="PM96" s="14" t="n">
        <x:v>2</x:v>
      </x:c>
      <x:c r="PN96" s="14" t="str">
        <x:v>未收錄</x:v>
      </x:c>
      <x:c r="PO96" s="14" t="str">
        <x:v>28876</x:v>
      </x:c>
      <x:c r="PP96" s="14" t="n">
        <x:v>5</x:v>
      </x:c>
      <x:c r="PQ96" s="14" t="n">
        <x:v>2950</x:v>
      </x:c>
      <x:c r="PR96" s="14" t="n">
        <x:v>303</x:v>
      </x:c>
      <x:c r="PS96" s="14" t="n">
        <x:v>4</x:v>
      </x:c>
      <x:c r="PT96" s="14" t="n">
        <x:v>3</x:v>
      </x:c>
      <x:c r="PU96" s="14" t="str">
        <x:v>未收錄</x:v>
      </x:c>
      <x:c r="PV96" s="14" t="str">
        <x:v>28879</x:v>
      </x:c>
      <x:c r="PW96" s="14" t="n">
        <x:v>5</x:v>
      </x:c>
      <x:c r="PX96" s="14" t="n">
        <x:v>2951</x:v>
      </x:c>
      <x:c r="PY96" s="14" t="n">
        <x:v>304</x:v>
      </x:c>
      <x:c r="PZ96" s="14" t="n">
        <x:v>4</x:v>
      </x:c>
      <x:c r="QA96" s="14" t="n">
        <x:v>4</x:v>
      </x:c>
      <x:c r="QB96" s="14" t="str">
        <x:v>未收錄</x:v>
      </x:c>
      <x:c r="QC96" s="14" t="str">
        <x:v>28552</x:v>
      </x:c>
      <x:c r="QD96" s="14" t="n">
        <x:v>10</x:v>
      </x:c>
      <x:c r="QE96" s="14" t="n">
        <x:v>3385</x:v>
      </x:c>
      <x:c r="QF96" s="14" t="n">
        <x:v>301</x:v>
      </x:c>
      <x:c r="QG96" s="14" t="n">
        <x:v>4</x:v>
      </x:c>
      <x:c r="QH96" s="14" t="n">
        <x:v>1</x:v>
      </x:c>
      <x:c r="QI96" s="14" t="str">
        <x:v>未收錄</x:v>
      </x:c>
      <x:c r="QJ96" s="14" t="str">
        <x:v>28561</x:v>
      </x:c>
      <x:c r="QK96" s="14" t="n">
        <x:v>10</x:v>
      </x:c>
      <x:c r="QL96" s="14" t="n">
        <x:v>3386</x:v>
      </x:c>
      <x:c r="QM96" s="14" t="n">
        <x:v>302</x:v>
      </x:c>
      <x:c r="QN96" s="14" t="n">
        <x:v>4</x:v>
      </x:c>
      <x:c r="QO96" s="14" t="n">
        <x:v>2</x:v>
      </x:c>
      <x:c r="QP96" s="14" t="str">
        <x:v>未收錄</x:v>
      </x:c>
      <x:c r="QQ96" s="14" t="str">
        <x:v>28886</x:v>
      </x:c>
      <x:c r="QR96" s="14" t="n">
        <x:v>5</x:v>
      </x:c>
      <x:c r="QS96" s="14" t="n">
        <x:v>3387</x:v>
      </x:c>
      <x:c r="QT96" s="14" t="n">
        <x:v>303</x:v>
      </x:c>
      <x:c r="QU96" s="14" t="n">
        <x:v>4</x:v>
      </x:c>
      <x:c r="QV96" s="14" t="n">
        <x:v>3</x:v>
      </x:c>
      <x:c r="QW96" s="14" t="str">
        <x:v>未收錄</x:v>
      </x:c>
      <x:c r="QX96" s="14" t="str">
        <x:v>28889</x:v>
      </x:c>
      <x:c r="QY96" s="14" t="n">
        <x:v>5</x:v>
      </x:c>
      <x:c r="QZ96" s="14" t="n">
        <x:v>3388</x:v>
      </x:c>
      <x:c r="RA96" s="14" t="n">
        <x:v>304</x:v>
      </x:c>
      <x:c r="RB96" s="14" t="n">
        <x:v>4</x:v>
      </x:c>
      <x:c r="RC96" s="14" t="n">
        <x:v>4</x:v>
      </x:c>
      <x:c r="RD96" s="14" t="str">
        <x:v>未收錄</x:v>
      </x:c>
      <x:c r="RE96" s="14" t="str">
        <x:v>29529</x:v>
      </x:c>
      <x:c r="RF96" s="14" t="n">
        <x:v>5</x:v>
      </x:c>
      <x:c r="RG96" s="14" t="n">
        <x:v>3846</x:v>
      </x:c>
      <x:c r="RH96" s="14" t="n">
        <x:v>301</x:v>
      </x:c>
      <x:c r="RI96" s="14" t="n">
        <x:v>4</x:v>
      </x:c>
      <x:c r="RJ96" s="14" t="n">
        <x:v>1</x:v>
      </x:c>
      <x:c r="RK96" s="14" t="str">
        <x:v>未收錄</x:v>
      </x:c>
      <x:c r="RL96" s="14" t="str">
        <x:v>29530</x:v>
      </x:c>
      <x:c r="RM96" s="14" t="n">
        <x:v>5</x:v>
      </x:c>
      <x:c r="RN96" s="14" t="n">
        <x:v>3847</x:v>
      </x:c>
      <x:c r="RO96" s="14" t="n">
        <x:v>302</x:v>
      </x:c>
      <x:c r="RP96" s="14" t="n">
        <x:v>4</x:v>
      </x:c>
      <x:c r="RQ96" s="14" t="n">
        <x:v>2</x:v>
      </x:c>
      <x:c r="RR96" s="14" t="str">
        <x:v>未收錄</x:v>
      </x:c>
      <x:c r="RS96" s="14" t="str">
        <x:v>29531</x:v>
      </x:c>
      <x:c r="RT96" s="14" t="n">
        <x:v>5</x:v>
      </x:c>
      <x:c r="RU96" s="14" t="n">
        <x:v>3848</x:v>
      </x:c>
      <x:c r="RV96" s="14" t="n">
        <x:v>303</x:v>
      </x:c>
      <x:c r="RW96" s="14" t="n">
        <x:v>4</x:v>
      </x:c>
      <x:c r="RX96" s="14" t="n">
        <x:v>3</x:v>
      </x:c>
      <x:c r="RY96" s="14" t="str">
        <x:v>未收錄</x:v>
      </x:c>
      <x:c r="RZ96" s="14" t="str">
        <x:v>29532</x:v>
      </x:c>
      <x:c r="SA96" s="14" t="n">
        <x:v>5</x:v>
      </x:c>
      <x:c r="SB96" s="14" t="n">
        <x:v>3849</x:v>
      </x:c>
      <x:c r="SC96" s="14" t="n">
        <x:v>304</x:v>
      </x:c>
      <x:c r="SD96" s="14" t="n">
        <x:v>4</x:v>
      </x:c>
      <x:c r="SE96" s="14" t="n">
        <x:v>4</x:v>
      </x:c>
      <x:c r="SF96" s="14" t="str">
        <x:v>未收錄</x:v>
      </x:c>
      <x:c r="SG96" s="14"/>
      <x:c r="SH96" s="14"/>
      <x:c r="SI96" s="14"/>
      <x:c r="SJ96" s="14"/>
      <x:c r="SK96" s="14"/>
      <x:c r="SL96" s="14"/>
      <x:c r="SM96" s="14"/>
      <x:c r="SN96" s="14"/>
      <x:c r="SO96" s="14"/>
      <x:c r="SP96" s="14"/>
      <x:c r="SQ96" s="14"/>
      <x:c r="SR96" s="14"/>
      <x:c r="SS96" s="14"/>
      <x:c r="ST96" s="14"/>
      <x:c r="SU96" s="14"/>
      <x:c r="SV96" s="14"/>
      <x:c r="SW96" s="14"/>
      <x:c r="SX96" s="14"/>
      <x:c r="SY96" s="14"/>
      <x:c r="SZ96" s="14"/>
      <x:c r="TA96" s="14"/>
      <x:c r="TB96" s="14"/>
      <x:c r="TC96" s="14"/>
      <x:c r="TD96" s="14"/>
      <x:c r="TE96" s="14"/>
      <x:c r="TF96" s="14"/>
      <x:c r="TG96" s="14"/>
      <x:c r="TH96" s="14"/>
    </x:row>
    <x:row r="97" ht="15" customHeight="1">
      <x:c r="A97" s="14"/>
      <x:c r="B97" s="14"/>
      <x:c r="C97" s="14"/>
      <x:c r="D97" s="14"/>
      <x:c r="E97" s="14"/>
      <x:c r="F97" s="14"/>
      <x:c r="G97" s="14"/>
      <x:c r="H97" s="14"/>
      <x:c r="I97" s="14"/>
      <x:c r="J97" s="14"/>
      <x:c r="K97" s="14"/>
      <x:c r="L97" s="14"/>
      <x:c r="M97" s="14"/>
      <x:c r="N97" s="14"/>
      <x:c r="O97" s="14"/>
      <x:c r="P97" s="14"/>
      <x:c r="Q97" s="14"/>
      <x:c r="R97" s="14"/>
      <x:c r="S97" s="14"/>
      <x:c r="T97" s="14"/>
      <x:c r="U97" s="14"/>
      <x:c r="V97" s="14"/>
      <x:c r="W97" s="14"/>
      <x:c r="X97" s="14"/>
      <x:c r="Y97" s="14"/>
      <x:c r="Z97" s="14"/>
      <x:c r="AA97" s="14"/>
      <x:c r="AB97" s="14"/>
      <x:c r="AC97" s="14"/>
      <x:c r="AD97" s="14"/>
      <x:c r="AE97" s="14"/>
      <x:c r="AF97" s="14"/>
      <x:c r="AG97" s="14"/>
      <x:c r="AH97" s="14"/>
      <x:c r="AI97" s="14"/>
      <x:c r="AJ97" s="14"/>
      <x:c r="AK97" s="14"/>
      <x:c r="AL97" s="14"/>
      <x:c r="AM97" s="14"/>
      <x:c r="AN97" s="14"/>
      <x:c r="AO97" s="14"/>
      <x:c r="AP97" s="14"/>
      <x:c r="AQ97" s="14"/>
      <x:c r="AR97" s="14"/>
      <x:c r="AS97" s="14"/>
      <x:c r="AT97" s="14"/>
      <x:c r="AU97" s="14"/>
      <x:c r="AV97" s="14"/>
      <x:c r="AW97" s="14"/>
      <x:c r="AX97" s="14"/>
      <x:c r="AY97" s="17" t="str">
        <x:v>燦煌帽☆</x:v>
      </x:c>
      <x:c r="AZ97" s="17" t="str">
        <x:v>道煌面☆</x:v>
      </x:c>
      <x:c r="BA97" s="17" t="str">
        <x:v>佛煌頂☆</x:v>
      </x:c>
      <x:c r="BB97" s="17" t="str">
        <x:v>鬼兇冠☆</x:v>
      </x:c>
      <x:c r="BC97" s="14"/>
      <x:c r="BD97" s="17" t="str">
        <x:v>元宙‧道輝服</x:v>
      </x:c>
      <x:c r="BE97" s="17" t="str">
        <x:v>元宙‧禪光衣</x:v>
      </x:c>
      <x:c r="BF97" s="17" t="str">
        <x:v>元宙‧饕餮鎧</x:v>
      </x:c>
      <x:c r="BG97" s="17" t="str">
        <x:v>元宙‧天狗衣</x:v>
      </x:c>
      <x:c r="BH97" s="14"/>
      <x:c r="BI97" s="17" t="str">
        <x:v>道煌擎☆☆☆</x:v>
      </x:c>
      <x:c r="BJ97" s="17" t="str">
        <x:v>佛煌纏☆☆☆</x:v>
      </x:c>
      <x:c r="BK97" s="17" t="str">
        <x:v>鬼兇手☆☆☆</x:v>
      </x:c>
      <x:c r="BL97" s="17" t="str">
        <x:v>柳嗚腕☆☆☆</x:v>
      </x:c>
      <x:c r="BM97" s="14"/>
      <x:c r="BN97" s="17" t="str">
        <x:v>燦煌足☆</x:v>
      </x:c>
      <x:c r="BO97" s="17" t="str">
        <x:v>道煌履☆</x:v>
      </x:c>
      <x:c r="BP97" s="17" t="str">
        <x:v>佛煌行☆</x:v>
      </x:c>
      <x:c r="BQ97" s="17" t="str">
        <x:v>鬼兇靴☆</x:v>
      </x:c>
      <x:c r="BR97" s="14"/>
      <x:c r="BS97" s="17" t="str">
        <x:v>羲帝綴★★☆</x:v>
      </x:c>
      <x:c r="BT97" s="17" t="str">
        <x:v>羲帝綴★★★</x:v>
      </x:c>
      <x:c r="BU97" s="17" t="str">
        <x:v>慧帝戒☆</x:v>
      </x:c>
      <x:c r="BV97" s="17" t="str">
        <x:v>慧帝戒★</x:v>
      </x:c>
      <x:c r="BW97" s="14"/>
      <x:c r="BX97" s="14"/>
      <x:c r="BY97" s="14"/>
      <x:c r="BZ97" s="14"/>
      <x:c r="CA97" s="14"/>
      <x:c r="CB97" s="14"/>
      <x:c r="CC97" s="14"/>
      <x:c r="CD97" s="14"/>
      <x:c r="CE97" s="14"/>
      <x:c r="CF97" s="14"/>
      <x:c r="CG97" s="14"/>
      <x:c r="CH97" s="14"/>
      <x:c r="CI97" s="14"/>
      <x:c r="CJ97" s="14"/>
      <x:c r="CK97" s="14"/>
      <x:c r="CL97" s="14"/>
      <x:c r="CM97" s="14"/>
      <x:c r="CN97" s="14"/>
      <x:c r="CO97" s="14"/>
      <x:c r="CP97" s="14"/>
      <x:c r="CQ97" s="14"/>
      <x:c r="CR97" s="14"/>
      <x:c r="CS97" s="14"/>
      <x:c r="CT97" s="14"/>
      <x:c r="CU97" s="14"/>
      <x:c r="CV97" s="14"/>
      <x:c r="CW97" s="14"/>
      <x:c r="CX97" s="14"/>
      <x:c r="CY97" s="14"/>
      <x:c r="CZ97" s="14"/>
      <x:c r="DA97" s="14"/>
      <x:c r="DB97" s="14"/>
      <x:c r="DC97" s="14"/>
      <x:c r="DD97" s="14"/>
      <x:c r="DE97" s="14"/>
      <x:c r="DF97" s="14"/>
      <x:c r="DG97" s="14"/>
      <x:c r="DH97" s="14"/>
      <x:c r="DI97" s="14"/>
      <x:c r="DJ97" s="14"/>
      <x:c r="DK97" s="14"/>
      <x:c r="DL97" s="14"/>
      <x:c r="DM97" s="14"/>
      <x:c r="DN97" s="14"/>
      <x:c r="DO97" s="14"/>
      <x:c r="DP97" s="14"/>
      <x:c r="DQ97" s="14"/>
      <x:c r="DR97" s="14"/>
      <x:c r="DS97" s="14"/>
      <x:c r="DT97" s="14"/>
      <x:c r="DU97" s="14"/>
      <x:c r="DV97" s="14"/>
      <x:c r="DW97" s="14"/>
      <x:c r="DX97" s="14"/>
      <x:c r="DY97" s="14"/>
      <x:c r="DZ97" s="14"/>
      <x:c r="EA97" s="14"/>
      <x:c r="EB97" s="14"/>
      <x:c r="EC97" s="14"/>
      <x:c r="ED97" s="14"/>
      <x:c r="EE97" s="14"/>
      <x:c r="EF97" s="14"/>
      <x:c r="EG97" s="14"/>
      <x:c r="EH97" s="14"/>
      <x:c r="EI97" s="14"/>
      <x:c r="EJ97" s="14"/>
      <x:c r="EK97" s="14"/>
      <x:c r="EL97" s="14"/>
      <x:c r="EM97" s="14"/>
      <x:c r="EN97" s="14"/>
      <x:c r="EO97" s="14"/>
      <x:c r="EP97" s="14"/>
      <x:c r="EQ97" s="14"/>
      <x:c r="ER97" s="14"/>
      <x:c r="ES97" s="14"/>
      <x:c r="ET97" s="14"/>
      <x:c r="EU97" s="14"/>
      <x:c r="EV97" s="14"/>
      <x:c r="EW97" s="14"/>
      <x:c r="EX97" s="14"/>
      <x:c r="EY97" s="14"/>
      <x:c r="EZ97" s="14"/>
      <x:c r="FA97" s="14"/>
      <x:c r="FB97" s="14"/>
      <x:c r="FC97" s="14"/>
      <x:c r="FD97" s="14"/>
      <x:c r="FE97" s="14"/>
      <x:c r="FF97" s="14"/>
      <x:c r="FG97" s="14"/>
      <x:c r="FH97" s="14"/>
      <x:c r="FI97" s="14"/>
      <x:c r="FJ97" s="14"/>
      <x:c r="FK97" s="14"/>
      <x:c r="FL97" s="14"/>
      <x:c r="FM97" s="14"/>
      <x:c r="FN97" s="14"/>
      <x:c r="FO97" s="14"/>
      <x:c r="FP97" s="14"/>
      <x:c r="FQ97" s="14"/>
      <x:c r="FR97" s="14"/>
      <x:c r="FS97" s="14"/>
      <x:c r="FT97" s="14"/>
      <x:c r="FU97" s="14"/>
      <x:c r="FV97" s="14"/>
      <x:c r="FW97" s="14"/>
      <x:c r="FX97" s="14"/>
      <x:c r="FY97" s="14"/>
      <x:c r="FZ97" s="14"/>
      <x:c r="GA97" s="14"/>
      <x:c r="GB97" s="14"/>
      <x:c r="GC97" s="14"/>
      <x:c r="GD97" s="14"/>
      <x:c r="GE97" s="14"/>
      <x:c r="GF97" s="14"/>
      <x:c r="GG97" s="14"/>
      <x:c r="GH97" s="14"/>
      <x:c r="GI97" s="14"/>
      <x:c r="GJ97" s="14"/>
      <x:c r="GK97" s="14"/>
      <x:c r="GL97" s="14"/>
      <x:c r="GM97" s="14"/>
      <x:c r="GN97" s="14"/>
      <x:c r="GO97" s="14"/>
      <x:c r="GP97" s="14"/>
      <x:c r="GQ97" s="14"/>
      <x:c r="GR97" s="14"/>
      <x:c r="GS97" s="14"/>
      <x:c r="GT97" s="14"/>
      <x:c r="GU97" s="14"/>
      <x:c r="GV97" s="14"/>
      <x:c r="GW97" s="14"/>
      <x:c r="GX97" s="14"/>
      <x:c r="GY97" s="14"/>
      <x:c r="GZ97" s="14"/>
      <x:c r="HA97" s="14"/>
      <x:c r="HB97" s="14"/>
      <x:c r="HC97" s="14"/>
      <x:c r="HD97" s="14"/>
      <x:c r="HE97" s="14"/>
      <x:c r="HF97" s="14"/>
      <x:c r="HG97" s="14"/>
      <x:c r="HH97" s="14"/>
      <x:c r="HI97" s="14"/>
      <x:c r="HJ97" s="14"/>
      <x:c r="HK97" s="14"/>
      <x:c r="HL97" s="14"/>
      <x:c r="HM97" s="14"/>
      <x:c r="HN97" s="14"/>
      <x:c r="HO97" s="14"/>
      <x:c r="HP97" s="14"/>
      <x:c r="HQ97" s="14"/>
      <x:c r="HR97" s="14"/>
      <x:c r="HS97" s="14"/>
      <x:c r="HT97" s="14"/>
      <x:c r="HU97" s="14"/>
      <x:c r="HV97" s="14"/>
      <x:c r="HW97" s="14"/>
      <x:c r="HX97" s="14"/>
      <x:c r="HY97" s="14"/>
      <x:c r="HZ97" s="14"/>
      <x:c r="IA97" s="14"/>
      <x:c r="IB97" s="14"/>
      <x:c r="IC97" s="14"/>
      <x:c r="ID97" s="14"/>
      <x:c r="IE97" s="14"/>
      <x:c r="IF97" s="14"/>
      <x:c r="IG97" s="14"/>
      <x:c r="IH97" s="14"/>
      <x:c r="II97" s="14"/>
      <x:c r="IJ97" s="14"/>
      <x:c r="IK97" s="14"/>
      <x:c r="IL97" s="14"/>
      <x:c r="IM97" s="14"/>
      <x:c r="IN97" s="14"/>
      <x:c r="IO97" s="14"/>
      <x:c r="IP97" s="14"/>
      <x:c r="IQ97" s="14"/>
      <x:c r="IR97" s="14"/>
      <x:c r="IS97" s="14"/>
      <x:c r="IT97" s="14"/>
      <x:c r="IU97" s="14"/>
      <x:c r="IV97" s="14"/>
      <x:c r="IW97" s="14"/>
      <x:c r="IX97" s="14"/>
      <x:c r="IY97" s="14"/>
      <x:c r="IZ97" s="14"/>
      <x:c r="JA97" s="14"/>
      <x:c r="JB97" s="14"/>
      <x:c r="JC97" s="14"/>
      <x:c r="JD97" s="14"/>
      <x:c r="JE97" s="14"/>
      <x:c r="JF97" s="14"/>
      <x:c r="JG97" s="14"/>
      <x:c r="JH97" s="14"/>
      <x:c r="JI97" s="14"/>
      <x:c r="JJ97" s="14"/>
      <x:c r="JK97" s="14"/>
      <x:c r="JL97" s="14"/>
      <x:c r="JM97" s="14"/>
      <x:c r="JN97" s="14"/>
      <x:c r="JO97" s="14"/>
      <x:c r="JP97" s="14"/>
      <x:c r="JQ97" s="14"/>
      <x:c r="JR97" s="14"/>
      <x:c r="JS97" s="14"/>
      <x:c r="JT97" s="14"/>
      <x:c r="JU97" s="14"/>
      <x:c r="JV97" s="14"/>
      <x:c r="JW97" s="14"/>
      <x:c r="JX97" s="14"/>
      <x:c r="JY97" s="14"/>
      <x:c r="JZ97" s="14"/>
      <x:c r="KA97" s="14"/>
      <x:c r="KB97" s="14"/>
      <x:c r="KC97" s="14"/>
      <x:c r="KD97" s="14"/>
      <x:c r="KE97" s="14"/>
      <x:c r="KF97" s="14"/>
      <x:c r="KG97" s="14"/>
      <x:c r="KH97" s="14"/>
      <x:c r="KI97" s="14"/>
      <x:c r="KJ97" s="14"/>
      <x:c r="KK97" s="14"/>
      <x:c r="KL97" s="14"/>
      <x:c r="KM97" s="14"/>
      <x:c r="KN97" s="14"/>
      <x:c r="KO97" s="14"/>
      <x:c r="KP97" s="14"/>
      <x:c r="KQ97" s="14"/>
      <x:c r="KR97" s="14"/>
      <x:c r="KS97" s="14"/>
      <x:c r="KT97" s="14"/>
      <x:c r="KU97" s="14"/>
      <x:c r="KV97" s="14"/>
      <x:c r="KW97" s="14"/>
      <x:c r="KX97" s="14"/>
      <x:c r="KY97" s="14"/>
      <x:c r="KZ97" s="14"/>
      <x:c r="LA97" s="14"/>
      <x:c r="LB97" s="14"/>
      <x:c r="LC97" s="14"/>
      <x:c r="LD97" s="14"/>
      <x:c r="LE97" s="14"/>
      <x:c r="LF97" s="14"/>
      <x:c r="LG97" s="14"/>
      <x:c r="LH97" s="14"/>
      <x:c r="LI97" s="14"/>
      <x:c r="LJ97" s="14"/>
      <x:c r="LK97" s="14"/>
      <x:c r="LL97" s="14"/>
      <x:c r="LM97" s="14"/>
      <x:c r="LN97" s="14"/>
      <x:c r="LO97" s="14"/>
      <x:c r="LP97" s="14"/>
      <x:c r="LQ97" s="14"/>
      <x:c r="LR97" s="14"/>
      <x:c r="LS97" s="14"/>
      <x:c r="LT97" s="14"/>
      <x:c r="LU97" s="14"/>
      <x:c r="LV97" s="14"/>
      <x:c r="LW97" s="14"/>
      <x:c r="LX97" s="14"/>
      <x:c r="LY97" s="14"/>
      <x:c r="LZ97" s="14"/>
      <x:c r="MA97" s="14"/>
      <x:c r="MB97" s="14"/>
      <x:c r="MC97" s="14"/>
      <x:c r="MD97" s="14"/>
      <x:c r="ME97" s="14"/>
      <x:c r="MF97" s="14"/>
      <x:c r="MG97" s="14"/>
      <x:c r="MH97" s="14"/>
      <x:c r="MI97" s="14"/>
      <x:c r="MJ97" s="14"/>
      <x:c r="MK97" s="14"/>
      <x:c r="ML97" s="14"/>
      <x:c r="MM97" s="14"/>
      <x:c r="MN97" s="14"/>
      <x:c r="MO97" s="14"/>
      <x:c r="MP97" s="14"/>
      <x:c r="MQ97" s="14"/>
      <x:c r="MR97" s="14"/>
      <x:c r="MS97" s="14"/>
      <x:c r="MT97" s="14"/>
      <x:c r="MU97" s="14"/>
      <x:c r="MV97" s="14"/>
      <x:c r="MW97" s="14" t="str">
        <x:v>28847</x:v>
      </x:c>
      <x:c r="MX97" s="14" t="n">
        <x:v>5</x:v>
      </x:c>
      <x:c r="MY97" s="14" t="n">
        <x:v>1953</x:v>
      </x:c>
      <x:c r="MZ97" s="14" t="n">
        <x:v>305</x:v>
      </x:c>
      <x:c r="NA97" s="14" t="n">
        <x:v>5</x:v>
      </x:c>
      <x:c r="NB97" s="14" t="n">
        <x:v>1</x:v>
      </x:c>
      <x:c r="NC97" s="14" t="str">
        <x:v>未收錄</x:v>
      </x:c>
      <x:c r="ND97" s="14" t="str">
        <x:v>28850</x:v>
      </x:c>
      <x:c r="NE97" s="14" t="n">
        <x:v>5</x:v>
      </x:c>
      <x:c r="NF97" s="14" t="n">
        <x:v>1954</x:v>
      </x:c>
      <x:c r="NG97" s="14" t="n">
        <x:v>306</x:v>
      </x:c>
      <x:c r="NH97" s="14" t="n">
        <x:v>5</x:v>
      </x:c>
      <x:c r="NI97" s="14" t="n">
        <x:v>2</x:v>
      </x:c>
      <x:c r="NJ97" s="14" t="str">
        <x:v>未收錄</x:v>
      </x:c>
      <x:c r="NK97" s="14" t="str">
        <x:v>28853</x:v>
      </x:c>
      <x:c r="NL97" s="14" t="n">
        <x:v>5</x:v>
      </x:c>
      <x:c r="NM97" s="14" t="n">
        <x:v>1955</x:v>
      </x:c>
      <x:c r="NN97" s="14" t="n">
        <x:v>307</x:v>
      </x:c>
      <x:c r="NO97" s="14" t="n">
        <x:v>5</x:v>
      </x:c>
      <x:c r="NP97" s="14" t="n">
        <x:v>3</x:v>
      </x:c>
      <x:c r="NQ97" s="14" t="str">
        <x:v>未收錄</x:v>
      </x:c>
      <x:c r="NR97" s="14" t="str">
        <x:v>28951</x:v>
      </x:c>
      <x:c r="NS97" s="14" t="n">
        <x:v>10</x:v>
      </x:c>
      <x:c r="NT97" s="14" t="n">
        <x:v>1956</x:v>
      </x:c>
      <x:c r="NU97" s="14" t="n">
        <x:v>308</x:v>
      </x:c>
      <x:c r="NV97" s="14" t="n">
        <x:v>5</x:v>
      </x:c>
      <x:c r="NW97" s="14" t="n">
        <x:v>4</x:v>
      </x:c>
      <x:c r="NX97" s="14" t="str">
        <x:v>未收錄</x:v>
      </x:c>
      <x:c r="NY97" s="14" t="str">
        <x:v>27673</x:v>
      </x:c>
      <x:c r="NZ97" s="14" t="n">
        <x:v>5</x:v>
      </x:c>
      <x:c r="OA97" s="14" t="n">
        <x:v>2406</x:v>
      </x:c>
      <x:c r="OB97" s="14" t="n">
        <x:v>305</x:v>
      </x:c>
      <x:c r="OC97" s="14" t="n">
        <x:v>5</x:v>
      </x:c>
      <x:c r="OD97" s="14" t="n">
        <x:v>1</x:v>
      </x:c>
      <x:c r="OE97" s="14" t="str">
        <x:v>未收錄</x:v>
      </x:c>
      <x:c r="OF97" s="14" t="str">
        <x:v>27674</x:v>
      </x:c>
      <x:c r="OG97" s="14" t="n">
        <x:v>5</x:v>
      </x:c>
      <x:c r="OH97" s="14" t="n">
        <x:v>2407</x:v>
      </x:c>
      <x:c r="OI97" s="14" t="n">
        <x:v>306</x:v>
      </x:c>
      <x:c r="OJ97" s="14" t="n">
        <x:v>5</x:v>
      </x:c>
      <x:c r="OK97" s="14" t="n">
        <x:v>2</x:v>
      </x:c>
      <x:c r="OL97" s="14" t="str">
        <x:v>未收錄</x:v>
      </x:c>
      <x:c r="OM97" s="14" t="str">
        <x:v>27742</x:v>
      </x:c>
      <x:c r="ON97" s="14" t="n">
        <x:v>10</x:v>
      </x:c>
      <x:c r="OO97" s="14" t="n">
        <x:v>2408</x:v>
      </x:c>
      <x:c r="OP97" s="14" t="n">
        <x:v>307</x:v>
      </x:c>
      <x:c r="OQ97" s="14" t="n">
        <x:v>5</x:v>
      </x:c>
      <x:c r="OR97" s="14" t="n">
        <x:v>3</x:v>
      </x:c>
      <x:c r="OS97" s="14" t="str">
        <x:v>未收錄</x:v>
      </x:c>
      <x:c r="OT97" s="14" t="str">
        <x:v>27754</x:v>
      </x:c>
      <x:c r="OU97" s="14" t="n">
        <x:v>10</x:v>
      </x:c>
      <x:c r="OV97" s="14" t="n">
        <x:v>2409</x:v>
      </x:c>
      <x:c r="OW97" s="14" t="n">
        <x:v>308</x:v>
      </x:c>
      <x:c r="OX97" s="14" t="n">
        <x:v>5</x:v>
      </x:c>
      <x:c r="OY97" s="14" t="n">
        <x:v>4</x:v>
      </x:c>
      <x:c r="OZ97" s="14" t="str">
        <x:v>未收錄</x:v>
      </x:c>
      <x:c r="PA97" s="14" t="str">
        <x:v>28882</x:v>
      </x:c>
      <x:c r="PB97" s="14" t="n">
        <x:v>5</x:v>
      </x:c>
      <x:c r="PC97" s="14" t="n">
        <x:v>2952</x:v>
      </x:c>
      <x:c r="PD97" s="14" t="n">
        <x:v>305</x:v>
      </x:c>
      <x:c r="PE97" s="14" t="n">
        <x:v>5</x:v>
      </x:c>
      <x:c r="PF97" s="14" t="n">
        <x:v>1</x:v>
      </x:c>
      <x:c r="PG97" s="14" t="str">
        <x:v>未收錄</x:v>
      </x:c>
      <x:c r="PH97" s="14" t="str">
        <x:v>28885</x:v>
      </x:c>
      <x:c r="PI97" s="14" t="n">
        <x:v>5</x:v>
      </x:c>
      <x:c r="PJ97" s="14" t="n">
        <x:v>2953</x:v>
      </x:c>
      <x:c r="PK97" s="14" t="n">
        <x:v>306</x:v>
      </x:c>
      <x:c r="PL97" s="14" t="n">
        <x:v>5</x:v>
      </x:c>
      <x:c r="PM97" s="14" t="n">
        <x:v>2</x:v>
      </x:c>
      <x:c r="PN97" s="14" t="str">
        <x:v>未收錄</x:v>
      </x:c>
      <x:c r="PO97" s="14" t="str">
        <x:v>28959</x:v>
      </x:c>
      <x:c r="PP97" s="14" t="n">
        <x:v>10</x:v>
      </x:c>
      <x:c r="PQ97" s="14" t="n">
        <x:v>2954</x:v>
      </x:c>
      <x:c r="PR97" s="14" t="n">
        <x:v>307</x:v>
      </x:c>
      <x:c r="PS97" s="14" t="n">
        <x:v>5</x:v>
      </x:c>
      <x:c r="PT97" s="14" t="n">
        <x:v>3</x:v>
      </x:c>
      <x:c r="PU97" s="14" t="str">
        <x:v>未收錄</x:v>
      </x:c>
      <x:c r="PV97" s="14" t="str">
        <x:v>28971</x:v>
      </x:c>
      <x:c r="PW97" s="14" t="n">
        <x:v>10</x:v>
      </x:c>
      <x:c r="PX97" s="14" t="n">
        <x:v>2955</x:v>
      </x:c>
      <x:c r="PY97" s="14" t="n">
        <x:v>308</x:v>
      </x:c>
      <x:c r="PZ97" s="14" t="n">
        <x:v>5</x:v>
      </x:c>
      <x:c r="QA97" s="14" t="n">
        <x:v>4</x:v>
      </x:c>
      <x:c r="QB97" s="14" t="str">
        <x:v>未收錄</x:v>
      </x:c>
      <x:c r="QC97" s="14" t="str">
        <x:v>28892</x:v>
      </x:c>
      <x:c r="QD97" s="14" t="n">
        <x:v>5</x:v>
      </x:c>
      <x:c r="QE97" s="14" t="n">
        <x:v>3389</x:v>
      </x:c>
      <x:c r="QF97" s="14" t="n">
        <x:v>305</x:v>
      </x:c>
      <x:c r="QG97" s="14" t="n">
        <x:v>5</x:v>
      </x:c>
      <x:c r="QH97" s="14" t="n">
        <x:v>1</x:v>
      </x:c>
      <x:c r="QI97" s="14" t="str">
        <x:v>未收錄</x:v>
      </x:c>
      <x:c r="QJ97" s="14" t="str">
        <x:v>28895</x:v>
      </x:c>
      <x:c r="QK97" s="14" t="n">
        <x:v>5</x:v>
      </x:c>
      <x:c r="QL97" s="14" t="n">
        <x:v>3390</x:v>
      </x:c>
      <x:c r="QM97" s="14" t="n">
        <x:v>306</x:v>
      </x:c>
      <x:c r="QN97" s="14" t="n">
        <x:v>5</x:v>
      </x:c>
      <x:c r="QO97" s="14" t="n">
        <x:v>2</x:v>
      </x:c>
      <x:c r="QP97" s="14" t="str">
        <x:v>未收錄</x:v>
      </x:c>
      <x:c r="QQ97" s="14" t="str">
        <x:v>28898</x:v>
      </x:c>
      <x:c r="QR97" s="14" t="n">
        <x:v>5</x:v>
      </x:c>
      <x:c r="QS97" s="14" t="n">
        <x:v>3391</x:v>
      </x:c>
      <x:c r="QT97" s="14" t="n">
        <x:v>307</x:v>
      </x:c>
      <x:c r="QU97" s="14" t="n">
        <x:v>5</x:v>
      </x:c>
      <x:c r="QV97" s="14" t="n">
        <x:v>3</x:v>
      </x:c>
      <x:c r="QW97" s="14" t="str">
        <x:v>未收錄</x:v>
      </x:c>
      <x:c r="QX97" s="14" t="str">
        <x:v>28960</x:v>
      </x:c>
      <x:c r="QY97" s="14" t="n">
        <x:v>10</x:v>
      </x:c>
      <x:c r="QZ97" s="14" t="n">
        <x:v>3392</x:v>
      </x:c>
      <x:c r="RA97" s="14" t="n">
        <x:v>308</x:v>
      </x:c>
      <x:c r="RB97" s="14" t="n">
        <x:v>5</x:v>
      </x:c>
      <x:c r="RC97" s="14" t="n">
        <x:v>4</x:v>
      </x:c>
      <x:c r="RD97" s="14" t="str">
        <x:v>未收錄</x:v>
      </x:c>
      <x:c r="RE97" s="14" t="str">
        <x:v>29533</x:v>
      </x:c>
      <x:c r="RF97" s="14" t="n">
        <x:v>5</x:v>
      </x:c>
      <x:c r="RG97" s="14" t="n">
        <x:v>3850</x:v>
      </x:c>
      <x:c r="RH97" s="14" t="n">
        <x:v>305</x:v>
      </x:c>
      <x:c r="RI97" s="14" t="n">
        <x:v>5</x:v>
      </x:c>
      <x:c r="RJ97" s="14" t="n">
        <x:v>1</x:v>
      </x:c>
      <x:c r="RK97" s="14" t="str">
        <x:v>未收錄</x:v>
      </x:c>
      <x:c r="RL97" s="14" t="str">
        <x:v>29534</x:v>
      </x:c>
      <x:c r="RM97" s="14" t="n">
        <x:v>5</x:v>
      </x:c>
      <x:c r="RN97" s="14" t="n">
        <x:v>3851</x:v>
      </x:c>
      <x:c r="RO97" s="14" t="n">
        <x:v>306</x:v>
      </x:c>
      <x:c r="RP97" s="14" t="n">
        <x:v>5</x:v>
      </x:c>
      <x:c r="RQ97" s="14" t="n">
        <x:v>2</x:v>
      </x:c>
      <x:c r="RR97" s="14" t="str">
        <x:v>未收錄</x:v>
      </x:c>
      <x:c r="RS97" s="14" t="str">
        <x:v>29535</x:v>
      </x:c>
      <x:c r="RT97" s="14" t="n">
        <x:v>5</x:v>
      </x:c>
      <x:c r="RU97" s="14" t="n">
        <x:v>3852</x:v>
      </x:c>
      <x:c r="RV97" s="14" t="n">
        <x:v>307</x:v>
      </x:c>
      <x:c r="RW97" s="14" t="n">
        <x:v>5</x:v>
      </x:c>
      <x:c r="RX97" s="14" t="n">
        <x:v>3</x:v>
      </x:c>
      <x:c r="RY97" s="14" t="str">
        <x:v>未收錄</x:v>
      </x:c>
      <x:c r="RZ97" s="14" t="str">
        <x:v>29536</x:v>
      </x:c>
      <x:c r="SA97" s="14" t="n">
        <x:v>5</x:v>
      </x:c>
      <x:c r="SB97" s="14" t="n">
        <x:v>3853</x:v>
      </x:c>
      <x:c r="SC97" s="14" t="n">
        <x:v>308</x:v>
      </x:c>
      <x:c r="SD97" s="14" t="n">
        <x:v>5</x:v>
      </x:c>
      <x:c r="SE97" s="14" t="n">
        <x:v>4</x:v>
      </x:c>
      <x:c r="SF97" s="14" t="str">
        <x:v>未收錄</x:v>
      </x:c>
      <x:c r="SG97" s="14"/>
      <x:c r="SH97" s="14"/>
      <x:c r="SI97" s="14"/>
      <x:c r="SJ97" s="14"/>
      <x:c r="SK97" s="14"/>
      <x:c r="SL97" s="14"/>
      <x:c r="SM97" s="14"/>
      <x:c r="SN97" s="14"/>
      <x:c r="SO97" s="14"/>
      <x:c r="SP97" s="14"/>
      <x:c r="SQ97" s="14"/>
      <x:c r="SR97" s="14"/>
      <x:c r="SS97" s="14"/>
      <x:c r="ST97" s="14"/>
      <x:c r="SU97" s="14"/>
      <x:c r="SV97" s="14"/>
      <x:c r="SW97" s="14"/>
      <x:c r="SX97" s="14"/>
      <x:c r="SY97" s="14"/>
      <x:c r="SZ97" s="14"/>
      <x:c r="TA97" s="14"/>
      <x:c r="TB97" s="14"/>
      <x:c r="TC97" s="14"/>
      <x:c r="TD97" s="14"/>
      <x:c r="TE97" s="14"/>
      <x:c r="TF97" s="14"/>
      <x:c r="TG97" s="14"/>
      <x:c r="TH97" s="14"/>
    </x:row>
    <x:row r="98" ht="15" customHeight="1">
      <x:c r="A98" s="14"/>
      <x:c r="B98" s="14"/>
      <x:c r="C98" s="14"/>
      <x:c r="D98" s="14"/>
      <x:c r="E98" s="14"/>
      <x:c r="F98" s="14"/>
      <x:c r="G98" s="14"/>
      <x:c r="H98" s="14"/>
      <x:c r="I98" s="14"/>
      <x:c r="J98" s="14"/>
      <x:c r="K98" s="14"/>
      <x:c r="L98" s="14"/>
      <x:c r="M98" s="14"/>
      <x:c r="N98" s="14"/>
      <x:c r="O98" s="14"/>
      <x:c r="P98" s="14"/>
      <x:c r="Q98" s="14"/>
      <x:c r="R98" s="14"/>
      <x:c r="S98" s="14"/>
      <x:c r="T98" s="14"/>
      <x:c r="U98" s="14"/>
      <x:c r="V98" s="14"/>
      <x:c r="W98" s="14"/>
      <x:c r="X98" s="14"/>
      <x:c r="Y98" s="14"/>
      <x:c r="Z98" s="14"/>
      <x:c r="AA98" s="14"/>
      <x:c r="AB98" s="14"/>
      <x:c r="AC98" s="14"/>
      <x:c r="AD98" s="14"/>
      <x:c r="AE98" s="14"/>
      <x:c r="AF98" s="14"/>
      <x:c r="AG98" s="14"/>
      <x:c r="AH98" s="14"/>
      <x:c r="AI98" s="14"/>
      <x:c r="AJ98" s="14"/>
      <x:c r="AK98" s="14"/>
      <x:c r="AL98" s="14"/>
      <x:c r="AM98" s="14"/>
      <x:c r="AN98" s="14"/>
      <x:c r="AO98" s="14"/>
      <x:c r="AP98" s="14"/>
      <x:c r="AQ98" s="14"/>
      <x:c r="AR98" s="14"/>
      <x:c r="AS98" s="14"/>
      <x:c r="AT98" s="14"/>
      <x:c r="AU98" s="14"/>
      <x:c r="AV98" s="14"/>
      <x:c r="AW98" s="14"/>
      <x:c r="AX98" s="14"/>
      <x:c r="AY98" s="18" t="str">
        <x:v>柳月巾☆</x:v>
      </x:c>
      <x:c r="AZ98" s="18" t="str">
        <x:v>烈煌兜☆☆</x:v>
      </x:c>
      <x:c r="BA98" s="18" t="str">
        <x:v>戰煌盔☆☆</x:v>
      </x:c>
      <x:c r="BB98" s="18" t="str">
        <x:v>燦煌帽☆☆</x:v>
      </x:c>
      <x:c r="BC98" s="14"/>
      <x:c r="BD98" s="18" t="str">
        <x:v>元宙‧隱遁甲</x:v>
      </x:c>
      <x:c r="BE98" s="18" t="str">
        <x:v>元宙‧無相裟</x:v>
      </x:c>
      <x:c r="BF98" s="18" t="str">
        <x:v>真宇傲劍聖冑</x:v>
      </x:c>
      <x:c r="BG98" s="18" t="str">
        <x:v>真宇傲武尊鎧</x:v>
      </x:c>
      <x:c r="BH98" s="14"/>
      <x:c r="BI98" s="18" t="str">
        <x:v>劍帝握☆</x:v>
      </x:c>
      <x:c r="BJ98" s="18" t="str">
        <x:v>武帝掌☆</x:v>
      </x:c>
      <x:c r="BK98" s="18" t="str">
        <x:v>幻帝手☆</x:v>
      </x:c>
      <x:c r="BL98" s="18" t="str">
        <x:v>道帝袖☆</x:v>
      </x:c>
      <x:c r="BM98" s="14"/>
      <x:c r="BN98" s="18" t="str">
        <x:v>柳韋足☆</x:v>
      </x:c>
      <x:c r="BO98" s="18" t="str">
        <x:v>碧星靴☆</x:v>
      </x:c>
      <x:c r="BP98" s="18" t="str">
        <x:v>烈煌靴☆☆</x:v>
      </x:c>
      <x:c r="BQ98" s="18" t="str">
        <x:v>戰煌脛☆☆</x:v>
      </x:c>
      <x:c r="BR98" s="14"/>
      <x:c r="BS98" s="18" t="str">
        <x:v>慧帝戒★☆</x:v>
      </x:c>
      <x:c r="BT98" s="18" t="str">
        <x:v>慧帝戒★★</x:v>
      </x:c>
      <x:c r="BU98" s="18" t="str">
        <x:v>慧帝戒★★☆</x:v>
      </x:c>
      <x:c r="BV98" s="18" t="str">
        <x:v>慧帝戒★★★</x:v>
      </x:c>
      <x:c r="BW98" s="14"/>
      <x:c r="BX98" s="14"/>
      <x:c r="BY98" s="14"/>
      <x:c r="BZ98" s="14"/>
      <x:c r="CA98" s="14"/>
      <x:c r="CB98" s="14"/>
      <x:c r="CC98" s="14"/>
      <x:c r="CD98" s="14"/>
      <x:c r="CE98" s="14"/>
      <x:c r="CF98" s="14"/>
      <x:c r="CG98" s="14"/>
      <x:c r="CH98" s="14"/>
      <x:c r="CI98" s="14"/>
      <x:c r="CJ98" s="14"/>
      <x:c r="CK98" s="14"/>
      <x:c r="CL98" s="14"/>
      <x:c r="CM98" s="14"/>
      <x:c r="CN98" s="14"/>
      <x:c r="CO98" s="14"/>
      <x:c r="CP98" s="14"/>
      <x:c r="CQ98" s="14"/>
      <x:c r="CR98" s="14"/>
      <x:c r="CS98" s="14"/>
      <x:c r="CT98" s="14"/>
      <x:c r="CU98" s="14"/>
      <x:c r="CV98" s="14"/>
      <x:c r="CW98" s="14"/>
      <x:c r="CX98" s="14"/>
      <x:c r="CY98" s="14"/>
      <x:c r="CZ98" s="14"/>
      <x:c r="DA98" s="14"/>
      <x:c r="DB98" s="14"/>
      <x:c r="DC98" s="14"/>
      <x:c r="DD98" s="14"/>
      <x:c r="DE98" s="14"/>
      <x:c r="DF98" s="14"/>
      <x:c r="DG98" s="14"/>
      <x:c r="DH98" s="14"/>
      <x:c r="DI98" s="14"/>
      <x:c r="DJ98" s="14"/>
      <x:c r="DK98" s="14"/>
      <x:c r="DL98" s="14"/>
      <x:c r="DM98" s="14"/>
      <x:c r="DN98" s="14"/>
      <x:c r="DO98" s="14"/>
      <x:c r="DP98" s="14"/>
      <x:c r="DQ98" s="14"/>
      <x:c r="DR98" s="14"/>
      <x:c r="DS98" s="14"/>
      <x:c r="DT98" s="14"/>
      <x:c r="DU98" s="14"/>
      <x:c r="DV98" s="14"/>
      <x:c r="DW98" s="14"/>
      <x:c r="DX98" s="14"/>
      <x:c r="DY98" s="14"/>
      <x:c r="DZ98" s="14"/>
      <x:c r="EA98" s="14"/>
      <x:c r="EB98" s="14"/>
      <x:c r="EC98" s="14"/>
      <x:c r="ED98" s="14"/>
      <x:c r="EE98" s="14"/>
      <x:c r="EF98" s="14"/>
      <x:c r="EG98" s="14"/>
      <x:c r="EH98" s="14"/>
      <x:c r="EI98" s="14"/>
      <x:c r="EJ98" s="14"/>
      <x:c r="EK98" s="14"/>
      <x:c r="EL98" s="14"/>
      <x:c r="EM98" s="14"/>
      <x:c r="EN98" s="14"/>
      <x:c r="EO98" s="14"/>
      <x:c r="EP98" s="14"/>
      <x:c r="EQ98" s="14"/>
      <x:c r="ER98" s="14"/>
      <x:c r="ES98" s="14"/>
      <x:c r="ET98" s="14"/>
      <x:c r="EU98" s="14"/>
      <x:c r="EV98" s="14"/>
      <x:c r="EW98" s="14"/>
      <x:c r="EX98" s="14"/>
      <x:c r="EY98" s="14"/>
      <x:c r="EZ98" s="14"/>
      <x:c r="FA98" s="14"/>
      <x:c r="FB98" s="14"/>
      <x:c r="FC98" s="14"/>
      <x:c r="FD98" s="14"/>
      <x:c r="FE98" s="14"/>
      <x:c r="FF98" s="14"/>
      <x:c r="FG98" s="14"/>
      <x:c r="FH98" s="14"/>
      <x:c r="FI98" s="14"/>
      <x:c r="FJ98" s="14"/>
      <x:c r="FK98" s="14"/>
      <x:c r="FL98" s="14"/>
      <x:c r="FM98" s="14"/>
      <x:c r="FN98" s="14"/>
      <x:c r="FO98" s="14"/>
      <x:c r="FP98" s="14"/>
      <x:c r="FQ98" s="14"/>
      <x:c r="FR98" s="14"/>
      <x:c r="FS98" s="14"/>
      <x:c r="FT98" s="14"/>
      <x:c r="FU98" s="14"/>
      <x:c r="FV98" s="14"/>
      <x:c r="FW98" s="14"/>
      <x:c r="FX98" s="14"/>
      <x:c r="FY98" s="14"/>
      <x:c r="FZ98" s="14"/>
      <x:c r="GA98" s="14"/>
      <x:c r="GB98" s="14"/>
      <x:c r="GC98" s="14"/>
      <x:c r="GD98" s="14"/>
      <x:c r="GE98" s="14"/>
      <x:c r="GF98" s="14"/>
      <x:c r="GG98" s="14"/>
      <x:c r="GH98" s="14"/>
      <x:c r="GI98" s="14"/>
      <x:c r="GJ98" s="14"/>
      <x:c r="GK98" s="14"/>
      <x:c r="GL98" s="14"/>
      <x:c r="GM98" s="14"/>
      <x:c r="GN98" s="14"/>
      <x:c r="GO98" s="14"/>
      <x:c r="GP98" s="14"/>
      <x:c r="GQ98" s="14"/>
      <x:c r="GR98" s="14"/>
      <x:c r="GS98" s="14"/>
      <x:c r="GT98" s="14"/>
      <x:c r="GU98" s="14"/>
      <x:c r="GV98" s="14"/>
      <x:c r="GW98" s="14"/>
      <x:c r="GX98" s="14"/>
      <x:c r="GY98" s="14"/>
      <x:c r="GZ98" s="14"/>
      <x:c r="HA98" s="14"/>
      <x:c r="HB98" s="14"/>
      <x:c r="HC98" s="14"/>
      <x:c r="HD98" s="14"/>
      <x:c r="HE98" s="14"/>
      <x:c r="HF98" s="14"/>
      <x:c r="HG98" s="14"/>
      <x:c r="HH98" s="14"/>
      <x:c r="HI98" s="14"/>
      <x:c r="HJ98" s="14"/>
      <x:c r="HK98" s="14"/>
      <x:c r="HL98" s="14"/>
      <x:c r="HM98" s="14"/>
      <x:c r="HN98" s="14"/>
      <x:c r="HO98" s="14"/>
      <x:c r="HP98" s="14"/>
      <x:c r="HQ98" s="14"/>
      <x:c r="HR98" s="14"/>
      <x:c r="HS98" s="14"/>
      <x:c r="HT98" s="14"/>
      <x:c r="HU98" s="14"/>
      <x:c r="HV98" s="14"/>
      <x:c r="HW98" s="14"/>
      <x:c r="HX98" s="14"/>
      <x:c r="HY98" s="14"/>
      <x:c r="HZ98" s="14"/>
      <x:c r="IA98" s="14"/>
      <x:c r="IB98" s="14"/>
      <x:c r="IC98" s="14"/>
      <x:c r="ID98" s="14"/>
      <x:c r="IE98" s="14"/>
      <x:c r="IF98" s="14"/>
      <x:c r="IG98" s="14"/>
      <x:c r="IH98" s="14"/>
      <x:c r="II98" s="14"/>
      <x:c r="IJ98" s="14"/>
      <x:c r="IK98" s="14"/>
      <x:c r="IL98" s="14"/>
      <x:c r="IM98" s="14"/>
      <x:c r="IN98" s="14"/>
      <x:c r="IO98" s="14"/>
      <x:c r="IP98" s="14"/>
      <x:c r="IQ98" s="14"/>
      <x:c r="IR98" s="14"/>
      <x:c r="IS98" s="14"/>
      <x:c r="IT98" s="14"/>
      <x:c r="IU98" s="14"/>
      <x:c r="IV98" s="14"/>
      <x:c r="IW98" s="14"/>
      <x:c r="IX98" s="14"/>
      <x:c r="IY98" s="14"/>
      <x:c r="IZ98" s="14"/>
      <x:c r="JA98" s="14"/>
      <x:c r="JB98" s="14"/>
      <x:c r="JC98" s="14"/>
      <x:c r="JD98" s="14"/>
      <x:c r="JE98" s="14"/>
      <x:c r="JF98" s="14"/>
      <x:c r="JG98" s="14"/>
      <x:c r="JH98" s="14"/>
      <x:c r="JI98" s="14"/>
      <x:c r="JJ98" s="14"/>
      <x:c r="JK98" s="14"/>
      <x:c r="JL98" s="14"/>
      <x:c r="JM98" s="14"/>
      <x:c r="JN98" s="14"/>
      <x:c r="JO98" s="14"/>
      <x:c r="JP98" s="14"/>
      <x:c r="JQ98" s="14"/>
      <x:c r="JR98" s="14"/>
      <x:c r="JS98" s="14"/>
      <x:c r="JT98" s="14"/>
      <x:c r="JU98" s="14"/>
      <x:c r="JV98" s="14"/>
      <x:c r="JW98" s="14"/>
      <x:c r="JX98" s="14"/>
      <x:c r="JY98" s="14"/>
      <x:c r="JZ98" s="14"/>
      <x:c r="KA98" s="14"/>
      <x:c r="KB98" s="14"/>
      <x:c r="KC98" s="14"/>
      <x:c r="KD98" s="14"/>
      <x:c r="KE98" s="14"/>
      <x:c r="KF98" s="14"/>
      <x:c r="KG98" s="14"/>
      <x:c r="KH98" s="14"/>
      <x:c r="KI98" s="14"/>
      <x:c r="KJ98" s="14"/>
      <x:c r="KK98" s="14"/>
      <x:c r="KL98" s="14"/>
      <x:c r="KM98" s="14"/>
      <x:c r="KN98" s="14"/>
      <x:c r="KO98" s="14"/>
      <x:c r="KP98" s="14"/>
      <x:c r="KQ98" s="14"/>
      <x:c r="KR98" s="14"/>
      <x:c r="KS98" s="14"/>
      <x:c r="KT98" s="14"/>
      <x:c r="KU98" s="14"/>
      <x:c r="KV98" s="14"/>
      <x:c r="KW98" s="14"/>
      <x:c r="KX98" s="14"/>
      <x:c r="KY98" s="14"/>
      <x:c r="KZ98" s="14"/>
      <x:c r="LA98" s="14"/>
      <x:c r="LB98" s="14"/>
      <x:c r="LC98" s="14"/>
      <x:c r="LD98" s="14"/>
      <x:c r="LE98" s="14"/>
      <x:c r="LF98" s="14"/>
      <x:c r="LG98" s="14"/>
      <x:c r="LH98" s="14"/>
      <x:c r="LI98" s="14"/>
      <x:c r="LJ98" s="14"/>
      <x:c r="LK98" s="14"/>
      <x:c r="LL98" s="14"/>
      <x:c r="LM98" s="14"/>
      <x:c r="LN98" s="14"/>
      <x:c r="LO98" s="14"/>
      <x:c r="LP98" s="14"/>
      <x:c r="LQ98" s="14"/>
      <x:c r="LR98" s="14"/>
      <x:c r="LS98" s="14"/>
      <x:c r="LT98" s="14"/>
      <x:c r="LU98" s="14"/>
      <x:c r="LV98" s="14"/>
      <x:c r="LW98" s="14"/>
      <x:c r="LX98" s="14"/>
      <x:c r="LY98" s="14"/>
      <x:c r="LZ98" s="14"/>
      <x:c r="MA98" s="14"/>
      <x:c r="MB98" s="14"/>
      <x:c r="MC98" s="14"/>
      <x:c r="MD98" s="14"/>
      <x:c r="ME98" s="14"/>
      <x:c r="MF98" s="14"/>
      <x:c r="MG98" s="14"/>
      <x:c r="MH98" s="14"/>
      <x:c r="MI98" s="14"/>
      <x:c r="MJ98" s="14"/>
      <x:c r="MK98" s="14"/>
      <x:c r="ML98" s="14"/>
      <x:c r="MM98" s="14"/>
      <x:c r="MN98" s="14"/>
      <x:c r="MO98" s="14"/>
      <x:c r="MP98" s="14"/>
      <x:c r="MQ98" s="14"/>
      <x:c r="MR98" s="14"/>
      <x:c r="MS98" s="14"/>
      <x:c r="MT98" s="14"/>
      <x:c r="MU98" s="14"/>
      <x:c r="MV98" s="14"/>
      <x:c r="MW98" s="14" t="str">
        <x:v>28963</x:v>
      </x:c>
      <x:c r="MX98" s="14" t="n">
        <x:v>10</x:v>
      </x:c>
      <x:c r="MY98" s="14" t="n">
        <x:v>1957</x:v>
      </x:c>
      <x:c r="MZ98" s="14" t="n">
        <x:v>309</x:v>
      </x:c>
      <x:c r="NA98" s="14" t="n">
        <x:v>6</x:v>
      </x:c>
      <x:c r="NB98" s="14" t="n">
        <x:v>1</x:v>
      </x:c>
      <x:c r="NC98" s="14" t="str">
        <x:v>未收錄</x:v>
      </x:c>
      <x:c r="ND98" s="14" t="str">
        <x:v>28842</x:v>
      </x:c>
      <x:c r="NE98" s="14" t="n">
        <x:v>5</x:v>
      </x:c>
      <x:c r="NF98" s="14" t="n">
        <x:v>1958</x:v>
      </x:c>
      <x:c r="NG98" s="14" t="n">
        <x:v>310</x:v>
      </x:c>
      <x:c r="NH98" s="14" t="n">
        <x:v>6</x:v>
      </x:c>
      <x:c r="NI98" s="14" t="n">
        <x:v>2</x:v>
      </x:c>
      <x:c r="NJ98" s="14" t="str">
        <x:v>未收錄</x:v>
      </x:c>
      <x:c r="NK98" s="14" t="str">
        <x:v>28845</x:v>
      </x:c>
      <x:c r="NL98" s="14" t="n">
        <x:v>5</x:v>
      </x:c>
      <x:c r="NM98" s="14" t="n">
        <x:v>1959</x:v>
      </x:c>
      <x:c r="NN98" s="14" t="n">
        <x:v>311</x:v>
      </x:c>
      <x:c r="NO98" s="14" t="n">
        <x:v>6</x:v>
      </x:c>
      <x:c r="NP98" s="14" t="n">
        <x:v>3</x:v>
      </x:c>
      <x:c r="NQ98" s="14" t="str">
        <x:v>未收錄</x:v>
      </x:c>
      <x:c r="NR98" s="14" t="str">
        <x:v>28848</x:v>
      </x:c>
      <x:c r="NS98" s="14" t="n">
        <x:v>5</x:v>
      </x:c>
      <x:c r="NT98" s="14" t="n">
        <x:v>1960</x:v>
      </x:c>
      <x:c r="NU98" s="14" t="n">
        <x:v>312</x:v>
      </x:c>
      <x:c r="NV98" s="14" t="n">
        <x:v>6</x:v>
      </x:c>
      <x:c r="NW98" s="14" t="n">
        <x:v>4</x:v>
      </x:c>
      <x:c r="NX98" s="14" t="str">
        <x:v>未收錄</x:v>
      </x:c>
      <x:c r="NY98" s="14" t="str">
        <x:v>27770</x:v>
      </x:c>
      <x:c r="NZ98" s="14" t="n">
        <x:v>10</x:v>
      </x:c>
      <x:c r="OA98" s="14" t="n">
        <x:v>2410</x:v>
      </x:c>
      <x:c r="OB98" s="14" t="n">
        <x:v>309</x:v>
      </x:c>
      <x:c r="OC98" s="14" t="n">
        <x:v>6</x:v>
      </x:c>
      <x:c r="OD98" s="14" t="n">
        <x:v>1</x:v>
      </x:c>
      <x:c r="OE98" s="14" t="str">
        <x:v>未收錄</x:v>
      </x:c>
      <x:c r="OF98" s="14" t="str">
        <x:v>27774</x:v>
      </x:c>
      <x:c r="OG98" s="14" t="n">
        <x:v>10</x:v>
      </x:c>
      <x:c r="OH98" s="14" t="n">
        <x:v>2411</x:v>
      </x:c>
      <x:c r="OI98" s="14" t="n">
        <x:v>310</x:v>
      </x:c>
      <x:c r="OJ98" s="14" t="n">
        <x:v>6</x:v>
      </x:c>
      <x:c r="OK98" s="14" t="n">
        <x:v>2</x:v>
      </x:c>
      <x:c r="OL98" s="14" t="str">
        <x:v>未收錄</x:v>
      </x:c>
      <x:c r="OM98" s="14" t="str">
        <x:v>27675</x:v>
      </x:c>
      <x:c r="ON98" s="14" t="n">
        <x:v>5</x:v>
      </x:c>
      <x:c r="OO98" s="14" t="n">
        <x:v>2412</x:v>
      </x:c>
      <x:c r="OP98" s="14" t="n">
        <x:v>311</x:v>
      </x:c>
      <x:c r="OQ98" s="14" t="n">
        <x:v>6</x:v>
      </x:c>
      <x:c r="OR98" s="14" t="n">
        <x:v>3</x:v>
      </x:c>
      <x:c r="OS98" s="14" t="str">
        <x:v>未收錄</x:v>
      </x:c>
      <x:c r="OT98" s="14" t="str">
        <x:v>27676</x:v>
      </x:c>
      <x:c r="OU98" s="14" t="n">
        <x:v>5</x:v>
      </x:c>
      <x:c r="OV98" s="14" t="n">
        <x:v>2413</x:v>
      </x:c>
      <x:c r="OW98" s="14" t="n">
        <x:v>312</x:v>
      </x:c>
      <x:c r="OX98" s="14" t="n">
        <x:v>6</x:v>
      </x:c>
      <x:c r="OY98" s="14" t="n">
        <x:v>4</x:v>
      </x:c>
      <x:c r="OZ98" s="14" t="str">
        <x:v>未收錄</x:v>
      </x:c>
      <x:c r="PA98" s="14" t="str">
        <x:v>29463</x:v>
      </x:c>
      <x:c r="PB98" s="14" t="n">
        <x:v>5</x:v>
      </x:c>
      <x:c r="PC98" s="14" t="n">
        <x:v>2956</x:v>
      </x:c>
      <x:c r="PD98" s="14" t="n">
        <x:v>309</x:v>
      </x:c>
      <x:c r="PE98" s="14" t="n">
        <x:v>6</x:v>
      </x:c>
      <x:c r="PF98" s="14" t="n">
        <x:v>1</x:v>
      </x:c>
      <x:c r="PG98" s="14" t="str">
        <x:v>未收錄</x:v>
      </x:c>
      <x:c r="PH98" s="14" t="str">
        <x:v>29469</x:v>
      </x:c>
      <x:c r="PI98" s="14" t="n">
        <x:v>5</x:v>
      </x:c>
      <x:c r="PJ98" s="14" t="n">
        <x:v>2957</x:v>
      </x:c>
      <x:c r="PK98" s="14" t="n">
        <x:v>310</x:v>
      </x:c>
      <x:c r="PL98" s="14" t="n">
        <x:v>6</x:v>
      </x:c>
      <x:c r="PM98" s="14" t="n">
        <x:v>2</x:v>
      </x:c>
      <x:c r="PN98" s="14" t="str">
        <x:v>未收錄</x:v>
      </x:c>
      <x:c r="PO98" s="14" t="str">
        <x:v>29475</x:v>
      </x:c>
      <x:c r="PP98" s="14" t="n">
        <x:v>5</x:v>
      </x:c>
      <x:c r="PQ98" s="14" t="n">
        <x:v>2958</x:v>
      </x:c>
      <x:c r="PR98" s="14" t="n">
        <x:v>311</x:v>
      </x:c>
      <x:c r="PS98" s="14" t="n">
        <x:v>6</x:v>
      </x:c>
      <x:c r="PT98" s="14" t="n">
        <x:v>3</x:v>
      </x:c>
      <x:c r="PU98" s="14" t="str">
        <x:v>未收錄</x:v>
      </x:c>
      <x:c r="PV98" s="14" t="str">
        <x:v>29481</x:v>
      </x:c>
      <x:c r="PW98" s="14" t="n">
        <x:v>5</x:v>
      </x:c>
      <x:c r="PX98" s="14" t="n">
        <x:v>2959</x:v>
      </x:c>
      <x:c r="PY98" s="14" t="n">
        <x:v>312</x:v>
      </x:c>
      <x:c r="PZ98" s="14" t="n">
        <x:v>6</x:v>
      </x:c>
      <x:c r="QA98" s="14" t="n">
        <x:v>4</x:v>
      </x:c>
      <x:c r="QB98" s="14" t="str">
        <x:v>未收錄</x:v>
      </x:c>
      <x:c r="QC98" s="14" t="str">
        <x:v>28972</x:v>
      </x:c>
      <x:c r="QD98" s="14" t="n">
        <x:v>10</x:v>
      </x:c>
      <x:c r="QE98" s="14" t="n">
        <x:v>3393</x:v>
      </x:c>
      <x:c r="QF98" s="14" t="n">
        <x:v>309</x:v>
      </x:c>
      <x:c r="QG98" s="14" t="n">
        <x:v>6</x:v>
      </x:c>
      <x:c r="QH98" s="14" t="n">
        <x:v>1</x:v>
      </x:c>
      <x:c r="QI98" s="14" t="str">
        <x:v>未收錄</x:v>
      </x:c>
      <x:c r="QJ98" s="14" t="str">
        <x:v>28981</x:v>
      </x:c>
      <x:c r="QK98" s="14" t="n">
        <x:v>10</x:v>
      </x:c>
      <x:c r="QL98" s="14" t="n">
        <x:v>3394</x:v>
      </x:c>
      <x:c r="QM98" s="14" t="n">
        <x:v>310</x:v>
      </x:c>
      <x:c r="QN98" s="14" t="n">
        <x:v>6</x:v>
      </x:c>
      <x:c r="QO98" s="14" t="n">
        <x:v>2</x:v>
      </x:c>
      <x:c r="QP98" s="14" t="str">
        <x:v>未收錄</x:v>
      </x:c>
      <x:c r="QQ98" s="14" t="str">
        <x:v>28887</x:v>
      </x:c>
      <x:c r="QR98" s="14" t="n">
        <x:v>5</x:v>
      </x:c>
      <x:c r="QS98" s="14" t="n">
        <x:v>3395</x:v>
      </x:c>
      <x:c r="QT98" s="14" t="n">
        <x:v>311</x:v>
      </x:c>
      <x:c r="QU98" s="14" t="n">
        <x:v>6</x:v>
      </x:c>
      <x:c r="QV98" s="14" t="n">
        <x:v>3</x:v>
      </x:c>
      <x:c r="QW98" s="14" t="str">
        <x:v>未收錄</x:v>
      </x:c>
      <x:c r="QX98" s="14" t="str">
        <x:v>28890</x:v>
      </x:c>
      <x:c r="QY98" s="14" t="n">
        <x:v>5</x:v>
      </x:c>
      <x:c r="QZ98" s="14" t="n">
        <x:v>3396</x:v>
      </x:c>
      <x:c r="RA98" s="14" t="n">
        <x:v>312</x:v>
      </x:c>
      <x:c r="RB98" s="14" t="n">
        <x:v>6</x:v>
      </x:c>
      <x:c r="RC98" s="14" t="n">
        <x:v>4</x:v>
      </x:c>
      <x:c r="RD98" s="14" t="str">
        <x:v>未收錄</x:v>
      </x:c>
      <x:c r="RE98" s="14" t="str">
        <x:v>29537</x:v>
      </x:c>
      <x:c r="RF98" s="14" t="n">
        <x:v>5</x:v>
      </x:c>
      <x:c r="RG98" s="14" t="n">
        <x:v>3854</x:v>
      </x:c>
      <x:c r="RH98" s="14" t="n">
        <x:v>309</x:v>
      </x:c>
      <x:c r="RI98" s="14" t="n">
        <x:v>6</x:v>
      </x:c>
      <x:c r="RJ98" s="14" t="n">
        <x:v>1</x:v>
      </x:c>
      <x:c r="RK98" s="14" t="str">
        <x:v>未收錄</x:v>
      </x:c>
      <x:c r="RL98" s="14" t="str">
        <x:v>29538</x:v>
      </x:c>
      <x:c r="RM98" s="14" t="n">
        <x:v>5</x:v>
      </x:c>
      <x:c r="RN98" s="14" t="n">
        <x:v>3855</x:v>
      </x:c>
      <x:c r="RO98" s="14" t="n">
        <x:v>310</x:v>
      </x:c>
      <x:c r="RP98" s="14" t="n">
        <x:v>6</x:v>
      </x:c>
      <x:c r="RQ98" s="14" t="n">
        <x:v>2</x:v>
      </x:c>
      <x:c r="RR98" s="14" t="str">
        <x:v>未收錄</x:v>
      </x:c>
      <x:c r="RS98" s="14" t="str">
        <x:v>29539</x:v>
      </x:c>
      <x:c r="RT98" s="14" t="n">
        <x:v>5</x:v>
      </x:c>
      <x:c r="RU98" s="14" t="n">
        <x:v>3856</x:v>
      </x:c>
      <x:c r="RV98" s="14" t="n">
        <x:v>311</x:v>
      </x:c>
      <x:c r="RW98" s="14" t="n">
        <x:v>6</x:v>
      </x:c>
      <x:c r="RX98" s="14" t="n">
        <x:v>3</x:v>
      </x:c>
      <x:c r="RY98" s="14" t="str">
        <x:v>未收錄</x:v>
      </x:c>
      <x:c r="RZ98" s="14" t="str">
        <x:v>29540</x:v>
      </x:c>
      <x:c r="SA98" s="14" t="n">
        <x:v>5</x:v>
      </x:c>
      <x:c r="SB98" s="14" t="n">
        <x:v>3857</x:v>
      </x:c>
      <x:c r="SC98" s="14" t="n">
        <x:v>312</x:v>
      </x:c>
      <x:c r="SD98" s="14" t="n">
        <x:v>6</x:v>
      </x:c>
      <x:c r="SE98" s="14" t="n">
        <x:v>4</x:v>
      </x:c>
      <x:c r="SF98" s="14" t="str">
        <x:v>未收錄</x:v>
      </x:c>
      <x:c r="SG98" s="14"/>
      <x:c r="SH98" s="14"/>
      <x:c r="SI98" s="14"/>
      <x:c r="SJ98" s="14"/>
      <x:c r="SK98" s="14"/>
      <x:c r="SL98" s="14"/>
      <x:c r="SM98" s="14"/>
      <x:c r="SN98" s="14"/>
      <x:c r="SO98" s="14"/>
      <x:c r="SP98" s="14"/>
      <x:c r="SQ98" s="14"/>
      <x:c r="SR98" s="14"/>
      <x:c r="SS98" s="14"/>
      <x:c r="ST98" s="14"/>
      <x:c r="SU98" s="14"/>
      <x:c r="SV98" s="14"/>
      <x:c r="SW98" s="14"/>
      <x:c r="SX98" s="14"/>
      <x:c r="SY98" s="14"/>
      <x:c r="SZ98" s="14"/>
      <x:c r="TA98" s="14"/>
      <x:c r="TB98" s="14"/>
      <x:c r="TC98" s="14"/>
      <x:c r="TD98" s="14"/>
      <x:c r="TE98" s="14"/>
      <x:c r="TF98" s="14"/>
      <x:c r="TG98" s="14"/>
      <x:c r="TH98" s="14"/>
    </x:row>
    <x:row r="99" ht="15" customHeight="1">
      <x:c r="A99" s="14"/>
      <x:c r="B99" s="14"/>
      <x:c r="C99" s="14"/>
      <x:c r="D99" s="14"/>
      <x:c r="E99" s="14"/>
      <x:c r="F99" s="14"/>
      <x:c r="G99" s="14"/>
      <x:c r="H99" s="14"/>
      <x:c r="I99" s="14"/>
      <x:c r="J99" s="14"/>
      <x:c r="K99" s="14"/>
      <x:c r="L99" s="14"/>
      <x:c r="M99" s="14"/>
      <x:c r="N99" s="14"/>
      <x:c r="O99" s="14"/>
      <x:c r="P99" s="14"/>
      <x:c r="Q99" s="14"/>
      <x:c r="R99" s="14"/>
      <x:c r="S99" s="14"/>
      <x:c r="T99" s="14"/>
      <x:c r="U99" s="14"/>
      <x:c r="V99" s="14"/>
      <x:c r="W99" s="14"/>
      <x:c r="X99" s="14"/>
      <x:c r="Y99" s="14"/>
      <x:c r="Z99" s="14"/>
      <x:c r="AA99" s="14"/>
      <x:c r="AB99" s="14"/>
      <x:c r="AC99" s="14"/>
      <x:c r="AD99" s="14"/>
      <x:c r="AE99" s="14"/>
      <x:c r="AF99" s="14"/>
      <x:c r="AG99" s="14"/>
      <x:c r="AH99" s="14"/>
      <x:c r="AI99" s="14"/>
      <x:c r="AJ99" s="14"/>
      <x:c r="AK99" s="14"/>
      <x:c r="AL99" s="14"/>
      <x:c r="AM99" s="14"/>
      <x:c r="AN99" s="14"/>
      <x:c r="AO99" s="14"/>
      <x:c r="AP99" s="14"/>
      <x:c r="AQ99" s="14"/>
      <x:c r="AR99" s="14"/>
      <x:c r="AS99" s="14"/>
      <x:c r="AT99" s="14"/>
      <x:c r="AU99" s="14"/>
      <x:c r="AV99" s="14"/>
      <x:c r="AW99" s="14"/>
      <x:c r="AX99" s="14"/>
      <x:c r="AY99" s="17" t="str">
        <x:v>道煌面☆☆</x:v>
      </x:c>
      <x:c r="AZ99" s="17" t="str">
        <x:v>佛煌頂☆☆</x:v>
      </x:c>
      <x:c r="BA99" s="17" t="str">
        <x:v>鬼兇冠☆☆</x:v>
      </x:c>
      <x:c r="BB99" s="17" t="str">
        <x:v>柳月巾☆☆</x:v>
      </x:c>
      <x:c r="BC99" s="14"/>
      <x:c r="BD99" s="17" t="str">
        <x:v>真宇傲術幻裳</x:v>
      </x:c>
      <x:c r="BE99" s="17" t="str">
        <x:v>真宇傲道輝服</x:v>
      </x:c>
      <x:c r="BF99" s="17" t="str">
        <x:v>真宇傲禪光衣</x:v>
      </x:c>
      <x:c r="BG99" s="17" t="str">
        <x:v>真宇傲饕餮鎧</x:v>
      </x:c>
      <x:c r="BH99" s="14"/>
      <x:c r="BI99" s="17" t="str">
        <x:v>禪帝捻☆</x:v>
      </x:c>
      <x:c r="BJ99" s="17" t="str">
        <x:v>鬼帝臂☆</x:v>
      </x:c>
      <x:c r="BK99" s="17" t="str">
        <x:v>黃鳴腕☆</x:v>
      </x:c>
      <x:c r="BL99" s="17" t="str">
        <x:v>劍帝握★</x:v>
      </x:c>
      <x:c r="BM99" s="14"/>
      <x:c r="BN99" s="17" t="str">
        <x:v>燦煌足☆☆</x:v>
      </x:c>
      <x:c r="BO99" s="17" t="str">
        <x:v>道煌履☆☆</x:v>
      </x:c>
      <x:c r="BP99" s="17" t="str">
        <x:v>佛煌行☆☆</x:v>
      </x:c>
      <x:c r="BQ99" s="17" t="str">
        <x:v>鬼兇靴☆☆</x:v>
      </x:c>
      <x:c r="BR99" s="14"/>
      <x:c r="BS99" s="17" t="str">
        <x:v>大帝鎮☆</x:v>
      </x:c>
      <x:c r="BT99" s="17" t="str">
        <x:v>大帝鎮★</x:v>
      </x:c>
      <x:c r="BU99" s="17" t="str">
        <x:v>大帝鎮★☆</x:v>
      </x:c>
      <x:c r="BV99" s="17" t="str">
        <x:v>大帝鎮★★</x:v>
      </x:c>
      <x:c r="BW99" s="14"/>
      <x:c r="BX99" s="14"/>
      <x:c r="BY99" s="14"/>
      <x:c r="BZ99" s="14"/>
      <x:c r="CA99" s="14"/>
      <x:c r="CB99" s="14"/>
      <x:c r="CC99" s="14"/>
      <x:c r="CD99" s="14"/>
      <x:c r="CE99" s="14"/>
      <x:c r="CF99" s="14"/>
      <x:c r="CG99" s="14"/>
      <x:c r="CH99" s="14"/>
      <x:c r="CI99" s="14"/>
      <x:c r="CJ99" s="14"/>
      <x:c r="CK99" s="14"/>
      <x:c r="CL99" s="14"/>
      <x:c r="CM99" s="14"/>
      <x:c r="CN99" s="14"/>
      <x:c r="CO99" s="14"/>
      <x:c r="CP99" s="14"/>
      <x:c r="CQ99" s="14"/>
      <x:c r="CR99" s="14"/>
      <x:c r="CS99" s="14"/>
      <x:c r="CT99" s="14"/>
      <x:c r="CU99" s="14"/>
      <x:c r="CV99" s="14"/>
      <x:c r="CW99" s="14"/>
      <x:c r="CX99" s="14"/>
      <x:c r="CY99" s="14"/>
      <x:c r="CZ99" s="14"/>
      <x:c r="DA99" s="14"/>
      <x:c r="DB99" s="14"/>
      <x:c r="DC99" s="14"/>
      <x:c r="DD99" s="14"/>
      <x:c r="DE99" s="14"/>
      <x:c r="DF99" s="14"/>
      <x:c r="DG99" s="14"/>
      <x:c r="DH99" s="14"/>
      <x:c r="DI99" s="14"/>
      <x:c r="DJ99" s="14"/>
      <x:c r="DK99" s="14"/>
      <x:c r="DL99" s="14"/>
      <x:c r="DM99" s="14"/>
      <x:c r="DN99" s="14"/>
      <x:c r="DO99" s="14"/>
      <x:c r="DP99" s="14"/>
      <x:c r="DQ99" s="14"/>
      <x:c r="DR99" s="14"/>
      <x:c r="DS99" s="14"/>
      <x:c r="DT99" s="14"/>
      <x:c r="DU99" s="14"/>
      <x:c r="DV99" s="14"/>
      <x:c r="DW99" s="14"/>
      <x:c r="DX99" s="14"/>
      <x:c r="DY99" s="14"/>
      <x:c r="DZ99" s="14"/>
      <x:c r="EA99" s="14"/>
      <x:c r="EB99" s="14"/>
      <x:c r="EC99" s="14"/>
      <x:c r="ED99" s="14"/>
      <x:c r="EE99" s="14"/>
      <x:c r="EF99" s="14"/>
      <x:c r="EG99" s="14"/>
      <x:c r="EH99" s="14"/>
      <x:c r="EI99" s="14"/>
      <x:c r="EJ99" s="14"/>
      <x:c r="EK99" s="14"/>
      <x:c r="EL99" s="14"/>
      <x:c r="EM99" s="14"/>
      <x:c r="EN99" s="14"/>
      <x:c r="EO99" s="14"/>
      <x:c r="EP99" s="14"/>
      <x:c r="EQ99" s="14"/>
      <x:c r="ER99" s="14"/>
      <x:c r="ES99" s="14"/>
      <x:c r="ET99" s="14"/>
      <x:c r="EU99" s="14"/>
      <x:c r="EV99" s="14"/>
      <x:c r="EW99" s="14"/>
      <x:c r="EX99" s="14"/>
      <x:c r="EY99" s="14"/>
      <x:c r="EZ99" s="14"/>
      <x:c r="FA99" s="14"/>
      <x:c r="FB99" s="14"/>
      <x:c r="FC99" s="14"/>
      <x:c r="FD99" s="14"/>
      <x:c r="FE99" s="14"/>
      <x:c r="FF99" s="14"/>
      <x:c r="FG99" s="14"/>
      <x:c r="FH99" s="14"/>
      <x:c r="FI99" s="14"/>
      <x:c r="FJ99" s="14"/>
      <x:c r="FK99" s="14"/>
      <x:c r="FL99" s="14"/>
      <x:c r="FM99" s="14"/>
      <x:c r="FN99" s="14"/>
      <x:c r="FO99" s="14"/>
      <x:c r="FP99" s="14"/>
      <x:c r="FQ99" s="14"/>
      <x:c r="FR99" s="14"/>
      <x:c r="FS99" s="14"/>
      <x:c r="FT99" s="14"/>
      <x:c r="FU99" s="14"/>
      <x:c r="FV99" s="14"/>
      <x:c r="FW99" s="14"/>
      <x:c r="FX99" s="14"/>
      <x:c r="FY99" s="14"/>
      <x:c r="FZ99" s="14"/>
      <x:c r="GA99" s="14"/>
      <x:c r="GB99" s="14"/>
      <x:c r="GC99" s="14"/>
      <x:c r="GD99" s="14"/>
      <x:c r="GE99" s="14"/>
      <x:c r="GF99" s="14"/>
      <x:c r="GG99" s="14"/>
      <x:c r="GH99" s="14"/>
      <x:c r="GI99" s="14"/>
      <x:c r="GJ99" s="14"/>
      <x:c r="GK99" s="14"/>
      <x:c r="GL99" s="14"/>
      <x:c r="GM99" s="14"/>
      <x:c r="GN99" s="14"/>
      <x:c r="GO99" s="14"/>
      <x:c r="GP99" s="14"/>
      <x:c r="GQ99" s="14"/>
      <x:c r="GR99" s="14"/>
      <x:c r="GS99" s="14"/>
      <x:c r="GT99" s="14"/>
      <x:c r="GU99" s="14"/>
      <x:c r="GV99" s="14"/>
      <x:c r="GW99" s="14"/>
      <x:c r="GX99" s="14"/>
      <x:c r="GY99" s="14"/>
      <x:c r="GZ99" s="14"/>
      <x:c r="HA99" s="14"/>
      <x:c r="HB99" s="14"/>
      <x:c r="HC99" s="14"/>
      <x:c r="HD99" s="14"/>
      <x:c r="HE99" s="14"/>
      <x:c r="HF99" s="14"/>
      <x:c r="HG99" s="14"/>
      <x:c r="HH99" s="14"/>
      <x:c r="HI99" s="14"/>
      <x:c r="HJ99" s="14"/>
      <x:c r="HK99" s="14"/>
      <x:c r="HL99" s="14"/>
      <x:c r="HM99" s="14"/>
      <x:c r="HN99" s="14"/>
      <x:c r="HO99" s="14"/>
      <x:c r="HP99" s="14"/>
      <x:c r="HQ99" s="14"/>
      <x:c r="HR99" s="14"/>
      <x:c r="HS99" s="14"/>
      <x:c r="HT99" s="14"/>
      <x:c r="HU99" s="14"/>
      <x:c r="HV99" s="14"/>
      <x:c r="HW99" s="14"/>
      <x:c r="HX99" s="14"/>
      <x:c r="HY99" s="14"/>
      <x:c r="HZ99" s="14"/>
      <x:c r="IA99" s="14"/>
      <x:c r="IB99" s="14"/>
      <x:c r="IC99" s="14"/>
      <x:c r="ID99" s="14"/>
      <x:c r="IE99" s="14"/>
      <x:c r="IF99" s="14"/>
      <x:c r="IG99" s="14"/>
      <x:c r="IH99" s="14"/>
      <x:c r="II99" s="14"/>
      <x:c r="IJ99" s="14"/>
      <x:c r="IK99" s="14"/>
      <x:c r="IL99" s="14"/>
      <x:c r="IM99" s="14"/>
      <x:c r="IN99" s="14"/>
      <x:c r="IO99" s="14"/>
      <x:c r="IP99" s="14"/>
      <x:c r="IQ99" s="14"/>
      <x:c r="IR99" s="14"/>
      <x:c r="IS99" s="14"/>
      <x:c r="IT99" s="14"/>
      <x:c r="IU99" s="14"/>
      <x:c r="IV99" s="14"/>
      <x:c r="IW99" s="14"/>
      <x:c r="IX99" s="14"/>
      <x:c r="IY99" s="14"/>
      <x:c r="IZ99" s="14"/>
      <x:c r="JA99" s="14"/>
      <x:c r="JB99" s="14"/>
      <x:c r="JC99" s="14"/>
      <x:c r="JD99" s="14"/>
      <x:c r="JE99" s="14"/>
      <x:c r="JF99" s="14"/>
      <x:c r="JG99" s="14"/>
      <x:c r="JH99" s="14"/>
      <x:c r="JI99" s="14"/>
      <x:c r="JJ99" s="14"/>
      <x:c r="JK99" s="14"/>
      <x:c r="JL99" s="14"/>
      <x:c r="JM99" s="14"/>
      <x:c r="JN99" s="14"/>
      <x:c r="JO99" s="14"/>
      <x:c r="JP99" s="14"/>
      <x:c r="JQ99" s="14"/>
      <x:c r="JR99" s="14"/>
      <x:c r="JS99" s="14"/>
      <x:c r="JT99" s="14"/>
      <x:c r="JU99" s="14"/>
      <x:c r="JV99" s="14"/>
      <x:c r="JW99" s="14"/>
      <x:c r="JX99" s="14"/>
      <x:c r="JY99" s="14"/>
      <x:c r="JZ99" s="14"/>
      <x:c r="KA99" s="14"/>
      <x:c r="KB99" s="14"/>
      <x:c r="KC99" s="14"/>
      <x:c r="KD99" s="14"/>
      <x:c r="KE99" s="14"/>
      <x:c r="KF99" s="14"/>
      <x:c r="KG99" s="14"/>
      <x:c r="KH99" s="14"/>
      <x:c r="KI99" s="14"/>
      <x:c r="KJ99" s="14"/>
      <x:c r="KK99" s="14"/>
      <x:c r="KL99" s="14"/>
      <x:c r="KM99" s="14"/>
      <x:c r="KN99" s="14"/>
      <x:c r="KO99" s="14"/>
      <x:c r="KP99" s="14"/>
      <x:c r="KQ99" s="14"/>
      <x:c r="KR99" s="14"/>
      <x:c r="KS99" s="14"/>
      <x:c r="KT99" s="14"/>
      <x:c r="KU99" s="14"/>
      <x:c r="KV99" s="14"/>
      <x:c r="KW99" s="14"/>
      <x:c r="KX99" s="14"/>
      <x:c r="KY99" s="14"/>
      <x:c r="KZ99" s="14"/>
      <x:c r="LA99" s="14"/>
      <x:c r="LB99" s="14"/>
      <x:c r="LC99" s="14"/>
      <x:c r="LD99" s="14"/>
      <x:c r="LE99" s="14"/>
      <x:c r="LF99" s="14"/>
      <x:c r="LG99" s="14"/>
      <x:c r="LH99" s="14"/>
      <x:c r="LI99" s="14"/>
      <x:c r="LJ99" s="14"/>
      <x:c r="LK99" s="14"/>
      <x:c r="LL99" s="14"/>
      <x:c r="LM99" s="14"/>
      <x:c r="LN99" s="14"/>
      <x:c r="LO99" s="14"/>
      <x:c r="LP99" s="14"/>
      <x:c r="LQ99" s="14"/>
      <x:c r="LR99" s="14"/>
      <x:c r="LS99" s="14"/>
      <x:c r="LT99" s="14"/>
      <x:c r="LU99" s="14"/>
      <x:c r="LV99" s="14"/>
      <x:c r="LW99" s="14"/>
      <x:c r="LX99" s="14"/>
      <x:c r="LY99" s="14"/>
      <x:c r="LZ99" s="14"/>
      <x:c r="MA99" s="14"/>
      <x:c r="MB99" s="14"/>
      <x:c r="MC99" s="14"/>
      <x:c r="MD99" s="14"/>
      <x:c r="ME99" s="14"/>
      <x:c r="MF99" s="14"/>
      <x:c r="MG99" s="14"/>
      <x:c r="MH99" s="14"/>
      <x:c r="MI99" s="14"/>
      <x:c r="MJ99" s="14"/>
      <x:c r="MK99" s="14"/>
      <x:c r="ML99" s="14"/>
      <x:c r="MM99" s="14"/>
      <x:c r="MN99" s="14"/>
      <x:c r="MO99" s="14"/>
      <x:c r="MP99" s="14"/>
      <x:c r="MQ99" s="14"/>
      <x:c r="MR99" s="14"/>
      <x:c r="MS99" s="14"/>
      <x:c r="MT99" s="14"/>
      <x:c r="MU99" s="14"/>
      <x:c r="MV99" s="14"/>
      <x:c r="MW99" s="14" t="str">
        <x:v>28851</x:v>
      </x:c>
      <x:c r="MX99" s="14" t="n">
        <x:v>5</x:v>
      </x:c>
      <x:c r="MY99" s="14" t="n">
        <x:v>1961</x:v>
      </x:c>
      <x:c r="MZ99" s="14" t="n">
        <x:v>313</x:v>
      </x:c>
      <x:c r="NA99" s="14" t="n">
        <x:v>7</x:v>
      </x:c>
      <x:c r="NB99" s="14" t="n">
        <x:v>1</x:v>
      </x:c>
      <x:c r="NC99" s="14" t="str">
        <x:v>未收錄</x:v>
      </x:c>
      <x:c r="ND99" s="14" t="str">
        <x:v>28854</x:v>
      </x:c>
      <x:c r="NE99" s="14" t="n">
        <x:v>5</x:v>
      </x:c>
      <x:c r="NF99" s="14" t="n">
        <x:v>1962</x:v>
      </x:c>
      <x:c r="NG99" s="14" t="n">
        <x:v>314</x:v>
      </x:c>
      <x:c r="NH99" s="14" t="n">
        <x:v>7</x:v>
      </x:c>
      <x:c r="NI99" s="14" t="n">
        <x:v>2</x:v>
      </x:c>
      <x:c r="NJ99" s="14" t="str">
        <x:v>未收錄</x:v>
      </x:c>
      <x:c r="NK99" s="14" t="str">
        <x:v>28952</x:v>
      </x:c>
      <x:c r="NL99" s="14" t="n">
        <x:v>10</x:v>
      </x:c>
      <x:c r="NM99" s="14" t="n">
        <x:v>1963</x:v>
      </x:c>
      <x:c r="NN99" s="14" t="n">
        <x:v>315</x:v>
      </x:c>
      <x:c r="NO99" s="14" t="n">
        <x:v>7</x:v>
      </x:c>
      <x:c r="NP99" s="14" t="n">
        <x:v>3</x:v>
      </x:c>
      <x:c r="NQ99" s="14" t="str">
        <x:v>未收錄</x:v>
      </x:c>
      <x:c r="NR99" s="14" t="str">
        <x:v>28964</x:v>
      </x:c>
      <x:c r="NS99" s="14" t="n">
        <x:v>10</x:v>
      </x:c>
      <x:c r="NT99" s="14" t="n">
        <x:v>1964</x:v>
      </x:c>
      <x:c r="NU99" s="14" t="n">
        <x:v>316</x:v>
      </x:c>
      <x:c r="NV99" s="14" t="n">
        <x:v>7</x:v>
      </x:c>
      <x:c r="NW99" s="14" t="n">
        <x:v>4</x:v>
      </x:c>
      <x:c r="NX99" s="14" t="str">
        <x:v>未收錄</x:v>
      </x:c>
      <x:c r="NY99" s="14" t="str">
        <x:v>27677</x:v>
      </x:c>
      <x:c r="NZ99" s="14" t="n">
        <x:v>5</x:v>
      </x:c>
      <x:c r="OA99" s="14" t="n">
        <x:v>2414</x:v>
      </x:c>
      <x:c r="OB99" s="14" t="n">
        <x:v>313</x:v>
      </x:c>
      <x:c r="OC99" s="14" t="n">
        <x:v>7</x:v>
      </x:c>
      <x:c r="OD99" s="14" t="n">
        <x:v>1</x:v>
      </x:c>
      <x:c r="OE99" s="14" t="str">
        <x:v>未收錄</x:v>
      </x:c>
      <x:c r="OF99" s="14" t="str">
        <x:v>27678</x:v>
      </x:c>
      <x:c r="OG99" s="14" t="n">
        <x:v>5</x:v>
      </x:c>
      <x:c r="OH99" s="14" t="n">
        <x:v>2415</x:v>
      </x:c>
      <x:c r="OI99" s="14" t="n">
        <x:v>314</x:v>
      </x:c>
      <x:c r="OJ99" s="14" t="n">
        <x:v>7</x:v>
      </x:c>
      <x:c r="OK99" s="14" t="n">
        <x:v>2</x:v>
      </x:c>
      <x:c r="OL99" s="14" t="str">
        <x:v>未收錄</x:v>
      </x:c>
      <x:c r="OM99" s="14" t="str">
        <x:v>27679</x:v>
      </x:c>
      <x:c r="ON99" s="14" t="n">
        <x:v>5</x:v>
      </x:c>
      <x:c r="OO99" s="14" t="n">
        <x:v>2416</x:v>
      </x:c>
      <x:c r="OP99" s="14" t="n">
        <x:v>315</x:v>
      </x:c>
      <x:c r="OQ99" s="14" t="n">
        <x:v>7</x:v>
      </x:c>
      <x:c r="OR99" s="14" t="n">
        <x:v>3</x:v>
      </x:c>
      <x:c r="OS99" s="14" t="str">
        <x:v>未收錄</x:v>
      </x:c>
      <x:c r="OT99" s="14" t="str">
        <x:v>27743</x:v>
      </x:c>
      <x:c r="OU99" s="14" t="n">
        <x:v>10</x:v>
      </x:c>
      <x:c r="OV99" s="14" t="n">
        <x:v>2417</x:v>
      </x:c>
      <x:c r="OW99" s="14" t="n">
        <x:v>316</x:v>
      </x:c>
      <x:c r="OX99" s="14" t="n">
        <x:v>7</x:v>
      </x:c>
      <x:c r="OY99" s="14" t="n">
        <x:v>4</x:v>
      </x:c>
      <x:c r="OZ99" s="14" t="str">
        <x:v>未收錄</x:v>
      </x:c>
      <x:c r="PA99" s="14" t="str">
        <x:v>29487</x:v>
      </x:c>
      <x:c r="PB99" s="14" t="n">
        <x:v>5</x:v>
      </x:c>
      <x:c r="PC99" s="14" t="n">
        <x:v>2960</x:v>
      </x:c>
      <x:c r="PD99" s="14" t="n">
        <x:v>313</x:v>
      </x:c>
      <x:c r="PE99" s="14" t="n">
        <x:v>7</x:v>
      </x:c>
      <x:c r="PF99" s="14" t="n">
        <x:v>1</x:v>
      </x:c>
      <x:c r="PG99" s="14" t="str">
        <x:v>未收錄</x:v>
      </x:c>
      <x:c r="PH99" s="14" t="str">
        <x:v>29559</x:v>
      </x:c>
      <x:c r="PI99" s="14" t="n">
        <x:v>10</x:v>
      </x:c>
      <x:c r="PJ99" s="14" t="n">
        <x:v>2961</x:v>
      </x:c>
      <x:c r="PK99" s="14" t="n">
        <x:v>314</x:v>
      </x:c>
      <x:c r="PL99" s="14" t="n">
        <x:v>7</x:v>
      </x:c>
      <x:c r="PM99" s="14" t="n">
        <x:v>2</x:v>
      </x:c>
      <x:c r="PN99" s="14" t="str">
        <x:v>未收錄</x:v>
      </x:c>
      <x:c r="PO99" s="14" t="str">
        <x:v>29583</x:v>
      </x:c>
      <x:c r="PP99" s="14" t="n">
        <x:v>10</x:v>
      </x:c>
      <x:c r="PQ99" s="14" t="n">
        <x:v>2962</x:v>
      </x:c>
      <x:c r="PR99" s="14" t="n">
        <x:v>315</x:v>
      </x:c>
      <x:c r="PS99" s="14" t="n">
        <x:v>7</x:v>
      </x:c>
      <x:c r="PT99" s="14" t="n">
        <x:v>3</x:v>
      </x:c>
      <x:c r="PU99" s="14" t="str">
        <x:v>未收錄</x:v>
      </x:c>
      <x:c r="PV99" s="14" t="str">
        <x:v>29464</x:v>
      </x:c>
      <x:c r="PW99" s="14" t="n">
        <x:v>5</x:v>
      </x:c>
      <x:c r="PX99" s="14" t="n">
        <x:v>2963</x:v>
      </x:c>
      <x:c r="PY99" s="14" t="n">
        <x:v>316</x:v>
      </x:c>
      <x:c r="PZ99" s="14" t="n">
        <x:v>7</x:v>
      </x:c>
      <x:c r="QA99" s="14" t="n">
        <x:v>4</x:v>
      </x:c>
      <x:c r="QB99" s="14" t="str">
        <x:v>未收錄</x:v>
      </x:c>
      <x:c r="QC99" s="14" t="str">
        <x:v>28893</x:v>
      </x:c>
      <x:c r="QD99" s="14" t="n">
        <x:v>5</x:v>
      </x:c>
      <x:c r="QE99" s="14" t="n">
        <x:v>3397</x:v>
      </x:c>
      <x:c r="QF99" s="14" t="n">
        <x:v>313</x:v>
      </x:c>
      <x:c r="QG99" s="14" t="n">
        <x:v>7</x:v>
      </x:c>
      <x:c r="QH99" s="14" t="n">
        <x:v>1</x:v>
      </x:c>
      <x:c r="QI99" s="14" t="str">
        <x:v>未收錄</x:v>
      </x:c>
      <x:c r="QJ99" s="14" t="str">
        <x:v>28896</x:v>
      </x:c>
      <x:c r="QK99" s="14" t="n">
        <x:v>5</x:v>
      </x:c>
      <x:c r="QL99" s="14" t="n">
        <x:v>3398</x:v>
      </x:c>
      <x:c r="QM99" s="14" t="n">
        <x:v>314</x:v>
      </x:c>
      <x:c r="QN99" s="14" t="n">
        <x:v>7</x:v>
      </x:c>
      <x:c r="QO99" s="14" t="n">
        <x:v>2</x:v>
      </x:c>
      <x:c r="QP99" s="14" t="str">
        <x:v>未收錄</x:v>
      </x:c>
      <x:c r="QQ99" s="14" t="str">
        <x:v>28899</x:v>
      </x:c>
      <x:c r="QR99" s="14" t="n">
        <x:v>5</x:v>
      </x:c>
      <x:c r="QS99" s="14" t="n">
        <x:v>3399</x:v>
      </x:c>
      <x:c r="QT99" s="14" t="n">
        <x:v>315</x:v>
      </x:c>
      <x:c r="QU99" s="14" t="n">
        <x:v>7</x:v>
      </x:c>
      <x:c r="QV99" s="14" t="n">
        <x:v>3</x:v>
      </x:c>
      <x:c r="QW99" s="14" t="str">
        <x:v>未收錄</x:v>
      </x:c>
      <x:c r="QX99" s="14" t="str">
        <x:v>28961</x:v>
      </x:c>
      <x:c r="QY99" s="14" t="n">
        <x:v>10</x:v>
      </x:c>
      <x:c r="QZ99" s="14" t="n">
        <x:v>3400</x:v>
      </x:c>
      <x:c r="RA99" s="14" t="n">
        <x:v>316</x:v>
      </x:c>
      <x:c r="RB99" s="14" t="n">
        <x:v>7</x:v>
      </x:c>
      <x:c r="RC99" s="14" t="n">
        <x:v>4</x:v>
      </x:c>
      <x:c r="RD99" s="14" t="str">
        <x:v>未收錄</x:v>
      </x:c>
      <x:c r="RE99" s="14" t="str">
        <x:v>29541</x:v>
      </x:c>
      <x:c r="RF99" s="14" t="n">
        <x:v>5</x:v>
      </x:c>
      <x:c r="RG99" s="14" t="n">
        <x:v>3858</x:v>
      </x:c>
      <x:c r="RH99" s="14" t="n">
        <x:v>313</x:v>
      </x:c>
      <x:c r="RI99" s="14" t="n">
        <x:v>7</x:v>
      </x:c>
      <x:c r="RJ99" s="14" t="n">
        <x:v>1</x:v>
      </x:c>
      <x:c r="RK99" s="14" t="str">
        <x:v>未收錄</x:v>
      </x:c>
      <x:c r="RL99" s="14" t="str">
        <x:v>29542</x:v>
      </x:c>
      <x:c r="RM99" s="14" t="n">
        <x:v>5</x:v>
      </x:c>
      <x:c r="RN99" s="14" t="n">
        <x:v>3859</x:v>
      </x:c>
      <x:c r="RO99" s="14" t="n">
        <x:v>314</x:v>
      </x:c>
      <x:c r="RP99" s="14" t="n">
        <x:v>7</x:v>
      </x:c>
      <x:c r="RQ99" s="14" t="n">
        <x:v>2</x:v>
      </x:c>
      <x:c r="RR99" s="14" t="str">
        <x:v>未收錄</x:v>
      </x:c>
      <x:c r="RS99" s="14" t="str">
        <x:v>29543</x:v>
      </x:c>
      <x:c r="RT99" s="14" t="n">
        <x:v>5</x:v>
      </x:c>
      <x:c r="RU99" s="14" t="n">
        <x:v>3860</x:v>
      </x:c>
      <x:c r="RV99" s="14" t="n">
        <x:v>315</x:v>
      </x:c>
      <x:c r="RW99" s="14" t="n">
        <x:v>7</x:v>
      </x:c>
      <x:c r="RX99" s="14" t="n">
        <x:v>3</x:v>
      </x:c>
      <x:c r="RY99" s="14" t="str">
        <x:v>未收錄</x:v>
      </x:c>
      <x:c r="RZ99" s="14" t="str">
        <x:v>29544</x:v>
      </x:c>
      <x:c r="SA99" s="14" t="n">
        <x:v>5</x:v>
      </x:c>
      <x:c r="SB99" s="14" t="n">
        <x:v>3861</x:v>
      </x:c>
      <x:c r="SC99" s="14" t="n">
        <x:v>316</x:v>
      </x:c>
      <x:c r="SD99" s="14" t="n">
        <x:v>7</x:v>
      </x:c>
      <x:c r="SE99" s="14" t="n">
        <x:v>4</x:v>
      </x:c>
      <x:c r="SF99" s="14" t="str">
        <x:v>未收錄</x:v>
      </x:c>
      <x:c r="SG99" s="14"/>
      <x:c r="SH99" s="14"/>
      <x:c r="SI99" s="14"/>
      <x:c r="SJ99" s="14"/>
      <x:c r="SK99" s="14"/>
      <x:c r="SL99" s="14"/>
      <x:c r="SM99" s="14"/>
      <x:c r="SN99" s="14"/>
      <x:c r="SO99" s="14"/>
      <x:c r="SP99" s="14"/>
      <x:c r="SQ99" s="14"/>
      <x:c r="SR99" s="14"/>
      <x:c r="SS99" s="14"/>
      <x:c r="ST99" s="14"/>
      <x:c r="SU99" s="14"/>
      <x:c r="SV99" s="14"/>
      <x:c r="SW99" s="14"/>
      <x:c r="SX99" s="14"/>
      <x:c r="SY99" s="14"/>
      <x:c r="SZ99" s="14"/>
      <x:c r="TA99" s="14"/>
      <x:c r="TB99" s="14"/>
      <x:c r="TC99" s="14"/>
      <x:c r="TD99" s="14"/>
      <x:c r="TE99" s="14"/>
      <x:c r="TF99" s="14"/>
      <x:c r="TG99" s="14"/>
      <x:c r="TH99" s="14"/>
    </x:row>
    <x:row r="100" ht="15" customHeight="1">
      <x:c r="A100" s="14"/>
      <x:c r="B100" s="14"/>
      <x:c r="C100" s="14"/>
      <x:c r="D100" s="14"/>
      <x:c r="E100" s="14"/>
      <x:c r="F100" s="14"/>
      <x:c r="G100" s="14"/>
      <x:c r="H100" s="14"/>
      <x:c r="I100" s="14"/>
      <x:c r="J100" s="14"/>
      <x:c r="K100" s="14"/>
      <x:c r="L100" s="14"/>
      <x:c r="M100" s="14"/>
      <x:c r="N100" s="14"/>
      <x:c r="O100" s="14"/>
      <x:c r="P100" s="14"/>
      <x:c r="Q100" s="14"/>
      <x:c r="R100" s="14"/>
      <x:c r="S100" s="14"/>
      <x:c r="T100" s="14"/>
      <x:c r="U100" s="14"/>
      <x:c r="V100" s="14"/>
      <x:c r="W100" s="14"/>
      <x:c r="X100" s="14"/>
      <x:c r="Y100" s="14"/>
      <x:c r="Z100" s="14"/>
      <x:c r="AA100" s="14"/>
      <x:c r="AB100" s="14"/>
      <x:c r="AC100" s="14"/>
      <x:c r="AD100" s="14"/>
      <x:c r="AE100" s="14"/>
      <x:c r="AF100" s="14"/>
      <x:c r="AG100" s="14"/>
      <x:c r="AH100" s="14"/>
      <x:c r="AI100" s="14"/>
      <x:c r="AJ100" s="14"/>
      <x:c r="AK100" s="14"/>
      <x:c r="AL100" s="14"/>
      <x:c r="AM100" s="14"/>
      <x:c r="AN100" s="14"/>
      <x:c r="AO100" s="14"/>
      <x:c r="AP100" s="14"/>
      <x:c r="AQ100" s="14"/>
      <x:c r="AR100" s="14"/>
      <x:c r="AS100" s="14"/>
      <x:c r="AT100" s="14"/>
      <x:c r="AU100" s="14"/>
      <x:c r="AV100" s="14"/>
      <x:c r="AW100" s="14"/>
      <x:c r="AX100" s="14"/>
      <x:c r="AY100" s="18" t="str">
        <x:v>烈煌兜☆☆☆</x:v>
      </x:c>
      <x:c r="AZ100" s="18" t="str">
        <x:v>戰煌盔☆☆☆</x:v>
      </x:c>
      <x:c r="BA100" s="18" t="str">
        <x:v>燦煌帽☆☆☆</x:v>
      </x:c>
      <x:c r="BB100" s="18" t="str">
        <x:v>道煌面☆☆☆</x:v>
      </x:c>
      <x:c r="BC100" s="14"/>
      <x:c r="BD100" s="18" t="str">
        <x:v>真宇傲天狗衣</x:v>
      </x:c>
      <x:c r="BE100" s="18" t="str">
        <x:v>真宇傲隱遁甲</x:v>
      </x:c>
      <x:c r="BF100" s="18" t="str">
        <x:v>真宇傲無相裟</x:v>
      </x:c>
      <x:c r="BG100" s="18" t="str">
        <x:v>絕．智者聖甲</x:v>
      </x:c>
      <x:c r="BH100" s="14"/>
      <x:c r="BI100" s="18" t="str">
        <x:v>武帝掌★</x:v>
      </x:c>
      <x:c r="BJ100" s="18" t="str">
        <x:v>幻帝手★</x:v>
      </x:c>
      <x:c r="BK100" s="18" t="str">
        <x:v>道帝袖★</x:v>
      </x:c>
      <x:c r="BL100" s="18" t="str">
        <x:v>禪帝捻★</x:v>
      </x:c>
      <x:c r="BM100" s="14"/>
      <x:c r="BN100" s="18" t="str">
        <x:v>柳韋足☆☆</x:v>
      </x:c>
      <x:c r="BO100" s="18" t="str">
        <x:v>碧星靴☆☆</x:v>
      </x:c>
      <x:c r="BP100" s="18" t="str">
        <x:v>烈煌靴☆☆☆</x:v>
      </x:c>
      <x:c r="BQ100" s="18" t="str">
        <x:v>戰煌脛☆☆☆</x:v>
      </x:c>
      <x:c r="BR100" s="14"/>
      <x:c r="BS100" s="18" t="str">
        <x:v>大帝鎮★★☆</x:v>
      </x:c>
      <x:c r="BT100" s="18" t="str">
        <x:v>大帝鎮★★★</x:v>
      </x:c>
      <x:c r="BU100" s="18" t="str">
        <x:v>超三花聚頂玉</x:v>
      </x:c>
      <x:c r="BV100" s="18" t="str">
        <x:v>超醍醐灌頂珮</x:v>
      </x:c>
      <x:c r="BW100" s="14"/>
      <x:c r="BX100" s="14"/>
      <x:c r="BY100" s="14"/>
      <x:c r="BZ100" s="14"/>
      <x:c r="CA100" s="14"/>
      <x:c r="CB100" s="14"/>
      <x:c r="CC100" s="14"/>
      <x:c r="CD100" s="14"/>
      <x:c r="CE100" s="14"/>
      <x:c r="CF100" s="14"/>
      <x:c r="CG100" s="14"/>
      <x:c r="CH100" s="14"/>
      <x:c r="CI100" s="14"/>
      <x:c r="CJ100" s="14"/>
      <x:c r="CK100" s="14"/>
      <x:c r="CL100" s="14"/>
      <x:c r="CM100" s="14"/>
      <x:c r="CN100" s="14"/>
      <x:c r="CO100" s="14"/>
      <x:c r="CP100" s="14"/>
      <x:c r="CQ100" s="14"/>
      <x:c r="CR100" s="14"/>
      <x:c r="CS100" s="14"/>
      <x:c r="CT100" s="14"/>
      <x:c r="CU100" s="14"/>
      <x:c r="CV100" s="14"/>
      <x:c r="CW100" s="14"/>
      <x:c r="CX100" s="14"/>
      <x:c r="CY100" s="14"/>
      <x:c r="CZ100" s="14"/>
      <x:c r="DA100" s="14"/>
      <x:c r="DB100" s="14"/>
      <x:c r="DC100" s="14"/>
      <x:c r="DD100" s="14"/>
      <x:c r="DE100" s="14"/>
      <x:c r="DF100" s="14"/>
      <x:c r="DG100" s="14"/>
      <x:c r="DH100" s="14"/>
      <x:c r="DI100" s="14"/>
      <x:c r="DJ100" s="14"/>
      <x:c r="DK100" s="14"/>
      <x:c r="DL100" s="14"/>
      <x:c r="DM100" s="14"/>
      <x:c r="DN100" s="14"/>
      <x:c r="DO100" s="14"/>
      <x:c r="DP100" s="14"/>
      <x:c r="DQ100" s="14"/>
      <x:c r="DR100" s="14"/>
      <x:c r="DS100" s="14"/>
      <x:c r="DT100" s="14"/>
      <x:c r="DU100" s="14"/>
      <x:c r="DV100" s="14"/>
      <x:c r="DW100" s="14"/>
      <x:c r="DX100" s="14"/>
      <x:c r="DY100" s="14"/>
      <x:c r="DZ100" s="14"/>
      <x:c r="EA100" s="14"/>
      <x:c r="EB100" s="14"/>
      <x:c r="EC100" s="14"/>
      <x:c r="ED100" s="14"/>
      <x:c r="EE100" s="14"/>
      <x:c r="EF100" s="14"/>
      <x:c r="EG100" s="14"/>
      <x:c r="EH100" s="14"/>
      <x:c r="EI100" s="14"/>
      <x:c r="EJ100" s="14"/>
      <x:c r="EK100" s="14"/>
      <x:c r="EL100" s="14"/>
      <x:c r="EM100" s="14"/>
      <x:c r="EN100" s="14"/>
      <x:c r="EO100" s="14"/>
      <x:c r="EP100" s="14"/>
      <x:c r="EQ100" s="14"/>
      <x:c r="ER100" s="14"/>
      <x:c r="ES100" s="14"/>
      <x:c r="ET100" s="14"/>
      <x:c r="EU100" s="14"/>
      <x:c r="EV100" s="14"/>
      <x:c r="EW100" s="14"/>
      <x:c r="EX100" s="14"/>
      <x:c r="EY100" s="14"/>
      <x:c r="EZ100" s="14"/>
      <x:c r="FA100" s="14"/>
      <x:c r="FB100" s="14"/>
      <x:c r="FC100" s="14"/>
      <x:c r="FD100" s="14"/>
      <x:c r="FE100" s="14"/>
      <x:c r="FF100" s="14"/>
      <x:c r="FG100" s="14"/>
      <x:c r="FH100" s="14"/>
      <x:c r="FI100" s="14"/>
      <x:c r="FJ100" s="14"/>
      <x:c r="FK100" s="14"/>
      <x:c r="FL100" s="14"/>
      <x:c r="FM100" s="14"/>
      <x:c r="FN100" s="14"/>
      <x:c r="FO100" s="14"/>
      <x:c r="FP100" s="14"/>
      <x:c r="FQ100" s="14"/>
      <x:c r="FR100" s="14"/>
      <x:c r="FS100" s="14"/>
      <x:c r="FT100" s="14"/>
      <x:c r="FU100" s="14"/>
      <x:c r="FV100" s="14"/>
      <x:c r="FW100" s="14"/>
      <x:c r="FX100" s="14"/>
      <x:c r="FY100" s="14"/>
      <x:c r="FZ100" s="14"/>
      <x:c r="GA100" s="14"/>
      <x:c r="GB100" s="14"/>
      <x:c r="GC100" s="14"/>
      <x:c r="GD100" s="14"/>
      <x:c r="GE100" s="14"/>
      <x:c r="GF100" s="14"/>
      <x:c r="GG100" s="14"/>
      <x:c r="GH100" s="14"/>
      <x:c r="GI100" s="14"/>
      <x:c r="GJ100" s="14"/>
      <x:c r="GK100" s="14"/>
      <x:c r="GL100" s="14"/>
      <x:c r="GM100" s="14"/>
      <x:c r="GN100" s="14"/>
      <x:c r="GO100" s="14"/>
      <x:c r="GP100" s="14"/>
      <x:c r="GQ100" s="14"/>
      <x:c r="GR100" s="14"/>
      <x:c r="GS100" s="14"/>
      <x:c r="GT100" s="14"/>
      <x:c r="GU100" s="14"/>
      <x:c r="GV100" s="14"/>
      <x:c r="GW100" s="14"/>
      <x:c r="GX100" s="14"/>
      <x:c r="GY100" s="14"/>
      <x:c r="GZ100" s="14"/>
      <x:c r="HA100" s="14"/>
      <x:c r="HB100" s="14"/>
      <x:c r="HC100" s="14"/>
      <x:c r="HD100" s="14"/>
      <x:c r="HE100" s="14"/>
      <x:c r="HF100" s="14"/>
      <x:c r="HG100" s="14"/>
      <x:c r="HH100" s="14"/>
      <x:c r="HI100" s="14"/>
      <x:c r="HJ100" s="14"/>
      <x:c r="HK100" s="14"/>
      <x:c r="HL100" s="14"/>
      <x:c r="HM100" s="14"/>
      <x:c r="HN100" s="14"/>
      <x:c r="HO100" s="14"/>
      <x:c r="HP100" s="14"/>
      <x:c r="HQ100" s="14"/>
      <x:c r="HR100" s="14"/>
      <x:c r="HS100" s="14"/>
      <x:c r="HT100" s="14"/>
      <x:c r="HU100" s="14"/>
      <x:c r="HV100" s="14"/>
      <x:c r="HW100" s="14"/>
      <x:c r="HX100" s="14"/>
      <x:c r="HY100" s="14"/>
      <x:c r="HZ100" s="14"/>
      <x:c r="IA100" s="14"/>
      <x:c r="IB100" s="14"/>
      <x:c r="IC100" s="14"/>
      <x:c r="ID100" s="14"/>
      <x:c r="IE100" s="14"/>
      <x:c r="IF100" s="14"/>
      <x:c r="IG100" s="14"/>
      <x:c r="IH100" s="14"/>
      <x:c r="II100" s="14"/>
      <x:c r="IJ100" s="14"/>
      <x:c r="IK100" s="14"/>
      <x:c r="IL100" s="14"/>
      <x:c r="IM100" s="14"/>
      <x:c r="IN100" s="14"/>
      <x:c r="IO100" s="14"/>
      <x:c r="IP100" s="14"/>
      <x:c r="IQ100" s="14"/>
      <x:c r="IR100" s="14"/>
      <x:c r="IS100" s="14"/>
      <x:c r="IT100" s="14"/>
      <x:c r="IU100" s="14"/>
      <x:c r="IV100" s="14"/>
      <x:c r="IW100" s="14"/>
      <x:c r="IX100" s="14"/>
      <x:c r="IY100" s="14"/>
      <x:c r="IZ100" s="14"/>
      <x:c r="JA100" s="14"/>
      <x:c r="JB100" s="14"/>
      <x:c r="JC100" s="14"/>
      <x:c r="JD100" s="14"/>
      <x:c r="JE100" s="14"/>
      <x:c r="JF100" s="14"/>
      <x:c r="JG100" s="14"/>
      <x:c r="JH100" s="14"/>
      <x:c r="JI100" s="14"/>
      <x:c r="JJ100" s="14"/>
      <x:c r="JK100" s="14"/>
      <x:c r="JL100" s="14"/>
      <x:c r="JM100" s="14"/>
      <x:c r="JN100" s="14"/>
      <x:c r="JO100" s="14"/>
      <x:c r="JP100" s="14"/>
      <x:c r="JQ100" s="14"/>
      <x:c r="JR100" s="14"/>
      <x:c r="JS100" s="14"/>
      <x:c r="JT100" s="14"/>
      <x:c r="JU100" s="14"/>
      <x:c r="JV100" s="14"/>
      <x:c r="JW100" s="14"/>
      <x:c r="JX100" s="14"/>
      <x:c r="JY100" s="14"/>
      <x:c r="JZ100" s="14"/>
      <x:c r="KA100" s="14"/>
      <x:c r="KB100" s="14"/>
      <x:c r="KC100" s="14"/>
      <x:c r="KD100" s="14"/>
      <x:c r="KE100" s="14"/>
      <x:c r="KF100" s="14"/>
      <x:c r="KG100" s="14"/>
      <x:c r="KH100" s="14"/>
      <x:c r="KI100" s="14"/>
      <x:c r="KJ100" s="14"/>
      <x:c r="KK100" s="14"/>
      <x:c r="KL100" s="14"/>
      <x:c r="KM100" s="14"/>
      <x:c r="KN100" s="14"/>
      <x:c r="KO100" s="14"/>
      <x:c r="KP100" s="14"/>
      <x:c r="KQ100" s="14"/>
      <x:c r="KR100" s="14"/>
      <x:c r="KS100" s="14"/>
      <x:c r="KT100" s="14"/>
      <x:c r="KU100" s="14"/>
      <x:c r="KV100" s="14"/>
      <x:c r="KW100" s="14"/>
      <x:c r="KX100" s="14"/>
      <x:c r="KY100" s="14"/>
      <x:c r="KZ100" s="14"/>
      <x:c r="LA100" s="14"/>
      <x:c r="LB100" s="14"/>
      <x:c r="LC100" s="14"/>
      <x:c r="LD100" s="14"/>
      <x:c r="LE100" s="14"/>
      <x:c r="LF100" s="14"/>
      <x:c r="LG100" s="14"/>
      <x:c r="LH100" s="14"/>
      <x:c r="LI100" s="14"/>
      <x:c r="LJ100" s="14"/>
      <x:c r="LK100" s="14"/>
      <x:c r="LL100" s="14"/>
      <x:c r="LM100" s="14"/>
      <x:c r="LN100" s="14"/>
      <x:c r="LO100" s="14"/>
      <x:c r="LP100" s="14"/>
      <x:c r="LQ100" s="14"/>
      <x:c r="LR100" s="14"/>
      <x:c r="LS100" s="14"/>
      <x:c r="LT100" s="14"/>
      <x:c r="LU100" s="14"/>
      <x:c r="LV100" s="14"/>
      <x:c r="LW100" s="14"/>
      <x:c r="LX100" s="14"/>
      <x:c r="LY100" s="14"/>
      <x:c r="LZ100" s="14"/>
      <x:c r="MA100" s="14"/>
      <x:c r="MB100" s="14"/>
      <x:c r="MC100" s="14"/>
      <x:c r="MD100" s="14"/>
      <x:c r="ME100" s="14"/>
      <x:c r="MF100" s="14"/>
      <x:c r="MG100" s="14"/>
      <x:c r="MH100" s="14"/>
      <x:c r="MI100" s="14"/>
      <x:c r="MJ100" s="14"/>
      <x:c r="MK100" s="14"/>
      <x:c r="ML100" s="14"/>
      <x:c r="MM100" s="14"/>
      <x:c r="MN100" s="14"/>
      <x:c r="MO100" s="14"/>
      <x:c r="MP100" s="14"/>
      <x:c r="MQ100" s="14"/>
      <x:c r="MR100" s="14"/>
      <x:c r="MS100" s="14"/>
      <x:c r="MT100" s="14"/>
      <x:c r="MU100" s="14"/>
      <x:c r="MV100" s="14"/>
      <x:c r="MW100" s="14" t="str">
        <x:v>28843</x:v>
      </x:c>
      <x:c r="MX100" s="14" t="n">
        <x:v>5</x:v>
      </x:c>
      <x:c r="MY100" s="14" t="n">
        <x:v>1965</x:v>
      </x:c>
      <x:c r="MZ100" s="14" t="n">
        <x:v>317</x:v>
      </x:c>
      <x:c r="NA100" s="14" t="n">
        <x:v>8</x:v>
      </x:c>
      <x:c r="NB100" s="14" t="n">
        <x:v>1</x:v>
      </x:c>
      <x:c r="NC100" s="14" t="str">
        <x:v>未收錄</x:v>
      </x:c>
      <x:c r="ND100" s="14" t="str">
        <x:v>28846</x:v>
      </x:c>
      <x:c r="NE100" s="14" t="n">
        <x:v>5</x:v>
      </x:c>
      <x:c r="NF100" s="14" t="n">
        <x:v>1966</x:v>
      </x:c>
      <x:c r="NG100" s="14" t="n">
        <x:v>318</x:v>
      </x:c>
      <x:c r="NH100" s="14" t="n">
        <x:v>8</x:v>
      </x:c>
      <x:c r="NI100" s="14" t="n">
        <x:v>2</x:v>
      </x:c>
      <x:c r="NJ100" s="14" t="str">
        <x:v>未收錄</x:v>
      </x:c>
      <x:c r="NK100" s="14" t="str">
        <x:v>28849</x:v>
      </x:c>
      <x:c r="NL100" s="14" t="n">
        <x:v>5</x:v>
      </x:c>
      <x:c r="NM100" s="14" t="n">
        <x:v>1967</x:v>
      </x:c>
      <x:c r="NN100" s="14" t="n">
        <x:v>319</x:v>
      </x:c>
      <x:c r="NO100" s="14" t="n">
        <x:v>8</x:v>
      </x:c>
      <x:c r="NP100" s="14" t="n">
        <x:v>3</x:v>
      </x:c>
      <x:c r="NQ100" s="14" t="str">
        <x:v>未收錄</x:v>
      </x:c>
      <x:c r="NR100" s="14" t="str">
        <x:v>28852</x:v>
      </x:c>
      <x:c r="NS100" s="14" t="n">
        <x:v>5</x:v>
      </x:c>
      <x:c r="NT100" s="14" t="n">
        <x:v>1968</x:v>
      </x:c>
      <x:c r="NU100" s="14" t="n">
        <x:v>320</x:v>
      </x:c>
      <x:c r="NV100" s="14" t="n">
        <x:v>8</x:v>
      </x:c>
      <x:c r="NW100" s="14" t="n">
        <x:v>4</x:v>
      </x:c>
      <x:c r="NX100" s="14" t="str">
        <x:v>未收錄</x:v>
      </x:c>
      <x:c r="NY100" s="14" t="str">
        <x:v>27755</x:v>
      </x:c>
      <x:c r="NZ100" s="14" t="n">
        <x:v>10</x:v>
      </x:c>
      <x:c r="OA100" s="14" t="n">
        <x:v>2418</x:v>
      </x:c>
      <x:c r="OB100" s="14" t="n">
        <x:v>317</x:v>
      </x:c>
      <x:c r="OC100" s="14" t="n">
        <x:v>8</x:v>
      </x:c>
      <x:c r="OD100" s="14" t="n">
        <x:v>1</x:v>
      </x:c>
      <x:c r="OE100" s="14" t="str">
        <x:v>未收錄</x:v>
      </x:c>
      <x:c r="OF100" s="14" t="str">
        <x:v>27771</x:v>
      </x:c>
      <x:c r="OG100" s="14" t="n">
        <x:v>10</x:v>
      </x:c>
      <x:c r="OH100" s="14" t="n">
        <x:v>2419</x:v>
      </x:c>
      <x:c r="OI100" s="14" t="n">
        <x:v>318</x:v>
      </x:c>
      <x:c r="OJ100" s="14" t="n">
        <x:v>8</x:v>
      </x:c>
      <x:c r="OK100" s="14" t="n">
        <x:v>2</x:v>
      </x:c>
      <x:c r="OL100" s="14" t="str">
        <x:v>未收錄</x:v>
      </x:c>
      <x:c r="OM100" s="14" t="str">
        <x:v>27775</x:v>
      </x:c>
      <x:c r="ON100" s="14" t="n">
        <x:v>10</x:v>
      </x:c>
      <x:c r="OO100" s="14" t="n">
        <x:v>2420</x:v>
      </x:c>
      <x:c r="OP100" s="14" t="n">
        <x:v>319</x:v>
      </x:c>
      <x:c r="OQ100" s="14" t="n">
        <x:v>8</x:v>
      </x:c>
      <x:c r="OR100" s="14" t="n">
        <x:v>3</x:v>
      </x:c>
      <x:c r="OS100" s="14" t="str">
        <x:v>未收錄</x:v>
      </x:c>
      <x:c r="OT100" s="14" t="str">
        <x:v>27370</x:v>
      </x:c>
      <x:c r="OU100" s="14" t="n">
        <x:v>10</x:v>
      </x:c>
      <x:c r="OV100" s="14" t="n">
        <x:v>2421</x:v>
      </x:c>
      <x:c r="OW100" s="14" t="n">
        <x:v>320</x:v>
      </x:c>
      <x:c r="OX100" s="14" t="n">
        <x:v>8</x:v>
      </x:c>
      <x:c r="OY100" s="14" t="n">
        <x:v>4</x:v>
      </x:c>
      <x:c r="OZ100" s="14" t="str">
        <x:v>未收錄</x:v>
      </x:c>
      <x:c r="PA100" s="14" t="str">
        <x:v>29470</x:v>
      </x:c>
      <x:c r="PB100" s="14" t="n">
        <x:v>5</x:v>
      </x:c>
      <x:c r="PC100" s="14" t="n">
        <x:v>2964</x:v>
      </x:c>
      <x:c r="PD100" s="14" t="n">
        <x:v>317</x:v>
      </x:c>
      <x:c r="PE100" s="14" t="n">
        <x:v>8</x:v>
      </x:c>
      <x:c r="PF100" s="14" t="n">
        <x:v>1</x:v>
      </x:c>
      <x:c r="PG100" s="14" t="str">
        <x:v>未收錄</x:v>
      </x:c>
      <x:c r="PH100" s="14" t="str">
        <x:v>29476</x:v>
      </x:c>
      <x:c r="PI100" s="14" t="n">
        <x:v>5</x:v>
      </x:c>
      <x:c r="PJ100" s="14" t="n">
        <x:v>2965</x:v>
      </x:c>
      <x:c r="PK100" s="14" t="n">
        <x:v>318</x:v>
      </x:c>
      <x:c r="PL100" s="14" t="n">
        <x:v>8</x:v>
      </x:c>
      <x:c r="PM100" s="14" t="n">
        <x:v>2</x:v>
      </x:c>
      <x:c r="PN100" s="14" t="str">
        <x:v>未收錄</x:v>
      </x:c>
      <x:c r="PO100" s="14" t="str">
        <x:v>29482</x:v>
      </x:c>
      <x:c r="PP100" s="14" t="n">
        <x:v>5</x:v>
      </x:c>
      <x:c r="PQ100" s="14" t="n">
        <x:v>2966</x:v>
      </x:c>
      <x:c r="PR100" s="14" t="n">
        <x:v>319</x:v>
      </x:c>
      <x:c r="PS100" s="14" t="n">
        <x:v>8</x:v>
      </x:c>
      <x:c r="PT100" s="14" t="n">
        <x:v>3</x:v>
      </x:c>
      <x:c r="PU100" s="14" t="str">
        <x:v>未收錄</x:v>
      </x:c>
      <x:c r="PV100" s="14" t="str">
        <x:v>29488</x:v>
      </x:c>
      <x:c r="PW100" s="14" t="n">
        <x:v>5</x:v>
      </x:c>
      <x:c r="PX100" s="14" t="n">
        <x:v>2967</x:v>
      </x:c>
      <x:c r="PY100" s="14" t="n">
        <x:v>320</x:v>
      </x:c>
      <x:c r="PZ100" s="14" t="n">
        <x:v>8</x:v>
      </x:c>
      <x:c r="QA100" s="14" t="n">
        <x:v>4</x:v>
      </x:c>
      <x:c r="QB100" s="14" t="str">
        <x:v>未收錄</x:v>
      </x:c>
      <x:c r="QC100" s="14" t="str">
        <x:v>28973</x:v>
      </x:c>
      <x:c r="QD100" s="14" t="n">
        <x:v>10</x:v>
      </x:c>
      <x:c r="QE100" s="14" t="n">
        <x:v>3401</x:v>
      </x:c>
      <x:c r="QF100" s="14" t="n">
        <x:v>317</x:v>
      </x:c>
      <x:c r="QG100" s="14" t="n">
        <x:v>8</x:v>
      </x:c>
      <x:c r="QH100" s="14" t="n">
        <x:v>1</x:v>
      </x:c>
      <x:c r="QI100" s="14" t="str">
        <x:v>未收錄</x:v>
      </x:c>
      <x:c r="QJ100" s="14" t="str">
        <x:v>28982</x:v>
      </x:c>
      <x:c r="QK100" s="14" t="n">
        <x:v>10</x:v>
      </x:c>
      <x:c r="QL100" s="14" t="n">
        <x:v>3402</x:v>
      </x:c>
      <x:c r="QM100" s="14" t="n">
        <x:v>318</x:v>
      </x:c>
      <x:c r="QN100" s="14" t="n">
        <x:v>8</x:v>
      </x:c>
      <x:c r="QO100" s="14" t="n">
        <x:v>2</x:v>
      </x:c>
      <x:c r="QP100" s="14" t="str">
        <x:v>未收錄</x:v>
      </x:c>
      <x:c r="QQ100" s="14" t="str">
        <x:v>28888</x:v>
      </x:c>
      <x:c r="QR100" s="14" t="n">
        <x:v>5</x:v>
      </x:c>
      <x:c r="QS100" s="14" t="n">
        <x:v>3403</x:v>
      </x:c>
      <x:c r="QT100" s="14" t="n">
        <x:v>319</x:v>
      </x:c>
      <x:c r="QU100" s="14" t="n">
        <x:v>8</x:v>
      </x:c>
      <x:c r="QV100" s="14" t="n">
        <x:v>3</x:v>
      </x:c>
      <x:c r="QW100" s="14" t="str">
        <x:v>未收錄</x:v>
      </x:c>
      <x:c r="QX100" s="14" t="str">
        <x:v>28891</x:v>
      </x:c>
      <x:c r="QY100" s="14" t="n">
        <x:v>5</x:v>
      </x:c>
      <x:c r="QZ100" s="14" t="n">
        <x:v>3404</x:v>
      </x:c>
      <x:c r="RA100" s="14" t="n">
        <x:v>320</x:v>
      </x:c>
      <x:c r="RB100" s="14" t="n">
        <x:v>8</x:v>
      </x:c>
      <x:c r="RC100" s="14" t="n">
        <x:v>4</x:v>
      </x:c>
      <x:c r="RD100" s="14" t="str">
        <x:v>未收錄</x:v>
      </x:c>
      <x:c r="RE100" s="14" t="str">
        <x:v>29545</x:v>
      </x:c>
      <x:c r="RF100" s="14" t="n">
        <x:v>5</x:v>
      </x:c>
      <x:c r="RG100" s="14" t="n">
        <x:v>3862</x:v>
      </x:c>
      <x:c r="RH100" s="14" t="n">
        <x:v>317</x:v>
      </x:c>
      <x:c r="RI100" s="14" t="n">
        <x:v>8</x:v>
      </x:c>
      <x:c r="RJ100" s="14" t="n">
        <x:v>1</x:v>
      </x:c>
      <x:c r="RK100" s="14" t="str">
        <x:v>未收錄</x:v>
      </x:c>
      <x:c r="RL100" s="14" t="str">
        <x:v>29546</x:v>
      </x:c>
      <x:c r="RM100" s="14" t="n">
        <x:v>5</x:v>
      </x:c>
      <x:c r="RN100" s="14" t="n">
        <x:v>3863</x:v>
      </x:c>
      <x:c r="RO100" s="14" t="n">
        <x:v>318</x:v>
      </x:c>
      <x:c r="RP100" s="14" t="n">
        <x:v>8</x:v>
      </x:c>
      <x:c r="RQ100" s="14" t="n">
        <x:v>2</x:v>
      </x:c>
      <x:c r="RR100" s="14" t="str">
        <x:v>未收錄</x:v>
      </x:c>
      <x:c r="RS100" s="14" t="str">
        <x:v>29148</x:v>
      </x:c>
      <x:c r="RT100" s="14" t="n">
        <x:v>5</x:v>
      </x:c>
      <x:c r="RU100" s="14" t="n">
        <x:v>3864</x:v>
      </x:c>
      <x:c r="RV100" s="14" t="n">
        <x:v>319</x:v>
      </x:c>
      <x:c r="RW100" s="14" t="n">
        <x:v>8</x:v>
      </x:c>
      <x:c r="RX100" s="14" t="n">
        <x:v>3</x:v>
      </x:c>
      <x:c r="RY100" s="14" t="str">
        <x:v>未收錄</x:v>
      </x:c>
      <x:c r="RZ100" s="14" t="str">
        <x:v>29149</x:v>
      </x:c>
      <x:c r="SA100" s="14" t="n">
        <x:v>5</x:v>
      </x:c>
      <x:c r="SB100" s="14" t="n">
        <x:v>3865</x:v>
      </x:c>
      <x:c r="SC100" s="14" t="n">
        <x:v>320</x:v>
      </x:c>
      <x:c r="SD100" s="14" t="n">
        <x:v>8</x:v>
      </x:c>
      <x:c r="SE100" s="14" t="n">
        <x:v>4</x:v>
      </x:c>
      <x:c r="SF100" s="14" t="str">
        <x:v>未收錄</x:v>
      </x:c>
      <x:c r="SG100" s="14"/>
      <x:c r="SH100" s="14"/>
      <x:c r="SI100" s="14"/>
      <x:c r="SJ100" s="14"/>
      <x:c r="SK100" s="14"/>
      <x:c r="SL100" s="14"/>
      <x:c r="SM100" s="14"/>
      <x:c r="SN100" s="14"/>
      <x:c r="SO100" s="14"/>
      <x:c r="SP100" s="14"/>
      <x:c r="SQ100" s="14"/>
      <x:c r="SR100" s="14"/>
      <x:c r="SS100" s="14"/>
      <x:c r="ST100" s="14"/>
      <x:c r="SU100" s="14"/>
      <x:c r="SV100" s="14"/>
      <x:c r="SW100" s="14"/>
      <x:c r="SX100" s="14"/>
      <x:c r="SY100" s="14"/>
      <x:c r="SZ100" s="14"/>
      <x:c r="TA100" s="14"/>
      <x:c r="TB100" s="14"/>
      <x:c r="TC100" s="14"/>
      <x:c r="TD100" s="14"/>
      <x:c r="TE100" s="14"/>
      <x:c r="TF100" s="14"/>
      <x:c r="TG100" s="14"/>
      <x:c r="TH100" s="14"/>
    </x:row>
    <x:row r="101" ht="15" customHeight="1">
      <x:c r="A101" s="14"/>
      <x:c r="B101" s="14"/>
      <x:c r="C101" s="14"/>
      <x:c r="D101" s="14"/>
      <x:c r="E101" s="14"/>
      <x:c r="F101" s="14"/>
      <x:c r="G101" s="14"/>
      <x:c r="H101" s="14"/>
      <x:c r="I101" s="14"/>
      <x:c r="J101" s="14"/>
      <x:c r="K101" s="14"/>
      <x:c r="L101" s="14"/>
      <x:c r="M101" s="14"/>
      <x:c r="N101" s="14"/>
      <x:c r="O101" s="14"/>
      <x:c r="P101" s="14"/>
      <x:c r="Q101" s="14"/>
      <x:c r="R101" s="14"/>
      <x:c r="S101" s="14"/>
      <x:c r="T101" s="14"/>
      <x:c r="U101" s="14"/>
      <x:c r="V101" s="14"/>
      <x:c r="W101" s="14"/>
      <x:c r="X101" s="14"/>
      <x:c r="Y101" s="14"/>
      <x:c r="Z101" s="14"/>
      <x:c r="AA101" s="14"/>
      <x:c r="AB101" s="14"/>
      <x:c r="AC101" s="14"/>
      <x:c r="AD101" s="14"/>
      <x:c r="AE101" s="14"/>
      <x:c r="AF101" s="14"/>
      <x:c r="AG101" s="14"/>
      <x:c r="AH101" s="14"/>
      <x:c r="AI101" s="14"/>
      <x:c r="AJ101" s="14"/>
      <x:c r="AK101" s="14"/>
      <x:c r="AL101" s="14"/>
      <x:c r="AM101" s="14"/>
      <x:c r="AN101" s="14"/>
      <x:c r="AO101" s="14"/>
      <x:c r="AP101" s="14"/>
      <x:c r="AQ101" s="14"/>
      <x:c r="AR101" s="14"/>
      <x:c r="AS101" s="14"/>
      <x:c r="AT101" s="14"/>
      <x:c r="AU101" s="14"/>
      <x:c r="AV101" s="14"/>
      <x:c r="AW101" s="14"/>
      <x:c r="AX101" s="14"/>
      <x:c r="AY101" s="17" t="str">
        <x:v>佛煌頂☆☆☆</x:v>
      </x:c>
      <x:c r="AZ101" s="17" t="str">
        <x:v>鬼兇冠☆☆☆</x:v>
      </x:c>
      <x:c r="BA101" s="17" t="str">
        <x:v>柳月巾☆☆☆</x:v>
      </x:c>
      <x:c r="BB101" s="17" t="str">
        <x:v>劍帝冕☆</x:v>
      </x:c>
      <x:c r="BC101" s="14"/>
      <x:c r="BD101" s="17" t="str">
        <x:v>絕．仁者聖甲</x:v>
      </x:c>
      <x:c r="BE101" s="17" t="str">
        <x:v>絕．義者聖甲</x:v>
      </x:c>
      <x:c r="BF101" s="17" t="str">
        <x:v>絕．勇者聖甲</x:v>
      </x:c>
      <x:c r="BG101" s="17" t="str">
        <x:v>帝．智者聖甲</x:v>
      </x:c>
      <x:c r="BH101" s="14"/>
      <x:c r="BI101" s="17" t="str">
        <x:v>鬼帝臂★</x:v>
      </x:c>
      <x:c r="BJ101" s="17" t="str">
        <x:v>黃鳴腕★</x:v>
      </x:c>
      <x:c r="BK101" s="17" t="str">
        <x:v>劍帝握★☆</x:v>
      </x:c>
      <x:c r="BL101" s="17" t="str">
        <x:v>武帝掌★☆</x:v>
      </x:c>
      <x:c r="BM101" s="14"/>
      <x:c r="BN101" s="17" t="str">
        <x:v>燦煌足☆☆☆</x:v>
      </x:c>
      <x:c r="BO101" s="17" t="str">
        <x:v>道煌履☆☆☆</x:v>
      </x:c>
      <x:c r="BP101" s="17" t="str">
        <x:v>佛煌行☆☆☆</x:v>
      </x:c>
      <x:c r="BQ101" s="17" t="str">
        <x:v>鬼兇靴☆☆☆</x:v>
      </x:c>
      <x:c r="BR101" s="14"/>
      <x:c r="BS101" s="17" t="str">
        <x:v>開皇玄武之心</x:v>
      </x:c>
      <x:c r="BT101" s="17" t="str">
        <x:v>開皇白虎之心</x:v>
      </x:c>
      <x:c r="BU101" s="17" t="str">
        <x:v>開皇青龍之心</x:v>
      </x:c>
      <x:c r="BV101" s="17" t="str">
        <x:v>開皇鳳凰之心</x:v>
      </x:c>
      <x:c r="BW101" s="14"/>
      <x:c r="BX101" s="14"/>
      <x:c r="BY101" s="14"/>
      <x:c r="BZ101" s="14"/>
      <x:c r="CA101" s="14"/>
      <x:c r="CB101" s="14"/>
      <x:c r="CC101" s="14"/>
      <x:c r="CD101" s="14"/>
      <x:c r="CE101" s="14"/>
      <x:c r="CF101" s="14"/>
      <x:c r="CG101" s="14"/>
      <x:c r="CH101" s="14"/>
      <x:c r="CI101" s="14"/>
      <x:c r="CJ101" s="14"/>
      <x:c r="CK101" s="14"/>
      <x:c r="CL101" s="14"/>
      <x:c r="CM101" s="14"/>
      <x:c r="CN101" s="14"/>
      <x:c r="CO101" s="14"/>
      <x:c r="CP101" s="14"/>
      <x:c r="CQ101" s="14"/>
      <x:c r="CR101" s="14"/>
      <x:c r="CS101" s="14"/>
      <x:c r="CT101" s="14"/>
      <x:c r="CU101" s="14"/>
      <x:c r="CV101" s="14"/>
      <x:c r="CW101" s="14"/>
      <x:c r="CX101" s="14"/>
      <x:c r="CY101" s="14"/>
      <x:c r="CZ101" s="14"/>
      <x:c r="DA101" s="14"/>
      <x:c r="DB101" s="14"/>
      <x:c r="DC101" s="14"/>
      <x:c r="DD101" s="14"/>
      <x:c r="DE101" s="14"/>
      <x:c r="DF101" s="14"/>
      <x:c r="DG101" s="14"/>
      <x:c r="DH101" s="14"/>
      <x:c r="DI101" s="14"/>
      <x:c r="DJ101" s="14"/>
      <x:c r="DK101" s="14"/>
      <x:c r="DL101" s="14"/>
      <x:c r="DM101" s="14"/>
      <x:c r="DN101" s="14"/>
      <x:c r="DO101" s="14"/>
      <x:c r="DP101" s="14"/>
      <x:c r="DQ101" s="14"/>
      <x:c r="DR101" s="14"/>
      <x:c r="DS101" s="14"/>
      <x:c r="DT101" s="14"/>
      <x:c r="DU101" s="14"/>
      <x:c r="DV101" s="14"/>
      <x:c r="DW101" s="14"/>
      <x:c r="DX101" s="14"/>
      <x:c r="DY101" s="14"/>
      <x:c r="DZ101" s="14"/>
      <x:c r="EA101" s="14"/>
      <x:c r="EB101" s="14"/>
      <x:c r="EC101" s="14"/>
      <x:c r="ED101" s="14"/>
      <x:c r="EE101" s="14"/>
      <x:c r="EF101" s="14"/>
      <x:c r="EG101" s="14"/>
      <x:c r="EH101" s="14"/>
      <x:c r="EI101" s="14"/>
      <x:c r="EJ101" s="14"/>
      <x:c r="EK101" s="14"/>
      <x:c r="EL101" s="14"/>
      <x:c r="EM101" s="14"/>
      <x:c r="EN101" s="14"/>
      <x:c r="EO101" s="14"/>
      <x:c r="EP101" s="14"/>
      <x:c r="EQ101" s="14"/>
      <x:c r="ER101" s="14"/>
      <x:c r="ES101" s="14"/>
      <x:c r="ET101" s="14"/>
      <x:c r="EU101" s="14"/>
      <x:c r="EV101" s="14"/>
      <x:c r="EW101" s="14"/>
      <x:c r="EX101" s="14"/>
      <x:c r="EY101" s="14"/>
      <x:c r="EZ101" s="14"/>
      <x:c r="FA101" s="14"/>
      <x:c r="FB101" s="14"/>
      <x:c r="FC101" s="14"/>
      <x:c r="FD101" s="14"/>
      <x:c r="FE101" s="14"/>
      <x:c r="FF101" s="14"/>
      <x:c r="FG101" s="14"/>
      <x:c r="FH101" s="14"/>
      <x:c r="FI101" s="14"/>
      <x:c r="FJ101" s="14"/>
      <x:c r="FK101" s="14"/>
      <x:c r="FL101" s="14"/>
      <x:c r="FM101" s="14"/>
      <x:c r="FN101" s="14"/>
      <x:c r="FO101" s="14"/>
      <x:c r="FP101" s="14"/>
      <x:c r="FQ101" s="14"/>
      <x:c r="FR101" s="14"/>
      <x:c r="FS101" s="14"/>
      <x:c r="FT101" s="14"/>
      <x:c r="FU101" s="14"/>
      <x:c r="FV101" s="14"/>
      <x:c r="FW101" s="14"/>
      <x:c r="FX101" s="14"/>
      <x:c r="FY101" s="14"/>
      <x:c r="FZ101" s="14"/>
      <x:c r="GA101" s="14"/>
      <x:c r="GB101" s="14"/>
      <x:c r="GC101" s="14"/>
      <x:c r="GD101" s="14"/>
      <x:c r="GE101" s="14"/>
      <x:c r="GF101" s="14"/>
      <x:c r="GG101" s="14"/>
      <x:c r="GH101" s="14"/>
      <x:c r="GI101" s="14"/>
      <x:c r="GJ101" s="14"/>
      <x:c r="GK101" s="14"/>
      <x:c r="GL101" s="14"/>
      <x:c r="GM101" s="14"/>
      <x:c r="GN101" s="14"/>
      <x:c r="GO101" s="14"/>
      <x:c r="GP101" s="14"/>
      <x:c r="GQ101" s="14"/>
      <x:c r="GR101" s="14"/>
      <x:c r="GS101" s="14"/>
      <x:c r="GT101" s="14"/>
      <x:c r="GU101" s="14"/>
      <x:c r="GV101" s="14"/>
      <x:c r="GW101" s="14"/>
      <x:c r="GX101" s="14"/>
      <x:c r="GY101" s="14"/>
      <x:c r="GZ101" s="14"/>
      <x:c r="HA101" s="14"/>
      <x:c r="HB101" s="14"/>
      <x:c r="HC101" s="14"/>
      <x:c r="HD101" s="14"/>
      <x:c r="HE101" s="14"/>
      <x:c r="HF101" s="14"/>
      <x:c r="HG101" s="14"/>
      <x:c r="HH101" s="14"/>
      <x:c r="HI101" s="14"/>
      <x:c r="HJ101" s="14"/>
      <x:c r="HK101" s="14"/>
      <x:c r="HL101" s="14"/>
      <x:c r="HM101" s="14"/>
      <x:c r="HN101" s="14"/>
      <x:c r="HO101" s="14"/>
      <x:c r="HP101" s="14"/>
      <x:c r="HQ101" s="14"/>
      <x:c r="HR101" s="14"/>
      <x:c r="HS101" s="14"/>
      <x:c r="HT101" s="14"/>
      <x:c r="HU101" s="14"/>
      <x:c r="HV101" s="14"/>
      <x:c r="HW101" s="14"/>
      <x:c r="HX101" s="14"/>
      <x:c r="HY101" s="14"/>
      <x:c r="HZ101" s="14"/>
      <x:c r="IA101" s="14"/>
      <x:c r="IB101" s="14"/>
      <x:c r="IC101" s="14"/>
      <x:c r="ID101" s="14"/>
      <x:c r="IE101" s="14"/>
      <x:c r="IF101" s="14"/>
      <x:c r="IG101" s="14"/>
      <x:c r="IH101" s="14"/>
      <x:c r="II101" s="14"/>
      <x:c r="IJ101" s="14"/>
      <x:c r="IK101" s="14"/>
      <x:c r="IL101" s="14"/>
      <x:c r="IM101" s="14"/>
      <x:c r="IN101" s="14"/>
      <x:c r="IO101" s="14"/>
      <x:c r="IP101" s="14"/>
      <x:c r="IQ101" s="14"/>
      <x:c r="IR101" s="14"/>
      <x:c r="IS101" s="14"/>
      <x:c r="IT101" s="14"/>
      <x:c r="IU101" s="14"/>
      <x:c r="IV101" s="14"/>
      <x:c r="IW101" s="14"/>
      <x:c r="IX101" s="14"/>
      <x:c r="IY101" s="14"/>
      <x:c r="IZ101" s="14"/>
      <x:c r="JA101" s="14"/>
      <x:c r="JB101" s="14"/>
      <x:c r="JC101" s="14"/>
      <x:c r="JD101" s="14"/>
      <x:c r="JE101" s="14"/>
      <x:c r="JF101" s="14"/>
      <x:c r="JG101" s="14"/>
      <x:c r="JH101" s="14"/>
      <x:c r="JI101" s="14"/>
      <x:c r="JJ101" s="14"/>
      <x:c r="JK101" s="14"/>
      <x:c r="JL101" s="14"/>
      <x:c r="JM101" s="14"/>
      <x:c r="JN101" s="14"/>
      <x:c r="JO101" s="14"/>
      <x:c r="JP101" s="14"/>
      <x:c r="JQ101" s="14"/>
      <x:c r="JR101" s="14"/>
      <x:c r="JS101" s="14"/>
      <x:c r="JT101" s="14"/>
      <x:c r="JU101" s="14"/>
      <x:c r="JV101" s="14"/>
      <x:c r="JW101" s="14"/>
      <x:c r="JX101" s="14"/>
      <x:c r="JY101" s="14"/>
      <x:c r="JZ101" s="14"/>
      <x:c r="KA101" s="14"/>
      <x:c r="KB101" s="14"/>
      <x:c r="KC101" s="14"/>
      <x:c r="KD101" s="14"/>
      <x:c r="KE101" s="14"/>
      <x:c r="KF101" s="14"/>
      <x:c r="KG101" s="14"/>
      <x:c r="KH101" s="14"/>
      <x:c r="KI101" s="14"/>
      <x:c r="KJ101" s="14"/>
      <x:c r="KK101" s="14"/>
      <x:c r="KL101" s="14"/>
      <x:c r="KM101" s="14"/>
      <x:c r="KN101" s="14"/>
      <x:c r="KO101" s="14"/>
      <x:c r="KP101" s="14"/>
      <x:c r="KQ101" s="14"/>
      <x:c r="KR101" s="14"/>
      <x:c r="KS101" s="14"/>
      <x:c r="KT101" s="14"/>
      <x:c r="KU101" s="14"/>
      <x:c r="KV101" s="14"/>
      <x:c r="KW101" s="14"/>
      <x:c r="KX101" s="14"/>
      <x:c r="KY101" s="14"/>
      <x:c r="KZ101" s="14"/>
      <x:c r="LA101" s="14"/>
      <x:c r="LB101" s="14"/>
      <x:c r="LC101" s="14"/>
      <x:c r="LD101" s="14"/>
      <x:c r="LE101" s="14"/>
      <x:c r="LF101" s="14"/>
      <x:c r="LG101" s="14"/>
      <x:c r="LH101" s="14"/>
      <x:c r="LI101" s="14"/>
      <x:c r="LJ101" s="14"/>
      <x:c r="LK101" s="14"/>
      <x:c r="LL101" s="14"/>
      <x:c r="LM101" s="14"/>
      <x:c r="LN101" s="14"/>
      <x:c r="LO101" s="14"/>
      <x:c r="LP101" s="14"/>
      <x:c r="LQ101" s="14"/>
      <x:c r="LR101" s="14"/>
      <x:c r="LS101" s="14"/>
      <x:c r="LT101" s="14"/>
      <x:c r="LU101" s="14"/>
      <x:c r="LV101" s="14"/>
      <x:c r="LW101" s="14"/>
      <x:c r="LX101" s="14"/>
      <x:c r="LY101" s="14"/>
      <x:c r="LZ101" s="14"/>
      <x:c r="MA101" s="14"/>
      <x:c r="MB101" s="14"/>
      <x:c r="MC101" s="14"/>
      <x:c r="MD101" s="14"/>
      <x:c r="ME101" s="14"/>
      <x:c r="MF101" s="14"/>
      <x:c r="MG101" s="14"/>
      <x:c r="MH101" s="14"/>
      <x:c r="MI101" s="14"/>
      <x:c r="MJ101" s="14"/>
      <x:c r="MK101" s="14"/>
      <x:c r="ML101" s="14"/>
      <x:c r="MM101" s="14"/>
      <x:c r="MN101" s="14"/>
      <x:c r="MO101" s="14"/>
      <x:c r="MP101" s="14"/>
      <x:c r="MQ101" s="14"/>
      <x:c r="MR101" s="14"/>
      <x:c r="MS101" s="14"/>
      <x:c r="MT101" s="14"/>
      <x:c r="MU101" s="14"/>
      <x:c r="MV101" s="14"/>
      <x:c r="MW101" s="14" t="str">
        <x:v>28855</x:v>
      </x:c>
      <x:c r="MX101" s="14" t="n">
        <x:v>5</x:v>
      </x:c>
      <x:c r="MY101" s="14" t="n">
        <x:v>1969</x:v>
      </x:c>
      <x:c r="MZ101" s="14" t="n">
        <x:v>321</x:v>
      </x:c>
      <x:c r="NA101" s="14" t="n">
        <x:v>9</x:v>
      </x:c>
      <x:c r="NB101" s="14" t="n">
        <x:v>1</x:v>
      </x:c>
      <x:c r="NC101" s="14" t="str">
        <x:v>未收錄</x:v>
      </x:c>
      <x:c r="ND101" s="14" t="str">
        <x:v>28953</x:v>
      </x:c>
      <x:c r="NE101" s="14" t="n">
        <x:v>10</x:v>
      </x:c>
      <x:c r="NF101" s="14" t="n">
        <x:v>1970</x:v>
      </x:c>
      <x:c r="NG101" s="14" t="n">
        <x:v>322</x:v>
      </x:c>
      <x:c r="NH101" s="14" t="n">
        <x:v>9</x:v>
      </x:c>
      <x:c r="NI101" s="14" t="n">
        <x:v>2</x:v>
      </x:c>
      <x:c r="NJ101" s="14" t="str">
        <x:v>未收錄</x:v>
      </x:c>
      <x:c r="NK101" s="14" t="str">
        <x:v>28965</x:v>
      </x:c>
      <x:c r="NL101" s="14" t="n">
        <x:v>10</x:v>
      </x:c>
      <x:c r="NM101" s="14" t="n">
        <x:v>1971</x:v>
      </x:c>
      <x:c r="NN101" s="14" t="n">
        <x:v>323</x:v>
      </x:c>
      <x:c r="NO101" s="14" t="n">
        <x:v>9</x:v>
      </x:c>
      <x:c r="NP101" s="14" t="n">
        <x:v>3</x:v>
      </x:c>
      <x:c r="NQ101" s="14" t="str">
        <x:v>未收錄</x:v>
      </x:c>
      <x:c r="NR101" s="14" t="str">
        <x:v>29403</x:v>
      </x:c>
      <x:c r="NS101" s="14" t="n">
        <x:v>5</x:v>
      </x:c>
      <x:c r="NT101" s="14" t="n">
        <x:v>1972</x:v>
      </x:c>
      <x:c r="NU101" s="14" t="n">
        <x:v>324</x:v>
      </x:c>
      <x:c r="NV101" s="14" t="n">
        <x:v>9</x:v>
      </x:c>
      <x:c r="NW101" s="14" t="n">
        <x:v>4</x:v>
      </x:c>
      <x:c r="NX101" s="14" t="str">
        <x:v>未收錄</x:v>
      </x:c>
      <x:c r="NY101" s="14" t="str">
        <x:v>27371</x:v>
      </x:c>
      <x:c r="NZ101" s="14" t="n">
        <x:v>10</x:v>
      </x:c>
      <x:c r="OA101" s="14" t="n">
        <x:v>2422</x:v>
      </x:c>
      <x:c r="OB101" s="14" t="n">
        <x:v>321</x:v>
      </x:c>
      <x:c r="OC101" s="14" t="n">
        <x:v>9</x:v>
      </x:c>
      <x:c r="OD101" s="14" t="n">
        <x:v>1</x:v>
      </x:c>
      <x:c r="OE101" s="14" t="str">
        <x:v>未收錄</x:v>
      </x:c>
      <x:c r="OF101" s="14" t="str">
        <x:v>27372</x:v>
      </x:c>
      <x:c r="OG101" s="14" t="n">
        <x:v>10</x:v>
      </x:c>
      <x:c r="OH101" s="14" t="n">
        <x:v>2423</x:v>
      </x:c>
      <x:c r="OI101" s="14" t="n">
        <x:v>322</x:v>
      </x:c>
      <x:c r="OJ101" s="14" t="n">
        <x:v>9</x:v>
      </x:c>
      <x:c r="OK101" s="14" t="n">
        <x:v>2</x:v>
      </x:c>
      <x:c r="OL101" s="14" t="str">
        <x:v>未收錄</x:v>
      </x:c>
      <x:c r="OM101" s="14" t="str">
        <x:v>27373</x:v>
      </x:c>
      <x:c r="ON101" s="14" t="n">
        <x:v>10</x:v>
      </x:c>
      <x:c r="OO101" s="14" t="n">
        <x:v>2424</x:v>
      </x:c>
      <x:c r="OP101" s="14" t="n">
        <x:v>323</x:v>
      </x:c>
      <x:c r="OQ101" s="14" t="n">
        <x:v>9</x:v>
      </x:c>
      <x:c r="OR101" s="14" t="n">
        <x:v>3</x:v>
      </x:c>
      <x:c r="OS101" s="14" t="str">
        <x:v>未收錄</x:v>
      </x:c>
      <x:c r="OT101" s="14" t="str">
        <x:v>27586</x:v>
      </x:c>
      <x:c r="OU101" s="14" t="n">
        <x:v>10</x:v>
      </x:c>
      <x:c r="OV101" s="14" t="n">
        <x:v>2425</x:v>
      </x:c>
      <x:c r="OW101" s="14" t="n">
        <x:v>324</x:v>
      </x:c>
      <x:c r="OX101" s="14" t="n">
        <x:v>9</x:v>
      </x:c>
      <x:c r="OY101" s="14" t="n">
        <x:v>4</x:v>
      </x:c>
      <x:c r="OZ101" s="14" t="str">
        <x:v>未收錄</x:v>
      </x:c>
      <x:c r="PA101" s="14" t="str">
        <x:v>29560</x:v>
      </x:c>
      <x:c r="PB101" s="14" t="n">
        <x:v>10</x:v>
      </x:c>
      <x:c r="PC101" s="14" t="n">
        <x:v>2968</x:v>
      </x:c>
      <x:c r="PD101" s="14" t="n">
        <x:v>321</x:v>
      </x:c>
      <x:c r="PE101" s="14" t="n">
        <x:v>9</x:v>
      </x:c>
      <x:c r="PF101" s="14" t="n">
        <x:v>1</x:v>
      </x:c>
      <x:c r="PG101" s="14" t="str">
        <x:v>未收錄</x:v>
      </x:c>
      <x:c r="PH101" s="14" t="str">
        <x:v>29584</x:v>
      </x:c>
      <x:c r="PI101" s="14" t="n">
        <x:v>10</x:v>
      </x:c>
      <x:c r="PJ101" s="14" t="n">
        <x:v>2969</x:v>
      </x:c>
      <x:c r="PK101" s="14" t="n">
        <x:v>322</x:v>
      </x:c>
      <x:c r="PL101" s="14" t="n">
        <x:v>9</x:v>
      </x:c>
      <x:c r="PM101" s="14" t="n">
        <x:v>2</x:v>
      </x:c>
      <x:c r="PN101" s="14" t="str">
        <x:v>未收錄</x:v>
      </x:c>
      <x:c r="PO101" s="14" t="str">
        <x:v>29465</x:v>
      </x:c>
      <x:c r="PP101" s="14" t="n">
        <x:v>5</x:v>
      </x:c>
      <x:c r="PQ101" s="14" t="n">
        <x:v>2970</x:v>
      </x:c>
      <x:c r="PR101" s="14" t="n">
        <x:v>323</x:v>
      </x:c>
      <x:c r="PS101" s="14" t="n">
        <x:v>9</x:v>
      </x:c>
      <x:c r="PT101" s="14" t="n">
        <x:v>3</x:v>
      </x:c>
      <x:c r="PU101" s="14" t="str">
        <x:v>未收錄</x:v>
      </x:c>
      <x:c r="PV101" s="14" t="str">
        <x:v>29471</x:v>
      </x:c>
      <x:c r="PW101" s="14" t="n">
        <x:v>5</x:v>
      </x:c>
      <x:c r="PX101" s="14" t="n">
        <x:v>2971</x:v>
      </x:c>
      <x:c r="PY101" s="14" t="n">
        <x:v>324</x:v>
      </x:c>
      <x:c r="PZ101" s="14" t="n">
        <x:v>9</x:v>
      </x:c>
      <x:c r="QA101" s="14" t="n">
        <x:v>4</x:v>
      </x:c>
      <x:c r="QB101" s="14" t="str">
        <x:v>未收錄</x:v>
      </x:c>
      <x:c r="QC101" s="14" t="str">
        <x:v>28894</x:v>
      </x:c>
      <x:c r="QD101" s="14" t="n">
        <x:v>5</x:v>
      </x:c>
      <x:c r="QE101" s="14" t="n">
        <x:v>3405</x:v>
      </x:c>
      <x:c r="QF101" s="14" t="n">
        <x:v>321</x:v>
      </x:c>
      <x:c r="QG101" s="14" t="n">
        <x:v>9</x:v>
      </x:c>
      <x:c r="QH101" s="14" t="n">
        <x:v>1</x:v>
      </x:c>
      <x:c r="QI101" s="14" t="str">
        <x:v>未收錄</x:v>
      </x:c>
      <x:c r="QJ101" s="14" t="str">
        <x:v>28897</x:v>
      </x:c>
      <x:c r="QK101" s="14" t="n">
        <x:v>5</x:v>
      </x:c>
      <x:c r="QL101" s="14" t="n">
        <x:v>3406</x:v>
      </x:c>
      <x:c r="QM101" s="14" t="n">
        <x:v>322</x:v>
      </x:c>
      <x:c r="QN101" s="14" t="n">
        <x:v>9</x:v>
      </x:c>
      <x:c r="QO101" s="14" t="n">
        <x:v>2</x:v>
      </x:c>
      <x:c r="QP101" s="14" t="str">
        <x:v>未收錄</x:v>
      </x:c>
      <x:c r="QQ101" s="14" t="str">
        <x:v>28900</x:v>
      </x:c>
      <x:c r="QR101" s="14" t="n">
        <x:v>5</x:v>
      </x:c>
      <x:c r="QS101" s="14" t="n">
        <x:v>3407</x:v>
      </x:c>
      <x:c r="QT101" s="14" t="n">
        <x:v>323</x:v>
      </x:c>
      <x:c r="QU101" s="14" t="n">
        <x:v>9</x:v>
      </x:c>
      <x:c r="QV101" s="14" t="n">
        <x:v>3</x:v>
      </x:c>
      <x:c r="QW101" s="14" t="str">
        <x:v>未收錄</x:v>
      </x:c>
      <x:c r="QX101" s="14" t="str">
        <x:v>28962</x:v>
      </x:c>
      <x:c r="QY101" s="14" t="n">
        <x:v>10</x:v>
      </x:c>
      <x:c r="QZ101" s="14" t="n">
        <x:v>3408</x:v>
      </x:c>
      <x:c r="RA101" s="14" t="n">
        <x:v>324</x:v>
      </x:c>
      <x:c r="RB101" s="14" t="n">
        <x:v>9</x:v>
      </x:c>
      <x:c r="RC101" s="14" t="n">
        <x:v>4</x:v>
      </x:c>
      <x:c r="RD101" s="14" t="str">
        <x:v>未收錄</x:v>
      </x:c>
      <x:c r="RE101" s="14" t="str">
        <x:v>29690</x:v>
      </x:c>
      <x:c r="RF101" s="14" t="n">
        <x:v>5</x:v>
      </x:c>
      <x:c r="RG101" s="14" t="n">
        <x:v>3866</x:v>
      </x:c>
      <x:c r="RH101" s="14" t="n">
        <x:v>321</x:v>
      </x:c>
      <x:c r="RI101" s="14" t="n">
        <x:v>9</x:v>
      </x:c>
      <x:c r="RJ101" s="14" t="n">
        <x:v>1</x:v>
      </x:c>
      <x:c r="RK101" s="14" t="str">
        <x:v>未收錄</x:v>
      </x:c>
      <x:c r="RL101" s="14" t="str">
        <x:v>29691</x:v>
      </x:c>
      <x:c r="RM101" s="14" t="n">
        <x:v>5</x:v>
      </x:c>
      <x:c r="RN101" s="14" t="n">
        <x:v>3867</x:v>
      </x:c>
      <x:c r="RO101" s="14" t="n">
        <x:v>322</x:v>
      </x:c>
      <x:c r="RP101" s="14" t="n">
        <x:v>9</x:v>
      </x:c>
      <x:c r="RQ101" s="14" t="n">
        <x:v>2</x:v>
      </x:c>
      <x:c r="RR101" s="14" t="str">
        <x:v>未收錄</x:v>
      </x:c>
      <x:c r="RS101" s="14" t="str">
        <x:v>29692</x:v>
      </x:c>
      <x:c r="RT101" s="14" t="n">
        <x:v>5</x:v>
      </x:c>
      <x:c r="RU101" s="14" t="n">
        <x:v>3868</x:v>
      </x:c>
      <x:c r="RV101" s="14" t="n">
        <x:v>323</x:v>
      </x:c>
      <x:c r="RW101" s="14" t="n">
        <x:v>9</x:v>
      </x:c>
      <x:c r="RX101" s="14" t="n">
        <x:v>3</x:v>
      </x:c>
      <x:c r="RY101" s="14" t="str">
        <x:v>未收錄</x:v>
      </x:c>
      <x:c r="RZ101" s="14" t="str">
        <x:v>29693</x:v>
      </x:c>
      <x:c r="SA101" s="14" t="n">
        <x:v>5</x:v>
      </x:c>
      <x:c r="SB101" s="14" t="n">
        <x:v>3869</x:v>
      </x:c>
      <x:c r="SC101" s="14" t="n">
        <x:v>324</x:v>
      </x:c>
      <x:c r="SD101" s="14" t="n">
        <x:v>9</x:v>
      </x:c>
      <x:c r="SE101" s="14" t="n">
        <x:v>4</x:v>
      </x:c>
      <x:c r="SF101" s="14" t="str">
        <x:v>未收錄</x:v>
      </x:c>
      <x:c r="SG101" s="14"/>
      <x:c r="SH101" s="14"/>
      <x:c r="SI101" s="14"/>
      <x:c r="SJ101" s="14"/>
      <x:c r="SK101" s="14"/>
      <x:c r="SL101" s="14"/>
      <x:c r="SM101" s="14"/>
      <x:c r="SN101" s="14"/>
      <x:c r="SO101" s="14"/>
      <x:c r="SP101" s="14"/>
      <x:c r="SQ101" s="14"/>
      <x:c r="SR101" s="14"/>
      <x:c r="SS101" s="14"/>
      <x:c r="ST101" s="14"/>
      <x:c r="SU101" s="14"/>
      <x:c r="SV101" s="14"/>
      <x:c r="SW101" s="14"/>
      <x:c r="SX101" s="14"/>
      <x:c r="SY101" s="14"/>
      <x:c r="SZ101" s="14"/>
      <x:c r="TA101" s="14"/>
      <x:c r="TB101" s="14"/>
      <x:c r="TC101" s="14"/>
      <x:c r="TD101" s="14"/>
      <x:c r="TE101" s="14"/>
      <x:c r="TF101" s="14"/>
      <x:c r="TG101" s="14"/>
      <x:c r="TH101" s="14"/>
    </x:row>
    <x:row r="102" ht="15" customHeight="1">
      <x:c r="A102" s="14"/>
      <x:c r="B102" s="14"/>
      <x:c r="C102" s="14"/>
      <x:c r="D102" s="14"/>
      <x:c r="E102" s="14"/>
      <x:c r="F102" s="14"/>
      <x:c r="G102" s="14"/>
      <x:c r="H102" s="14"/>
      <x:c r="I102" s="14"/>
      <x:c r="J102" s="14"/>
      <x:c r="K102" s="14"/>
      <x:c r="L102" s="14"/>
      <x:c r="M102" s="14"/>
      <x:c r="N102" s="14"/>
      <x:c r="O102" s="14"/>
      <x:c r="P102" s="14"/>
      <x:c r="Q102" s="14"/>
      <x:c r="R102" s="14"/>
      <x:c r="S102" s="14"/>
      <x:c r="T102" s="14"/>
      <x:c r="U102" s="14"/>
      <x:c r="V102" s="14"/>
      <x:c r="W102" s="14"/>
      <x:c r="X102" s="14"/>
      <x:c r="Y102" s="14"/>
      <x:c r="Z102" s="14"/>
      <x:c r="AA102" s="14"/>
      <x:c r="AB102" s="14"/>
      <x:c r="AC102" s="14"/>
      <x:c r="AD102" s="14"/>
      <x:c r="AE102" s="14"/>
      <x:c r="AF102" s="14"/>
      <x:c r="AG102" s="14"/>
      <x:c r="AH102" s="14"/>
      <x:c r="AI102" s="14"/>
      <x:c r="AJ102" s="14"/>
      <x:c r="AK102" s="14"/>
      <x:c r="AL102" s="14"/>
      <x:c r="AM102" s="14"/>
      <x:c r="AN102" s="14"/>
      <x:c r="AO102" s="14"/>
      <x:c r="AP102" s="14"/>
      <x:c r="AQ102" s="14"/>
      <x:c r="AR102" s="14"/>
      <x:c r="AS102" s="14"/>
      <x:c r="AT102" s="14"/>
      <x:c r="AU102" s="14"/>
      <x:c r="AV102" s="14"/>
      <x:c r="AW102" s="14"/>
      <x:c r="AX102" s="14"/>
      <x:c r="AY102" s="18" t="str">
        <x:v>武帝盔☆</x:v>
      </x:c>
      <x:c r="AZ102" s="18" t="str">
        <x:v>幻帝面☆</x:v>
      </x:c>
      <x:c r="BA102" s="18" t="str">
        <x:v>道帝簪☆</x:v>
      </x:c>
      <x:c r="BB102" s="18" t="str">
        <x:v>禪帝頂☆</x:v>
      </x:c>
      <x:c r="BC102" s="14"/>
      <x:c r="BD102" s="18" t="str">
        <x:v>帝．仁者聖甲</x:v>
      </x:c>
      <x:c r="BE102" s="18" t="str">
        <x:v>帝．義者聖甲</x:v>
      </x:c>
      <x:c r="BF102" s="18" t="str">
        <x:v>帝．勇者聖甲</x:v>
      </x:c>
      <x:c r="BG102" s="18" t="str">
        <x:v>終．智者聖甲</x:v>
      </x:c>
      <x:c r="BH102" s="14"/>
      <x:c r="BI102" s="18" t="str">
        <x:v>幻帝手★☆</x:v>
      </x:c>
      <x:c r="BJ102" s="18" t="str">
        <x:v>道帝袖★☆</x:v>
      </x:c>
      <x:c r="BK102" s="18" t="str">
        <x:v>禪帝捻★☆</x:v>
      </x:c>
      <x:c r="BL102" s="18" t="str">
        <x:v>鬼帝臂★☆</x:v>
      </x:c>
      <x:c r="BM102" s="14"/>
      <x:c r="BN102" s="18" t="str">
        <x:v>柳韋足☆☆☆</x:v>
      </x:c>
      <x:c r="BO102" s="18" t="str">
        <x:v>碧星靴☆☆☆</x:v>
      </x:c>
      <x:c r="BP102" s="18" t="str">
        <x:v>劍帝履☆</x:v>
      </x:c>
      <x:c r="BQ102" s="18" t="str">
        <x:v>武帝踏☆</x:v>
      </x:c>
      <x:c r="BR102" s="14"/>
      <x:c r="BS102" s="18" t="str">
        <x:v>開皇麒麟之心</x:v>
      </x:c>
      <x:c r="BT102" s="18" t="str">
        <x:v>開皇騰蛇之心</x:v>
      </x:c>
      <x:c r="BU102" s="18" t="str">
        <x:v>項莊蓋世令</x:v>
      </x:c>
      <x:c r="BV102" s="18" t="str">
        <x:v>沛邦風雲旨</x:v>
      </x:c>
      <x:c r="BW102" s="14"/>
      <x:c r="BX102" s="14"/>
      <x:c r="BY102" s="14"/>
      <x:c r="BZ102" s="14"/>
      <x:c r="CA102" s="14"/>
      <x:c r="CB102" s="14"/>
      <x:c r="CC102" s="14"/>
      <x:c r="CD102" s="14"/>
      <x:c r="CE102" s="14"/>
      <x:c r="CF102" s="14"/>
      <x:c r="CG102" s="14"/>
      <x:c r="CH102" s="14"/>
      <x:c r="CI102" s="14"/>
      <x:c r="CJ102" s="14"/>
      <x:c r="CK102" s="14"/>
      <x:c r="CL102" s="14"/>
      <x:c r="CM102" s="14"/>
      <x:c r="CN102" s="14"/>
      <x:c r="CO102" s="14"/>
      <x:c r="CP102" s="14"/>
      <x:c r="CQ102" s="14"/>
      <x:c r="CR102" s="14"/>
      <x:c r="CS102" s="14"/>
      <x:c r="CT102" s="14"/>
      <x:c r="CU102" s="14"/>
      <x:c r="CV102" s="14"/>
      <x:c r="CW102" s="14"/>
      <x:c r="CX102" s="14"/>
      <x:c r="CY102" s="14"/>
      <x:c r="CZ102" s="14"/>
      <x:c r="DA102" s="14"/>
      <x:c r="DB102" s="14"/>
      <x:c r="DC102" s="14"/>
      <x:c r="DD102" s="14"/>
      <x:c r="DE102" s="14"/>
      <x:c r="DF102" s="14"/>
      <x:c r="DG102" s="14"/>
      <x:c r="DH102" s="14"/>
      <x:c r="DI102" s="14"/>
      <x:c r="DJ102" s="14"/>
      <x:c r="DK102" s="14"/>
      <x:c r="DL102" s="14"/>
      <x:c r="DM102" s="14"/>
      <x:c r="DN102" s="14"/>
      <x:c r="DO102" s="14"/>
      <x:c r="DP102" s="14"/>
      <x:c r="DQ102" s="14"/>
      <x:c r="DR102" s="14"/>
      <x:c r="DS102" s="14"/>
      <x:c r="DT102" s="14"/>
      <x:c r="DU102" s="14"/>
      <x:c r="DV102" s="14"/>
      <x:c r="DW102" s="14"/>
      <x:c r="DX102" s="14"/>
      <x:c r="DY102" s="14"/>
      <x:c r="DZ102" s="14"/>
      <x:c r="EA102" s="14"/>
      <x:c r="EB102" s="14"/>
      <x:c r="EC102" s="14"/>
      <x:c r="ED102" s="14"/>
      <x:c r="EE102" s="14"/>
      <x:c r="EF102" s="14"/>
      <x:c r="EG102" s="14"/>
      <x:c r="EH102" s="14"/>
      <x:c r="EI102" s="14"/>
      <x:c r="EJ102" s="14"/>
      <x:c r="EK102" s="14"/>
      <x:c r="EL102" s="14"/>
      <x:c r="EM102" s="14"/>
      <x:c r="EN102" s="14"/>
      <x:c r="EO102" s="14"/>
      <x:c r="EP102" s="14"/>
      <x:c r="EQ102" s="14"/>
      <x:c r="ER102" s="14"/>
      <x:c r="ES102" s="14"/>
      <x:c r="ET102" s="14"/>
      <x:c r="EU102" s="14"/>
      <x:c r="EV102" s="14"/>
      <x:c r="EW102" s="14"/>
      <x:c r="EX102" s="14"/>
      <x:c r="EY102" s="14"/>
      <x:c r="EZ102" s="14"/>
      <x:c r="FA102" s="14"/>
      <x:c r="FB102" s="14"/>
      <x:c r="FC102" s="14"/>
      <x:c r="FD102" s="14"/>
      <x:c r="FE102" s="14"/>
      <x:c r="FF102" s="14"/>
      <x:c r="FG102" s="14"/>
      <x:c r="FH102" s="14"/>
      <x:c r="FI102" s="14"/>
      <x:c r="FJ102" s="14"/>
      <x:c r="FK102" s="14"/>
      <x:c r="FL102" s="14"/>
      <x:c r="FM102" s="14"/>
      <x:c r="FN102" s="14"/>
      <x:c r="FO102" s="14"/>
      <x:c r="FP102" s="14"/>
      <x:c r="FQ102" s="14"/>
      <x:c r="FR102" s="14"/>
      <x:c r="FS102" s="14"/>
      <x:c r="FT102" s="14"/>
      <x:c r="FU102" s="14"/>
      <x:c r="FV102" s="14"/>
      <x:c r="FW102" s="14"/>
      <x:c r="FX102" s="14"/>
      <x:c r="FY102" s="14"/>
      <x:c r="FZ102" s="14"/>
      <x:c r="GA102" s="14"/>
      <x:c r="GB102" s="14"/>
      <x:c r="GC102" s="14"/>
      <x:c r="GD102" s="14"/>
      <x:c r="GE102" s="14"/>
      <x:c r="GF102" s="14"/>
      <x:c r="GG102" s="14"/>
      <x:c r="GH102" s="14"/>
      <x:c r="GI102" s="14"/>
      <x:c r="GJ102" s="14"/>
      <x:c r="GK102" s="14"/>
      <x:c r="GL102" s="14"/>
      <x:c r="GM102" s="14"/>
      <x:c r="GN102" s="14"/>
      <x:c r="GO102" s="14"/>
      <x:c r="GP102" s="14"/>
      <x:c r="GQ102" s="14"/>
      <x:c r="GR102" s="14"/>
      <x:c r="GS102" s="14"/>
      <x:c r="GT102" s="14"/>
      <x:c r="GU102" s="14"/>
      <x:c r="GV102" s="14"/>
      <x:c r="GW102" s="14"/>
      <x:c r="GX102" s="14"/>
      <x:c r="GY102" s="14"/>
      <x:c r="GZ102" s="14"/>
      <x:c r="HA102" s="14"/>
      <x:c r="HB102" s="14"/>
      <x:c r="HC102" s="14"/>
      <x:c r="HD102" s="14"/>
      <x:c r="HE102" s="14"/>
      <x:c r="HF102" s="14"/>
      <x:c r="HG102" s="14"/>
      <x:c r="HH102" s="14"/>
      <x:c r="HI102" s="14"/>
      <x:c r="HJ102" s="14"/>
      <x:c r="HK102" s="14"/>
      <x:c r="HL102" s="14"/>
      <x:c r="HM102" s="14"/>
      <x:c r="HN102" s="14"/>
      <x:c r="HO102" s="14"/>
      <x:c r="HP102" s="14"/>
      <x:c r="HQ102" s="14"/>
      <x:c r="HR102" s="14"/>
      <x:c r="HS102" s="14"/>
      <x:c r="HT102" s="14"/>
      <x:c r="HU102" s="14"/>
      <x:c r="HV102" s="14"/>
      <x:c r="HW102" s="14"/>
      <x:c r="HX102" s="14"/>
      <x:c r="HY102" s="14"/>
      <x:c r="HZ102" s="14"/>
      <x:c r="IA102" s="14"/>
      <x:c r="IB102" s="14"/>
      <x:c r="IC102" s="14"/>
      <x:c r="ID102" s="14"/>
      <x:c r="IE102" s="14"/>
      <x:c r="IF102" s="14"/>
      <x:c r="IG102" s="14"/>
      <x:c r="IH102" s="14"/>
      <x:c r="II102" s="14"/>
      <x:c r="IJ102" s="14"/>
      <x:c r="IK102" s="14"/>
      <x:c r="IL102" s="14"/>
      <x:c r="IM102" s="14"/>
      <x:c r="IN102" s="14"/>
      <x:c r="IO102" s="14"/>
      <x:c r="IP102" s="14"/>
      <x:c r="IQ102" s="14"/>
      <x:c r="IR102" s="14"/>
      <x:c r="IS102" s="14"/>
      <x:c r="IT102" s="14"/>
      <x:c r="IU102" s="14"/>
      <x:c r="IV102" s="14"/>
      <x:c r="IW102" s="14"/>
      <x:c r="IX102" s="14"/>
      <x:c r="IY102" s="14"/>
      <x:c r="IZ102" s="14"/>
      <x:c r="JA102" s="14"/>
      <x:c r="JB102" s="14"/>
      <x:c r="JC102" s="14"/>
      <x:c r="JD102" s="14"/>
      <x:c r="JE102" s="14"/>
      <x:c r="JF102" s="14"/>
      <x:c r="JG102" s="14"/>
      <x:c r="JH102" s="14"/>
      <x:c r="JI102" s="14"/>
      <x:c r="JJ102" s="14"/>
      <x:c r="JK102" s="14"/>
      <x:c r="JL102" s="14"/>
      <x:c r="JM102" s="14"/>
      <x:c r="JN102" s="14"/>
      <x:c r="JO102" s="14"/>
      <x:c r="JP102" s="14"/>
      <x:c r="JQ102" s="14"/>
      <x:c r="JR102" s="14"/>
      <x:c r="JS102" s="14"/>
      <x:c r="JT102" s="14"/>
      <x:c r="JU102" s="14"/>
      <x:c r="JV102" s="14"/>
      <x:c r="JW102" s="14"/>
      <x:c r="JX102" s="14"/>
      <x:c r="JY102" s="14"/>
      <x:c r="JZ102" s="14"/>
      <x:c r="KA102" s="14"/>
      <x:c r="KB102" s="14"/>
      <x:c r="KC102" s="14"/>
      <x:c r="KD102" s="14"/>
      <x:c r="KE102" s="14"/>
      <x:c r="KF102" s="14"/>
      <x:c r="KG102" s="14"/>
      <x:c r="KH102" s="14"/>
      <x:c r="KI102" s="14"/>
      <x:c r="KJ102" s="14"/>
      <x:c r="KK102" s="14"/>
      <x:c r="KL102" s="14"/>
      <x:c r="KM102" s="14"/>
      <x:c r="KN102" s="14"/>
      <x:c r="KO102" s="14"/>
      <x:c r="KP102" s="14"/>
      <x:c r="KQ102" s="14"/>
      <x:c r="KR102" s="14"/>
      <x:c r="KS102" s="14"/>
      <x:c r="KT102" s="14"/>
      <x:c r="KU102" s="14"/>
      <x:c r="KV102" s="14"/>
      <x:c r="KW102" s="14"/>
      <x:c r="KX102" s="14"/>
      <x:c r="KY102" s="14"/>
      <x:c r="KZ102" s="14"/>
      <x:c r="LA102" s="14"/>
      <x:c r="LB102" s="14"/>
      <x:c r="LC102" s="14"/>
      <x:c r="LD102" s="14"/>
      <x:c r="LE102" s="14"/>
      <x:c r="LF102" s="14"/>
      <x:c r="LG102" s="14"/>
      <x:c r="LH102" s="14"/>
      <x:c r="LI102" s="14"/>
      <x:c r="LJ102" s="14"/>
      <x:c r="LK102" s="14"/>
      <x:c r="LL102" s="14"/>
      <x:c r="LM102" s="14"/>
      <x:c r="LN102" s="14"/>
      <x:c r="LO102" s="14"/>
      <x:c r="LP102" s="14"/>
      <x:c r="LQ102" s="14"/>
      <x:c r="LR102" s="14"/>
      <x:c r="LS102" s="14"/>
      <x:c r="LT102" s="14"/>
      <x:c r="LU102" s="14"/>
      <x:c r="LV102" s="14"/>
      <x:c r="LW102" s="14"/>
      <x:c r="LX102" s="14"/>
      <x:c r="LY102" s="14"/>
      <x:c r="LZ102" s="14"/>
      <x:c r="MA102" s="14"/>
      <x:c r="MB102" s="14"/>
      <x:c r="MC102" s="14"/>
      <x:c r="MD102" s="14"/>
      <x:c r="ME102" s="14"/>
      <x:c r="MF102" s="14"/>
      <x:c r="MG102" s="14"/>
      <x:c r="MH102" s="14"/>
      <x:c r="MI102" s="14"/>
      <x:c r="MJ102" s="14"/>
      <x:c r="MK102" s="14"/>
      <x:c r="ML102" s="14"/>
      <x:c r="MM102" s="14"/>
      <x:c r="MN102" s="14"/>
      <x:c r="MO102" s="14"/>
      <x:c r="MP102" s="14"/>
      <x:c r="MQ102" s="14"/>
      <x:c r="MR102" s="14"/>
      <x:c r="MS102" s="14"/>
      <x:c r="MT102" s="14"/>
      <x:c r="MU102" s="14"/>
      <x:c r="MV102" s="14"/>
      <x:c r="MW102" s="14" t="str">
        <x:v>29409</x:v>
      </x:c>
      <x:c r="MX102" s="14" t="n">
        <x:v>5</x:v>
      </x:c>
      <x:c r="MY102" s="14" t="n">
        <x:v>1973</x:v>
      </x:c>
      <x:c r="MZ102" s="14" t="n">
        <x:v>325</x:v>
      </x:c>
      <x:c r="NA102" s="14" t="n">
        <x:v>10</x:v>
      </x:c>
      <x:c r="NB102" s="14" t="n">
        <x:v>1</x:v>
      </x:c>
      <x:c r="NC102" s="14" t="str">
        <x:v>未收錄</x:v>
      </x:c>
      <x:c r="ND102" s="14" t="str">
        <x:v>29415</x:v>
      </x:c>
      <x:c r="NE102" s="14" t="n">
        <x:v>5</x:v>
      </x:c>
      <x:c r="NF102" s="14" t="n">
        <x:v>1974</x:v>
      </x:c>
      <x:c r="NG102" s="14" t="n">
        <x:v>326</x:v>
      </x:c>
      <x:c r="NH102" s="14" t="n">
        <x:v>10</x:v>
      </x:c>
      <x:c r="NI102" s="14" t="n">
        <x:v>2</x:v>
      </x:c>
      <x:c r="NJ102" s="14" t="str">
        <x:v>未收錄</x:v>
      </x:c>
      <x:c r="NK102" s="14" t="str">
        <x:v>29421</x:v>
      </x:c>
      <x:c r="NL102" s="14" t="n">
        <x:v>5</x:v>
      </x:c>
      <x:c r="NM102" s="14" t="n">
        <x:v>1975</x:v>
      </x:c>
      <x:c r="NN102" s="14" t="n">
        <x:v>327</x:v>
      </x:c>
      <x:c r="NO102" s="14" t="n">
        <x:v>10</x:v>
      </x:c>
      <x:c r="NP102" s="14" t="n">
        <x:v>3</x:v>
      </x:c>
      <x:c r="NQ102" s="14" t="str">
        <x:v>未收錄</x:v>
      </x:c>
      <x:c r="NR102" s="14" t="str">
        <x:v>29427</x:v>
      </x:c>
      <x:c r="NS102" s="14" t="n">
        <x:v>5</x:v>
      </x:c>
      <x:c r="NT102" s="14" t="n">
        <x:v>1976</x:v>
      </x:c>
      <x:c r="NU102" s="14" t="n">
        <x:v>328</x:v>
      </x:c>
      <x:c r="NV102" s="14" t="n">
        <x:v>10</x:v>
      </x:c>
      <x:c r="NW102" s="14" t="n">
        <x:v>4</x:v>
      </x:c>
      <x:c r="NX102" s="14" t="str">
        <x:v>未收錄</x:v>
      </x:c>
      <x:c r="NY102" s="14" t="str">
        <x:v>27587</x:v>
      </x:c>
      <x:c r="NZ102" s="14" t="n">
        <x:v>10</x:v>
      </x:c>
      <x:c r="OA102" s="14" t="n">
        <x:v>2426</x:v>
      </x:c>
      <x:c r="OB102" s="14" t="n">
        <x:v>325</x:v>
      </x:c>
      <x:c r="OC102" s="14" t="n">
        <x:v>10</x:v>
      </x:c>
      <x:c r="OD102" s="14" t="n">
        <x:v>1</x:v>
      </x:c>
      <x:c r="OE102" s="14" t="str">
        <x:v>未收錄</x:v>
      </x:c>
      <x:c r="OF102" s="14" t="str">
        <x:v>27588</x:v>
      </x:c>
      <x:c r="OG102" s="14" t="n">
        <x:v>10</x:v>
      </x:c>
      <x:c r="OH102" s="14" t="n">
        <x:v>2427</x:v>
      </x:c>
      <x:c r="OI102" s="14" t="n">
        <x:v>326</x:v>
      </x:c>
      <x:c r="OJ102" s="14" t="n">
        <x:v>10</x:v>
      </x:c>
      <x:c r="OK102" s="14" t="n">
        <x:v>2</x:v>
      </x:c>
      <x:c r="OL102" s="14" t="str">
        <x:v>未收錄</x:v>
      </x:c>
      <x:c r="OM102" s="14" t="str">
        <x:v>27589</x:v>
      </x:c>
      <x:c r="ON102" s="14" t="n">
        <x:v>10</x:v>
      </x:c>
      <x:c r="OO102" s="14" t="n">
        <x:v>2428</x:v>
      </x:c>
      <x:c r="OP102" s="14" t="n">
        <x:v>327</x:v>
      </x:c>
      <x:c r="OQ102" s="14" t="n">
        <x:v>10</x:v>
      </x:c>
      <x:c r="OR102" s="14" t="n">
        <x:v>3</x:v>
      </x:c>
      <x:c r="OS102" s="14" t="str">
        <x:v>未收錄</x:v>
      </x:c>
      <x:c r="OT102" s="14" t="str">
        <x:v>28007</x:v>
      </x:c>
      <x:c r="OU102" s="14" t="n">
        <x:v>10</x:v>
      </x:c>
      <x:c r="OV102" s="14" t="n">
        <x:v>2429</x:v>
      </x:c>
      <x:c r="OW102" s="14" t="n">
        <x:v>328</x:v>
      </x:c>
      <x:c r="OX102" s="14" t="n">
        <x:v>10</x:v>
      </x:c>
      <x:c r="OY102" s="14" t="n">
        <x:v>4</x:v>
      </x:c>
      <x:c r="OZ102" s="14" t="str">
        <x:v>未收錄</x:v>
      </x:c>
      <x:c r="PA102" s="14" t="str">
        <x:v>29477</x:v>
      </x:c>
      <x:c r="PB102" s="14" t="n">
        <x:v>5</x:v>
      </x:c>
      <x:c r="PC102" s="14" t="n">
        <x:v>2972</x:v>
      </x:c>
      <x:c r="PD102" s="14" t="n">
        <x:v>325</x:v>
      </x:c>
      <x:c r="PE102" s="14" t="n">
        <x:v>10</x:v>
      </x:c>
      <x:c r="PF102" s="14" t="n">
        <x:v>1</x:v>
      </x:c>
      <x:c r="PG102" s="14" t="str">
        <x:v>未收錄</x:v>
      </x:c>
      <x:c r="PH102" s="14" t="str">
        <x:v>29483</x:v>
      </x:c>
      <x:c r="PI102" s="14" t="n">
        <x:v>5</x:v>
      </x:c>
      <x:c r="PJ102" s="14" t="n">
        <x:v>2973</x:v>
      </x:c>
      <x:c r="PK102" s="14" t="n">
        <x:v>326</x:v>
      </x:c>
      <x:c r="PL102" s="14" t="n">
        <x:v>10</x:v>
      </x:c>
      <x:c r="PM102" s="14" t="n">
        <x:v>2</x:v>
      </x:c>
      <x:c r="PN102" s="14" t="str">
        <x:v>未收錄</x:v>
      </x:c>
      <x:c r="PO102" s="14" t="str">
        <x:v>29489</x:v>
      </x:c>
      <x:c r="PP102" s="14" t="n">
        <x:v>5</x:v>
      </x:c>
      <x:c r="PQ102" s="14" t="n">
        <x:v>2974</x:v>
      </x:c>
      <x:c r="PR102" s="14" t="n">
        <x:v>327</x:v>
      </x:c>
      <x:c r="PS102" s="14" t="n">
        <x:v>10</x:v>
      </x:c>
      <x:c r="PT102" s="14" t="n">
        <x:v>3</x:v>
      </x:c>
      <x:c r="PU102" s="14" t="str">
        <x:v>未收錄</x:v>
      </x:c>
      <x:c r="PV102" s="14" t="str">
        <x:v>29561</x:v>
      </x:c>
      <x:c r="PW102" s="14" t="n">
        <x:v>10</x:v>
      </x:c>
      <x:c r="PX102" s="14" t="n">
        <x:v>2975</x:v>
      </x:c>
      <x:c r="PY102" s="14" t="n">
        <x:v>328</x:v>
      </x:c>
      <x:c r="PZ102" s="14" t="n">
        <x:v>10</x:v>
      </x:c>
      <x:c r="QA102" s="14" t="n">
        <x:v>4</x:v>
      </x:c>
      <x:c r="QB102" s="14" t="str">
        <x:v>未收錄</x:v>
      </x:c>
      <x:c r="QC102" s="14" t="str">
        <x:v>28974</x:v>
      </x:c>
      <x:c r="QD102" s="14" t="n">
        <x:v>10</x:v>
      </x:c>
      <x:c r="QE102" s="14" t="n">
        <x:v>3409</x:v>
      </x:c>
      <x:c r="QF102" s="14" t="n">
        <x:v>325</x:v>
      </x:c>
      <x:c r="QG102" s="14" t="n">
        <x:v>10</x:v>
      </x:c>
      <x:c r="QH102" s="14" t="n">
        <x:v>1</x:v>
      </x:c>
      <x:c r="QI102" s="14" t="str">
        <x:v>未收錄</x:v>
      </x:c>
      <x:c r="QJ102" s="14" t="str">
        <x:v>28983</x:v>
      </x:c>
      <x:c r="QK102" s="14" t="n">
        <x:v>10</x:v>
      </x:c>
      <x:c r="QL102" s="14" t="n">
        <x:v>3410</x:v>
      </x:c>
      <x:c r="QM102" s="14" t="n">
        <x:v>326</x:v>
      </x:c>
      <x:c r="QN102" s="14" t="n">
        <x:v>10</x:v>
      </x:c>
      <x:c r="QO102" s="14" t="n">
        <x:v>2</x:v>
      </x:c>
      <x:c r="QP102" s="14" t="str">
        <x:v>未收錄</x:v>
      </x:c>
      <x:c r="QQ102" s="14" t="str">
        <x:v>29493</x:v>
      </x:c>
      <x:c r="QR102" s="14" t="n">
        <x:v>5</x:v>
      </x:c>
      <x:c r="QS102" s="14" t="n">
        <x:v>3411</x:v>
      </x:c>
      <x:c r="QT102" s="14" t="n">
        <x:v>327</x:v>
      </x:c>
      <x:c r="QU102" s="14" t="n">
        <x:v>10</x:v>
      </x:c>
      <x:c r="QV102" s="14" t="n">
        <x:v>3</x:v>
      </x:c>
      <x:c r="QW102" s="14" t="str">
        <x:v>未收錄</x:v>
      </x:c>
      <x:c r="QX102" s="14" t="str">
        <x:v>29499</x:v>
      </x:c>
      <x:c r="QY102" s="14" t="n">
        <x:v>5</x:v>
      </x:c>
      <x:c r="QZ102" s="14" t="n">
        <x:v>3412</x:v>
      </x:c>
      <x:c r="RA102" s="14" t="n">
        <x:v>328</x:v>
      </x:c>
      <x:c r="RB102" s="14" t="n">
        <x:v>10</x:v>
      </x:c>
      <x:c r="RC102" s="14" t="n">
        <x:v>4</x:v>
      </x:c>
      <x:c r="RD102" s="14" t="str">
        <x:v>未收錄</x:v>
      </x:c>
      <x:c r="RE102" s="14" t="str">
        <x:v>29694</x:v>
      </x:c>
      <x:c r="RF102" s="14" t="n">
        <x:v>5</x:v>
      </x:c>
      <x:c r="RG102" s="14" t="n">
        <x:v>3870</x:v>
      </x:c>
      <x:c r="RH102" s="14" t="n">
        <x:v>325</x:v>
      </x:c>
      <x:c r="RI102" s="14" t="n">
        <x:v>10</x:v>
      </x:c>
      <x:c r="RJ102" s="14" t="n">
        <x:v>1</x:v>
      </x:c>
      <x:c r="RK102" s="14" t="str">
        <x:v>未收錄</x:v>
      </x:c>
      <x:c r="RL102" s="14" t="str">
        <x:v>29695</x:v>
      </x:c>
      <x:c r="RM102" s="14" t="n">
        <x:v>5</x:v>
      </x:c>
      <x:c r="RN102" s="14" t="n">
        <x:v>3871</x:v>
      </x:c>
      <x:c r="RO102" s="14" t="n">
        <x:v>326</x:v>
      </x:c>
      <x:c r="RP102" s="14" t="n">
        <x:v>10</x:v>
      </x:c>
      <x:c r="RQ102" s="14" t="n">
        <x:v>2</x:v>
      </x:c>
      <x:c r="RR102" s="14" t="str">
        <x:v>未收錄</x:v>
      </x:c>
      <x:c r="RS102" s="14" t="str">
        <x:v>29676</x:v>
      </x:c>
      <x:c r="RT102" s="14" t="n">
        <x:v>10</x:v>
      </x:c>
      <x:c r="RU102" s="14" t="n">
        <x:v>3872</x:v>
      </x:c>
      <x:c r="RV102" s="14" t="n">
        <x:v>327</x:v>
      </x:c>
      <x:c r="RW102" s="14" t="n">
        <x:v>10</x:v>
      </x:c>
      <x:c r="RX102" s="14" t="n">
        <x:v>3</x:v>
      </x:c>
      <x:c r="RY102" s="14" t="str">
        <x:v>未收錄</x:v>
      </x:c>
      <x:c r="RZ102" s="14" t="str">
        <x:v>29677</x:v>
      </x:c>
      <x:c r="SA102" s="14" t="n">
        <x:v>10</x:v>
      </x:c>
      <x:c r="SB102" s="14" t="n">
        <x:v>3873</x:v>
      </x:c>
      <x:c r="SC102" s="14" t="n">
        <x:v>328</x:v>
      </x:c>
      <x:c r="SD102" s="14" t="n">
        <x:v>10</x:v>
      </x:c>
      <x:c r="SE102" s="14" t="n">
        <x:v>4</x:v>
      </x:c>
      <x:c r="SF102" s="14" t="str">
        <x:v>未收錄</x:v>
      </x:c>
      <x:c r="SG102" s="14"/>
      <x:c r="SH102" s="14"/>
      <x:c r="SI102" s="14"/>
      <x:c r="SJ102" s="14"/>
      <x:c r="SK102" s="14"/>
      <x:c r="SL102" s="14"/>
      <x:c r="SM102" s="14"/>
      <x:c r="SN102" s="14"/>
      <x:c r="SO102" s="14"/>
      <x:c r="SP102" s="14"/>
      <x:c r="SQ102" s="14"/>
      <x:c r="SR102" s="14"/>
      <x:c r="SS102" s="14"/>
      <x:c r="ST102" s="14"/>
      <x:c r="SU102" s="14"/>
      <x:c r="SV102" s="14"/>
      <x:c r="SW102" s="14"/>
      <x:c r="SX102" s="14"/>
      <x:c r="SY102" s="14"/>
      <x:c r="SZ102" s="14"/>
      <x:c r="TA102" s="14"/>
      <x:c r="TB102" s="14"/>
      <x:c r="TC102" s="14"/>
      <x:c r="TD102" s="14"/>
      <x:c r="TE102" s="14"/>
      <x:c r="TF102" s="14"/>
      <x:c r="TG102" s="14"/>
      <x:c r="TH102" s="14"/>
    </x:row>
    <x:row r="103" ht="15" customHeight="1">
      <x:c r="A103" s="14"/>
      <x:c r="B103" s="14"/>
      <x:c r="C103" s="14"/>
      <x:c r="D103" s="14"/>
      <x:c r="E103" s="14"/>
      <x:c r="F103" s="14"/>
      <x:c r="G103" s="14"/>
      <x:c r="H103" s="14"/>
      <x:c r="I103" s="14"/>
      <x:c r="J103" s="14"/>
      <x:c r="K103" s="14"/>
      <x:c r="L103" s="14"/>
      <x:c r="M103" s="14"/>
      <x:c r="N103" s="14"/>
      <x:c r="O103" s="14"/>
      <x:c r="P103" s="14"/>
      <x:c r="Q103" s="14"/>
      <x:c r="R103" s="14"/>
      <x:c r="S103" s="14"/>
      <x:c r="T103" s="14"/>
      <x:c r="U103" s="14"/>
      <x:c r="V103" s="14"/>
      <x:c r="W103" s="14"/>
      <x:c r="X103" s="14"/>
      <x:c r="Y103" s="14"/>
      <x:c r="Z103" s="14"/>
      <x:c r="AA103" s="14"/>
      <x:c r="AB103" s="14"/>
      <x:c r="AC103" s="14"/>
      <x:c r="AD103" s="14"/>
      <x:c r="AE103" s="14"/>
      <x:c r="AF103" s="14"/>
      <x:c r="AG103" s="14"/>
      <x:c r="AH103" s="14"/>
      <x:c r="AI103" s="14"/>
      <x:c r="AJ103" s="14"/>
      <x:c r="AK103" s="14"/>
      <x:c r="AL103" s="14"/>
      <x:c r="AM103" s="14"/>
      <x:c r="AN103" s="14"/>
      <x:c r="AO103" s="14"/>
      <x:c r="AP103" s="14"/>
      <x:c r="AQ103" s="14"/>
      <x:c r="AR103" s="14"/>
      <x:c r="AS103" s="14"/>
      <x:c r="AT103" s="14"/>
      <x:c r="AU103" s="14"/>
      <x:c r="AV103" s="14"/>
      <x:c r="AW103" s="14"/>
      <x:c r="AX103" s="14"/>
      <x:c r="AY103" s="17" t="str">
        <x:v>鬼帝冠☆</x:v>
      </x:c>
      <x:c r="AZ103" s="17" t="str">
        <x:v>黃月巾☆</x:v>
      </x:c>
      <x:c r="BA103" s="17" t="str">
        <x:v>劍帝冕★</x:v>
      </x:c>
      <x:c r="BB103" s="17" t="str">
        <x:v>武帝盔★</x:v>
      </x:c>
      <x:c r="BC103" s="14"/>
      <x:c r="BD103" s="17" t="str">
        <x:v>終．仁者聖甲</x:v>
      </x:c>
      <x:c r="BE103" s="17" t="str">
        <x:v>終．義者聖甲</x:v>
      </x:c>
      <x:c r="BF103" s="17" t="str">
        <x:v>終．勇者聖甲</x:v>
      </x:c>
      <x:c r="BG103" s="17" t="str">
        <x:v>神．智者聖甲</x:v>
      </x:c>
      <x:c r="BH103" s="14"/>
      <x:c r="BI103" s="17" t="str">
        <x:v>黃鳴腕★☆</x:v>
      </x:c>
      <x:c r="BJ103" s="17" t="str">
        <x:v>劍帝握★★</x:v>
      </x:c>
      <x:c r="BK103" s="17" t="str">
        <x:v>武帝掌★★</x:v>
      </x:c>
      <x:c r="BL103" s="17" t="str">
        <x:v>幻帝手★★</x:v>
      </x:c>
      <x:c r="BM103" s="14"/>
      <x:c r="BN103" s="17" t="str">
        <x:v>幻帝步☆</x:v>
      </x:c>
      <x:c r="BO103" s="17" t="str">
        <x:v>道帝行☆</x:v>
      </x:c>
      <x:c r="BP103" s="17" t="str">
        <x:v>禪帝渡☆</x:v>
      </x:c>
      <x:c r="BQ103" s="17" t="str">
        <x:v>鬼帝道☆</x:v>
      </x:c>
      <x:c r="BR103" s="14"/>
      <x:c r="BS103" s="17" t="str">
        <x:v>皇‧六滅化神</x:v>
      </x:c>
      <x:c r="BT103" s="17" t="str">
        <x:v>皇‧七宗神愆</x:v>
      </x:c>
      <x:c r="BU103" s="17" t="str">
        <x:v>終極玄武之心</x:v>
      </x:c>
      <x:c r="BV103" s="17" t="str">
        <x:v>終極白虎之心</x:v>
      </x:c>
      <x:c r="BW103" s="14"/>
      <x:c r="BX103" s="14"/>
      <x:c r="BY103" s="14"/>
      <x:c r="BZ103" s="14"/>
      <x:c r="CA103" s="14"/>
      <x:c r="CB103" s="14"/>
      <x:c r="CC103" s="14"/>
      <x:c r="CD103" s="14"/>
      <x:c r="CE103" s="14"/>
      <x:c r="CF103" s="14"/>
      <x:c r="CG103" s="14"/>
      <x:c r="CH103" s="14"/>
      <x:c r="CI103" s="14"/>
      <x:c r="CJ103" s="14"/>
      <x:c r="CK103" s="14"/>
      <x:c r="CL103" s="14"/>
      <x:c r="CM103" s="14"/>
      <x:c r="CN103" s="14"/>
      <x:c r="CO103" s="14"/>
      <x:c r="CP103" s="14"/>
      <x:c r="CQ103" s="14"/>
      <x:c r="CR103" s="14"/>
      <x:c r="CS103" s="14"/>
      <x:c r="CT103" s="14"/>
      <x:c r="CU103" s="14"/>
      <x:c r="CV103" s="14"/>
      <x:c r="CW103" s="14"/>
      <x:c r="CX103" s="14"/>
      <x:c r="CY103" s="14"/>
      <x:c r="CZ103" s="14"/>
      <x:c r="DA103" s="14"/>
      <x:c r="DB103" s="14"/>
      <x:c r="DC103" s="14"/>
      <x:c r="DD103" s="14"/>
      <x:c r="DE103" s="14"/>
      <x:c r="DF103" s="14"/>
      <x:c r="DG103" s="14"/>
      <x:c r="DH103" s="14"/>
      <x:c r="DI103" s="14"/>
      <x:c r="DJ103" s="14"/>
      <x:c r="DK103" s="14"/>
      <x:c r="DL103" s="14"/>
      <x:c r="DM103" s="14"/>
      <x:c r="DN103" s="14"/>
      <x:c r="DO103" s="14"/>
      <x:c r="DP103" s="14"/>
      <x:c r="DQ103" s="14"/>
      <x:c r="DR103" s="14"/>
      <x:c r="DS103" s="14"/>
      <x:c r="DT103" s="14"/>
      <x:c r="DU103" s="14"/>
      <x:c r="DV103" s="14"/>
      <x:c r="DW103" s="14"/>
      <x:c r="DX103" s="14"/>
      <x:c r="DY103" s="14"/>
      <x:c r="DZ103" s="14"/>
      <x:c r="EA103" s="14"/>
      <x:c r="EB103" s="14"/>
      <x:c r="EC103" s="14"/>
      <x:c r="ED103" s="14"/>
      <x:c r="EE103" s="14"/>
      <x:c r="EF103" s="14"/>
      <x:c r="EG103" s="14"/>
      <x:c r="EH103" s="14"/>
      <x:c r="EI103" s="14"/>
      <x:c r="EJ103" s="14"/>
      <x:c r="EK103" s="14"/>
      <x:c r="EL103" s="14"/>
      <x:c r="EM103" s="14"/>
      <x:c r="EN103" s="14"/>
      <x:c r="EO103" s="14"/>
      <x:c r="EP103" s="14"/>
      <x:c r="EQ103" s="14"/>
      <x:c r="ER103" s="14"/>
      <x:c r="ES103" s="14"/>
      <x:c r="ET103" s="14"/>
      <x:c r="EU103" s="14"/>
      <x:c r="EV103" s="14"/>
      <x:c r="EW103" s="14"/>
      <x:c r="EX103" s="14"/>
      <x:c r="EY103" s="14"/>
      <x:c r="EZ103" s="14"/>
      <x:c r="FA103" s="14"/>
      <x:c r="FB103" s="14"/>
      <x:c r="FC103" s="14"/>
      <x:c r="FD103" s="14"/>
      <x:c r="FE103" s="14"/>
      <x:c r="FF103" s="14"/>
      <x:c r="FG103" s="14"/>
      <x:c r="FH103" s="14"/>
      <x:c r="FI103" s="14"/>
      <x:c r="FJ103" s="14"/>
      <x:c r="FK103" s="14"/>
      <x:c r="FL103" s="14"/>
      <x:c r="FM103" s="14"/>
      <x:c r="FN103" s="14"/>
      <x:c r="FO103" s="14"/>
      <x:c r="FP103" s="14"/>
      <x:c r="FQ103" s="14"/>
      <x:c r="FR103" s="14"/>
      <x:c r="FS103" s="14"/>
      <x:c r="FT103" s="14"/>
      <x:c r="FU103" s="14"/>
      <x:c r="FV103" s="14"/>
      <x:c r="FW103" s="14"/>
      <x:c r="FX103" s="14"/>
      <x:c r="FY103" s="14"/>
      <x:c r="FZ103" s="14"/>
      <x:c r="GA103" s="14"/>
      <x:c r="GB103" s="14"/>
      <x:c r="GC103" s="14"/>
      <x:c r="GD103" s="14"/>
      <x:c r="GE103" s="14"/>
      <x:c r="GF103" s="14"/>
      <x:c r="GG103" s="14"/>
      <x:c r="GH103" s="14"/>
      <x:c r="GI103" s="14"/>
      <x:c r="GJ103" s="14"/>
      <x:c r="GK103" s="14"/>
      <x:c r="GL103" s="14"/>
      <x:c r="GM103" s="14"/>
      <x:c r="GN103" s="14"/>
      <x:c r="GO103" s="14"/>
      <x:c r="GP103" s="14"/>
      <x:c r="GQ103" s="14"/>
      <x:c r="GR103" s="14"/>
      <x:c r="GS103" s="14"/>
      <x:c r="GT103" s="14"/>
      <x:c r="GU103" s="14"/>
      <x:c r="GV103" s="14"/>
      <x:c r="GW103" s="14"/>
      <x:c r="GX103" s="14"/>
      <x:c r="GY103" s="14"/>
      <x:c r="GZ103" s="14"/>
      <x:c r="HA103" s="14"/>
      <x:c r="HB103" s="14"/>
      <x:c r="HC103" s="14"/>
      <x:c r="HD103" s="14"/>
      <x:c r="HE103" s="14"/>
      <x:c r="HF103" s="14"/>
      <x:c r="HG103" s="14"/>
      <x:c r="HH103" s="14"/>
      <x:c r="HI103" s="14"/>
      <x:c r="HJ103" s="14"/>
      <x:c r="HK103" s="14"/>
      <x:c r="HL103" s="14"/>
      <x:c r="HM103" s="14"/>
      <x:c r="HN103" s="14"/>
      <x:c r="HO103" s="14"/>
      <x:c r="HP103" s="14"/>
      <x:c r="HQ103" s="14"/>
      <x:c r="HR103" s="14"/>
      <x:c r="HS103" s="14"/>
      <x:c r="HT103" s="14"/>
      <x:c r="HU103" s="14"/>
      <x:c r="HV103" s="14"/>
      <x:c r="HW103" s="14"/>
      <x:c r="HX103" s="14"/>
      <x:c r="HY103" s="14"/>
      <x:c r="HZ103" s="14"/>
      <x:c r="IA103" s="14"/>
      <x:c r="IB103" s="14"/>
      <x:c r="IC103" s="14"/>
      <x:c r="ID103" s="14"/>
      <x:c r="IE103" s="14"/>
      <x:c r="IF103" s="14"/>
      <x:c r="IG103" s="14"/>
      <x:c r="IH103" s="14"/>
      <x:c r="II103" s="14"/>
      <x:c r="IJ103" s="14"/>
      <x:c r="IK103" s="14"/>
      <x:c r="IL103" s="14"/>
      <x:c r="IM103" s="14"/>
      <x:c r="IN103" s="14"/>
      <x:c r="IO103" s="14"/>
      <x:c r="IP103" s="14"/>
      <x:c r="IQ103" s="14"/>
      <x:c r="IR103" s="14"/>
      <x:c r="IS103" s="14"/>
      <x:c r="IT103" s="14"/>
      <x:c r="IU103" s="14"/>
      <x:c r="IV103" s="14"/>
      <x:c r="IW103" s="14"/>
      <x:c r="IX103" s="14"/>
      <x:c r="IY103" s="14"/>
      <x:c r="IZ103" s="14"/>
      <x:c r="JA103" s="14"/>
      <x:c r="JB103" s="14"/>
      <x:c r="JC103" s="14"/>
      <x:c r="JD103" s="14"/>
      <x:c r="JE103" s="14"/>
      <x:c r="JF103" s="14"/>
      <x:c r="JG103" s="14"/>
      <x:c r="JH103" s="14"/>
      <x:c r="JI103" s="14"/>
      <x:c r="JJ103" s="14"/>
      <x:c r="JK103" s="14"/>
      <x:c r="JL103" s="14"/>
      <x:c r="JM103" s="14"/>
      <x:c r="JN103" s="14"/>
      <x:c r="JO103" s="14"/>
      <x:c r="JP103" s="14"/>
      <x:c r="JQ103" s="14"/>
      <x:c r="JR103" s="14"/>
      <x:c r="JS103" s="14"/>
      <x:c r="JT103" s="14"/>
      <x:c r="JU103" s="14"/>
      <x:c r="JV103" s="14"/>
      <x:c r="JW103" s="14"/>
      <x:c r="JX103" s="14"/>
      <x:c r="JY103" s="14"/>
      <x:c r="JZ103" s="14"/>
      <x:c r="KA103" s="14"/>
      <x:c r="KB103" s="14"/>
      <x:c r="KC103" s="14"/>
      <x:c r="KD103" s="14"/>
      <x:c r="KE103" s="14"/>
      <x:c r="KF103" s="14"/>
      <x:c r="KG103" s="14"/>
      <x:c r="KH103" s="14"/>
      <x:c r="KI103" s="14"/>
      <x:c r="KJ103" s="14"/>
      <x:c r="KK103" s="14"/>
      <x:c r="KL103" s="14"/>
      <x:c r="KM103" s="14"/>
      <x:c r="KN103" s="14"/>
      <x:c r="KO103" s="14"/>
      <x:c r="KP103" s="14"/>
      <x:c r="KQ103" s="14"/>
      <x:c r="KR103" s="14"/>
      <x:c r="KS103" s="14"/>
      <x:c r="KT103" s="14"/>
      <x:c r="KU103" s="14"/>
      <x:c r="KV103" s="14"/>
      <x:c r="KW103" s="14"/>
      <x:c r="KX103" s="14"/>
      <x:c r="KY103" s="14"/>
      <x:c r="KZ103" s="14"/>
      <x:c r="LA103" s="14"/>
      <x:c r="LB103" s="14"/>
      <x:c r="LC103" s="14"/>
      <x:c r="LD103" s="14"/>
      <x:c r="LE103" s="14"/>
      <x:c r="LF103" s="14"/>
      <x:c r="LG103" s="14"/>
      <x:c r="LH103" s="14"/>
      <x:c r="LI103" s="14"/>
      <x:c r="LJ103" s="14"/>
      <x:c r="LK103" s="14"/>
      <x:c r="LL103" s="14"/>
      <x:c r="LM103" s="14"/>
      <x:c r="LN103" s="14"/>
      <x:c r="LO103" s="14"/>
      <x:c r="LP103" s="14"/>
      <x:c r="LQ103" s="14"/>
      <x:c r="LR103" s="14"/>
      <x:c r="LS103" s="14"/>
      <x:c r="LT103" s="14"/>
      <x:c r="LU103" s="14"/>
      <x:c r="LV103" s="14"/>
      <x:c r="LW103" s="14"/>
      <x:c r="LX103" s="14"/>
      <x:c r="LY103" s="14"/>
      <x:c r="LZ103" s="14"/>
      <x:c r="MA103" s="14"/>
      <x:c r="MB103" s="14"/>
      <x:c r="MC103" s="14"/>
      <x:c r="MD103" s="14"/>
      <x:c r="ME103" s="14"/>
      <x:c r="MF103" s="14"/>
      <x:c r="MG103" s="14"/>
      <x:c r="MH103" s="14"/>
      <x:c r="MI103" s="14"/>
      <x:c r="MJ103" s="14"/>
      <x:c r="MK103" s="14"/>
      <x:c r="ML103" s="14"/>
      <x:c r="MM103" s="14"/>
      <x:c r="MN103" s="14"/>
      <x:c r="MO103" s="14"/>
      <x:c r="MP103" s="14"/>
      <x:c r="MQ103" s="14"/>
      <x:c r="MR103" s="14"/>
      <x:c r="MS103" s="14"/>
      <x:c r="MT103" s="14"/>
      <x:c r="MU103" s="14"/>
      <x:c r="MV103" s="14"/>
      <x:c r="MW103" s="14" t="str">
        <x:v>29547</x:v>
      </x:c>
      <x:c r="MX103" s="14" t="n">
        <x:v>10</x:v>
      </x:c>
      <x:c r="MY103" s="14" t="n">
        <x:v>1977</x:v>
      </x:c>
      <x:c r="MZ103" s="14" t="n">
        <x:v>329</x:v>
      </x:c>
      <x:c r="NA103" s="14" t="n">
        <x:v>11</x:v>
      </x:c>
      <x:c r="NB103" s="14" t="n">
        <x:v>1</x:v>
      </x:c>
      <x:c r="NC103" s="14" t="str">
        <x:v>未收錄</x:v>
      </x:c>
      <x:c r="ND103" s="14" t="str">
        <x:v>29571</x:v>
      </x:c>
      <x:c r="NE103" s="14" t="n">
        <x:v>10</x:v>
      </x:c>
      <x:c r="NF103" s="14" t="n">
        <x:v>1978</x:v>
      </x:c>
      <x:c r="NG103" s="14" t="n">
        <x:v>330</x:v>
      </x:c>
      <x:c r="NH103" s="14" t="n">
        <x:v>11</x:v>
      </x:c>
      <x:c r="NI103" s="14" t="n">
        <x:v>2</x:v>
      </x:c>
      <x:c r="NJ103" s="14" t="str">
        <x:v>未收錄</x:v>
      </x:c>
      <x:c r="NK103" s="14" t="str">
        <x:v>29404</x:v>
      </x:c>
      <x:c r="NL103" s="14" t="n">
        <x:v>5</x:v>
      </x:c>
      <x:c r="NM103" s="14" t="n">
        <x:v>1979</x:v>
      </x:c>
      <x:c r="NN103" s="14" t="n">
        <x:v>331</x:v>
      </x:c>
      <x:c r="NO103" s="14" t="n">
        <x:v>11</x:v>
      </x:c>
      <x:c r="NP103" s="14" t="n">
        <x:v>3</x:v>
      </x:c>
      <x:c r="NQ103" s="14" t="str">
        <x:v>未收錄</x:v>
      </x:c>
      <x:c r="NR103" s="14" t="str">
        <x:v>29410</x:v>
      </x:c>
      <x:c r="NS103" s="14" t="n">
        <x:v>5</x:v>
      </x:c>
      <x:c r="NT103" s="14" t="n">
        <x:v>1980</x:v>
      </x:c>
      <x:c r="NU103" s="14" t="n">
        <x:v>332</x:v>
      </x:c>
      <x:c r="NV103" s="14" t="n">
        <x:v>11</x:v>
      </x:c>
      <x:c r="NW103" s="14" t="n">
        <x:v>4</x:v>
      </x:c>
      <x:c r="NX103" s="14" t="str">
        <x:v>未收錄</x:v>
      </x:c>
      <x:c r="NY103" s="14" t="str">
        <x:v>28008</x:v>
      </x:c>
      <x:c r="NZ103" s="14" t="n">
        <x:v>10</x:v>
      </x:c>
      <x:c r="OA103" s="14" t="n">
        <x:v>2430</x:v>
      </x:c>
      <x:c r="OB103" s="14" t="n">
        <x:v>329</x:v>
      </x:c>
      <x:c r="OC103" s="14" t="n">
        <x:v>11</x:v>
      </x:c>
      <x:c r="OD103" s="14" t="n">
        <x:v>1</x:v>
      </x:c>
      <x:c r="OE103" s="14" t="str">
        <x:v>未收錄</x:v>
      </x:c>
      <x:c r="OF103" s="14" t="str">
        <x:v>28009</x:v>
      </x:c>
      <x:c r="OG103" s="14" t="n">
        <x:v>10</x:v>
      </x:c>
      <x:c r="OH103" s="14" t="n">
        <x:v>2431</x:v>
      </x:c>
      <x:c r="OI103" s="14" t="n">
        <x:v>330</x:v>
      </x:c>
      <x:c r="OJ103" s="14" t="n">
        <x:v>11</x:v>
      </x:c>
      <x:c r="OK103" s="14" t="n">
        <x:v>2</x:v>
      </x:c>
      <x:c r="OL103" s="14" t="str">
        <x:v>未收錄</x:v>
      </x:c>
      <x:c r="OM103" s="14" t="str">
        <x:v>28010</x:v>
      </x:c>
      <x:c r="ON103" s="14" t="n">
        <x:v>10</x:v>
      </x:c>
      <x:c r="OO103" s="14" t="n">
        <x:v>2432</x:v>
      </x:c>
      <x:c r="OP103" s="14" t="n">
        <x:v>331</x:v>
      </x:c>
      <x:c r="OQ103" s="14" t="n">
        <x:v>11</x:v>
      </x:c>
      <x:c r="OR103" s="14" t="n">
        <x:v>3</x:v>
      </x:c>
      <x:c r="OS103" s="14" t="str">
        <x:v>未收錄</x:v>
      </x:c>
      <x:c r="OT103" s="14" t="str">
        <x:v>28164</x:v>
      </x:c>
      <x:c r="OU103" s="14" t="n">
        <x:v>10</x:v>
      </x:c>
      <x:c r="OV103" s="14" t="n">
        <x:v>2433</x:v>
      </x:c>
      <x:c r="OW103" s="14" t="n">
        <x:v>332</x:v>
      </x:c>
      <x:c r="OX103" s="14" t="n">
        <x:v>11</x:v>
      </x:c>
      <x:c r="OY103" s="14" t="n">
        <x:v>4</x:v>
      </x:c>
      <x:c r="OZ103" s="14" t="str">
        <x:v>未收錄</x:v>
      </x:c>
      <x:c r="PA103" s="14" t="str">
        <x:v>29585</x:v>
      </x:c>
      <x:c r="PB103" s="14" t="n">
        <x:v>10</x:v>
      </x:c>
      <x:c r="PC103" s="14" t="n">
        <x:v>2976</x:v>
      </x:c>
      <x:c r="PD103" s="14" t="n">
        <x:v>329</x:v>
      </x:c>
      <x:c r="PE103" s="14" t="n">
        <x:v>11</x:v>
      </x:c>
      <x:c r="PF103" s="14" t="n">
        <x:v>1</x:v>
      </x:c>
      <x:c r="PG103" s="14" t="str">
        <x:v>未收錄</x:v>
      </x:c>
      <x:c r="PH103" s="14" t="str">
        <x:v>29466</x:v>
      </x:c>
      <x:c r="PI103" s="14" t="n">
        <x:v>5</x:v>
      </x:c>
      <x:c r="PJ103" s="14" t="n">
        <x:v>2977</x:v>
      </x:c>
      <x:c r="PK103" s="14" t="n">
        <x:v>330</x:v>
      </x:c>
      <x:c r="PL103" s="14" t="n">
        <x:v>11</x:v>
      </x:c>
      <x:c r="PM103" s="14" t="n">
        <x:v>2</x:v>
      </x:c>
      <x:c r="PN103" s="14" t="str">
        <x:v>未收錄</x:v>
      </x:c>
      <x:c r="PO103" s="14" t="str">
        <x:v>29472</x:v>
      </x:c>
      <x:c r="PP103" s="14" t="n">
        <x:v>5</x:v>
      </x:c>
      <x:c r="PQ103" s="14" t="n">
        <x:v>2978</x:v>
      </x:c>
      <x:c r="PR103" s="14" t="n">
        <x:v>331</x:v>
      </x:c>
      <x:c r="PS103" s="14" t="n">
        <x:v>11</x:v>
      </x:c>
      <x:c r="PT103" s="14" t="n">
        <x:v>3</x:v>
      </x:c>
      <x:c r="PU103" s="14" t="str">
        <x:v>未收錄</x:v>
      </x:c>
      <x:c r="PV103" s="14" t="str">
        <x:v>29478</x:v>
      </x:c>
      <x:c r="PW103" s="14" t="n">
        <x:v>5</x:v>
      </x:c>
      <x:c r="PX103" s="14" t="n">
        <x:v>2979</x:v>
      </x:c>
      <x:c r="PY103" s="14" t="n">
        <x:v>332</x:v>
      </x:c>
      <x:c r="PZ103" s="14" t="n">
        <x:v>11</x:v>
      </x:c>
      <x:c r="QA103" s="14" t="n">
        <x:v>4</x:v>
      </x:c>
      <x:c r="QB103" s="14" t="str">
        <x:v>未收錄</x:v>
      </x:c>
      <x:c r="QC103" s="14" t="str">
        <x:v>29505</x:v>
      </x:c>
      <x:c r="QD103" s="14" t="n">
        <x:v>5</x:v>
      </x:c>
      <x:c r="QE103" s="14" t="n">
        <x:v>3413</x:v>
      </x:c>
      <x:c r="QF103" s="14" t="n">
        <x:v>329</x:v>
      </x:c>
      <x:c r="QG103" s="14" t="n">
        <x:v>11</x:v>
      </x:c>
      <x:c r="QH103" s="14" t="n">
        <x:v>1</x:v>
      </x:c>
      <x:c r="QI103" s="14" t="str">
        <x:v>未收錄</x:v>
      </x:c>
      <x:c r="QJ103" s="14" t="str">
        <x:v>29511</x:v>
      </x:c>
      <x:c r="QK103" s="14" t="n">
        <x:v>5</x:v>
      </x:c>
      <x:c r="QL103" s="14" t="n">
        <x:v>3414</x:v>
      </x:c>
      <x:c r="QM103" s="14" t="n">
        <x:v>330</x:v>
      </x:c>
      <x:c r="QN103" s="14" t="n">
        <x:v>11</x:v>
      </x:c>
      <x:c r="QO103" s="14" t="n">
        <x:v>2</x:v>
      </x:c>
      <x:c r="QP103" s="14" t="str">
        <x:v>未收錄</x:v>
      </x:c>
      <x:c r="QQ103" s="14" t="str">
        <x:v>29517</x:v>
      </x:c>
      <x:c r="QR103" s="14" t="n">
        <x:v>5</x:v>
      </x:c>
      <x:c r="QS103" s="14" t="n">
        <x:v>3415</x:v>
      </x:c>
      <x:c r="QT103" s="14" t="n">
        <x:v>331</x:v>
      </x:c>
      <x:c r="QU103" s="14" t="n">
        <x:v>11</x:v>
      </x:c>
      <x:c r="QV103" s="14" t="n">
        <x:v>3</x:v>
      </x:c>
      <x:c r="QW103" s="14" t="str">
        <x:v>未收錄</x:v>
      </x:c>
      <x:c r="QX103" s="14" t="str">
        <x:v>29565</x:v>
      </x:c>
      <x:c r="QY103" s="14" t="n">
        <x:v>10</x:v>
      </x:c>
      <x:c r="QZ103" s="14" t="n">
        <x:v>3416</x:v>
      </x:c>
      <x:c r="RA103" s="14" t="n">
        <x:v>332</x:v>
      </x:c>
      <x:c r="RB103" s="14" t="n">
        <x:v>11</x:v>
      </x:c>
      <x:c r="RC103" s="14" t="n">
        <x:v>4</x:v>
      </x:c>
      <x:c r="RD103" s="14" t="str">
        <x:v>未收錄</x:v>
      </x:c>
      <x:c r="RE103" s="14" t="str">
        <x:v>29683</x:v>
      </x:c>
      <x:c r="RF103" s="14" t="n">
        <x:v>10</x:v>
      </x:c>
      <x:c r="RG103" s="14" t="n">
        <x:v>3874</x:v>
      </x:c>
      <x:c r="RH103" s="14" t="n">
        <x:v>329</x:v>
      </x:c>
      <x:c r="RI103" s="14" t="n">
        <x:v>11</x:v>
      </x:c>
      <x:c r="RJ103" s="14" t="n">
        <x:v>1</x:v>
      </x:c>
      <x:c r="RK103" s="14" t="str">
        <x:v>未收錄</x:v>
      </x:c>
      <x:c r="RL103" s="14" t="str">
        <x:v>29689</x:v>
      </x:c>
      <x:c r="RM103" s="14" t="n">
        <x:v>20</x:v>
      </x:c>
      <x:c r="RN103" s="14" t="n">
        <x:v>3875</x:v>
      </x:c>
      <x:c r="RO103" s="14" t="n">
        <x:v>330</x:v>
      </x:c>
      <x:c r="RP103" s="14" t="n">
        <x:v>11</x:v>
      </x:c>
      <x:c r="RQ103" s="14" t="n">
        <x:v>2</x:v>
      </x:c>
      <x:c r="RR103" s="14" t="str">
        <x:v>未收錄</x:v>
      </x:c>
      <x:c r="RS103" s="14" t="str">
        <x:v>29949</x:v>
      </x:c>
      <x:c r="RT103" s="14" t="n">
        <x:v>5</x:v>
      </x:c>
      <x:c r="RU103" s="14" t="n">
        <x:v>3876</x:v>
      </x:c>
      <x:c r="RV103" s="14" t="n">
        <x:v>331</x:v>
      </x:c>
      <x:c r="RW103" s="14" t="n">
        <x:v>11</x:v>
      </x:c>
      <x:c r="RX103" s="14" t="n">
        <x:v>3</x:v>
      </x:c>
      <x:c r="RY103" s="14" t="str">
        <x:v>未收錄</x:v>
      </x:c>
      <x:c r="RZ103" s="14" t="str">
        <x:v>29950</x:v>
      </x:c>
      <x:c r="SA103" s="14" t="n">
        <x:v>5</x:v>
      </x:c>
      <x:c r="SB103" s="14" t="n">
        <x:v>3877</x:v>
      </x:c>
      <x:c r="SC103" s="14" t="n">
        <x:v>332</x:v>
      </x:c>
      <x:c r="SD103" s="14" t="n">
        <x:v>11</x:v>
      </x:c>
      <x:c r="SE103" s="14" t="n">
        <x:v>4</x:v>
      </x:c>
      <x:c r="SF103" s="14" t="str">
        <x:v>未收錄</x:v>
      </x:c>
      <x:c r="SG103" s="14"/>
      <x:c r="SH103" s="14"/>
      <x:c r="SI103" s="14"/>
      <x:c r="SJ103" s="14"/>
      <x:c r="SK103" s="14"/>
      <x:c r="SL103" s="14"/>
      <x:c r="SM103" s="14"/>
      <x:c r="SN103" s="14"/>
      <x:c r="SO103" s="14"/>
      <x:c r="SP103" s="14"/>
      <x:c r="SQ103" s="14"/>
      <x:c r="SR103" s="14"/>
      <x:c r="SS103" s="14"/>
      <x:c r="ST103" s="14"/>
      <x:c r="SU103" s="14"/>
      <x:c r="SV103" s="14"/>
      <x:c r="SW103" s="14"/>
      <x:c r="SX103" s="14"/>
      <x:c r="SY103" s="14"/>
      <x:c r="SZ103" s="14"/>
      <x:c r="TA103" s="14"/>
      <x:c r="TB103" s="14"/>
      <x:c r="TC103" s="14"/>
      <x:c r="TD103" s="14"/>
      <x:c r="TE103" s="14"/>
      <x:c r="TF103" s="14"/>
      <x:c r="TG103" s="14"/>
      <x:c r="TH103" s="14"/>
    </x:row>
    <x:row r="104" ht="15" customHeight="1">
      <x:c r="A104" s="14"/>
      <x:c r="B104" s="14"/>
      <x:c r="C104" s="14"/>
      <x:c r="D104" s="14"/>
      <x:c r="E104" s="14"/>
      <x:c r="F104" s="14"/>
      <x:c r="G104" s="14"/>
      <x:c r="H104" s="14"/>
      <x:c r="I104" s="14"/>
      <x:c r="J104" s="14"/>
      <x:c r="K104" s="14"/>
      <x:c r="L104" s="14"/>
      <x:c r="M104" s="14"/>
      <x:c r="N104" s="14"/>
      <x:c r="O104" s="14"/>
      <x:c r="P104" s="14"/>
      <x:c r="Q104" s="14"/>
      <x:c r="R104" s="14"/>
      <x:c r="S104" s="14"/>
      <x:c r="T104" s="14"/>
      <x:c r="U104" s="14"/>
      <x:c r="V104" s="14"/>
      <x:c r="W104" s="14"/>
      <x:c r="X104" s="14"/>
      <x:c r="Y104" s="14"/>
      <x:c r="Z104" s="14"/>
      <x:c r="AA104" s="14"/>
      <x:c r="AB104" s="14"/>
      <x:c r="AC104" s="14"/>
      <x:c r="AD104" s="14"/>
      <x:c r="AE104" s="14"/>
      <x:c r="AF104" s="14"/>
      <x:c r="AG104" s="14"/>
      <x:c r="AH104" s="14"/>
      <x:c r="AI104" s="14"/>
      <x:c r="AJ104" s="14"/>
      <x:c r="AK104" s="14"/>
      <x:c r="AL104" s="14"/>
      <x:c r="AM104" s="14"/>
      <x:c r="AN104" s="14"/>
      <x:c r="AO104" s="14"/>
      <x:c r="AP104" s="14"/>
      <x:c r="AQ104" s="14"/>
      <x:c r="AR104" s="14"/>
      <x:c r="AS104" s="14"/>
      <x:c r="AT104" s="14"/>
      <x:c r="AU104" s="14"/>
      <x:c r="AV104" s="14"/>
      <x:c r="AW104" s="14"/>
      <x:c r="AX104" s="14"/>
      <x:c r="AY104" s="18" t="str">
        <x:v>幻帝面★</x:v>
      </x:c>
      <x:c r="AZ104" s="18" t="str">
        <x:v>道帝簪★</x:v>
      </x:c>
      <x:c r="BA104" s="18" t="str">
        <x:v>禪帝頂★</x:v>
      </x:c>
      <x:c r="BB104" s="18" t="str">
        <x:v>鬼帝冠★</x:v>
      </x:c>
      <x:c r="BC104" s="14"/>
      <x:c r="BD104" s="18" t="str">
        <x:v>神．仁者聖甲</x:v>
      </x:c>
      <x:c r="BE104" s="18" t="str">
        <x:v>神．勇者聖甲</x:v>
      </x:c>
      <x:c r="BF104" s="18" t="str">
        <x:v>神．義者聖甲</x:v>
      </x:c>
      <x:c r="BG104" s="18" t="str">
        <x:v>星鋒冑★</x:v>
      </x:c>
      <x:c r="BH104" s="14"/>
      <x:c r="BI104" s="18" t="str">
        <x:v>道帝袖★★</x:v>
      </x:c>
      <x:c r="BJ104" s="18" t="str">
        <x:v>禪帝捻★★</x:v>
      </x:c>
      <x:c r="BK104" s="18" t="str">
        <x:v>鬼帝臂★★</x:v>
      </x:c>
      <x:c r="BL104" s="18" t="str">
        <x:v>黃鳴腕★★</x:v>
      </x:c>
      <x:c r="BM104" s="14"/>
      <x:c r="BN104" s="18" t="str">
        <x:v>黃韋足☆</x:v>
      </x:c>
      <x:c r="BO104" s="18" t="str">
        <x:v>君星靴☆</x:v>
      </x:c>
      <x:c r="BP104" s="18" t="str">
        <x:v>劍帝履★</x:v>
      </x:c>
      <x:c r="BQ104" s="18" t="str">
        <x:v>武帝踏★</x:v>
      </x:c>
      <x:c r="BR104" s="14"/>
      <x:c r="BS104" s="18" t="str">
        <x:v>終極青龍之心</x:v>
      </x:c>
      <x:c r="BT104" s="18" t="str">
        <x:v>終極鳳凰之心</x:v>
      </x:c>
      <x:c r="BU104" s="18" t="str">
        <x:v>終極麒麟之心</x:v>
      </x:c>
      <x:c r="BV104" s="18" t="str">
        <x:v>終極騰蛇之心</x:v>
      </x:c>
      <x:c r="BW104" s="14"/>
      <x:c r="BX104" s="14"/>
      <x:c r="BY104" s="14"/>
      <x:c r="BZ104" s="14"/>
      <x:c r="CA104" s="14"/>
      <x:c r="CB104" s="14"/>
      <x:c r="CC104" s="14"/>
      <x:c r="CD104" s="14"/>
      <x:c r="CE104" s="14"/>
      <x:c r="CF104" s="14"/>
      <x:c r="CG104" s="14"/>
      <x:c r="CH104" s="14"/>
      <x:c r="CI104" s="14"/>
      <x:c r="CJ104" s="14"/>
      <x:c r="CK104" s="14"/>
      <x:c r="CL104" s="14"/>
      <x:c r="CM104" s="14"/>
      <x:c r="CN104" s="14"/>
      <x:c r="CO104" s="14"/>
      <x:c r="CP104" s="14"/>
      <x:c r="CQ104" s="14"/>
      <x:c r="CR104" s="14"/>
      <x:c r="CS104" s="14"/>
      <x:c r="CT104" s="14"/>
      <x:c r="CU104" s="14"/>
      <x:c r="CV104" s="14"/>
      <x:c r="CW104" s="14"/>
      <x:c r="CX104" s="14"/>
      <x:c r="CY104" s="14"/>
      <x:c r="CZ104" s="14"/>
      <x:c r="DA104" s="14"/>
      <x:c r="DB104" s="14"/>
      <x:c r="DC104" s="14"/>
      <x:c r="DD104" s="14"/>
      <x:c r="DE104" s="14"/>
      <x:c r="DF104" s="14"/>
      <x:c r="DG104" s="14"/>
      <x:c r="DH104" s="14"/>
      <x:c r="DI104" s="14"/>
      <x:c r="DJ104" s="14"/>
      <x:c r="DK104" s="14"/>
      <x:c r="DL104" s="14"/>
      <x:c r="DM104" s="14"/>
      <x:c r="DN104" s="14"/>
      <x:c r="DO104" s="14"/>
      <x:c r="DP104" s="14"/>
      <x:c r="DQ104" s="14"/>
      <x:c r="DR104" s="14"/>
      <x:c r="DS104" s="14"/>
      <x:c r="DT104" s="14"/>
      <x:c r="DU104" s="14"/>
      <x:c r="DV104" s="14"/>
      <x:c r="DW104" s="14"/>
      <x:c r="DX104" s="14"/>
      <x:c r="DY104" s="14"/>
      <x:c r="DZ104" s="14"/>
      <x:c r="EA104" s="14"/>
      <x:c r="EB104" s="14"/>
      <x:c r="EC104" s="14"/>
      <x:c r="ED104" s="14"/>
      <x:c r="EE104" s="14"/>
      <x:c r="EF104" s="14"/>
      <x:c r="EG104" s="14"/>
      <x:c r="EH104" s="14"/>
      <x:c r="EI104" s="14"/>
      <x:c r="EJ104" s="14"/>
      <x:c r="EK104" s="14"/>
      <x:c r="EL104" s="14"/>
      <x:c r="EM104" s="14"/>
      <x:c r="EN104" s="14"/>
      <x:c r="EO104" s="14"/>
      <x:c r="EP104" s="14"/>
      <x:c r="EQ104" s="14"/>
      <x:c r="ER104" s="14"/>
      <x:c r="ES104" s="14"/>
      <x:c r="ET104" s="14"/>
      <x:c r="EU104" s="14"/>
      <x:c r="EV104" s="14"/>
      <x:c r="EW104" s="14"/>
      <x:c r="EX104" s="14"/>
      <x:c r="EY104" s="14"/>
      <x:c r="EZ104" s="14"/>
      <x:c r="FA104" s="14"/>
      <x:c r="FB104" s="14"/>
      <x:c r="FC104" s="14"/>
      <x:c r="FD104" s="14"/>
      <x:c r="FE104" s="14"/>
      <x:c r="FF104" s="14"/>
      <x:c r="FG104" s="14"/>
      <x:c r="FH104" s="14"/>
      <x:c r="FI104" s="14"/>
      <x:c r="FJ104" s="14"/>
      <x:c r="FK104" s="14"/>
      <x:c r="FL104" s="14"/>
      <x:c r="FM104" s="14"/>
      <x:c r="FN104" s="14"/>
      <x:c r="FO104" s="14"/>
      <x:c r="FP104" s="14"/>
      <x:c r="FQ104" s="14"/>
      <x:c r="FR104" s="14"/>
      <x:c r="FS104" s="14"/>
      <x:c r="FT104" s="14"/>
      <x:c r="FU104" s="14"/>
      <x:c r="FV104" s="14"/>
      <x:c r="FW104" s="14"/>
      <x:c r="FX104" s="14"/>
      <x:c r="FY104" s="14"/>
      <x:c r="FZ104" s="14"/>
      <x:c r="GA104" s="14"/>
      <x:c r="GB104" s="14"/>
      <x:c r="GC104" s="14"/>
      <x:c r="GD104" s="14"/>
      <x:c r="GE104" s="14"/>
      <x:c r="GF104" s="14"/>
      <x:c r="GG104" s="14"/>
      <x:c r="GH104" s="14"/>
      <x:c r="GI104" s="14"/>
      <x:c r="GJ104" s="14"/>
      <x:c r="GK104" s="14"/>
      <x:c r="GL104" s="14"/>
      <x:c r="GM104" s="14"/>
      <x:c r="GN104" s="14"/>
      <x:c r="GO104" s="14"/>
      <x:c r="GP104" s="14"/>
      <x:c r="GQ104" s="14"/>
      <x:c r="GR104" s="14"/>
      <x:c r="GS104" s="14"/>
      <x:c r="GT104" s="14"/>
      <x:c r="GU104" s="14"/>
      <x:c r="GV104" s="14"/>
      <x:c r="GW104" s="14"/>
      <x:c r="GX104" s="14"/>
      <x:c r="GY104" s="14"/>
      <x:c r="GZ104" s="14"/>
      <x:c r="HA104" s="14"/>
      <x:c r="HB104" s="14"/>
      <x:c r="HC104" s="14"/>
      <x:c r="HD104" s="14"/>
      <x:c r="HE104" s="14"/>
      <x:c r="HF104" s="14"/>
      <x:c r="HG104" s="14"/>
      <x:c r="HH104" s="14"/>
      <x:c r="HI104" s="14"/>
      <x:c r="HJ104" s="14"/>
      <x:c r="HK104" s="14"/>
      <x:c r="HL104" s="14"/>
      <x:c r="HM104" s="14"/>
      <x:c r="HN104" s="14"/>
      <x:c r="HO104" s="14"/>
      <x:c r="HP104" s="14"/>
      <x:c r="HQ104" s="14"/>
      <x:c r="HR104" s="14"/>
      <x:c r="HS104" s="14"/>
      <x:c r="HT104" s="14"/>
      <x:c r="HU104" s="14"/>
      <x:c r="HV104" s="14"/>
      <x:c r="HW104" s="14"/>
      <x:c r="HX104" s="14"/>
      <x:c r="HY104" s="14"/>
      <x:c r="HZ104" s="14"/>
      <x:c r="IA104" s="14"/>
      <x:c r="IB104" s="14"/>
      <x:c r="IC104" s="14"/>
      <x:c r="ID104" s="14"/>
      <x:c r="IE104" s="14"/>
      <x:c r="IF104" s="14"/>
      <x:c r="IG104" s="14"/>
      <x:c r="IH104" s="14"/>
      <x:c r="II104" s="14"/>
      <x:c r="IJ104" s="14"/>
      <x:c r="IK104" s="14"/>
      <x:c r="IL104" s="14"/>
      <x:c r="IM104" s="14"/>
      <x:c r="IN104" s="14"/>
      <x:c r="IO104" s="14"/>
      <x:c r="IP104" s="14"/>
      <x:c r="IQ104" s="14"/>
      <x:c r="IR104" s="14"/>
      <x:c r="IS104" s="14"/>
      <x:c r="IT104" s="14"/>
      <x:c r="IU104" s="14"/>
      <x:c r="IV104" s="14"/>
      <x:c r="IW104" s="14"/>
      <x:c r="IX104" s="14"/>
      <x:c r="IY104" s="14"/>
      <x:c r="IZ104" s="14"/>
      <x:c r="JA104" s="14"/>
      <x:c r="JB104" s="14"/>
      <x:c r="JC104" s="14"/>
      <x:c r="JD104" s="14"/>
      <x:c r="JE104" s="14"/>
      <x:c r="JF104" s="14"/>
      <x:c r="JG104" s="14"/>
      <x:c r="JH104" s="14"/>
      <x:c r="JI104" s="14"/>
      <x:c r="JJ104" s="14"/>
      <x:c r="JK104" s="14"/>
      <x:c r="JL104" s="14"/>
      <x:c r="JM104" s="14"/>
      <x:c r="JN104" s="14"/>
      <x:c r="JO104" s="14"/>
      <x:c r="JP104" s="14"/>
      <x:c r="JQ104" s="14"/>
      <x:c r="JR104" s="14"/>
      <x:c r="JS104" s="14"/>
      <x:c r="JT104" s="14"/>
      <x:c r="JU104" s="14"/>
      <x:c r="JV104" s="14"/>
      <x:c r="JW104" s="14"/>
      <x:c r="JX104" s="14"/>
      <x:c r="JY104" s="14"/>
      <x:c r="JZ104" s="14"/>
      <x:c r="KA104" s="14"/>
      <x:c r="KB104" s="14"/>
      <x:c r="KC104" s="14"/>
      <x:c r="KD104" s="14"/>
      <x:c r="KE104" s="14"/>
      <x:c r="KF104" s="14"/>
      <x:c r="KG104" s="14"/>
      <x:c r="KH104" s="14"/>
      <x:c r="KI104" s="14"/>
      <x:c r="KJ104" s="14"/>
      <x:c r="KK104" s="14"/>
      <x:c r="KL104" s="14"/>
      <x:c r="KM104" s="14"/>
      <x:c r="KN104" s="14"/>
      <x:c r="KO104" s="14"/>
      <x:c r="KP104" s="14"/>
      <x:c r="KQ104" s="14"/>
      <x:c r="KR104" s="14"/>
      <x:c r="KS104" s="14"/>
      <x:c r="KT104" s="14"/>
      <x:c r="KU104" s="14"/>
      <x:c r="KV104" s="14"/>
      <x:c r="KW104" s="14"/>
      <x:c r="KX104" s="14"/>
      <x:c r="KY104" s="14"/>
      <x:c r="KZ104" s="14"/>
      <x:c r="LA104" s="14"/>
      <x:c r="LB104" s="14"/>
      <x:c r="LC104" s="14"/>
      <x:c r="LD104" s="14"/>
      <x:c r="LE104" s="14"/>
      <x:c r="LF104" s="14"/>
      <x:c r="LG104" s="14"/>
      <x:c r="LH104" s="14"/>
      <x:c r="LI104" s="14"/>
      <x:c r="LJ104" s="14"/>
      <x:c r="LK104" s="14"/>
      <x:c r="LL104" s="14"/>
      <x:c r="LM104" s="14"/>
      <x:c r="LN104" s="14"/>
      <x:c r="LO104" s="14"/>
      <x:c r="LP104" s="14"/>
      <x:c r="LQ104" s="14"/>
      <x:c r="LR104" s="14"/>
      <x:c r="LS104" s="14"/>
      <x:c r="LT104" s="14"/>
      <x:c r="LU104" s="14"/>
      <x:c r="LV104" s="14"/>
      <x:c r="LW104" s="14"/>
      <x:c r="LX104" s="14"/>
      <x:c r="LY104" s="14"/>
      <x:c r="LZ104" s="14"/>
      <x:c r="MA104" s="14"/>
      <x:c r="MB104" s="14"/>
      <x:c r="MC104" s="14"/>
      <x:c r="MD104" s="14"/>
      <x:c r="ME104" s="14"/>
      <x:c r="MF104" s="14"/>
      <x:c r="MG104" s="14"/>
      <x:c r="MH104" s="14"/>
      <x:c r="MI104" s="14"/>
      <x:c r="MJ104" s="14"/>
      <x:c r="MK104" s="14"/>
      <x:c r="ML104" s="14"/>
      <x:c r="MM104" s="14"/>
      <x:c r="MN104" s="14"/>
      <x:c r="MO104" s="14"/>
      <x:c r="MP104" s="14"/>
      <x:c r="MQ104" s="14"/>
      <x:c r="MR104" s="14"/>
      <x:c r="MS104" s="14"/>
      <x:c r="MT104" s="14"/>
      <x:c r="MU104" s="14"/>
      <x:c r="MV104" s="14"/>
      <x:c r="MW104" s="14" t="str">
        <x:v>29416</x:v>
      </x:c>
      <x:c r="MX104" s="14" t="n">
        <x:v>5</x:v>
      </x:c>
      <x:c r="MY104" s="14" t="n">
        <x:v>1981</x:v>
      </x:c>
      <x:c r="MZ104" s="14" t="n">
        <x:v>333</x:v>
      </x:c>
      <x:c r="NA104" s="14" t="n">
        <x:v>12</x:v>
      </x:c>
      <x:c r="NB104" s="14" t="n">
        <x:v>1</x:v>
      </x:c>
      <x:c r="NC104" s="14" t="str">
        <x:v>未收錄</x:v>
      </x:c>
      <x:c r="ND104" s="14" t="str">
        <x:v>29422</x:v>
      </x:c>
      <x:c r="NE104" s="14" t="n">
        <x:v>5</x:v>
      </x:c>
      <x:c r="NF104" s="14" t="n">
        <x:v>1982</x:v>
      </x:c>
      <x:c r="NG104" s="14" t="n">
        <x:v>334</x:v>
      </x:c>
      <x:c r="NH104" s="14" t="n">
        <x:v>12</x:v>
      </x:c>
      <x:c r="NI104" s="14" t="n">
        <x:v>2</x:v>
      </x:c>
      <x:c r="NJ104" s="14" t="str">
        <x:v>未收錄</x:v>
      </x:c>
      <x:c r="NK104" s="14" t="str">
        <x:v>29428</x:v>
      </x:c>
      <x:c r="NL104" s="14" t="n">
        <x:v>5</x:v>
      </x:c>
      <x:c r="NM104" s="14" t="n">
        <x:v>1983</x:v>
      </x:c>
      <x:c r="NN104" s="14" t="n">
        <x:v>335</x:v>
      </x:c>
      <x:c r="NO104" s="14" t="n">
        <x:v>12</x:v>
      </x:c>
      <x:c r="NP104" s="14" t="n">
        <x:v>3</x:v>
      </x:c>
      <x:c r="NQ104" s="14" t="str">
        <x:v>未收錄</x:v>
      </x:c>
      <x:c r="NR104" s="14" t="str">
        <x:v>29548</x:v>
      </x:c>
      <x:c r="NS104" s="14" t="n">
        <x:v>10</x:v>
      </x:c>
      <x:c r="NT104" s="14" t="n">
        <x:v>1984</x:v>
      </x:c>
      <x:c r="NU104" s="14" t="n">
        <x:v>336</x:v>
      </x:c>
      <x:c r="NV104" s="14" t="n">
        <x:v>12</x:v>
      </x:c>
      <x:c r="NW104" s="14" t="n">
        <x:v>4</x:v>
      </x:c>
      <x:c r="NX104" s="14" t="str">
        <x:v>未收錄</x:v>
      </x:c>
      <x:c r="NY104" s="14" t="str">
        <x:v>28165</x:v>
      </x:c>
      <x:c r="NZ104" s="14" t="n">
        <x:v>10</x:v>
      </x:c>
      <x:c r="OA104" s="14" t="n">
        <x:v>2434</x:v>
      </x:c>
      <x:c r="OB104" s="14" t="n">
        <x:v>333</x:v>
      </x:c>
      <x:c r="OC104" s="14" t="n">
        <x:v>12</x:v>
      </x:c>
      <x:c r="OD104" s="14" t="n">
        <x:v>1</x:v>
      </x:c>
      <x:c r="OE104" s="14" t="str">
        <x:v>未收錄</x:v>
      </x:c>
      <x:c r="OF104" s="14" t="str">
        <x:v>28166</x:v>
      </x:c>
      <x:c r="OG104" s="14" t="n">
        <x:v>10</x:v>
      </x:c>
      <x:c r="OH104" s="14" t="n">
        <x:v>2435</x:v>
      </x:c>
      <x:c r="OI104" s="14" t="n">
        <x:v>334</x:v>
      </x:c>
      <x:c r="OJ104" s="14" t="n">
        <x:v>12</x:v>
      </x:c>
      <x:c r="OK104" s="14" t="n">
        <x:v>2</x:v>
      </x:c>
      <x:c r="OL104" s="14" t="str">
        <x:v>未收錄</x:v>
      </x:c>
      <x:c r="OM104" s="14" t="str">
        <x:v>28167</x:v>
      </x:c>
      <x:c r="ON104" s="14" t="n">
        <x:v>10</x:v>
      </x:c>
      <x:c r="OO104" s="14" t="n">
        <x:v>2436</x:v>
      </x:c>
      <x:c r="OP104" s="14" t="n">
        <x:v>335</x:v>
      </x:c>
      <x:c r="OQ104" s="14" t="n">
        <x:v>12</x:v>
      </x:c>
      <x:c r="OR104" s="14" t="n">
        <x:v>3</x:v>
      </x:c>
      <x:c r="OS104" s="14" t="str">
        <x:v>未收錄</x:v>
      </x:c>
      <x:c r="OT104" s="14" t="str">
        <x:v>28394</x:v>
      </x:c>
      <x:c r="OU104" s="14" t="n">
        <x:v>5</x:v>
      </x:c>
      <x:c r="OV104" s="14" t="n">
        <x:v>2437</x:v>
      </x:c>
      <x:c r="OW104" s="14" t="n">
        <x:v>336</x:v>
      </x:c>
      <x:c r="OX104" s="14" t="n">
        <x:v>12</x:v>
      </x:c>
      <x:c r="OY104" s="14" t="n">
        <x:v>4</x:v>
      </x:c>
      <x:c r="OZ104" s="14" t="str">
        <x:v>未收錄</x:v>
      </x:c>
      <x:c r="PA104" s="14" t="str">
        <x:v>29484</x:v>
      </x:c>
      <x:c r="PB104" s="14" t="n">
        <x:v>5</x:v>
      </x:c>
      <x:c r="PC104" s="14" t="n">
        <x:v>2980</x:v>
      </x:c>
      <x:c r="PD104" s="14" t="n">
        <x:v>333</x:v>
      </x:c>
      <x:c r="PE104" s="14" t="n">
        <x:v>12</x:v>
      </x:c>
      <x:c r="PF104" s="14" t="n">
        <x:v>1</x:v>
      </x:c>
      <x:c r="PG104" s="14" t="str">
        <x:v>未收錄</x:v>
      </x:c>
      <x:c r="PH104" s="14" t="str">
        <x:v>29490</x:v>
      </x:c>
      <x:c r="PI104" s="14" t="n">
        <x:v>5</x:v>
      </x:c>
      <x:c r="PJ104" s="14" t="n">
        <x:v>2981</x:v>
      </x:c>
      <x:c r="PK104" s="14" t="n">
        <x:v>334</x:v>
      </x:c>
      <x:c r="PL104" s="14" t="n">
        <x:v>12</x:v>
      </x:c>
      <x:c r="PM104" s="14" t="n">
        <x:v>2</x:v>
      </x:c>
      <x:c r="PN104" s="14" t="str">
        <x:v>未收錄</x:v>
      </x:c>
      <x:c r="PO104" s="14" t="str">
        <x:v>29562</x:v>
      </x:c>
      <x:c r="PP104" s="14" t="n">
        <x:v>10</x:v>
      </x:c>
      <x:c r="PQ104" s="14" t="n">
        <x:v>2982</x:v>
      </x:c>
      <x:c r="PR104" s="14" t="n">
        <x:v>335</x:v>
      </x:c>
      <x:c r="PS104" s="14" t="n">
        <x:v>12</x:v>
      </x:c>
      <x:c r="PT104" s="14" t="n">
        <x:v>3</x:v>
      </x:c>
      <x:c r="PU104" s="14" t="str">
        <x:v>未收錄</x:v>
      </x:c>
      <x:c r="PV104" s="14" t="str">
        <x:v>29586</x:v>
      </x:c>
      <x:c r="PW104" s="14" t="n">
        <x:v>10</x:v>
      </x:c>
      <x:c r="PX104" s="14" t="n">
        <x:v>2983</x:v>
      </x:c>
      <x:c r="PY104" s="14" t="n">
        <x:v>336</x:v>
      </x:c>
      <x:c r="PZ104" s="14" t="n">
        <x:v>12</x:v>
      </x:c>
      <x:c r="QA104" s="14" t="n">
        <x:v>4</x:v>
      </x:c>
      <x:c r="QB104" s="14" t="str">
        <x:v>未收錄</x:v>
      </x:c>
      <x:c r="QC104" s="14" t="str">
        <x:v>29589</x:v>
      </x:c>
      <x:c r="QD104" s="14" t="n">
        <x:v>10</x:v>
      </x:c>
      <x:c r="QE104" s="14" t="n">
        <x:v>3417</x:v>
      </x:c>
      <x:c r="QF104" s="14" t="n">
        <x:v>333</x:v>
      </x:c>
      <x:c r="QG104" s="14" t="n">
        <x:v>12</x:v>
      </x:c>
      <x:c r="QH104" s="14" t="n">
        <x:v>1</x:v>
      </x:c>
      <x:c r="QI104" s="14" t="str">
        <x:v>未收錄</x:v>
      </x:c>
      <x:c r="QJ104" s="14" t="str">
        <x:v>29607</x:v>
      </x:c>
      <x:c r="QK104" s="14" t="n">
        <x:v>10</x:v>
      </x:c>
      <x:c r="QL104" s="14" t="n">
        <x:v>3418</x:v>
      </x:c>
      <x:c r="QM104" s="14" t="n">
        <x:v>334</x:v>
      </x:c>
      <x:c r="QN104" s="14" t="n">
        <x:v>12</x:v>
      </x:c>
      <x:c r="QO104" s="14" t="n">
        <x:v>2</x:v>
      </x:c>
      <x:c r="QP104" s="14" t="str">
        <x:v>未收錄</x:v>
      </x:c>
      <x:c r="QQ104" s="14" t="str">
        <x:v>29494</x:v>
      </x:c>
      <x:c r="QR104" s="14" t="n">
        <x:v>5</x:v>
      </x:c>
      <x:c r="QS104" s="14" t="n">
        <x:v>3419</x:v>
      </x:c>
      <x:c r="QT104" s="14" t="n">
        <x:v>335</x:v>
      </x:c>
      <x:c r="QU104" s="14" t="n">
        <x:v>12</x:v>
      </x:c>
      <x:c r="QV104" s="14" t="n">
        <x:v>3</x:v>
      </x:c>
      <x:c r="QW104" s="14" t="str">
        <x:v>未收錄</x:v>
      </x:c>
      <x:c r="QX104" s="14" t="str">
        <x:v>29500</x:v>
      </x:c>
      <x:c r="QY104" s="14" t="n">
        <x:v>5</x:v>
      </x:c>
      <x:c r="QZ104" s="14" t="n">
        <x:v>3420</x:v>
      </x:c>
      <x:c r="RA104" s="14" t="n">
        <x:v>336</x:v>
      </x:c>
      <x:c r="RB104" s="14" t="n">
        <x:v>12</x:v>
      </x:c>
      <x:c r="RC104" s="14" t="n">
        <x:v>4</x:v>
      </x:c>
      <x:c r="RD104" s="14" t="str">
        <x:v>未收錄</x:v>
      </x:c>
      <x:c r="RE104" s="14" t="str">
        <x:v>29951</x:v>
      </x:c>
      <x:c r="RF104" s="14" t="n">
        <x:v>5</x:v>
      </x:c>
      <x:c r="RG104" s="14" t="n">
        <x:v>3878</x:v>
      </x:c>
      <x:c r="RH104" s="14" t="n">
        <x:v>333</x:v>
      </x:c>
      <x:c r="RI104" s="14" t="n">
        <x:v>12</x:v>
      </x:c>
      <x:c r="RJ104" s="14" t="n">
        <x:v>1</x:v>
      </x:c>
      <x:c r="RK104" s="14" t="str">
        <x:v>未收錄</x:v>
      </x:c>
      <x:c r="RL104" s="14" t="str">
        <x:v>29952</x:v>
      </x:c>
      <x:c r="RM104" s="14" t="n">
        <x:v>5</x:v>
      </x:c>
      <x:c r="RN104" s="14" t="n">
        <x:v>3879</x:v>
      </x:c>
      <x:c r="RO104" s="14" t="n">
        <x:v>334</x:v>
      </x:c>
      <x:c r="RP104" s="14" t="n">
        <x:v>12</x:v>
      </x:c>
      <x:c r="RQ104" s="14" t="n">
        <x:v>2</x:v>
      </x:c>
      <x:c r="RR104" s="14" t="str">
        <x:v>未收錄</x:v>
      </x:c>
      <x:c r="RS104" s="14" t="str">
        <x:v>29953</x:v>
      </x:c>
      <x:c r="RT104" s="14" t="n">
        <x:v>5</x:v>
      </x:c>
      <x:c r="RU104" s="14" t="n">
        <x:v>3880</x:v>
      </x:c>
      <x:c r="RV104" s="14" t="n">
        <x:v>335</x:v>
      </x:c>
      <x:c r="RW104" s="14" t="n">
        <x:v>12</x:v>
      </x:c>
      <x:c r="RX104" s="14" t="n">
        <x:v>3</x:v>
      </x:c>
      <x:c r="RY104" s="14" t="str">
        <x:v>未收錄</x:v>
      </x:c>
      <x:c r="RZ104" s="14" t="str">
        <x:v>29954</x:v>
      </x:c>
      <x:c r="SA104" s="14" t="n">
        <x:v>5</x:v>
      </x:c>
      <x:c r="SB104" s="14" t="n">
        <x:v>3881</x:v>
      </x:c>
      <x:c r="SC104" s="14" t="n">
        <x:v>336</x:v>
      </x:c>
      <x:c r="SD104" s="14" t="n">
        <x:v>12</x:v>
      </x:c>
      <x:c r="SE104" s="14" t="n">
        <x:v>4</x:v>
      </x:c>
      <x:c r="SF104" s="14" t="str">
        <x:v>未收錄</x:v>
      </x:c>
      <x:c r="SG104" s="14"/>
      <x:c r="SH104" s="14"/>
      <x:c r="SI104" s="14"/>
      <x:c r="SJ104" s="14"/>
      <x:c r="SK104" s="14"/>
      <x:c r="SL104" s="14"/>
      <x:c r="SM104" s="14"/>
      <x:c r="SN104" s="14"/>
      <x:c r="SO104" s="14"/>
      <x:c r="SP104" s="14"/>
      <x:c r="SQ104" s="14"/>
      <x:c r="SR104" s="14"/>
      <x:c r="SS104" s="14"/>
      <x:c r="ST104" s="14"/>
      <x:c r="SU104" s="14"/>
      <x:c r="SV104" s="14"/>
      <x:c r="SW104" s="14"/>
      <x:c r="SX104" s="14"/>
      <x:c r="SY104" s="14"/>
      <x:c r="SZ104" s="14"/>
      <x:c r="TA104" s="14"/>
      <x:c r="TB104" s="14"/>
      <x:c r="TC104" s="14"/>
      <x:c r="TD104" s="14"/>
      <x:c r="TE104" s="14"/>
      <x:c r="TF104" s="14"/>
      <x:c r="TG104" s="14"/>
      <x:c r="TH104" s="14"/>
    </x:row>
    <x:row r="105" ht="15" customHeight="1">
      <x:c r="A105" s="14"/>
      <x:c r="B105" s="14"/>
      <x:c r="C105" s="14"/>
      <x:c r="D105" s="14"/>
      <x:c r="E105" s="14"/>
      <x:c r="F105" s="14"/>
      <x:c r="G105" s="14"/>
      <x:c r="H105" s="14"/>
      <x:c r="I105" s="14"/>
      <x:c r="J105" s="14"/>
      <x:c r="K105" s="14"/>
      <x:c r="L105" s="14"/>
      <x:c r="M105" s="14"/>
      <x:c r="N105" s="14"/>
      <x:c r="O105" s="14"/>
      <x:c r="P105" s="14"/>
      <x:c r="Q105" s="14"/>
      <x:c r="R105" s="14"/>
      <x:c r="S105" s="14"/>
      <x:c r="T105" s="14"/>
      <x:c r="U105" s="14"/>
      <x:c r="V105" s="14"/>
      <x:c r="W105" s="14"/>
      <x:c r="X105" s="14"/>
      <x:c r="Y105" s="14"/>
      <x:c r="Z105" s="14"/>
      <x:c r="AA105" s="14"/>
      <x:c r="AB105" s="14"/>
      <x:c r="AC105" s="14"/>
      <x:c r="AD105" s="14"/>
      <x:c r="AE105" s="14"/>
      <x:c r="AF105" s="14"/>
      <x:c r="AG105" s="14"/>
      <x:c r="AH105" s="14"/>
      <x:c r="AI105" s="14"/>
      <x:c r="AJ105" s="14"/>
      <x:c r="AK105" s="14"/>
      <x:c r="AL105" s="14"/>
      <x:c r="AM105" s="14"/>
      <x:c r="AN105" s="14"/>
      <x:c r="AO105" s="14"/>
      <x:c r="AP105" s="14"/>
      <x:c r="AQ105" s="14"/>
      <x:c r="AR105" s="14"/>
      <x:c r="AS105" s="14"/>
      <x:c r="AT105" s="14"/>
      <x:c r="AU105" s="14"/>
      <x:c r="AV105" s="14"/>
      <x:c r="AW105" s="14"/>
      <x:c r="AX105" s="14"/>
      <x:c r="AY105" s="17" t="str">
        <x:v>黃月巾★</x:v>
      </x:c>
      <x:c r="AZ105" s="17" t="str">
        <x:v>劍帝冕★☆</x:v>
      </x:c>
      <x:c r="BA105" s="17" t="str">
        <x:v>武帝盔★☆</x:v>
      </x:c>
      <x:c r="BB105" s="17" t="str">
        <x:v>幻帝面★☆</x:v>
      </x:c>
      <x:c r="BC105" s="14"/>
      <x:c r="BD105" s="17" t="str">
        <x:v>鬥星鎧★</x:v>
      </x:c>
      <x:c r="BE105" s="17" t="str">
        <x:v>遊星衣★</x:v>
      </x:c>
      <x:c r="BF105" s="17" t="str">
        <x:v>星蹤袍★</x:v>
      </x:c>
      <x:c r="BG105" s="17" t="str">
        <x:v>釋星袈★</x:v>
      </x:c>
      <x:c r="BH105" s="14"/>
      <x:c r="BI105" s="17" t="str">
        <x:v>劍帝握★★☆</x:v>
      </x:c>
      <x:c r="BJ105" s="17" t="str">
        <x:v>武帝掌★★☆</x:v>
      </x:c>
      <x:c r="BK105" s="17" t="str">
        <x:v>幻帝手★★☆</x:v>
      </x:c>
      <x:c r="BL105" s="17" t="str">
        <x:v>道帝袖★★☆</x:v>
      </x:c>
      <x:c r="BM105" s="14"/>
      <x:c r="BN105" s="17" t="str">
        <x:v>幻帝步★</x:v>
      </x:c>
      <x:c r="BO105" s="17" t="str">
        <x:v>道帝行★</x:v>
      </x:c>
      <x:c r="BP105" s="17" t="str">
        <x:v>禪帝渡★</x:v>
      </x:c>
      <x:c r="BQ105" s="17" t="str">
        <x:v>鬼帝道★</x:v>
      </x:c>
      <x:c r="BR105" s="14"/>
      <x:c r="BS105" s="17" t="str">
        <x:v>千江神謳章</x:v>
      </x:c>
      <x:c r="BT105" s="17" t="str">
        <x:v>赫居新羅結</x:v>
      </x:c>
      <x:c r="BU105" s="17" t="str">
        <x:v>終極六滅化神</x:v>
      </x:c>
      <x:c r="BV105" s="17" t="str">
        <x:v>終極七宗神愆</x:v>
      </x:c>
      <x:c r="BW105" s="14"/>
      <x:c r="BX105" s="14"/>
      <x:c r="BY105" s="14"/>
      <x:c r="BZ105" s="14"/>
      <x:c r="CA105" s="14"/>
      <x:c r="CB105" s="14"/>
      <x:c r="CC105" s="14"/>
      <x:c r="CD105" s="14"/>
      <x:c r="CE105" s="14"/>
      <x:c r="CF105" s="14"/>
      <x:c r="CG105" s="14"/>
      <x:c r="CH105" s="14"/>
      <x:c r="CI105" s="14"/>
      <x:c r="CJ105" s="14"/>
      <x:c r="CK105" s="14"/>
      <x:c r="CL105" s="14"/>
      <x:c r="CM105" s="14"/>
      <x:c r="CN105" s="14"/>
      <x:c r="CO105" s="14"/>
      <x:c r="CP105" s="14"/>
      <x:c r="CQ105" s="14"/>
      <x:c r="CR105" s="14"/>
      <x:c r="CS105" s="14"/>
      <x:c r="CT105" s="14"/>
      <x:c r="CU105" s="14"/>
      <x:c r="CV105" s="14"/>
      <x:c r="CW105" s="14"/>
      <x:c r="CX105" s="14"/>
      <x:c r="CY105" s="14"/>
      <x:c r="CZ105" s="14"/>
      <x:c r="DA105" s="14"/>
      <x:c r="DB105" s="14"/>
      <x:c r="DC105" s="14"/>
      <x:c r="DD105" s="14"/>
      <x:c r="DE105" s="14"/>
      <x:c r="DF105" s="14"/>
      <x:c r="DG105" s="14"/>
      <x:c r="DH105" s="14"/>
      <x:c r="DI105" s="14"/>
      <x:c r="DJ105" s="14"/>
      <x:c r="DK105" s="14"/>
      <x:c r="DL105" s="14"/>
      <x:c r="DM105" s="14"/>
      <x:c r="DN105" s="14"/>
      <x:c r="DO105" s="14"/>
      <x:c r="DP105" s="14"/>
      <x:c r="DQ105" s="14"/>
      <x:c r="DR105" s="14"/>
      <x:c r="DS105" s="14"/>
      <x:c r="DT105" s="14"/>
      <x:c r="DU105" s="14"/>
      <x:c r="DV105" s="14"/>
      <x:c r="DW105" s="14"/>
      <x:c r="DX105" s="14"/>
      <x:c r="DY105" s="14"/>
      <x:c r="DZ105" s="14"/>
      <x:c r="EA105" s="14"/>
      <x:c r="EB105" s="14"/>
      <x:c r="EC105" s="14"/>
      <x:c r="ED105" s="14"/>
      <x:c r="EE105" s="14"/>
      <x:c r="EF105" s="14"/>
      <x:c r="EG105" s="14"/>
      <x:c r="EH105" s="14"/>
      <x:c r="EI105" s="14"/>
      <x:c r="EJ105" s="14"/>
      <x:c r="EK105" s="14"/>
      <x:c r="EL105" s="14"/>
      <x:c r="EM105" s="14"/>
      <x:c r="EN105" s="14"/>
      <x:c r="EO105" s="14"/>
      <x:c r="EP105" s="14"/>
      <x:c r="EQ105" s="14"/>
      <x:c r="ER105" s="14"/>
      <x:c r="ES105" s="14"/>
      <x:c r="ET105" s="14"/>
      <x:c r="EU105" s="14"/>
      <x:c r="EV105" s="14"/>
      <x:c r="EW105" s="14"/>
      <x:c r="EX105" s="14"/>
      <x:c r="EY105" s="14"/>
      <x:c r="EZ105" s="14"/>
      <x:c r="FA105" s="14"/>
      <x:c r="FB105" s="14"/>
      <x:c r="FC105" s="14"/>
      <x:c r="FD105" s="14"/>
      <x:c r="FE105" s="14"/>
      <x:c r="FF105" s="14"/>
      <x:c r="FG105" s="14"/>
      <x:c r="FH105" s="14"/>
      <x:c r="FI105" s="14"/>
      <x:c r="FJ105" s="14"/>
      <x:c r="FK105" s="14"/>
      <x:c r="FL105" s="14"/>
      <x:c r="FM105" s="14"/>
      <x:c r="FN105" s="14"/>
      <x:c r="FO105" s="14"/>
      <x:c r="FP105" s="14"/>
      <x:c r="FQ105" s="14"/>
      <x:c r="FR105" s="14"/>
      <x:c r="FS105" s="14"/>
      <x:c r="FT105" s="14"/>
      <x:c r="FU105" s="14"/>
      <x:c r="FV105" s="14"/>
      <x:c r="FW105" s="14"/>
      <x:c r="FX105" s="14"/>
      <x:c r="FY105" s="14"/>
      <x:c r="FZ105" s="14"/>
      <x:c r="GA105" s="14"/>
      <x:c r="GB105" s="14"/>
      <x:c r="GC105" s="14"/>
      <x:c r="GD105" s="14"/>
      <x:c r="GE105" s="14"/>
      <x:c r="GF105" s="14"/>
      <x:c r="GG105" s="14"/>
      <x:c r="GH105" s="14"/>
      <x:c r="GI105" s="14"/>
      <x:c r="GJ105" s="14"/>
      <x:c r="GK105" s="14"/>
      <x:c r="GL105" s="14"/>
      <x:c r="GM105" s="14"/>
      <x:c r="GN105" s="14"/>
      <x:c r="GO105" s="14"/>
      <x:c r="GP105" s="14"/>
      <x:c r="GQ105" s="14"/>
      <x:c r="GR105" s="14"/>
      <x:c r="GS105" s="14"/>
      <x:c r="GT105" s="14"/>
      <x:c r="GU105" s="14"/>
      <x:c r="GV105" s="14"/>
      <x:c r="GW105" s="14"/>
      <x:c r="GX105" s="14"/>
      <x:c r="GY105" s="14"/>
      <x:c r="GZ105" s="14"/>
      <x:c r="HA105" s="14"/>
      <x:c r="HB105" s="14"/>
      <x:c r="HC105" s="14"/>
      <x:c r="HD105" s="14"/>
      <x:c r="HE105" s="14"/>
      <x:c r="HF105" s="14"/>
      <x:c r="HG105" s="14"/>
      <x:c r="HH105" s="14"/>
      <x:c r="HI105" s="14"/>
      <x:c r="HJ105" s="14"/>
      <x:c r="HK105" s="14"/>
      <x:c r="HL105" s="14"/>
      <x:c r="HM105" s="14"/>
      <x:c r="HN105" s="14"/>
      <x:c r="HO105" s="14"/>
      <x:c r="HP105" s="14"/>
      <x:c r="HQ105" s="14"/>
      <x:c r="HR105" s="14"/>
      <x:c r="HS105" s="14"/>
      <x:c r="HT105" s="14"/>
      <x:c r="HU105" s="14"/>
      <x:c r="HV105" s="14"/>
      <x:c r="HW105" s="14"/>
      <x:c r="HX105" s="14"/>
      <x:c r="HY105" s="14"/>
      <x:c r="HZ105" s="14"/>
      <x:c r="IA105" s="14"/>
      <x:c r="IB105" s="14"/>
      <x:c r="IC105" s="14"/>
      <x:c r="ID105" s="14"/>
      <x:c r="IE105" s="14"/>
      <x:c r="IF105" s="14"/>
      <x:c r="IG105" s="14"/>
      <x:c r="IH105" s="14"/>
      <x:c r="II105" s="14"/>
      <x:c r="IJ105" s="14"/>
      <x:c r="IK105" s="14"/>
      <x:c r="IL105" s="14"/>
      <x:c r="IM105" s="14"/>
      <x:c r="IN105" s="14"/>
      <x:c r="IO105" s="14"/>
      <x:c r="IP105" s="14"/>
      <x:c r="IQ105" s="14"/>
      <x:c r="IR105" s="14"/>
      <x:c r="IS105" s="14"/>
      <x:c r="IT105" s="14"/>
      <x:c r="IU105" s="14"/>
      <x:c r="IV105" s="14"/>
      <x:c r="IW105" s="14"/>
      <x:c r="IX105" s="14"/>
      <x:c r="IY105" s="14"/>
      <x:c r="IZ105" s="14"/>
      <x:c r="JA105" s="14"/>
      <x:c r="JB105" s="14"/>
      <x:c r="JC105" s="14"/>
      <x:c r="JD105" s="14"/>
      <x:c r="JE105" s="14"/>
      <x:c r="JF105" s="14"/>
      <x:c r="JG105" s="14"/>
      <x:c r="JH105" s="14"/>
      <x:c r="JI105" s="14"/>
      <x:c r="JJ105" s="14"/>
      <x:c r="JK105" s="14"/>
      <x:c r="JL105" s="14"/>
      <x:c r="JM105" s="14"/>
      <x:c r="JN105" s="14"/>
      <x:c r="JO105" s="14"/>
      <x:c r="JP105" s="14"/>
      <x:c r="JQ105" s="14"/>
      <x:c r="JR105" s="14"/>
      <x:c r="JS105" s="14"/>
      <x:c r="JT105" s="14"/>
      <x:c r="JU105" s="14"/>
      <x:c r="JV105" s="14"/>
      <x:c r="JW105" s="14"/>
      <x:c r="JX105" s="14"/>
      <x:c r="JY105" s="14"/>
      <x:c r="JZ105" s="14"/>
      <x:c r="KA105" s="14"/>
      <x:c r="KB105" s="14"/>
      <x:c r="KC105" s="14"/>
      <x:c r="KD105" s="14"/>
      <x:c r="KE105" s="14"/>
      <x:c r="KF105" s="14"/>
      <x:c r="KG105" s="14"/>
      <x:c r="KH105" s="14"/>
      <x:c r="KI105" s="14"/>
      <x:c r="KJ105" s="14"/>
      <x:c r="KK105" s="14"/>
      <x:c r="KL105" s="14"/>
      <x:c r="KM105" s="14"/>
      <x:c r="KN105" s="14"/>
      <x:c r="KO105" s="14"/>
      <x:c r="KP105" s="14"/>
      <x:c r="KQ105" s="14"/>
      <x:c r="KR105" s="14"/>
      <x:c r="KS105" s="14"/>
      <x:c r="KT105" s="14"/>
      <x:c r="KU105" s="14"/>
      <x:c r="KV105" s="14"/>
      <x:c r="KW105" s="14"/>
      <x:c r="KX105" s="14"/>
      <x:c r="KY105" s="14"/>
      <x:c r="KZ105" s="14"/>
      <x:c r="LA105" s="14"/>
      <x:c r="LB105" s="14"/>
      <x:c r="LC105" s="14"/>
      <x:c r="LD105" s="14"/>
      <x:c r="LE105" s="14"/>
      <x:c r="LF105" s="14"/>
      <x:c r="LG105" s="14"/>
      <x:c r="LH105" s="14"/>
      <x:c r="LI105" s="14"/>
      <x:c r="LJ105" s="14"/>
      <x:c r="LK105" s="14"/>
      <x:c r="LL105" s="14"/>
      <x:c r="LM105" s="14"/>
      <x:c r="LN105" s="14"/>
      <x:c r="LO105" s="14"/>
      <x:c r="LP105" s="14"/>
      <x:c r="LQ105" s="14"/>
      <x:c r="LR105" s="14"/>
      <x:c r="LS105" s="14"/>
      <x:c r="LT105" s="14"/>
      <x:c r="LU105" s="14"/>
      <x:c r="LV105" s="14"/>
      <x:c r="LW105" s="14"/>
      <x:c r="LX105" s="14"/>
      <x:c r="LY105" s="14"/>
      <x:c r="LZ105" s="14"/>
      <x:c r="MA105" s="14"/>
      <x:c r="MB105" s="14"/>
      <x:c r="MC105" s="14"/>
      <x:c r="MD105" s="14"/>
      <x:c r="ME105" s="14"/>
      <x:c r="MF105" s="14"/>
      <x:c r="MG105" s="14"/>
      <x:c r="MH105" s="14"/>
      <x:c r="MI105" s="14"/>
      <x:c r="MJ105" s="14"/>
      <x:c r="MK105" s="14"/>
      <x:c r="ML105" s="14"/>
      <x:c r="MM105" s="14"/>
      <x:c r="MN105" s="14"/>
      <x:c r="MO105" s="14"/>
      <x:c r="MP105" s="14"/>
      <x:c r="MQ105" s="14"/>
      <x:c r="MR105" s="14"/>
      <x:c r="MS105" s="14"/>
      <x:c r="MT105" s="14"/>
      <x:c r="MU105" s="14"/>
      <x:c r="MV105" s="14"/>
      <x:c r="MW105" s="14" t="str">
        <x:v>29572</x:v>
      </x:c>
      <x:c r="MX105" s="14" t="n">
        <x:v>10</x:v>
      </x:c>
      <x:c r="MY105" s="14" t="n">
        <x:v>1985</x:v>
      </x:c>
      <x:c r="MZ105" s="14" t="n">
        <x:v>337</x:v>
      </x:c>
      <x:c r="NA105" s="14" t="n">
        <x:v>13</x:v>
      </x:c>
      <x:c r="NB105" s="14" t="n">
        <x:v>1</x:v>
      </x:c>
      <x:c r="NC105" s="14" t="str">
        <x:v>未收錄</x:v>
      </x:c>
      <x:c r="ND105" s="14" t="str">
        <x:v>29405</x:v>
      </x:c>
      <x:c r="NE105" s="14" t="n">
        <x:v>5</x:v>
      </x:c>
      <x:c r="NF105" s="14" t="n">
        <x:v>1986</x:v>
      </x:c>
      <x:c r="NG105" s="14" t="n">
        <x:v>338</x:v>
      </x:c>
      <x:c r="NH105" s="14" t="n">
        <x:v>13</x:v>
      </x:c>
      <x:c r="NI105" s="14" t="n">
        <x:v>2</x:v>
      </x:c>
      <x:c r="NJ105" s="14" t="str">
        <x:v>未收錄</x:v>
      </x:c>
      <x:c r="NK105" s="14" t="str">
        <x:v>29411</x:v>
      </x:c>
      <x:c r="NL105" s="14" t="n">
        <x:v>5</x:v>
      </x:c>
      <x:c r="NM105" s="14" t="n">
        <x:v>1987</x:v>
      </x:c>
      <x:c r="NN105" s="14" t="n">
        <x:v>339</x:v>
      </x:c>
      <x:c r="NO105" s="14" t="n">
        <x:v>13</x:v>
      </x:c>
      <x:c r="NP105" s="14" t="n">
        <x:v>3</x:v>
      </x:c>
      <x:c r="NQ105" s="14" t="str">
        <x:v>未收錄</x:v>
      </x:c>
      <x:c r="NR105" s="14" t="str">
        <x:v>29417</x:v>
      </x:c>
      <x:c r="NS105" s="14" t="n">
        <x:v>5</x:v>
      </x:c>
      <x:c r="NT105" s="14" t="n">
        <x:v>1988</x:v>
      </x:c>
      <x:c r="NU105" s="14" t="n">
        <x:v>340</x:v>
      </x:c>
      <x:c r="NV105" s="14" t="n">
        <x:v>13</x:v>
      </x:c>
      <x:c r="NW105" s="14" t="n">
        <x:v>4</x:v>
      </x:c>
      <x:c r="NX105" s="14" t="str">
        <x:v>未收錄</x:v>
      </x:c>
      <x:c r="NY105" s="14" t="str">
        <x:v>28397</x:v>
      </x:c>
      <x:c r="NZ105" s="14" t="n">
        <x:v>5</x:v>
      </x:c>
      <x:c r="OA105" s="14" t="n">
        <x:v>2438</x:v>
      </x:c>
      <x:c r="OB105" s="14" t="n">
        <x:v>337</x:v>
      </x:c>
      <x:c r="OC105" s="14" t="n">
        <x:v>13</x:v>
      </x:c>
      <x:c r="OD105" s="14" t="n">
        <x:v>1</x:v>
      </x:c>
      <x:c r="OE105" s="14" t="str">
        <x:v>未收錄</x:v>
      </x:c>
      <x:c r="OF105" s="14" t="str">
        <x:v>28400</x:v>
      </x:c>
      <x:c r="OG105" s="14" t="n">
        <x:v>5</x:v>
      </x:c>
      <x:c r="OH105" s="14" t="n">
        <x:v>2439</x:v>
      </x:c>
      <x:c r="OI105" s="14" t="n">
        <x:v>338</x:v>
      </x:c>
      <x:c r="OJ105" s="14" t="n">
        <x:v>13</x:v>
      </x:c>
      <x:c r="OK105" s="14" t="n">
        <x:v>2</x:v>
      </x:c>
      <x:c r="OL105" s="14" t="str">
        <x:v>未收錄</x:v>
      </x:c>
      <x:c r="OM105" s="14" t="str">
        <x:v>28403</x:v>
      </x:c>
      <x:c r="ON105" s="14" t="n">
        <x:v>5</x:v>
      </x:c>
      <x:c r="OO105" s="14" t="n">
        <x:v>2440</x:v>
      </x:c>
      <x:c r="OP105" s="14" t="n">
        <x:v>339</x:v>
      </x:c>
      <x:c r="OQ105" s="14" t="n">
        <x:v>13</x:v>
      </x:c>
      <x:c r="OR105" s="14" t="n">
        <x:v>3</x:v>
      </x:c>
      <x:c r="OS105" s="14" t="str">
        <x:v>未收錄</x:v>
      </x:c>
      <x:c r="OT105" s="14" t="str">
        <x:v>28406</x:v>
      </x:c>
      <x:c r="OU105" s="14" t="n">
        <x:v>5</x:v>
      </x:c>
      <x:c r="OV105" s="14" t="n">
        <x:v>2441</x:v>
      </x:c>
      <x:c r="OW105" s="14" t="n">
        <x:v>340</x:v>
      </x:c>
      <x:c r="OX105" s="14" t="n">
        <x:v>13</x:v>
      </x:c>
      <x:c r="OY105" s="14" t="n">
        <x:v>4</x:v>
      </x:c>
      <x:c r="OZ105" s="14" t="str">
        <x:v>未收錄</x:v>
      </x:c>
      <x:c r="PA105" s="14" t="str">
        <x:v>29467</x:v>
      </x:c>
      <x:c r="PB105" s="14" t="n">
        <x:v>5</x:v>
      </x:c>
      <x:c r="PC105" s="14" t="n">
        <x:v>2984</x:v>
      </x:c>
      <x:c r="PD105" s="14" t="n">
        <x:v>337</x:v>
      </x:c>
      <x:c r="PE105" s="14" t="n">
        <x:v>13</x:v>
      </x:c>
      <x:c r="PF105" s="14" t="n">
        <x:v>1</x:v>
      </x:c>
      <x:c r="PG105" s="14" t="str">
        <x:v>未收錄</x:v>
      </x:c>
      <x:c r="PH105" s="14" t="str">
        <x:v>29473</x:v>
      </x:c>
      <x:c r="PI105" s="14" t="n">
        <x:v>5</x:v>
      </x:c>
      <x:c r="PJ105" s="14" t="n">
        <x:v>2985</x:v>
      </x:c>
      <x:c r="PK105" s="14" t="n">
        <x:v>338</x:v>
      </x:c>
      <x:c r="PL105" s="14" t="n">
        <x:v>13</x:v>
      </x:c>
      <x:c r="PM105" s="14" t="n">
        <x:v>2</x:v>
      </x:c>
      <x:c r="PN105" s="14" t="str">
        <x:v>未收錄</x:v>
      </x:c>
      <x:c r="PO105" s="14" t="str">
        <x:v>29479</x:v>
      </x:c>
      <x:c r="PP105" s="14" t="n">
        <x:v>5</x:v>
      </x:c>
      <x:c r="PQ105" s="14" t="n">
        <x:v>2986</x:v>
      </x:c>
      <x:c r="PR105" s="14" t="n">
        <x:v>339</x:v>
      </x:c>
      <x:c r="PS105" s="14" t="n">
        <x:v>13</x:v>
      </x:c>
      <x:c r="PT105" s="14" t="n">
        <x:v>3</x:v>
      </x:c>
      <x:c r="PU105" s="14" t="str">
        <x:v>未收錄</x:v>
      </x:c>
      <x:c r="PV105" s="14" t="str">
        <x:v>29485</x:v>
      </x:c>
      <x:c r="PW105" s="14" t="n">
        <x:v>5</x:v>
      </x:c>
      <x:c r="PX105" s="14" t="n">
        <x:v>2987</x:v>
      </x:c>
      <x:c r="PY105" s="14" t="n">
        <x:v>340</x:v>
      </x:c>
      <x:c r="PZ105" s="14" t="n">
        <x:v>13</x:v>
      </x:c>
      <x:c r="QA105" s="14" t="n">
        <x:v>4</x:v>
      </x:c>
      <x:c r="QB105" s="14" t="str">
        <x:v>未收錄</x:v>
      </x:c>
      <x:c r="QC105" s="14" t="str">
        <x:v>29506</x:v>
      </x:c>
      <x:c r="QD105" s="14" t="n">
        <x:v>5</x:v>
      </x:c>
      <x:c r="QE105" s="14" t="n">
        <x:v>3421</x:v>
      </x:c>
      <x:c r="QF105" s="14" t="n">
        <x:v>337</x:v>
      </x:c>
      <x:c r="QG105" s="14" t="n">
        <x:v>13</x:v>
      </x:c>
      <x:c r="QH105" s="14" t="n">
        <x:v>1</x:v>
      </x:c>
      <x:c r="QI105" s="14" t="str">
        <x:v>未收錄</x:v>
      </x:c>
      <x:c r="QJ105" s="14" t="str">
        <x:v>29512</x:v>
      </x:c>
      <x:c r="QK105" s="14" t="n">
        <x:v>5</x:v>
      </x:c>
      <x:c r="QL105" s="14" t="n">
        <x:v>3422</x:v>
      </x:c>
      <x:c r="QM105" s="14" t="n">
        <x:v>338</x:v>
      </x:c>
      <x:c r="QN105" s="14" t="n">
        <x:v>13</x:v>
      </x:c>
      <x:c r="QO105" s="14" t="n">
        <x:v>2</x:v>
      </x:c>
      <x:c r="QP105" s="14" t="str">
        <x:v>未收錄</x:v>
      </x:c>
      <x:c r="QQ105" s="14" t="str">
        <x:v>29518</x:v>
      </x:c>
      <x:c r="QR105" s="14" t="n">
        <x:v>5</x:v>
      </x:c>
      <x:c r="QS105" s="14" t="n">
        <x:v>3423</x:v>
      </x:c>
      <x:c r="QT105" s="14" t="n">
        <x:v>339</x:v>
      </x:c>
      <x:c r="QU105" s="14" t="n">
        <x:v>13</x:v>
      </x:c>
      <x:c r="QV105" s="14" t="n">
        <x:v>3</x:v>
      </x:c>
      <x:c r="QW105" s="14" t="str">
        <x:v>未收錄</x:v>
      </x:c>
      <x:c r="QX105" s="14" t="str">
        <x:v>29566</x:v>
      </x:c>
      <x:c r="QY105" s="14" t="n">
        <x:v>10</x:v>
      </x:c>
      <x:c r="QZ105" s="14" t="n">
        <x:v>3424</x:v>
      </x:c>
      <x:c r="RA105" s="14" t="n">
        <x:v>340</x:v>
      </x:c>
      <x:c r="RB105" s="14" t="n">
        <x:v>13</x:v>
      </x:c>
      <x:c r="RC105" s="14" t="n">
        <x:v>4</x:v>
      </x:c>
      <x:c r="RD105" s="14" t="str">
        <x:v>未收錄</x:v>
      </x:c>
      <x:c r="RE105" s="14" t="str">
        <x:v>29935</x:v>
      </x:c>
      <x:c r="RF105" s="14" t="n">
        <x:v>10</x:v>
      </x:c>
      <x:c r="RG105" s="14" t="n">
        <x:v>3882</x:v>
      </x:c>
      <x:c r="RH105" s="14" t="n">
        <x:v>337</x:v>
      </x:c>
      <x:c r="RI105" s="14" t="n">
        <x:v>13</x:v>
      </x:c>
      <x:c r="RJ105" s="14" t="n">
        <x:v>1</x:v>
      </x:c>
      <x:c r="RK105" s="14" t="str">
        <x:v>未收錄</x:v>
      </x:c>
      <x:c r="RL105" s="14" t="str">
        <x:v>29936</x:v>
      </x:c>
      <x:c r="RM105" s="14" t="n">
        <x:v>10</x:v>
      </x:c>
      <x:c r="RN105" s="14" t="n">
        <x:v>3883</x:v>
      </x:c>
      <x:c r="RO105" s="14" t="n">
        <x:v>338</x:v>
      </x:c>
      <x:c r="RP105" s="14" t="n">
        <x:v>13</x:v>
      </x:c>
      <x:c r="RQ105" s="14" t="n">
        <x:v>2</x:v>
      </x:c>
      <x:c r="RR105" s="14" t="str">
        <x:v>未收錄</x:v>
      </x:c>
      <x:c r="RS105" s="14" t="str">
        <x:v>29942</x:v>
      </x:c>
      <x:c r="RT105" s="14" t="n">
        <x:v>10</x:v>
      </x:c>
      <x:c r="RU105" s="14" t="n">
        <x:v>3884</x:v>
      </x:c>
      <x:c r="RV105" s="14" t="n">
        <x:v>339</x:v>
      </x:c>
      <x:c r="RW105" s="14" t="n">
        <x:v>13</x:v>
      </x:c>
      <x:c r="RX105" s="14" t="n">
        <x:v>3</x:v>
      </x:c>
      <x:c r="RY105" s="14" t="str">
        <x:v>未收錄</x:v>
      </x:c>
      <x:c r="RZ105" s="14" t="str">
        <x:v>29948</x:v>
      </x:c>
      <x:c r="SA105" s="14" t="n">
        <x:v>20</x:v>
      </x:c>
      <x:c r="SB105" s="14" t="n">
        <x:v>3885</x:v>
      </x:c>
      <x:c r="SC105" s="14" t="n">
        <x:v>340</x:v>
      </x:c>
      <x:c r="SD105" s="14" t="n">
        <x:v>13</x:v>
      </x:c>
      <x:c r="SE105" s="14" t="n">
        <x:v>4</x:v>
      </x:c>
      <x:c r="SF105" s="14" t="str">
        <x:v>未收錄</x:v>
      </x:c>
      <x:c r="SG105" s="14"/>
      <x:c r="SH105" s="14"/>
      <x:c r="SI105" s="14"/>
      <x:c r="SJ105" s="14"/>
      <x:c r="SK105" s="14"/>
      <x:c r="SL105" s="14"/>
      <x:c r="SM105" s="14"/>
      <x:c r="SN105" s="14"/>
      <x:c r="SO105" s="14"/>
      <x:c r="SP105" s="14"/>
      <x:c r="SQ105" s="14"/>
      <x:c r="SR105" s="14"/>
      <x:c r="SS105" s="14"/>
      <x:c r="ST105" s="14"/>
      <x:c r="SU105" s="14"/>
      <x:c r="SV105" s="14"/>
      <x:c r="SW105" s="14"/>
      <x:c r="SX105" s="14"/>
      <x:c r="SY105" s="14"/>
      <x:c r="SZ105" s="14"/>
      <x:c r="TA105" s="14"/>
      <x:c r="TB105" s="14"/>
      <x:c r="TC105" s="14"/>
      <x:c r="TD105" s="14"/>
      <x:c r="TE105" s="14"/>
      <x:c r="TF105" s="14"/>
      <x:c r="TG105" s="14"/>
      <x:c r="TH105" s="14"/>
    </x:row>
    <x:row r="106" ht="15" customHeight="1">
      <x:c r="A106" s="14"/>
      <x:c r="B106" s="14"/>
      <x:c r="C106" s="14"/>
      <x:c r="D106" s="14"/>
      <x:c r="E106" s="14"/>
      <x:c r="F106" s="14"/>
      <x:c r="G106" s="14"/>
      <x:c r="H106" s="14"/>
      <x:c r="I106" s="14"/>
      <x:c r="J106" s="14"/>
      <x:c r="K106" s="14"/>
      <x:c r="L106" s="14"/>
      <x:c r="M106" s="14"/>
      <x:c r="N106" s="14"/>
      <x:c r="O106" s="14"/>
      <x:c r="P106" s="14"/>
      <x:c r="Q106" s="14"/>
      <x:c r="R106" s="14"/>
      <x:c r="S106" s="14"/>
      <x:c r="T106" s="14"/>
      <x:c r="U106" s="14"/>
      <x:c r="V106" s="14"/>
      <x:c r="W106" s="14"/>
      <x:c r="X106" s="14"/>
      <x:c r="Y106" s="14"/>
      <x:c r="Z106" s="14"/>
      <x:c r="AA106" s="14"/>
      <x:c r="AB106" s="14"/>
      <x:c r="AC106" s="14"/>
      <x:c r="AD106" s="14"/>
      <x:c r="AE106" s="14"/>
      <x:c r="AF106" s="14"/>
      <x:c r="AG106" s="14"/>
      <x:c r="AH106" s="14"/>
      <x:c r="AI106" s="14"/>
      <x:c r="AJ106" s="14"/>
      <x:c r="AK106" s="14"/>
      <x:c r="AL106" s="14"/>
      <x:c r="AM106" s="14"/>
      <x:c r="AN106" s="14"/>
      <x:c r="AO106" s="14"/>
      <x:c r="AP106" s="14"/>
      <x:c r="AQ106" s="14"/>
      <x:c r="AR106" s="14"/>
      <x:c r="AS106" s="14"/>
      <x:c r="AT106" s="14"/>
      <x:c r="AU106" s="14"/>
      <x:c r="AV106" s="14"/>
      <x:c r="AW106" s="14"/>
      <x:c r="AX106" s="14"/>
      <x:c r="AY106" s="18" t="str">
        <x:v>道帝簪★☆</x:v>
      </x:c>
      <x:c r="AZ106" s="18" t="str">
        <x:v>禪帝頂★☆</x:v>
      </x:c>
      <x:c r="BA106" s="18" t="str">
        <x:v>鬼帝冠★☆</x:v>
      </x:c>
      <x:c r="BB106" s="18" t="str">
        <x:v>黃月巾★☆</x:v>
      </x:c>
      <x:c r="BC106" s="14"/>
      <x:c r="BD106" s="18" t="str">
        <x:v>星兇鎧★</x:v>
      </x:c>
      <x:c r="BE106" s="18" t="str">
        <x:v>煌天衣★</x:v>
      </x:c>
      <x:c r="BF106" s="18" t="str">
        <x:v>奇隱甲★</x:v>
      </x:c>
      <x:c r="BG106" s="18" t="str">
        <x:v>奇行裟★</x:v>
      </x:c>
      <x:c r="BH106" s="14"/>
      <x:c r="BI106" s="18" t="str">
        <x:v>禪帝捻★★☆</x:v>
      </x:c>
      <x:c r="BJ106" s="18" t="str">
        <x:v>鬼帝臂★★☆</x:v>
      </x:c>
      <x:c r="BK106" s="18" t="str">
        <x:v>黃鳴腕★★☆</x:v>
      </x:c>
      <x:c r="BL106" s="18" t="str">
        <x:v>劍帝握★★★</x:v>
      </x:c>
      <x:c r="BM106" s="14"/>
      <x:c r="BN106" s="18" t="str">
        <x:v>黃韋足★</x:v>
      </x:c>
      <x:c r="BO106" s="18" t="str">
        <x:v>君星靴★</x:v>
      </x:c>
      <x:c r="BP106" s="18" t="str">
        <x:v>劍帝履★☆</x:v>
      </x:c>
      <x:c r="BQ106" s="18" t="str">
        <x:v>武帝踏★☆</x:v>
      </x:c>
      <x:c r="BR106" s="14"/>
      <x:c r="BS106" s="18" t="str">
        <x:v>新星之龍戒</x:v>
      </x:c>
      <x:c r="BT106" s="18" t="str">
        <x:v>新星之虎玉</x:v>
      </x:c>
      <x:c r="BU106" s="18" t="str">
        <x:v>新星之雀環</x:v>
      </x:c>
      <x:c r="BV106" s="18" t="str">
        <x:v>新星之玄璧</x:v>
      </x:c>
      <x:c r="BW106" s="14"/>
      <x:c r="BX106" s="14"/>
      <x:c r="BY106" s="14"/>
      <x:c r="BZ106" s="14"/>
      <x:c r="CA106" s="14"/>
      <x:c r="CB106" s="14"/>
      <x:c r="CC106" s="14"/>
      <x:c r="CD106" s="14"/>
      <x:c r="CE106" s="14"/>
      <x:c r="CF106" s="14"/>
      <x:c r="CG106" s="14"/>
      <x:c r="CH106" s="14"/>
      <x:c r="CI106" s="14"/>
      <x:c r="CJ106" s="14"/>
      <x:c r="CK106" s="14"/>
      <x:c r="CL106" s="14"/>
      <x:c r="CM106" s="14"/>
      <x:c r="CN106" s="14"/>
      <x:c r="CO106" s="14"/>
      <x:c r="CP106" s="14"/>
      <x:c r="CQ106" s="14"/>
      <x:c r="CR106" s="14"/>
      <x:c r="CS106" s="14"/>
      <x:c r="CT106" s="14"/>
      <x:c r="CU106" s="14"/>
      <x:c r="CV106" s="14"/>
      <x:c r="CW106" s="14"/>
      <x:c r="CX106" s="14"/>
      <x:c r="CY106" s="14"/>
      <x:c r="CZ106" s="14"/>
      <x:c r="DA106" s="14"/>
      <x:c r="DB106" s="14"/>
      <x:c r="DC106" s="14"/>
      <x:c r="DD106" s="14"/>
      <x:c r="DE106" s="14"/>
      <x:c r="DF106" s="14"/>
      <x:c r="DG106" s="14"/>
      <x:c r="DH106" s="14"/>
      <x:c r="DI106" s="14"/>
      <x:c r="DJ106" s="14"/>
      <x:c r="DK106" s="14"/>
      <x:c r="DL106" s="14"/>
      <x:c r="DM106" s="14"/>
      <x:c r="DN106" s="14"/>
      <x:c r="DO106" s="14"/>
      <x:c r="DP106" s="14"/>
      <x:c r="DQ106" s="14"/>
      <x:c r="DR106" s="14"/>
      <x:c r="DS106" s="14"/>
      <x:c r="DT106" s="14"/>
      <x:c r="DU106" s="14"/>
      <x:c r="DV106" s="14"/>
      <x:c r="DW106" s="14"/>
      <x:c r="DX106" s="14"/>
      <x:c r="DY106" s="14"/>
      <x:c r="DZ106" s="14"/>
      <x:c r="EA106" s="14"/>
      <x:c r="EB106" s="14"/>
      <x:c r="EC106" s="14"/>
      <x:c r="ED106" s="14"/>
      <x:c r="EE106" s="14"/>
      <x:c r="EF106" s="14"/>
      <x:c r="EG106" s="14"/>
      <x:c r="EH106" s="14"/>
      <x:c r="EI106" s="14"/>
      <x:c r="EJ106" s="14"/>
      <x:c r="EK106" s="14"/>
      <x:c r="EL106" s="14"/>
      <x:c r="EM106" s="14"/>
      <x:c r="EN106" s="14"/>
      <x:c r="EO106" s="14"/>
      <x:c r="EP106" s="14"/>
      <x:c r="EQ106" s="14"/>
      <x:c r="ER106" s="14"/>
      <x:c r="ES106" s="14"/>
      <x:c r="ET106" s="14"/>
      <x:c r="EU106" s="14"/>
      <x:c r="EV106" s="14"/>
      <x:c r="EW106" s="14"/>
      <x:c r="EX106" s="14"/>
      <x:c r="EY106" s="14"/>
      <x:c r="EZ106" s="14"/>
      <x:c r="FA106" s="14"/>
      <x:c r="FB106" s="14"/>
      <x:c r="FC106" s="14"/>
      <x:c r="FD106" s="14"/>
      <x:c r="FE106" s="14"/>
      <x:c r="FF106" s="14"/>
      <x:c r="FG106" s="14"/>
      <x:c r="FH106" s="14"/>
      <x:c r="FI106" s="14"/>
      <x:c r="FJ106" s="14"/>
      <x:c r="FK106" s="14"/>
      <x:c r="FL106" s="14"/>
      <x:c r="FM106" s="14"/>
      <x:c r="FN106" s="14"/>
      <x:c r="FO106" s="14"/>
      <x:c r="FP106" s="14"/>
      <x:c r="FQ106" s="14"/>
      <x:c r="FR106" s="14"/>
      <x:c r="FS106" s="14"/>
      <x:c r="FT106" s="14"/>
      <x:c r="FU106" s="14"/>
      <x:c r="FV106" s="14"/>
      <x:c r="FW106" s="14"/>
      <x:c r="FX106" s="14"/>
      <x:c r="FY106" s="14"/>
      <x:c r="FZ106" s="14"/>
      <x:c r="GA106" s="14"/>
      <x:c r="GB106" s="14"/>
      <x:c r="GC106" s="14"/>
      <x:c r="GD106" s="14"/>
      <x:c r="GE106" s="14"/>
      <x:c r="GF106" s="14"/>
      <x:c r="GG106" s="14"/>
      <x:c r="GH106" s="14"/>
      <x:c r="GI106" s="14"/>
      <x:c r="GJ106" s="14"/>
      <x:c r="GK106" s="14"/>
      <x:c r="GL106" s="14"/>
      <x:c r="GM106" s="14"/>
      <x:c r="GN106" s="14"/>
      <x:c r="GO106" s="14"/>
      <x:c r="GP106" s="14"/>
      <x:c r="GQ106" s="14"/>
      <x:c r="GR106" s="14"/>
      <x:c r="GS106" s="14"/>
      <x:c r="GT106" s="14"/>
      <x:c r="GU106" s="14"/>
      <x:c r="GV106" s="14"/>
      <x:c r="GW106" s="14"/>
      <x:c r="GX106" s="14"/>
      <x:c r="GY106" s="14"/>
      <x:c r="GZ106" s="14"/>
      <x:c r="HA106" s="14"/>
      <x:c r="HB106" s="14"/>
      <x:c r="HC106" s="14"/>
      <x:c r="HD106" s="14"/>
      <x:c r="HE106" s="14"/>
      <x:c r="HF106" s="14"/>
      <x:c r="HG106" s="14"/>
      <x:c r="HH106" s="14"/>
      <x:c r="HI106" s="14"/>
      <x:c r="HJ106" s="14"/>
      <x:c r="HK106" s="14"/>
      <x:c r="HL106" s="14"/>
      <x:c r="HM106" s="14"/>
      <x:c r="HN106" s="14"/>
      <x:c r="HO106" s="14"/>
      <x:c r="HP106" s="14"/>
      <x:c r="HQ106" s="14"/>
      <x:c r="HR106" s="14"/>
      <x:c r="HS106" s="14"/>
      <x:c r="HT106" s="14"/>
      <x:c r="HU106" s="14"/>
      <x:c r="HV106" s="14"/>
      <x:c r="HW106" s="14"/>
      <x:c r="HX106" s="14"/>
      <x:c r="HY106" s="14"/>
      <x:c r="HZ106" s="14"/>
      <x:c r="IA106" s="14"/>
      <x:c r="IB106" s="14"/>
      <x:c r="IC106" s="14"/>
      <x:c r="ID106" s="14"/>
      <x:c r="IE106" s="14"/>
      <x:c r="IF106" s="14"/>
      <x:c r="IG106" s="14"/>
      <x:c r="IH106" s="14"/>
      <x:c r="II106" s="14"/>
      <x:c r="IJ106" s="14"/>
      <x:c r="IK106" s="14"/>
      <x:c r="IL106" s="14"/>
      <x:c r="IM106" s="14"/>
      <x:c r="IN106" s="14"/>
      <x:c r="IO106" s="14"/>
      <x:c r="IP106" s="14"/>
      <x:c r="IQ106" s="14"/>
      <x:c r="IR106" s="14"/>
      <x:c r="IS106" s="14"/>
      <x:c r="IT106" s="14"/>
      <x:c r="IU106" s="14"/>
      <x:c r="IV106" s="14"/>
      <x:c r="IW106" s="14"/>
      <x:c r="IX106" s="14"/>
      <x:c r="IY106" s="14"/>
      <x:c r="IZ106" s="14"/>
      <x:c r="JA106" s="14"/>
      <x:c r="JB106" s="14"/>
      <x:c r="JC106" s="14"/>
      <x:c r="JD106" s="14"/>
      <x:c r="JE106" s="14"/>
      <x:c r="JF106" s="14"/>
      <x:c r="JG106" s="14"/>
      <x:c r="JH106" s="14"/>
      <x:c r="JI106" s="14"/>
      <x:c r="JJ106" s="14"/>
      <x:c r="JK106" s="14"/>
      <x:c r="JL106" s="14"/>
      <x:c r="JM106" s="14"/>
      <x:c r="JN106" s="14"/>
      <x:c r="JO106" s="14"/>
      <x:c r="JP106" s="14"/>
      <x:c r="JQ106" s="14"/>
      <x:c r="JR106" s="14"/>
      <x:c r="JS106" s="14"/>
      <x:c r="JT106" s="14"/>
      <x:c r="JU106" s="14"/>
      <x:c r="JV106" s="14"/>
      <x:c r="JW106" s="14"/>
      <x:c r="JX106" s="14"/>
      <x:c r="JY106" s="14"/>
      <x:c r="JZ106" s="14"/>
      <x:c r="KA106" s="14"/>
      <x:c r="KB106" s="14"/>
      <x:c r="KC106" s="14"/>
      <x:c r="KD106" s="14"/>
      <x:c r="KE106" s="14"/>
      <x:c r="KF106" s="14"/>
      <x:c r="KG106" s="14"/>
      <x:c r="KH106" s="14"/>
      <x:c r="KI106" s="14"/>
      <x:c r="KJ106" s="14"/>
      <x:c r="KK106" s="14"/>
      <x:c r="KL106" s="14"/>
      <x:c r="KM106" s="14"/>
      <x:c r="KN106" s="14"/>
      <x:c r="KO106" s="14"/>
      <x:c r="KP106" s="14"/>
      <x:c r="KQ106" s="14"/>
      <x:c r="KR106" s="14"/>
      <x:c r="KS106" s="14"/>
      <x:c r="KT106" s="14"/>
      <x:c r="KU106" s="14"/>
      <x:c r="KV106" s="14"/>
      <x:c r="KW106" s="14"/>
      <x:c r="KX106" s="14"/>
      <x:c r="KY106" s="14"/>
      <x:c r="KZ106" s="14"/>
      <x:c r="LA106" s="14"/>
      <x:c r="LB106" s="14"/>
      <x:c r="LC106" s="14"/>
      <x:c r="LD106" s="14"/>
      <x:c r="LE106" s="14"/>
      <x:c r="LF106" s="14"/>
      <x:c r="LG106" s="14"/>
      <x:c r="LH106" s="14"/>
      <x:c r="LI106" s="14"/>
      <x:c r="LJ106" s="14"/>
      <x:c r="LK106" s="14"/>
      <x:c r="LL106" s="14"/>
      <x:c r="LM106" s="14"/>
      <x:c r="LN106" s="14"/>
      <x:c r="LO106" s="14"/>
      <x:c r="LP106" s="14"/>
      <x:c r="LQ106" s="14"/>
      <x:c r="LR106" s="14"/>
      <x:c r="LS106" s="14"/>
      <x:c r="LT106" s="14"/>
      <x:c r="LU106" s="14"/>
      <x:c r="LV106" s="14"/>
      <x:c r="LW106" s="14"/>
      <x:c r="LX106" s="14"/>
      <x:c r="LY106" s="14"/>
      <x:c r="LZ106" s="14"/>
      <x:c r="MA106" s="14"/>
      <x:c r="MB106" s="14"/>
      <x:c r="MC106" s="14"/>
      <x:c r="MD106" s="14"/>
      <x:c r="ME106" s="14"/>
      <x:c r="MF106" s="14"/>
      <x:c r="MG106" s="14"/>
      <x:c r="MH106" s="14"/>
      <x:c r="MI106" s="14"/>
      <x:c r="MJ106" s="14"/>
      <x:c r="MK106" s="14"/>
      <x:c r="ML106" s="14"/>
      <x:c r="MM106" s="14"/>
      <x:c r="MN106" s="14"/>
      <x:c r="MO106" s="14"/>
      <x:c r="MP106" s="14"/>
      <x:c r="MQ106" s="14"/>
      <x:c r="MR106" s="14"/>
      <x:c r="MS106" s="14"/>
      <x:c r="MT106" s="14"/>
      <x:c r="MU106" s="14"/>
      <x:c r="MV106" s="14"/>
      <x:c r="MW106" s="14" t="str">
        <x:v>29423</x:v>
      </x:c>
      <x:c r="MX106" s="14" t="n">
        <x:v>5</x:v>
      </x:c>
      <x:c r="MY106" s="14" t="n">
        <x:v>1989</x:v>
      </x:c>
      <x:c r="MZ106" s="14" t="n">
        <x:v>341</x:v>
      </x:c>
      <x:c r="NA106" s="14" t="n">
        <x:v>14</x:v>
      </x:c>
      <x:c r="NB106" s="14" t="n">
        <x:v>1</x:v>
      </x:c>
      <x:c r="NC106" s="14" t="str">
        <x:v>未收錄</x:v>
      </x:c>
      <x:c r="ND106" s="14" t="str">
        <x:v>29429</x:v>
      </x:c>
      <x:c r="NE106" s="14" t="n">
        <x:v>5</x:v>
      </x:c>
      <x:c r="NF106" s="14" t="n">
        <x:v>1990</x:v>
      </x:c>
      <x:c r="NG106" s="14" t="n">
        <x:v>342</x:v>
      </x:c>
      <x:c r="NH106" s="14" t="n">
        <x:v>14</x:v>
      </x:c>
      <x:c r="NI106" s="14" t="n">
        <x:v>2</x:v>
      </x:c>
      <x:c r="NJ106" s="14" t="str">
        <x:v>未收錄</x:v>
      </x:c>
      <x:c r="NK106" s="14" t="str">
        <x:v>29549</x:v>
      </x:c>
      <x:c r="NL106" s="14" t="n">
        <x:v>10</x:v>
      </x:c>
      <x:c r="NM106" s="14" t="n">
        <x:v>1991</x:v>
      </x:c>
      <x:c r="NN106" s="14" t="n">
        <x:v>343</x:v>
      </x:c>
      <x:c r="NO106" s="14" t="n">
        <x:v>14</x:v>
      </x:c>
      <x:c r="NP106" s="14" t="n">
        <x:v>3</x:v>
      </x:c>
      <x:c r="NQ106" s="14" t="str">
        <x:v>未收錄</x:v>
      </x:c>
      <x:c r="NR106" s="14" t="str">
        <x:v>29573</x:v>
      </x:c>
      <x:c r="NS106" s="14" t="n">
        <x:v>10</x:v>
      </x:c>
      <x:c r="NT106" s="14" t="n">
        <x:v>1992</x:v>
      </x:c>
      <x:c r="NU106" s="14" t="n">
        <x:v>344</x:v>
      </x:c>
      <x:c r="NV106" s="14" t="n">
        <x:v>14</x:v>
      </x:c>
      <x:c r="NW106" s="14" t="n">
        <x:v>4</x:v>
      </x:c>
      <x:c r="NX106" s="14" t="str">
        <x:v>未收錄</x:v>
      </x:c>
      <x:c r="NY106" s="14" t="str">
        <x:v>28532</x:v>
      </x:c>
      <x:c r="NZ106" s="14" t="n">
        <x:v>10</x:v>
      </x:c>
      <x:c r="OA106" s="14" t="n">
        <x:v>2442</x:v>
      </x:c>
      <x:c r="OB106" s="14" t="n">
        <x:v>341</x:v>
      </x:c>
      <x:c r="OC106" s="14" t="n">
        <x:v>14</x:v>
      </x:c>
      <x:c r="OD106" s="14" t="n">
        <x:v>1</x:v>
      </x:c>
      <x:c r="OE106" s="14" t="str">
        <x:v>未收錄</x:v>
      </x:c>
      <x:c r="OF106" s="14" t="str">
        <x:v>28544</x:v>
      </x:c>
      <x:c r="OG106" s="14" t="n">
        <x:v>10</x:v>
      </x:c>
      <x:c r="OH106" s="14" t="n">
        <x:v>2443</x:v>
      </x:c>
      <x:c r="OI106" s="14" t="n">
        <x:v>342</x:v>
      </x:c>
      <x:c r="OJ106" s="14" t="n">
        <x:v>14</x:v>
      </x:c>
      <x:c r="OK106" s="14" t="n">
        <x:v>2</x:v>
      </x:c>
      <x:c r="OL106" s="14" t="str">
        <x:v>未收錄</x:v>
      </x:c>
      <x:c r="OM106" s="14" t="str">
        <x:v>28553</x:v>
      </x:c>
      <x:c r="ON106" s="14" t="n">
        <x:v>10</x:v>
      </x:c>
      <x:c r="OO106" s="14" t="n">
        <x:v>2444</x:v>
      </x:c>
      <x:c r="OP106" s="14" t="n">
        <x:v>343</x:v>
      </x:c>
      <x:c r="OQ106" s="14" t="n">
        <x:v>14</x:v>
      </x:c>
      <x:c r="OR106" s="14" t="n">
        <x:v>3</x:v>
      </x:c>
      <x:c r="OS106" s="14" t="str">
        <x:v>未收錄</x:v>
      </x:c>
      <x:c r="OT106" s="14" t="str">
        <x:v>28556</x:v>
      </x:c>
      <x:c r="OU106" s="14" t="n">
        <x:v>10</x:v>
      </x:c>
      <x:c r="OV106" s="14" t="n">
        <x:v>2445</x:v>
      </x:c>
      <x:c r="OW106" s="14" t="n">
        <x:v>344</x:v>
      </x:c>
      <x:c r="OX106" s="14" t="n">
        <x:v>14</x:v>
      </x:c>
      <x:c r="OY106" s="14" t="n">
        <x:v>4</x:v>
      </x:c>
      <x:c r="OZ106" s="14" t="str">
        <x:v>未收錄</x:v>
      </x:c>
      <x:c r="PA106" s="14" t="str">
        <x:v>29491</x:v>
      </x:c>
      <x:c r="PB106" s="14" t="n">
        <x:v>5</x:v>
      </x:c>
      <x:c r="PC106" s="14" t="n">
        <x:v>2988</x:v>
      </x:c>
      <x:c r="PD106" s="14" t="n">
        <x:v>341</x:v>
      </x:c>
      <x:c r="PE106" s="14" t="n">
        <x:v>14</x:v>
      </x:c>
      <x:c r="PF106" s="14" t="n">
        <x:v>1</x:v>
      </x:c>
      <x:c r="PG106" s="14" t="str">
        <x:v>未收錄</x:v>
      </x:c>
      <x:c r="PH106" s="14" t="str">
        <x:v>29563</x:v>
      </x:c>
      <x:c r="PI106" s="14" t="n">
        <x:v>10</x:v>
      </x:c>
      <x:c r="PJ106" s="14" t="n">
        <x:v>2989</x:v>
      </x:c>
      <x:c r="PK106" s="14" t="n">
        <x:v>342</x:v>
      </x:c>
      <x:c r="PL106" s="14" t="n">
        <x:v>14</x:v>
      </x:c>
      <x:c r="PM106" s="14" t="n">
        <x:v>2</x:v>
      </x:c>
      <x:c r="PN106" s="14" t="str">
        <x:v>未收錄</x:v>
      </x:c>
      <x:c r="PO106" s="14" t="str">
        <x:v>29587</x:v>
      </x:c>
      <x:c r="PP106" s="14" t="n">
        <x:v>10</x:v>
      </x:c>
      <x:c r="PQ106" s="14" t="n">
        <x:v>2990</x:v>
      </x:c>
      <x:c r="PR106" s="14" t="n">
        <x:v>343</x:v>
      </x:c>
      <x:c r="PS106" s="14" t="n">
        <x:v>14</x:v>
      </x:c>
      <x:c r="PT106" s="14" t="n">
        <x:v>3</x:v>
      </x:c>
      <x:c r="PU106" s="14" t="str">
        <x:v>未收錄</x:v>
      </x:c>
      <x:c r="PV106" s="14" t="str">
        <x:v>29468</x:v>
      </x:c>
      <x:c r="PW106" s="14" t="n">
        <x:v>5</x:v>
      </x:c>
      <x:c r="PX106" s="14" t="n">
        <x:v>2991</x:v>
      </x:c>
      <x:c r="PY106" s="14" t="n">
        <x:v>344</x:v>
      </x:c>
      <x:c r="PZ106" s="14" t="n">
        <x:v>14</x:v>
      </x:c>
      <x:c r="QA106" s="14" t="n">
        <x:v>4</x:v>
      </x:c>
      <x:c r="QB106" s="14" t="str">
        <x:v>未收錄</x:v>
      </x:c>
      <x:c r="QC106" s="14" t="str">
        <x:v>29590</x:v>
      </x:c>
      <x:c r="QD106" s="14" t="n">
        <x:v>10</x:v>
      </x:c>
      <x:c r="QE106" s="14" t="n">
        <x:v>3425</x:v>
      </x:c>
      <x:c r="QF106" s="14" t="n">
        <x:v>341</x:v>
      </x:c>
      <x:c r="QG106" s="14" t="n">
        <x:v>14</x:v>
      </x:c>
      <x:c r="QH106" s="14" t="n">
        <x:v>1</x:v>
      </x:c>
      <x:c r="QI106" s="14" t="str">
        <x:v>未收錄</x:v>
      </x:c>
      <x:c r="QJ106" s="14" t="str">
        <x:v>29608</x:v>
      </x:c>
      <x:c r="QK106" s="14" t="n">
        <x:v>10</x:v>
      </x:c>
      <x:c r="QL106" s="14" t="n">
        <x:v>3426</x:v>
      </x:c>
      <x:c r="QM106" s="14" t="n">
        <x:v>342</x:v>
      </x:c>
      <x:c r="QN106" s="14" t="n">
        <x:v>14</x:v>
      </x:c>
      <x:c r="QO106" s="14" t="n">
        <x:v>2</x:v>
      </x:c>
      <x:c r="QP106" s="14" t="str">
        <x:v>未收錄</x:v>
      </x:c>
      <x:c r="QQ106" s="14" t="str">
        <x:v>29495</x:v>
      </x:c>
      <x:c r="QR106" s="14" t="n">
        <x:v>5</x:v>
      </x:c>
      <x:c r="QS106" s="14" t="n">
        <x:v>3427</x:v>
      </x:c>
      <x:c r="QT106" s="14" t="n">
        <x:v>343</x:v>
      </x:c>
      <x:c r="QU106" s="14" t="n">
        <x:v>14</x:v>
      </x:c>
      <x:c r="QV106" s="14" t="n">
        <x:v>3</x:v>
      </x:c>
      <x:c r="QW106" s="14" t="str">
        <x:v>未收錄</x:v>
      </x:c>
      <x:c r="QX106" s="14" t="str">
        <x:v>29501</x:v>
      </x:c>
      <x:c r="QY106" s="14" t="n">
        <x:v>5</x:v>
      </x:c>
      <x:c r="QZ106" s="14" t="n">
        <x:v>3428</x:v>
      </x:c>
      <x:c r="RA106" s="14" t="n">
        <x:v>344</x:v>
      </x:c>
      <x:c r="RB106" s="14" t="n">
        <x:v>14</x:v>
      </x:c>
      <x:c r="RC106" s="14" t="n">
        <x:v>4</x:v>
      </x:c>
      <x:c r="RD106" s="14" t="str">
        <x:v>未收錄</x:v>
      </x:c>
      <x:c r="RE106" s="14" t="str">
        <x:v>27344</x:v>
      </x:c>
      <x:c r="RF106" s="14" t="n">
        <x:v>5</x:v>
      </x:c>
      <x:c r="RG106" s="14" t="n">
        <x:v>3886</x:v>
      </x:c>
      <x:c r="RH106" s="14" t="n">
        <x:v>341</x:v>
      </x:c>
      <x:c r="RI106" s="14" t="n">
        <x:v>14</x:v>
      </x:c>
      <x:c r="RJ106" s="14" t="n">
        <x:v>1</x:v>
      </x:c>
      <x:c r="RK106" s="14" t="str">
        <x:v>未收錄</x:v>
      </x:c>
      <x:c r="RL106" s="14" t="str">
        <x:v>27345</x:v>
      </x:c>
      <x:c r="RM106" s="14" t="n">
        <x:v>5</x:v>
      </x:c>
      <x:c r="RN106" s="14" t="n">
        <x:v>3887</x:v>
      </x:c>
      <x:c r="RO106" s="14" t="n">
        <x:v>342</x:v>
      </x:c>
      <x:c r="RP106" s="14" t="n">
        <x:v>14</x:v>
      </x:c>
      <x:c r="RQ106" s="14" t="n">
        <x:v>2</x:v>
      </x:c>
      <x:c r="RR106" s="14" t="str">
        <x:v>未收錄</x:v>
      </x:c>
      <x:c r="RS106" s="14" t="str">
        <x:v>27346</x:v>
      </x:c>
      <x:c r="RT106" s="14" t="n">
        <x:v>5</x:v>
      </x:c>
      <x:c r="RU106" s="14" t="n">
        <x:v>3888</x:v>
      </x:c>
      <x:c r="RV106" s="14" t="n">
        <x:v>343</x:v>
      </x:c>
      <x:c r="RW106" s="14" t="n">
        <x:v>14</x:v>
      </x:c>
      <x:c r="RX106" s="14" t="n">
        <x:v>3</x:v>
      </x:c>
      <x:c r="RY106" s="14" t="str">
        <x:v>未收錄</x:v>
      </x:c>
      <x:c r="RZ106" s="14" t="str">
        <x:v>27347</x:v>
      </x:c>
      <x:c r="SA106" s="14" t="n">
        <x:v>5</x:v>
      </x:c>
      <x:c r="SB106" s="14" t="n">
        <x:v>3889</x:v>
      </x:c>
      <x:c r="SC106" s="14" t="n">
        <x:v>344</x:v>
      </x:c>
      <x:c r="SD106" s="14" t="n">
        <x:v>14</x:v>
      </x:c>
      <x:c r="SE106" s="14" t="n">
        <x:v>4</x:v>
      </x:c>
      <x:c r="SF106" s="14" t="str">
        <x:v>未收錄</x:v>
      </x:c>
      <x:c r="SG106" s="14"/>
      <x:c r="SH106" s="14"/>
      <x:c r="SI106" s="14"/>
      <x:c r="SJ106" s="14"/>
      <x:c r="SK106" s="14"/>
      <x:c r="SL106" s="14"/>
      <x:c r="SM106" s="14"/>
      <x:c r="SN106" s="14"/>
      <x:c r="SO106" s="14"/>
      <x:c r="SP106" s="14"/>
      <x:c r="SQ106" s="14"/>
      <x:c r="SR106" s="14"/>
      <x:c r="SS106" s="14"/>
      <x:c r="ST106" s="14"/>
      <x:c r="SU106" s="14"/>
      <x:c r="SV106" s="14"/>
      <x:c r="SW106" s="14"/>
      <x:c r="SX106" s="14"/>
      <x:c r="SY106" s="14"/>
      <x:c r="SZ106" s="14"/>
      <x:c r="TA106" s="14"/>
      <x:c r="TB106" s="14"/>
      <x:c r="TC106" s="14"/>
      <x:c r="TD106" s="14"/>
      <x:c r="TE106" s="14"/>
      <x:c r="TF106" s="14"/>
      <x:c r="TG106" s="14"/>
      <x:c r="TH106" s="14"/>
    </x:row>
    <x:row r="107" ht="15" customHeight="1">
      <x:c r="A107" s="14"/>
      <x:c r="B107" s="14"/>
      <x:c r="C107" s="14"/>
      <x:c r="D107" s="14"/>
      <x:c r="E107" s="14"/>
      <x:c r="F107" s="14"/>
      <x:c r="G107" s="14"/>
      <x:c r="H107" s="14"/>
      <x:c r="I107" s="14"/>
      <x:c r="J107" s="14"/>
      <x:c r="K107" s="14"/>
      <x:c r="L107" s="14"/>
      <x:c r="M107" s="14"/>
      <x:c r="N107" s="14"/>
      <x:c r="O107" s="14"/>
      <x:c r="P107" s="14"/>
      <x:c r="Q107" s="14"/>
      <x:c r="R107" s="14"/>
      <x:c r="S107" s="14"/>
      <x:c r="T107" s="14"/>
      <x:c r="U107" s="14"/>
      <x:c r="V107" s="14"/>
      <x:c r="W107" s="14"/>
      <x:c r="X107" s="14"/>
      <x:c r="Y107" s="14"/>
      <x:c r="Z107" s="14"/>
      <x:c r="AA107" s="14"/>
      <x:c r="AB107" s="14"/>
      <x:c r="AC107" s="14"/>
      <x:c r="AD107" s="14"/>
      <x:c r="AE107" s="14"/>
      <x:c r="AF107" s="14"/>
      <x:c r="AG107" s="14"/>
      <x:c r="AH107" s="14"/>
      <x:c r="AI107" s="14"/>
      <x:c r="AJ107" s="14"/>
      <x:c r="AK107" s="14"/>
      <x:c r="AL107" s="14"/>
      <x:c r="AM107" s="14"/>
      <x:c r="AN107" s="14"/>
      <x:c r="AO107" s="14"/>
      <x:c r="AP107" s="14"/>
      <x:c r="AQ107" s="14"/>
      <x:c r="AR107" s="14"/>
      <x:c r="AS107" s="14"/>
      <x:c r="AT107" s="14"/>
      <x:c r="AU107" s="14"/>
      <x:c r="AV107" s="14"/>
      <x:c r="AW107" s="14"/>
      <x:c r="AX107" s="14"/>
      <x:c r="AY107" s="17" t="str">
        <x:v>劍帝冕★★</x:v>
      </x:c>
      <x:c r="AZ107" s="17" t="str">
        <x:v>武帝盔★★</x:v>
      </x:c>
      <x:c r="BA107" s="17" t="str">
        <x:v>幻帝面★★</x:v>
      </x:c>
      <x:c r="BB107" s="17" t="str">
        <x:v>道帝簪★★</x:v>
      </x:c>
      <x:c r="BC107" s="14"/>
      <x:c r="BD107" s="17" t="str">
        <x:v>星鋒冑★★</x:v>
      </x:c>
      <x:c r="BE107" s="17" t="str">
        <x:v>鬥星鎧★★</x:v>
      </x:c>
      <x:c r="BF107" s="17" t="str">
        <x:v>遊星衣★★</x:v>
      </x:c>
      <x:c r="BG107" s="17" t="str">
        <x:v>星蹤袍★★</x:v>
      </x:c>
      <x:c r="BH107" s="14"/>
      <x:c r="BI107" s="17" t="str">
        <x:v>武帝掌★★★</x:v>
      </x:c>
      <x:c r="BJ107" s="17" t="str">
        <x:v>幻帝手★★★</x:v>
      </x:c>
      <x:c r="BK107" s="17" t="str">
        <x:v>道帝袖★★★</x:v>
      </x:c>
      <x:c r="BL107" s="17" t="str">
        <x:v>禪帝捻★★★</x:v>
      </x:c>
      <x:c r="BM107" s="14"/>
      <x:c r="BN107" s="17" t="str">
        <x:v>幻帝步★☆</x:v>
      </x:c>
      <x:c r="BO107" s="17" t="str">
        <x:v>道帝行★☆</x:v>
      </x:c>
      <x:c r="BP107" s="17" t="str">
        <x:v>禪帝渡★☆</x:v>
      </x:c>
      <x:c r="BQ107" s="17" t="str">
        <x:v>鬼帝道★☆</x:v>
      </x:c>
      <x:c r="BR107" s="14"/>
      <x:c r="BS107" s="17" t="str">
        <x:v>泰源編飾</x:v>
      </x:c>
      <x:c r="BT107" s="17" t="str">
        <x:v>龍池佑雕</x:v>
      </x:c>
      <x:c r="BU107" s="17" t="str">
        <x:v>龍韜簾綴Ⅰ</x:v>
      </x:c>
      <x:c r="BV107" s="17" t="str">
        <x:v>龍韜簾綴Ⅱ</x:v>
      </x:c>
      <x:c r="BW107" s="14"/>
      <x:c r="BX107" s="14"/>
      <x:c r="BY107" s="14"/>
      <x:c r="BZ107" s="14"/>
      <x:c r="CA107" s="14"/>
      <x:c r="CB107" s="14"/>
      <x:c r="CC107" s="14"/>
      <x:c r="CD107" s="14"/>
      <x:c r="CE107" s="14"/>
      <x:c r="CF107" s="14"/>
      <x:c r="CG107" s="14"/>
      <x:c r="CH107" s="14"/>
      <x:c r="CI107" s="14"/>
      <x:c r="CJ107" s="14"/>
      <x:c r="CK107" s="14"/>
      <x:c r="CL107" s="14"/>
      <x:c r="CM107" s="14"/>
      <x:c r="CN107" s="14"/>
      <x:c r="CO107" s="14"/>
      <x:c r="CP107" s="14"/>
      <x:c r="CQ107" s="14"/>
      <x:c r="CR107" s="14"/>
      <x:c r="CS107" s="14"/>
      <x:c r="CT107" s="14"/>
      <x:c r="CU107" s="14"/>
      <x:c r="CV107" s="14"/>
      <x:c r="CW107" s="14"/>
      <x:c r="CX107" s="14"/>
      <x:c r="CY107" s="14"/>
      <x:c r="CZ107" s="14"/>
      <x:c r="DA107" s="14"/>
      <x:c r="DB107" s="14"/>
      <x:c r="DC107" s="14"/>
      <x:c r="DD107" s="14"/>
      <x:c r="DE107" s="14"/>
      <x:c r="DF107" s="14"/>
      <x:c r="DG107" s="14"/>
      <x:c r="DH107" s="14"/>
      <x:c r="DI107" s="14"/>
      <x:c r="DJ107" s="14"/>
      <x:c r="DK107" s="14"/>
      <x:c r="DL107" s="14"/>
      <x:c r="DM107" s="14"/>
      <x:c r="DN107" s="14"/>
      <x:c r="DO107" s="14"/>
      <x:c r="DP107" s="14"/>
      <x:c r="DQ107" s="14"/>
      <x:c r="DR107" s="14"/>
      <x:c r="DS107" s="14"/>
      <x:c r="DT107" s="14"/>
      <x:c r="DU107" s="14"/>
      <x:c r="DV107" s="14"/>
      <x:c r="DW107" s="14"/>
      <x:c r="DX107" s="14"/>
      <x:c r="DY107" s="14"/>
      <x:c r="DZ107" s="14"/>
      <x:c r="EA107" s="14"/>
      <x:c r="EB107" s="14"/>
      <x:c r="EC107" s="14"/>
      <x:c r="ED107" s="14"/>
      <x:c r="EE107" s="14"/>
      <x:c r="EF107" s="14"/>
      <x:c r="EG107" s="14"/>
      <x:c r="EH107" s="14"/>
      <x:c r="EI107" s="14"/>
      <x:c r="EJ107" s="14"/>
      <x:c r="EK107" s="14"/>
      <x:c r="EL107" s="14"/>
      <x:c r="EM107" s="14"/>
      <x:c r="EN107" s="14"/>
      <x:c r="EO107" s="14"/>
      <x:c r="EP107" s="14"/>
      <x:c r="EQ107" s="14"/>
      <x:c r="ER107" s="14"/>
      <x:c r="ES107" s="14"/>
      <x:c r="ET107" s="14"/>
      <x:c r="EU107" s="14"/>
      <x:c r="EV107" s="14"/>
      <x:c r="EW107" s="14"/>
      <x:c r="EX107" s="14"/>
      <x:c r="EY107" s="14"/>
      <x:c r="EZ107" s="14"/>
      <x:c r="FA107" s="14"/>
      <x:c r="FB107" s="14"/>
      <x:c r="FC107" s="14"/>
      <x:c r="FD107" s="14"/>
      <x:c r="FE107" s="14"/>
      <x:c r="FF107" s="14"/>
      <x:c r="FG107" s="14"/>
      <x:c r="FH107" s="14"/>
      <x:c r="FI107" s="14"/>
      <x:c r="FJ107" s="14"/>
      <x:c r="FK107" s="14"/>
      <x:c r="FL107" s="14"/>
      <x:c r="FM107" s="14"/>
      <x:c r="FN107" s="14"/>
      <x:c r="FO107" s="14"/>
      <x:c r="FP107" s="14"/>
      <x:c r="FQ107" s="14"/>
      <x:c r="FR107" s="14"/>
      <x:c r="FS107" s="14"/>
      <x:c r="FT107" s="14"/>
      <x:c r="FU107" s="14"/>
      <x:c r="FV107" s="14"/>
      <x:c r="FW107" s="14"/>
      <x:c r="FX107" s="14"/>
      <x:c r="FY107" s="14"/>
      <x:c r="FZ107" s="14"/>
      <x:c r="GA107" s="14"/>
      <x:c r="GB107" s="14"/>
      <x:c r="GC107" s="14"/>
      <x:c r="GD107" s="14"/>
      <x:c r="GE107" s="14"/>
      <x:c r="GF107" s="14"/>
      <x:c r="GG107" s="14"/>
      <x:c r="GH107" s="14"/>
      <x:c r="GI107" s="14"/>
      <x:c r="GJ107" s="14"/>
      <x:c r="GK107" s="14"/>
      <x:c r="GL107" s="14"/>
      <x:c r="GM107" s="14"/>
      <x:c r="GN107" s="14"/>
      <x:c r="GO107" s="14"/>
      <x:c r="GP107" s="14"/>
      <x:c r="GQ107" s="14"/>
      <x:c r="GR107" s="14"/>
      <x:c r="GS107" s="14"/>
      <x:c r="GT107" s="14"/>
      <x:c r="GU107" s="14"/>
      <x:c r="GV107" s="14"/>
      <x:c r="GW107" s="14"/>
      <x:c r="GX107" s="14"/>
      <x:c r="GY107" s="14"/>
      <x:c r="GZ107" s="14"/>
      <x:c r="HA107" s="14"/>
      <x:c r="HB107" s="14"/>
      <x:c r="HC107" s="14"/>
      <x:c r="HD107" s="14"/>
      <x:c r="HE107" s="14"/>
      <x:c r="HF107" s="14"/>
      <x:c r="HG107" s="14"/>
      <x:c r="HH107" s="14"/>
      <x:c r="HI107" s="14"/>
      <x:c r="HJ107" s="14"/>
      <x:c r="HK107" s="14"/>
      <x:c r="HL107" s="14"/>
      <x:c r="HM107" s="14"/>
      <x:c r="HN107" s="14"/>
      <x:c r="HO107" s="14"/>
      <x:c r="HP107" s="14"/>
      <x:c r="HQ107" s="14"/>
      <x:c r="HR107" s="14"/>
      <x:c r="HS107" s="14"/>
      <x:c r="HT107" s="14"/>
      <x:c r="HU107" s="14"/>
      <x:c r="HV107" s="14"/>
      <x:c r="HW107" s="14"/>
      <x:c r="HX107" s="14"/>
      <x:c r="HY107" s="14"/>
      <x:c r="HZ107" s="14"/>
      <x:c r="IA107" s="14"/>
      <x:c r="IB107" s="14"/>
      <x:c r="IC107" s="14"/>
      <x:c r="ID107" s="14"/>
      <x:c r="IE107" s="14"/>
      <x:c r="IF107" s="14"/>
      <x:c r="IG107" s="14"/>
      <x:c r="IH107" s="14"/>
      <x:c r="II107" s="14"/>
      <x:c r="IJ107" s="14"/>
      <x:c r="IK107" s="14"/>
      <x:c r="IL107" s="14"/>
      <x:c r="IM107" s="14"/>
      <x:c r="IN107" s="14"/>
      <x:c r="IO107" s="14"/>
      <x:c r="IP107" s="14"/>
      <x:c r="IQ107" s="14"/>
      <x:c r="IR107" s="14"/>
      <x:c r="IS107" s="14"/>
      <x:c r="IT107" s="14"/>
      <x:c r="IU107" s="14"/>
      <x:c r="IV107" s="14"/>
      <x:c r="IW107" s="14"/>
      <x:c r="IX107" s="14"/>
      <x:c r="IY107" s="14"/>
      <x:c r="IZ107" s="14"/>
      <x:c r="JA107" s="14"/>
      <x:c r="JB107" s="14"/>
      <x:c r="JC107" s="14"/>
      <x:c r="JD107" s="14"/>
      <x:c r="JE107" s="14"/>
      <x:c r="JF107" s="14"/>
      <x:c r="JG107" s="14"/>
      <x:c r="JH107" s="14"/>
      <x:c r="JI107" s="14"/>
      <x:c r="JJ107" s="14"/>
      <x:c r="JK107" s="14"/>
      <x:c r="JL107" s="14"/>
      <x:c r="JM107" s="14"/>
      <x:c r="JN107" s="14"/>
      <x:c r="JO107" s="14"/>
      <x:c r="JP107" s="14"/>
      <x:c r="JQ107" s="14"/>
      <x:c r="JR107" s="14"/>
      <x:c r="JS107" s="14"/>
      <x:c r="JT107" s="14"/>
      <x:c r="JU107" s="14"/>
      <x:c r="JV107" s="14"/>
      <x:c r="JW107" s="14"/>
      <x:c r="JX107" s="14"/>
      <x:c r="JY107" s="14"/>
      <x:c r="JZ107" s="14"/>
      <x:c r="KA107" s="14"/>
      <x:c r="KB107" s="14"/>
      <x:c r="KC107" s="14"/>
      <x:c r="KD107" s="14"/>
      <x:c r="KE107" s="14"/>
      <x:c r="KF107" s="14"/>
      <x:c r="KG107" s="14"/>
      <x:c r="KH107" s="14"/>
      <x:c r="KI107" s="14"/>
      <x:c r="KJ107" s="14"/>
      <x:c r="KK107" s="14"/>
      <x:c r="KL107" s="14"/>
      <x:c r="KM107" s="14"/>
      <x:c r="KN107" s="14"/>
      <x:c r="KO107" s="14"/>
      <x:c r="KP107" s="14"/>
      <x:c r="KQ107" s="14"/>
      <x:c r="KR107" s="14"/>
      <x:c r="KS107" s="14"/>
      <x:c r="KT107" s="14"/>
      <x:c r="KU107" s="14"/>
      <x:c r="KV107" s="14"/>
      <x:c r="KW107" s="14"/>
      <x:c r="KX107" s="14"/>
      <x:c r="KY107" s="14"/>
      <x:c r="KZ107" s="14"/>
      <x:c r="LA107" s="14"/>
      <x:c r="LB107" s="14"/>
      <x:c r="LC107" s="14"/>
      <x:c r="LD107" s="14"/>
      <x:c r="LE107" s="14"/>
      <x:c r="LF107" s="14"/>
      <x:c r="LG107" s="14"/>
      <x:c r="LH107" s="14"/>
      <x:c r="LI107" s="14"/>
      <x:c r="LJ107" s="14"/>
      <x:c r="LK107" s="14"/>
      <x:c r="LL107" s="14"/>
      <x:c r="LM107" s="14"/>
      <x:c r="LN107" s="14"/>
      <x:c r="LO107" s="14"/>
      <x:c r="LP107" s="14"/>
      <x:c r="LQ107" s="14"/>
      <x:c r="LR107" s="14"/>
      <x:c r="LS107" s="14"/>
      <x:c r="LT107" s="14"/>
      <x:c r="LU107" s="14"/>
      <x:c r="LV107" s="14"/>
      <x:c r="LW107" s="14"/>
      <x:c r="LX107" s="14"/>
      <x:c r="LY107" s="14"/>
      <x:c r="LZ107" s="14"/>
      <x:c r="MA107" s="14"/>
      <x:c r="MB107" s="14"/>
      <x:c r="MC107" s="14"/>
      <x:c r="MD107" s="14"/>
      <x:c r="ME107" s="14"/>
      <x:c r="MF107" s="14"/>
      <x:c r="MG107" s="14"/>
      <x:c r="MH107" s="14"/>
      <x:c r="MI107" s="14"/>
      <x:c r="MJ107" s="14"/>
      <x:c r="MK107" s="14"/>
      <x:c r="ML107" s="14"/>
      <x:c r="MM107" s="14"/>
      <x:c r="MN107" s="14"/>
      <x:c r="MO107" s="14"/>
      <x:c r="MP107" s="14"/>
      <x:c r="MQ107" s="14"/>
      <x:c r="MR107" s="14"/>
      <x:c r="MS107" s="14"/>
      <x:c r="MT107" s="14"/>
      <x:c r="MU107" s="14"/>
      <x:c r="MV107" s="14"/>
      <x:c r="MW107" s="14" t="str">
        <x:v>29406</x:v>
      </x:c>
      <x:c r="MX107" s="14" t="n">
        <x:v>5</x:v>
      </x:c>
      <x:c r="MY107" s="14" t="n">
        <x:v>1993</x:v>
      </x:c>
      <x:c r="MZ107" s="14" t="n">
        <x:v>345</x:v>
      </x:c>
      <x:c r="NA107" s="14" t="n">
        <x:v>15</x:v>
      </x:c>
      <x:c r="NB107" s="14" t="n">
        <x:v>1</x:v>
      </x:c>
      <x:c r="NC107" s="14" t="str">
        <x:v>未收錄</x:v>
      </x:c>
      <x:c r="ND107" s="14" t="str">
        <x:v>29412</x:v>
      </x:c>
      <x:c r="NE107" s="14" t="n">
        <x:v>5</x:v>
      </x:c>
      <x:c r="NF107" s="14" t="n">
        <x:v>1994</x:v>
      </x:c>
      <x:c r="NG107" s="14" t="n">
        <x:v>346</x:v>
      </x:c>
      <x:c r="NH107" s="14" t="n">
        <x:v>15</x:v>
      </x:c>
      <x:c r="NI107" s="14" t="n">
        <x:v>2</x:v>
      </x:c>
      <x:c r="NJ107" s="14" t="str">
        <x:v>未收錄</x:v>
      </x:c>
      <x:c r="NK107" s="14" t="str">
        <x:v>29418</x:v>
      </x:c>
      <x:c r="NL107" s="14" t="n">
        <x:v>5</x:v>
      </x:c>
      <x:c r="NM107" s="14" t="n">
        <x:v>1995</x:v>
      </x:c>
      <x:c r="NN107" s="14" t="n">
        <x:v>347</x:v>
      </x:c>
      <x:c r="NO107" s="14" t="n">
        <x:v>15</x:v>
      </x:c>
      <x:c r="NP107" s="14" t="n">
        <x:v>3</x:v>
      </x:c>
      <x:c r="NQ107" s="14" t="str">
        <x:v>未收錄</x:v>
      </x:c>
      <x:c r="NR107" s="14" t="str">
        <x:v>29424</x:v>
      </x:c>
      <x:c r="NS107" s="14" t="n">
        <x:v>5</x:v>
      </x:c>
      <x:c r="NT107" s="14" t="n">
        <x:v>1996</x:v>
      </x:c>
      <x:c r="NU107" s="14" t="n">
        <x:v>348</x:v>
      </x:c>
      <x:c r="NV107" s="14" t="n">
        <x:v>15</x:v>
      </x:c>
      <x:c r="NW107" s="14" t="n">
        <x:v>4</x:v>
      </x:c>
      <x:c r="NX107" s="14" t="str">
        <x:v>未收錄</x:v>
      </x:c>
      <x:c r="NY107" s="14" t="str">
        <x:v>28395</x:v>
      </x:c>
      <x:c r="NZ107" s="14" t="n">
        <x:v>5</x:v>
      </x:c>
      <x:c r="OA107" s="14" t="n">
        <x:v>2446</x:v>
      </x:c>
      <x:c r="OB107" s="14" t="n">
        <x:v>345</x:v>
      </x:c>
      <x:c r="OC107" s="14" t="n">
        <x:v>15</x:v>
      </x:c>
      <x:c r="OD107" s="14" t="n">
        <x:v>1</x:v>
      </x:c>
      <x:c r="OE107" s="14" t="str">
        <x:v>未收錄</x:v>
      </x:c>
      <x:c r="OF107" s="14" t="str">
        <x:v>28398</x:v>
      </x:c>
      <x:c r="OG107" s="14" t="n">
        <x:v>5</x:v>
      </x:c>
      <x:c r="OH107" s="14" t="n">
        <x:v>2447</x:v>
      </x:c>
      <x:c r="OI107" s="14" t="n">
        <x:v>346</x:v>
      </x:c>
      <x:c r="OJ107" s="14" t="n">
        <x:v>15</x:v>
      </x:c>
      <x:c r="OK107" s="14" t="n">
        <x:v>2</x:v>
      </x:c>
      <x:c r="OL107" s="14" t="str">
        <x:v>未收錄</x:v>
      </x:c>
      <x:c r="OM107" s="14" t="str">
        <x:v>28401</x:v>
      </x:c>
      <x:c r="ON107" s="14" t="n">
        <x:v>5</x:v>
      </x:c>
      <x:c r="OO107" s="14" t="n">
        <x:v>2448</x:v>
      </x:c>
      <x:c r="OP107" s="14" t="n">
        <x:v>347</x:v>
      </x:c>
      <x:c r="OQ107" s="14" t="n">
        <x:v>15</x:v>
      </x:c>
      <x:c r="OR107" s="14" t="n">
        <x:v>3</x:v>
      </x:c>
      <x:c r="OS107" s="14" t="str">
        <x:v>未收錄</x:v>
      </x:c>
      <x:c r="OT107" s="14" t="str">
        <x:v>28404</x:v>
      </x:c>
      <x:c r="OU107" s="14" t="n">
        <x:v>5</x:v>
      </x:c>
      <x:c r="OV107" s="14" t="n">
        <x:v>2449</x:v>
      </x:c>
      <x:c r="OW107" s="14" t="n">
        <x:v>348</x:v>
      </x:c>
      <x:c r="OX107" s="14" t="n">
        <x:v>15</x:v>
      </x:c>
      <x:c r="OY107" s="14" t="n">
        <x:v>4</x:v>
      </x:c>
      <x:c r="OZ107" s="14" t="str">
        <x:v>未收錄</x:v>
      </x:c>
      <x:c r="PA107" s="14" t="str">
        <x:v>29474</x:v>
      </x:c>
      <x:c r="PB107" s="14" t="n">
        <x:v>5</x:v>
      </x:c>
      <x:c r="PC107" s="14" t="n">
        <x:v>2992</x:v>
      </x:c>
      <x:c r="PD107" s="14" t="n">
        <x:v>345</x:v>
      </x:c>
      <x:c r="PE107" s="14" t="n">
        <x:v>15</x:v>
      </x:c>
      <x:c r="PF107" s="14" t="n">
        <x:v>1</x:v>
      </x:c>
      <x:c r="PG107" s="14" t="str">
        <x:v>未收錄</x:v>
      </x:c>
      <x:c r="PH107" s="14" t="str">
        <x:v>29480</x:v>
      </x:c>
      <x:c r="PI107" s="14" t="n">
        <x:v>5</x:v>
      </x:c>
      <x:c r="PJ107" s="14" t="n">
        <x:v>2993</x:v>
      </x:c>
      <x:c r="PK107" s="14" t="n">
        <x:v>346</x:v>
      </x:c>
      <x:c r="PL107" s="14" t="n">
        <x:v>15</x:v>
      </x:c>
      <x:c r="PM107" s="14" t="n">
        <x:v>2</x:v>
      </x:c>
      <x:c r="PN107" s="14" t="str">
        <x:v>未收錄</x:v>
      </x:c>
      <x:c r="PO107" s="14" t="str">
        <x:v>29486</x:v>
      </x:c>
      <x:c r="PP107" s="14" t="n">
        <x:v>5</x:v>
      </x:c>
      <x:c r="PQ107" s="14" t="n">
        <x:v>2994</x:v>
      </x:c>
      <x:c r="PR107" s="14" t="n">
        <x:v>347</x:v>
      </x:c>
      <x:c r="PS107" s="14" t="n">
        <x:v>15</x:v>
      </x:c>
      <x:c r="PT107" s="14" t="n">
        <x:v>3</x:v>
      </x:c>
      <x:c r="PU107" s="14" t="str">
        <x:v>未收錄</x:v>
      </x:c>
      <x:c r="PV107" s="14" t="str">
        <x:v>29492</x:v>
      </x:c>
      <x:c r="PW107" s="14" t="n">
        <x:v>5</x:v>
      </x:c>
      <x:c r="PX107" s="14" t="n">
        <x:v>2995</x:v>
      </x:c>
      <x:c r="PY107" s="14" t="n">
        <x:v>348</x:v>
      </x:c>
      <x:c r="PZ107" s="14" t="n">
        <x:v>15</x:v>
      </x:c>
      <x:c r="QA107" s="14" t="n">
        <x:v>4</x:v>
      </x:c>
      <x:c r="QB107" s="14" t="str">
        <x:v>未收錄</x:v>
      </x:c>
      <x:c r="QC107" s="14" t="str">
        <x:v>29507</x:v>
      </x:c>
      <x:c r="QD107" s="14" t="n">
        <x:v>5</x:v>
      </x:c>
      <x:c r="QE107" s="14" t="n">
        <x:v>3429</x:v>
      </x:c>
      <x:c r="QF107" s="14" t="n">
        <x:v>345</x:v>
      </x:c>
      <x:c r="QG107" s="14" t="n">
        <x:v>15</x:v>
      </x:c>
      <x:c r="QH107" s="14" t="n">
        <x:v>1</x:v>
      </x:c>
      <x:c r="QI107" s="14" t="str">
        <x:v>未收錄</x:v>
      </x:c>
      <x:c r="QJ107" s="14" t="str">
        <x:v>29513</x:v>
      </x:c>
      <x:c r="QK107" s="14" t="n">
        <x:v>5</x:v>
      </x:c>
      <x:c r="QL107" s="14" t="n">
        <x:v>3430</x:v>
      </x:c>
      <x:c r="QM107" s="14" t="n">
        <x:v>346</x:v>
      </x:c>
      <x:c r="QN107" s="14" t="n">
        <x:v>15</x:v>
      </x:c>
      <x:c r="QO107" s="14" t="n">
        <x:v>2</x:v>
      </x:c>
      <x:c r="QP107" s="14" t="str">
        <x:v>未收錄</x:v>
      </x:c>
      <x:c r="QQ107" s="14" t="str">
        <x:v>29519</x:v>
      </x:c>
      <x:c r="QR107" s="14" t="n">
        <x:v>5</x:v>
      </x:c>
      <x:c r="QS107" s="14" t="n">
        <x:v>3431</x:v>
      </x:c>
      <x:c r="QT107" s="14" t="n">
        <x:v>347</x:v>
      </x:c>
      <x:c r="QU107" s="14" t="n">
        <x:v>15</x:v>
      </x:c>
      <x:c r="QV107" s="14" t="n">
        <x:v>3</x:v>
      </x:c>
      <x:c r="QW107" s="14" t="str">
        <x:v>未收錄</x:v>
      </x:c>
      <x:c r="QX107" s="14" t="str">
        <x:v>29567</x:v>
      </x:c>
      <x:c r="QY107" s="14" t="n">
        <x:v>10</x:v>
      </x:c>
      <x:c r="QZ107" s="14" t="n">
        <x:v>3432</x:v>
      </x:c>
      <x:c r="RA107" s="14" t="n">
        <x:v>348</x:v>
      </x:c>
      <x:c r="RB107" s="14" t="n">
        <x:v>15</x:v>
      </x:c>
      <x:c r="RC107" s="14" t="n">
        <x:v>4</x:v>
      </x:c>
      <x:c r="RD107" s="14" t="str">
        <x:v>未收錄</x:v>
      </x:c>
      <x:c r="RE107" s="14" t="str">
        <x:v>30879</x:v>
      </x:c>
      <x:c r="RF107" s="14" t="n">
        <x:v>2</x:v>
      </x:c>
      <x:c r="RG107" s="14" t="n">
        <x:v>3890</x:v>
      </x:c>
      <x:c r="RH107" s="14" t="n">
        <x:v>345</x:v>
      </x:c>
      <x:c r="RI107" s="14" t="n">
        <x:v>15</x:v>
      </x:c>
      <x:c r="RJ107" s="14" t="n">
        <x:v>1</x:v>
      </x:c>
      <x:c r="RK107" s="14" t="str">
        <x:v>未收錄</x:v>
      </x:c>
      <x:c r="RL107" s="14" t="str">
        <x:v>31087</x:v>
      </x:c>
      <x:c r="RM107" s="14" t="n">
        <x:v>2</x:v>
      </x:c>
      <x:c r="RN107" s="14" t="n">
        <x:v>3891</x:v>
      </x:c>
      <x:c r="RO107" s="14" t="n">
        <x:v>346</x:v>
      </x:c>
      <x:c r="RP107" s="14" t="n">
        <x:v>15</x:v>
      </x:c>
      <x:c r="RQ107" s="14" t="n">
        <x:v>2</x:v>
      </x:c>
      <x:c r="RR107" s="14" t="str">
        <x:v>未收錄</x:v>
      </x:c>
      <x:c r="RS107" s="14" t="str">
        <x:v>30351</x:v>
      </x:c>
      <x:c r="RT107" s="14" t="n">
        <x:v>5</x:v>
      </x:c>
      <x:c r="RU107" s="14" t="n">
        <x:v>3892</x:v>
      </x:c>
      <x:c r="RV107" s="14" t="n">
        <x:v>347</x:v>
      </x:c>
      <x:c r="RW107" s="14" t="n">
        <x:v>15</x:v>
      </x:c>
      <x:c r="RX107" s="14" t="n">
        <x:v>3</x:v>
      </x:c>
      <x:c r="RY107" s="14" t="str">
        <x:v>未收錄</x:v>
      </x:c>
      <x:c r="RZ107" s="14" t="str">
        <x:v>30352</x:v>
      </x:c>
      <x:c r="SA107" s="14" t="n">
        <x:v>5</x:v>
      </x:c>
      <x:c r="SB107" s="14" t="n">
        <x:v>3893</x:v>
      </x:c>
      <x:c r="SC107" s="14" t="n">
        <x:v>348</x:v>
      </x:c>
      <x:c r="SD107" s="14" t="n">
        <x:v>15</x:v>
      </x:c>
      <x:c r="SE107" s="14" t="n">
        <x:v>4</x:v>
      </x:c>
      <x:c r="SF107" s="14" t="str">
        <x:v>未收錄</x:v>
      </x:c>
      <x:c r="SG107" s="14"/>
      <x:c r="SH107" s="14"/>
      <x:c r="SI107" s="14"/>
      <x:c r="SJ107" s="14"/>
      <x:c r="SK107" s="14"/>
      <x:c r="SL107" s="14"/>
      <x:c r="SM107" s="14"/>
      <x:c r="SN107" s="14"/>
      <x:c r="SO107" s="14"/>
      <x:c r="SP107" s="14"/>
      <x:c r="SQ107" s="14"/>
      <x:c r="SR107" s="14"/>
      <x:c r="SS107" s="14"/>
      <x:c r="ST107" s="14"/>
      <x:c r="SU107" s="14"/>
      <x:c r="SV107" s="14"/>
      <x:c r="SW107" s="14"/>
      <x:c r="SX107" s="14"/>
      <x:c r="SY107" s="14"/>
      <x:c r="SZ107" s="14"/>
      <x:c r="TA107" s="14"/>
      <x:c r="TB107" s="14"/>
      <x:c r="TC107" s="14"/>
      <x:c r="TD107" s="14"/>
      <x:c r="TE107" s="14"/>
      <x:c r="TF107" s="14"/>
      <x:c r="TG107" s="14"/>
      <x:c r="TH107" s="14"/>
    </x:row>
    <x:row r="108" ht="15" customHeight="1">
      <x:c r="A108" s="14"/>
      <x:c r="B108" s="14"/>
      <x:c r="C108" s="14"/>
      <x:c r="D108" s="14"/>
      <x:c r="E108" s="14"/>
      <x:c r="F108" s="14"/>
      <x:c r="G108" s="14"/>
      <x:c r="H108" s="14"/>
      <x:c r="I108" s="14"/>
      <x:c r="J108" s="14"/>
      <x:c r="K108" s="14"/>
      <x:c r="L108" s="14"/>
      <x:c r="M108" s="14"/>
      <x:c r="N108" s="14"/>
      <x:c r="O108" s="14"/>
      <x:c r="P108" s="14"/>
      <x:c r="Q108" s="14"/>
      <x:c r="R108" s="14"/>
      <x:c r="S108" s="14"/>
      <x:c r="T108" s="14"/>
      <x:c r="U108" s="14"/>
      <x:c r="V108" s="14"/>
      <x:c r="W108" s="14"/>
      <x:c r="X108" s="14"/>
      <x:c r="Y108" s="14"/>
      <x:c r="Z108" s="14"/>
      <x:c r="AA108" s="14"/>
      <x:c r="AB108" s="14"/>
      <x:c r="AC108" s="14"/>
      <x:c r="AD108" s="14"/>
      <x:c r="AE108" s="14"/>
      <x:c r="AF108" s="14"/>
      <x:c r="AG108" s="14"/>
      <x:c r="AH108" s="14"/>
      <x:c r="AI108" s="14"/>
      <x:c r="AJ108" s="14"/>
      <x:c r="AK108" s="14"/>
      <x:c r="AL108" s="14"/>
      <x:c r="AM108" s="14"/>
      <x:c r="AN108" s="14"/>
      <x:c r="AO108" s="14"/>
      <x:c r="AP108" s="14"/>
      <x:c r="AQ108" s="14"/>
      <x:c r="AR108" s="14"/>
      <x:c r="AS108" s="14"/>
      <x:c r="AT108" s="14"/>
      <x:c r="AU108" s="14"/>
      <x:c r="AV108" s="14"/>
      <x:c r="AW108" s="14"/>
      <x:c r="AX108" s="14"/>
      <x:c r="AY108" s="18" t="str">
        <x:v>禪帝頂★★</x:v>
      </x:c>
      <x:c r="AZ108" s="18" t="str">
        <x:v>鬼帝冠★★</x:v>
      </x:c>
      <x:c r="BA108" s="18" t="str">
        <x:v>黃月巾★★</x:v>
      </x:c>
      <x:c r="BB108" s="18" t="str">
        <x:v>劍帝冕★★☆</x:v>
      </x:c>
      <x:c r="BC108" s="14"/>
      <x:c r="BD108" s="18" t="str">
        <x:v>釋星袈★★</x:v>
      </x:c>
      <x:c r="BE108" s="18" t="str">
        <x:v>星兇鎧★★</x:v>
      </x:c>
      <x:c r="BF108" s="18" t="str">
        <x:v>煌天衣★★</x:v>
      </x:c>
      <x:c r="BG108" s="18" t="str">
        <x:v>奇隱甲★★</x:v>
      </x:c>
      <x:c r="BH108" s="14"/>
      <x:c r="BI108" s="18" t="str">
        <x:v>鬼帝臂★★★</x:v>
      </x:c>
      <x:c r="BJ108" s="18" t="str">
        <x:v>黃鳴腕★★★</x:v>
      </x:c>
      <x:c r="BK108" s="18" t="str">
        <x:v>新星之劍英腕</x:v>
      </x:c>
      <x:c r="BL108" s="18" t="str">
        <x:v>新星之武豪臂</x:v>
      </x:c>
      <x:c r="BM108" s="14"/>
      <x:c r="BN108" s="18" t="str">
        <x:v>黃韋足★☆</x:v>
      </x:c>
      <x:c r="BO108" s="18" t="str">
        <x:v>君星靴★☆</x:v>
      </x:c>
      <x:c r="BP108" s="18" t="str">
        <x:v>劍帝履★★</x:v>
      </x:c>
      <x:c r="BQ108" s="18" t="str">
        <x:v>武帝踏★★</x:v>
      </x:c>
      <x:c r="BR108" s="14"/>
      <x:c r="BS108" s="18" t="str">
        <x:v>龍韜簾綴Ⅲ</x:v>
      </x:c>
      <x:c r="BT108" s="18" t="str">
        <x:v>龍韜簾綴Ⅳ</x:v>
      </x:c>
      <x:c r="BU108" s="18" t="str">
        <x:v>龍韜簾綴Ⅴ</x:v>
      </x:c>
      <x:c r="BV108" s="18" t="str">
        <x:v>紫雨璃戒Ⅰ</x:v>
      </x:c>
      <x:c r="BW108" s="14"/>
      <x:c r="BX108" s="14"/>
      <x:c r="BY108" s="14"/>
      <x:c r="BZ108" s="14"/>
      <x:c r="CA108" s="14"/>
      <x:c r="CB108" s="14"/>
      <x:c r="CC108" s="14"/>
      <x:c r="CD108" s="14"/>
      <x:c r="CE108" s="14"/>
      <x:c r="CF108" s="14"/>
      <x:c r="CG108" s="14"/>
      <x:c r="CH108" s="14"/>
      <x:c r="CI108" s="14"/>
      <x:c r="CJ108" s="14"/>
      <x:c r="CK108" s="14"/>
      <x:c r="CL108" s="14"/>
      <x:c r="CM108" s="14"/>
      <x:c r="CN108" s="14"/>
      <x:c r="CO108" s="14"/>
      <x:c r="CP108" s="14"/>
      <x:c r="CQ108" s="14"/>
      <x:c r="CR108" s="14"/>
      <x:c r="CS108" s="14"/>
      <x:c r="CT108" s="14"/>
      <x:c r="CU108" s="14"/>
      <x:c r="CV108" s="14"/>
      <x:c r="CW108" s="14"/>
      <x:c r="CX108" s="14"/>
      <x:c r="CY108" s="14"/>
      <x:c r="CZ108" s="14"/>
      <x:c r="DA108" s="14"/>
      <x:c r="DB108" s="14"/>
      <x:c r="DC108" s="14"/>
      <x:c r="DD108" s="14"/>
      <x:c r="DE108" s="14"/>
      <x:c r="DF108" s="14"/>
      <x:c r="DG108" s="14"/>
      <x:c r="DH108" s="14"/>
      <x:c r="DI108" s="14"/>
      <x:c r="DJ108" s="14"/>
      <x:c r="DK108" s="14"/>
      <x:c r="DL108" s="14"/>
      <x:c r="DM108" s="14"/>
      <x:c r="DN108" s="14"/>
      <x:c r="DO108" s="14"/>
      <x:c r="DP108" s="14"/>
      <x:c r="DQ108" s="14"/>
      <x:c r="DR108" s="14"/>
      <x:c r="DS108" s="14"/>
      <x:c r="DT108" s="14"/>
      <x:c r="DU108" s="14"/>
      <x:c r="DV108" s="14"/>
      <x:c r="DW108" s="14"/>
      <x:c r="DX108" s="14"/>
      <x:c r="DY108" s="14"/>
      <x:c r="DZ108" s="14"/>
      <x:c r="EA108" s="14"/>
      <x:c r="EB108" s="14"/>
      <x:c r="EC108" s="14"/>
      <x:c r="ED108" s="14"/>
      <x:c r="EE108" s="14"/>
      <x:c r="EF108" s="14"/>
      <x:c r="EG108" s="14"/>
      <x:c r="EH108" s="14"/>
      <x:c r="EI108" s="14"/>
      <x:c r="EJ108" s="14"/>
      <x:c r="EK108" s="14"/>
      <x:c r="EL108" s="14"/>
      <x:c r="EM108" s="14"/>
      <x:c r="EN108" s="14"/>
      <x:c r="EO108" s="14"/>
      <x:c r="EP108" s="14"/>
      <x:c r="EQ108" s="14"/>
      <x:c r="ER108" s="14"/>
      <x:c r="ES108" s="14"/>
      <x:c r="ET108" s="14"/>
      <x:c r="EU108" s="14"/>
      <x:c r="EV108" s="14"/>
      <x:c r="EW108" s="14"/>
      <x:c r="EX108" s="14"/>
      <x:c r="EY108" s="14"/>
      <x:c r="EZ108" s="14"/>
      <x:c r="FA108" s="14"/>
      <x:c r="FB108" s="14"/>
      <x:c r="FC108" s="14"/>
      <x:c r="FD108" s="14"/>
      <x:c r="FE108" s="14"/>
      <x:c r="FF108" s="14"/>
      <x:c r="FG108" s="14"/>
      <x:c r="FH108" s="14"/>
      <x:c r="FI108" s="14"/>
      <x:c r="FJ108" s="14"/>
      <x:c r="FK108" s="14"/>
      <x:c r="FL108" s="14"/>
      <x:c r="FM108" s="14"/>
      <x:c r="FN108" s="14"/>
      <x:c r="FO108" s="14"/>
      <x:c r="FP108" s="14"/>
      <x:c r="FQ108" s="14"/>
      <x:c r="FR108" s="14"/>
      <x:c r="FS108" s="14"/>
      <x:c r="FT108" s="14"/>
      <x:c r="FU108" s="14"/>
      <x:c r="FV108" s="14"/>
      <x:c r="FW108" s="14"/>
      <x:c r="FX108" s="14"/>
      <x:c r="FY108" s="14"/>
      <x:c r="FZ108" s="14"/>
      <x:c r="GA108" s="14"/>
      <x:c r="GB108" s="14"/>
      <x:c r="GC108" s="14"/>
      <x:c r="GD108" s="14"/>
      <x:c r="GE108" s="14"/>
      <x:c r="GF108" s="14"/>
      <x:c r="GG108" s="14"/>
      <x:c r="GH108" s="14"/>
      <x:c r="GI108" s="14"/>
      <x:c r="GJ108" s="14"/>
      <x:c r="GK108" s="14"/>
      <x:c r="GL108" s="14"/>
      <x:c r="GM108" s="14"/>
      <x:c r="GN108" s="14"/>
      <x:c r="GO108" s="14"/>
      <x:c r="GP108" s="14"/>
      <x:c r="GQ108" s="14"/>
      <x:c r="GR108" s="14"/>
      <x:c r="GS108" s="14"/>
      <x:c r="GT108" s="14"/>
      <x:c r="GU108" s="14"/>
      <x:c r="GV108" s="14"/>
      <x:c r="GW108" s="14"/>
      <x:c r="GX108" s="14"/>
      <x:c r="GY108" s="14"/>
      <x:c r="GZ108" s="14"/>
      <x:c r="HA108" s="14"/>
      <x:c r="HB108" s="14"/>
      <x:c r="HC108" s="14"/>
      <x:c r="HD108" s="14"/>
      <x:c r="HE108" s="14"/>
      <x:c r="HF108" s="14"/>
      <x:c r="HG108" s="14"/>
      <x:c r="HH108" s="14"/>
      <x:c r="HI108" s="14"/>
      <x:c r="HJ108" s="14"/>
      <x:c r="HK108" s="14"/>
      <x:c r="HL108" s="14"/>
      <x:c r="HM108" s="14"/>
      <x:c r="HN108" s="14"/>
      <x:c r="HO108" s="14"/>
      <x:c r="HP108" s="14"/>
      <x:c r="HQ108" s="14"/>
      <x:c r="HR108" s="14"/>
      <x:c r="HS108" s="14"/>
      <x:c r="HT108" s="14"/>
      <x:c r="HU108" s="14"/>
      <x:c r="HV108" s="14"/>
      <x:c r="HW108" s="14"/>
      <x:c r="HX108" s="14"/>
      <x:c r="HY108" s="14"/>
      <x:c r="HZ108" s="14"/>
      <x:c r="IA108" s="14"/>
      <x:c r="IB108" s="14"/>
      <x:c r="IC108" s="14"/>
      <x:c r="ID108" s="14"/>
      <x:c r="IE108" s="14"/>
      <x:c r="IF108" s="14"/>
      <x:c r="IG108" s="14"/>
      <x:c r="IH108" s="14"/>
      <x:c r="II108" s="14"/>
      <x:c r="IJ108" s="14"/>
      <x:c r="IK108" s="14"/>
      <x:c r="IL108" s="14"/>
      <x:c r="IM108" s="14"/>
      <x:c r="IN108" s="14"/>
      <x:c r="IO108" s="14"/>
      <x:c r="IP108" s="14"/>
      <x:c r="IQ108" s="14"/>
      <x:c r="IR108" s="14"/>
      <x:c r="IS108" s="14"/>
      <x:c r="IT108" s="14"/>
      <x:c r="IU108" s="14"/>
      <x:c r="IV108" s="14"/>
      <x:c r="IW108" s="14"/>
      <x:c r="IX108" s="14"/>
      <x:c r="IY108" s="14"/>
      <x:c r="IZ108" s="14"/>
      <x:c r="JA108" s="14"/>
      <x:c r="JB108" s="14"/>
      <x:c r="JC108" s="14"/>
      <x:c r="JD108" s="14"/>
      <x:c r="JE108" s="14"/>
      <x:c r="JF108" s="14"/>
      <x:c r="JG108" s="14"/>
      <x:c r="JH108" s="14"/>
      <x:c r="JI108" s="14"/>
      <x:c r="JJ108" s="14"/>
      <x:c r="JK108" s="14"/>
      <x:c r="JL108" s="14"/>
      <x:c r="JM108" s="14"/>
      <x:c r="JN108" s="14"/>
      <x:c r="JO108" s="14"/>
      <x:c r="JP108" s="14"/>
      <x:c r="JQ108" s="14"/>
      <x:c r="JR108" s="14"/>
      <x:c r="JS108" s="14"/>
      <x:c r="JT108" s="14"/>
      <x:c r="JU108" s="14"/>
      <x:c r="JV108" s="14"/>
      <x:c r="JW108" s="14"/>
      <x:c r="JX108" s="14"/>
      <x:c r="JY108" s="14"/>
      <x:c r="JZ108" s="14"/>
      <x:c r="KA108" s="14"/>
      <x:c r="KB108" s="14"/>
      <x:c r="KC108" s="14"/>
      <x:c r="KD108" s="14"/>
      <x:c r="KE108" s="14"/>
      <x:c r="KF108" s="14"/>
      <x:c r="KG108" s="14"/>
      <x:c r="KH108" s="14"/>
      <x:c r="KI108" s="14"/>
      <x:c r="KJ108" s="14"/>
      <x:c r="KK108" s="14"/>
      <x:c r="KL108" s="14"/>
      <x:c r="KM108" s="14"/>
      <x:c r="KN108" s="14"/>
      <x:c r="KO108" s="14"/>
      <x:c r="KP108" s="14"/>
      <x:c r="KQ108" s="14"/>
      <x:c r="KR108" s="14"/>
      <x:c r="KS108" s="14"/>
      <x:c r="KT108" s="14"/>
      <x:c r="KU108" s="14"/>
      <x:c r="KV108" s="14"/>
      <x:c r="KW108" s="14"/>
      <x:c r="KX108" s="14"/>
      <x:c r="KY108" s="14"/>
      <x:c r="KZ108" s="14"/>
      <x:c r="LA108" s="14"/>
      <x:c r="LB108" s="14"/>
      <x:c r="LC108" s="14"/>
      <x:c r="LD108" s="14"/>
      <x:c r="LE108" s="14"/>
      <x:c r="LF108" s="14"/>
      <x:c r="LG108" s="14"/>
      <x:c r="LH108" s="14"/>
      <x:c r="LI108" s="14"/>
      <x:c r="LJ108" s="14"/>
      <x:c r="LK108" s="14"/>
      <x:c r="LL108" s="14"/>
      <x:c r="LM108" s="14"/>
      <x:c r="LN108" s="14"/>
      <x:c r="LO108" s="14"/>
      <x:c r="LP108" s="14"/>
      <x:c r="LQ108" s="14"/>
      <x:c r="LR108" s="14"/>
      <x:c r="LS108" s="14"/>
      <x:c r="LT108" s="14"/>
      <x:c r="LU108" s="14"/>
      <x:c r="LV108" s="14"/>
      <x:c r="LW108" s="14"/>
      <x:c r="LX108" s="14"/>
      <x:c r="LY108" s="14"/>
      <x:c r="LZ108" s="14"/>
      <x:c r="MA108" s="14"/>
      <x:c r="MB108" s="14"/>
      <x:c r="MC108" s="14"/>
      <x:c r="MD108" s="14"/>
      <x:c r="ME108" s="14"/>
      <x:c r="MF108" s="14"/>
      <x:c r="MG108" s="14"/>
      <x:c r="MH108" s="14"/>
      <x:c r="MI108" s="14"/>
      <x:c r="MJ108" s="14"/>
      <x:c r="MK108" s="14"/>
      <x:c r="ML108" s="14"/>
      <x:c r="MM108" s="14"/>
      <x:c r="MN108" s="14"/>
      <x:c r="MO108" s="14"/>
      <x:c r="MP108" s="14"/>
      <x:c r="MQ108" s="14"/>
      <x:c r="MR108" s="14"/>
      <x:c r="MS108" s="14"/>
      <x:c r="MT108" s="14"/>
      <x:c r="MU108" s="14"/>
      <x:c r="MV108" s="14"/>
      <x:c r="MW108" s="14" t="str">
        <x:v>29430</x:v>
      </x:c>
      <x:c r="MX108" s="14" t="n">
        <x:v>5</x:v>
      </x:c>
      <x:c r="MY108" s="14" t="n">
        <x:v>1997</x:v>
      </x:c>
      <x:c r="MZ108" s="14" t="n">
        <x:v>349</x:v>
      </x:c>
      <x:c r="NA108" s="14" t="n">
        <x:v>16</x:v>
      </x:c>
      <x:c r="NB108" s="14" t="n">
        <x:v>1</x:v>
      </x:c>
      <x:c r="NC108" s="14" t="str">
        <x:v>未收錄</x:v>
      </x:c>
      <x:c r="ND108" s="14" t="str">
        <x:v>29550</x:v>
      </x:c>
      <x:c r="NE108" s="14" t="n">
        <x:v>10</x:v>
      </x:c>
      <x:c r="NF108" s="14" t="n">
        <x:v>1998</x:v>
      </x:c>
      <x:c r="NG108" s="14" t="n">
        <x:v>350</x:v>
      </x:c>
      <x:c r="NH108" s="14" t="n">
        <x:v>16</x:v>
      </x:c>
      <x:c r="NI108" s="14" t="n">
        <x:v>2</x:v>
      </x:c>
      <x:c r="NJ108" s="14" t="str">
        <x:v>未收錄</x:v>
      </x:c>
      <x:c r="NK108" s="14" t="str">
        <x:v>29574</x:v>
      </x:c>
      <x:c r="NL108" s="14" t="n">
        <x:v>10</x:v>
      </x:c>
      <x:c r="NM108" s="14" t="n">
        <x:v>1999</x:v>
      </x:c>
      <x:c r="NN108" s="14" t="n">
        <x:v>351</x:v>
      </x:c>
      <x:c r="NO108" s="14" t="n">
        <x:v>16</x:v>
      </x:c>
      <x:c r="NP108" s="14" t="n">
        <x:v>3</x:v>
      </x:c>
      <x:c r="NQ108" s="14" t="str">
        <x:v>未收錄</x:v>
      </x:c>
      <x:c r="NR108" s="14" t="str">
        <x:v>29407</x:v>
      </x:c>
      <x:c r="NS108" s="14" t="n">
        <x:v>5</x:v>
      </x:c>
      <x:c r="NT108" s="14" t="n">
        <x:v>2000</x:v>
      </x:c>
      <x:c r="NU108" s="14" t="n">
        <x:v>352</x:v>
      </x:c>
      <x:c r="NV108" s="14" t="n">
        <x:v>16</x:v>
      </x:c>
      <x:c r="NW108" s="14" t="n">
        <x:v>4</x:v>
      </x:c>
      <x:c r="NX108" s="14" t="str">
        <x:v>未收錄</x:v>
      </x:c>
      <x:c r="NY108" s="14" t="str">
        <x:v>28407</x:v>
      </x:c>
      <x:c r="NZ108" s="14" t="n">
        <x:v>5</x:v>
      </x:c>
      <x:c r="OA108" s="14" t="n">
        <x:v>2450</x:v>
      </x:c>
      <x:c r="OB108" s="14" t="n">
        <x:v>349</x:v>
      </x:c>
      <x:c r="OC108" s="14" t="n">
        <x:v>16</x:v>
      </x:c>
      <x:c r="OD108" s="14" t="n">
        <x:v>1</x:v>
      </x:c>
      <x:c r="OE108" s="14" t="str">
        <x:v>未收錄</x:v>
      </x:c>
      <x:c r="OF108" s="14" t="str">
        <x:v>28533</x:v>
      </x:c>
      <x:c r="OG108" s="14" t="n">
        <x:v>10</x:v>
      </x:c>
      <x:c r="OH108" s="14" t="n">
        <x:v>2451</x:v>
      </x:c>
      <x:c r="OI108" s="14" t="n">
        <x:v>350</x:v>
      </x:c>
      <x:c r="OJ108" s="14" t="n">
        <x:v>16</x:v>
      </x:c>
      <x:c r="OK108" s="14" t="n">
        <x:v>2</x:v>
      </x:c>
      <x:c r="OL108" s="14" t="str">
        <x:v>未收錄</x:v>
      </x:c>
      <x:c r="OM108" s="14" t="str">
        <x:v>28545</x:v>
      </x:c>
      <x:c r="ON108" s="14" t="n">
        <x:v>10</x:v>
      </x:c>
      <x:c r="OO108" s="14" t="n">
        <x:v>2452</x:v>
      </x:c>
      <x:c r="OP108" s="14" t="n">
        <x:v>351</x:v>
      </x:c>
      <x:c r="OQ108" s="14" t="n">
        <x:v>16</x:v>
      </x:c>
      <x:c r="OR108" s="14" t="n">
        <x:v>3</x:v>
      </x:c>
      <x:c r="OS108" s="14" t="str">
        <x:v>未收錄</x:v>
      </x:c>
      <x:c r="OT108" s="14" t="str">
        <x:v>28554</x:v>
      </x:c>
      <x:c r="OU108" s="14" t="n">
        <x:v>10</x:v>
      </x:c>
      <x:c r="OV108" s="14" t="n">
        <x:v>2453</x:v>
      </x:c>
      <x:c r="OW108" s="14" t="n">
        <x:v>352</x:v>
      </x:c>
      <x:c r="OX108" s="14" t="n">
        <x:v>16</x:v>
      </x:c>
      <x:c r="OY108" s="14" t="n">
        <x:v>4</x:v>
      </x:c>
      <x:c r="OZ108" s="14" t="str">
        <x:v>未收錄</x:v>
      </x:c>
      <x:c r="PA108" s="14" t="str">
        <x:v>29564</x:v>
      </x:c>
      <x:c r="PB108" s="14" t="n">
        <x:v>10</x:v>
      </x:c>
      <x:c r="PC108" s="14" t="n">
        <x:v>2996</x:v>
      </x:c>
      <x:c r="PD108" s="14" t="n">
        <x:v>349</x:v>
      </x:c>
      <x:c r="PE108" s="14" t="n">
        <x:v>16</x:v>
      </x:c>
      <x:c r="PF108" s="14" t="n">
        <x:v>1</x:v>
      </x:c>
      <x:c r="PG108" s="14" t="str">
        <x:v>未收錄</x:v>
      </x:c>
      <x:c r="PH108" s="14" t="str">
        <x:v>29588</x:v>
      </x:c>
      <x:c r="PI108" s="14" t="n">
        <x:v>10</x:v>
      </x:c>
      <x:c r="PJ108" s="14" t="n">
        <x:v>2997</x:v>
      </x:c>
      <x:c r="PK108" s="14" t="n">
        <x:v>350</x:v>
      </x:c>
      <x:c r="PL108" s="14" t="n">
        <x:v>16</x:v>
      </x:c>
      <x:c r="PM108" s="14" t="n">
        <x:v>2</x:v>
      </x:c>
      <x:c r="PN108" s="14" t="str">
        <x:v>未收錄</x:v>
      </x:c>
      <x:c r="PO108" s="14" t="str">
        <x:v>27319</x:v>
      </x:c>
      <x:c r="PP108" s="14" t="n">
        <x:v>5</x:v>
      </x:c>
      <x:c r="PQ108" s="14" t="n">
        <x:v>2998</x:v>
      </x:c>
      <x:c r="PR108" s="14" t="n">
        <x:v>351</x:v>
      </x:c>
      <x:c r="PS108" s="14" t="n">
        <x:v>16</x:v>
      </x:c>
      <x:c r="PT108" s="14" t="n">
        <x:v>3</x:v>
      </x:c>
      <x:c r="PU108" s="14" t="str">
        <x:v>未收錄</x:v>
      </x:c>
      <x:c r="PV108" s="14" t="str">
        <x:v>27320</x:v>
      </x:c>
      <x:c r="PW108" s="14" t="n">
        <x:v>5</x:v>
      </x:c>
      <x:c r="PX108" s="14" t="n">
        <x:v>2999</x:v>
      </x:c>
      <x:c r="PY108" s="14" t="n">
        <x:v>352</x:v>
      </x:c>
      <x:c r="PZ108" s="14" t="n">
        <x:v>16</x:v>
      </x:c>
      <x:c r="QA108" s="14" t="n">
        <x:v>4</x:v>
      </x:c>
      <x:c r="QB108" s="14" t="str">
        <x:v>未收錄</x:v>
      </x:c>
      <x:c r="QC108" s="14" t="str">
        <x:v>29591</x:v>
      </x:c>
      <x:c r="QD108" s="14" t="n">
        <x:v>10</x:v>
      </x:c>
      <x:c r="QE108" s="14" t="n">
        <x:v>3433</x:v>
      </x:c>
      <x:c r="QF108" s="14" t="n">
        <x:v>349</x:v>
      </x:c>
      <x:c r="QG108" s="14" t="n">
        <x:v>16</x:v>
      </x:c>
      <x:c r="QH108" s="14" t="n">
        <x:v>1</x:v>
      </x:c>
      <x:c r="QI108" s="14" t="str">
        <x:v>未收錄</x:v>
      </x:c>
      <x:c r="QJ108" s="14" t="str">
        <x:v>29609</x:v>
      </x:c>
      <x:c r="QK108" s="14" t="n">
        <x:v>10</x:v>
      </x:c>
      <x:c r="QL108" s="14" t="n">
        <x:v>3434</x:v>
      </x:c>
      <x:c r="QM108" s="14" t="n">
        <x:v>350</x:v>
      </x:c>
      <x:c r="QN108" s="14" t="n">
        <x:v>16</x:v>
      </x:c>
      <x:c r="QO108" s="14" t="n">
        <x:v>2</x:v>
      </x:c>
      <x:c r="QP108" s="14" t="str">
        <x:v>未收錄</x:v>
      </x:c>
      <x:c r="QQ108" s="14" t="str">
        <x:v>29496</x:v>
      </x:c>
      <x:c r="QR108" s="14" t="n">
        <x:v>5</x:v>
      </x:c>
      <x:c r="QS108" s="14" t="n">
        <x:v>3435</x:v>
      </x:c>
      <x:c r="QT108" s="14" t="n">
        <x:v>351</x:v>
      </x:c>
      <x:c r="QU108" s="14" t="n">
        <x:v>16</x:v>
      </x:c>
      <x:c r="QV108" s="14" t="n">
        <x:v>3</x:v>
      </x:c>
      <x:c r="QW108" s="14" t="str">
        <x:v>未收錄</x:v>
      </x:c>
      <x:c r="QX108" s="14" t="str">
        <x:v>29502</x:v>
      </x:c>
      <x:c r="QY108" s="14" t="n">
        <x:v>5</x:v>
      </x:c>
      <x:c r="QZ108" s="14" t="n">
        <x:v>3436</x:v>
      </x:c>
      <x:c r="RA108" s="14" t="n">
        <x:v>352</x:v>
      </x:c>
      <x:c r="RB108" s="14" t="n">
        <x:v>16</x:v>
      </x:c>
      <x:c r="RC108" s="14" t="n">
        <x:v>4</x:v>
      </x:c>
      <x:c r="RD108" s="14" t="str">
        <x:v>未收錄</x:v>
      </x:c>
      <x:c r="RE108" s="14" t="str">
        <x:v>30353</x:v>
      </x:c>
      <x:c r="RF108" s="14" t="n">
        <x:v>5</x:v>
      </x:c>
      <x:c r="RG108" s="14" t="n">
        <x:v>3894</x:v>
      </x:c>
      <x:c r="RH108" s="14" t="n">
        <x:v>349</x:v>
      </x:c>
      <x:c r="RI108" s="14" t="n">
        <x:v>16</x:v>
      </x:c>
      <x:c r="RJ108" s="14" t="n">
        <x:v>1</x:v>
      </x:c>
      <x:c r="RK108" s="14" t="str">
        <x:v>未收錄</x:v>
      </x:c>
      <x:c r="RL108" s="14" t="str">
        <x:v>30354</x:v>
      </x:c>
      <x:c r="RM108" s="14" t="n">
        <x:v>5</x:v>
      </x:c>
      <x:c r="RN108" s="14" t="n">
        <x:v>3895</x:v>
      </x:c>
      <x:c r="RO108" s="14" t="n">
        <x:v>350</x:v>
      </x:c>
      <x:c r="RP108" s="14" t="n">
        <x:v>16</x:v>
      </x:c>
      <x:c r="RQ108" s="14" t="n">
        <x:v>2</x:v>
      </x:c>
      <x:c r="RR108" s="14" t="str">
        <x:v>未收錄</x:v>
      </x:c>
      <x:c r="RS108" s="14" t="str">
        <x:v>30355</x:v>
      </x:c>
      <x:c r="RT108" s="14" t="n">
        <x:v>5</x:v>
      </x:c>
      <x:c r="RU108" s="14" t="n">
        <x:v>3896</x:v>
      </x:c>
      <x:c r="RV108" s="14" t="n">
        <x:v>351</x:v>
      </x:c>
      <x:c r="RW108" s="14" t="n">
        <x:v>16</x:v>
      </x:c>
      <x:c r="RX108" s="14" t="n">
        <x:v>3</x:v>
      </x:c>
      <x:c r="RY108" s="14" t="str">
        <x:v>未收錄</x:v>
      </x:c>
      <x:c r="RZ108" s="14" t="str">
        <x:v>30356</x:v>
      </x:c>
      <x:c r="SA108" s="14" t="n">
        <x:v>5</x:v>
      </x:c>
      <x:c r="SB108" s="14" t="n">
        <x:v>3897</x:v>
      </x:c>
      <x:c r="SC108" s="14" t="n">
        <x:v>352</x:v>
      </x:c>
      <x:c r="SD108" s="14" t="n">
        <x:v>16</x:v>
      </x:c>
      <x:c r="SE108" s="14" t="n">
        <x:v>4</x:v>
      </x:c>
      <x:c r="SF108" s="14" t="str">
        <x:v>未收錄</x:v>
      </x:c>
      <x:c r="SG108" s="14"/>
      <x:c r="SH108" s="14"/>
      <x:c r="SI108" s="14"/>
      <x:c r="SJ108" s="14"/>
      <x:c r="SK108" s="14"/>
      <x:c r="SL108" s="14"/>
      <x:c r="SM108" s="14"/>
      <x:c r="SN108" s="14"/>
      <x:c r="SO108" s="14"/>
      <x:c r="SP108" s="14"/>
      <x:c r="SQ108" s="14"/>
      <x:c r="SR108" s="14"/>
      <x:c r="SS108" s="14"/>
      <x:c r="ST108" s="14"/>
      <x:c r="SU108" s="14"/>
      <x:c r="SV108" s="14"/>
      <x:c r="SW108" s="14"/>
      <x:c r="SX108" s="14"/>
      <x:c r="SY108" s="14"/>
      <x:c r="SZ108" s="14"/>
      <x:c r="TA108" s="14"/>
      <x:c r="TB108" s="14"/>
      <x:c r="TC108" s="14"/>
      <x:c r="TD108" s="14"/>
      <x:c r="TE108" s="14"/>
      <x:c r="TF108" s="14"/>
      <x:c r="TG108" s="14"/>
      <x:c r="TH108" s="14"/>
    </x:row>
    <x:row r="109" ht="15" customHeight="1">
      <x:c r="A109" s="14"/>
      <x:c r="B109" s="14"/>
      <x:c r="C109" s="14"/>
      <x:c r="D109" s="14"/>
      <x:c r="E109" s="14"/>
      <x:c r="F109" s="14"/>
      <x:c r="G109" s="14"/>
      <x:c r="H109" s="14"/>
      <x:c r="I109" s="14"/>
      <x:c r="J109" s="14"/>
      <x:c r="K109" s="14"/>
      <x:c r="L109" s="14"/>
      <x:c r="M109" s="14"/>
      <x:c r="N109" s="14"/>
      <x:c r="O109" s="14"/>
      <x:c r="P109" s="14"/>
      <x:c r="Q109" s="14"/>
      <x:c r="R109" s="14"/>
      <x:c r="S109" s="14"/>
      <x:c r="T109" s="14"/>
      <x:c r="U109" s="14"/>
      <x:c r="V109" s="14"/>
      <x:c r="W109" s="14"/>
      <x:c r="X109" s="14"/>
      <x:c r="Y109" s="14"/>
      <x:c r="Z109" s="14"/>
      <x:c r="AA109" s="14"/>
      <x:c r="AB109" s="14"/>
      <x:c r="AC109" s="14"/>
      <x:c r="AD109" s="14"/>
      <x:c r="AE109" s="14"/>
      <x:c r="AF109" s="14"/>
      <x:c r="AG109" s="14"/>
      <x:c r="AH109" s="14"/>
      <x:c r="AI109" s="14"/>
      <x:c r="AJ109" s="14"/>
      <x:c r="AK109" s="14"/>
      <x:c r="AL109" s="14"/>
      <x:c r="AM109" s="14"/>
      <x:c r="AN109" s="14"/>
      <x:c r="AO109" s="14"/>
      <x:c r="AP109" s="14"/>
      <x:c r="AQ109" s="14"/>
      <x:c r="AR109" s="14"/>
      <x:c r="AS109" s="14"/>
      <x:c r="AT109" s="14"/>
      <x:c r="AU109" s="14"/>
      <x:c r="AV109" s="14"/>
      <x:c r="AW109" s="14"/>
      <x:c r="AX109" s="14"/>
      <x:c r="AY109" s="17" t="str">
        <x:v>武帝盔★★☆</x:v>
      </x:c>
      <x:c r="AZ109" s="17" t="str">
        <x:v>幻帝面★★☆</x:v>
      </x:c>
      <x:c r="BA109" s="17" t="str">
        <x:v>道帝簪★★☆</x:v>
      </x:c>
      <x:c r="BB109" s="17" t="str">
        <x:v>禪帝頂★★☆</x:v>
      </x:c>
      <x:c r="BC109" s="14"/>
      <x:c r="BD109" s="17" t="str">
        <x:v>奇行裟★★</x:v>
      </x:c>
      <x:c r="BE109" s="17" t="str">
        <x:v>星鋒冑★★★</x:v>
      </x:c>
      <x:c r="BF109" s="17" t="str">
        <x:v>鬥星鎧★★★</x:v>
      </x:c>
      <x:c r="BG109" s="17" t="str">
        <x:v>遊星衣★★★</x:v>
      </x:c>
      <x:c r="BH109" s="14"/>
      <x:c r="BI109" s="17" t="str">
        <x:v>新星之術潛指</x:v>
      </x:c>
      <x:c r="BJ109" s="17" t="str">
        <x:v>新星之道明手</x:v>
      </x:c>
      <x:c r="BK109" s="17" t="str">
        <x:v>新星之禪照握</x:v>
      </x:c>
      <x:c r="BL109" s="17" t="str">
        <x:v>泰源織腕</x:v>
      </x:c>
      <x:c r="BM109" s="14"/>
      <x:c r="BN109" s="17" t="str">
        <x:v>幻帝步★★</x:v>
      </x:c>
      <x:c r="BO109" s="17" t="str">
        <x:v>道帝行★★</x:v>
      </x:c>
      <x:c r="BP109" s="17" t="str">
        <x:v>禪帝渡★★</x:v>
      </x:c>
      <x:c r="BQ109" s="17" t="str">
        <x:v>鬼帝道★★</x:v>
      </x:c>
      <x:c r="BR109" s="14"/>
      <x:c r="BS109" s="17" t="str">
        <x:v>紫雨璃戒Ⅱ</x:v>
      </x:c>
      <x:c r="BT109" s="17" t="str">
        <x:v>紫雨璃戒Ⅲ</x:v>
      </x:c>
      <x:c r="BU109" s="17" t="str">
        <x:v>紫雨璃戒Ⅳ</x:v>
      </x:c>
      <x:c r="BV109" s="17" t="str">
        <x:v>紫雨璃戒Ⅴ</x:v>
      </x:c>
      <x:c r="BW109" s="14"/>
      <x:c r="BX109" s="14"/>
      <x:c r="BY109" s="14"/>
      <x:c r="BZ109" s="14"/>
      <x:c r="CA109" s="14"/>
      <x:c r="CB109" s="14"/>
      <x:c r="CC109" s="14"/>
      <x:c r="CD109" s="14"/>
      <x:c r="CE109" s="14"/>
      <x:c r="CF109" s="14"/>
      <x:c r="CG109" s="14"/>
      <x:c r="CH109" s="14"/>
      <x:c r="CI109" s="14"/>
      <x:c r="CJ109" s="14"/>
      <x:c r="CK109" s="14"/>
      <x:c r="CL109" s="14"/>
      <x:c r="CM109" s="14"/>
      <x:c r="CN109" s="14"/>
      <x:c r="CO109" s="14"/>
      <x:c r="CP109" s="14"/>
      <x:c r="CQ109" s="14"/>
      <x:c r="CR109" s="14"/>
      <x:c r="CS109" s="14"/>
      <x:c r="CT109" s="14"/>
      <x:c r="CU109" s="14"/>
      <x:c r="CV109" s="14"/>
      <x:c r="CW109" s="14"/>
      <x:c r="CX109" s="14"/>
      <x:c r="CY109" s="14"/>
      <x:c r="CZ109" s="14"/>
      <x:c r="DA109" s="14"/>
      <x:c r="DB109" s="14"/>
      <x:c r="DC109" s="14"/>
      <x:c r="DD109" s="14"/>
      <x:c r="DE109" s="14"/>
      <x:c r="DF109" s="14"/>
      <x:c r="DG109" s="14"/>
      <x:c r="DH109" s="14"/>
      <x:c r="DI109" s="14"/>
      <x:c r="DJ109" s="14"/>
      <x:c r="DK109" s="14"/>
      <x:c r="DL109" s="14"/>
      <x:c r="DM109" s="14"/>
      <x:c r="DN109" s="14"/>
      <x:c r="DO109" s="14"/>
      <x:c r="DP109" s="14"/>
      <x:c r="DQ109" s="14"/>
      <x:c r="DR109" s="14"/>
      <x:c r="DS109" s="14"/>
      <x:c r="DT109" s="14"/>
      <x:c r="DU109" s="14"/>
      <x:c r="DV109" s="14"/>
      <x:c r="DW109" s="14"/>
      <x:c r="DX109" s="14"/>
      <x:c r="DY109" s="14"/>
      <x:c r="DZ109" s="14"/>
      <x:c r="EA109" s="14"/>
      <x:c r="EB109" s="14"/>
      <x:c r="EC109" s="14"/>
      <x:c r="ED109" s="14"/>
      <x:c r="EE109" s="14"/>
      <x:c r="EF109" s="14"/>
      <x:c r="EG109" s="14"/>
      <x:c r="EH109" s="14"/>
      <x:c r="EI109" s="14"/>
      <x:c r="EJ109" s="14"/>
      <x:c r="EK109" s="14"/>
      <x:c r="EL109" s="14"/>
      <x:c r="EM109" s="14"/>
      <x:c r="EN109" s="14"/>
      <x:c r="EO109" s="14"/>
      <x:c r="EP109" s="14"/>
      <x:c r="EQ109" s="14"/>
      <x:c r="ER109" s="14"/>
      <x:c r="ES109" s="14"/>
      <x:c r="ET109" s="14"/>
      <x:c r="EU109" s="14"/>
      <x:c r="EV109" s="14"/>
      <x:c r="EW109" s="14"/>
      <x:c r="EX109" s="14"/>
      <x:c r="EY109" s="14"/>
      <x:c r="EZ109" s="14"/>
      <x:c r="FA109" s="14"/>
      <x:c r="FB109" s="14"/>
      <x:c r="FC109" s="14"/>
      <x:c r="FD109" s="14"/>
      <x:c r="FE109" s="14"/>
      <x:c r="FF109" s="14"/>
      <x:c r="FG109" s="14"/>
      <x:c r="FH109" s="14"/>
      <x:c r="FI109" s="14"/>
      <x:c r="FJ109" s="14"/>
      <x:c r="FK109" s="14"/>
      <x:c r="FL109" s="14"/>
      <x:c r="FM109" s="14"/>
      <x:c r="FN109" s="14"/>
      <x:c r="FO109" s="14"/>
      <x:c r="FP109" s="14"/>
      <x:c r="FQ109" s="14"/>
      <x:c r="FR109" s="14"/>
      <x:c r="FS109" s="14"/>
      <x:c r="FT109" s="14"/>
      <x:c r="FU109" s="14"/>
      <x:c r="FV109" s="14"/>
      <x:c r="FW109" s="14"/>
      <x:c r="FX109" s="14"/>
      <x:c r="FY109" s="14"/>
      <x:c r="FZ109" s="14"/>
      <x:c r="GA109" s="14"/>
      <x:c r="GB109" s="14"/>
      <x:c r="GC109" s="14"/>
      <x:c r="GD109" s="14"/>
      <x:c r="GE109" s="14"/>
      <x:c r="GF109" s="14"/>
      <x:c r="GG109" s="14"/>
      <x:c r="GH109" s="14"/>
      <x:c r="GI109" s="14"/>
      <x:c r="GJ109" s="14"/>
      <x:c r="GK109" s="14"/>
      <x:c r="GL109" s="14"/>
      <x:c r="GM109" s="14"/>
      <x:c r="GN109" s="14"/>
      <x:c r="GO109" s="14"/>
      <x:c r="GP109" s="14"/>
      <x:c r="GQ109" s="14"/>
      <x:c r="GR109" s="14"/>
      <x:c r="GS109" s="14"/>
      <x:c r="GT109" s="14"/>
      <x:c r="GU109" s="14"/>
      <x:c r="GV109" s="14"/>
      <x:c r="GW109" s="14"/>
      <x:c r="GX109" s="14"/>
      <x:c r="GY109" s="14"/>
      <x:c r="GZ109" s="14"/>
      <x:c r="HA109" s="14"/>
      <x:c r="HB109" s="14"/>
      <x:c r="HC109" s="14"/>
      <x:c r="HD109" s="14"/>
      <x:c r="HE109" s="14"/>
      <x:c r="HF109" s="14"/>
      <x:c r="HG109" s="14"/>
      <x:c r="HH109" s="14"/>
      <x:c r="HI109" s="14"/>
      <x:c r="HJ109" s="14"/>
      <x:c r="HK109" s="14"/>
      <x:c r="HL109" s="14"/>
      <x:c r="HM109" s="14"/>
      <x:c r="HN109" s="14"/>
      <x:c r="HO109" s="14"/>
      <x:c r="HP109" s="14"/>
      <x:c r="HQ109" s="14"/>
      <x:c r="HR109" s="14"/>
      <x:c r="HS109" s="14"/>
      <x:c r="HT109" s="14"/>
      <x:c r="HU109" s="14"/>
      <x:c r="HV109" s="14"/>
      <x:c r="HW109" s="14"/>
      <x:c r="HX109" s="14"/>
      <x:c r="HY109" s="14"/>
      <x:c r="HZ109" s="14"/>
      <x:c r="IA109" s="14"/>
      <x:c r="IB109" s="14"/>
      <x:c r="IC109" s="14"/>
      <x:c r="ID109" s="14"/>
      <x:c r="IE109" s="14"/>
      <x:c r="IF109" s="14"/>
      <x:c r="IG109" s="14"/>
      <x:c r="IH109" s="14"/>
      <x:c r="II109" s="14"/>
      <x:c r="IJ109" s="14"/>
      <x:c r="IK109" s="14"/>
      <x:c r="IL109" s="14"/>
      <x:c r="IM109" s="14"/>
      <x:c r="IN109" s="14"/>
      <x:c r="IO109" s="14"/>
      <x:c r="IP109" s="14"/>
      <x:c r="IQ109" s="14"/>
      <x:c r="IR109" s="14"/>
      <x:c r="IS109" s="14"/>
      <x:c r="IT109" s="14"/>
      <x:c r="IU109" s="14"/>
      <x:c r="IV109" s="14"/>
      <x:c r="IW109" s="14"/>
      <x:c r="IX109" s="14"/>
      <x:c r="IY109" s="14"/>
      <x:c r="IZ109" s="14"/>
      <x:c r="JA109" s="14"/>
      <x:c r="JB109" s="14"/>
      <x:c r="JC109" s="14"/>
      <x:c r="JD109" s="14"/>
      <x:c r="JE109" s="14"/>
      <x:c r="JF109" s="14"/>
      <x:c r="JG109" s="14"/>
      <x:c r="JH109" s="14"/>
      <x:c r="JI109" s="14"/>
      <x:c r="JJ109" s="14"/>
      <x:c r="JK109" s="14"/>
      <x:c r="JL109" s="14"/>
      <x:c r="JM109" s="14"/>
      <x:c r="JN109" s="14"/>
      <x:c r="JO109" s="14"/>
      <x:c r="JP109" s="14"/>
      <x:c r="JQ109" s="14"/>
      <x:c r="JR109" s="14"/>
      <x:c r="JS109" s="14"/>
      <x:c r="JT109" s="14"/>
      <x:c r="JU109" s="14"/>
      <x:c r="JV109" s="14"/>
      <x:c r="JW109" s="14"/>
      <x:c r="JX109" s="14"/>
      <x:c r="JY109" s="14"/>
      <x:c r="JZ109" s="14"/>
      <x:c r="KA109" s="14"/>
      <x:c r="KB109" s="14"/>
      <x:c r="KC109" s="14"/>
      <x:c r="KD109" s="14"/>
      <x:c r="KE109" s="14"/>
      <x:c r="KF109" s="14"/>
      <x:c r="KG109" s="14"/>
      <x:c r="KH109" s="14"/>
      <x:c r="KI109" s="14"/>
      <x:c r="KJ109" s="14"/>
      <x:c r="KK109" s="14"/>
      <x:c r="KL109" s="14"/>
      <x:c r="KM109" s="14"/>
      <x:c r="KN109" s="14"/>
      <x:c r="KO109" s="14"/>
      <x:c r="KP109" s="14"/>
      <x:c r="KQ109" s="14"/>
      <x:c r="KR109" s="14"/>
      <x:c r="KS109" s="14"/>
      <x:c r="KT109" s="14"/>
      <x:c r="KU109" s="14"/>
      <x:c r="KV109" s="14"/>
      <x:c r="KW109" s="14"/>
      <x:c r="KX109" s="14"/>
      <x:c r="KY109" s="14"/>
      <x:c r="KZ109" s="14"/>
      <x:c r="LA109" s="14"/>
      <x:c r="LB109" s="14"/>
      <x:c r="LC109" s="14"/>
      <x:c r="LD109" s="14"/>
      <x:c r="LE109" s="14"/>
      <x:c r="LF109" s="14"/>
      <x:c r="LG109" s="14"/>
      <x:c r="LH109" s="14"/>
      <x:c r="LI109" s="14"/>
      <x:c r="LJ109" s="14"/>
      <x:c r="LK109" s="14"/>
      <x:c r="LL109" s="14"/>
      <x:c r="LM109" s="14"/>
      <x:c r="LN109" s="14"/>
      <x:c r="LO109" s="14"/>
      <x:c r="LP109" s="14"/>
      <x:c r="LQ109" s="14"/>
      <x:c r="LR109" s="14"/>
      <x:c r="LS109" s="14"/>
      <x:c r="LT109" s="14"/>
      <x:c r="LU109" s="14"/>
      <x:c r="LV109" s="14"/>
      <x:c r="LW109" s="14"/>
      <x:c r="LX109" s="14"/>
      <x:c r="LY109" s="14"/>
      <x:c r="LZ109" s="14"/>
      <x:c r="MA109" s="14"/>
      <x:c r="MB109" s="14"/>
      <x:c r="MC109" s="14"/>
      <x:c r="MD109" s="14"/>
      <x:c r="ME109" s="14"/>
      <x:c r="MF109" s="14"/>
      <x:c r="MG109" s="14"/>
      <x:c r="MH109" s="14"/>
      <x:c r="MI109" s="14"/>
      <x:c r="MJ109" s="14"/>
      <x:c r="MK109" s="14"/>
      <x:c r="ML109" s="14"/>
      <x:c r="MM109" s="14"/>
      <x:c r="MN109" s="14"/>
      <x:c r="MO109" s="14"/>
      <x:c r="MP109" s="14"/>
      <x:c r="MQ109" s="14"/>
      <x:c r="MR109" s="14"/>
      <x:c r="MS109" s="14"/>
      <x:c r="MT109" s="14"/>
      <x:c r="MU109" s="14"/>
      <x:c r="MV109" s="14"/>
      <x:c r="MW109" s="14" t="str">
        <x:v>29413</x:v>
      </x:c>
      <x:c r="MX109" s="14" t="n">
        <x:v>5</x:v>
      </x:c>
      <x:c r="MY109" s="14" t="n">
        <x:v>2001</x:v>
      </x:c>
      <x:c r="MZ109" s="14" t="n">
        <x:v>353</x:v>
      </x:c>
      <x:c r="NA109" s="14" t="n">
        <x:v>17</x:v>
      </x:c>
      <x:c r="NB109" s="14" t="n">
        <x:v>1</x:v>
      </x:c>
      <x:c r="NC109" s="14" t="str">
        <x:v>未收錄</x:v>
      </x:c>
      <x:c r="ND109" s="14" t="str">
        <x:v>29419</x:v>
      </x:c>
      <x:c r="NE109" s="14" t="n">
        <x:v>5</x:v>
      </x:c>
      <x:c r="NF109" s="14" t="n">
        <x:v>2002</x:v>
      </x:c>
      <x:c r="NG109" s="14" t="n">
        <x:v>354</x:v>
      </x:c>
      <x:c r="NH109" s="14" t="n">
        <x:v>17</x:v>
      </x:c>
      <x:c r="NI109" s="14" t="n">
        <x:v>2</x:v>
      </x:c>
      <x:c r="NJ109" s="14" t="str">
        <x:v>未收錄</x:v>
      </x:c>
      <x:c r="NK109" s="14" t="str">
        <x:v>29425</x:v>
      </x:c>
      <x:c r="NL109" s="14" t="n">
        <x:v>5</x:v>
      </x:c>
      <x:c r="NM109" s="14" t="n">
        <x:v>2003</x:v>
      </x:c>
      <x:c r="NN109" s="14" t="n">
        <x:v>355</x:v>
      </x:c>
      <x:c r="NO109" s="14" t="n">
        <x:v>17</x:v>
      </x:c>
      <x:c r="NP109" s="14" t="n">
        <x:v>3</x:v>
      </x:c>
      <x:c r="NQ109" s="14" t="str">
        <x:v>未收錄</x:v>
      </x:c>
      <x:c r="NR109" s="14" t="str">
        <x:v>29431</x:v>
      </x:c>
      <x:c r="NS109" s="14" t="n">
        <x:v>5</x:v>
      </x:c>
      <x:c r="NT109" s="14" t="n">
        <x:v>2004</x:v>
      </x:c>
      <x:c r="NU109" s="14" t="n">
        <x:v>356</x:v>
      </x:c>
      <x:c r="NV109" s="14" t="n">
        <x:v>17</x:v>
      </x:c>
      <x:c r="NW109" s="14" t="n">
        <x:v>4</x:v>
      </x:c>
      <x:c r="NX109" s="14" t="str">
        <x:v>未收錄</x:v>
      </x:c>
      <x:c r="NY109" s="14" t="str">
        <x:v>28557</x:v>
      </x:c>
      <x:c r="NZ109" s="14" t="n">
        <x:v>10</x:v>
      </x:c>
      <x:c r="OA109" s="14" t="n">
        <x:v>2454</x:v>
      </x:c>
      <x:c r="OB109" s="14" t="n">
        <x:v>353</x:v>
      </x:c>
      <x:c r="OC109" s="14" t="n">
        <x:v>17</x:v>
      </x:c>
      <x:c r="OD109" s="14" t="n">
        <x:v>1</x:v>
      </x:c>
      <x:c r="OE109" s="14" t="str">
        <x:v>未收錄</x:v>
      </x:c>
      <x:c r="OF109" s="14" t="str">
        <x:v>28396</x:v>
      </x:c>
      <x:c r="OG109" s="14" t="n">
        <x:v>5</x:v>
      </x:c>
      <x:c r="OH109" s="14" t="n">
        <x:v>2455</x:v>
      </x:c>
      <x:c r="OI109" s="14" t="n">
        <x:v>354</x:v>
      </x:c>
      <x:c r="OJ109" s="14" t="n">
        <x:v>17</x:v>
      </x:c>
      <x:c r="OK109" s="14" t="n">
        <x:v>2</x:v>
      </x:c>
      <x:c r="OL109" s="14" t="str">
        <x:v>未收錄</x:v>
      </x:c>
      <x:c r="OM109" s="14" t="str">
        <x:v>28399</x:v>
      </x:c>
      <x:c r="ON109" s="14" t="n">
        <x:v>5</x:v>
      </x:c>
      <x:c r="OO109" s="14" t="n">
        <x:v>2456</x:v>
      </x:c>
      <x:c r="OP109" s="14" t="n">
        <x:v>355</x:v>
      </x:c>
      <x:c r="OQ109" s="14" t="n">
        <x:v>17</x:v>
      </x:c>
      <x:c r="OR109" s="14" t="n">
        <x:v>3</x:v>
      </x:c>
      <x:c r="OS109" s="14" t="str">
        <x:v>未收錄</x:v>
      </x:c>
      <x:c r="OT109" s="14" t="str">
        <x:v>28402</x:v>
      </x:c>
      <x:c r="OU109" s="14" t="n">
        <x:v>5</x:v>
      </x:c>
      <x:c r="OV109" s="14" t="n">
        <x:v>2457</x:v>
      </x:c>
      <x:c r="OW109" s="14" t="n">
        <x:v>356</x:v>
      </x:c>
      <x:c r="OX109" s="14" t="n">
        <x:v>17</x:v>
      </x:c>
      <x:c r="OY109" s="14" t="n">
        <x:v>4</x:v>
      </x:c>
      <x:c r="OZ109" s="14" t="str">
        <x:v>未收錄</x:v>
      </x:c>
      <x:c r="PA109" s="14" t="str">
        <x:v>27321</x:v>
      </x:c>
      <x:c r="PB109" s="14" t="n">
        <x:v>5</x:v>
      </x:c>
      <x:c r="PC109" s="14" t="n">
        <x:v>3000</x:v>
      </x:c>
      <x:c r="PD109" s="14" t="n">
        <x:v>353</x:v>
      </x:c>
      <x:c r="PE109" s="14" t="n">
        <x:v>17</x:v>
      </x:c>
      <x:c r="PF109" s="14" t="n">
        <x:v>1</x:v>
      </x:c>
      <x:c r="PG109" s="14" t="str">
        <x:v>未收錄</x:v>
      </x:c>
      <x:c r="PH109" s="14" t="str">
        <x:v>27322</x:v>
      </x:c>
      <x:c r="PI109" s="14" t="n">
        <x:v>5</x:v>
      </x:c>
      <x:c r="PJ109" s="14" t="n">
        <x:v>3001</x:v>
      </x:c>
      <x:c r="PK109" s="14" t="n">
        <x:v>354</x:v>
      </x:c>
      <x:c r="PL109" s="14" t="n">
        <x:v>17</x:v>
      </x:c>
      <x:c r="PM109" s="14" t="n">
        <x:v>2</x:v>
      </x:c>
      <x:c r="PN109" s="14" t="str">
        <x:v>未收錄</x:v>
      </x:c>
      <x:c r="PO109" s="14" t="str">
        <x:v>27323</x:v>
      </x:c>
      <x:c r="PP109" s="14" t="n">
        <x:v>5</x:v>
      </x:c>
      <x:c r="PQ109" s="14" t="n">
        <x:v>3002</x:v>
      </x:c>
      <x:c r="PR109" s="14" t="n">
        <x:v>355</x:v>
      </x:c>
      <x:c r="PS109" s="14" t="n">
        <x:v>17</x:v>
      </x:c>
      <x:c r="PT109" s="14" t="n">
        <x:v>3</x:v>
      </x:c>
      <x:c r="PU109" s="14" t="str">
        <x:v>未收錄</x:v>
      </x:c>
      <x:c r="PV109" s="14" t="str">
        <x:v>30877</x:v>
      </x:c>
      <x:c r="PW109" s="14" t="n">
        <x:v>2</x:v>
      </x:c>
      <x:c r="PX109" s="14" t="n">
        <x:v>3003</x:v>
      </x:c>
      <x:c r="PY109" s="14" t="n">
        <x:v>356</x:v>
      </x:c>
      <x:c r="PZ109" s="14" t="n">
        <x:v>17</x:v>
      </x:c>
      <x:c r="QA109" s="14" t="n">
        <x:v>4</x:v>
      </x:c>
      <x:c r="QB109" s="14" t="str">
        <x:v>未收錄</x:v>
      </x:c>
      <x:c r="QC109" s="14" t="str">
        <x:v>29508</x:v>
      </x:c>
      <x:c r="QD109" s="14" t="n">
        <x:v>5</x:v>
      </x:c>
      <x:c r="QE109" s="14" t="n">
        <x:v>3437</x:v>
      </x:c>
      <x:c r="QF109" s="14" t="n">
        <x:v>353</x:v>
      </x:c>
      <x:c r="QG109" s="14" t="n">
        <x:v>17</x:v>
      </x:c>
      <x:c r="QH109" s="14" t="n">
        <x:v>1</x:v>
      </x:c>
      <x:c r="QI109" s="14" t="str">
        <x:v>未收錄</x:v>
      </x:c>
      <x:c r="QJ109" s="14" t="str">
        <x:v>29514</x:v>
      </x:c>
      <x:c r="QK109" s="14" t="n">
        <x:v>5</x:v>
      </x:c>
      <x:c r="QL109" s="14" t="n">
        <x:v>3438</x:v>
      </x:c>
      <x:c r="QM109" s="14" t="n">
        <x:v>354</x:v>
      </x:c>
      <x:c r="QN109" s="14" t="n">
        <x:v>17</x:v>
      </x:c>
      <x:c r="QO109" s="14" t="n">
        <x:v>2</x:v>
      </x:c>
      <x:c r="QP109" s="14" t="str">
        <x:v>未收錄</x:v>
      </x:c>
      <x:c r="QQ109" s="14" t="str">
        <x:v>29520</x:v>
      </x:c>
      <x:c r="QR109" s="14" t="n">
        <x:v>5</x:v>
      </x:c>
      <x:c r="QS109" s="14" t="n">
        <x:v>3439</x:v>
      </x:c>
      <x:c r="QT109" s="14" t="n">
        <x:v>355</x:v>
      </x:c>
      <x:c r="QU109" s="14" t="n">
        <x:v>17</x:v>
      </x:c>
      <x:c r="QV109" s="14" t="n">
        <x:v>3</x:v>
      </x:c>
      <x:c r="QW109" s="14" t="str">
        <x:v>未收錄</x:v>
      </x:c>
      <x:c r="QX109" s="14" t="str">
        <x:v>29568</x:v>
      </x:c>
      <x:c r="QY109" s="14" t="n">
        <x:v>10</x:v>
      </x:c>
      <x:c r="QZ109" s="14" t="n">
        <x:v>3440</x:v>
      </x:c>
      <x:c r="RA109" s="14" t="n">
        <x:v>356</x:v>
      </x:c>
      <x:c r="RB109" s="14" t="n">
        <x:v>17</x:v>
      </x:c>
      <x:c r="RC109" s="14" t="n">
        <x:v>4</x:v>
      </x:c>
      <x:c r="RD109" s="14" t="str">
        <x:v>未收錄</x:v>
      </x:c>
      <x:c r="RE109" s="14" t="str">
        <x:v>30357</x:v>
      </x:c>
      <x:c r="RF109" s="14" t="n">
        <x:v>5</x:v>
      </x:c>
      <x:c r="RG109" s="14" t="n">
        <x:v>3898</x:v>
      </x:c>
      <x:c r="RH109" s="14" t="n">
        <x:v>353</x:v>
      </x:c>
      <x:c r="RI109" s="14" t="n">
        <x:v>17</x:v>
      </x:c>
      <x:c r="RJ109" s="14" t="n">
        <x:v>1</x:v>
      </x:c>
      <x:c r="RK109" s="14" t="str">
        <x:v>未收錄</x:v>
      </x:c>
      <x:c r="RL109" s="14" t="str">
        <x:v>30358</x:v>
      </x:c>
      <x:c r="RM109" s="14" t="n">
        <x:v>5</x:v>
      </x:c>
      <x:c r="RN109" s="14" t="n">
        <x:v>3899</x:v>
      </x:c>
      <x:c r="RO109" s="14" t="n">
        <x:v>354</x:v>
      </x:c>
      <x:c r="RP109" s="14" t="n">
        <x:v>17</x:v>
      </x:c>
      <x:c r="RQ109" s="14" t="n">
        <x:v>2</x:v>
      </x:c>
      <x:c r="RR109" s="14" t="str">
        <x:v>未收錄</x:v>
      </x:c>
      <x:c r="RS109" s="14" t="str">
        <x:v>30359</x:v>
      </x:c>
      <x:c r="RT109" s="14" t="n">
        <x:v>5</x:v>
      </x:c>
      <x:c r="RU109" s="14" t="n">
        <x:v>3900</x:v>
      </x:c>
      <x:c r="RV109" s="14" t="n">
        <x:v>355</x:v>
      </x:c>
      <x:c r="RW109" s="14" t="n">
        <x:v>17</x:v>
      </x:c>
      <x:c r="RX109" s="14" t="n">
        <x:v>3</x:v>
      </x:c>
      <x:c r="RY109" s="14" t="str">
        <x:v>未收錄</x:v>
      </x:c>
      <x:c r="RZ109" s="14" t="str">
        <x:v>30360</x:v>
      </x:c>
      <x:c r="SA109" s="14" t="n">
        <x:v>5</x:v>
      </x:c>
      <x:c r="SB109" s="14" t="n">
        <x:v>3901</x:v>
      </x:c>
      <x:c r="SC109" s="14" t="n">
        <x:v>356</x:v>
      </x:c>
      <x:c r="SD109" s="14" t="n">
        <x:v>17</x:v>
      </x:c>
      <x:c r="SE109" s="14" t="n">
        <x:v>4</x:v>
      </x:c>
      <x:c r="SF109" s="14" t="str">
        <x:v>未收錄</x:v>
      </x:c>
      <x:c r="SG109" s="14"/>
      <x:c r="SH109" s="14"/>
      <x:c r="SI109" s="14"/>
      <x:c r="SJ109" s="14"/>
      <x:c r="SK109" s="14"/>
      <x:c r="SL109" s="14"/>
      <x:c r="SM109" s="14"/>
      <x:c r="SN109" s="14"/>
      <x:c r="SO109" s="14"/>
      <x:c r="SP109" s="14"/>
      <x:c r="SQ109" s="14"/>
      <x:c r="SR109" s="14"/>
      <x:c r="SS109" s="14"/>
      <x:c r="ST109" s="14"/>
      <x:c r="SU109" s="14"/>
      <x:c r="SV109" s="14"/>
      <x:c r="SW109" s="14"/>
      <x:c r="SX109" s="14"/>
      <x:c r="SY109" s="14"/>
      <x:c r="SZ109" s="14"/>
      <x:c r="TA109" s="14"/>
      <x:c r="TB109" s="14"/>
      <x:c r="TC109" s="14"/>
      <x:c r="TD109" s="14"/>
      <x:c r="TE109" s="14"/>
      <x:c r="TF109" s="14"/>
      <x:c r="TG109" s="14"/>
      <x:c r="TH109" s="14"/>
    </x:row>
    <x:row r="110" ht="15" customHeight="1">
      <x:c r="A110" s="14"/>
      <x:c r="B110" s="14"/>
      <x:c r="C110" s="14"/>
      <x:c r="D110" s="14"/>
      <x:c r="E110" s="14"/>
      <x:c r="F110" s="14"/>
      <x:c r="G110" s="14"/>
      <x:c r="H110" s="14"/>
      <x:c r="I110" s="14"/>
      <x:c r="J110" s="14"/>
      <x:c r="K110" s="14"/>
      <x:c r="L110" s="14"/>
      <x:c r="M110" s="14"/>
      <x:c r="N110" s="14"/>
      <x:c r="O110" s="14"/>
      <x:c r="P110" s="14"/>
      <x:c r="Q110" s="14"/>
      <x:c r="R110" s="14"/>
      <x:c r="S110" s="14"/>
      <x:c r="T110" s="14"/>
      <x:c r="U110" s="14"/>
      <x:c r="V110" s="14"/>
      <x:c r="W110" s="14"/>
      <x:c r="X110" s="14"/>
      <x:c r="Y110" s="14"/>
      <x:c r="Z110" s="14"/>
      <x:c r="AA110" s="14"/>
      <x:c r="AB110" s="14"/>
      <x:c r="AC110" s="14"/>
      <x:c r="AD110" s="14"/>
      <x:c r="AE110" s="14"/>
      <x:c r="AF110" s="14"/>
      <x:c r="AG110" s="14"/>
      <x:c r="AH110" s="14"/>
      <x:c r="AI110" s="14"/>
      <x:c r="AJ110" s="14"/>
      <x:c r="AK110" s="14"/>
      <x:c r="AL110" s="14"/>
      <x:c r="AM110" s="14"/>
      <x:c r="AN110" s="14"/>
      <x:c r="AO110" s="14"/>
      <x:c r="AP110" s="14"/>
      <x:c r="AQ110" s="14"/>
      <x:c r="AR110" s="14"/>
      <x:c r="AS110" s="14"/>
      <x:c r="AT110" s="14"/>
      <x:c r="AU110" s="14"/>
      <x:c r="AV110" s="14"/>
      <x:c r="AW110" s="14"/>
      <x:c r="AX110" s="14"/>
      <x:c r="AY110" s="18" t="str">
        <x:v>鬼帝冠★★☆</x:v>
      </x:c>
      <x:c r="AZ110" s="18" t="str">
        <x:v>黃月巾★★☆</x:v>
      </x:c>
      <x:c r="BA110" s="18" t="str">
        <x:v>劍帝冕★★★</x:v>
      </x:c>
      <x:c r="BB110" s="18" t="str">
        <x:v>武帝盔★★★</x:v>
      </x:c>
      <x:c r="BC110" s="14"/>
      <x:c r="BD110" s="18" t="str">
        <x:v>星蹤袍★★★</x:v>
      </x:c>
      <x:c r="BE110" s="18" t="str">
        <x:v>釋星袈★★★</x:v>
      </x:c>
      <x:c r="BF110" s="18" t="str">
        <x:v>星兇鎧★★★</x:v>
      </x:c>
      <x:c r="BG110" s="18" t="str">
        <x:v>煌天衣★★★</x:v>
      </x:c>
      <x:c r="BH110" s="14"/>
      <x:c r="BI110" s="18" t="str">
        <x:v>龍池漆腕</x:v>
      </x:c>
      <x:c r="BJ110" s="18" t="str">
        <x:v>劍豪旭腕Ⅰ</x:v>
      </x:c>
      <x:c r="BK110" s="18" t="str">
        <x:v>勇將旭掌Ⅰ</x:v>
      </x:c>
      <x:c r="BL110" s="18" t="str">
        <x:v>術凌旭指Ⅰ</x:v>
      </x:c>
      <x:c r="BM110" s="14"/>
      <x:c r="BN110" s="18" t="str">
        <x:v>黃韋足★★</x:v>
      </x:c>
      <x:c r="BO110" s="18" t="str">
        <x:v>君星靴★★</x:v>
      </x:c>
      <x:c r="BP110" s="18" t="str">
        <x:v>劍帝履★★☆</x:v>
      </x:c>
      <x:c r="BQ110" s="18" t="str">
        <x:v>武帝踏★★☆</x:v>
      </x:c>
      <x:c r="BR110" s="14"/>
      <x:c r="BS110" s="18" t="str">
        <x:v>七色蓮寶Ⅰ</x:v>
      </x:c>
      <x:c r="BT110" s="18" t="str">
        <x:v>七色蓮寶Ⅱ</x:v>
      </x:c>
      <x:c r="BU110" s="18" t="str">
        <x:v>七色蓮寶Ⅲ</x:v>
      </x:c>
      <x:c r="BV110" s="18" t="str">
        <x:v>七色蓮寶Ⅳ</x:v>
      </x:c>
      <x:c r="BW110" s="14"/>
      <x:c r="BX110" s="14"/>
      <x:c r="BY110" s="14"/>
      <x:c r="BZ110" s="14"/>
      <x:c r="CA110" s="14"/>
      <x:c r="CB110" s="14"/>
      <x:c r="CC110" s="14"/>
      <x:c r="CD110" s="14"/>
      <x:c r="CE110" s="14"/>
      <x:c r="CF110" s="14"/>
      <x:c r="CG110" s="14"/>
      <x:c r="CH110" s="14"/>
      <x:c r="CI110" s="14"/>
      <x:c r="CJ110" s="14"/>
      <x:c r="CK110" s="14"/>
      <x:c r="CL110" s="14"/>
      <x:c r="CM110" s="14"/>
      <x:c r="CN110" s="14"/>
      <x:c r="CO110" s="14"/>
      <x:c r="CP110" s="14"/>
      <x:c r="CQ110" s="14"/>
      <x:c r="CR110" s="14"/>
      <x:c r="CS110" s="14"/>
      <x:c r="CT110" s="14"/>
      <x:c r="CU110" s="14"/>
      <x:c r="CV110" s="14"/>
      <x:c r="CW110" s="14"/>
      <x:c r="CX110" s="14"/>
      <x:c r="CY110" s="14"/>
      <x:c r="CZ110" s="14"/>
      <x:c r="DA110" s="14"/>
      <x:c r="DB110" s="14"/>
      <x:c r="DC110" s="14"/>
      <x:c r="DD110" s="14"/>
      <x:c r="DE110" s="14"/>
      <x:c r="DF110" s="14"/>
      <x:c r="DG110" s="14"/>
      <x:c r="DH110" s="14"/>
      <x:c r="DI110" s="14"/>
      <x:c r="DJ110" s="14"/>
      <x:c r="DK110" s="14"/>
      <x:c r="DL110" s="14"/>
      <x:c r="DM110" s="14"/>
      <x:c r="DN110" s="14"/>
      <x:c r="DO110" s="14"/>
      <x:c r="DP110" s="14"/>
      <x:c r="DQ110" s="14"/>
      <x:c r="DR110" s="14"/>
      <x:c r="DS110" s="14"/>
      <x:c r="DT110" s="14"/>
      <x:c r="DU110" s="14"/>
      <x:c r="DV110" s="14"/>
      <x:c r="DW110" s="14"/>
      <x:c r="DX110" s="14"/>
      <x:c r="DY110" s="14"/>
      <x:c r="DZ110" s="14"/>
      <x:c r="EA110" s="14"/>
      <x:c r="EB110" s="14"/>
      <x:c r="EC110" s="14"/>
      <x:c r="ED110" s="14"/>
      <x:c r="EE110" s="14"/>
      <x:c r="EF110" s="14"/>
      <x:c r="EG110" s="14"/>
      <x:c r="EH110" s="14"/>
      <x:c r="EI110" s="14"/>
      <x:c r="EJ110" s="14"/>
      <x:c r="EK110" s="14"/>
      <x:c r="EL110" s="14"/>
      <x:c r="EM110" s="14"/>
      <x:c r="EN110" s="14"/>
      <x:c r="EO110" s="14"/>
      <x:c r="EP110" s="14"/>
      <x:c r="EQ110" s="14"/>
      <x:c r="ER110" s="14"/>
      <x:c r="ES110" s="14"/>
      <x:c r="ET110" s="14"/>
      <x:c r="EU110" s="14"/>
      <x:c r="EV110" s="14"/>
      <x:c r="EW110" s="14"/>
      <x:c r="EX110" s="14"/>
      <x:c r="EY110" s="14"/>
      <x:c r="EZ110" s="14"/>
      <x:c r="FA110" s="14"/>
      <x:c r="FB110" s="14"/>
      <x:c r="FC110" s="14"/>
      <x:c r="FD110" s="14"/>
      <x:c r="FE110" s="14"/>
      <x:c r="FF110" s="14"/>
      <x:c r="FG110" s="14"/>
      <x:c r="FH110" s="14"/>
      <x:c r="FI110" s="14"/>
      <x:c r="FJ110" s="14"/>
      <x:c r="FK110" s="14"/>
      <x:c r="FL110" s="14"/>
      <x:c r="FM110" s="14"/>
      <x:c r="FN110" s="14"/>
      <x:c r="FO110" s="14"/>
      <x:c r="FP110" s="14"/>
      <x:c r="FQ110" s="14"/>
      <x:c r="FR110" s="14"/>
      <x:c r="FS110" s="14"/>
      <x:c r="FT110" s="14"/>
      <x:c r="FU110" s="14"/>
      <x:c r="FV110" s="14"/>
      <x:c r="FW110" s="14"/>
      <x:c r="FX110" s="14"/>
      <x:c r="FY110" s="14"/>
      <x:c r="FZ110" s="14"/>
      <x:c r="GA110" s="14"/>
      <x:c r="GB110" s="14"/>
      <x:c r="GC110" s="14"/>
      <x:c r="GD110" s="14"/>
      <x:c r="GE110" s="14"/>
      <x:c r="GF110" s="14"/>
      <x:c r="GG110" s="14"/>
      <x:c r="GH110" s="14"/>
      <x:c r="GI110" s="14"/>
      <x:c r="GJ110" s="14"/>
      <x:c r="GK110" s="14"/>
      <x:c r="GL110" s="14"/>
      <x:c r="GM110" s="14"/>
      <x:c r="GN110" s="14"/>
      <x:c r="GO110" s="14"/>
      <x:c r="GP110" s="14"/>
      <x:c r="GQ110" s="14"/>
      <x:c r="GR110" s="14"/>
      <x:c r="GS110" s="14"/>
      <x:c r="GT110" s="14"/>
      <x:c r="GU110" s="14"/>
      <x:c r="GV110" s="14"/>
      <x:c r="GW110" s="14"/>
      <x:c r="GX110" s="14"/>
      <x:c r="GY110" s="14"/>
      <x:c r="GZ110" s="14"/>
      <x:c r="HA110" s="14"/>
      <x:c r="HB110" s="14"/>
      <x:c r="HC110" s="14"/>
      <x:c r="HD110" s="14"/>
      <x:c r="HE110" s="14"/>
      <x:c r="HF110" s="14"/>
      <x:c r="HG110" s="14"/>
      <x:c r="HH110" s="14"/>
      <x:c r="HI110" s="14"/>
      <x:c r="HJ110" s="14"/>
      <x:c r="HK110" s="14"/>
      <x:c r="HL110" s="14"/>
      <x:c r="HM110" s="14"/>
      <x:c r="HN110" s="14"/>
      <x:c r="HO110" s="14"/>
      <x:c r="HP110" s="14"/>
      <x:c r="HQ110" s="14"/>
      <x:c r="HR110" s="14"/>
      <x:c r="HS110" s="14"/>
      <x:c r="HT110" s="14"/>
      <x:c r="HU110" s="14"/>
      <x:c r="HV110" s="14"/>
      <x:c r="HW110" s="14"/>
      <x:c r="HX110" s="14"/>
      <x:c r="HY110" s="14"/>
      <x:c r="HZ110" s="14"/>
      <x:c r="IA110" s="14"/>
      <x:c r="IB110" s="14"/>
      <x:c r="IC110" s="14"/>
      <x:c r="ID110" s="14"/>
      <x:c r="IE110" s="14"/>
      <x:c r="IF110" s="14"/>
      <x:c r="IG110" s="14"/>
      <x:c r="IH110" s="14"/>
      <x:c r="II110" s="14"/>
      <x:c r="IJ110" s="14"/>
      <x:c r="IK110" s="14"/>
      <x:c r="IL110" s="14"/>
      <x:c r="IM110" s="14"/>
      <x:c r="IN110" s="14"/>
      <x:c r="IO110" s="14"/>
      <x:c r="IP110" s="14"/>
      <x:c r="IQ110" s="14"/>
      <x:c r="IR110" s="14"/>
      <x:c r="IS110" s="14"/>
      <x:c r="IT110" s="14"/>
      <x:c r="IU110" s="14"/>
      <x:c r="IV110" s="14"/>
      <x:c r="IW110" s="14"/>
      <x:c r="IX110" s="14"/>
      <x:c r="IY110" s="14"/>
      <x:c r="IZ110" s="14"/>
      <x:c r="JA110" s="14"/>
      <x:c r="JB110" s="14"/>
      <x:c r="JC110" s="14"/>
      <x:c r="JD110" s="14"/>
      <x:c r="JE110" s="14"/>
      <x:c r="JF110" s="14"/>
      <x:c r="JG110" s="14"/>
      <x:c r="JH110" s="14"/>
      <x:c r="JI110" s="14"/>
      <x:c r="JJ110" s="14"/>
      <x:c r="JK110" s="14"/>
      <x:c r="JL110" s="14"/>
      <x:c r="JM110" s="14"/>
      <x:c r="JN110" s="14"/>
      <x:c r="JO110" s="14"/>
      <x:c r="JP110" s="14"/>
      <x:c r="JQ110" s="14"/>
      <x:c r="JR110" s="14"/>
      <x:c r="JS110" s="14"/>
      <x:c r="JT110" s="14"/>
      <x:c r="JU110" s="14"/>
      <x:c r="JV110" s="14"/>
      <x:c r="JW110" s="14"/>
      <x:c r="JX110" s="14"/>
      <x:c r="JY110" s="14"/>
      <x:c r="JZ110" s="14"/>
      <x:c r="KA110" s="14"/>
      <x:c r="KB110" s="14"/>
      <x:c r="KC110" s="14"/>
      <x:c r="KD110" s="14"/>
      <x:c r="KE110" s="14"/>
      <x:c r="KF110" s="14"/>
      <x:c r="KG110" s="14"/>
      <x:c r="KH110" s="14"/>
      <x:c r="KI110" s="14"/>
      <x:c r="KJ110" s="14"/>
      <x:c r="KK110" s="14"/>
      <x:c r="KL110" s="14"/>
      <x:c r="KM110" s="14"/>
      <x:c r="KN110" s="14"/>
      <x:c r="KO110" s="14"/>
      <x:c r="KP110" s="14"/>
      <x:c r="KQ110" s="14"/>
      <x:c r="KR110" s="14"/>
      <x:c r="KS110" s="14"/>
      <x:c r="KT110" s="14"/>
      <x:c r="KU110" s="14"/>
      <x:c r="KV110" s="14"/>
      <x:c r="KW110" s="14"/>
      <x:c r="KX110" s="14"/>
      <x:c r="KY110" s="14"/>
      <x:c r="KZ110" s="14"/>
      <x:c r="LA110" s="14"/>
      <x:c r="LB110" s="14"/>
      <x:c r="LC110" s="14"/>
      <x:c r="LD110" s="14"/>
      <x:c r="LE110" s="14"/>
      <x:c r="LF110" s="14"/>
      <x:c r="LG110" s="14"/>
      <x:c r="LH110" s="14"/>
      <x:c r="LI110" s="14"/>
      <x:c r="LJ110" s="14"/>
      <x:c r="LK110" s="14"/>
      <x:c r="LL110" s="14"/>
      <x:c r="LM110" s="14"/>
      <x:c r="LN110" s="14"/>
      <x:c r="LO110" s="14"/>
      <x:c r="LP110" s="14"/>
      <x:c r="LQ110" s="14"/>
      <x:c r="LR110" s="14"/>
      <x:c r="LS110" s="14"/>
      <x:c r="LT110" s="14"/>
      <x:c r="LU110" s="14"/>
      <x:c r="LV110" s="14"/>
      <x:c r="LW110" s="14"/>
      <x:c r="LX110" s="14"/>
      <x:c r="LY110" s="14"/>
      <x:c r="LZ110" s="14"/>
      <x:c r="MA110" s="14"/>
      <x:c r="MB110" s="14"/>
      <x:c r="MC110" s="14"/>
      <x:c r="MD110" s="14"/>
      <x:c r="ME110" s="14"/>
      <x:c r="MF110" s="14"/>
      <x:c r="MG110" s="14"/>
      <x:c r="MH110" s="14"/>
      <x:c r="MI110" s="14"/>
      <x:c r="MJ110" s="14"/>
      <x:c r="MK110" s="14"/>
      <x:c r="ML110" s="14"/>
      <x:c r="MM110" s="14"/>
      <x:c r="MN110" s="14"/>
      <x:c r="MO110" s="14"/>
      <x:c r="MP110" s="14"/>
      <x:c r="MQ110" s="14"/>
      <x:c r="MR110" s="14"/>
      <x:c r="MS110" s="14"/>
      <x:c r="MT110" s="14"/>
      <x:c r="MU110" s="14"/>
      <x:c r="MV110" s="14"/>
      <x:c r="MW110" s="14" t="str">
        <x:v>29551</x:v>
      </x:c>
      <x:c r="MX110" s="14" t="n">
        <x:v>10</x:v>
      </x:c>
      <x:c r="MY110" s="14" t="n">
        <x:v>2005</x:v>
      </x:c>
      <x:c r="MZ110" s="14" t="n">
        <x:v>357</x:v>
      </x:c>
      <x:c r="NA110" s="14" t="n">
        <x:v>18</x:v>
      </x:c>
      <x:c r="NB110" s="14" t="n">
        <x:v>1</x:v>
      </x:c>
      <x:c r="NC110" s="14" t="str">
        <x:v>未收錄</x:v>
      </x:c>
      <x:c r="ND110" s="14" t="str">
        <x:v>29575</x:v>
      </x:c>
      <x:c r="NE110" s="14" t="n">
        <x:v>10</x:v>
      </x:c>
      <x:c r="NF110" s="14" t="n">
        <x:v>2006</x:v>
      </x:c>
      <x:c r="NG110" s="14" t="n">
        <x:v>358</x:v>
      </x:c>
      <x:c r="NH110" s="14" t="n">
        <x:v>18</x:v>
      </x:c>
      <x:c r="NI110" s="14" t="n">
        <x:v>2</x:v>
      </x:c>
      <x:c r="NJ110" s="14" t="str">
        <x:v>未收錄</x:v>
      </x:c>
      <x:c r="NK110" s="14" t="str">
        <x:v>29408</x:v>
      </x:c>
      <x:c r="NL110" s="14" t="n">
        <x:v>5</x:v>
      </x:c>
      <x:c r="NM110" s="14" t="n">
        <x:v>2007</x:v>
      </x:c>
      <x:c r="NN110" s="14" t="n">
        <x:v>359</x:v>
      </x:c>
      <x:c r="NO110" s="14" t="n">
        <x:v>18</x:v>
      </x:c>
      <x:c r="NP110" s="14" t="n">
        <x:v>3</x:v>
      </x:c>
      <x:c r="NQ110" s="14" t="str">
        <x:v>未收錄</x:v>
      </x:c>
      <x:c r="NR110" s="14" t="str">
        <x:v>29414</x:v>
      </x:c>
      <x:c r="NS110" s="14" t="n">
        <x:v>5</x:v>
      </x:c>
      <x:c r="NT110" s="14" t="n">
        <x:v>2008</x:v>
      </x:c>
      <x:c r="NU110" s="14" t="n">
        <x:v>360</x:v>
      </x:c>
      <x:c r="NV110" s="14" t="n">
        <x:v>18</x:v>
      </x:c>
      <x:c r="NW110" s="14" t="n">
        <x:v>4</x:v>
      </x:c>
      <x:c r="NX110" s="14" t="str">
        <x:v>未收錄</x:v>
      </x:c>
      <x:c r="NY110" s="14" t="str">
        <x:v>28405</x:v>
      </x:c>
      <x:c r="NZ110" s="14" t="n">
        <x:v>5</x:v>
      </x:c>
      <x:c r="OA110" s="14" t="n">
        <x:v>2458</x:v>
      </x:c>
      <x:c r="OB110" s="14" t="n">
        <x:v>357</x:v>
      </x:c>
      <x:c r="OC110" s="14" t="n">
        <x:v>18</x:v>
      </x:c>
      <x:c r="OD110" s="14" t="n">
        <x:v>1</x:v>
      </x:c>
      <x:c r="OE110" s="14" t="str">
        <x:v>未收錄</x:v>
      </x:c>
      <x:c r="OF110" s="14" t="str">
        <x:v>28408</x:v>
      </x:c>
      <x:c r="OG110" s="14" t="n">
        <x:v>5</x:v>
      </x:c>
      <x:c r="OH110" s="14" t="n">
        <x:v>2459</x:v>
      </x:c>
      <x:c r="OI110" s="14" t="n">
        <x:v>358</x:v>
      </x:c>
      <x:c r="OJ110" s="14" t="n">
        <x:v>18</x:v>
      </x:c>
      <x:c r="OK110" s="14" t="n">
        <x:v>2</x:v>
      </x:c>
      <x:c r="OL110" s="14" t="str">
        <x:v>未收錄</x:v>
      </x:c>
      <x:c r="OM110" s="14" t="str">
        <x:v>28534</x:v>
      </x:c>
      <x:c r="ON110" s="14" t="n">
        <x:v>10</x:v>
      </x:c>
      <x:c r="OO110" s="14" t="n">
        <x:v>2460</x:v>
      </x:c>
      <x:c r="OP110" s="14" t="n">
        <x:v>359</x:v>
      </x:c>
      <x:c r="OQ110" s="14" t="n">
        <x:v>18</x:v>
      </x:c>
      <x:c r="OR110" s="14" t="n">
        <x:v>3</x:v>
      </x:c>
      <x:c r="OS110" s="14" t="str">
        <x:v>未收錄</x:v>
      </x:c>
      <x:c r="OT110" s="14" t="str">
        <x:v>28546</x:v>
      </x:c>
      <x:c r="OU110" s="14" t="n">
        <x:v>10</x:v>
      </x:c>
      <x:c r="OV110" s="14" t="n">
        <x:v>2461</x:v>
      </x:c>
      <x:c r="OW110" s="14" t="n">
        <x:v>360</x:v>
      </x:c>
      <x:c r="OX110" s="14" t="n">
        <x:v>18</x:v>
      </x:c>
      <x:c r="OY110" s="14" t="n">
        <x:v>4</x:v>
      </x:c>
      <x:c r="OZ110" s="14" t="str">
        <x:v>未收錄</x:v>
      </x:c>
      <x:c r="PA110" s="14" t="str">
        <x:v>31085</x:v>
      </x:c>
      <x:c r="PB110" s="14" t="n">
        <x:v>2</x:v>
      </x:c>
      <x:c r="PC110" s="14" t="n">
        <x:v>3004</x:v>
      </x:c>
      <x:c r="PD110" s="14" t="n">
        <x:v>357</x:v>
      </x:c>
      <x:c r="PE110" s="14" t="n">
        <x:v>18</x:v>
      </x:c>
      <x:c r="PF110" s="14" t="n">
        <x:v>1</x:v>
      </x:c>
      <x:c r="PG110" s="14" t="str">
        <x:v>未收錄</x:v>
      </x:c>
      <x:c r="PH110" s="14" t="str">
        <x:v>30301</x:v>
      </x:c>
      <x:c r="PI110" s="14" t="n">
        <x:v>5</x:v>
      </x:c>
      <x:c r="PJ110" s="14" t="n">
        <x:v>3005</x:v>
      </x:c>
      <x:c r="PK110" s="14" t="n">
        <x:v>358</x:v>
      </x:c>
      <x:c r="PL110" s="14" t="n">
        <x:v>18</x:v>
      </x:c>
      <x:c r="PM110" s="14" t="n">
        <x:v>2</x:v>
      </x:c>
      <x:c r="PN110" s="14" t="str">
        <x:v>未收錄</x:v>
      </x:c>
      <x:c r="PO110" s="14" t="str">
        <x:v>30306</x:v>
      </x:c>
      <x:c r="PP110" s="14" t="n">
        <x:v>5</x:v>
      </x:c>
      <x:c r="PQ110" s="14" t="n">
        <x:v>3006</x:v>
      </x:c>
      <x:c r="PR110" s="14" t="n">
        <x:v>359</x:v>
      </x:c>
      <x:c r="PS110" s="14" t="n">
        <x:v>18</x:v>
      </x:c>
      <x:c r="PT110" s="14" t="n">
        <x:v>3</x:v>
      </x:c>
      <x:c r="PU110" s="14" t="str">
        <x:v>未收錄</x:v>
      </x:c>
      <x:c r="PV110" s="14" t="str">
        <x:v>30311</x:v>
      </x:c>
      <x:c r="PW110" s="14" t="n">
        <x:v>5</x:v>
      </x:c>
      <x:c r="PX110" s="14" t="n">
        <x:v>3007</x:v>
      </x:c>
      <x:c r="PY110" s="14" t="n">
        <x:v>360</x:v>
      </x:c>
      <x:c r="PZ110" s="14" t="n">
        <x:v>18</x:v>
      </x:c>
      <x:c r="QA110" s="14" t="n">
        <x:v>4</x:v>
      </x:c>
      <x:c r="QB110" s="14" t="str">
        <x:v>未收錄</x:v>
      </x:c>
      <x:c r="QC110" s="14" t="str">
        <x:v>29592</x:v>
      </x:c>
      <x:c r="QD110" s="14" t="n">
        <x:v>10</x:v>
      </x:c>
      <x:c r="QE110" s="14" t="n">
        <x:v>3441</x:v>
      </x:c>
      <x:c r="QF110" s="14" t="n">
        <x:v>357</x:v>
      </x:c>
      <x:c r="QG110" s="14" t="n">
        <x:v>18</x:v>
      </x:c>
      <x:c r="QH110" s="14" t="n">
        <x:v>1</x:v>
      </x:c>
      <x:c r="QI110" s="14" t="str">
        <x:v>未收錄</x:v>
      </x:c>
      <x:c r="QJ110" s="14" t="str">
        <x:v>29610</x:v>
      </x:c>
      <x:c r="QK110" s="14" t="n">
        <x:v>10</x:v>
      </x:c>
      <x:c r="QL110" s="14" t="n">
        <x:v>3442</x:v>
      </x:c>
      <x:c r="QM110" s="14" t="n">
        <x:v>358</x:v>
      </x:c>
      <x:c r="QN110" s="14" t="n">
        <x:v>18</x:v>
      </x:c>
      <x:c r="QO110" s="14" t="n">
        <x:v>2</x:v>
      </x:c>
      <x:c r="QP110" s="14" t="str">
        <x:v>未收錄</x:v>
      </x:c>
      <x:c r="QQ110" s="14" t="str">
        <x:v>29497</x:v>
      </x:c>
      <x:c r="QR110" s="14" t="n">
        <x:v>5</x:v>
      </x:c>
      <x:c r="QS110" s="14" t="n">
        <x:v>3443</x:v>
      </x:c>
      <x:c r="QT110" s="14" t="n">
        <x:v>359</x:v>
      </x:c>
      <x:c r="QU110" s="14" t="n">
        <x:v>18</x:v>
      </x:c>
      <x:c r="QV110" s="14" t="n">
        <x:v>3</x:v>
      </x:c>
      <x:c r="QW110" s="14" t="str">
        <x:v>未收錄</x:v>
      </x:c>
      <x:c r="QX110" s="14" t="str">
        <x:v>29503</x:v>
      </x:c>
      <x:c r="QY110" s="14" t="n">
        <x:v>5</x:v>
      </x:c>
      <x:c r="QZ110" s="14" t="n">
        <x:v>3444</x:v>
      </x:c>
      <x:c r="RA110" s="14" t="n">
        <x:v>360</x:v>
      </x:c>
      <x:c r="RB110" s="14" t="n">
        <x:v>18</x:v>
      </x:c>
      <x:c r="RC110" s="14" t="n">
        <x:v>4</x:v>
      </x:c>
      <x:c r="RD110" s="14" t="str">
        <x:v>未收錄</x:v>
      </x:c>
      <x:c r="RE110" s="14" t="str">
        <x:v>30361</x:v>
      </x:c>
      <x:c r="RF110" s="14" t="n">
        <x:v>5</x:v>
      </x:c>
      <x:c r="RG110" s="14" t="n">
        <x:v>3902</x:v>
      </x:c>
      <x:c r="RH110" s="14" t="n">
        <x:v>357</x:v>
      </x:c>
      <x:c r="RI110" s="14" t="n">
        <x:v>18</x:v>
      </x:c>
      <x:c r="RJ110" s="14" t="n">
        <x:v>1</x:v>
      </x:c>
      <x:c r="RK110" s="14" t="str">
        <x:v>未收錄</x:v>
      </x:c>
      <x:c r="RL110" s="14" t="str">
        <x:v>30362</x:v>
      </x:c>
      <x:c r="RM110" s="14" t="n">
        <x:v>5</x:v>
      </x:c>
      <x:c r="RN110" s="14" t="n">
        <x:v>3903</x:v>
      </x:c>
      <x:c r="RO110" s="14" t="n">
        <x:v>358</x:v>
      </x:c>
      <x:c r="RP110" s="14" t="n">
        <x:v>18</x:v>
      </x:c>
      <x:c r="RQ110" s="14" t="n">
        <x:v>2</x:v>
      </x:c>
      <x:c r="RR110" s="14" t="str">
        <x:v>未收錄</x:v>
      </x:c>
      <x:c r="RS110" s="14" t="str">
        <x:v>30363</x:v>
      </x:c>
      <x:c r="RT110" s="14" t="n">
        <x:v>5</x:v>
      </x:c>
      <x:c r="RU110" s="14" t="n">
        <x:v>3904</x:v>
      </x:c>
      <x:c r="RV110" s="14" t="n">
        <x:v>359</x:v>
      </x:c>
      <x:c r="RW110" s="14" t="n">
        <x:v>18</x:v>
      </x:c>
      <x:c r="RX110" s="14" t="n">
        <x:v>3</x:v>
      </x:c>
      <x:c r="RY110" s="14" t="str">
        <x:v>未收錄</x:v>
      </x:c>
      <x:c r="RZ110" s="14" t="str">
        <x:v>30364</x:v>
      </x:c>
      <x:c r="SA110" s="14" t="n">
        <x:v>5</x:v>
      </x:c>
      <x:c r="SB110" s="14" t="n">
        <x:v>3905</x:v>
      </x:c>
      <x:c r="SC110" s="14" t="n">
        <x:v>360</x:v>
      </x:c>
      <x:c r="SD110" s="14" t="n">
        <x:v>18</x:v>
      </x:c>
      <x:c r="SE110" s="14" t="n">
        <x:v>4</x:v>
      </x:c>
      <x:c r="SF110" s="14" t="str">
        <x:v>未收錄</x:v>
      </x:c>
      <x:c r="SG110" s="14"/>
      <x:c r="SH110" s="14"/>
      <x:c r="SI110" s="14"/>
      <x:c r="SJ110" s="14"/>
      <x:c r="SK110" s="14"/>
      <x:c r="SL110" s="14"/>
      <x:c r="SM110" s="14"/>
      <x:c r="SN110" s="14"/>
      <x:c r="SO110" s="14"/>
      <x:c r="SP110" s="14"/>
      <x:c r="SQ110" s="14"/>
      <x:c r="SR110" s="14"/>
      <x:c r="SS110" s="14"/>
      <x:c r="ST110" s="14"/>
      <x:c r="SU110" s="14"/>
      <x:c r="SV110" s="14"/>
      <x:c r="SW110" s="14"/>
      <x:c r="SX110" s="14"/>
      <x:c r="SY110" s="14"/>
      <x:c r="SZ110" s="14"/>
      <x:c r="TA110" s="14"/>
      <x:c r="TB110" s="14"/>
      <x:c r="TC110" s="14"/>
      <x:c r="TD110" s="14"/>
      <x:c r="TE110" s="14"/>
      <x:c r="TF110" s="14"/>
      <x:c r="TG110" s="14"/>
      <x:c r="TH110" s="14"/>
    </x:row>
    <x:row r="111" ht="15" customHeight="1">
      <x:c r="A111" s="14"/>
      <x:c r="B111" s="14"/>
      <x:c r="C111" s="14"/>
      <x:c r="D111" s="14"/>
      <x:c r="E111" s="14"/>
      <x:c r="F111" s="14"/>
      <x:c r="G111" s="14"/>
      <x:c r="H111" s="14"/>
      <x:c r="I111" s="14"/>
      <x:c r="J111" s="14"/>
      <x:c r="K111" s="14"/>
      <x:c r="L111" s="14"/>
      <x:c r="M111" s="14"/>
      <x:c r="N111" s="14"/>
      <x:c r="O111" s="14"/>
      <x:c r="P111" s="14"/>
      <x:c r="Q111" s="14"/>
      <x:c r="R111" s="14"/>
      <x:c r="S111" s="14"/>
      <x:c r="T111" s="14"/>
      <x:c r="U111" s="14"/>
      <x:c r="V111" s="14"/>
      <x:c r="W111" s="14"/>
      <x:c r="X111" s="14"/>
      <x:c r="Y111" s="14"/>
      <x:c r="Z111" s="14"/>
      <x:c r="AA111" s="14"/>
      <x:c r="AB111" s="14"/>
      <x:c r="AC111" s="14"/>
      <x:c r="AD111" s="14"/>
      <x:c r="AE111" s="14"/>
      <x:c r="AF111" s="14"/>
      <x:c r="AG111" s="14"/>
      <x:c r="AH111" s="14"/>
      <x:c r="AI111" s="14"/>
      <x:c r="AJ111" s="14"/>
      <x:c r="AK111" s="14"/>
      <x:c r="AL111" s="14"/>
      <x:c r="AM111" s="14"/>
      <x:c r="AN111" s="14"/>
      <x:c r="AO111" s="14"/>
      <x:c r="AP111" s="14"/>
      <x:c r="AQ111" s="14"/>
      <x:c r="AR111" s="14"/>
      <x:c r="AS111" s="14"/>
      <x:c r="AT111" s="14"/>
      <x:c r="AU111" s="14"/>
      <x:c r="AV111" s="14"/>
      <x:c r="AW111" s="14"/>
      <x:c r="AX111" s="14"/>
      <x:c r="AY111" s="17" t="str">
        <x:v>幻帝面★★★</x:v>
      </x:c>
      <x:c r="AZ111" s="17" t="str">
        <x:v>道帝簪★★★</x:v>
      </x:c>
      <x:c r="BA111" s="17" t="str">
        <x:v>禪帝頂★★★</x:v>
      </x:c>
      <x:c r="BB111" s="17" t="str">
        <x:v>鬼帝冠★★★</x:v>
      </x:c>
      <x:c r="BC111" s="14"/>
      <x:c r="BD111" s="17" t="str">
        <x:v>奇隱甲★★★</x:v>
      </x:c>
      <x:c r="BE111" s="17" t="str">
        <x:v>奇行裟★★★</x:v>
      </x:c>
      <x:c r="BF111" s="17" t="str">
        <x:v>星．智者聖甲</x:v>
      </x:c>
      <x:c r="BG111" s="17" t="str">
        <x:v>星．仁者聖甲</x:v>
      </x:c>
      <x:c r="BH111" s="14"/>
      <x:c r="BI111" s="17" t="str">
        <x:v>道清旭袖Ⅰ</x:v>
      </x:c>
      <x:c r="BJ111" s="17" t="str">
        <x:v>禪臺旭執Ⅰ</x:v>
      </x:c>
      <x:c r="BK111" s="17" t="str">
        <x:v>狂陽赤手Ⅰ</x:v>
      </x:c>
      <x:c r="BL111" s="17" t="str">
        <x:v>靜月帷腕Ⅰ</x:v>
      </x:c>
      <x:c r="BM111" s="14"/>
      <x:c r="BN111" s="17" t="str">
        <x:v>幻帝步★★☆</x:v>
      </x:c>
      <x:c r="BO111" s="17" t="str">
        <x:v>道帝行★★☆</x:v>
      </x:c>
      <x:c r="BP111" s="17" t="str">
        <x:v>禪帝渡★★☆</x:v>
      </x:c>
      <x:c r="BQ111" s="17" t="str">
        <x:v>鬼帝道★★☆</x:v>
      </x:c>
      <x:c r="BR111" s="14"/>
      <x:c r="BS111" s="17" t="str">
        <x:v>七色蓮寶Ⅴ</x:v>
      </x:c>
      <x:c r="BT111" s="17" t="str">
        <x:v>億載機軸Ⅰ</x:v>
      </x:c>
      <x:c r="BU111" s="17" t="str">
        <x:v>億載機軸Ⅱ</x:v>
      </x:c>
      <x:c r="BV111" s="17" t="str">
        <x:v>億載機軸Ⅲ</x:v>
      </x:c>
      <x:c r="BW111" s="14"/>
      <x:c r="BX111" s="14"/>
      <x:c r="BY111" s="14"/>
      <x:c r="BZ111" s="14"/>
      <x:c r="CA111" s="14"/>
      <x:c r="CB111" s="14"/>
      <x:c r="CC111" s="14"/>
      <x:c r="CD111" s="14"/>
      <x:c r="CE111" s="14"/>
      <x:c r="CF111" s="14"/>
      <x:c r="CG111" s="14"/>
      <x:c r="CH111" s="14"/>
      <x:c r="CI111" s="14"/>
      <x:c r="CJ111" s="14"/>
      <x:c r="CK111" s="14"/>
      <x:c r="CL111" s="14"/>
      <x:c r="CM111" s="14"/>
      <x:c r="CN111" s="14"/>
      <x:c r="CO111" s="14"/>
      <x:c r="CP111" s="14"/>
      <x:c r="CQ111" s="14"/>
      <x:c r="CR111" s="14"/>
      <x:c r="CS111" s="14"/>
      <x:c r="CT111" s="14"/>
      <x:c r="CU111" s="14"/>
      <x:c r="CV111" s="14"/>
      <x:c r="CW111" s="14"/>
      <x:c r="CX111" s="14"/>
      <x:c r="CY111" s="14"/>
      <x:c r="CZ111" s="14"/>
      <x:c r="DA111" s="14"/>
      <x:c r="DB111" s="14"/>
      <x:c r="DC111" s="14"/>
      <x:c r="DD111" s="14"/>
      <x:c r="DE111" s="14"/>
      <x:c r="DF111" s="14"/>
      <x:c r="DG111" s="14"/>
      <x:c r="DH111" s="14"/>
      <x:c r="DI111" s="14"/>
      <x:c r="DJ111" s="14"/>
      <x:c r="DK111" s="14"/>
      <x:c r="DL111" s="14"/>
      <x:c r="DM111" s="14"/>
      <x:c r="DN111" s="14"/>
      <x:c r="DO111" s="14"/>
      <x:c r="DP111" s="14"/>
      <x:c r="DQ111" s="14"/>
      <x:c r="DR111" s="14"/>
      <x:c r="DS111" s="14"/>
      <x:c r="DT111" s="14"/>
      <x:c r="DU111" s="14"/>
      <x:c r="DV111" s="14"/>
      <x:c r="DW111" s="14"/>
      <x:c r="DX111" s="14"/>
      <x:c r="DY111" s="14"/>
      <x:c r="DZ111" s="14"/>
      <x:c r="EA111" s="14"/>
      <x:c r="EB111" s="14"/>
      <x:c r="EC111" s="14"/>
      <x:c r="ED111" s="14"/>
      <x:c r="EE111" s="14"/>
      <x:c r="EF111" s="14"/>
      <x:c r="EG111" s="14"/>
      <x:c r="EH111" s="14"/>
      <x:c r="EI111" s="14"/>
      <x:c r="EJ111" s="14"/>
      <x:c r="EK111" s="14"/>
      <x:c r="EL111" s="14"/>
      <x:c r="EM111" s="14"/>
      <x:c r="EN111" s="14"/>
      <x:c r="EO111" s="14"/>
      <x:c r="EP111" s="14"/>
      <x:c r="EQ111" s="14"/>
      <x:c r="ER111" s="14"/>
      <x:c r="ES111" s="14"/>
      <x:c r="ET111" s="14"/>
      <x:c r="EU111" s="14"/>
      <x:c r="EV111" s="14"/>
      <x:c r="EW111" s="14"/>
      <x:c r="EX111" s="14"/>
      <x:c r="EY111" s="14"/>
      <x:c r="EZ111" s="14"/>
      <x:c r="FA111" s="14"/>
      <x:c r="FB111" s="14"/>
      <x:c r="FC111" s="14"/>
      <x:c r="FD111" s="14"/>
      <x:c r="FE111" s="14"/>
      <x:c r="FF111" s="14"/>
      <x:c r="FG111" s="14"/>
      <x:c r="FH111" s="14"/>
      <x:c r="FI111" s="14"/>
      <x:c r="FJ111" s="14"/>
      <x:c r="FK111" s="14"/>
      <x:c r="FL111" s="14"/>
      <x:c r="FM111" s="14"/>
      <x:c r="FN111" s="14"/>
      <x:c r="FO111" s="14"/>
      <x:c r="FP111" s="14"/>
      <x:c r="FQ111" s="14"/>
      <x:c r="FR111" s="14"/>
      <x:c r="FS111" s="14"/>
      <x:c r="FT111" s="14"/>
      <x:c r="FU111" s="14"/>
      <x:c r="FV111" s="14"/>
      <x:c r="FW111" s="14"/>
      <x:c r="FX111" s="14"/>
      <x:c r="FY111" s="14"/>
      <x:c r="FZ111" s="14"/>
      <x:c r="GA111" s="14"/>
      <x:c r="GB111" s="14"/>
      <x:c r="GC111" s="14"/>
      <x:c r="GD111" s="14"/>
      <x:c r="GE111" s="14"/>
      <x:c r="GF111" s="14"/>
      <x:c r="GG111" s="14"/>
      <x:c r="GH111" s="14"/>
      <x:c r="GI111" s="14"/>
      <x:c r="GJ111" s="14"/>
      <x:c r="GK111" s="14"/>
      <x:c r="GL111" s="14"/>
      <x:c r="GM111" s="14"/>
      <x:c r="GN111" s="14"/>
      <x:c r="GO111" s="14"/>
      <x:c r="GP111" s="14"/>
      <x:c r="GQ111" s="14"/>
      <x:c r="GR111" s="14"/>
      <x:c r="GS111" s="14"/>
      <x:c r="GT111" s="14"/>
      <x:c r="GU111" s="14"/>
      <x:c r="GV111" s="14"/>
      <x:c r="GW111" s="14"/>
      <x:c r="GX111" s="14"/>
      <x:c r="GY111" s="14"/>
      <x:c r="GZ111" s="14"/>
      <x:c r="HA111" s="14"/>
      <x:c r="HB111" s="14"/>
      <x:c r="HC111" s="14"/>
      <x:c r="HD111" s="14"/>
      <x:c r="HE111" s="14"/>
      <x:c r="HF111" s="14"/>
      <x:c r="HG111" s="14"/>
      <x:c r="HH111" s="14"/>
      <x:c r="HI111" s="14"/>
      <x:c r="HJ111" s="14"/>
      <x:c r="HK111" s="14"/>
      <x:c r="HL111" s="14"/>
      <x:c r="HM111" s="14"/>
      <x:c r="HN111" s="14"/>
      <x:c r="HO111" s="14"/>
      <x:c r="HP111" s="14"/>
      <x:c r="HQ111" s="14"/>
      <x:c r="HR111" s="14"/>
      <x:c r="HS111" s="14"/>
      <x:c r="HT111" s="14"/>
      <x:c r="HU111" s="14"/>
      <x:c r="HV111" s="14"/>
      <x:c r="HW111" s="14"/>
      <x:c r="HX111" s="14"/>
      <x:c r="HY111" s="14"/>
      <x:c r="HZ111" s="14"/>
      <x:c r="IA111" s="14"/>
      <x:c r="IB111" s="14"/>
      <x:c r="IC111" s="14"/>
      <x:c r="ID111" s="14"/>
      <x:c r="IE111" s="14"/>
      <x:c r="IF111" s="14"/>
      <x:c r="IG111" s="14"/>
      <x:c r="IH111" s="14"/>
      <x:c r="II111" s="14"/>
      <x:c r="IJ111" s="14"/>
      <x:c r="IK111" s="14"/>
      <x:c r="IL111" s="14"/>
      <x:c r="IM111" s="14"/>
      <x:c r="IN111" s="14"/>
      <x:c r="IO111" s="14"/>
      <x:c r="IP111" s="14"/>
      <x:c r="IQ111" s="14"/>
      <x:c r="IR111" s="14"/>
      <x:c r="IS111" s="14"/>
      <x:c r="IT111" s="14"/>
      <x:c r="IU111" s="14"/>
      <x:c r="IV111" s="14"/>
      <x:c r="IW111" s="14"/>
      <x:c r="IX111" s="14"/>
      <x:c r="IY111" s="14"/>
      <x:c r="IZ111" s="14"/>
      <x:c r="JA111" s="14"/>
      <x:c r="JB111" s="14"/>
      <x:c r="JC111" s="14"/>
      <x:c r="JD111" s="14"/>
      <x:c r="JE111" s="14"/>
      <x:c r="JF111" s="14"/>
      <x:c r="JG111" s="14"/>
      <x:c r="JH111" s="14"/>
      <x:c r="JI111" s="14"/>
      <x:c r="JJ111" s="14"/>
      <x:c r="JK111" s="14"/>
      <x:c r="JL111" s="14"/>
      <x:c r="JM111" s="14"/>
      <x:c r="JN111" s="14"/>
      <x:c r="JO111" s="14"/>
      <x:c r="JP111" s="14"/>
      <x:c r="JQ111" s="14"/>
      <x:c r="JR111" s="14"/>
      <x:c r="JS111" s="14"/>
      <x:c r="JT111" s="14"/>
      <x:c r="JU111" s="14"/>
      <x:c r="JV111" s="14"/>
      <x:c r="JW111" s="14"/>
      <x:c r="JX111" s="14"/>
      <x:c r="JY111" s="14"/>
      <x:c r="JZ111" s="14"/>
      <x:c r="KA111" s="14"/>
      <x:c r="KB111" s="14"/>
      <x:c r="KC111" s="14"/>
      <x:c r="KD111" s="14"/>
      <x:c r="KE111" s="14"/>
      <x:c r="KF111" s="14"/>
      <x:c r="KG111" s="14"/>
      <x:c r="KH111" s="14"/>
      <x:c r="KI111" s="14"/>
      <x:c r="KJ111" s="14"/>
      <x:c r="KK111" s="14"/>
      <x:c r="KL111" s="14"/>
      <x:c r="KM111" s="14"/>
      <x:c r="KN111" s="14"/>
      <x:c r="KO111" s="14"/>
      <x:c r="KP111" s="14"/>
      <x:c r="KQ111" s="14"/>
      <x:c r="KR111" s="14"/>
      <x:c r="KS111" s="14"/>
      <x:c r="KT111" s="14"/>
      <x:c r="KU111" s="14"/>
      <x:c r="KV111" s="14"/>
      <x:c r="KW111" s="14"/>
      <x:c r="KX111" s="14"/>
      <x:c r="KY111" s="14"/>
      <x:c r="KZ111" s="14"/>
      <x:c r="LA111" s="14"/>
      <x:c r="LB111" s="14"/>
      <x:c r="LC111" s="14"/>
      <x:c r="LD111" s="14"/>
      <x:c r="LE111" s="14"/>
      <x:c r="LF111" s="14"/>
      <x:c r="LG111" s="14"/>
      <x:c r="LH111" s="14"/>
      <x:c r="LI111" s="14"/>
      <x:c r="LJ111" s="14"/>
      <x:c r="LK111" s="14"/>
      <x:c r="LL111" s="14"/>
      <x:c r="LM111" s="14"/>
      <x:c r="LN111" s="14"/>
      <x:c r="LO111" s="14"/>
      <x:c r="LP111" s="14"/>
      <x:c r="LQ111" s="14"/>
      <x:c r="LR111" s="14"/>
      <x:c r="LS111" s="14"/>
      <x:c r="LT111" s="14"/>
      <x:c r="LU111" s="14"/>
      <x:c r="LV111" s="14"/>
      <x:c r="LW111" s="14"/>
      <x:c r="LX111" s="14"/>
      <x:c r="LY111" s="14"/>
      <x:c r="LZ111" s="14"/>
      <x:c r="MA111" s="14"/>
      <x:c r="MB111" s="14"/>
      <x:c r="MC111" s="14"/>
      <x:c r="MD111" s="14"/>
      <x:c r="ME111" s="14"/>
      <x:c r="MF111" s="14"/>
      <x:c r="MG111" s="14"/>
      <x:c r="MH111" s="14"/>
      <x:c r="MI111" s="14"/>
      <x:c r="MJ111" s="14"/>
      <x:c r="MK111" s="14"/>
      <x:c r="ML111" s="14"/>
      <x:c r="MM111" s="14"/>
      <x:c r="MN111" s="14"/>
      <x:c r="MO111" s="14"/>
      <x:c r="MP111" s="14"/>
      <x:c r="MQ111" s="14"/>
      <x:c r="MR111" s="14"/>
      <x:c r="MS111" s="14"/>
      <x:c r="MT111" s="14"/>
      <x:c r="MU111" s="14"/>
      <x:c r="MV111" s="14"/>
      <x:c r="MW111" s="14" t="str">
        <x:v>29420</x:v>
      </x:c>
      <x:c r="MX111" s="14" t="n">
        <x:v>5</x:v>
      </x:c>
      <x:c r="MY111" s="14" t="n">
        <x:v>2009</x:v>
      </x:c>
      <x:c r="MZ111" s="14" t="n">
        <x:v>361</x:v>
      </x:c>
      <x:c r="NA111" s="14" t="n">
        <x:v>19</x:v>
      </x:c>
      <x:c r="NB111" s="14" t="n">
        <x:v>1</x:v>
      </x:c>
      <x:c r="NC111" s="14" t="str">
        <x:v>未收錄</x:v>
      </x:c>
      <x:c r="ND111" s="14" t="str">
        <x:v>29426</x:v>
      </x:c>
      <x:c r="NE111" s="14" t="n">
        <x:v>5</x:v>
      </x:c>
      <x:c r="NF111" s="14" t="n">
        <x:v>2010</x:v>
      </x:c>
      <x:c r="NG111" s="14" t="n">
        <x:v>362</x:v>
      </x:c>
      <x:c r="NH111" s="14" t="n">
        <x:v>19</x:v>
      </x:c>
      <x:c r="NI111" s="14" t="n">
        <x:v>2</x:v>
      </x:c>
      <x:c r="NJ111" s="14" t="str">
        <x:v>未收錄</x:v>
      </x:c>
      <x:c r="NK111" s="14" t="str">
        <x:v>29432</x:v>
      </x:c>
      <x:c r="NL111" s="14" t="n">
        <x:v>5</x:v>
      </x:c>
      <x:c r="NM111" s="14" t="n">
        <x:v>2011</x:v>
      </x:c>
      <x:c r="NN111" s="14" t="n">
        <x:v>363</x:v>
      </x:c>
      <x:c r="NO111" s="14" t="n">
        <x:v>19</x:v>
      </x:c>
      <x:c r="NP111" s="14" t="n">
        <x:v>3</x:v>
      </x:c>
      <x:c r="NQ111" s="14" t="str">
        <x:v>未收錄</x:v>
      </x:c>
      <x:c r="NR111" s="14" t="str">
        <x:v>29552</x:v>
      </x:c>
      <x:c r="NS111" s="14" t="n">
        <x:v>10</x:v>
      </x:c>
      <x:c r="NT111" s="14" t="n">
        <x:v>2012</x:v>
      </x:c>
      <x:c r="NU111" s="14" t="n">
        <x:v>364</x:v>
      </x:c>
      <x:c r="NV111" s="14" t="n">
        <x:v>19</x:v>
      </x:c>
      <x:c r="NW111" s="14" t="n">
        <x:v>4</x:v>
      </x:c>
      <x:c r="NX111" s="14" t="str">
        <x:v>未收錄</x:v>
      </x:c>
      <x:c r="NY111" s="14" t="str">
        <x:v>28555</x:v>
      </x:c>
      <x:c r="NZ111" s="14" t="n">
        <x:v>10</x:v>
      </x:c>
      <x:c r="OA111" s="14" t="n">
        <x:v>2462</x:v>
      </x:c>
      <x:c r="OB111" s="14" t="n">
        <x:v>361</x:v>
      </x:c>
      <x:c r="OC111" s="14" t="n">
        <x:v>19</x:v>
      </x:c>
      <x:c r="OD111" s="14" t="n">
        <x:v>1</x:v>
      </x:c>
      <x:c r="OE111" s="14" t="str">
        <x:v>未收錄</x:v>
      </x:c>
      <x:c r="OF111" s="14" t="str">
        <x:v>28558</x:v>
      </x:c>
      <x:c r="OG111" s="14" t="n">
        <x:v>10</x:v>
      </x:c>
      <x:c r="OH111" s="14" t="n">
        <x:v>2463</x:v>
      </x:c>
      <x:c r="OI111" s="14" t="n">
        <x:v>362</x:v>
      </x:c>
      <x:c r="OJ111" s="14" t="n">
        <x:v>19</x:v>
      </x:c>
      <x:c r="OK111" s="14" t="n">
        <x:v>2</x:v>
      </x:c>
      <x:c r="OL111" s="14" t="str">
        <x:v>未收錄</x:v>
      </x:c>
      <x:c r="OM111" s="14" t="str">
        <x:v>28519</x:v>
      </x:c>
      <x:c r="ON111" s="14" t="n">
        <x:v>10</x:v>
      </x:c>
      <x:c r="OO111" s="14" t="n">
        <x:v>2464</x:v>
      </x:c>
      <x:c r="OP111" s="14" t="n">
        <x:v>363</x:v>
      </x:c>
      <x:c r="OQ111" s="14" t="n">
        <x:v>19</x:v>
      </x:c>
      <x:c r="OR111" s="14" t="n">
        <x:v>3</x:v>
      </x:c>
      <x:c r="OS111" s="14" t="str">
        <x:v>未收錄</x:v>
      </x:c>
      <x:c r="OT111" s="14" t="str">
        <x:v>28520</x:v>
      </x:c>
      <x:c r="OU111" s="14" t="n">
        <x:v>10</x:v>
      </x:c>
      <x:c r="OV111" s="14" t="n">
        <x:v>2465</x:v>
      </x:c>
      <x:c r="OW111" s="14" t="n">
        <x:v>364</x:v>
      </x:c>
      <x:c r="OX111" s="14" t="n">
        <x:v>19</x:v>
      </x:c>
      <x:c r="OY111" s="14" t="n">
        <x:v>4</x:v>
      </x:c>
      <x:c r="OZ111" s="14" t="str">
        <x:v>未收錄</x:v>
      </x:c>
      <x:c r="PA111" s="14" t="str">
        <x:v>30316</x:v>
      </x:c>
      <x:c r="PB111" s="14" t="n">
        <x:v>5</x:v>
      </x:c>
      <x:c r="PC111" s="14" t="n">
        <x:v>3008</x:v>
      </x:c>
      <x:c r="PD111" s="14" t="n">
        <x:v>361</x:v>
      </x:c>
      <x:c r="PE111" s="14" t="n">
        <x:v>19</x:v>
      </x:c>
      <x:c r="PF111" s="14" t="n">
        <x:v>1</x:v>
      </x:c>
      <x:c r="PG111" s="14" t="str">
        <x:v>未收錄</x:v>
      </x:c>
      <x:c r="PH111" s="14" t="str">
        <x:v>30321</x:v>
      </x:c>
      <x:c r="PI111" s="14" t="n">
        <x:v>5</x:v>
      </x:c>
      <x:c r="PJ111" s="14" t="n">
        <x:v>3009</x:v>
      </x:c>
      <x:c r="PK111" s="14" t="n">
        <x:v>362</x:v>
      </x:c>
      <x:c r="PL111" s="14" t="n">
        <x:v>19</x:v>
      </x:c>
      <x:c r="PM111" s="14" t="n">
        <x:v>2</x:v>
      </x:c>
      <x:c r="PN111" s="14" t="str">
        <x:v>未收錄</x:v>
      </x:c>
      <x:c r="PO111" s="14" t="str">
        <x:v>30381</x:v>
      </x:c>
      <x:c r="PP111" s="14" t="n">
        <x:v>10</x:v>
      </x:c>
      <x:c r="PQ111" s="14" t="n">
        <x:v>3010</x:v>
      </x:c>
      <x:c r="PR111" s="14" t="n">
        <x:v>363</x:v>
      </x:c>
      <x:c r="PS111" s="14" t="n">
        <x:v>19</x:v>
      </x:c>
      <x:c r="PT111" s="14" t="n">
        <x:v>3</x:v>
      </x:c>
      <x:c r="PU111" s="14" t="str">
        <x:v>未收錄</x:v>
      </x:c>
      <x:c r="PV111" s="14" t="str">
        <x:v>30401</x:v>
      </x:c>
      <x:c r="PW111" s="14" t="n">
        <x:v>10</x:v>
      </x:c>
      <x:c r="PX111" s="14" t="n">
        <x:v>3011</x:v>
      </x:c>
      <x:c r="PY111" s="14" t="n">
        <x:v>364</x:v>
      </x:c>
      <x:c r="PZ111" s="14" t="n">
        <x:v>19</x:v>
      </x:c>
      <x:c r="QA111" s="14" t="n">
        <x:v>4</x:v>
      </x:c>
      <x:c r="QB111" s="14" t="str">
        <x:v>未收錄</x:v>
      </x:c>
      <x:c r="QC111" s="14" t="str">
        <x:v>29509</x:v>
      </x:c>
      <x:c r="QD111" s="14" t="n">
        <x:v>5</x:v>
      </x:c>
      <x:c r="QE111" s="14" t="n">
        <x:v>3445</x:v>
      </x:c>
      <x:c r="QF111" s="14" t="n">
        <x:v>361</x:v>
      </x:c>
      <x:c r="QG111" s="14" t="n">
        <x:v>19</x:v>
      </x:c>
      <x:c r="QH111" s="14" t="n">
        <x:v>1</x:v>
      </x:c>
      <x:c r="QI111" s="14" t="str">
        <x:v>未收錄</x:v>
      </x:c>
      <x:c r="QJ111" s="14" t="str">
        <x:v>29515</x:v>
      </x:c>
      <x:c r="QK111" s="14" t="n">
        <x:v>5</x:v>
      </x:c>
      <x:c r="QL111" s="14" t="n">
        <x:v>3446</x:v>
      </x:c>
      <x:c r="QM111" s="14" t="n">
        <x:v>362</x:v>
      </x:c>
      <x:c r="QN111" s="14" t="n">
        <x:v>19</x:v>
      </x:c>
      <x:c r="QO111" s="14" t="n">
        <x:v>2</x:v>
      </x:c>
      <x:c r="QP111" s="14" t="str">
        <x:v>未收錄</x:v>
      </x:c>
      <x:c r="QQ111" s="14" t="str">
        <x:v>29521</x:v>
      </x:c>
      <x:c r="QR111" s="14" t="n">
        <x:v>5</x:v>
      </x:c>
      <x:c r="QS111" s="14" t="n">
        <x:v>3447</x:v>
      </x:c>
      <x:c r="QT111" s="14" t="n">
        <x:v>363</x:v>
      </x:c>
      <x:c r="QU111" s="14" t="n">
        <x:v>19</x:v>
      </x:c>
      <x:c r="QV111" s="14" t="n">
        <x:v>3</x:v>
      </x:c>
      <x:c r="QW111" s="14" t="str">
        <x:v>未收錄</x:v>
      </x:c>
      <x:c r="QX111" s="14" t="str">
        <x:v>29569</x:v>
      </x:c>
      <x:c r="QY111" s="14" t="n">
        <x:v>10</x:v>
      </x:c>
      <x:c r="QZ111" s="14" t="n">
        <x:v>3448</x:v>
      </x:c>
      <x:c r="RA111" s="14" t="n">
        <x:v>364</x:v>
      </x:c>
      <x:c r="RB111" s="14" t="n">
        <x:v>19</x:v>
      </x:c>
      <x:c r="RC111" s="14" t="n">
        <x:v>4</x:v>
      </x:c>
      <x:c r="RD111" s="14" t="str">
        <x:v>未收錄</x:v>
      </x:c>
      <x:c r="RE111" s="14" t="str">
        <x:v>30365</x:v>
      </x:c>
      <x:c r="RF111" s="14" t="n">
        <x:v>5</x:v>
      </x:c>
      <x:c r="RG111" s="14" t="n">
        <x:v>3906</x:v>
      </x:c>
      <x:c r="RH111" s="14" t="n">
        <x:v>361</x:v>
      </x:c>
      <x:c r="RI111" s="14" t="n">
        <x:v>19</x:v>
      </x:c>
      <x:c r="RJ111" s="14" t="n">
        <x:v>1</x:v>
      </x:c>
      <x:c r="RK111" s="14" t="str">
        <x:v>未收錄</x:v>
      </x:c>
      <x:c r="RL111" s="14" t="str">
        <x:v>30366</x:v>
      </x:c>
      <x:c r="RM111" s="14" t="n">
        <x:v>5</x:v>
      </x:c>
      <x:c r="RN111" s="14" t="n">
        <x:v>3907</x:v>
      </x:c>
      <x:c r="RO111" s="14" t="n">
        <x:v>362</x:v>
      </x:c>
      <x:c r="RP111" s="14" t="n">
        <x:v>19</x:v>
      </x:c>
      <x:c r="RQ111" s="14" t="n">
        <x:v>2</x:v>
      </x:c>
      <x:c r="RR111" s="14" t="str">
        <x:v>未收錄</x:v>
      </x:c>
      <x:c r="RS111" s="14" t="str">
        <x:v>30367</x:v>
      </x:c>
      <x:c r="RT111" s="14" t="n">
        <x:v>5</x:v>
      </x:c>
      <x:c r="RU111" s="14" t="n">
        <x:v>3908</x:v>
      </x:c>
      <x:c r="RV111" s="14" t="n">
        <x:v>363</x:v>
      </x:c>
      <x:c r="RW111" s="14" t="n">
        <x:v>19</x:v>
      </x:c>
      <x:c r="RX111" s="14" t="n">
        <x:v>3</x:v>
      </x:c>
      <x:c r="RY111" s="14" t="str">
        <x:v>未收錄</x:v>
      </x:c>
      <x:c r="RZ111" s="14" t="str">
        <x:v>30368</x:v>
      </x:c>
      <x:c r="SA111" s="14" t="n">
        <x:v>5</x:v>
      </x:c>
      <x:c r="SB111" s="14" t="n">
        <x:v>3909</x:v>
      </x:c>
      <x:c r="SC111" s="14" t="n">
        <x:v>364</x:v>
      </x:c>
      <x:c r="SD111" s="14" t="n">
        <x:v>19</x:v>
      </x:c>
      <x:c r="SE111" s="14" t="n">
        <x:v>4</x:v>
      </x:c>
      <x:c r="SF111" s="14" t="str">
        <x:v>未收錄</x:v>
      </x:c>
      <x:c r="SG111" s="14"/>
      <x:c r="SH111" s="14"/>
      <x:c r="SI111" s="14"/>
      <x:c r="SJ111" s="14"/>
      <x:c r="SK111" s="14"/>
      <x:c r="SL111" s="14"/>
      <x:c r="SM111" s="14"/>
      <x:c r="SN111" s="14"/>
      <x:c r="SO111" s="14"/>
      <x:c r="SP111" s="14"/>
      <x:c r="SQ111" s="14"/>
      <x:c r="SR111" s="14"/>
      <x:c r="SS111" s="14"/>
      <x:c r="ST111" s="14"/>
      <x:c r="SU111" s="14"/>
      <x:c r="SV111" s="14"/>
      <x:c r="SW111" s="14"/>
      <x:c r="SX111" s="14"/>
      <x:c r="SY111" s="14"/>
      <x:c r="SZ111" s="14"/>
      <x:c r="TA111" s="14"/>
      <x:c r="TB111" s="14"/>
      <x:c r="TC111" s="14"/>
      <x:c r="TD111" s="14"/>
      <x:c r="TE111" s="14"/>
      <x:c r="TF111" s="14"/>
      <x:c r="TG111" s="14"/>
      <x:c r="TH111" s="14"/>
    </x:row>
    <x:row r="112" ht="15" customHeight="1">
      <x:c r="A112" s="14"/>
      <x:c r="B112" s="14"/>
      <x:c r="C112" s="14"/>
      <x:c r="D112" s="14"/>
      <x:c r="E112" s="14"/>
      <x:c r="F112" s="14"/>
      <x:c r="G112" s="14"/>
      <x:c r="H112" s="14"/>
      <x:c r="I112" s="14"/>
      <x:c r="J112" s="14"/>
      <x:c r="K112" s="14"/>
      <x:c r="L112" s="14"/>
      <x:c r="M112" s="14"/>
      <x:c r="N112" s="14"/>
      <x:c r="O112" s="14"/>
      <x:c r="P112" s="14"/>
      <x:c r="Q112" s="14"/>
      <x:c r="R112" s="14"/>
      <x:c r="S112" s="14"/>
      <x:c r="T112" s="14"/>
      <x:c r="U112" s="14"/>
      <x:c r="V112" s="14"/>
      <x:c r="W112" s="14"/>
      <x:c r="X112" s="14"/>
      <x:c r="Y112" s="14"/>
      <x:c r="Z112" s="14"/>
      <x:c r="AA112" s="14"/>
      <x:c r="AB112" s="14"/>
      <x:c r="AC112" s="14"/>
      <x:c r="AD112" s="14"/>
      <x:c r="AE112" s="14"/>
      <x:c r="AF112" s="14"/>
      <x:c r="AG112" s="14"/>
      <x:c r="AH112" s="14"/>
      <x:c r="AI112" s="14"/>
      <x:c r="AJ112" s="14"/>
      <x:c r="AK112" s="14"/>
      <x:c r="AL112" s="14"/>
      <x:c r="AM112" s="14"/>
      <x:c r="AN112" s="14"/>
      <x:c r="AO112" s="14"/>
      <x:c r="AP112" s="14"/>
      <x:c r="AQ112" s="14"/>
      <x:c r="AR112" s="14"/>
      <x:c r="AS112" s="14"/>
      <x:c r="AT112" s="14"/>
      <x:c r="AU112" s="14"/>
      <x:c r="AV112" s="14"/>
      <x:c r="AW112" s="14"/>
      <x:c r="AX112" s="14"/>
      <x:c r="AY112" s="18" t="str">
        <x:v>黃月巾★★★</x:v>
      </x:c>
      <x:c r="AZ112" s="18" t="str">
        <x:v>新星之劍英盔</x:v>
      </x:c>
      <x:c r="BA112" s="18" t="str">
        <x:v>新星之武豪盔</x:v>
      </x:c>
      <x:c r="BB112" s="18" t="str">
        <x:v>新星之術潛紗</x:v>
      </x:c>
      <x:c r="BC112" s="14"/>
      <x:c r="BD112" s="18" t="str">
        <x:v>星．勇者聖甲</x:v>
      </x:c>
      <x:c r="BE112" s="18" t="str">
        <x:v>星．義者聖甲</x:v>
      </x:c>
      <x:c r="BF112" s="18" t="str">
        <x:v>烈煌冑☆</x:v>
      </x:c>
      <x:c r="BG112" s="18" t="str">
        <x:v>戰煌鎧☆</x:v>
      </x:c>
      <x:c r="BH112" s="14"/>
      <x:c r="BI112" s="18" t="str">
        <x:v>宿星爍臂Ⅰ</x:v>
      </x:c>
      <x:c r="BJ112" s="18" t="str">
        <x:v>劍豪旭腕Ⅱ</x:v>
      </x:c>
      <x:c r="BK112" s="18" t="str">
        <x:v>勇將旭掌Ⅱ</x:v>
      </x:c>
      <x:c r="BL112" s="18" t="str">
        <x:v>術凌旭指Ⅱ</x:v>
      </x:c>
      <x:c r="BM112" s="14"/>
      <x:c r="BN112" s="18" t="str">
        <x:v>黃韋足★★☆</x:v>
      </x:c>
      <x:c r="BO112" s="18" t="str">
        <x:v>君星靴★★☆</x:v>
      </x:c>
      <x:c r="BP112" s="18" t="str">
        <x:v>劍帝履★★★</x:v>
      </x:c>
      <x:c r="BQ112" s="18" t="str">
        <x:v>武帝踏★★★</x:v>
      </x:c>
      <x:c r="BR112" s="14"/>
      <x:c r="BS112" s="18" t="str">
        <x:v>億載機軸Ⅳ</x:v>
      </x:c>
      <x:c r="BT112" s="18" t="str">
        <x:v>億載機軸Ⅴ</x:v>
      </x:c>
      <x:c r="BU112" s="18" t="str">
        <x:v>金梁天佐鎮</x:v>
      </x:c>
      <x:c r="BV112" s="18" t="str">
        <x:v>水嶷天佐針</x:v>
      </x:c>
      <x:c r="BW112" s="14"/>
      <x:c r="BX112" s="14"/>
      <x:c r="BY112" s="14"/>
      <x:c r="BZ112" s="14"/>
      <x:c r="CA112" s="14"/>
      <x:c r="CB112" s="14"/>
      <x:c r="CC112" s="14"/>
      <x:c r="CD112" s="14"/>
      <x:c r="CE112" s="14"/>
      <x:c r="CF112" s="14"/>
      <x:c r="CG112" s="14"/>
      <x:c r="CH112" s="14"/>
      <x:c r="CI112" s="14"/>
      <x:c r="CJ112" s="14"/>
      <x:c r="CK112" s="14"/>
      <x:c r="CL112" s="14"/>
      <x:c r="CM112" s="14"/>
      <x:c r="CN112" s="14"/>
      <x:c r="CO112" s="14"/>
      <x:c r="CP112" s="14"/>
      <x:c r="CQ112" s="14"/>
      <x:c r="CR112" s="14"/>
      <x:c r="CS112" s="14"/>
      <x:c r="CT112" s="14"/>
      <x:c r="CU112" s="14"/>
      <x:c r="CV112" s="14"/>
      <x:c r="CW112" s="14"/>
      <x:c r="CX112" s="14"/>
      <x:c r="CY112" s="14"/>
      <x:c r="CZ112" s="14"/>
      <x:c r="DA112" s="14"/>
      <x:c r="DB112" s="14"/>
      <x:c r="DC112" s="14"/>
      <x:c r="DD112" s="14"/>
      <x:c r="DE112" s="14"/>
      <x:c r="DF112" s="14"/>
      <x:c r="DG112" s="14"/>
      <x:c r="DH112" s="14"/>
      <x:c r="DI112" s="14"/>
      <x:c r="DJ112" s="14"/>
      <x:c r="DK112" s="14"/>
      <x:c r="DL112" s="14"/>
      <x:c r="DM112" s="14"/>
      <x:c r="DN112" s="14"/>
      <x:c r="DO112" s="14"/>
      <x:c r="DP112" s="14"/>
      <x:c r="DQ112" s="14"/>
      <x:c r="DR112" s="14"/>
      <x:c r="DS112" s="14"/>
      <x:c r="DT112" s="14"/>
      <x:c r="DU112" s="14"/>
      <x:c r="DV112" s="14"/>
      <x:c r="DW112" s="14"/>
      <x:c r="DX112" s="14"/>
      <x:c r="DY112" s="14"/>
      <x:c r="DZ112" s="14"/>
      <x:c r="EA112" s="14"/>
      <x:c r="EB112" s="14"/>
      <x:c r="EC112" s="14"/>
      <x:c r="ED112" s="14"/>
      <x:c r="EE112" s="14"/>
      <x:c r="EF112" s="14"/>
      <x:c r="EG112" s="14"/>
      <x:c r="EH112" s="14"/>
      <x:c r="EI112" s="14"/>
      <x:c r="EJ112" s="14"/>
      <x:c r="EK112" s="14"/>
      <x:c r="EL112" s="14"/>
      <x:c r="EM112" s="14"/>
      <x:c r="EN112" s="14"/>
      <x:c r="EO112" s="14"/>
      <x:c r="EP112" s="14"/>
      <x:c r="EQ112" s="14"/>
      <x:c r="ER112" s="14"/>
      <x:c r="ES112" s="14"/>
      <x:c r="ET112" s="14"/>
      <x:c r="EU112" s="14"/>
      <x:c r="EV112" s="14"/>
      <x:c r="EW112" s="14"/>
      <x:c r="EX112" s="14"/>
      <x:c r="EY112" s="14"/>
      <x:c r="EZ112" s="14"/>
      <x:c r="FA112" s="14"/>
      <x:c r="FB112" s="14"/>
      <x:c r="FC112" s="14"/>
      <x:c r="FD112" s="14"/>
      <x:c r="FE112" s="14"/>
      <x:c r="FF112" s="14"/>
      <x:c r="FG112" s="14"/>
      <x:c r="FH112" s="14"/>
      <x:c r="FI112" s="14"/>
      <x:c r="FJ112" s="14"/>
      <x:c r="FK112" s="14"/>
      <x:c r="FL112" s="14"/>
      <x:c r="FM112" s="14"/>
      <x:c r="FN112" s="14"/>
      <x:c r="FO112" s="14"/>
      <x:c r="FP112" s="14"/>
      <x:c r="FQ112" s="14"/>
      <x:c r="FR112" s="14"/>
      <x:c r="FS112" s="14"/>
      <x:c r="FT112" s="14"/>
      <x:c r="FU112" s="14"/>
      <x:c r="FV112" s="14"/>
      <x:c r="FW112" s="14"/>
      <x:c r="FX112" s="14"/>
      <x:c r="FY112" s="14"/>
      <x:c r="FZ112" s="14"/>
      <x:c r="GA112" s="14"/>
      <x:c r="GB112" s="14"/>
      <x:c r="GC112" s="14"/>
      <x:c r="GD112" s="14"/>
      <x:c r="GE112" s="14"/>
      <x:c r="GF112" s="14"/>
      <x:c r="GG112" s="14"/>
      <x:c r="GH112" s="14"/>
      <x:c r="GI112" s="14"/>
      <x:c r="GJ112" s="14"/>
      <x:c r="GK112" s="14"/>
      <x:c r="GL112" s="14"/>
      <x:c r="GM112" s="14"/>
      <x:c r="GN112" s="14"/>
      <x:c r="GO112" s="14"/>
      <x:c r="GP112" s="14"/>
      <x:c r="GQ112" s="14"/>
      <x:c r="GR112" s="14"/>
      <x:c r="GS112" s="14"/>
      <x:c r="GT112" s="14"/>
      <x:c r="GU112" s="14"/>
      <x:c r="GV112" s="14"/>
      <x:c r="GW112" s="14"/>
      <x:c r="GX112" s="14"/>
      <x:c r="GY112" s="14"/>
      <x:c r="GZ112" s="14"/>
      <x:c r="HA112" s="14"/>
      <x:c r="HB112" s="14"/>
      <x:c r="HC112" s="14"/>
      <x:c r="HD112" s="14"/>
      <x:c r="HE112" s="14"/>
      <x:c r="HF112" s="14"/>
      <x:c r="HG112" s="14"/>
      <x:c r="HH112" s="14"/>
      <x:c r="HI112" s="14"/>
      <x:c r="HJ112" s="14"/>
      <x:c r="HK112" s="14"/>
      <x:c r="HL112" s="14"/>
      <x:c r="HM112" s="14"/>
      <x:c r="HN112" s="14"/>
      <x:c r="HO112" s="14"/>
      <x:c r="HP112" s="14"/>
      <x:c r="HQ112" s="14"/>
      <x:c r="HR112" s="14"/>
      <x:c r="HS112" s="14"/>
      <x:c r="HT112" s="14"/>
      <x:c r="HU112" s="14"/>
      <x:c r="HV112" s="14"/>
      <x:c r="HW112" s="14"/>
      <x:c r="HX112" s="14"/>
      <x:c r="HY112" s="14"/>
      <x:c r="HZ112" s="14"/>
      <x:c r="IA112" s="14"/>
      <x:c r="IB112" s="14"/>
      <x:c r="IC112" s="14"/>
      <x:c r="ID112" s="14"/>
      <x:c r="IE112" s="14"/>
      <x:c r="IF112" s="14"/>
      <x:c r="IG112" s="14"/>
      <x:c r="IH112" s="14"/>
      <x:c r="II112" s="14"/>
      <x:c r="IJ112" s="14"/>
      <x:c r="IK112" s="14"/>
      <x:c r="IL112" s="14"/>
      <x:c r="IM112" s="14"/>
      <x:c r="IN112" s="14"/>
      <x:c r="IO112" s="14"/>
      <x:c r="IP112" s="14"/>
      <x:c r="IQ112" s="14"/>
      <x:c r="IR112" s="14"/>
      <x:c r="IS112" s="14"/>
      <x:c r="IT112" s="14"/>
      <x:c r="IU112" s="14"/>
      <x:c r="IV112" s="14"/>
      <x:c r="IW112" s="14"/>
      <x:c r="IX112" s="14"/>
      <x:c r="IY112" s="14"/>
      <x:c r="IZ112" s="14"/>
      <x:c r="JA112" s="14"/>
      <x:c r="JB112" s="14"/>
      <x:c r="JC112" s="14"/>
      <x:c r="JD112" s="14"/>
      <x:c r="JE112" s="14"/>
      <x:c r="JF112" s="14"/>
      <x:c r="JG112" s="14"/>
      <x:c r="JH112" s="14"/>
      <x:c r="JI112" s="14"/>
      <x:c r="JJ112" s="14"/>
      <x:c r="JK112" s="14"/>
      <x:c r="JL112" s="14"/>
      <x:c r="JM112" s="14"/>
      <x:c r="JN112" s="14"/>
      <x:c r="JO112" s="14"/>
      <x:c r="JP112" s="14"/>
      <x:c r="JQ112" s="14"/>
      <x:c r="JR112" s="14"/>
      <x:c r="JS112" s="14"/>
      <x:c r="JT112" s="14"/>
      <x:c r="JU112" s="14"/>
      <x:c r="JV112" s="14"/>
      <x:c r="JW112" s="14"/>
      <x:c r="JX112" s="14"/>
      <x:c r="JY112" s="14"/>
      <x:c r="JZ112" s="14"/>
      <x:c r="KA112" s="14"/>
      <x:c r="KB112" s="14"/>
      <x:c r="KC112" s="14"/>
      <x:c r="KD112" s="14"/>
      <x:c r="KE112" s="14"/>
      <x:c r="KF112" s="14"/>
      <x:c r="KG112" s="14"/>
      <x:c r="KH112" s="14"/>
      <x:c r="KI112" s="14"/>
      <x:c r="KJ112" s="14"/>
      <x:c r="KK112" s="14"/>
      <x:c r="KL112" s="14"/>
      <x:c r="KM112" s="14"/>
      <x:c r="KN112" s="14"/>
      <x:c r="KO112" s="14"/>
      <x:c r="KP112" s="14"/>
      <x:c r="KQ112" s="14"/>
      <x:c r="KR112" s="14"/>
      <x:c r="KS112" s="14"/>
      <x:c r="KT112" s="14"/>
      <x:c r="KU112" s="14"/>
      <x:c r="KV112" s="14"/>
      <x:c r="KW112" s="14"/>
      <x:c r="KX112" s="14"/>
      <x:c r="KY112" s="14"/>
      <x:c r="KZ112" s="14"/>
      <x:c r="LA112" s="14"/>
      <x:c r="LB112" s="14"/>
      <x:c r="LC112" s="14"/>
      <x:c r="LD112" s="14"/>
      <x:c r="LE112" s="14"/>
      <x:c r="LF112" s="14"/>
      <x:c r="LG112" s="14"/>
      <x:c r="LH112" s="14"/>
      <x:c r="LI112" s="14"/>
      <x:c r="LJ112" s="14"/>
      <x:c r="LK112" s="14"/>
      <x:c r="LL112" s="14"/>
      <x:c r="LM112" s="14"/>
      <x:c r="LN112" s="14"/>
      <x:c r="LO112" s="14"/>
      <x:c r="LP112" s="14"/>
      <x:c r="LQ112" s="14"/>
      <x:c r="LR112" s="14"/>
      <x:c r="LS112" s="14"/>
      <x:c r="LT112" s="14"/>
      <x:c r="LU112" s="14"/>
      <x:c r="LV112" s="14"/>
      <x:c r="LW112" s="14"/>
      <x:c r="LX112" s="14"/>
      <x:c r="LY112" s="14"/>
      <x:c r="LZ112" s="14"/>
      <x:c r="MA112" s="14"/>
      <x:c r="MB112" s="14"/>
      <x:c r="MC112" s="14"/>
      <x:c r="MD112" s="14"/>
      <x:c r="ME112" s="14"/>
      <x:c r="MF112" s="14"/>
      <x:c r="MG112" s="14"/>
      <x:c r="MH112" s="14"/>
      <x:c r="MI112" s="14"/>
      <x:c r="MJ112" s="14"/>
      <x:c r="MK112" s="14"/>
      <x:c r="ML112" s="14"/>
      <x:c r="MM112" s="14"/>
      <x:c r="MN112" s="14"/>
      <x:c r="MO112" s="14"/>
      <x:c r="MP112" s="14"/>
      <x:c r="MQ112" s="14"/>
      <x:c r="MR112" s="14"/>
      <x:c r="MS112" s="14"/>
      <x:c r="MT112" s="14"/>
      <x:c r="MU112" s="14"/>
      <x:c r="MV112" s="14"/>
      <x:c r="MW112" s="14" t="str">
        <x:v>29576</x:v>
      </x:c>
      <x:c r="MX112" s="14" t="n">
        <x:v>10</x:v>
      </x:c>
      <x:c r="MY112" s="14" t="n">
        <x:v>2013</x:v>
      </x:c>
      <x:c r="MZ112" s="14" t="n">
        <x:v>365</x:v>
      </x:c>
      <x:c r="NA112" s="14" t="n">
        <x:v>20</x:v>
      </x:c>
      <x:c r="NB112" s="14" t="n">
        <x:v>1</x:v>
      </x:c>
      <x:c r="NC112" s="14" t="str">
        <x:v>未收錄</x:v>
      </x:c>
      <x:c r="ND112" s="14" t="str">
        <x:v>27284</x:v>
      </x:c>
      <x:c r="NE112" s="14" t="n">
        <x:v>5</x:v>
      </x:c>
      <x:c r="NF112" s="14" t="n">
        <x:v>2014</x:v>
      </x:c>
      <x:c r="NG112" s="14" t="n">
        <x:v>366</x:v>
      </x:c>
      <x:c r="NH112" s="14" t="n">
        <x:v>20</x:v>
      </x:c>
      <x:c r="NI112" s="14" t="n">
        <x:v>2</x:v>
      </x:c>
      <x:c r="NJ112" s="14" t="str">
        <x:v>未收錄</x:v>
      </x:c>
      <x:c r="NK112" s="14" t="str">
        <x:v>27285</x:v>
      </x:c>
      <x:c r="NL112" s="14" t="n">
        <x:v>5</x:v>
      </x:c>
      <x:c r="NM112" s="14" t="n">
        <x:v>2015</x:v>
      </x:c>
      <x:c r="NN112" s="14" t="n">
        <x:v>367</x:v>
      </x:c>
      <x:c r="NO112" s="14" t="n">
        <x:v>20</x:v>
      </x:c>
      <x:c r="NP112" s="14" t="n">
        <x:v>3</x:v>
      </x:c>
      <x:c r="NQ112" s="14" t="str">
        <x:v>未收錄</x:v>
      </x:c>
      <x:c r="NR112" s="14" t="str">
        <x:v>27286</x:v>
      </x:c>
      <x:c r="NS112" s="14" t="n">
        <x:v>5</x:v>
      </x:c>
      <x:c r="NT112" s="14" t="n">
        <x:v>2016</x:v>
      </x:c>
      <x:c r="NU112" s="14" t="n">
        <x:v>368</x:v>
      </x:c>
      <x:c r="NV112" s="14" t="n">
        <x:v>20</x:v>
      </x:c>
      <x:c r="NW112" s="14" t="n">
        <x:v>4</x:v>
      </x:c>
      <x:c r="NX112" s="14" t="str">
        <x:v>未收錄</x:v>
      </x:c>
      <x:c r="NY112" s="14" t="str">
        <x:v>28521</x:v>
      </x:c>
      <x:c r="NZ112" s="14" t="n">
        <x:v>10</x:v>
      </x:c>
      <x:c r="OA112" s="14" t="n">
        <x:v>2466</x:v>
      </x:c>
      <x:c r="OB112" s="14" t="n">
        <x:v>365</x:v>
      </x:c>
      <x:c r="OC112" s="14" t="n">
        <x:v>20</x:v>
      </x:c>
      <x:c r="OD112" s="14" t="n">
        <x:v>1</x:v>
      </x:c>
      <x:c r="OE112" s="14" t="str">
        <x:v>未收錄</x:v>
      </x:c>
      <x:c r="OF112" s="14" t="str">
        <x:v>28522</x:v>
      </x:c>
      <x:c r="OG112" s="14" t="n">
        <x:v>10</x:v>
      </x:c>
      <x:c r="OH112" s="14" t="n">
        <x:v>2467</x:v>
      </x:c>
      <x:c r="OI112" s="14" t="n">
        <x:v>366</x:v>
      </x:c>
      <x:c r="OJ112" s="14" t="n">
        <x:v>20</x:v>
      </x:c>
      <x:c r="OK112" s="14" t="n">
        <x:v>2</x:v>
      </x:c>
      <x:c r="OL112" s="14" t="str">
        <x:v>未收錄</x:v>
      </x:c>
      <x:c r="OM112" s="14" t="str">
        <x:v>28856</x:v>
      </x:c>
      <x:c r="ON112" s="14" t="n">
        <x:v>5</x:v>
      </x:c>
      <x:c r="OO112" s="14" t="n">
        <x:v>2468</x:v>
      </x:c>
      <x:c r="OP112" s="14" t="n">
        <x:v>367</x:v>
      </x:c>
      <x:c r="OQ112" s="14" t="n">
        <x:v>20</x:v>
      </x:c>
      <x:c r="OR112" s="14" t="n">
        <x:v>3</x:v>
      </x:c>
      <x:c r="OS112" s="14" t="str">
        <x:v>未收錄</x:v>
      </x:c>
      <x:c r="OT112" s="14" t="str">
        <x:v>28859</x:v>
      </x:c>
      <x:c r="OU112" s="14" t="n">
        <x:v>5</x:v>
      </x:c>
      <x:c r="OV112" s="14" t="n">
        <x:v>2469</x:v>
      </x:c>
      <x:c r="OW112" s="14" t="n">
        <x:v>368</x:v>
      </x:c>
      <x:c r="OX112" s="14" t="n">
        <x:v>20</x:v>
      </x:c>
      <x:c r="OY112" s="14" t="n">
        <x:v>4</x:v>
      </x:c>
      <x:c r="OZ112" s="14" t="str">
        <x:v>未收錄</x:v>
      </x:c>
      <x:c r="PA112" s="14" t="str">
        <x:v>30421</x:v>
      </x:c>
      <x:c r="PB112" s="14" t="n">
        <x:v>10</x:v>
      </x:c>
      <x:c r="PC112" s="14" t="n">
        <x:v>3012</x:v>
      </x:c>
      <x:c r="PD112" s="14" t="n">
        <x:v>365</x:v>
      </x:c>
      <x:c r="PE112" s="14" t="n">
        <x:v>20</x:v>
      </x:c>
      <x:c r="PF112" s="14" t="n">
        <x:v>1</x:v>
      </x:c>
      <x:c r="PG112" s="14" t="str">
        <x:v>未收錄</x:v>
      </x:c>
      <x:c r="PH112" s="14" t="str">
        <x:v>30302</x:v>
      </x:c>
      <x:c r="PI112" s="14" t="n">
        <x:v>5</x:v>
      </x:c>
      <x:c r="PJ112" s="14" t="n">
        <x:v>3013</x:v>
      </x:c>
      <x:c r="PK112" s="14" t="n">
        <x:v>366</x:v>
      </x:c>
      <x:c r="PL112" s="14" t="n">
        <x:v>20</x:v>
      </x:c>
      <x:c r="PM112" s="14" t="n">
        <x:v>2</x:v>
      </x:c>
      <x:c r="PN112" s="14" t="str">
        <x:v>未收錄</x:v>
      </x:c>
      <x:c r="PO112" s="14" t="str">
        <x:v>30307</x:v>
      </x:c>
      <x:c r="PP112" s="14" t="n">
        <x:v>5</x:v>
      </x:c>
      <x:c r="PQ112" s="14" t="n">
        <x:v>3014</x:v>
      </x:c>
      <x:c r="PR112" s="14" t="n">
        <x:v>367</x:v>
      </x:c>
      <x:c r="PS112" s="14" t="n">
        <x:v>20</x:v>
      </x:c>
      <x:c r="PT112" s="14" t="n">
        <x:v>3</x:v>
      </x:c>
      <x:c r="PU112" s="14" t="str">
        <x:v>未收錄</x:v>
      </x:c>
      <x:c r="PV112" s="14" t="str">
        <x:v>30312</x:v>
      </x:c>
      <x:c r="PW112" s="14" t="n">
        <x:v>5</x:v>
      </x:c>
      <x:c r="PX112" s="14" t="n">
        <x:v>3015</x:v>
      </x:c>
      <x:c r="PY112" s="14" t="n">
        <x:v>368</x:v>
      </x:c>
      <x:c r="PZ112" s="14" t="n">
        <x:v>20</x:v>
      </x:c>
      <x:c r="QA112" s="14" t="n">
        <x:v>4</x:v>
      </x:c>
      <x:c r="QB112" s="14" t="str">
        <x:v>未收錄</x:v>
      </x:c>
      <x:c r="QC112" s="14" t="str">
        <x:v>29593</x:v>
      </x:c>
      <x:c r="QD112" s="14" t="n">
        <x:v>10</x:v>
      </x:c>
      <x:c r="QE112" s="14" t="n">
        <x:v>3449</x:v>
      </x:c>
      <x:c r="QF112" s="14" t="n">
        <x:v>365</x:v>
      </x:c>
      <x:c r="QG112" s="14" t="n">
        <x:v>20</x:v>
      </x:c>
      <x:c r="QH112" s="14" t="n">
        <x:v>1</x:v>
      </x:c>
      <x:c r="QI112" s="14" t="str">
        <x:v>未收錄</x:v>
      </x:c>
      <x:c r="QJ112" s="14" t="str">
        <x:v>29611</x:v>
      </x:c>
      <x:c r="QK112" s="14" t="n">
        <x:v>10</x:v>
      </x:c>
      <x:c r="QL112" s="14" t="n">
        <x:v>3450</x:v>
      </x:c>
      <x:c r="QM112" s="14" t="n">
        <x:v>366</x:v>
      </x:c>
      <x:c r="QN112" s="14" t="n">
        <x:v>20</x:v>
      </x:c>
      <x:c r="QO112" s="14" t="n">
        <x:v>2</x:v>
      </x:c>
      <x:c r="QP112" s="14" t="str">
        <x:v>未收錄</x:v>
      </x:c>
      <x:c r="QQ112" s="14" t="str">
        <x:v>29498</x:v>
      </x:c>
      <x:c r="QR112" s="14" t="n">
        <x:v>5</x:v>
      </x:c>
      <x:c r="QS112" s="14" t="n">
        <x:v>3451</x:v>
      </x:c>
      <x:c r="QT112" s="14" t="n">
        <x:v>367</x:v>
      </x:c>
      <x:c r="QU112" s="14" t="n">
        <x:v>20</x:v>
      </x:c>
      <x:c r="QV112" s="14" t="n">
        <x:v>3</x:v>
      </x:c>
      <x:c r="QW112" s="14" t="str">
        <x:v>未收錄</x:v>
      </x:c>
      <x:c r="QX112" s="14" t="str">
        <x:v>29504</x:v>
      </x:c>
      <x:c r="QY112" s="14" t="n">
        <x:v>5</x:v>
      </x:c>
      <x:c r="QZ112" s="14" t="n">
        <x:v>3452</x:v>
      </x:c>
      <x:c r="RA112" s="14" t="n">
        <x:v>368</x:v>
      </x:c>
      <x:c r="RB112" s="14" t="n">
        <x:v>20</x:v>
      </x:c>
      <x:c r="RC112" s="14" t="n">
        <x:v>4</x:v>
      </x:c>
      <x:c r="RD112" s="14" t="str">
        <x:v>未收錄</x:v>
      </x:c>
      <x:c r="RE112" s="14" t="str">
        <x:v>30369</x:v>
      </x:c>
      <x:c r="RF112" s="14" t="n">
        <x:v>5</x:v>
      </x:c>
      <x:c r="RG112" s="14" t="n">
        <x:v>3910</x:v>
      </x:c>
      <x:c r="RH112" s="14" t="n">
        <x:v>365</x:v>
      </x:c>
      <x:c r="RI112" s="14" t="n">
        <x:v>20</x:v>
      </x:c>
      <x:c r="RJ112" s="14" t="n">
        <x:v>1</x:v>
      </x:c>
      <x:c r="RK112" s="14" t="str">
        <x:v>未收錄</x:v>
      </x:c>
      <x:c r="RL112" s="14" t="str">
        <x:v>30370</x:v>
      </x:c>
      <x:c r="RM112" s="14" t="n">
        <x:v>5</x:v>
      </x:c>
      <x:c r="RN112" s="14" t="n">
        <x:v>3911</x:v>
      </x:c>
      <x:c r="RO112" s="14" t="n">
        <x:v>366</x:v>
      </x:c>
      <x:c r="RP112" s="14" t="n">
        <x:v>20</x:v>
      </x:c>
      <x:c r="RQ112" s="14" t="n">
        <x:v>2</x:v>
      </x:c>
      <x:c r="RR112" s="14" t="str">
        <x:v>未收錄</x:v>
      </x:c>
      <x:c r="RS112" s="14" t="str">
        <x:v>30631</x:v>
      </x:c>
      <x:c r="RT112" s="14" t="n">
        <x:v>5</x:v>
      </x:c>
      <x:c r="RU112" s="14" t="n">
        <x:v>3912</x:v>
      </x:c>
      <x:c r="RV112" s="14" t="n">
        <x:v>367</x:v>
      </x:c>
      <x:c r="RW112" s="14" t="n">
        <x:v>20</x:v>
      </x:c>
      <x:c r="RX112" s="14" t="n">
        <x:v>3</x:v>
      </x:c>
      <x:c r="RY112" s="14" t="str">
        <x:v>未收錄</x:v>
      </x:c>
      <x:c r="RZ112" s="14" t="str">
        <x:v>30632</x:v>
      </x:c>
      <x:c r="SA112" s="14" t="n">
        <x:v>5</x:v>
      </x:c>
      <x:c r="SB112" s="14" t="n">
        <x:v>3913</x:v>
      </x:c>
      <x:c r="SC112" s="14" t="n">
        <x:v>368</x:v>
      </x:c>
      <x:c r="SD112" s="14" t="n">
        <x:v>20</x:v>
      </x:c>
      <x:c r="SE112" s="14" t="n">
        <x:v>4</x:v>
      </x:c>
      <x:c r="SF112" s="14" t="str">
        <x:v>未收錄</x:v>
      </x:c>
      <x:c r="SG112" s="14"/>
      <x:c r="SH112" s="14"/>
      <x:c r="SI112" s="14"/>
      <x:c r="SJ112" s="14"/>
      <x:c r="SK112" s="14"/>
      <x:c r="SL112" s="14"/>
      <x:c r="SM112" s="14"/>
      <x:c r="SN112" s="14"/>
      <x:c r="SO112" s="14"/>
      <x:c r="SP112" s="14"/>
      <x:c r="SQ112" s="14"/>
      <x:c r="SR112" s="14"/>
      <x:c r="SS112" s="14"/>
      <x:c r="ST112" s="14"/>
      <x:c r="SU112" s="14"/>
      <x:c r="SV112" s="14"/>
      <x:c r="SW112" s="14"/>
      <x:c r="SX112" s="14"/>
      <x:c r="SY112" s="14"/>
      <x:c r="SZ112" s="14"/>
      <x:c r="TA112" s="14"/>
      <x:c r="TB112" s="14"/>
      <x:c r="TC112" s="14"/>
      <x:c r="TD112" s="14"/>
      <x:c r="TE112" s="14"/>
      <x:c r="TF112" s="14"/>
      <x:c r="TG112" s="14"/>
      <x:c r="TH112" s="14"/>
    </x:row>
    <x:row r="113" ht="15" customHeight="1">
      <x:c r="A113" s="14"/>
      <x:c r="B113" s="14"/>
      <x:c r="C113" s="14"/>
      <x:c r="D113" s="14"/>
      <x:c r="E113" s="14"/>
      <x:c r="F113" s="14"/>
      <x:c r="G113" s="14"/>
      <x:c r="H113" s="14"/>
      <x:c r="I113" s="14"/>
      <x:c r="J113" s="14"/>
      <x:c r="K113" s="14"/>
      <x:c r="L113" s="14"/>
      <x:c r="M113" s="14"/>
      <x:c r="N113" s="14"/>
      <x:c r="O113" s="14"/>
      <x:c r="P113" s="14"/>
      <x:c r="Q113" s="14"/>
      <x:c r="R113" s="14"/>
      <x:c r="S113" s="14"/>
      <x:c r="T113" s="14"/>
      <x:c r="U113" s="14"/>
      <x:c r="V113" s="14"/>
      <x:c r="W113" s="14"/>
      <x:c r="X113" s="14"/>
      <x:c r="Y113" s="14"/>
      <x:c r="Z113" s="14"/>
      <x:c r="AA113" s="14"/>
      <x:c r="AB113" s="14"/>
      <x:c r="AC113" s="14"/>
      <x:c r="AD113" s="14"/>
      <x:c r="AE113" s="14"/>
      <x:c r="AF113" s="14"/>
      <x:c r="AG113" s="14"/>
      <x:c r="AH113" s="14"/>
      <x:c r="AI113" s="14"/>
      <x:c r="AJ113" s="14"/>
      <x:c r="AK113" s="14"/>
      <x:c r="AL113" s="14"/>
      <x:c r="AM113" s="14"/>
      <x:c r="AN113" s="14"/>
      <x:c r="AO113" s="14"/>
      <x:c r="AP113" s="14"/>
      <x:c r="AQ113" s="14"/>
      <x:c r="AR113" s="14"/>
      <x:c r="AS113" s="14"/>
      <x:c r="AT113" s="14"/>
      <x:c r="AU113" s="14"/>
      <x:c r="AV113" s="14"/>
      <x:c r="AW113" s="14"/>
      <x:c r="AX113" s="14"/>
      <x:c r="AY113" s="17" t="str">
        <x:v>新星之道明冠</x:v>
      </x:c>
      <x:c r="AZ113" s="17" t="str">
        <x:v>新星之禪照帽</x:v>
      </x:c>
      <x:c r="BA113" s="17" t="str">
        <x:v>泰源織帽</x:v>
      </x:c>
      <x:c r="BB113" s="17" t="str">
        <x:v>星空通信帽</x:v>
      </x:c>
      <x:c r="BC113" s="14"/>
      <x:c r="BD113" s="17" t="str">
        <x:v>燦煌衣☆</x:v>
      </x:c>
      <x:c r="BE113" s="17" t="str">
        <x:v>道煌袍☆</x:v>
      </x:c>
      <x:c r="BF113" s="17" t="str">
        <x:v>佛煌裟☆</x:v>
      </x:c>
      <x:c r="BG113" s="17" t="str">
        <x:v>鬼兇鎧☆</x:v>
      </x:c>
      <x:c r="BH113" s="14"/>
      <x:c r="BI113" s="17" t="str">
        <x:v>道清旭袖Ⅱ</x:v>
      </x:c>
      <x:c r="BJ113" s="17" t="str">
        <x:v>禪臺旭執Ⅱ</x:v>
      </x:c>
      <x:c r="BK113" s="17" t="str">
        <x:v>狂陽赤手Ⅱ</x:v>
      </x:c>
      <x:c r="BL113" s="17" t="str">
        <x:v>靜月帷腕Ⅱ</x:v>
      </x:c>
      <x:c r="BM113" s="14"/>
      <x:c r="BN113" s="17" t="str">
        <x:v>幻帝步★★★</x:v>
      </x:c>
      <x:c r="BO113" s="17" t="str">
        <x:v>道帝行★★★</x:v>
      </x:c>
      <x:c r="BP113" s="17" t="str">
        <x:v>禪帝渡★★★</x:v>
      </x:c>
      <x:c r="BQ113" s="17" t="str">
        <x:v>鬼帝道★★★</x:v>
      </x:c>
      <x:c r="BR113" s="14"/>
      <x:c r="BS113" s="17" t="str">
        <x:v>火熒天佐徽</x:v>
      </x:c>
      <x:c r="BT113" s="17" t="str">
        <x:v>土伏天佐玉</x:v>
      </x:c>
      <x:c r="BU113" s="17" t="str">
        <x:v>木篁天佐戒</x:v>
      </x:c>
      <x:c r="BV113" s="17" t="str">
        <x:v>五絕皇器</x:v>
      </x:c>
      <x:c r="BW113" s="14"/>
      <x:c r="BX113" s="14"/>
      <x:c r="BY113" s="14"/>
      <x:c r="BZ113" s="14"/>
      <x:c r="CA113" s="14"/>
      <x:c r="CB113" s="14"/>
      <x:c r="CC113" s="14"/>
      <x:c r="CD113" s="14"/>
      <x:c r="CE113" s="14"/>
      <x:c r="CF113" s="14"/>
      <x:c r="CG113" s="14"/>
      <x:c r="CH113" s="14"/>
      <x:c r="CI113" s="14"/>
      <x:c r="CJ113" s="14"/>
      <x:c r="CK113" s="14"/>
      <x:c r="CL113" s="14"/>
      <x:c r="CM113" s="14"/>
      <x:c r="CN113" s="14"/>
      <x:c r="CO113" s="14"/>
      <x:c r="CP113" s="14"/>
      <x:c r="CQ113" s="14"/>
      <x:c r="CR113" s="14"/>
      <x:c r="CS113" s="14"/>
      <x:c r="CT113" s="14"/>
      <x:c r="CU113" s="14"/>
      <x:c r="CV113" s="14"/>
      <x:c r="CW113" s="14"/>
      <x:c r="CX113" s="14"/>
      <x:c r="CY113" s="14"/>
      <x:c r="CZ113" s="14"/>
      <x:c r="DA113" s="14"/>
      <x:c r="DB113" s="14"/>
      <x:c r="DC113" s="14"/>
      <x:c r="DD113" s="14"/>
      <x:c r="DE113" s="14"/>
      <x:c r="DF113" s="14"/>
      <x:c r="DG113" s="14"/>
      <x:c r="DH113" s="14"/>
      <x:c r="DI113" s="14"/>
      <x:c r="DJ113" s="14"/>
      <x:c r="DK113" s="14"/>
      <x:c r="DL113" s="14"/>
      <x:c r="DM113" s="14"/>
      <x:c r="DN113" s="14"/>
      <x:c r="DO113" s="14"/>
      <x:c r="DP113" s="14"/>
      <x:c r="DQ113" s="14"/>
      <x:c r="DR113" s="14"/>
      <x:c r="DS113" s="14"/>
      <x:c r="DT113" s="14"/>
      <x:c r="DU113" s="14"/>
      <x:c r="DV113" s="14"/>
      <x:c r="DW113" s="14"/>
      <x:c r="DX113" s="14"/>
      <x:c r="DY113" s="14"/>
      <x:c r="DZ113" s="14"/>
      <x:c r="EA113" s="14"/>
      <x:c r="EB113" s="14"/>
      <x:c r="EC113" s="14"/>
      <x:c r="ED113" s="14"/>
      <x:c r="EE113" s="14"/>
      <x:c r="EF113" s="14"/>
      <x:c r="EG113" s="14"/>
      <x:c r="EH113" s="14"/>
      <x:c r="EI113" s="14"/>
      <x:c r="EJ113" s="14"/>
      <x:c r="EK113" s="14"/>
      <x:c r="EL113" s="14"/>
      <x:c r="EM113" s="14"/>
      <x:c r="EN113" s="14"/>
      <x:c r="EO113" s="14"/>
      <x:c r="EP113" s="14"/>
      <x:c r="EQ113" s="14"/>
      <x:c r="ER113" s="14"/>
      <x:c r="ES113" s="14"/>
      <x:c r="ET113" s="14"/>
      <x:c r="EU113" s="14"/>
      <x:c r="EV113" s="14"/>
      <x:c r="EW113" s="14"/>
      <x:c r="EX113" s="14"/>
      <x:c r="EY113" s="14"/>
      <x:c r="EZ113" s="14"/>
      <x:c r="FA113" s="14"/>
      <x:c r="FB113" s="14"/>
      <x:c r="FC113" s="14"/>
      <x:c r="FD113" s="14"/>
      <x:c r="FE113" s="14"/>
      <x:c r="FF113" s="14"/>
      <x:c r="FG113" s="14"/>
      <x:c r="FH113" s="14"/>
      <x:c r="FI113" s="14"/>
      <x:c r="FJ113" s="14"/>
      <x:c r="FK113" s="14"/>
      <x:c r="FL113" s="14"/>
      <x:c r="FM113" s="14"/>
      <x:c r="FN113" s="14"/>
      <x:c r="FO113" s="14"/>
      <x:c r="FP113" s="14"/>
      <x:c r="FQ113" s="14"/>
      <x:c r="FR113" s="14"/>
      <x:c r="FS113" s="14"/>
      <x:c r="FT113" s="14"/>
      <x:c r="FU113" s="14"/>
      <x:c r="FV113" s="14"/>
      <x:c r="FW113" s="14"/>
      <x:c r="FX113" s="14"/>
      <x:c r="FY113" s="14"/>
      <x:c r="FZ113" s="14"/>
      <x:c r="GA113" s="14"/>
      <x:c r="GB113" s="14"/>
      <x:c r="GC113" s="14"/>
      <x:c r="GD113" s="14"/>
      <x:c r="GE113" s="14"/>
      <x:c r="GF113" s="14"/>
      <x:c r="GG113" s="14"/>
      <x:c r="GH113" s="14"/>
      <x:c r="GI113" s="14"/>
      <x:c r="GJ113" s="14"/>
      <x:c r="GK113" s="14"/>
      <x:c r="GL113" s="14"/>
      <x:c r="GM113" s="14"/>
      <x:c r="GN113" s="14"/>
      <x:c r="GO113" s="14"/>
      <x:c r="GP113" s="14"/>
      <x:c r="GQ113" s="14"/>
      <x:c r="GR113" s="14"/>
      <x:c r="GS113" s="14"/>
      <x:c r="GT113" s="14"/>
      <x:c r="GU113" s="14"/>
      <x:c r="GV113" s="14"/>
      <x:c r="GW113" s="14"/>
      <x:c r="GX113" s="14"/>
      <x:c r="GY113" s="14"/>
      <x:c r="GZ113" s="14"/>
      <x:c r="HA113" s="14"/>
      <x:c r="HB113" s="14"/>
      <x:c r="HC113" s="14"/>
      <x:c r="HD113" s="14"/>
      <x:c r="HE113" s="14"/>
      <x:c r="HF113" s="14"/>
      <x:c r="HG113" s="14"/>
      <x:c r="HH113" s="14"/>
      <x:c r="HI113" s="14"/>
      <x:c r="HJ113" s="14"/>
      <x:c r="HK113" s="14"/>
      <x:c r="HL113" s="14"/>
      <x:c r="HM113" s="14"/>
      <x:c r="HN113" s="14"/>
      <x:c r="HO113" s="14"/>
      <x:c r="HP113" s="14"/>
      <x:c r="HQ113" s="14"/>
      <x:c r="HR113" s="14"/>
      <x:c r="HS113" s="14"/>
      <x:c r="HT113" s="14"/>
      <x:c r="HU113" s="14"/>
      <x:c r="HV113" s="14"/>
      <x:c r="HW113" s="14"/>
      <x:c r="HX113" s="14"/>
      <x:c r="HY113" s="14"/>
      <x:c r="HZ113" s="14"/>
      <x:c r="IA113" s="14"/>
      <x:c r="IB113" s="14"/>
      <x:c r="IC113" s="14"/>
      <x:c r="ID113" s="14"/>
      <x:c r="IE113" s="14"/>
      <x:c r="IF113" s="14"/>
      <x:c r="IG113" s="14"/>
      <x:c r="IH113" s="14"/>
      <x:c r="II113" s="14"/>
      <x:c r="IJ113" s="14"/>
      <x:c r="IK113" s="14"/>
      <x:c r="IL113" s="14"/>
      <x:c r="IM113" s="14"/>
      <x:c r="IN113" s="14"/>
      <x:c r="IO113" s="14"/>
      <x:c r="IP113" s="14"/>
      <x:c r="IQ113" s="14"/>
      <x:c r="IR113" s="14"/>
      <x:c r="IS113" s="14"/>
      <x:c r="IT113" s="14"/>
      <x:c r="IU113" s="14"/>
      <x:c r="IV113" s="14"/>
      <x:c r="IW113" s="14"/>
      <x:c r="IX113" s="14"/>
      <x:c r="IY113" s="14"/>
      <x:c r="IZ113" s="14"/>
      <x:c r="JA113" s="14"/>
      <x:c r="JB113" s="14"/>
      <x:c r="JC113" s="14"/>
      <x:c r="JD113" s="14"/>
      <x:c r="JE113" s="14"/>
      <x:c r="JF113" s="14"/>
      <x:c r="JG113" s="14"/>
      <x:c r="JH113" s="14"/>
      <x:c r="JI113" s="14"/>
      <x:c r="JJ113" s="14"/>
      <x:c r="JK113" s="14"/>
      <x:c r="JL113" s="14"/>
      <x:c r="JM113" s="14"/>
      <x:c r="JN113" s="14"/>
      <x:c r="JO113" s="14"/>
      <x:c r="JP113" s="14"/>
      <x:c r="JQ113" s="14"/>
      <x:c r="JR113" s="14"/>
      <x:c r="JS113" s="14"/>
      <x:c r="JT113" s="14"/>
      <x:c r="JU113" s="14"/>
      <x:c r="JV113" s="14"/>
      <x:c r="JW113" s="14"/>
      <x:c r="JX113" s="14"/>
      <x:c r="JY113" s="14"/>
      <x:c r="JZ113" s="14"/>
      <x:c r="KA113" s="14"/>
      <x:c r="KB113" s="14"/>
      <x:c r="KC113" s="14"/>
      <x:c r="KD113" s="14"/>
      <x:c r="KE113" s="14"/>
      <x:c r="KF113" s="14"/>
      <x:c r="KG113" s="14"/>
      <x:c r="KH113" s="14"/>
      <x:c r="KI113" s="14"/>
      <x:c r="KJ113" s="14"/>
      <x:c r="KK113" s="14"/>
      <x:c r="KL113" s="14"/>
      <x:c r="KM113" s="14"/>
      <x:c r="KN113" s="14"/>
      <x:c r="KO113" s="14"/>
      <x:c r="KP113" s="14"/>
      <x:c r="KQ113" s="14"/>
      <x:c r="KR113" s="14"/>
      <x:c r="KS113" s="14"/>
      <x:c r="KT113" s="14"/>
      <x:c r="KU113" s="14"/>
      <x:c r="KV113" s="14"/>
      <x:c r="KW113" s="14"/>
      <x:c r="KX113" s="14"/>
      <x:c r="KY113" s="14"/>
      <x:c r="KZ113" s="14"/>
      <x:c r="LA113" s="14"/>
      <x:c r="LB113" s="14"/>
      <x:c r="LC113" s="14"/>
      <x:c r="LD113" s="14"/>
      <x:c r="LE113" s="14"/>
      <x:c r="LF113" s="14"/>
      <x:c r="LG113" s="14"/>
      <x:c r="LH113" s="14"/>
      <x:c r="LI113" s="14"/>
      <x:c r="LJ113" s="14"/>
      <x:c r="LK113" s="14"/>
      <x:c r="LL113" s="14"/>
      <x:c r="LM113" s="14"/>
      <x:c r="LN113" s="14"/>
      <x:c r="LO113" s="14"/>
      <x:c r="LP113" s="14"/>
      <x:c r="LQ113" s="14"/>
      <x:c r="LR113" s="14"/>
      <x:c r="LS113" s="14"/>
      <x:c r="LT113" s="14"/>
      <x:c r="LU113" s="14"/>
      <x:c r="LV113" s="14"/>
      <x:c r="LW113" s="14"/>
      <x:c r="LX113" s="14"/>
      <x:c r="LY113" s="14"/>
      <x:c r="LZ113" s="14"/>
      <x:c r="MA113" s="14"/>
      <x:c r="MB113" s="14"/>
      <x:c r="MC113" s="14"/>
      <x:c r="MD113" s="14"/>
      <x:c r="ME113" s="14"/>
      <x:c r="MF113" s="14"/>
      <x:c r="MG113" s="14"/>
      <x:c r="MH113" s="14"/>
      <x:c r="MI113" s="14"/>
      <x:c r="MJ113" s="14"/>
      <x:c r="MK113" s="14"/>
      <x:c r="ML113" s="14"/>
      <x:c r="MM113" s="14"/>
      <x:c r="MN113" s="14"/>
      <x:c r="MO113" s="14"/>
      <x:c r="MP113" s="14"/>
      <x:c r="MQ113" s="14"/>
      <x:c r="MR113" s="14"/>
      <x:c r="MS113" s="14"/>
      <x:c r="MT113" s="14"/>
      <x:c r="MU113" s="14"/>
      <x:c r="MV113" s="14"/>
      <x:c r="MW113" s="14" t="str">
        <x:v>27287</x:v>
      </x:c>
      <x:c r="MX113" s="14" t="n">
        <x:v>5</x:v>
      </x:c>
      <x:c r="MY113" s="14" t="n">
        <x:v>2017</x:v>
      </x:c>
      <x:c r="MZ113" s="14" t="n">
        <x:v>369</x:v>
      </x:c>
      <x:c r="NA113" s="14" t="n">
        <x:v>21</x:v>
      </x:c>
      <x:c r="NB113" s="14" t="n">
        <x:v>1</x:v>
      </x:c>
      <x:c r="NC113" s="14" t="str">
        <x:v>未收錄</x:v>
      </x:c>
      <x:c r="ND113" s="14" t="str">
        <x:v>27288</x:v>
      </x:c>
      <x:c r="NE113" s="14" t="n">
        <x:v>5</x:v>
      </x:c>
      <x:c r="NF113" s="14" t="n">
        <x:v>2018</x:v>
      </x:c>
      <x:c r="NG113" s="14" t="n">
        <x:v>370</x:v>
      </x:c>
      <x:c r="NH113" s="14" t="n">
        <x:v>21</x:v>
      </x:c>
      <x:c r="NI113" s="14" t="n">
        <x:v>2</x:v>
      </x:c>
      <x:c r="NJ113" s="14" t="str">
        <x:v>未收錄</x:v>
      </x:c>
      <x:c r="NK113" s="14" t="str">
        <x:v>30875</x:v>
      </x:c>
      <x:c r="NL113" s="14" t="n">
        <x:v>2</x:v>
      </x:c>
      <x:c r="NM113" s="14" t="n">
        <x:v>2019</x:v>
      </x:c>
      <x:c r="NN113" s="14" t="n">
        <x:v>371</x:v>
      </x:c>
      <x:c r="NO113" s="14" t="n">
        <x:v>21</x:v>
      </x:c>
      <x:c r="NP113" s="14" t="n">
        <x:v>3</x:v>
      </x:c>
      <x:c r="NQ113" s="14" t="str">
        <x:v>未收錄</x:v>
      </x:c>
      <x:c r="NR113" s="14" t="str">
        <x:v>30881</x:v>
      </x:c>
      <x:c r="NS113" s="14" t="n">
        <x:v>2</x:v>
      </x:c>
      <x:c r="NT113" s="14" t="n">
        <x:v>2020</x:v>
      </x:c>
      <x:c r="NU113" s="14" t="n">
        <x:v>372</x:v>
      </x:c>
      <x:c r="NV113" s="14" t="n">
        <x:v>21</x:v>
      </x:c>
      <x:c r="NW113" s="14" t="n">
        <x:v>4</x:v>
      </x:c>
      <x:c r="NX113" s="14" t="str">
        <x:v>未收錄</x:v>
      </x:c>
      <x:c r="NY113" s="14" t="str">
        <x:v>28862</x:v>
      </x:c>
      <x:c r="NZ113" s="14" t="n">
        <x:v>5</x:v>
      </x:c>
      <x:c r="OA113" s="14" t="n">
        <x:v>2470</x:v>
      </x:c>
      <x:c r="OB113" s="14" t="n">
        <x:v>369</x:v>
      </x:c>
      <x:c r="OC113" s="14" t="n">
        <x:v>21</x:v>
      </x:c>
      <x:c r="OD113" s="14" t="n">
        <x:v>1</x:v>
      </x:c>
      <x:c r="OE113" s="14" t="str">
        <x:v>未收錄</x:v>
      </x:c>
      <x:c r="OF113" s="14" t="str">
        <x:v>28865</x:v>
      </x:c>
      <x:c r="OG113" s="14" t="n">
        <x:v>5</x:v>
      </x:c>
      <x:c r="OH113" s="14" t="n">
        <x:v>2471</x:v>
      </x:c>
      <x:c r="OI113" s="14" t="n">
        <x:v>370</x:v>
      </x:c>
      <x:c r="OJ113" s="14" t="n">
        <x:v>21</x:v>
      </x:c>
      <x:c r="OK113" s="14" t="n">
        <x:v>2</x:v>
      </x:c>
      <x:c r="OL113" s="14" t="str">
        <x:v>未收錄</x:v>
      </x:c>
      <x:c r="OM113" s="14" t="str">
        <x:v>28868</x:v>
      </x:c>
      <x:c r="ON113" s="14" t="n">
        <x:v>5</x:v>
      </x:c>
      <x:c r="OO113" s="14" t="n">
        <x:v>2472</x:v>
      </x:c>
      <x:c r="OP113" s="14" t="n">
        <x:v>371</x:v>
      </x:c>
      <x:c r="OQ113" s="14" t="n">
        <x:v>21</x:v>
      </x:c>
      <x:c r="OR113" s="14" t="n">
        <x:v>3</x:v>
      </x:c>
      <x:c r="OS113" s="14" t="str">
        <x:v>未收錄</x:v>
      </x:c>
      <x:c r="OT113" s="14" t="str">
        <x:v>28954</x:v>
      </x:c>
      <x:c r="OU113" s="14" t="n">
        <x:v>10</x:v>
      </x:c>
      <x:c r="OV113" s="14" t="n">
        <x:v>2473</x:v>
      </x:c>
      <x:c r="OW113" s="14" t="n">
        <x:v>372</x:v>
      </x:c>
      <x:c r="OX113" s="14" t="n">
        <x:v>21</x:v>
      </x:c>
      <x:c r="OY113" s="14" t="n">
        <x:v>4</x:v>
      </x:c>
      <x:c r="OZ113" s="14" t="str">
        <x:v>未收錄</x:v>
      </x:c>
      <x:c r="PA113" s="14" t="str">
        <x:v>30317</x:v>
      </x:c>
      <x:c r="PB113" s="14" t="n">
        <x:v>5</x:v>
      </x:c>
      <x:c r="PC113" s="14" t="n">
        <x:v>3016</x:v>
      </x:c>
      <x:c r="PD113" s="14" t="n">
        <x:v>369</x:v>
      </x:c>
      <x:c r="PE113" s="14" t="n">
        <x:v>21</x:v>
      </x:c>
      <x:c r="PF113" s="14" t="n">
        <x:v>1</x:v>
      </x:c>
      <x:c r="PG113" s="14" t="str">
        <x:v>未收錄</x:v>
      </x:c>
      <x:c r="PH113" s="14" t="str">
        <x:v>30322</x:v>
      </x:c>
      <x:c r="PI113" s="14" t="n">
        <x:v>5</x:v>
      </x:c>
      <x:c r="PJ113" s="14" t="n">
        <x:v>3017</x:v>
      </x:c>
      <x:c r="PK113" s="14" t="n">
        <x:v>370</x:v>
      </x:c>
      <x:c r="PL113" s="14" t="n">
        <x:v>21</x:v>
      </x:c>
      <x:c r="PM113" s="14" t="n">
        <x:v>2</x:v>
      </x:c>
      <x:c r="PN113" s="14" t="str">
        <x:v>未收錄</x:v>
      </x:c>
      <x:c r="PO113" s="14" t="str">
        <x:v>30382</x:v>
      </x:c>
      <x:c r="PP113" s="14" t="n">
        <x:v>10</x:v>
      </x:c>
      <x:c r="PQ113" s="14" t="n">
        <x:v>3018</x:v>
      </x:c>
      <x:c r="PR113" s="14" t="n">
        <x:v>371</x:v>
      </x:c>
      <x:c r="PS113" s="14" t="n">
        <x:v>21</x:v>
      </x:c>
      <x:c r="PT113" s="14" t="n">
        <x:v>3</x:v>
      </x:c>
      <x:c r="PU113" s="14" t="str">
        <x:v>未收錄</x:v>
      </x:c>
      <x:c r="PV113" s="14" t="str">
        <x:v>30402</x:v>
      </x:c>
      <x:c r="PW113" s="14" t="n">
        <x:v>10</x:v>
      </x:c>
      <x:c r="PX113" s="14" t="n">
        <x:v>3019</x:v>
      </x:c>
      <x:c r="PY113" s="14" t="n">
        <x:v>372</x:v>
      </x:c>
      <x:c r="PZ113" s="14" t="n">
        <x:v>21</x:v>
      </x:c>
      <x:c r="QA113" s="14" t="n">
        <x:v>4</x:v>
      </x:c>
      <x:c r="QB113" s="14" t="str">
        <x:v>未收錄</x:v>
      </x:c>
      <x:c r="QC113" s="14" t="str">
        <x:v>29510</x:v>
      </x:c>
      <x:c r="QD113" s="14" t="n">
        <x:v>5</x:v>
      </x:c>
      <x:c r="QE113" s="14" t="n">
        <x:v>3453</x:v>
      </x:c>
      <x:c r="QF113" s="14" t="n">
        <x:v>369</x:v>
      </x:c>
      <x:c r="QG113" s="14" t="n">
        <x:v>21</x:v>
      </x:c>
      <x:c r="QH113" s="14" t="n">
        <x:v>1</x:v>
      </x:c>
      <x:c r="QI113" s="14" t="str">
        <x:v>未收錄</x:v>
      </x:c>
      <x:c r="QJ113" s="14" t="str">
        <x:v>29516</x:v>
      </x:c>
      <x:c r="QK113" s="14" t="n">
        <x:v>5</x:v>
      </x:c>
      <x:c r="QL113" s="14" t="n">
        <x:v>3454</x:v>
      </x:c>
      <x:c r="QM113" s="14" t="n">
        <x:v>370</x:v>
      </x:c>
      <x:c r="QN113" s="14" t="n">
        <x:v>21</x:v>
      </x:c>
      <x:c r="QO113" s="14" t="n">
        <x:v>2</x:v>
      </x:c>
      <x:c r="QP113" s="14" t="str">
        <x:v>未收錄</x:v>
      </x:c>
      <x:c r="QQ113" s="14" t="str">
        <x:v>29522</x:v>
      </x:c>
      <x:c r="QR113" s="14" t="n">
        <x:v>5</x:v>
      </x:c>
      <x:c r="QS113" s="14" t="n">
        <x:v>3455</x:v>
      </x:c>
      <x:c r="QT113" s="14" t="n">
        <x:v>371</x:v>
      </x:c>
      <x:c r="QU113" s="14" t="n">
        <x:v>21</x:v>
      </x:c>
      <x:c r="QV113" s="14" t="n">
        <x:v>3</x:v>
      </x:c>
      <x:c r="QW113" s="14" t="str">
        <x:v>未收錄</x:v>
      </x:c>
      <x:c r="QX113" s="14" t="str">
        <x:v>29570</x:v>
      </x:c>
      <x:c r="QY113" s="14" t="n">
        <x:v>10</x:v>
      </x:c>
      <x:c r="QZ113" s="14" t="n">
        <x:v>3456</x:v>
      </x:c>
      <x:c r="RA113" s="14" t="n">
        <x:v>372</x:v>
      </x:c>
      <x:c r="RB113" s="14" t="n">
        <x:v>21</x:v>
      </x:c>
      <x:c r="RC113" s="14" t="n">
        <x:v>4</x:v>
      </x:c>
      <x:c r="RD113" s="14" t="str">
        <x:v>未收錄</x:v>
      </x:c>
      <x:c r="RE113" s="14" t="str">
        <x:v>30633</x:v>
      </x:c>
      <x:c r="RF113" s="14" t="n">
        <x:v>5</x:v>
      </x:c>
      <x:c r="RG113" s="14" t="n">
        <x:v>3914</x:v>
      </x:c>
      <x:c r="RH113" s="14" t="n">
        <x:v>369</x:v>
      </x:c>
      <x:c r="RI113" s="14" t="n">
        <x:v>21</x:v>
      </x:c>
      <x:c r="RJ113" s="14" t="n">
        <x:v>1</x:v>
      </x:c>
      <x:c r="RK113" s="14" t="str">
        <x:v>未收錄</x:v>
      </x:c>
      <x:c r="RL113" s="14" t="str">
        <x:v>30634</x:v>
      </x:c>
      <x:c r="RM113" s="14" t="n">
        <x:v>5</x:v>
      </x:c>
      <x:c r="RN113" s="14" t="n">
        <x:v>3915</x:v>
      </x:c>
      <x:c r="RO113" s="14" t="n">
        <x:v>370</x:v>
      </x:c>
      <x:c r="RP113" s="14" t="n">
        <x:v>21</x:v>
      </x:c>
      <x:c r="RQ113" s="14" t="n">
        <x:v>2</x:v>
      </x:c>
      <x:c r="RR113" s="14" t="str">
        <x:v>未收錄</x:v>
      </x:c>
      <x:c r="RS113" s="14" t="str">
        <x:v>30635</x:v>
      </x:c>
      <x:c r="RT113" s="14" t="n">
        <x:v>5</x:v>
      </x:c>
      <x:c r="RU113" s="14" t="n">
        <x:v>3916</x:v>
      </x:c>
      <x:c r="RV113" s="14" t="n">
        <x:v>371</x:v>
      </x:c>
      <x:c r="RW113" s="14" t="n">
        <x:v>21</x:v>
      </x:c>
      <x:c r="RX113" s="14" t="n">
        <x:v>3</x:v>
      </x:c>
      <x:c r="RY113" s="14" t="str">
        <x:v>未收錄</x:v>
      </x:c>
      <x:c r="RZ113" s="14" t="str">
        <x:v>30721</x:v>
      </x:c>
      <x:c r="SA113" s="14" t="n">
        <x:v>20</x:v>
      </x:c>
      <x:c r="SB113" s="14" t="n">
        <x:v>3917</x:v>
      </x:c>
      <x:c r="SC113" s="14" t="n">
        <x:v>372</x:v>
      </x:c>
      <x:c r="SD113" s="14" t="n">
        <x:v>21</x:v>
      </x:c>
      <x:c r="SE113" s="14" t="n">
        <x:v>4</x:v>
      </x:c>
      <x:c r="SF113" s="14" t="str">
        <x:v>未收錄</x:v>
      </x:c>
      <x:c r="SG113" s="14"/>
      <x:c r="SH113" s="14"/>
      <x:c r="SI113" s="14"/>
      <x:c r="SJ113" s="14"/>
      <x:c r="SK113" s="14"/>
      <x:c r="SL113" s="14"/>
      <x:c r="SM113" s="14"/>
      <x:c r="SN113" s="14"/>
      <x:c r="SO113" s="14"/>
      <x:c r="SP113" s="14"/>
      <x:c r="SQ113" s="14"/>
      <x:c r="SR113" s="14"/>
      <x:c r="SS113" s="14"/>
      <x:c r="ST113" s="14"/>
      <x:c r="SU113" s="14"/>
      <x:c r="SV113" s="14"/>
      <x:c r="SW113" s="14"/>
      <x:c r="SX113" s="14"/>
      <x:c r="SY113" s="14"/>
      <x:c r="SZ113" s="14"/>
      <x:c r="TA113" s="14"/>
      <x:c r="TB113" s="14"/>
      <x:c r="TC113" s="14"/>
      <x:c r="TD113" s="14"/>
      <x:c r="TE113" s="14"/>
      <x:c r="TF113" s="14"/>
      <x:c r="TG113" s="14"/>
      <x:c r="TH113" s="14"/>
    </x:row>
    <x:row r="114" ht="15" customHeight="1">
      <x:c r="A114" s="14"/>
      <x:c r="B114" s="14"/>
      <x:c r="C114" s="14"/>
      <x:c r="D114" s="14"/>
      <x:c r="E114" s="14"/>
      <x:c r="F114" s="14"/>
      <x:c r="G114" s="14"/>
      <x:c r="H114" s="14"/>
      <x:c r="I114" s="14"/>
      <x:c r="J114" s="14"/>
      <x:c r="K114" s="14"/>
      <x:c r="L114" s="14"/>
      <x:c r="M114" s="14"/>
      <x:c r="N114" s="14"/>
      <x:c r="O114" s="14"/>
      <x:c r="P114" s="14"/>
      <x:c r="Q114" s="14"/>
      <x:c r="R114" s="14"/>
      <x:c r="S114" s="14"/>
      <x:c r="T114" s="14"/>
      <x:c r="U114" s="14"/>
      <x:c r="V114" s="14"/>
      <x:c r="W114" s="14"/>
      <x:c r="X114" s="14"/>
      <x:c r="Y114" s="14"/>
      <x:c r="Z114" s="14"/>
      <x:c r="AA114" s="14"/>
      <x:c r="AB114" s="14"/>
      <x:c r="AC114" s="14"/>
      <x:c r="AD114" s="14"/>
      <x:c r="AE114" s="14"/>
      <x:c r="AF114" s="14"/>
      <x:c r="AG114" s="14"/>
      <x:c r="AH114" s="14"/>
      <x:c r="AI114" s="14"/>
      <x:c r="AJ114" s="14"/>
      <x:c r="AK114" s="14"/>
      <x:c r="AL114" s="14"/>
      <x:c r="AM114" s="14"/>
      <x:c r="AN114" s="14"/>
      <x:c r="AO114" s="14"/>
      <x:c r="AP114" s="14"/>
      <x:c r="AQ114" s="14"/>
      <x:c r="AR114" s="14"/>
      <x:c r="AS114" s="14"/>
      <x:c r="AT114" s="14"/>
      <x:c r="AU114" s="14"/>
      <x:c r="AV114" s="14"/>
      <x:c r="AW114" s="14"/>
      <x:c r="AX114" s="14"/>
      <x:c r="AY114" s="18" t="str">
        <x:v>龍池竹盔</x:v>
      </x:c>
      <x:c r="AZ114" s="18" t="str">
        <x:v>劍豪旭冠Ⅰ</x:v>
      </x:c>
      <x:c r="BA114" s="18" t="str">
        <x:v>勇將旭盔Ⅰ</x:v>
      </x:c>
      <x:c r="BB114" s="18" t="str">
        <x:v>術凌旭巾Ⅰ</x:v>
      </x:c>
      <x:c r="BC114" s="14"/>
      <x:c r="BD114" s="18" t="str">
        <x:v>柳天衣☆</x:v>
      </x:c>
      <x:c r="BE114" s="18" t="str">
        <x:v>碧隱甲☆</x:v>
      </x:c>
      <x:c r="BF114" s="18" t="str">
        <x:v>碧行裟☆</x:v>
      </x:c>
      <x:c r="BG114" s="18" t="str">
        <x:v>烈煌冑☆☆</x:v>
      </x:c>
      <x:c r="BH114" s="14"/>
      <x:c r="BI114" s="18" t="str">
        <x:v>宿星爍臂Ⅱ</x:v>
      </x:c>
      <x:c r="BJ114" s="18" t="str">
        <x:v>劍豪旭腕Ⅲ</x:v>
      </x:c>
      <x:c r="BK114" s="18" t="str">
        <x:v>勇將旭掌Ⅲ</x:v>
      </x:c>
      <x:c r="BL114" s="18" t="str">
        <x:v>術凌旭指Ⅲ</x:v>
      </x:c>
      <x:c r="BM114" s="14"/>
      <x:c r="BN114" s="18" t="str">
        <x:v>黃韋足★★★</x:v>
      </x:c>
      <x:c r="BO114" s="18" t="str">
        <x:v>君星靴★★★</x:v>
      </x:c>
      <x:c r="BP114" s="18" t="str">
        <x:v>新星之劍英靴</x:v>
      </x:c>
      <x:c r="BQ114" s="18" t="str">
        <x:v>新星之武豪踏</x:v>
      </x:c>
      <x:c r="BR114" s="14"/>
      <x:c r="BS114" s="18" t="str">
        <x:v>真金梁天佐鎮</x:v>
      </x:c>
      <x:c r="BT114" s="18" t="str">
        <x:v>真水嶷天佐針</x:v>
      </x:c>
      <x:c r="BU114" s="18" t="str">
        <x:v>真火熒天佐徽</x:v>
      </x:c>
      <x:c r="BV114" s="18" t="str">
        <x:v>真土伏天佐玉</x:v>
      </x:c>
      <x:c r="BW114" s="14"/>
      <x:c r="BX114" s="14"/>
      <x:c r="BY114" s="14"/>
      <x:c r="BZ114" s="14"/>
      <x:c r="CA114" s="14"/>
      <x:c r="CB114" s="14"/>
      <x:c r="CC114" s="14"/>
      <x:c r="CD114" s="14"/>
      <x:c r="CE114" s="14"/>
      <x:c r="CF114" s="14"/>
      <x:c r="CG114" s="14"/>
      <x:c r="CH114" s="14"/>
      <x:c r="CI114" s="14"/>
      <x:c r="CJ114" s="14"/>
      <x:c r="CK114" s="14"/>
      <x:c r="CL114" s="14"/>
      <x:c r="CM114" s="14"/>
      <x:c r="CN114" s="14"/>
      <x:c r="CO114" s="14"/>
      <x:c r="CP114" s="14"/>
      <x:c r="CQ114" s="14"/>
      <x:c r="CR114" s="14"/>
      <x:c r="CS114" s="14"/>
      <x:c r="CT114" s="14"/>
      <x:c r="CU114" s="14"/>
      <x:c r="CV114" s="14"/>
      <x:c r="CW114" s="14"/>
      <x:c r="CX114" s="14"/>
      <x:c r="CY114" s="14"/>
      <x:c r="CZ114" s="14"/>
      <x:c r="DA114" s="14"/>
      <x:c r="DB114" s="14"/>
      <x:c r="DC114" s="14"/>
      <x:c r="DD114" s="14"/>
      <x:c r="DE114" s="14"/>
      <x:c r="DF114" s="14"/>
      <x:c r="DG114" s="14"/>
      <x:c r="DH114" s="14"/>
      <x:c r="DI114" s="14"/>
      <x:c r="DJ114" s="14"/>
      <x:c r="DK114" s="14"/>
      <x:c r="DL114" s="14"/>
      <x:c r="DM114" s="14"/>
      <x:c r="DN114" s="14"/>
      <x:c r="DO114" s="14"/>
      <x:c r="DP114" s="14"/>
      <x:c r="DQ114" s="14"/>
      <x:c r="DR114" s="14"/>
      <x:c r="DS114" s="14"/>
      <x:c r="DT114" s="14"/>
      <x:c r="DU114" s="14"/>
      <x:c r="DV114" s="14"/>
      <x:c r="DW114" s="14"/>
      <x:c r="DX114" s="14"/>
      <x:c r="DY114" s="14"/>
      <x:c r="DZ114" s="14"/>
      <x:c r="EA114" s="14"/>
      <x:c r="EB114" s="14"/>
      <x:c r="EC114" s="14"/>
      <x:c r="ED114" s="14"/>
      <x:c r="EE114" s="14"/>
      <x:c r="EF114" s="14"/>
      <x:c r="EG114" s="14"/>
      <x:c r="EH114" s="14"/>
      <x:c r="EI114" s="14"/>
      <x:c r="EJ114" s="14"/>
      <x:c r="EK114" s="14"/>
      <x:c r="EL114" s="14"/>
      <x:c r="EM114" s="14"/>
      <x:c r="EN114" s="14"/>
      <x:c r="EO114" s="14"/>
      <x:c r="EP114" s="14"/>
      <x:c r="EQ114" s="14"/>
      <x:c r="ER114" s="14"/>
      <x:c r="ES114" s="14"/>
      <x:c r="ET114" s="14"/>
      <x:c r="EU114" s="14"/>
      <x:c r="EV114" s="14"/>
      <x:c r="EW114" s="14"/>
      <x:c r="EX114" s="14"/>
      <x:c r="EY114" s="14"/>
      <x:c r="EZ114" s="14"/>
      <x:c r="FA114" s="14"/>
      <x:c r="FB114" s="14"/>
      <x:c r="FC114" s="14"/>
      <x:c r="FD114" s="14"/>
      <x:c r="FE114" s="14"/>
      <x:c r="FF114" s="14"/>
      <x:c r="FG114" s="14"/>
      <x:c r="FH114" s="14"/>
      <x:c r="FI114" s="14"/>
      <x:c r="FJ114" s="14"/>
      <x:c r="FK114" s="14"/>
      <x:c r="FL114" s="14"/>
      <x:c r="FM114" s="14"/>
      <x:c r="FN114" s="14"/>
      <x:c r="FO114" s="14"/>
      <x:c r="FP114" s="14"/>
      <x:c r="FQ114" s="14"/>
      <x:c r="FR114" s="14"/>
      <x:c r="FS114" s="14"/>
      <x:c r="FT114" s="14"/>
      <x:c r="FU114" s="14"/>
      <x:c r="FV114" s="14"/>
      <x:c r="FW114" s="14"/>
      <x:c r="FX114" s="14"/>
      <x:c r="FY114" s="14"/>
      <x:c r="FZ114" s="14"/>
      <x:c r="GA114" s="14"/>
      <x:c r="GB114" s="14"/>
      <x:c r="GC114" s="14"/>
      <x:c r="GD114" s="14"/>
      <x:c r="GE114" s="14"/>
      <x:c r="GF114" s="14"/>
      <x:c r="GG114" s="14"/>
      <x:c r="GH114" s="14"/>
      <x:c r="GI114" s="14"/>
      <x:c r="GJ114" s="14"/>
      <x:c r="GK114" s="14"/>
      <x:c r="GL114" s="14"/>
      <x:c r="GM114" s="14"/>
      <x:c r="GN114" s="14"/>
      <x:c r="GO114" s="14"/>
      <x:c r="GP114" s="14"/>
      <x:c r="GQ114" s="14"/>
      <x:c r="GR114" s="14"/>
      <x:c r="GS114" s="14"/>
      <x:c r="GT114" s="14"/>
      <x:c r="GU114" s="14"/>
      <x:c r="GV114" s="14"/>
      <x:c r="GW114" s="14"/>
      <x:c r="GX114" s="14"/>
      <x:c r="GY114" s="14"/>
      <x:c r="GZ114" s="14"/>
      <x:c r="HA114" s="14"/>
      <x:c r="HB114" s="14"/>
      <x:c r="HC114" s="14"/>
      <x:c r="HD114" s="14"/>
      <x:c r="HE114" s="14"/>
      <x:c r="HF114" s="14"/>
      <x:c r="HG114" s="14"/>
      <x:c r="HH114" s="14"/>
      <x:c r="HI114" s="14"/>
      <x:c r="HJ114" s="14"/>
      <x:c r="HK114" s="14"/>
      <x:c r="HL114" s="14"/>
      <x:c r="HM114" s="14"/>
      <x:c r="HN114" s="14"/>
      <x:c r="HO114" s="14"/>
      <x:c r="HP114" s="14"/>
      <x:c r="HQ114" s="14"/>
      <x:c r="HR114" s="14"/>
      <x:c r="HS114" s="14"/>
      <x:c r="HT114" s="14"/>
      <x:c r="HU114" s="14"/>
      <x:c r="HV114" s="14"/>
      <x:c r="HW114" s="14"/>
      <x:c r="HX114" s="14"/>
      <x:c r="HY114" s="14"/>
      <x:c r="HZ114" s="14"/>
      <x:c r="IA114" s="14"/>
      <x:c r="IB114" s="14"/>
      <x:c r="IC114" s="14"/>
      <x:c r="ID114" s="14"/>
      <x:c r="IE114" s="14"/>
      <x:c r="IF114" s="14"/>
      <x:c r="IG114" s="14"/>
      <x:c r="IH114" s="14"/>
      <x:c r="II114" s="14"/>
      <x:c r="IJ114" s="14"/>
      <x:c r="IK114" s="14"/>
      <x:c r="IL114" s="14"/>
      <x:c r="IM114" s="14"/>
      <x:c r="IN114" s="14"/>
      <x:c r="IO114" s="14"/>
      <x:c r="IP114" s="14"/>
      <x:c r="IQ114" s="14"/>
      <x:c r="IR114" s="14"/>
      <x:c r="IS114" s="14"/>
      <x:c r="IT114" s="14"/>
      <x:c r="IU114" s="14"/>
      <x:c r="IV114" s="14"/>
      <x:c r="IW114" s="14"/>
      <x:c r="IX114" s="14"/>
      <x:c r="IY114" s="14"/>
      <x:c r="IZ114" s="14"/>
      <x:c r="JA114" s="14"/>
      <x:c r="JB114" s="14"/>
      <x:c r="JC114" s="14"/>
      <x:c r="JD114" s="14"/>
      <x:c r="JE114" s="14"/>
      <x:c r="JF114" s="14"/>
      <x:c r="JG114" s="14"/>
      <x:c r="JH114" s="14"/>
      <x:c r="JI114" s="14"/>
      <x:c r="JJ114" s="14"/>
      <x:c r="JK114" s="14"/>
      <x:c r="JL114" s="14"/>
      <x:c r="JM114" s="14"/>
      <x:c r="JN114" s="14"/>
      <x:c r="JO114" s="14"/>
      <x:c r="JP114" s="14"/>
      <x:c r="JQ114" s="14"/>
      <x:c r="JR114" s="14"/>
      <x:c r="JS114" s="14"/>
      <x:c r="JT114" s="14"/>
      <x:c r="JU114" s="14"/>
      <x:c r="JV114" s="14"/>
      <x:c r="JW114" s="14"/>
      <x:c r="JX114" s="14"/>
      <x:c r="JY114" s="14"/>
      <x:c r="JZ114" s="14"/>
      <x:c r="KA114" s="14"/>
      <x:c r="KB114" s="14"/>
      <x:c r="KC114" s="14"/>
      <x:c r="KD114" s="14"/>
      <x:c r="KE114" s="14"/>
      <x:c r="KF114" s="14"/>
      <x:c r="KG114" s="14"/>
      <x:c r="KH114" s="14"/>
      <x:c r="KI114" s="14"/>
      <x:c r="KJ114" s="14"/>
      <x:c r="KK114" s="14"/>
      <x:c r="KL114" s="14"/>
      <x:c r="KM114" s="14"/>
      <x:c r="KN114" s="14"/>
      <x:c r="KO114" s="14"/>
      <x:c r="KP114" s="14"/>
      <x:c r="KQ114" s="14"/>
      <x:c r="KR114" s="14"/>
      <x:c r="KS114" s="14"/>
      <x:c r="KT114" s="14"/>
      <x:c r="KU114" s="14"/>
      <x:c r="KV114" s="14"/>
      <x:c r="KW114" s="14"/>
      <x:c r="KX114" s="14"/>
      <x:c r="KY114" s="14"/>
      <x:c r="KZ114" s="14"/>
      <x:c r="LA114" s="14"/>
      <x:c r="LB114" s="14"/>
      <x:c r="LC114" s="14"/>
      <x:c r="LD114" s="14"/>
      <x:c r="LE114" s="14"/>
      <x:c r="LF114" s="14"/>
      <x:c r="LG114" s="14"/>
      <x:c r="LH114" s="14"/>
      <x:c r="LI114" s="14"/>
      <x:c r="LJ114" s="14"/>
      <x:c r="LK114" s="14"/>
      <x:c r="LL114" s="14"/>
      <x:c r="LM114" s="14"/>
      <x:c r="LN114" s="14"/>
      <x:c r="LO114" s="14"/>
      <x:c r="LP114" s="14"/>
      <x:c r="LQ114" s="14"/>
      <x:c r="LR114" s="14"/>
      <x:c r="LS114" s="14"/>
      <x:c r="LT114" s="14"/>
      <x:c r="LU114" s="14"/>
      <x:c r="LV114" s="14"/>
      <x:c r="LW114" s="14"/>
      <x:c r="LX114" s="14"/>
      <x:c r="LY114" s="14"/>
      <x:c r="LZ114" s="14"/>
      <x:c r="MA114" s="14"/>
      <x:c r="MB114" s="14"/>
      <x:c r="MC114" s="14"/>
      <x:c r="MD114" s="14"/>
      <x:c r="ME114" s="14"/>
      <x:c r="MF114" s="14"/>
      <x:c r="MG114" s="14"/>
      <x:c r="MH114" s="14"/>
      <x:c r="MI114" s="14"/>
      <x:c r="MJ114" s="14"/>
      <x:c r="MK114" s="14"/>
      <x:c r="ML114" s="14"/>
      <x:c r="MM114" s="14"/>
      <x:c r="MN114" s="14"/>
      <x:c r="MO114" s="14"/>
      <x:c r="MP114" s="14"/>
      <x:c r="MQ114" s="14"/>
      <x:c r="MR114" s="14"/>
      <x:c r="MS114" s="14"/>
      <x:c r="MT114" s="14"/>
      <x:c r="MU114" s="14"/>
      <x:c r="MV114" s="14"/>
      <x:c r="MW114" s="14" t="str">
        <x:v>31083</x:v>
      </x:c>
      <x:c r="MX114" s="14" t="n">
        <x:v>2</x:v>
      </x:c>
      <x:c r="MY114" s="14" t="n">
        <x:v>2021</x:v>
      </x:c>
      <x:c r="MZ114" s="14" t="n">
        <x:v>373</x:v>
      </x:c>
      <x:c r="NA114" s="14" t="n">
        <x:v>22</x:v>
      </x:c>
      <x:c r="NB114" s="14" t="n">
        <x:v>1</x:v>
      </x:c>
      <x:c r="NC114" s="14" t="str">
        <x:v>未收錄</x:v>
      </x:c>
      <x:c r="ND114" s="14" t="str">
        <x:v>30251</x:v>
      </x:c>
      <x:c r="NE114" s="14" t="n">
        <x:v>5</x:v>
      </x:c>
      <x:c r="NF114" s="14" t="n">
        <x:v>2022</x:v>
      </x:c>
      <x:c r="NG114" s="14" t="n">
        <x:v>374</x:v>
      </x:c>
      <x:c r="NH114" s="14" t="n">
        <x:v>22</x:v>
      </x:c>
      <x:c r="NI114" s="14" t="n">
        <x:v>2</x:v>
      </x:c>
      <x:c r="NJ114" s="14" t="str">
        <x:v>未收錄</x:v>
      </x:c>
      <x:c r="NK114" s="14" t="str">
        <x:v>30256</x:v>
      </x:c>
      <x:c r="NL114" s="14" t="n">
        <x:v>5</x:v>
      </x:c>
      <x:c r="NM114" s="14" t="n">
        <x:v>2023</x:v>
      </x:c>
      <x:c r="NN114" s="14" t="n">
        <x:v>375</x:v>
      </x:c>
      <x:c r="NO114" s="14" t="n">
        <x:v>22</x:v>
      </x:c>
      <x:c r="NP114" s="14" t="n">
        <x:v>3</x:v>
      </x:c>
      <x:c r="NQ114" s="14" t="str">
        <x:v>未收錄</x:v>
      </x:c>
      <x:c r="NR114" s="14" t="str">
        <x:v>30261</x:v>
      </x:c>
      <x:c r="NS114" s="14" t="n">
        <x:v>5</x:v>
      </x:c>
      <x:c r="NT114" s="14" t="n">
        <x:v>2024</x:v>
      </x:c>
      <x:c r="NU114" s="14" t="n">
        <x:v>376</x:v>
      </x:c>
      <x:c r="NV114" s="14" t="n">
        <x:v>22</x:v>
      </x:c>
      <x:c r="NW114" s="14" t="n">
        <x:v>4</x:v>
      </x:c>
      <x:c r="NX114" s="14" t="str">
        <x:v>未收錄</x:v>
      </x:c>
      <x:c r="NY114" s="14" t="str">
        <x:v>28966</x:v>
      </x:c>
      <x:c r="NZ114" s="14" t="n">
        <x:v>10</x:v>
      </x:c>
      <x:c r="OA114" s="14" t="n">
        <x:v>2474</x:v>
      </x:c>
      <x:c r="OB114" s="14" t="n">
        <x:v>373</x:v>
      </x:c>
      <x:c r="OC114" s="14" t="n">
        <x:v>22</x:v>
      </x:c>
      <x:c r="OD114" s="14" t="n">
        <x:v>1</x:v>
      </x:c>
      <x:c r="OE114" s="14" t="str">
        <x:v>未收錄</x:v>
      </x:c>
      <x:c r="OF114" s="14" t="str">
        <x:v>28975</x:v>
      </x:c>
      <x:c r="OG114" s="14" t="n">
        <x:v>10</x:v>
      </x:c>
      <x:c r="OH114" s="14" t="n">
        <x:v>2475</x:v>
      </x:c>
      <x:c r="OI114" s="14" t="n">
        <x:v>374</x:v>
      </x:c>
      <x:c r="OJ114" s="14" t="n">
        <x:v>22</x:v>
      </x:c>
      <x:c r="OK114" s="14" t="n">
        <x:v>2</x:v>
      </x:c>
      <x:c r="OL114" s="14" t="str">
        <x:v>未收錄</x:v>
      </x:c>
      <x:c r="OM114" s="14" t="str">
        <x:v>28978</x:v>
      </x:c>
      <x:c r="ON114" s="14" t="n">
        <x:v>10</x:v>
      </x:c>
      <x:c r="OO114" s="14" t="n">
        <x:v>2476</x:v>
      </x:c>
      <x:c r="OP114" s="14" t="n">
        <x:v>375</x:v>
      </x:c>
      <x:c r="OQ114" s="14" t="n">
        <x:v>22</x:v>
      </x:c>
      <x:c r="OR114" s="14" t="n">
        <x:v>3</x:v>
      </x:c>
      <x:c r="OS114" s="14" t="str">
        <x:v>未收錄</x:v>
      </x:c>
      <x:c r="OT114" s="14" t="str">
        <x:v>28857</x:v>
      </x:c>
      <x:c r="OU114" s="14" t="n">
        <x:v>5</x:v>
      </x:c>
      <x:c r="OV114" s="14" t="n">
        <x:v>2477</x:v>
      </x:c>
      <x:c r="OW114" s="14" t="n">
        <x:v>376</x:v>
      </x:c>
      <x:c r="OX114" s="14" t="n">
        <x:v>22</x:v>
      </x:c>
      <x:c r="OY114" s="14" t="n">
        <x:v>4</x:v>
      </x:c>
      <x:c r="OZ114" s="14" t="str">
        <x:v>未收錄</x:v>
      </x:c>
      <x:c r="PA114" s="14" t="str">
        <x:v>30422</x:v>
      </x:c>
      <x:c r="PB114" s="14" t="n">
        <x:v>10</x:v>
      </x:c>
      <x:c r="PC114" s="14" t="n">
        <x:v>3020</x:v>
      </x:c>
      <x:c r="PD114" s="14" t="n">
        <x:v>373</x:v>
      </x:c>
      <x:c r="PE114" s="14" t="n">
        <x:v>22</x:v>
      </x:c>
      <x:c r="PF114" s="14" t="n">
        <x:v>1</x:v>
      </x:c>
      <x:c r="PG114" s="14" t="str">
        <x:v>未收錄</x:v>
      </x:c>
      <x:c r="PH114" s="14" t="str">
        <x:v>30303</x:v>
      </x:c>
      <x:c r="PI114" s="14" t="n">
        <x:v>5</x:v>
      </x:c>
      <x:c r="PJ114" s="14" t="n">
        <x:v>3021</x:v>
      </x:c>
      <x:c r="PK114" s="14" t="n">
        <x:v>374</x:v>
      </x:c>
      <x:c r="PL114" s="14" t="n">
        <x:v>22</x:v>
      </x:c>
      <x:c r="PM114" s="14" t="n">
        <x:v>2</x:v>
      </x:c>
      <x:c r="PN114" s="14" t="str">
        <x:v>未收錄</x:v>
      </x:c>
      <x:c r="PO114" s="14" t="str">
        <x:v>30308</x:v>
      </x:c>
      <x:c r="PP114" s="14" t="n">
        <x:v>5</x:v>
      </x:c>
      <x:c r="PQ114" s="14" t="n">
        <x:v>3022</x:v>
      </x:c>
      <x:c r="PR114" s="14" t="n">
        <x:v>375</x:v>
      </x:c>
      <x:c r="PS114" s="14" t="n">
        <x:v>22</x:v>
      </x:c>
      <x:c r="PT114" s="14" t="n">
        <x:v>3</x:v>
      </x:c>
      <x:c r="PU114" s="14" t="str">
        <x:v>未收錄</x:v>
      </x:c>
      <x:c r="PV114" s="14" t="str">
        <x:v>30313</x:v>
      </x:c>
      <x:c r="PW114" s="14" t="n">
        <x:v>5</x:v>
      </x:c>
      <x:c r="PX114" s="14" t="n">
        <x:v>3023</x:v>
      </x:c>
      <x:c r="PY114" s="14" t="n">
        <x:v>376</x:v>
      </x:c>
      <x:c r="PZ114" s="14" t="n">
        <x:v>22</x:v>
      </x:c>
      <x:c r="QA114" s="14" t="n">
        <x:v>4</x:v>
      </x:c>
      <x:c r="QB114" s="14" t="str">
        <x:v>未收錄</x:v>
      </x:c>
      <x:c r="QC114" s="14" t="str">
        <x:v>29594</x:v>
      </x:c>
      <x:c r="QD114" s="14" t="n">
        <x:v>10</x:v>
      </x:c>
      <x:c r="QE114" s="14" t="n">
        <x:v>3457</x:v>
      </x:c>
      <x:c r="QF114" s="14" t="n">
        <x:v>373</x:v>
      </x:c>
      <x:c r="QG114" s="14" t="n">
        <x:v>22</x:v>
      </x:c>
      <x:c r="QH114" s="14" t="n">
        <x:v>1</x:v>
      </x:c>
      <x:c r="QI114" s="14" t="str">
        <x:v>未收錄</x:v>
      </x:c>
      <x:c r="QJ114" s="14" t="str">
        <x:v>29612</x:v>
      </x:c>
      <x:c r="QK114" s="14" t="n">
        <x:v>10</x:v>
      </x:c>
      <x:c r="QL114" s="14" t="n">
        <x:v>3458</x:v>
      </x:c>
      <x:c r="QM114" s="14" t="n">
        <x:v>374</x:v>
      </x:c>
      <x:c r="QN114" s="14" t="n">
        <x:v>22</x:v>
      </x:c>
      <x:c r="QO114" s="14" t="n">
        <x:v>2</x:v>
      </x:c>
      <x:c r="QP114" s="14" t="str">
        <x:v>未收錄</x:v>
      </x:c>
      <x:c r="QQ114" s="14" t="str">
        <x:v>27339</x:v>
      </x:c>
      <x:c r="QR114" s="14" t="n">
        <x:v>5</x:v>
      </x:c>
      <x:c r="QS114" s="14" t="n">
        <x:v>3459</x:v>
      </x:c>
      <x:c r="QT114" s="14" t="n">
        <x:v>375</x:v>
      </x:c>
      <x:c r="QU114" s="14" t="n">
        <x:v>22</x:v>
      </x:c>
      <x:c r="QV114" s="14" t="n">
        <x:v>3</x:v>
      </x:c>
      <x:c r="QW114" s="14" t="str">
        <x:v>未收錄</x:v>
      </x:c>
      <x:c r="QX114" s="14" t="str">
        <x:v>27340</x:v>
      </x:c>
      <x:c r="QY114" s="14" t="n">
        <x:v>5</x:v>
      </x:c>
      <x:c r="QZ114" s="14" t="n">
        <x:v>3460</x:v>
      </x:c>
      <x:c r="RA114" s="14" t="n">
        <x:v>376</x:v>
      </x:c>
      <x:c r="RB114" s="14" t="n">
        <x:v>22</x:v>
      </x:c>
      <x:c r="RC114" s="14" t="n">
        <x:v>4</x:v>
      </x:c>
      <x:c r="RD114" s="14" t="str">
        <x:v>未收錄</x:v>
      </x:c>
      <x:c r="RE114" s="14" t="str">
        <x:v>30974</x:v>
      </x:c>
      <x:c r="RF114" s="14" t="n">
        <x:v>5</x:v>
      </x:c>
      <x:c r="RG114" s="14" t="n">
        <x:v>3918</x:v>
      </x:c>
      <x:c r="RH114" s="14" t="n">
        <x:v>373</x:v>
      </x:c>
      <x:c r="RI114" s="14" t="n">
        <x:v>22</x:v>
      </x:c>
      <x:c r="RJ114" s="14" t="n">
        <x:v>1</x:v>
      </x:c>
      <x:c r="RK114" s="14" t="str">
        <x:v>未收錄</x:v>
      </x:c>
      <x:c r="RL114" s="14" t="str">
        <x:v>30975</x:v>
      </x:c>
      <x:c r="RM114" s="14" t="n">
        <x:v>5</x:v>
      </x:c>
      <x:c r="RN114" s="14" t="n">
        <x:v>3919</x:v>
      </x:c>
      <x:c r="RO114" s="14" t="n">
        <x:v>374</x:v>
      </x:c>
      <x:c r="RP114" s="14" t="n">
        <x:v>22</x:v>
      </x:c>
      <x:c r="RQ114" s="14" t="n">
        <x:v>2</x:v>
      </x:c>
      <x:c r="RR114" s="14" t="str">
        <x:v>未收錄</x:v>
      </x:c>
      <x:c r="RS114" s="14" t="str">
        <x:v>30976</x:v>
      </x:c>
      <x:c r="RT114" s="14" t="n">
        <x:v>5</x:v>
      </x:c>
      <x:c r="RU114" s="14" t="n">
        <x:v>3920</x:v>
      </x:c>
      <x:c r="RV114" s="14" t="n">
        <x:v>375</x:v>
      </x:c>
      <x:c r="RW114" s="14" t="n">
        <x:v>22</x:v>
      </x:c>
      <x:c r="RX114" s="14" t="n">
        <x:v>3</x:v>
      </x:c>
      <x:c r="RY114" s="14" t="str">
        <x:v>未收錄</x:v>
      </x:c>
      <x:c r="RZ114" s="14" t="str">
        <x:v>30977</x:v>
      </x:c>
      <x:c r="SA114" s="14" t="n">
        <x:v>5</x:v>
      </x:c>
      <x:c r="SB114" s="14" t="n">
        <x:v>3921</x:v>
      </x:c>
      <x:c r="SC114" s="14" t="n">
        <x:v>376</x:v>
      </x:c>
      <x:c r="SD114" s="14" t="n">
        <x:v>22</x:v>
      </x:c>
      <x:c r="SE114" s="14" t="n">
        <x:v>4</x:v>
      </x:c>
      <x:c r="SF114" s="14" t="str">
        <x:v>未收錄</x:v>
      </x:c>
      <x:c r="SG114" s="14"/>
      <x:c r="SH114" s="14"/>
      <x:c r="SI114" s="14"/>
      <x:c r="SJ114" s="14"/>
      <x:c r="SK114" s="14"/>
      <x:c r="SL114" s="14"/>
      <x:c r="SM114" s="14"/>
      <x:c r="SN114" s="14"/>
      <x:c r="SO114" s="14"/>
      <x:c r="SP114" s="14"/>
      <x:c r="SQ114" s="14"/>
      <x:c r="SR114" s="14"/>
      <x:c r="SS114" s="14"/>
      <x:c r="ST114" s="14"/>
      <x:c r="SU114" s="14"/>
      <x:c r="SV114" s="14"/>
      <x:c r="SW114" s="14"/>
      <x:c r="SX114" s="14"/>
      <x:c r="SY114" s="14"/>
      <x:c r="SZ114" s="14"/>
      <x:c r="TA114" s="14"/>
      <x:c r="TB114" s="14"/>
      <x:c r="TC114" s="14"/>
      <x:c r="TD114" s="14"/>
      <x:c r="TE114" s="14"/>
      <x:c r="TF114" s="14"/>
      <x:c r="TG114" s="14"/>
      <x:c r="TH114" s="14"/>
    </x:row>
    <x:row r="115" ht="15" customHeight="1">
      <x:c r="A115" s="14"/>
      <x:c r="B115" s="14"/>
      <x:c r="C115" s="14"/>
      <x:c r="D115" s="14"/>
      <x:c r="E115" s="14"/>
      <x:c r="F115" s="14"/>
      <x:c r="G115" s="14"/>
      <x:c r="H115" s="14"/>
      <x:c r="I115" s="14"/>
      <x:c r="J115" s="14"/>
      <x:c r="K115" s="14"/>
      <x:c r="L115" s="14"/>
      <x:c r="M115" s="14"/>
      <x:c r="N115" s="14"/>
      <x:c r="O115" s="14"/>
      <x:c r="P115" s="14"/>
      <x:c r="Q115" s="14"/>
      <x:c r="R115" s="14"/>
      <x:c r="S115" s="14"/>
      <x:c r="T115" s="14"/>
      <x:c r="U115" s="14"/>
      <x:c r="V115" s="14"/>
      <x:c r="W115" s="14"/>
      <x:c r="X115" s="14"/>
      <x:c r="Y115" s="14"/>
      <x:c r="Z115" s="14"/>
      <x:c r="AA115" s="14"/>
      <x:c r="AB115" s="14"/>
      <x:c r="AC115" s="14"/>
      <x:c r="AD115" s="14"/>
      <x:c r="AE115" s="14"/>
      <x:c r="AF115" s="14"/>
      <x:c r="AG115" s="14"/>
      <x:c r="AH115" s="14"/>
      <x:c r="AI115" s="14"/>
      <x:c r="AJ115" s="14"/>
      <x:c r="AK115" s="14"/>
      <x:c r="AL115" s="14"/>
      <x:c r="AM115" s="14"/>
      <x:c r="AN115" s="14"/>
      <x:c r="AO115" s="14"/>
      <x:c r="AP115" s="14"/>
      <x:c r="AQ115" s="14"/>
      <x:c r="AR115" s="14"/>
      <x:c r="AS115" s="14"/>
      <x:c r="AT115" s="14"/>
      <x:c r="AU115" s="14"/>
      <x:c r="AV115" s="14"/>
      <x:c r="AW115" s="14"/>
      <x:c r="AX115" s="14"/>
      <x:c r="AY115" s="17" t="str">
        <x:v>道清旭綸Ⅰ</x:v>
      </x:c>
      <x:c r="AZ115" s="17" t="str">
        <x:v>禪臺旭笠Ⅰ</x:v>
      </x:c>
      <x:c r="BA115" s="17" t="str">
        <x:v>狂陽輝冕Ⅰ</x:v>
      </x:c>
      <x:c r="BB115" s="17" t="str">
        <x:v>靜月幕巾Ⅰ</x:v>
      </x:c>
      <x:c r="BC115" s="14"/>
      <x:c r="BD115" s="17" t="str">
        <x:v>戰煌鎧☆☆</x:v>
      </x:c>
      <x:c r="BE115" s="17" t="str">
        <x:v>燦煌衣☆☆</x:v>
      </x:c>
      <x:c r="BF115" s="17" t="str">
        <x:v>道煌袍☆☆</x:v>
      </x:c>
      <x:c r="BG115" s="17" t="str">
        <x:v>佛煌裟☆☆</x:v>
      </x:c>
      <x:c r="BH115" s="14"/>
      <x:c r="BI115" s="17" t="str">
        <x:v>道清旭袖Ⅲ</x:v>
      </x:c>
      <x:c r="BJ115" s="17" t="str">
        <x:v>禪臺旭執Ⅲ</x:v>
      </x:c>
      <x:c r="BK115" s="17" t="str">
        <x:v>狂陽赤手Ⅲ</x:v>
      </x:c>
      <x:c r="BL115" s="17" t="str">
        <x:v>靜月帷腕Ⅲ</x:v>
      </x:c>
      <x:c r="BM115" s="14"/>
      <x:c r="BN115" s="17" t="str">
        <x:v>新星之術潛履</x:v>
      </x:c>
      <x:c r="BO115" s="17" t="str">
        <x:v>新星之道明步</x:v>
      </x:c>
      <x:c r="BP115" s="17" t="str">
        <x:v>新星之禪照行</x:v>
      </x:c>
      <x:c r="BQ115" s="17" t="str">
        <x:v>泰源織鞋</x:v>
      </x:c>
      <x:c r="BR115" s="14"/>
      <x:c r="BS115" s="17" t="str">
        <x:v>真木篁天佐戒</x:v>
      </x:c>
      <x:c r="BT115" s="17" t="str">
        <x:v>真．五絕皇器</x:v>
      </x:c>
      <x:c r="BU115" s="17" t="str">
        <x:v>神淵風息瓠</x:v>
      </x:c>
      <x:c r="BV115" s="17" t="str">
        <x:v>明源雷棲紋</x:v>
      </x:c>
      <x:c r="BW115" s="14"/>
      <x:c r="BX115" s="14"/>
      <x:c r="BY115" s="14"/>
      <x:c r="BZ115" s="14"/>
      <x:c r="CA115" s="14"/>
      <x:c r="CB115" s="14"/>
      <x:c r="CC115" s="14"/>
      <x:c r="CD115" s="14"/>
      <x:c r="CE115" s="14"/>
      <x:c r="CF115" s="14"/>
      <x:c r="CG115" s="14"/>
      <x:c r="CH115" s="14"/>
      <x:c r="CI115" s="14"/>
      <x:c r="CJ115" s="14"/>
      <x:c r="CK115" s="14"/>
      <x:c r="CL115" s="14"/>
      <x:c r="CM115" s="14"/>
      <x:c r="CN115" s="14"/>
      <x:c r="CO115" s="14"/>
      <x:c r="CP115" s="14"/>
      <x:c r="CQ115" s="14"/>
      <x:c r="CR115" s="14"/>
      <x:c r="CS115" s="14"/>
      <x:c r="CT115" s="14"/>
      <x:c r="CU115" s="14"/>
      <x:c r="CV115" s="14"/>
      <x:c r="CW115" s="14"/>
      <x:c r="CX115" s="14"/>
      <x:c r="CY115" s="14"/>
      <x:c r="CZ115" s="14"/>
      <x:c r="DA115" s="14"/>
      <x:c r="DB115" s="14"/>
      <x:c r="DC115" s="14"/>
      <x:c r="DD115" s="14"/>
      <x:c r="DE115" s="14"/>
      <x:c r="DF115" s="14"/>
      <x:c r="DG115" s="14"/>
      <x:c r="DH115" s="14"/>
      <x:c r="DI115" s="14"/>
      <x:c r="DJ115" s="14"/>
      <x:c r="DK115" s="14"/>
      <x:c r="DL115" s="14"/>
      <x:c r="DM115" s="14"/>
      <x:c r="DN115" s="14"/>
      <x:c r="DO115" s="14"/>
      <x:c r="DP115" s="14"/>
      <x:c r="DQ115" s="14"/>
      <x:c r="DR115" s="14"/>
      <x:c r="DS115" s="14"/>
      <x:c r="DT115" s="14"/>
      <x:c r="DU115" s="14"/>
      <x:c r="DV115" s="14"/>
      <x:c r="DW115" s="14"/>
      <x:c r="DX115" s="14"/>
      <x:c r="DY115" s="14"/>
      <x:c r="DZ115" s="14"/>
      <x:c r="EA115" s="14"/>
      <x:c r="EB115" s="14"/>
      <x:c r="EC115" s="14"/>
      <x:c r="ED115" s="14"/>
      <x:c r="EE115" s="14"/>
      <x:c r="EF115" s="14"/>
      <x:c r="EG115" s="14"/>
      <x:c r="EH115" s="14"/>
      <x:c r="EI115" s="14"/>
      <x:c r="EJ115" s="14"/>
      <x:c r="EK115" s="14"/>
      <x:c r="EL115" s="14"/>
      <x:c r="EM115" s="14"/>
      <x:c r="EN115" s="14"/>
      <x:c r="EO115" s="14"/>
      <x:c r="EP115" s="14"/>
      <x:c r="EQ115" s="14"/>
      <x:c r="ER115" s="14"/>
      <x:c r="ES115" s="14"/>
      <x:c r="ET115" s="14"/>
      <x:c r="EU115" s="14"/>
      <x:c r="EV115" s="14"/>
      <x:c r="EW115" s="14"/>
      <x:c r="EX115" s="14"/>
      <x:c r="EY115" s="14"/>
      <x:c r="EZ115" s="14"/>
      <x:c r="FA115" s="14"/>
      <x:c r="FB115" s="14"/>
      <x:c r="FC115" s="14"/>
      <x:c r="FD115" s="14"/>
      <x:c r="FE115" s="14"/>
      <x:c r="FF115" s="14"/>
      <x:c r="FG115" s="14"/>
      <x:c r="FH115" s="14"/>
      <x:c r="FI115" s="14"/>
      <x:c r="FJ115" s="14"/>
      <x:c r="FK115" s="14"/>
      <x:c r="FL115" s="14"/>
      <x:c r="FM115" s="14"/>
      <x:c r="FN115" s="14"/>
      <x:c r="FO115" s="14"/>
      <x:c r="FP115" s="14"/>
      <x:c r="FQ115" s="14"/>
      <x:c r="FR115" s="14"/>
      <x:c r="FS115" s="14"/>
      <x:c r="FT115" s="14"/>
      <x:c r="FU115" s="14"/>
      <x:c r="FV115" s="14"/>
      <x:c r="FW115" s="14"/>
      <x:c r="FX115" s="14"/>
      <x:c r="FY115" s="14"/>
      <x:c r="FZ115" s="14"/>
      <x:c r="GA115" s="14"/>
      <x:c r="GB115" s="14"/>
      <x:c r="GC115" s="14"/>
      <x:c r="GD115" s="14"/>
      <x:c r="GE115" s="14"/>
      <x:c r="GF115" s="14"/>
      <x:c r="GG115" s="14"/>
      <x:c r="GH115" s="14"/>
      <x:c r="GI115" s="14"/>
      <x:c r="GJ115" s="14"/>
      <x:c r="GK115" s="14"/>
      <x:c r="GL115" s="14"/>
      <x:c r="GM115" s="14"/>
      <x:c r="GN115" s="14"/>
      <x:c r="GO115" s="14"/>
      <x:c r="GP115" s="14"/>
      <x:c r="GQ115" s="14"/>
      <x:c r="GR115" s="14"/>
      <x:c r="GS115" s="14"/>
      <x:c r="GT115" s="14"/>
      <x:c r="GU115" s="14"/>
      <x:c r="GV115" s="14"/>
      <x:c r="GW115" s="14"/>
      <x:c r="GX115" s="14"/>
      <x:c r="GY115" s="14"/>
      <x:c r="GZ115" s="14"/>
      <x:c r="HA115" s="14"/>
      <x:c r="HB115" s="14"/>
      <x:c r="HC115" s="14"/>
      <x:c r="HD115" s="14"/>
      <x:c r="HE115" s="14"/>
      <x:c r="HF115" s="14"/>
      <x:c r="HG115" s="14"/>
      <x:c r="HH115" s="14"/>
      <x:c r="HI115" s="14"/>
      <x:c r="HJ115" s="14"/>
      <x:c r="HK115" s="14"/>
      <x:c r="HL115" s="14"/>
      <x:c r="HM115" s="14"/>
      <x:c r="HN115" s="14"/>
      <x:c r="HO115" s="14"/>
      <x:c r="HP115" s="14"/>
      <x:c r="HQ115" s="14"/>
      <x:c r="HR115" s="14"/>
      <x:c r="HS115" s="14"/>
      <x:c r="HT115" s="14"/>
      <x:c r="HU115" s="14"/>
      <x:c r="HV115" s="14"/>
      <x:c r="HW115" s="14"/>
      <x:c r="HX115" s="14"/>
      <x:c r="HY115" s="14"/>
      <x:c r="HZ115" s="14"/>
      <x:c r="IA115" s="14"/>
      <x:c r="IB115" s="14"/>
      <x:c r="IC115" s="14"/>
      <x:c r="ID115" s="14"/>
      <x:c r="IE115" s="14"/>
      <x:c r="IF115" s="14"/>
      <x:c r="IG115" s="14"/>
      <x:c r="IH115" s="14"/>
      <x:c r="II115" s="14"/>
      <x:c r="IJ115" s="14"/>
      <x:c r="IK115" s="14"/>
      <x:c r="IL115" s="14"/>
      <x:c r="IM115" s="14"/>
      <x:c r="IN115" s="14"/>
      <x:c r="IO115" s="14"/>
      <x:c r="IP115" s="14"/>
      <x:c r="IQ115" s="14"/>
      <x:c r="IR115" s="14"/>
      <x:c r="IS115" s="14"/>
      <x:c r="IT115" s="14"/>
      <x:c r="IU115" s="14"/>
      <x:c r="IV115" s="14"/>
      <x:c r="IW115" s="14"/>
      <x:c r="IX115" s="14"/>
      <x:c r="IY115" s="14"/>
      <x:c r="IZ115" s="14"/>
      <x:c r="JA115" s="14"/>
      <x:c r="JB115" s="14"/>
      <x:c r="JC115" s="14"/>
      <x:c r="JD115" s="14"/>
      <x:c r="JE115" s="14"/>
      <x:c r="JF115" s="14"/>
      <x:c r="JG115" s="14"/>
      <x:c r="JH115" s="14"/>
      <x:c r="JI115" s="14"/>
      <x:c r="JJ115" s="14"/>
      <x:c r="JK115" s="14"/>
      <x:c r="JL115" s="14"/>
      <x:c r="JM115" s="14"/>
      <x:c r="JN115" s="14"/>
      <x:c r="JO115" s="14"/>
      <x:c r="JP115" s="14"/>
      <x:c r="JQ115" s="14"/>
      <x:c r="JR115" s="14"/>
      <x:c r="JS115" s="14"/>
      <x:c r="JT115" s="14"/>
      <x:c r="JU115" s="14"/>
      <x:c r="JV115" s="14"/>
      <x:c r="JW115" s="14"/>
      <x:c r="JX115" s="14"/>
      <x:c r="JY115" s="14"/>
      <x:c r="JZ115" s="14"/>
      <x:c r="KA115" s="14"/>
      <x:c r="KB115" s="14"/>
      <x:c r="KC115" s="14"/>
      <x:c r="KD115" s="14"/>
      <x:c r="KE115" s="14"/>
      <x:c r="KF115" s="14"/>
      <x:c r="KG115" s="14"/>
      <x:c r="KH115" s="14"/>
      <x:c r="KI115" s="14"/>
      <x:c r="KJ115" s="14"/>
      <x:c r="KK115" s="14"/>
      <x:c r="KL115" s="14"/>
      <x:c r="KM115" s="14"/>
      <x:c r="KN115" s="14"/>
      <x:c r="KO115" s="14"/>
      <x:c r="KP115" s="14"/>
      <x:c r="KQ115" s="14"/>
      <x:c r="KR115" s="14"/>
      <x:c r="KS115" s="14"/>
      <x:c r="KT115" s="14"/>
      <x:c r="KU115" s="14"/>
      <x:c r="KV115" s="14"/>
      <x:c r="KW115" s="14"/>
      <x:c r="KX115" s="14"/>
      <x:c r="KY115" s="14"/>
      <x:c r="KZ115" s="14"/>
      <x:c r="LA115" s="14"/>
      <x:c r="LB115" s="14"/>
      <x:c r="LC115" s="14"/>
      <x:c r="LD115" s="14"/>
      <x:c r="LE115" s="14"/>
      <x:c r="LF115" s="14"/>
      <x:c r="LG115" s="14"/>
      <x:c r="LH115" s="14"/>
      <x:c r="LI115" s="14"/>
      <x:c r="LJ115" s="14"/>
      <x:c r="LK115" s="14"/>
      <x:c r="LL115" s="14"/>
      <x:c r="LM115" s="14"/>
      <x:c r="LN115" s="14"/>
      <x:c r="LO115" s="14"/>
      <x:c r="LP115" s="14"/>
      <x:c r="LQ115" s="14"/>
      <x:c r="LR115" s="14"/>
      <x:c r="LS115" s="14"/>
      <x:c r="LT115" s="14"/>
      <x:c r="LU115" s="14"/>
      <x:c r="LV115" s="14"/>
      <x:c r="LW115" s="14"/>
      <x:c r="LX115" s="14"/>
      <x:c r="LY115" s="14"/>
      <x:c r="LZ115" s="14"/>
      <x:c r="MA115" s="14"/>
      <x:c r="MB115" s="14"/>
      <x:c r="MC115" s="14"/>
      <x:c r="MD115" s="14"/>
      <x:c r="ME115" s="14"/>
      <x:c r="MF115" s="14"/>
      <x:c r="MG115" s="14"/>
      <x:c r="MH115" s="14"/>
      <x:c r="MI115" s="14"/>
      <x:c r="MJ115" s="14"/>
      <x:c r="MK115" s="14"/>
      <x:c r="ML115" s="14"/>
      <x:c r="MM115" s="14"/>
      <x:c r="MN115" s="14"/>
      <x:c r="MO115" s="14"/>
      <x:c r="MP115" s="14"/>
      <x:c r="MQ115" s="14"/>
      <x:c r="MR115" s="14"/>
      <x:c r="MS115" s="14"/>
      <x:c r="MT115" s="14"/>
      <x:c r="MU115" s="14"/>
      <x:c r="MV115" s="14"/>
      <x:c r="MW115" s="14" t="str">
        <x:v>30266</x:v>
      </x:c>
      <x:c r="MX115" s="14" t="n">
        <x:v>5</x:v>
      </x:c>
      <x:c r="MY115" s="14" t="n">
        <x:v>2025</x:v>
      </x:c>
      <x:c r="MZ115" s="14" t="n">
        <x:v>377</x:v>
      </x:c>
      <x:c r="NA115" s="14" t="n">
        <x:v>23</x:v>
      </x:c>
      <x:c r="NB115" s="14" t="n">
        <x:v>1</x:v>
      </x:c>
      <x:c r="NC115" s="14" t="str">
        <x:v>未收錄</x:v>
      </x:c>
      <x:c r="ND115" s="14" t="str">
        <x:v>30271</x:v>
      </x:c>
      <x:c r="NE115" s="14" t="n">
        <x:v>5</x:v>
      </x:c>
      <x:c r="NF115" s="14" t="n">
        <x:v>2026</x:v>
      </x:c>
      <x:c r="NG115" s="14" t="n">
        <x:v>378</x:v>
      </x:c>
      <x:c r="NH115" s="14" t="n">
        <x:v>23</x:v>
      </x:c>
      <x:c r="NI115" s="14" t="n">
        <x:v>2</x:v>
      </x:c>
      <x:c r="NJ115" s="14" t="str">
        <x:v>未收錄</x:v>
      </x:c>
      <x:c r="NK115" s="14" t="str">
        <x:v>30371</x:v>
      </x:c>
      <x:c r="NL115" s="14" t="n">
        <x:v>10</x:v>
      </x:c>
      <x:c r="NM115" s="14" t="n">
        <x:v>2027</x:v>
      </x:c>
      <x:c r="NN115" s="14" t="n">
        <x:v>379</x:v>
      </x:c>
      <x:c r="NO115" s="14" t="n">
        <x:v>23</x:v>
      </x:c>
      <x:c r="NP115" s="14" t="n">
        <x:v>3</x:v>
      </x:c>
      <x:c r="NQ115" s="14" t="str">
        <x:v>未收錄</x:v>
      </x:c>
      <x:c r="NR115" s="14" t="str">
        <x:v>30391</x:v>
      </x:c>
      <x:c r="NS115" s="14" t="n">
        <x:v>10</x:v>
      </x:c>
      <x:c r="NT115" s="14" t="n">
        <x:v>2028</x:v>
      </x:c>
      <x:c r="NU115" s="14" t="n">
        <x:v>380</x:v>
      </x:c>
      <x:c r="NV115" s="14" t="n">
        <x:v>23</x:v>
      </x:c>
      <x:c r="NW115" s="14" t="n">
        <x:v>4</x:v>
      </x:c>
      <x:c r="NX115" s="14" t="str">
        <x:v>未收錄</x:v>
      </x:c>
      <x:c r="NY115" s="14" t="str">
        <x:v>28860</x:v>
      </x:c>
      <x:c r="NZ115" s="14" t="n">
        <x:v>5</x:v>
      </x:c>
      <x:c r="OA115" s="14" t="n">
        <x:v>2478</x:v>
      </x:c>
      <x:c r="OB115" s="14" t="n">
        <x:v>377</x:v>
      </x:c>
      <x:c r="OC115" s="14" t="n">
        <x:v>23</x:v>
      </x:c>
      <x:c r="OD115" s="14" t="n">
        <x:v>1</x:v>
      </x:c>
      <x:c r="OE115" s="14" t="str">
        <x:v>未收錄</x:v>
      </x:c>
      <x:c r="OF115" s="14" t="str">
        <x:v>28863</x:v>
      </x:c>
      <x:c r="OG115" s="14" t="n">
        <x:v>5</x:v>
      </x:c>
      <x:c r="OH115" s="14" t="n">
        <x:v>2479</x:v>
      </x:c>
      <x:c r="OI115" s="14" t="n">
        <x:v>378</x:v>
      </x:c>
      <x:c r="OJ115" s="14" t="n">
        <x:v>23</x:v>
      </x:c>
      <x:c r="OK115" s="14" t="n">
        <x:v>2</x:v>
      </x:c>
      <x:c r="OL115" s="14" t="str">
        <x:v>未收錄</x:v>
      </x:c>
      <x:c r="OM115" s="14" t="str">
        <x:v>28866</x:v>
      </x:c>
      <x:c r="ON115" s="14" t="n">
        <x:v>5</x:v>
      </x:c>
      <x:c r="OO115" s="14" t="n">
        <x:v>2480</x:v>
      </x:c>
      <x:c r="OP115" s="14" t="n">
        <x:v>379</x:v>
      </x:c>
      <x:c r="OQ115" s="14" t="n">
        <x:v>23</x:v>
      </x:c>
      <x:c r="OR115" s="14" t="n">
        <x:v>3</x:v>
      </x:c>
      <x:c r="OS115" s="14" t="str">
        <x:v>未收錄</x:v>
      </x:c>
      <x:c r="OT115" s="14" t="str">
        <x:v>28869</x:v>
      </x:c>
      <x:c r="OU115" s="14" t="n">
        <x:v>5</x:v>
      </x:c>
      <x:c r="OV115" s="14" t="n">
        <x:v>2481</x:v>
      </x:c>
      <x:c r="OW115" s="14" t="n">
        <x:v>380</x:v>
      </x:c>
      <x:c r="OX115" s="14" t="n">
        <x:v>23</x:v>
      </x:c>
      <x:c r="OY115" s="14" t="n">
        <x:v>4</x:v>
      </x:c>
      <x:c r="OZ115" s="14" t="str">
        <x:v>未收錄</x:v>
      </x:c>
      <x:c r="PA115" s="14" t="str">
        <x:v>30318</x:v>
      </x:c>
      <x:c r="PB115" s="14" t="n">
        <x:v>5</x:v>
      </x:c>
      <x:c r="PC115" s="14" t="n">
        <x:v>3024</x:v>
      </x:c>
      <x:c r="PD115" s="14" t="n">
        <x:v>377</x:v>
      </x:c>
      <x:c r="PE115" s="14" t="n">
        <x:v>23</x:v>
      </x:c>
      <x:c r="PF115" s="14" t="n">
        <x:v>1</x:v>
      </x:c>
      <x:c r="PG115" s="14" t="str">
        <x:v>未收錄</x:v>
      </x:c>
      <x:c r="PH115" s="14" t="str">
        <x:v>30323</x:v>
      </x:c>
      <x:c r="PI115" s="14" t="n">
        <x:v>5</x:v>
      </x:c>
      <x:c r="PJ115" s="14" t="n">
        <x:v>3025</x:v>
      </x:c>
      <x:c r="PK115" s="14" t="n">
        <x:v>378</x:v>
      </x:c>
      <x:c r="PL115" s="14" t="n">
        <x:v>23</x:v>
      </x:c>
      <x:c r="PM115" s="14" t="n">
        <x:v>2</x:v>
      </x:c>
      <x:c r="PN115" s="14" t="str">
        <x:v>未收錄</x:v>
      </x:c>
      <x:c r="PO115" s="14" t="str">
        <x:v>30383</x:v>
      </x:c>
      <x:c r="PP115" s="14" t="n">
        <x:v>10</x:v>
      </x:c>
      <x:c r="PQ115" s="14" t="n">
        <x:v>3026</x:v>
      </x:c>
      <x:c r="PR115" s="14" t="n">
        <x:v>379</x:v>
      </x:c>
      <x:c r="PS115" s="14" t="n">
        <x:v>23</x:v>
      </x:c>
      <x:c r="PT115" s="14" t="n">
        <x:v>3</x:v>
      </x:c>
      <x:c r="PU115" s="14" t="str">
        <x:v>未收錄</x:v>
      </x:c>
      <x:c r="PV115" s="14" t="str">
        <x:v>30403</x:v>
      </x:c>
      <x:c r="PW115" s="14" t="n">
        <x:v>10</x:v>
      </x:c>
      <x:c r="PX115" s="14" t="n">
        <x:v>3027</x:v>
      </x:c>
      <x:c r="PY115" s="14" t="n">
        <x:v>380</x:v>
      </x:c>
      <x:c r="PZ115" s="14" t="n">
        <x:v>23</x:v>
      </x:c>
      <x:c r="QA115" s="14" t="n">
        <x:v>4</x:v>
      </x:c>
      <x:c r="QB115" s="14" t="str">
        <x:v>未收錄</x:v>
      </x:c>
      <x:c r="QC115" s="14" t="str">
        <x:v>27341</x:v>
      </x:c>
      <x:c r="QD115" s="14" t="n">
        <x:v>5</x:v>
      </x:c>
      <x:c r="QE115" s="14" t="n">
        <x:v>3461</x:v>
      </x:c>
      <x:c r="QF115" s="14" t="n">
        <x:v>377</x:v>
      </x:c>
      <x:c r="QG115" s="14" t="n">
        <x:v>23</x:v>
      </x:c>
      <x:c r="QH115" s="14" t="n">
        <x:v>1</x:v>
      </x:c>
      <x:c r="QI115" s="14" t="str">
        <x:v>未收錄</x:v>
      </x:c>
      <x:c r="QJ115" s="14" t="str">
        <x:v>27342</x:v>
      </x:c>
      <x:c r="QK115" s="14" t="n">
        <x:v>5</x:v>
      </x:c>
      <x:c r="QL115" s="14" t="n">
        <x:v>3462</x:v>
      </x:c>
      <x:c r="QM115" s="14" t="n">
        <x:v>378</x:v>
      </x:c>
      <x:c r="QN115" s="14" t="n">
        <x:v>23</x:v>
      </x:c>
      <x:c r="QO115" s="14" t="n">
        <x:v>2</x:v>
      </x:c>
      <x:c r="QP115" s="14" t="str">
        <x:v>未收錄</x:v>
      </x:c>
      <x:c r="QQ115" s="14" t="str">
        <x:v>27343</x:v>
      </x:c>
      <x:c r="QR115" s="14" t="n">
        <x:v>5</x:v>
      </x:c>
      <x:c r="QS115" s="14" t="n">
        <x:v>3463</x:v>
      </x:c>
      <x:c r="QT115" s="14" t="n">
        <x:v>379</x:v>
      </x:c>
      <x:c r="QU115" s="14" t="n">
        <x:v>23</x:v>
      </x:c>
      <x:c r="QV115" s="14" t="n">
        <x:v>3</x:v>
      </x:c>
      <x:c r="QW115" s="14" t="str">
        <x:v>未收錄</x:v>
      </x:c>
      <x:c r="QX115" s="14" t="str">
        <x:v>30878</x:v>
      </x:c>
      <x:c r="QY115" s="14" t="n">
        <x:v>2</x:v>
      </x:c>
      <x:c r="QZ115" s="14" t="n">
        <x:v>3464</x:v>
      </x:c>
      <x:c r="RA115" s="14" t="n">
        <x:v>380</x:v>
      </x:c>
      <x:c r="RB115" s="14" t="n">
        <x:v>23</x:v>
      </x:c>
      <x:c r="RC115" s="14" t="n">
        <x:v>4</x:v>
      </x:c>
      <x:c r="RD115" s="14" t="str">
        <x:v>未收錄</x:v>
      </x:c>
      <x:c r="RE115" s="14" t="str">
        <x:v>30978</x:v>
      </x:c>
      <x:c r="RF115" s="14" t="n">
        <x:v>5</x:v>
      </x:c>
      <x:c r="RG115" s="14" t="n">
        <x:v>3922</x:v>
      </x:c>
      <x:c r="RH115" s="14" t="n">
        <x:v>377</x:v>
      </x:c>
      <x:c r="RI115" s="14" t="n">
        <x:v>23</x:v>
      </x:c>
      <x:c r="RJ115" s="14" t="n">
        <x:v>1</x:v>
      </x:c>
      <x:c r="RK115" s="14" t="str">
        <x:v>未收錄</x:v>
      </x:c>
      <x:c r="RL115" s="14" t="str">
        <x:v>31057</x:v>
      </x:c>
      <x:c r="RM115" s="14" t="n">
        <x:v>20</x:v>
      </x:c>
      <x:c r="RN115" s="14" t="n">
        <x:v>3923</x:v>
      </x:c>
      <x:c r="RO115" s="14" t="n">
        <x:v>378</x:v>
      </x:c>
      <x:c r="RP115" s="14" t="n">
        <x:v>23</x:v>
      </x:c>
      <x:c r="RQ115" s="14" t="n">
        <x:v>2</x:v>
      </x:c>
      <x:c r="RR115" s="14" t="str">
        <x:v>未收錄</x:v>
      </x:c>
      <x:c r="RS115" s="14" t="str">
        <x:v>30608</x:v>
      </x:c>
      <x:c r="RT115" s="14" t="n">
        <x:v>10</x:v>
      </x:c>
      <x:c r="RU115" s="14" t="n">
        <x:v>3924</x:v>
      </x:c>
      <x:c r="RV115" s="14" t="n">
        <x:v>379</x:v>
      </x:c>
      <x:c r="RW115" s="14" t="n">
        <x:v>23</x:v>
      </x:c>
      <x:c r="RX115" s="14" t="n">
        <x:v>3</x:v>
      </x:c>
      <x:c r="RY115" s="14" t="str">
        <x:v>未收錄</x:v>
      </x:c>
      <x:c r="RZ115" s="14" t="str">
        <x:v>30609</x:v>
      </x:c>
      <x:c r="SA115" s="14" t="n">
        <x:v>10</x:v>
      </x:c>
      <x:c r="SB115" s="14" t="n">
        <x:v>3925</x:v>
      </x:c>
      <x:c r="SC115" s="14" t="n">
        <x:v>380</x:v>
      </x:c>
      <x:c r="SD115" s="14" t="n">
        <x:v>23</x:v>
      </x:c>
      <x:c r="SE115" s="14" t="n">
        <x:v>4</x:v>
      </x:c>
      <x:c r="SF115" s="14" t="str">
        <x:v>未收錄</x:v>
      </x:c>
      <x:c r="SG115" s="14"/>
      <x:c r="SH115" s="14"/>
      <x:c r="SI115" s="14"/>
      <x:c r="SJ115" s="14"/>
      <x:c r="SK115" s="14"/>
      <x:c r="SL115" s="14"/>
      <x:c r="SM115" s="14"/>
      <x:c r="SN115" s="14"/>
      <x:c r="SO115" s="14"/>
      <x:c r="SP115" s="14"/>
      <x:c r="SQ115" s="14"/>
      <x:c r="SR115" s="14"/>
      <x:c r="SS115" s="14"/>
      <x:c r="ST115" s="14"/>
      <x:c r="SU115" s="14"/>
      <x:c r="SV115" s="14"/>
      <x:c r="SW115" s="14"/>
      <x:c r="SX115" s="14"/>
      <x:c r="SY115" s="14"/>
      <x:c r="SZ115" s="14"/>
      <x:c r="TA115" s="14"/>
      <x:c r="TB115" s="14"/>
      <x:c r="TC115" s="14"/>
      <x:c r="TD115" s="14"/>
      <x:c r="TE115" s="14"/>
      <x:c r="TF115" s="14"/>
      <x:c r="TG115" s="14"/>
      <x:c r="TH115" s="14"/>
    </x:row>
    <x:row r="116" ht="15" customHeight="1">
      <x:c r="A116" s="14"/>
      <x:c r="B116" s="14"/>
      <x:c r="C116" s="14"/>
      <x:c r="D116" s="14"/>
      <x:c r="E116" s="14"/>
      <x:c r="F116" s="14"/>
      <x:c r="G116" s="14"/>
      <x:c r="H116" s="14"/>
      <x:c r="I116" s="14"/>
      <x:c r="J116" s="14"/>
      <x:c r="K116" s="14"/>
      <x:c r="L116" s="14"/>
      <x:c r="M116" s="14"/>
      <x:c r="N116" s="14"/>
      <x:c r="O116" s="14"/>
      <x:c r="P116" s="14"/>
      <x:c r="Q116" s="14"/>
      <x:c r="R116" s="14"/>
      <x:c r="S116" s="14"/>
      <x:c r="T116" s="14"/>
      <x:c r="U116" s="14"/>
      <x:c r="V116" s="14"/>
      <x:c r="W116" s="14"/>
      <x:c r="X116" s="14"/>
      <x:c r="Y116" s="14"/>
      <x:c r="Z116" s="14"/>
      <x:c r="AA116" s="14"/>
      <x:c r="AB116" s="14"/>
      <x:c r="AC116" s="14"/>
      <x:c r="AD116" s="14"/>
      <x:c r="AE116" s="14"/>
      <x:c r="AF116" s="14"/>
      <x:c r="AG116" s="14"/>
      <x:c r="AH116" s="14"/>
      <x:c r="AI116" s="14"/>
      <x:c r="AJ116" s="14"/>
      <x:c r="AK116" s="14"/>
      <x:c r="AL116" s="14"/>
      <x:c r="AM116" s="14"/>
      <x:c r="AN116" s="14"/>
      <x:c r="AO116" s="14"/>
      <x:c r="AP116" s="14"/>
      <x:c r="AQ116" s="14"/>
      <x:c r="AR116" s="14"/>
      <x:c r="AS116" s="14"/>
      <x:c r="AT116" s="14"/>
      <x:c r="AU116" s="14"/>
      <x:c r="AV116" s="14"/>
      <x:c r="AW116" s="14"/>
      <x:c r="AX116" s="14"/>
      <x:c r="AY116" s="18" t="str">
        <x:v>宿星銀兜Ⅰ</x:v>
      </x:c>
      <x:c r="AZ116" s="18" t="str">
        <x:v>劍豪旭冠Ⅱ</x:v>
      </x:c>
      <x:c r="BA116" s="18" t="str">
        <x:v>勇將旭盔Ⅱ</x:v>
      </x:c>
      <x:c r="BB116" s="18" t="str">
        <x:v>術凌旭巾Ⅱ</x:v>
      </x:c>
      <x:c r="BC116" s="14"/>
      <x:c r="BD116" s="18" t="str">
        <x:v>鬼兇鎧☆☆</x:v>
      </x:c>
      <x:c r="BE116" s="18" t="str">
        <x:v>柳天衣☆☆</x:v>
      </x:c>
      <x:c r="BF116" s="18" t="str">
        <x:v>碧隱甲☆☆</x:v>
      </x:c>
      <x:c r="BG116" s="18" t="str">
        <x:v>碧行裟☆☆</x:v>
      </x:c>
      <x:c r="BH116" s="14"/>
      <x:c r="BI116" s="18" t="str">
        <x:v>宿星爍臂Ⅲ</x:v>
      </x:c>
      <x:c r="BJ116" s="18" t="str">
        <x:v>劍豪旭腕Ⅳ</x:v>
      </x:c>
      <x:c r="BK116" s="18" t="str">
        <x:v>勇將旭掌Ⅳ</x:v>
      </x:c>
      <x:c r="BL116" s="18" t="str">
        <x:v>術凌旭指Ⅳ</x:v>
      </x:c>
      <x:c r="BM116" s="14"/>
      <x:c r="BN116" s="18" t="str">
        <x:v>龍池草履</x:v>
      </x:c>
      <x:c r="BO116" s="18" t="str">
        <x:v>劍豪旭靴Ⅰ</x:v>
      </x:c>
      <x:c r="BP116" s="18" t="str">
        <x:v>勇將旭立Ⅰ</x:v>
      </x:c>
      <x:c r="BQ116" s="18" t="str">
        <x:v>術凌旭步Ⅰ</x:v>
      </x:c>
      <x:c r="BR116" s="14"/>
      <x:c r="BS116" s="18" t="str">
        <x:v>九鼎太清經</x:v>
      </x:c>
      <x:c r="BT116" s="18" t="str">
        <x:v>南華題命譜</x:v>
      </x:c>
      <x:c r="BU116" s="18" t="str">
        <x:v>記方體串鍊</x:v>
      </x:c>
      <x:c r="BV116" s="18" t="str">
        <x:v>處理核串鍊</x:v>
      </x:c>
      <x:c r="BW116" s="14"/>
      <x:c r="BX116" s="14"/>
      <x:c r="BY116" s="14"/>
      <x:c r="BZ116" s="14"/>
      <x:c r="CA116" s="14"/>
      <x:c r="CB116" s="14"/>
      <x:c r="CC116" s="14"/>
      <x:c r="CD116" s="14"/>
      <x:c r="CE116" s="14"/>
      <x:c r="CF116" s="14"/>
      <x:c r="CG116" s="14"/>
      <x:c r="CH116" s="14"/>
      <x:c r="CI116" s="14"/>
      <x:c r="CJ116" s="14"/>
      <x:c r="CK116" s="14"/>
      <x:c r="CL116" s="14"/>
      <x:c r="CM116" s="14"/>
      <x:c r="CN116" s="14"/>
      <x:c r="CO116" s="14"/>
      <x:c r="CP116" s="14"/>
      <x:c r="CQ116" s="14"/>
      <x:c r="CR116" s="14"/>
      <x:c r="CS116" s="14"/>
      <x:c r="CT116" s="14"/>
      <x:c r="CU116" s="14"/>
      <x:c r="CV116" s="14"/>
      <x:c r="CW116" s="14"/>
      <x:c r="CX116" s="14"/>
      <x:c r="CY116" s="14"/>
      <x:c r="CZ116" s="14"/>
      <x:c r="DA116" s="14"/>
      <x:c r="DB116" s="14"/>
      <x:c r="DC116" s="14"/>
      <x:c r="DD116" s="14"/>
      <x:c r="DE116" s="14"/>
      <x:c r="DF116" s="14"/>
      <x:c r="DG116" s="14"/>
      <x:c r="DH116" s="14"/>
      <x:c r="DI116" s="14"/>
      <x:c r="DJ116" s="14"/>
      <x:c r="DK116" s="14"/>
      <x:c r="DL116" s="14"/>
      <x:c r="DM116" s="14"/>
      <x:c r="DN116" s="14"/>
      <x:c r="DO116" s="14"/>
      <x:c r="DP116" s="14"/>
      <x:c r="DQ116" s="14"/>
      <x:c r="DR116" s="14"/>
      <x:c r="DS116" s="14"/>
      <x:c r="DT116" s="14"/>
      <x:c r="DU116" s="14"/>
      <x:c r="DV116" s="14"/>
      <x:c r="DW116" s="14"/>
      <x:c r="DX116" s="14"/>
      <x:c r="DY116" s="14"/>
      <x:c r="DZ116" s="14"/>
      <x:c r="EA116" s="14"/>
      <x:c r="EB116" s="14"/>
      <x:c r="EC116" s="14"/>
      <x:c r="ED116" s="14"/>
      <x:c r="EE116" s="14"/>
      <x:c r="EF116" s="14"/>
      <x:c r="EG116" s="14"/>
      <x:c r="EH116" s="14"/>
      <x:c r="EI116" s="14"/>
      <x:c r="EJ116" s="14"/>
      <x:c r="EK116" s="14"/>
      <x:c r="EL116" s="14"/>
      <x:c r="EM116" s="14"/>
      <x:c r="EN116" s="14"/>
      <x:c r="EO116" s="14"/>
      <x:c r="EP116" s="14"/>
      <x:c r="EQ116" s="14"/>
      <x:c r="ER116" s="14"/>
      <x:c r="ES116" s="14"/>
      <x:c r="ET116" s="14"/>
      <x:c r="EU116" s="14"/>
      <x:c r="EV116" s="14"/>
      <x:c r="EW116" s="14"/>
      <x:c r="EX116" s="14"/>
      <x:c r="EY116" s="14"/>
      <x:c r="EZ116" s="14"/>
      <x:c r="FA116" s="14"/>
      <x:c r="FB116" s="14"/>
      <x:c r="FC116" s="14"/>
      <x:c r="FD116" s="14"/>
      <x:c r="FE116" s="14"/>
      <x:c r="FF116" s="14"/>
      <x:c r="FG116" s="14"/>
      <x:c r="FH116" s="14"/>
      <x:c r="FI116" s="14"/>
      <x:c r="FJ116" s="14"/>
      <x:c r="FK116" s="14"/>
      <x:c r="FL116" s="14"/>
      <x:c r="FM116" s="14"/>
      <x:c r="FN116" s="14"/>
      <x:c r="FO116" s="14"/>
      <x:c r="FP116" s="14"/>
      <x:c r="FQ116" s="14"/>
      <x:c r="FR116" s="14"/>
      <x:c r="FS116" s="14"/>
      <x:c r="FT116" s="14"/>
      <x:c r="FU116" s="14"/>
      <x:c r="FV116" s="14"/>
      <x:c r="FW116" s="14"/>
      <x:c r="FX116" s="14"/>
      <x:c r="FY116" s="14"/>
      <x:c r="FZ116" s="14"/>
      <x:c r="GA116" s="14"/>
      <x:c r="GB116" s="14"/>
      <x:c r="GC116" s="14"/>
      <x:c r="GD116" s="14"/>
      <x:c r="GE116" s="14"/>
      <x:c r="GF116" s="14"/>
      <x:c r="GG116" s="14"/>
      <x:c r="GH116" s="14"/>
      <x:c r="GI116" s="14"/>
      <x:c r="GJ116" s="14"/>
      <x:c r="GK116" s="14"/>
      <x:c r="GL116" s="14"/>
      <x:c r="GM116" s="14"/>
      <x:c r="GN116" s="14"/>
      <x:c r="GO116" s="14"/>
      <x:c r="GP116" s="14"/>
      <x:c r="GQ116" s="14"/>
      <x:c r="GR116" s="14"/>
      <x:c r="GS116" s="14"/>
      <x:c r="GT116" s="14"/>
      <x:c r="GU116" s="14"/>
      <x:c r="GV116" s="14"/>
      <x:c r="GW116" s="14"/>
      <x:c r="GX116" s="14"/>
      <x:c r="GY116" s="14"/>
      <x:c r="GZ116" s="14"/>
      <x:c r="HA116" s="14"/>
      <x:c r="HB116" s="14"/>
      <x:c r="HC116" s="14"/>
      <x:c r="HD116" s="14"/>
      <x:c r="HE116" s="14"/>
      <x:c r="HF116" s="14"/>
      <x:c r="HG116" s="14"/>
      <x:c r="HH116" s="14"/>
      <x:c r="HI116" s="14"/>
      <x:c r="HJ116" s="14"/>
      <x:c r="HK116" s="14"/>
      <x:c r="HL116" s="14"/>
      <x:c r="HM116" s="14"/>
      <x:c r="HN116" s="14"/>
      <x:c r="HO116" s="14"/>
      <x:c r="HP116" s="14"/>
      <x:c r="HQ116" s="14"/>
      <x:c r="HR116" s="14"/>
      <x:c r="HS116" s="14"/>
      <x:c r="HT116" s="14"/>
      <x:c r="HU116" s="14"/>
      <x:c r="HV116" s="14"/>
      <x:c r="HW116" s="14"/>
      <x:c r="HX116" s="14"/>
      <x:c r="HY116" s="14"/>
      <x:c r="HZ116" s="14"/>
      <x:c r="IA116" s="14"/>
      <x:c r="IB116" s="14"/>
      <x:c r="IC116" s="14"/>
      <x:c r="ID116" s="14"/>
      <x:c r="IE116" s="14"/>
      <x:c r="IF116" s="14"/>
      <x:c r="IG116" s="14"/>
      <x:c r="IH116" s="14"/>
      <x:c r="II116" s="14"/>
      <x:c r="IJ116" s="14"/>
      <x:c r="IK116" s="14"/>
      <x:c r="IL116" s="14"/>
      <x:c r="IM116" s="14"/>
      <x:c r="IN116" s="14"/>
      <x:c r="IO116" s="14"/>
      <x:c r="IP116" s="14"/>
      <x:c r="IQ116" s="14"/>
      <x:c r="IR116" s="14"/>
      <x:c r="IS116" s="14"/>
      <x:c r="IT116" s="14"/>
      <x:c r="IU116" s="14"/>
      <x:c r="IV116" s="14"/>
      <x:c r="IW116" s="14"/>
      <x:c r="IX116" s="14"/>
      <x:c r="IY116" s="14"/>
      <x:c r="IZ116" s="14"/>
      <x:c r="JA116" s="14"/>
      <x:c r="JB116" s="14"/>
      <x:c r="JC116" s="14"/>
      <x:c r="JD116" s="14"/>
      <x:c r="JE116" s="14"/>
      <x:c r="JF116" s="14"/>
      <x:c r="JG116" s="14"/>
      <x:c r="JH116" s="14"/>
      <x:c r="JI116" s="14"/>
      <x:c r="JJ116" s="14"/>
      <x:c r="JK116" s="14"/>
      <x:c r="JL116" s="14"/>
      <x:c r="JM116" s="14"/>
      <x:c r="JN116" s="14"/>
      <x:c r="JO116" s="14"/>
      <x:c r="JP116" s="14"/>
      <x:c r="JQ116" s="14"/>
      <x:c r="JR116" s="14"/>
      <x:c r="JS116" s="14"/>
      <x:c r="JT116" s="14"/>
      <x:c r="JU116" s="14"/>
      <x:c r="JV116" s="14"/>
      <x:c r="JW116" s="14"/>
      <x:c r="JX116" s="14"/>
      <x:c r="JY116" s="14"/>
      <x:c r="JZ116" s="14"/>
      <x:c r="KA116" s="14"/>
      <x:c r="KB116" s="14"/>
      <x:c r="KC116" s="14"/>
      <x:c r="KD116" s="14"/>
      <x:c r="KE116" s="14"/>
      <x:c r="KF116" s="14"/>
      <x:c r="KG116" s="14"/>
      <x:c r="KH116" s="14"/>
      <x:c r="KI116" s="14"/>
      <x:c r="KJ116" s="14"/>
      <x:c r="KK116" s="14"/>
      <x:c r="KL116" s="14"/>
      <x:c r="KM116" s="14"/>
      <x:c r="KN116" s="14"/>
      <x:c r="KO116" s="14"/>
      <x:c r="KP116" s="14"/>
      <x:c r="KQ116" s="14"/>
      <x:c r="KR116" s="14"/>
      <x:c r="KS116" s="14"/>
      <x:c r="KT116" s="14"/>
      <x:c r="KU116" s="14"/>
      <x:c r="KV116" s="14"/>
      <x:c r="KW116" s="14"/>
      <x:c r="KX116" s="14"/>
      <x:c r="KY116" s="14"/>
      <x:c r="KZ116" s="14"/>
      <x:c r="LA116" s="14"/>
      <x:c r="LB116" s="14"/>
      <x:c r="LC116" s="14"/>
      <x:c r="LD116" s="14"/>
      <x:c r="LE116" s="14"/>
      <x:c r="LF116" s="14"/>
      <x:c r="LG116" s="14"/>
      <x:c r="LH116" s="14"/>
      <x:c r="LI116" s="14"/>
      <x:c r="LJ116" s="14"/>
      <x:c r="LK116" s="14"/>
      <x:c r="LL116" s="14"/>
      <x:c r="LM116" s="14"/>
      <x:c r="LN116" s="14"/>
      <x:c r="LO116" s="14"/>
      <x:c r="LP116" s="14"/>
      <x:c r="LQ116" s="14"/>
      <x:c r="LR116" s="14"/>
      <x:c r="LS116" s="14"/>
      <x:c r="LT116" s="14"/>
      <x:c r="LU116" s="14"/>
      <x:c r="LV116" s="14"/>
      <x:c r="LW116" s="14"/>
      <x:c r="LX116" s="14"/>
      <x:c r="LY116" s="14"/>
      <x:c r="LZ116" s="14"/>
      <x:c r="MA116" s="14"/>
      <x:c r="MB116" s="14"/>
      <x:c r="MC116" s="14"/>
      <x:c r="MD116" s="14"/>
      <x:c r="ME116" s="14"/>
      <x:c r="MF116" s="14"/>
      <x:c r="MG116" s="14"/>
      <x:c r="MH116" s="14"/>
      <x:c r="MI116" s="14"/>
      <x:c r="MJ116" s="14"/>
      <x:c r="MK116" s="14"/>
      <x:c r="ML116" s="14"/>
      <x:c r="MM116" s="14"/>
      <x:c r="MN116" s="14"/>
      <x:c r="MO116" s="14"/>
      <x:c r="MP116" s="14"/>
      <x:c r="MQ116" s="14"/>
      <x:c r="MR116" s="14"/>
      <x:c r="MS116" s="14"/>
      <x:c r="MT116" s="14"/>
      <x:c r="MU116" s="14"/>
      <x:c r="MV116" s="14"/>
      <x:c r="MW116" s="14" t="str">
        <x:v>30411</x:v>
      </x:c>
      <x:c r="MX116" s="14" t="n">
        <x:v>10</x:v>
      </x:c>
      <x:c r="MY116" s="14" t="n">
        <x:v>2029</x:v>
      </x:c>
      <x:c r="MZ116" s="14" t="n">
        <x:v>381</x:v>
      </x:c>
      <x:c r="NA116" s="14" t="n">
        <x:v>24</x:v>
      </x:c>
      <x:c r="NB116" s="14" t="n">
        <x:v>1</x:v>
      </x:c>
      <x:c r="NC116" s="14" t="str">
        <x:v>未收錄</x:v>
      </x:c>
      <x:c r="ND116" s="14" t="str">
        <x:v>30252</x:v>
      </x:c>
      <x:c r="NE116" s="14" t="n">
        <x:v>5</x:v>
      </x:c>
      <x:c r="NF116" s="14" t="n">
        <x:v>2030</x:v>
      </x:c>
      <x:c r="NG116" s="14" t="n">
        <x:v>382</x:v>
      </x:c>
      <x:c r="NH116" s="14" t="n">
        <x:v>24</x:v>
      </x:c>
      <x:c r="NI116" s="14" t="n">
        <x:v>2</x:v>
      </x:c>
      <x:c r="NJ116" s="14" t="str">
        <x:v>未收錄</x:v>
      </x:c>
      <x:c r="NK116" s="14" t="str">
        <x:v>30257</x:v>
      </x:c>
      <x:c r="NL116" s="14" t="n">
        <x:v>5</x:v>
      </x:c>
      <x:c r="NM116" s="14" t="n">
        <x:v>2031</x:v>
      </x:c>
      <x:c r="NN116" s="14" t="n">
        <x:v>383</x:v>
      </x:c>
      <x:c r="NO116" s="14" t="n">
        <x:v>24</x:v>
      </x:c>
      <x:c r="NP116" s="14" t="n">
        <x:v>3</x:v>
      </x:c>
      <x:c r="NQ116" s="14" t="str">
        <x:v>未收錄</x:v>
      </x:c>
      <x:c r="NR116" s="14" t="str">
        <x:v>30262</x:v>
      </x:c>
      <x:c r="NS116" s="14" t="n">
        <x:v>5</x:v>
      </x:c>
      <x:c r="NT116" s="14" t="n">
        <x:v>2032</x:v>
      </x:c>
      <x:c r="NU116" s="14" t="n">
        <x:v>384</x:v>
      </x:c>
      <x:c r="NV116" s="14" t="n">
        <x:v>24</x:v>
      </x:c>
      <x:c r="NW116" s="14" t="n">
        <x:v>4</x:v>
      </x:c>
      <x:c r="NX116" s="14" t="str">
        <x:v>未收錄</x:v>
      </x:c>
      <x:c r="NY116" s="14" t="str">
        <x:v>28955</x:v>
      </x:c>
      <x:c r="NZ116" s="14" t="n">
        <x:v>10</x:v>
      </x:c>
      <x:c r="OA116" s="14" t="n">
        <x:v>2482</x:v>
      </x:c>
      <x:c r="OB116" s="14" t="n">
        <x:v>381</x:v>
      </x:c>
      <x:c r="OC116" s="14" t="n">
        <x:v>24</x:v>
      </x:c>
      <x:c r="OD116" s="14" t="n">
        <x:v>1</x:v>
      </x:c>
      <x:c r="OE116" s="14" t="str">
        <x:v>未收錄</x:v>
      </x:c>
      <x:c r="OF116" s="14" t="str">
        <x:v>28967</x:v>
      </x:c>
      <x:c r="OG116" s="14" t="n">
        <x:v>10</x:v>
      </x:c>
      <x:c r="OH116" s="14" t="n">
        <x:v>2483</x:v>
      </x:c>
      <x:c r="OI116" s="14" t="n">
        <x:v>382</x:v>
      </x:c>
      <x:c r="OJ116" s="14" t="n">
        <x:v>24</x:v>
      </x:c>
      <x:c r="OK116" s="14" t="n">
        <x:v>2</x:v>
      </x:c>
      <x:c r="OL116" s="14" t="str">
        <x:v>未收錄</x:v>
      </x:c>
      <x:c r="OM116" s="14" t="str">
        <x:v>28976</x:v>
      </x:c>
      <x:c r="ON116" s="14" t="n">
        <x:v>10</x:v>
      </x:c>
      <x:c r="OO116" s="14" t="n">
        <x:v>2484</x:v>
      </x:c>
      <x:c r="OP116" s="14" t="n">
        <x:v>383</x:v>
      </x:c>
      <x:c r="OQ116" s="14" t="n">
        <x:v>24</x:v>
      </x:c>
      <x:c r="OR116" s="14" t="n">
        <x:v>3</x:v>
      </x:c>
      <x:c r="OS116" s="14" t="str">
        <x:v>未收錄</x:v>
      </x:c>
      <x:c r="OT116" s="14" t="str">
        <x:v>28979</x:v>
      </x:c>
      <x:c r="OU116" s="14" t="n">
        <x:v>10</x:v>
      </x:c>
      <x:c r="OV116" s="14" t="n">
        <x:v>2485</x:v>
      </x:c>
      <x:c r="OW116" s="14" t="n">
        <x:v>384</x:v>
      </x:c>
      <x:c r="OX116" s="14" t="n">
        <x:v>24</x:v>
      </x:c>
      <x:c r="OY116" s="14" t="n">
        <x:v>4</x:v>
      </x:c>
      <x:c r="OZ116" s="14" t="str">
        <x:v>未收錄</x:v>
      </x:c>
      <x:c r="PA116" s="14" t="str">
        <x:v>30423</x:v>
      </x:c>
      <x:c r="PB116" s="14" t="n">
        <x:v>10</x:v>
      </x:c>
      <x:c r="PC116" s="14" t="n">
        <x:v>3028</x:v>
      </x:c>
      <x:c r="PD116" s="14" t="n">
        <x:v>381</x:v>
      </x:c>
      <x:c r="PE116" s="14" t="n">
        <x:v>24</x:v>
      </x:c>
      <x:c r="PF116" s="14" t="n">
        <x:v>1</x:v>
      </x:c>
      <x:c r="PG116" s="14" t="str">
        <x:v>未收錄</x:v>
      </x:c>
      <x:c r="PH116" s="14" t="str">
        <x:v>30304</x:v>
      </x:c>
      <x:c r="PI116" s="14" t="n">
        <x:v>5</x:v>
      </x:c>
      <x:c r="PJ116" s="14" t="n">
        <x:v>3029</x:v>
      </x:c>
      <x:c r="PK116" s="14" t="n">
        <x:v>382</x:v>
      </x:c>
      <x:c r="PL116" s="14" t="n">
        <x:v>24</x:v>
      </x:c>
      <x:c r="PM116" s="14" t="n">
        <x:v>2</x:v>
      </x:c>
      <x:c r="PN116" s="14" t="str">
        <x:v>未收錄</x:v>
      </x:c>
      <x:c r="PO116" s="14" t="str">
        <x:v>30309</x:v>
      </x:c>
      <x:c r="PP116" s="14" t="n">
        <x:v>5</x:v>
      </x:c>
      <x:c r="PQ116" s="14" t="n">
        <x:v>3030</x:v>
      </x:c>
      <x:c r="PR116" s="14" t="n">
        <x:v>383</x:v>
      </x:c>
      <x:c r="PS116" s="14" t="n">
        <x:v>24</x:v>
      </x:c>
      <x:c r="PT116" s="14" t="n">
        <x:v>3</x:v>
      </x:c>
      <x:c r="PU116" s="14" t="str">
        <x:v>未收錄</x:v>
      </x:c>
      <x:c r="PV116" s="14" t="str">
        <x:v>30314</x:v>
      </x:c>
      <x:c r="PW116" s="14" t="n">
        <x:v>5</x:v>
      </x:c>
      <x:c r="PX116" s="14" t="n">
        <x:v>3031</x:v>
      </x:c>
      <x:c r="PY116" s="14" t="n">
        <x:v>384</x:v>
      </x:c>
      <x:c r="PZ116" s="14" t="n">
        <x:v>24</x:v>
      </x:c>
      <x:c r="QA116" s="14" t="n">
        <x:v>4</x:v>
      </x:c>
      <x:c r="QB116" s="14" t="str">
        <x:v>未收錄</x:v>
      </x:c>
      <x:c r="QC116" s="14" t="str">
        <x:v>31086</x:v>
      </x:c>
      <x:c r="QD116" s="14" t="n">
        <x:v>2</x:v>
      </x:c>
      <x:c r="QE116" s="14" t="n">
        <x:v>3465</x:v>
      </x:c>
      <x:c r="QF116" s="14" t="n">
        <x:v>381</x:v>
      </x:c>
      <x:c r="QG116" s="14" t="n">
        <x:v>24</x:v>
      </x:c>
      <x:c r="QH116" s="14" t="n">
        <x:v>1</x:v>
      </x:c>
      <x:c r="QI116" s="14" t="str">
        <x:v>未收錄</x:v>
      </x:c>
      <x:c r="QJ116" s="14" t="str">
        <x:v>30326</x:v>
      </x:c>
      <x:c r="QK116" s="14" t="n">
        <x:v>5</x:v>
      </x:c>
      <x:c r="QL116" s="14" t="n">
        <x:v>3466</x:v>
      </x:c>
      <x:c r="QM116" s="14" t="n">
        <x:v>382</x:v>
      </x:c>
      <x:c r="QN116" s="14" t="n">
        <x:v>24</x:v>
      </x:c>
      <x:c r="QO116" s="14" t="n">
        <x:v>2</x:v>
      </x:c>
      <x:c r="QP116" s="14" t="str">
        <x:v>未收錄</x:v>
      </x:c>
      <x:c r="QQ116" s="14" t="str">
        <x:v>30331</x:v>
      </x:c>
      <x:c r="QR116" s="14" t="n">
        <x:v>5</x:v>
      </x:c>
      <x:c r="QS116" s="14" t="n">
        <x:v>3467</x:v>
      </x:c>
      <x:c r="QT116" s="14" t="n">
        <x:v>383</x:v>
      </x:c>
      <x:c r="QU116" s="14" t="n">
        <x:v>24</x:v>
      </x:c>
      <x:c r="QV116" s="14" t="n">
        <x:v>3</x:v>
      </x:c>
      <x:c r="QW116" s="14" t="str">
        <x:v>未收錄</x:v>
      </x:c>
      <x:c r="QX116" s="14" t="str">
        <x:v>30336</x:v>
      </x:c>
      <x:c r="QY116" s="14" t="n">
        <x:v>5</x:v>
      </x:c>
      <x:c r="QZ116" s="14" t="n">
        <x:v>3468</x:v>
      </x:c>
      <x:c r="RA116" s="14" t="n">
        <x:v>384</x:v>
      </x:c>
      <x:c r="RB116" s="14" t="n">
        <x:v>24</x:v>
      </x:c>
      <x:c r="RC116" s="14" t="n">
        <x:v>4</x:v>
      </x:c>
      <x:c r="RD116" s="14" t="str">
        <x:v>未收錄</x:v>
      </x:c>
      <x:c r="RE116" s="14" t="str">
        <x:v>30969</x:v>
      </x:c>
      <x:c r="RF116" s="14" t="n">
        <x:v>10</x:v>
      </x:c>
      <x:c r="RG116" s="14" t="n">
        <x:v>3926</x:v>
      </x:c>
      <x:c r="RH116" s="14" t="n">
        <x:v>381</x:v>
      </x:c>
      <x:c r="RI116" s="14" t="n">
        <x:v>24</x:v>
      </x:c>
      <x:c r="RJ116" s="14" t="n">
        <x:v>1</x:v>
      </x:c>
      <x:c r="RK116" s="14" t="str">
        <x:v>未收錄</x:v>
      </x:c>
      <x:c r="RL116" s="14" t="str">
        <x:v>30970</x:v>
      </x:c>
      <x:c r="RM116" s="14" t="n">
        <x:v>10</x:v>
      </x:c>
      <x:c r="RN116" s="14" t="n">
        <x:v>3927</x:v>
      </x:c>
      <x:c r="RO116" s="14" t="n">
        <x:v>382</x:v>
      </x:c>
      <x:c r="RP116" s="14" t="n">
        <x:v>24</x:v>
      </x:c>
      <x:c r="RQ116" s="14" t="n">
        <x:v>2</x:v>
      </x:c>
      <x:c r="RR116" s="14" t="str">
        <x:v>未收錄</x:v>
      </x:c>
      <x:c r="RS116" s="14" t="str">
        <x:v>31629</x:v>
      </x:c>
      <x:c r="RT116" s="14" t="n">
        <x:v>2</x:v>
      </x:c>
      <x:c r="RU116" s="14" t="n">
        <x:v>3928</x:v>
      </x:c>
      <x:c r="RV116" s="14" t="n">
        <x:v>383</x:v>
      </x:c>
      <x:c r="RW116" s="14" t="n">
        <x:v>24</x:v>
      </x:c>
      <x:c r="RX116" s="14" t="n">
        <x:v>3</x:v>
      </x:c>
      <x:c r="RY116" s="14" t="str">
        <x:v>未收錄</x:v>
      </x:c>
      <x:c r="RZ116" s="14" t="str">
        <x:v>31630</x:v>
      </x:c>
      <x:c r="SA116" s="14" t="n">
        <x:v>2</x:v>
      </x:c>
      <x:c r="SB116" s="14" t="n">
        <x:v>3929</x:v>
      </x:c>
      <x:c r="SC116" s="14" t="n">
        <x:v>384</x:v>
      </x:c>
      <x:c r="SD116" s="14" t="n">
        <x:v>24</x:v>
      </x:c>
      <x:c r="SE116" s="14" t="n">
        <x:v>4</x:v>
      </x:c>
      <x:c r="SF116" s="14" t="str">
        <x:v>未收錄</x:v>
      </x:c>
      <x:c r="SG116" s="14"/>
      <x:c r="SH116" s="14"/>
      <x:c r="SI116" s="14"/>
      <x:c r="SJ116" s="14"/>
      <x:c r="SK116" s="14"/>
      <x:c r="SL116" s="14"/>
      <x:c r="SM116" s="14"/>
      <x:c r="SN116" s="14"/>
      <x:c r="SO116" s="14"/>
      <x:c r="SP116" s="14"/>
      <x:c r="SQ116" s="14"/>
      <x:c r="SR116" s="14"/>
      <x:c r="SS116" s="14"/>
      <x:c r="ST116" s="14"/>
      <x:c r="SU116" s="14"/>
      <x:c r="SV116" s="14"/>
      <x:c r="SW116" s="14"/>
      <x:c r="SX116" s="14"/>
      <x:c r="SY116" s="14"/>
      <x:c r="SZ116" s="14"/>
      <x:c r="TA116" s="14"/>
      <x:c r="TB116" s="14"/>
      <x:c r="TC116" s="14"/>
      <x:c r="TD116" s="14"/>
      <x:c r="TE116" s="14"/>
      <x:c r="TF116" s="14"/>
      <x:c r="TG116" s="14"/>
      <x:c r="TH116" s="14"/>
    </x:row>
    <x:row r="117">
      <x:c r="A117" s="14"/>
      <x:c r="B117" s="14"/>
      <x:c r="C117" s="14"/>
      <x:c r="D117" s="14"/>
      <x:c r="E117" s="14"/>
      <x:c r="F117" s="14"/>
      <x:c r="G117" s="14"/>
      <x:c r="H117" s="14"/>
      <x:c r="I117" s="14"/>
      <x:c r="J117" s="14"/>
      <x:c r="K117" s="14"/>
      <x:c r="L117" s="14"/>
      <x:c r="M117" s="14"/>
      <x:c r="N117" s="14"/>
      <x:c r="O117" s="14"/>
      <x:c r="P117" s="14"/>
      <x:c r="Q117" s="14"/>
      <x:c r="R117" s="14"/>
      <x:c r="S117" s="14"/>
      <x:c r="T117" s="14"/>
      <x:c r="U117" s="14"/>
      <x:c r="V117" s="14"/>
      <x:c r="W117" s="14"/>
      <x:c r="X117" s="14"/>
      <x:c r="Y117" s="14"/>
      <x:c r="Z117" s="14"/>
      <x:c r="AA117" s="14"/>
      <x:c r="AB117" s="14"/>
      <x:c r="AC117" s="14"/>
      <x:c r="AD117" s="14"/>
      <x:c r="AE117" s="14"/>
      <x:c r="AF117" s="14"/>
      <x:c r="AG117" s="14"/>
      <x:c r="AH117" s="14"/>
      <x:c r="AI117" s="14"/>
      <x:c r="AJ117" s="14"/>
      <x:c r="AK117" s="14"/>
      <x:c r="AL117" s="14"/>
      <x:c r="AM117" s="14"/>
      <x:c r="AN117" s="14"/>
      <x:c r="AO117" s="14"/>
      <x:c r="AP117" s="14"/>
      <x:c r="AQ117" s="14"/>
      <x:c r="AR117" s="14"/>
      <x:c r="AS117" s="14"/>
      <x:c r="AT117" s="14"/>
      <x:c r="AU117" s="14"/>
      <x:c r="AV117" s="14"/>
      <x:c r="AW117" s="14"/>
      <x:c r="AX117" s="14"/>
      <x:c r="AY117" s="14"/>
      <x:c r="AZ117" s="14"/>
      <x:c r="BA117" s="14"/>
      <x:c r="BB117" s="14"/>
      <x:c r="BC117" s="14"/>
      <x:c r="BD117" s="14"/>
      <x:c r="BE117" s="14"/>
      <x:c r="BF117" s="14"/>
      <x:c r="BG117" s="14"/>
      <x:c r="BH117" s="14"/>
      <x:c r="BI117" s="14"/>
      <x:c r="BJ117" s="14"/>
      <x:c r="BK117" s="14"/>
      <x:c r="BL117" s="14"/>
      <x:c r="BM117" s="14"/>
      <x:c r="BN117" s="14"/>
      <x:c r="BO117" s="14"/>
      <x:c r="BP117" s="14"/>
      <x:c r="BQ117" s="14"/>
      <x:c r="BR117" s="14"/>
      <x:c r="BS117" s="14"/>
      <x:c r="BT117" s="14"/>
      <x:c r="BU117" s="14"/>
      <x:c r="BV117" s="14"/>
      <x:c r="BW117" s="14"/>
      <x:c r="BX117" s="14"/>
      <x:c r="BY117" s="14"/>
      <x:c r="BZ117" s="14"/>
      <x:c r="CA117" s="14"/>
      <x:c r="CB117" s="14"/>
      <x:c r="CC117" s="14"/>
      <x:c r="CD117" s="14"/>
      <x:c r="CE117" s="14"/>
      <x:c r="CF117" s="14"/>
      <x:c r="CG117" s="14"/>
      <x:c r="CH117" s="14"/>
      <x:c r="CI117" s="14"/>
      <x:c r="CJ117" s="14"/>
      <x:c r="CK117" s="14"/>
      <x:c r="CL117" s="14"/>
      <x:c r="CM117" s="14"/>
      <x:c r="CN117" s="14"/>
      <x:c r="CO117" s="14"/>
      <x:c r="CP117" s="14"/>
      <x:c r="CQ117" s="14"/>
      <x:c r="CR117" s="14"/>
      <x:c r="CS117" s="14"/>
      <x:c r="CT117" s="14"/>
      <x:c r="CU117" s="14"/>
      <x:c r="CV117" s="14"/>
      <x:c r="CW117" s="14"/>
      <x:c r="CX117" s="14"/>
      <x:c r="CY117" s="14"/>
      <x:c r="CZ117" s="14"/>
      <x:c r="DA117" s="14"/>
      <x:c r="DB117" s="14"/>
      <x:c r="DC117" s="14"/>
      <x:c r="DD117" s="14"/>
      <x:c r="DE117" s="14"/>
      <x:c r="DF117" s="14"/>
      <x:c r="DG117" s="14"/>
      <x:c r="DH117" s="14"/>
      <x:c r="DI117" s="14"/>
      <x:c r="DJ117" s="14"/>
      <x:c r="DK117" s="14"/>
      <x:c r="DL117" s="14"/>
      <x:c r="DM117" s="14"/>
      <x:c r="DN117" s="14"/>
      <x:c r="DO117" s="14"/>
      <x:c r="DP117" s="14"/>
      <x:c r="DQ117" s="14"/>
      <x:c r="DR117" s="14"/>
      <x:c r="DS117" s="14"/>
      <x:c r="DT117" s="14"/>
      <x:c r="DU117" s="14"/>
      <x:c r="DV117" s="14"/>
      <x:c r="DW117" s="14"/>
      <x:c r="DX117" s="14"/>
      <x:c r="DY117" s="14"/>
      <x:c r="DZ117" s="14"/>
      <x:c r="EA117" s="14"/>
      <x:c r="EB117" s="14"/>
      <x:c r="EC117" s="14"/>
      <x:c r="ED117" s="14"/>
      <x:c r="EE117" s="14"/>
      <x:c r="EF117" s="14"/>
      <x:c r="EG117" s="14"/>
      <x:c r="EH117" s="14"/>
      <x:c r="EI117" s="14"/>
      <x:c r="EJ117" s="14"/>
      <x:c r="EK117" s="14"/>
      <x:c r="EL117" s="14"/>
      <x:c r="EM117" s="14"/>
      <x:c r="EN117" s="14"/>
      <x:c r="EO117" s="14"/>
      <x:c r="EP117" s="14"/>
      <x:c r="EQ117" s="14"/>
      <x:c r="ER117" s="14"/>
      <x:c r="ES117" s="14"/>
      <x:c r="ET117" s="14"/>
      <x:c r="EU117" s="14"/>
      <x:c r="EV117" s="14"/>
      <x:c r="EW117" s="14"/>
      <x:c r="EX117" s="14"/>
      <x:c r="EY117" s="14"/>
      <x:c r="EZ117" s="14"/>
      <x:c r="FA117" s="14"/>
      <x:c r="FB117" s="14"/>
      <x:c r="FC117" s="14"/>
      <x:c r="FD117" s="14"/>
      <x:c r="FE117" s="14"/>
      <x:c r="FF117" s="14"/>
      <x:c r="FG117" s="14"/>
      <x:c r="FH117" s="14"/>
      <x:c r="FI117" s="14"/>
      <x:c r="FJ117" s="14"/>
      <x:c r="FK117" s="14"/>
      <x:c r="FL117" s="14"/>
      <x:c r="FM117" s="14"/>
      <x:c r="FN117" s="14"/>
      <x:c r="FO117" s="14"/>
      <x:c r="FP117" s="14"/>
      <x:c r="FQ117" s="14"/>
      <x:c r="FR117" s="14"/>
      <x:c r="FS117" s="14"/>
      <x:c r="FT117" s="14"/>
      <x:c r="FU117" s="14"/>
      <x:c r="FV117" s="14"/>
      <x:c r="FW117" s="14"/>
      <x:c r="FX117" s="14"/>
      <x:c r="FY117" s="14"/>
      <x:c r="FZ117" s="14"/>
      <x:c r="GA117" s="14"/>
      <x:c r="GB117" s="14"/>
      <x:c r="GC117" s="14"/>
      <x:c r="GD117" s="14"/>
      <x:c r="GE117" s="14"/>
      <x:c r="GF117" s="14"/>
      <x:c r="GG117" s="14"/>
      <x:c r="GH117" s="14"/>
      <x:c r="GI117" s="14"/>
      <x:c r="GJ117" s="14"/>
      <x:c r="GK117" s="14"/>
      <x:c r="GL117" s="14"/>
      <x:c r="GM117" s="14"/>
      <x:c r="GN117" s="14"/>
      <x:c r="GO117" s="14"/>
      <x:c r="GP117" s="14"/>
      <x:c r="GQ117" s="14"/>
      <x:c r="GR117" s="14"/>
      <x:c r="GS117" s="14"/>
      <x:c r="GT117" s="14"/>
      <x:c r="GU117" s="14"/>
      <x:c r="GV117" s="14"/>
      <x:c r="GW117" s="14"/>
      <x:c r="GX117" s="14"/>
      <x:c r="GY117" s="14"/>
      <x:c r="GZ117" s="14"/>
      <x:c r="HA117" s="14"/>
      <x:c r="HB117" s="14"/>
      <x:c r="HC117" s="14"/>
      <x:c r="HD117" s="14"/>
      <x:c r="HE117" s="14"/>
      <x:c r="HF117" s="14"/>
      <x:c r="HG117" s="14"/>
      <x:c r="HH117" s="14"/>
      <x:c r="HI117" s="14"/>
      <x:c r="HJ117" s="14"/>
      <x:c r="HK117" s="14"/>
      <x:c r="HL117" s="14"/>
      <x:c r="HM117" s="14"/>
      <x:c r="HN117" s="14"/>
      <x:c r="HO117" s="14"/>
      <x:c r="HP117" s="14"/>
      <x:c r="HQ117" s="14"/>
      <x:c r="HR117" s="14"/>
      <x:c r="HS117" s="14"/>
      <x:c r="HT117" s="14"/>
      <x:c r="HU117" s="14"/>
      <x:c r="HV117" s="14"/>
      <x:c r="HW117" s="14"/>
      <x:c r="HX117" s="14"/>
      <x:c r="HY117" s="14"/>
      <x:c r="HZ117" s="14"/>
      <x:c r="IA117" s="14"/>
      <x:c r="IB117" s="14"/>
      <x:c r="IC117" s="14"/>
      <x:c r="ID117" s="14"/>
      <x:c r="IE117" s="14"/>
      <x:c r="IF117" s="14"/>
      <x:c r="IG117" s="14"/>
      <x:c r="IH117" s="14"/>
      <x:c r="II117" s="14"/>
      <x:c r="IJ117" s="14"/>
      <x:c r="IK117" s="14"/>
      <x:c r="IL117" s="14"/>
      <x:c r="IM117" s="14"/>
      <x:c r="IN117" s="14"/>
      <x:c r="IO117" s="14"/>
      <x:c r="IP117" s="14"/>
      <x:c r="IQ117" s="14"/>
      <x:c r="IR117" s="14"/>
      <x:c r="IS117" s="14"/>
      <x:c r="IT117" s="14"/>
      <x:c r="IU117" s="14"/>
      <x:c r="IV117" s="14"/>
      <x:c r="IW117" s="14"/>
      <x:c r="IX117" s="14"/>
      <x:c r="IY117" s="14"/>
      <x:c r="IZ117" s="14"/>
      <x:c r="JA117" s="14"/>
      <x:c r="JB117" s="14"/>
      <x:c r="JC117" s="14"/>
      <x:c r="JD117" s="14"/>
      <x:c r="JE117" s="14"/>
      <x:c r="JF117" s="14"/>
      <x:c r="JG117" s="14"/>
      <x:c r="JH117" s="14"/>
      <x:c r="JI117" s="14"/>
      <x:c r="JJ117" s="14"/>
      <x:c r="JK117" s="14"/>
      <x:c r="JL117" s="14"/>
      <x:c r="JM117" s="14"/>
      <x:c r="JN117" s="14"/>
      <x:c r="JO117" s="14"/>
      <x:c r="JP117" s="14"/>
      <x:c r="JQ117" s="14"/>
      <x:c r="JR117" s="14"/>
      <x:c r="JS117" s="14"/>
      <x:c r="JT117" s="14"/>
      <x:c r="JU117" s="14"/>
      <x:c r="JV117" s="14"/>
      <x:c r="JW117" s="14"/>
      <x:c r="JX117" s="14"/>
      <x:c r="JY117" s="14"/>
      <x:c r="JZ117" s="14"/>
      <x:c r="KA117" s="14"/>
      <x:c r="KB117" s="14"/>
      <x:c r="KC117" s="14"/>
      <x:c r="KD117" s="14"/>
      <x:c r="KE117" s="14"/>
      <x:c r="KF117" s="14"/>
      <x:c r="KG117" s="14"/>
      <x:c r="KH117" s="14"/>
      <x:c r="KI117" s="14"/>
      <x:c r="KJ117" s="14"/>
      <x:c r="KK117" s="14"/>
      <x:c r="KL117" s="14"/>
      <x:c r="KM117" s="14"/>
      <x:c r="KN117" s="14"/>
      <x:c r="KO117" s="14"/>
      <x:c r="KP117" s="14"/>
      <x:c r="KQ117" s="14"/>
      <x:c r="KR117" s="14"/>
      <x:c r="KS117" s="14"/>
      <x:c r="KT117" s="14"/>
      <x:c r="KU117" s="14"/>
      <x:c r="KV117" s="14"/>
      <x:c r="KW117" s="14"/>
      <x:c r="KX117" s="14"/>
      <x:c r="KY117" s="14"/>
      <x:c r="KZ117" s="14"/>
      <x:c r="LA117" s="14"/>
      <x:c r="LB117" s="14"/>
      <x:c r="LC117" s="14"/>
      <x:c r="LD117" s="14"/>
      <x:c r="LE117" s="14"/>
      <x:c r="LF117" s="14"/>
      <x:c r="LG117" s="14"/>
      <x:c r="LH117" s="14"/>
      <x:c r="LI117" s="14"/>
      <x:c r="LJ117" s="14"/>
      <x:c r="LK117" s="14"/>
      <x:c r="LL117" s="14"/>
      <x:c r="LM117" s="14"/>
      <x:c r="LN117" s="14"/>
      <x:c r="LO117" s="14"/>
      <x:c r="LP117" s="14"/>
      <x:c r="LQ117" s="14"/>
      <x:c r="LR117" s="14"/>
      <x:c r="LS117" s="14"/>
      <x:c r="LT117" s="14"/>
      <x:c r="LU117" s="14"/>
      <x:c r="LV117" s="14"/>
      <x:c r="LW117" s="14"/>
      <x:c r="LX117" s="14"/>
      <x:c r="LY117" s="14"/>
      <x:c r="LZ117" s="14"/>
      <x:c r="MA117" s="14"/>
      <x:c r="MB117" s="14"/>
      <x:c r="MC117" s="14"/>
      <x:c r="MD117" s="14"/>
      <x:c r="ME117" s="14"/>
      <x:c r="MF117" s="14"/>
      <x:c r="MG117" s="14"/>
      <x:c r="MH117" s="14"/>
      <x:c r="MI117" s="14"/>
      <x:c r="MJ117" s="14"/>
      <x:c r="MK117" s="14"/>
      <x:c r="ML117" s="14"/>
      <x:c r="MM117" s="14"/>
      <x:c r="MN117" s="14"/>
      <x:c r="MO117" s="14"/>
      <x:c r="MP117" s="14"/>
      <x:c r="MQ117" s="14"/>
      <x:c r="MR117" s="14"/>
      <x:c r="MS117" s="14"/>
      <x:c r="MT117" s="14"/>
      <x:c r="MU117" s="14"/>
      <x:c r="MV117" s="14"/>
      <x:c r="MW117" s="14"/>
      <x:c r="MX117" s="14"/>
      <x:c r="MY117" s="14"/>
      <x:c r="MZ117" s="14"/>
      <x:c r="NA117" s="14"/>
      <x:c r="NB117" s="14"/>
      <x:c r="NC117" s="14"/>
      <x:c r="ND117" s="14"/>
      <x:c r="NE117" s="14"/>
      <x:c r="NF117" s="14"/>
      <x:c r="NG117" s="14"/>
      <x:c r="NH117" s="14"/>
      <x:c r="NI117" s="14"/>
      <x:c r="NJ117" s="14"/>
      <x:c r="NK117" s="14"/>
      <x:c r="NL117" s="14"/>
      <x:c r="NM117" s="14"/>
      <x:c r="NN117" s="14"/>
      <x:c r="NO117" s="14"/>
      <x:c r="NP117" s="14"/>
      <x:c r="NQ117" s="14"/>
      <x:c r="NR117" s="14"/>
      <x:c r="NS117" s="14"/>
      <x:c r="NT117" s="14"/>
      <x:c r="NU117" s="14"/>
      <x:c r="NV117" s="14"/>
      <x:c r="NW117" s="14"/>
      <x:c r="NX117" s="14"/>
      <x:c r="NY117" s="14"/>
      <x:c r="NZ117" s="14"/>
      <x:c r="OA117" s="14"/>
      <x:c r="OB117" s="14"/>
      <x:c r="OC117" s="14"/>
      <x:c r="OD117" s="14"/>
      <x:c r="OE117" s="14"/>
      <x:c r="OF117" s="14"/>
      <x:c r="OG117" s="14"/>
      <x:c r="OH117" s="14"/>
      <x:c r="OI117" s="14"/>
      <x:c r="OJ117" s="14"/>
      <x:c r="OK117" s="14"/>
      <x:c r="OL117" s="14"/>
      <x:c r="OM117" s="14"/>
      <x:c r="ON117" s="14"/>
      <x:c r="OO117" s="14"/>
      <x:c r="OP117" s="14"/>
      <x:c r="OQ117" s="14"/>
      <x:c r="OR117" s="14"/>
      <x:c r="OS117" s="14"/>
      <x:c r="OT117" s="14"/>
      <x:c r="OU117" s="14"/>
      <x:c r="OV117" s="14"/>
      <x:c r="OW117" s="14"/>
      <x:c r="OX117" s="14"/>
      <x:c r="OY117" s="14"/>
      <x:c r="OZ117" s="14"/>
      <x:c r="PA117" s="14"/>
      <x:c r="PB117" s="14"/>
      <x:c r="PC117" s="14"/>
      <x:c r="PD117" s="14"/>
      <x:c r="PE117" s="14"/>
      <x:c r="PF117" s="14"/>
      <x:c r="PG117" s="14"/>
      <x:c r="PH117" s="14"/>
      <x:c r="PI117" s="14"/>
      <x:c r="PJ117" s="14"/>
      <x:c r="PK117" s="14"/>
      <x:c r="PL117" s="14"/>
      <x:c r="PM117" s="14"/>
      <x:c r="PN117" s="14"/>
      <x:c r="PO117" s="14"/>
      <x:c r="PP117" s="14"/>
      <x:c r="PQ117" s="14"/>
      <x:c r="PR117" s="14"/>
      <x:c r="PS117" s="14"/>
      <x:c r="PT117" s="14"/>
      <x:c r="PU117" s="14"/>
      <x:c r="PV117" s="14"/>
      <x:c r="PW117" s="14"/>
      <x:c r="PX117" s="14"/>
      <x:c r="PY117" s="14"/>
      <x:c r="PZ117" s="14"/>
      <x:c r="QA117" s="14"/>
      <x:c r="QB117" s="14"/>
      <x:c r="QC117" s="14"/>
      <x:c r="QD117" s="14"/>
      <x:c r="QE117" s="14"/>
      <x:c r="QF117" s="14"/>
      <x:c r="QG117" s="14"/>
      <x:c r="QH117" s="14"/>
      <x:c r="QI117" s="14"/>
      <x:c r="QJ117" s="14"/>
      <x:c r="QK117" s="14"/>
      <x:c r="QL117" s="14"/>
      <x:c r="QM117" s="14"/>
      <x:c r="QN117" s="14"/>
      <x:c r="QO117" s="14"/>
      <x:c r="QP117" s="14"/>
      <x:c r="QQ117" s="14"/>
      <x:c r="QR117" s="14"/>
      <x:c r="QS117" s="14"/>
      <x:c r="QT117" s="14"/>
      <x:c r="QU117" s="14"/>
      <x:c r="QV117" s="14"/>
      <x:c r="QW117" s="14"/>
      <x:c r="QX117" s="14"/>
      <x:c r="QY117" s="14"/>
      <x:c r="QZ117" s="14"/>
      <x:c r="RA117" s="14"/>
      <x:c r="RB117" s="14"/>
      <x:c r="RC117" s="14"/>
      <x:c r="RD117" s="14"/>
      <x:c r="RE117" s="14"/>
      <x:c r="RF117" s="14"/>
      <x:c r="RG117" s="14"/>
      <x:c r="RH117" s="14"/>
      <x:c r="RI117" s="14"/>
      <x:c r="RJ117" s="14"/>
      <x:c r="RK117" s="14"/>
      <x:c r="RL117" s="14"/>
      <x:c r="RM117" s="14"/>
      <x:c r="RN117" s="14"/>
      <x:c r="RO117" s="14"/>
      <x:c r="RP117" s="14"/>
      <x:c r="RQ117" s="14"/>
      <x:c r="RR117" s="14"/>
      <x:c r="RS117" s="14"/>
      <x:c r="RT117" s="14"/>
      <x:c r="RU117" s="14"/>
      <x:c r="RV117" s="14"/>
      <x:c r="RW117" s="14"/>
      <x:c r="RX117" s="14"/>
      <x:c r="RY117" s="14"/>
      <x:c r="RZ117" s="14"/>
      <x:c r="SA117" s="14"/>
      <x:c r="SB117" s="14"/>
      <x:c r="SC117" s="14"/>
      <x:c r="SD117" s="14"/>
      <x:c r="SE117" s="14"/>
      <x:c r="SF117" s="14"/>
      <x:c r="SG117" s="14"/>
      <x:c r="SH117" s="14"/>
      <x:c r="SI117" s="14"/>
      <x:c r="SJ117" s="14"/>
      <x:c r="SK117" s="14"/>
      <x:c r="SL117" s="14"/>
      <x:c r="SM117" s="14"/>
      <x:c r="SN117" s="14"/>
      <x:c r="SO117" s="14"/>
      <x:c r="SP117" s="14"/>
      <x:c r="SQ117" s="14"/>
      <x:c r="SR117" s="14"/>
      <x:c r="SS117" s="14"/>
      <x:c r="ST117" s="14"/>
      <x:c r="SU117" s="14"/>
      <x:c r="SV117" s="14"/>
      <x:c r="SW117" s="14"/>
      <x:c r="SX117" s="14"/>
      <x:c r="SY117" s="14"/>
      <x:c r="SZ117" s="14"/>
      <x:c r="TA117" s="14"/>
      <x:c r="TB117" s="14"/>
      <x:c r="TC117" s="14"/>
      <x:c r="TD117" s="14"/>
      <x:c r="TE117" s="14"/>
      <x:c r="TF117" s="14"/>
      <x:c r="TG117" s="14"/>
      <x:c r="TH117" s="14"/>
    </x:row>
    <x:row r="118" ht="25" customHeight="1">
      <x:c r="A118" s="14"/>
      <x:c r="B118" s="14"/>
      <x:c r="C118" s="14"/>
      <x:c r="D118" s="14"/>
      <x:c r="E118" s="14"/>
      <x:c r="F118" s="14"/>
      <x:c r="G118" s="14"/>
      <x:c r="H118" s="14"/>
      <x:c r="I118" s="14"/>
      <x:c r="J118" s="14"/>
      <x:c r="K118" s="14"/>
      <x:c r="L118" s="14"/>
      <x:c r="M118" s="14"/>
      <x:c r="N118" s="14"/>
      <x:c r="O118" s="14"/>
      <x:c r="P118" s="14"/>
      <x:c r="Q118" s="14"/>
      <x:c r="R118" s="14"/>
      <x:c r="S118" s="14"/>
      <x:c r="T118" s="14"/>
      <x:c r="U118" s="14"/>
      <x:c r="V118" s="14"/>
      <x:c r="W118" s="14"/>
      <x:c r="X118" s="14"/>
      <x:c r="Y118" s="14"/>
      <x:c r="Z118" s="14"/>
      <x:c r="AA118" s="14"/>
      <x:c r="AB118" s="14"/>
      <x:c r="AC118" s="14"/>
      <x:c r="AD118" s="14"/>
      <x:c r="AE118" s="14"/>
      <x:c r="AF118" s="14"/>
      <x:c r="AG118" s="14"/>
      <x:c r="AH118" s="14"/>
      <x:c r="AI118" s="14"/>
      <x:c r="AJ118" s="14"/>
      <x:c r="AK118" s="14"/>
      <x:c r="AL118" s="14"/>
      <x:c r="AM118" s="14"/>
      <x:c r="AN118" s="14"/>
      <x:c r="AO118" s="14"/>
      <x:c r="AP118" s="14"/>
      <x:c r="AQ118" s="14"/>
      <x:c r="AR118" s="14"/>
      <x:c r="AS118" s="14"/>
      <x:c r="AT118" s="14"/>
      <x:c r="AU118" s="14"/>
      <x:c r="AV118" s="14"/>
      <x:c r="AW118" s="14"/>
      <x:c r="AX118" s="14"/>
      <x:c r="AY118" s="16" t="str">
        <x:v>帽子類5　／　69 筆</x:v>
      </x:c>
      <x:c r="AZ118" s="16"/>
      <x:c r="BA118" s="16"/>
      <x:c r="BB118" s="16"/>
      <x:c r="BC118" s="14"/>
      <x:c r="BD118" s="16" t="str">
        <x:v>衣服類5　／　96 筆</x:v>
      </x:c>
      <x:c r="BE118" s="16"/>
      <x:c r="BF118" s="16"/>
      <x:c r="BG118" s="16"/>
      <x:c r="BH118" s="14"/>
      <x:c r="BI118" s="16" t="str">
        <x:v>護腕類5　／　53 筆</x:v>
      </x:c>
      <x:c r="BJ118" s="16"/>
      <x:c r="BK118" s="16"/>
      <x:c r="BL118" s="16"/>
      <x:c r="BM118" s="14"/>
      <x:c r="BN118" s="16" t="str">
        <x:v>鞋子類5　／　77 筆</x:v>
      </x:c>
      <x:c r="BO118" s="16"/>
      <x:c r="BP118" s="16"/>
      <x:c r="BQ118" s="16"/>
      <x:c r="BR118" s="14"/>
      <x:c r="BS118" s="16" t="str">
        <x:v>飾品類5　／　40 筆</x:v>
      </x:c>
      <x:c r="BT118" s="16"/>
      <x:c r="BU118" s="16"/>
      <x:c r="BV118" s="16"/>
      <x:c r="BW118" s="14"/>
      <x:c r="BX118" s="14"/>
      <x:c r="BY118" s="14"/>
      <x:c r="BZ118" s="14"/>
      <x:c r="CA118" s="14"/>
      <x:c r="CB118" s="14"/>
      <x:c r="CC118" s="14"/>
      <x:c r="CD118" s="14"/>
      <x:c r="CE118" s="14"/>
      <x:c r="CF118" s="14"/>
      <x:c r="CG118" s="14"/>
      <x:c r="CH118" s="14"/>
      <x:c r="CI118" s="14"/>
      <x:c r="CJ118" s="14"/>
      <x:c r="CK118" s="14"/>
      <x:c r="CL118" s="14"/>
      <x:c r="CM118" s="14"/>
      <x:c r="CN118" s="14"/>
      <x:c r="CO118" s="14"/>
      <x:c r="CP118" s="14"/>
      <x:c r="CQ118" s="14"/>
      <x:c r="CR118" s="14"/>
      <x:c r="CS118" s="14"/>
      <x:c r="CT118" s="14"/>
      <x:c r="CU118" s="14"/>
      <x:c r="CV118" s="14"/>
      <x:c r="CW118" s="14"/>
      <x:c r="CX118" s="14"/>
      <x:c r="CY118" s="14"/>
      <x:c r="CZ118" s="14"/>
      <x:c r="DA118" s="14"/>
      <x:c r="DB118" s="14"/>
      <x:c r="DC118" s="14"/>
      <x:c r="DD118" s="14"/>
      <x:c r="DE118" s="14"/>
      <x:c r="DF118" s="14"/>
      <x:c r="DG118" s="14"/>
      <x:c r="DH118" s="14"/>
      <x:c r="DI118" s="14"/>
      <x:c r="DJ118" s="14"/>
      <x:c r="DK118" s="14"/>
      <x:c r="DL118" s="14"/>
      <x:c r="DM118" s="14"/>
      <x:c r="DN118" s="14"/>
      <x:c r="DO118" s="14"/>
      <x:c r="DP118" s="14"/>
      <x:c r="DQ118" s="14"/>
      <x:c r="DR118" s="14"/>
      <x:c r="DS118" s="14"/>
      <x:c r="DT118" s="14"/>
      <x:c r="DU118" s="14"/>
      <x:c r="DV118" s="14"/>
      <x:c r="DW118" s="14"/>
      <x:c r="DX118" s="14"/>
      <x:c r="DY118" s="14"/>
      <x:c r="DZ118" s="14"/>
      <x:c r="EA118" s="14"/>
      <x:c r="EB118" s="14"/>
      <x:c r="EC118" s="14"/>
      <x:c r="ED118" s="14"/>
      <x:c r="EE118" s="14"/>
      <x:c r="EF118" s="14"/>
      <x:c r="EG118" s="14"/>
      <x:c r="EH118" s="14"/>
      <x:c r="EI118" s="14"/>
      <x:c r="EJ118" s="14"/>
      <x:c r="EK118" s="14"/>
      <x:c r="EL118" s="14"/>
      <x:c r="EM118" s="14"/>
      <x:c r="EN118" s="14"/>
      <x:c r="EO118" s="14"/>
      <x:c r="EP118" s="14"/>
      <x:c r="EQ118" s="14"/>
      <x:c r="ER118" s="14"/>
      <x:c r="ES118" s="14"/>
      <x:c r="ET118" s="14"/>
      <x:c r="EU118" s="14"/>
      <x:c r="EV118" s="14"/>
      <x:c r="EW118" s="14"/>
      <x:c r="EX118" s="14"/>
      <x:c r="EY118" s="14"/>
      <x:c r="EZ118" s="14"/>
      <x:c r="FA118" s="14"/>
      <x:c r="FB118" s="14"/>
      <x:c r="FC118" s="14"/>
      <x:c r="FD118" s="14"/>
      <x:c r="FE118" s="14"/>
      <x:c r="FF118" s="14"/>
      <x:c r="FG118" s="14"/>
      <x:c r="FH118" s="14"/>
      <x:c r="FI118" s="14"/>
      <x:c r="FJ118" s="14"/>
      <x:c r="FK118" s="14"/>
      <x:c r="FL118" s="14"/>
      <x:c r="FM118" s="14"/>
      <x:c r="FN118" s="14"/>
      <x:c r="FO118" s="14"/>
      <x:c r="FP118" s="14"/>
      <x:c r="FQ118" s="14"/>
      <x:c r="FR118" s="14"/>
      <x:c r="FS118" s="14"/>
      <x:c r="FT118" s="14"/>
      <x:c r="FU118" s="14"/>
      <x:c r="FV118" s="14"/>
      <x:c r="FW118" s="14"/>
      <x:c r="FX118" s="14"/>
      <x:c r="FY118" s="14"/>
      <x:c r="FZ118" s="14"/>
      <x:c r="GA118" s="14"/>
      <x:c r="GB118" s="14"/>
      <x:c r="GC118" s="14"/>
      <x:c r="GD118" s="14"/>
      <x:c r="GE118" s="14"/>
      <x:c r="GF118" s="14"/>
      <x:c r="GG118" s="14"/>
      <x:c r="GH118" s="14"/>
      <x:c r="GI118" s="14"/>
      <x:c r="GJ118" s="14"/>
      <x:c r="GK118" s="14"/>
      <x:c r="GL118" s="14"/>
      <x:c r="GM118" s="14"/>
      <x:c r="GN118" s="14"/>
      <x:c r="GO118" s="14"/>
      <x:c r="GP118" s="14"/>
      <x:c r="GQ118" s="14"/>
      <x:c r="GR118" s="14"/>
      <x:c r="GS118" s="14"/>
      <x:c r="GT118" s="14"/>
      <x:c r="GU118" s="14"/>
      <x:c r="GV118" s="14"/>
      <x:c r="GW118" s="14"/>
      <x:c r="GX118" s="14"/>
      <x:c r="GY118" s="14"/>
      <x:c r="GZ118" s="14"/>
      <x:c r="HA118" s="14"/>
      <x:c r="HB118" s="14"/>
      <x:c r="HC118" s="14"/>
      <x:c r="HD118" s="14"/>
      <x:c r="HE118" s="14"/>
      <x:c r="HF118" s="14"/>
      <x:c r="HG118" s="14"/>
      <x:c r="HH118" s="14"/>
      <x:c r="HI118" s="14"/>
      <x:c r="HJ118" s="14"/>
      <x:c r="HK118" s="14"/>
      <x:c r="HL118" s="14"/>
      <x:c r="HM118" s="14"/>
      <x:c r="HN118" s="14"/>
      <x:c r="HO118" s="14"/>
      <x:c r="HP118" s="14"/>
      <x:c r="HQ118" s="14"/>
      <x:c r="HR118" s="14"/>
      <x:c r="HS118" s="14"/>
      <x:c r="HT118" s="14"/>
      <x:c r="HU118" s="14"/>
      <x:c r="HV118" s="14"/>
      <x:c r="HW118" s="14"/>
      <x:c r="HX118" s="14"/>
      <x:c r="HY118" s="14"/>
      <x:c r="HZ118" s="14"/>
      <x:c r="IA118" s="14"/>
      <x:c r="IB118" s="14"/>
      <x:c r="IC118" s="14"/>
      <x:c r="ID118" s="14"/>
      <x:c r="IE118" s="14"/>
      <x:c r="IF118" s="14"/>
      <x:c r="IG118" s="14"/>
      <x:c r="IH118" s="14"/>
      <x:c r="II118" s="14"/>
      <x:c r="IJ118" s="14"/>
      <x:c r="IK118" s="14"/>
      <x:c r="IL118" s="14"/>
      <x:c r="IM118" s="14"/>
      <x:c r="IN118" s="14"/>
      <x:c r="IO118" s="14"/>
      <x:c r="IP118" s="14"/>
      <x:c r="IQ118" s="14"/>
      <x:c r="IR118" s="14"/>
      <x:c r="IS118" s="14"/>
      <x:c r="IT118" s="14"/>
      <x:c r="IU118" s="14"/>
      <x:c r="IV118" s="14"/>
      <x:c r="IW118" s="14"/>
      <x:c r="IX118" s="14"/>
      <x:c r="IY118" s="14"/>
      <x:c r="IZ118" s="14"/>
      <x:c r="JA118" s="14"/>
      <x:c r="JB118" s="14"/>
      <x:c r="JC118" s="14"/>
      <x:c r="JD118" s="14"/>
      <x:c r="JE118" s="14"/>
      <x:c r="JF118" s="14"/>
      <x:c r="JG118" s="14"/>
      <x:c r="JH118" s="14"/>
      <x:c r="JI118" s="14"/>
      <x:c r="JJ118" s="14"/>
      <x:c r="JK118" s="14"/>
      <x:c r="JL118" s="14"/>
      <x:c r="JM118" s="14"/>
      <x:c r="JN118" s="14"/>
      <x:c r="JO118" s="14"/>
      <x:c r="JP118" s="14"/>
      <x:c r="JQ118" s="14"/>
      <x:c r="JR118" s="14"/>
      <x:c r="JS118" s="14"/>
      <x:c r="JT118" s="14"/>
      <x:c r="JU118" s="14"/>
      <x:c r="JV118" s="14"/>
      <x:c r="JW118" s="14"/>
      <x:c r="JX118" s="14"/>
      <x:c r="JY118" s="14"/>
      <x:c r="JZ118" s="14"/>
      <x:c r="KA118" s="14"/>
      <x:c r="KB118" s="14"/>
      <x:c r="KC118" s="14"/>
      <x:c r="KD118" s="14"/>
      <x:c r="KE118" s="14"/>
      <x:c r="KF118" s="14"/>
      <x:c r="KG118" s="14"/>
      <x:c r="KH118" s="14"/>
      <x:c r="KI118" s="14"/>
      <x:c r="KJ118" s="14"/>
      <x:c r="KK118" s="14"/>
      <x:c r="KL118" s="14"/>
      <x:c r="KM118" s="14"/>
      <x:c r="KN118" s="14"/>
      <x:c r="KO118" s="14"/>
      <x:c r="KP118" s="14"/>
      <x:c r="KQ118" s="14"/>
      <x:c r="KR118" s="14"/>
      <x:c r="KS118" s="14"/>
      <x:c r="KT118" s="14"/>
      <x:c r="KU118" s="14"/>
      <x:c r="KV118" s="14"/>
      <x:c r="KW118" s="14"/>
      <x:c r="KX118" s="14"/>
      <x:c r="KY118" s="14"/>
      <x:c r="KZ118" s="14"/>
      <x:c r="LA118" s="14"/>
      <x:c r="LB118" s="14"/>
      <x:c r="LC118" s="14"/>
      <x:c r="LD118" s="14"/>
      <x:c r="LE118" s="14"/>
      <x:c r="LF118" s="14"/>
      <x:c r="LG118" s="14"/>
      <x:c r="LH118" s="14"/>
      <x:c r="LI118" s="14"/>
      <x:c r="LJ118" s="14"/>
      <x:c r="LK118" s="14"/>
      <x:c r="LL118" s="14"/>
      <x:c r="LM118" s="14"/>
      <x:c r="LN118" s="14"/>
      <x:c r="LO118" s="14"/>
      <x:c r="LP118" s="14"/>
      <x:c r="LQ118" s="14"/>
      <x:c r="LR118" s="14"/>
      <x:c r="LS118" s="14"/>
      <x:c r="LT118" s="14"/>
      <x:c r="LU118" s="14"/>
      <x:c r="LV118" s="14"/>
      <x:c r="LW118" s="14"/>
      <x:c r="LX118" s="14"/>
      <x:c r="LY118" s="14"/>
      <x:c r="LZ118" s="14"/>
      <x:c r="MA118" s="14"/>
      <x:c r="MB118" s="14"/>
      <x:c r="MC118" s="14"/>
      <x:c r="MD118" s="14"/>
      <x:c r="ME118" s="14"/>
      <x:c r="MF118" s="14"/>
      <x:c r="MG118" s="14"/>
      <x:c r="MH118" s="14"/>
      <x:c r="MI118" s="14"/>
      <x:c r="MJ118" s="14"/>
      <x:c r="MK118" s="14"/>
      <x:c r="ML118" s="14"/>
      <x:c r="MM118" s="14"/>
      <x:c r="MN118" s="14"/>
      <x:c r="MO118" s="14"/>
      <x:c r="MP118" s="14"/>
      <x:c r="MQ118" s="14"/>
      <x:c r="MR118" s="14"/>
      <x:c r="MS118" s="14"/>
      <x:c r="MT118" s="14"/>
      <x:c r="MU118" s="14"/>
      <x:c r="MV118" s="14"/>
      <x:c r="MW118" s="14"/>
      <x:c r="MX118" s="14"/>
      <x:c r="MY118" s="14"/>
      <x:c r="MZ118" s="14"/>
      <x:c r="NA118" s="14"/>
      <x:c r="NB118" s="14"/>
      <x:c r="NC118" s="14"/>
      <x:c r="ND118" s="14"/>
      <x:c r="NE118" s="14"/>
      <x:c r="NF118" s="14"/>
      <x:c r="NG118" s="14"/>
      <x:c r="NH118" s="14"/>
      <x:c r="NI118" s="14"/>
      <x:c r="NJ118" s="14"/>
      <x:c r="NK118" s="14"/>
      <x:c r="NL118" s="14"/>
      <x:c r="NM118" s="14"/>
      <x:c r="NN118" s="14"/>
      <x:c r="NO118" s="14"/>
      <x:c r="NP118" s="14"/>
      <x:c r="NQ118" s="14"/>
      <x:c r="NR118" s="14"/>
      <x:c r="NS118" s="14"/>
      <x:c r="NT118" s="14"/>
      <x:c r="NU118" s="14"/>
      <x:c r="NV118" s="14"/>
      <x:c r="NW118" s="14"/>
      <x:c r="NX118" s="14"/>
      <x:c r="NY118" s="14"/>
      <x:c r="NZ118" s="14"/>
      <x:c r="OA118" s="14"/>
      <x:c r="OB118" s="14"/>
      <x:c r="OC118" s="14"/>
      <x:c r="OD118" s="14"/>
      <x:c r="OE118" s="14"/>
      <x:c r="OF118" s="14"/>
      <x:c r="OG118" s="14"/>
      <x:c r="OH118" s="14"/>
      <x:c r="OI118" s="14"/>
      <x:c r="OJ118" s="14"/>
      <x:c r="OK118" s="14"/>
      <x:c r="OL118" s="14"/>
      <x:c r="OM118" s="14"/>
      <x:c r="ON118" s="14"/>
      <x:c r="OO118" s="14"/>
      <x:c r="OP118" s="14"/>
      <x:c r="OQ118" s="14"/>
      <x:c r="OR118" s="14"/>
      <x:c r="OS118" s="14"/>
      <x:c r="OT118" s="14"/>
      <x:c r="OU118" s="14"/>
      <x:c r="OV118" s="14"/>
      <x:c r="OW118" s="14"/>
      <x:c r="OX118" s="14"/>
      <x:c r="OY118" s="14"/>
      <x:c r="OZ118" s="14"/>
      <x:c r="PA118" s="14"/>
      <x:c r="PB118" s="14"/>
      <x:c r="PC118" s="14"/>
      <x:c r="PD118" s="14"/>
      <x:c r="PE118" s="14"/>
      <x:c r="PF118" s="14"/>
      <x:c r="PG118" s="14"/>
      <x:c r="PH118" s="14"/>
      <x:c r="PI118" s="14"/>
      <x:c r="PJ118" s="14"/>
      <x:c r="PK118" s="14"/>
      <x:c r="PL118" s="14"/>
      <x:c r="PM118" s="14"/>
      <x:c r="PN118" s="14"/>
      <x:c r="PO118" s="14"/>
      <x:c r="PP118" s="14"/>
      <x:c r="PQ118" s="14"/>
      <x:c r="PR118" s="14"/>
      <x:c r="PS118" s="14"/>
      <x:c r="PT118" s="14"/>
      <x:c r="PU118" s="14"/>
      <x:c r="PV118" s="14"/>
      <x:c r="PW118" s="14"/>
      <x:c r="PX118" s="14"/>
      <x:c r="PY118" s="14"/>
      <x:c r="PZ118" s="14"/>
      <x:c r="QA118" s="14"/>
      <x:c r="QB118" s="14"/>
      <x:c r="QC118" s="14"/>
      <x:c r="QD118" s="14"/>
      <x:c r="QE118" s="14"/>
      <x:c r="QF118" s="14"/>
      <x:c r="QG118" s="14"/>
      <x:c r="QH118" s="14"/>
      <x:c r="QI118" s="14"/>
      <x:c r="QJ118" s="14"/>
      <x:c r="QK118" s="14"/>
      <x:c r="QL118" s="14"/>
      <x:c r="QM118" s="14"/>
      <x:c r="QN118" s="14"/>
      <x:c r="QO118" s="14"/>
      <x:c r="QP118" s="14"/>
      <x:c r="QQ118" s="14"/>
      <x:c r="QR118" s="14"/>
      <x:c r="QS118" s="14"/>
      <x:c r="QT118" s="14"/>
      <x:c r="QU118" s="14"/>
      <x:c r="QV118" s="14"/>
      <x:c r="QW118" s="14"/>
      <x:c r="QX118" s="14"/>
      <x:c r="QY118" s="14"/>
      <x:c r="QZ118" s="14"/>
      <x:c r="RA118" s="14"/>
      <x:c r="RB118" s="14"/>
      <x:c r="RC118" s="14"/>
      <x:c r="RD118" s="14"/>
      <x:c r="RE118" s="14"/>
      <x:c r="RF118" s="14"/>
      <x:c r="RG118" s="14"/>
      <x:c r="RH118" s="14"/>
      <x:c r="RI118" s="14"/>
      <x:c r="RJ118" s="14"/>
      <x:c r="RK118" s="14"/>
      <x:c r="RL118" s="14"/>
      <x:c r="RM118" s="14"/>
      <x:c r="RN118" s="14"/>
      <x:c r="RO118" s="14"/>
      <x:c r="RP118" s="14"/>
      <x:c r="RQ118" s="14"/>
      <x:c r="RR118" s="14"/>
      <x:c r="RS118" s="14"/>
      <x:c r="RT118" s="14"/>
      <x:c r="RU118" s="14"/>
      <x:c r="RV118" s="14"/>
      <x:c r="RW118" s="14"/>
      <x:c r="RX118" s="14"/>
      <x:c r="RY118" s="14"/>
      <x:c r="RZ118" s="14"/>
      <x:c r="SA118" s="14"/>
      <x:c r="SB118" s="14"/>
      <x:c r="SC118" s="14"/>
      <x:c r="SD118" s="14"/>
      <x:c r="SE118" s="14"/>
      <x:c r="SF118" s="14"/>
      <x:c r="SG118" s="14"/>
      <x:c r="SH118" s="14"/>
      <x:c r="SI118" s="14"/>
      <x:c r="SJ118" s="14"/>
      <x:c r="SK118" s="14"/>
      <x:c r="SL118" s="14"/>
      <x:c r="SM118" s="14"/>
      <x:c r="SN118" s="14"/>
      <x:c r="SO118" s="14"/>
      <x:c r="SP118" s="14"/>
      <x:c r="SQ118" s="14"/>
      <x:c r="SR118" s="14"/>
      <x:c r="SS118" s="14"/>
      <x:c r="ST118" s="14"/>
      <x:c r="SU118" s="14"/>
      <x:c r="SV118" s="14"/>
      <x:c r="SW118" s="14"/>
      <x:c r="SX118" s="14"/>
      <x:c r="SY118" s="14"/>
      <x:c r="SZ118" s="14"/>
      <x:c r="TA118" s="14"/>
      <x:c r="TB118" s="14"/>
      <x:c r="TC118" s="14"/>
      <x:c r="TD118" s="14"/>
      <x:c r="TE118" s="14"/>
      <x:c r="TF118" s="14"/>
      <x:c r="TG118" s="14"/>
      <x:c r="TH118" s="14"/>
    </x:row>
    <x:row r="119" ht="15" customHeight="1">
      <x:c r="A119" s="14"/>
      <x:c r="B119" s="14"/>
      <x:c r="C119" s="14"/>
      <x:c r="D119" s="14"/>
      <x:c r="E119" s="14"/>
      <x:c r="F119" s="14"/>
      <x:c r="G119" s="14"/>
      <x:c r="H119" s="14"/>
      <x:c r="I119" s="14"/>
      <x:c r="J119" s="14"/>
      <x:c r="K119" s="14"/>
      <x:c r="L119" s="14"/>
      <x:c r="M119" s="14"/>
      <x:c r="N119" s="14"/>
      <x:c r="O119" s="14"/>
      <x:c r="P119" s="14"/>
      <x:c r="Q119" s="14"/>
      <x:c r="R119" s="14"/>
      <x:c r="S119" s="14"/>
      <x:c r="T119" s="14"/>
      <x:c r="U119" s="14"/>
      <x:c r="V119" s="14"/>
      <x:c r="W119" s="14"/>
      <x:c r="X119" s="14"/>
      <x:c r="Y119" s="14"/>
      <x:c r="Z119" s="14"/>
      <x:c r="AA119" s="14"/>
      <x:c r="AB119" s="14"/>
      <x:c r="AC119" s="14"/>
      <x:c r="AD119" s="14"/>
      <x:c r="AE119" s="14"/>
      <x:c r="AF119" s="14"/>
      <x:c r="AG119" s="14"/>
      <x:c r="AH119" s="14"/>
      <x:c r="AI119" s="14"/>
      <x:c r="AJ119" s="14"/>
      <x:c r="AK119" s="14"/>
      <x:c r="AL119" s="14"/>
      <x:c r="AM119" s="14"/>
      <x:c r="AN119" s="14"/>
      <x:c r="AO119" s="14"/>
      <x:c r="AP119" s="14"/>
      <x:c r="AQ119" s="14"/>
      <x:c r="AR119" s="14"/>
      <x:c r="AS119" s="14"/>
      <x:c r="AT119" s="14"/>
      <x:c r="AU119" s="14"/>
      <x:c r="AV119" s="14"/>
      <x:c r="AW119" s="14"/>
      <x:c r="AX119" s="14"/>
      <x:c r="AY119" s="17" t="str">
        <x:v>道清旭綸Ⅱ</x:v>
      </x:c>
      <x:c r="AZ119" s="17" t="str">
        <x:v>禪臺旭笠Ⅱ</x:v>
      </x:c>
      <x:c r="BA119" s="17" t="str">
        <x:v>狂陽輝冕Ⅱ</x:v>
      </x:c>
      <x:c r="BB119" s="17" t="str">
        <x:v>靜月幕巾Ⅱ</x:v>
      </x:c>
      <x:c r="BC119" s="14"/>
      <x:c r="BD119" s="17" t="str">
        <x:v>烈煌冑☆☆☆</x:v>
      </x:c>
      <x:c r="BE119" s="17" t="str">
        <x:v>戰煌鎧☆☆☆</x:v>
      </x:c>
      <x:c r="BF119" s="17" t="str">
        <x:v>燦煌衣☆☆☆</x:v>
      </x:c>
      <x:c r="BG119" s="17" t="str">
        <x:v>道煌袍☆☆☆</x:v>
      </x:c>
      <x:c r="BH119" s="14"/>
      <x:c r="BI119" s="17" t="str">
        <x:v>道清旭袖Ⅳ</x:v>
      </x:c>
      <x:c r="BJ119" s="17" t="str">
        <x:v>禪臺旭執Ⅳ</x:v>
      </x:c>
      <x:c r="BK119" s="17" t="str">
        <x:v>狂陽赤手Ⅳ</x:v>
      </x:c>
      <x:c r="BL119" s="17" t="str">
        <x:v>靜月帷腕Ⅳ</x:v>
      </x:c>
      <x:c r="BM119" s="14"/>
      <x:c r="BN119" s="17" t="str">
        <x:v>道清旭鞋Ⅰ</x:v>
      </x:c>
      <x:c r="BO119" s="17" t="str">
        <x:v>禪臺旭足Ⅰ</x:v>
      </x:c>
      <x:c r="BP119" s="17" t="str">
        <x:v>狂陽烈蹴Ⅰ</x:v>
      </x:c>
      <x:c r="BQ119" s="17" t="str">
        <x:v>靜月織足Ⅰ</x:v>
      </x:c>
      <x:c r="BR119" s="14"/>
      <x:c r="BS119" s="17" t="str">
        <x:v>活血玉珮</x:v>
      </x:c>
      <x:c r="BT119" s="17" t="str">
        <x:v>活精玉珮</x:v>
      </x:c>
      <x:c r="BU119" s="17" t="str">
        <x:v>天道護身符</x:v>
      </x:c>
      <x:c r="BV119" s="17" t="str">
        <x:v>活心佛珠</x:v>
      </x:c>
      <x:c r="BW119" s="14"/>
      <x:c r="BX119" s="14"/>
      <x:c r="BY119" s="14"/>
      <x:c r="BZ119" s="14"/>
      <x:c r="CA119" s="14"/>
      <x:c r="CB119" s="14"/>
      <x:c r="CC119" s="14"/>
      <x:c r="CD119" s="14"/>
      <x:c r="CE119" s="14"/>
      <x:c r="CF119" s="14"/>
      <x:c r="CG119" s="14"/>
      <x:c r="CH119" s="14"/>
      <x:c r="CI119" s="14"/>
      <x:c r="CJ119" s="14"/>
      <x:c r="CK119" s="14"/>
      <x:c r="CL119" s="14"/>
      <x:c r="CM119" s="14"/>
      <x:c r="CN119" s="14"/>
      <x:c r="CO119" s="14"/>
      <x:c r="CP119" s="14"/>
      <x:c r="CQ119" s="14"/>
      <x:c r="CR119" s="14"/>
      <x:c r="CS119" s="14"/>
      <x:c r="CT119" s="14"/>
      <x:c r="CU119" s="14"/>
      <x:c r="CV119" s="14"/>
      <x:c r="CW119" s="14"/>
      <x:c r="CX119" s="14"/>
      <x:c r="CY119" s="14"/>
      <x:c r="CZ119" s="14"/>
      <x:c r="DA119" s="14"/>
      <x:c r="DB119" s="14"/>
      <x:c r="DC119" s="14"/>
      <x:c r="DD119" s="14"/>
      <x:c r="DE119" s="14"/>
      <x:c r="DF119" s="14"/>
      <x:c r="DG119" s="14"/>
      <x:c r="DH119" s="14"/>
      <x:c r="DI119" s="14"/>
      <x:c r="DJ119" s="14"/>
      <x:c r="DK119" s="14"/>
      <x:c r="DL119" s="14"/>
      <x:c r="DM119" s="14"/>
      <x:c r="DN119" s="14"/>
      <x:c r="DO119" s="14"/>
      <x:c r="DP119" s="14"/>
      <x:c r="DQ119" s="14"/>
      <x:c r="DR119" s="14"/>
      <x:c r="DS119" s="14"/>
      <x:c r="DT119" s="14"/>
      <x:c r="DU119" s="14"/>
      <x:c r="DV119" s="14"/>
      <x:c r="DW119" s="14"/>
      <x:c r="DX119" s="14"/>
      <x:c r="DY119" s="14"/>
      <x:c r="DZ119" s="14"/>
      <x:c r="EA119" s="14"/>
      <x:c r="EB119" s="14"/>
      <x:c r="EC119" s="14"/>
      <x:c r="ED119" s="14"/>
      <x:c r="EE119" s="14"/>
      <x:c r="EF119" s="14"/>
      <x:c r="EG119" s="14"/>
      <x:c r="EH119" s="14"/>
      <x:c r="EI119" s="14"/>
      <x:c r="EJ119" s="14"/>
      <x:c r="EK119" s="14"/>
      <x:c r="EL119" s="14"/>
      <x:c r="EM119" s="14"/>
      <x:c r="EN119" s="14"/>
      <x:c r="EO119" s="14"/>
      <x:c r="EP119" s="14"/>
      <x:c r="EQ119" s="14"/>
      <x:c r="ER119" s="14"/>
      <x:c r="ES119" s="14"/>
      <x:c r="ET119" s="14"/>
      <x:c r="EU119" s="14"/>
      <x:c r="EV119" s="14"/>
      <x:c r="EW119" s="14"/>
      <x:c r="EX119" s="14"/>
      <x:c r="EY119" s="14"/>
      <x:c r="EZ119" s="14"/>
      <x:c r="FA119" s="14"/>
      <x:c r="FB119" s="14"/>
      <x:c r="FC119" s="14"/>
      <x:c r="FD119" s="14"/>
      <x:c r="FE119" s="14"/>
      <x:c r="FF119" s="14"/>
      <x:c r="FG119" s="14"/>
      <x:c r="FH119" s="14"/>
      <x:c r="FI119" s="14"/>
      <x:c r="FJ119" s="14"/>
      <x:c r="FK119" s="14"/>
      <x:c r="FL119" s="14"/>
      <x:c r="FM119" s="14"/>
      <x:c r="FN119" s="14"/>
      <x:c r="FO119" s="14"/>
      <x:c r="FP119" s="14"/>
      <x:c r="FQ119" s="14"/>
      <x:c r="FR119" s="14"/>
      <x:c r="FS119" s="14"/>
      <x:c r="FT119" s="14"/>
      <x:c r="FU119" s="14"/>
      <x:c r="FV119" s="14"/>
      <x:c r="FW119" s="14"/>
      <x:c r="FX119" s="14"/>
      <x:c r="FY119" s="14"/>
      <x:c r="FZ119" s="14"/>
      <x:c r="GA119" s="14"/>
      <x:c r="GB119" s="14"/>
      <x:c r="GC119" s="14"/>
      <x:c r="GD119" s="14"/>
      <x:c r="GE119" s="14"/>
      <x:c r="GF119" s="14"/>
      <x:c r="GG119" s="14"/>
      <x:c r="GH119" s="14"/>
      <x:c r="GI119" s="14"/>
      <x:c r="GJ119" s="14"/>
      <x:c r="GK119" s="14"/>
      <x:c r="GL119" s="14"/>
      <x:c r="GM119" s="14"/>
      <x:c r="GN119" s="14"/>
      <x:c r="GO119" s="14"/>
      <x:c r="GP119" s="14"/>
      <x:c r="GQ119" s="14"/>
      <x:c r="GR119" s="14"/>
      <x:c r="GS119" s="14"/>
      <x:c r="GT119" s="14"/>
      <x:c r="GU119" s="14"/>
      <x:c r="GV119" s="14"/>
      <x:c r="GW119" s="14"/>
      <x:c r="GX119" s="14"/>
      <x:c r="GY119" s="14"/>
      <x:c r="GZ119" s="14"/>
      <x:c r="HA119" s="14"/>
      <x:c r="HB119" s="14"/>
      <x:c r="HC119" s="14"/>
      <x:c r="HD119" s="14"/>
      <x:c r="HE119" s="14"/>
      <x:c r="HF119" s="14"/>
      <x:c r="HG119" s="14"/>
      <x:c r="HH119" s="14"/>
      <x:c r="HI119" s="14"/>
      <x:c r="HJ119" s="14"/>
      <x:c r="HK119" s="14"/>
      <x:c r="HL119" s="14"/>
      <x:c r="HM119" s="14"/>
      <x:c r="HN119" s="14"/>
      <x:c r="HO119" s="14"/>
      <x:c r="HP119" s="14"/>
      <x:c r="HQ119" s="14"/>
      <x:c r="HR119" s="14"/>
      <x:c r="HS119" s="14"/>
      <x:c r="HT119" s="14"/>
      <x:c r="HU119" s="14"/>
      <x:c r="HV119" s="14"/>
      <x:c r="HW119" s="14"/>
      <x:c r="HX119" s="14"/>
      <x:c r="HY119" s="14"/>
      <x:c r="HZ119" s="14"/>
      <x:c r="IA119" s="14"/>
      <x:c r="IB119" s="14"/>
      <x:c r="IC119" s="14"/>
      <x:c r="ID119" s="14"/>
      <x:c r="IE119" s="14"/>
      <x:c r="IF119" s="14"/>
      <x:c r="IG119" s="14"/>
      <x:c r="IH119" s="14"/>
      <x:c r="II119" s="14"/>
      <x:c r="IJ119" s="14"/>
      <x:c r="IK119" s="14"/>
      <x:c r="IL119" s="14"/>
      <x:c r="IM119" s="14"/>
      <x:c r="IN119" s="14"/>
      <x:c r="IO119" s="14"/>
      <x:c r="IP119" s="14"/>
      <x:c r="IQ119" s="14"/>
      <x:c r="IR119" s="14"/>
      <x:c r="IS119" s="14"/>
      <x:c r="IT119" s="14"/>
      <x:c r="IU119" s="14"/>
      <x:c r="IV119" s="14"/>
      <x:c r="IW119" s="14"/>
      <x:c r="IX119" s="14"/>
      <x:c r="IY119" s="14"/>
      <x:c r="IZ119" s="14"/>
      <x:c r="JA119" s="14"/>
      <x:c r="JB119" s="14"/>
      <x:c r="JC119" s="14"/>
      <x:c r="JD119" s="14"/>
      <x:c r="JE119" s="14"/>
      <x:c r="JF119" s="14"/>
      <x:c r="JG119" s="14"/>
      <x:c r="JH119" s="14"/>
      <x:c r="JI119" s="14"/>
      <x:c r="JJ119" s="14"/>
      <x:c r="JK119" s="14"/>
      <x:c r="JL119" s="14"/>
      <x:c r="JM119" s="14"/>
      <x:c r="JN119" s="14"/>
      <x:c r="JO119" s="14"/>
      <x:c r="JP119" s="14"/>
      <x:c r="JQ119" s="14"/>
      <x:c r="JR119" s="14"/>
      <x:c r="JS119" s="14"/>
      <x:c r="JT119" s="14"/>
      <x:c r="JU119" s="14"/>
      <x:c r="JV119" s="14"/>
      <x:c r="JW119" s="14"/>
      <x:c r="JX119" s="14"/>
      <x:c r="JY119" s="14"/>
      <x:c r="JZ119" s="14"/>
      <x:c r="KA119" s="14"/>
      <x:c r="KB119" s="14"/>
      <x:c r="KC119" s="14"/>
      <x:c r="KD119" s="14"/>
      <x:c r="KE119" s="14"/>
      <x:c r="KF119" s="14"/>
      <x:c r="KG119" s="14"/>
      <x:c r="KH119" s="14"/>
      <x:c r="KI119" s="14"/>
      <x:c r="KJ119" s="14"/>
      <x:c r="KK119" s="14"/>
      <x:c r="KL119" s="14"/>
      <x:c r="KM119" s="14"/>
      <x:c r="KN119" s="14"/>
      <x:c r="KO119" s="14"/>
      <x:c r="KP119" s="14"/>
      <x:c r="KQ119" s="14"/>
      <x:c r="KR119" s="14"/>
      <x:c r="KS119" s="14"/>
      <x:c r="KT119" s="14"/>
      <x:c r="KU119" s="14"/>
      <x:c r="KV119" s="14"/>
      <x:c r="KW119" s="14"/>
      <x:c r="KX119" s="14"/>
      <x:c r="KY119" s="14"/>
      <x:c r="KZ119" s="14"/>
      <x:c r="LA119" s="14"/>
      <x:c r="LB119" s="14"/>
      <x:c r="LC119" s="14"/>
      <x:c r="LD119" s="14"/>
      <x:c r="LE119" s="14"/>
      <x:c r="LF119" s="14"/>
      <x:c r="LG119" s="14"/>
      <x:c r="LH119" s="14"/>
      <x:c r="LI119" s="14"/>
      <x:c r="LJ119" s="14"/>
      <x:c r="LK119" s="14"/>
      <x:c r="LL119" s="14"/>
      <x:c r="LM119" s="14"/>
      <x:c r="LN119" s="14"/>
      <x:c r="LO119" s="14"/>
      <x:c r="LP119" s="14"/>
      <x:c r="LQ119" s="14"/>
      <x:c r="LR119" s="14"/>
      <x:c r="LS119" s="14"/>
      <x:c r="LT119" s="14"/>
      <x:c r="LU119" s="14"/>
      <x:c r="LV119" s="14"/>
      <x:c r="LW119" s="14"/>
      <x:c r="LX119" s="14"/>
      <x:c r="LY119" s="14"/>
      <x:c r="LZ119" s="14"/>
      <x:c r="MA119" s="14"/>
      <x:c r="MB119" s="14"/>
      <x:c r="MC119" s="14"/>
      <x:c r="MD119" s="14"/>
      <x:c r="ME119" s="14"/>
      <x:c r="MF119" s="14"/>
      <x:c r="MG119" s="14"/>
      <x:c r="MH119" s="14"/>
      <x:c r="MI119" s="14"/>
      <x:c r="MJ119" s="14"/>
      <x:c r="MK119" s="14"/>
      <x:c r="ML119" s="14"/>
      <x:c r="MM119" s="14"/>
      <x:c r="MN119" s="14"/>
      <x:c r="MO119" s="14"/>
      <x:c r="MP119" s="14"/>
      <x:c r="MQ119" s="14"/>
      <x:c r="MR119" s="14"/>
      <x:c r="MS119" s="14"/>
      <x:c r="MT119" s="14"/>
      <x:c r="MU119" s="14"/>
      <x:c r="MV119" s="14"/>
      <x:c r="MW119" s="14" t="str">
        <x:v>30267</x:v>
      </x:c>
      <x:c r="MX119" s="14" t="n">
        <x:v>5</x:v>
      </x:c>
      <x:c r="MY119" s="14" t="n">
        <x:v>2033</x:v>
      </x:c>
      <x:c r="MZ119" s="14" t="n">
        <x:v>385</x:v>
      </x:c>
      <x:c r="NA119" s="14" t="n">
        <x:v>1</x:v>
      </x:c>
      <x:c r="NB119" s="14" t="n">
        <x:v>1</x:v>
      </x:c>
      <x:c r="NC119" s="14" t="str">
        <x:v>未收錄</x:v>
      </x:c>
      <x:c r="ND119" s="14" t="str">
        <x:v>30272</x:v>
      </x:c>
      <x:c r="NE119" s="14" t="n">
        <x:v>5</x:v>
      </x:c>
      <x:c r="NF119" s="14" t="n">
        <x:v>2034</x:v>
      </x:c>
      <x:c r="NG119" s="14" t="n">
        <x:v>386</x:v>
      </x:c>
      <x:c r="NH119" s="14" t="n">
        <x:v>1</x:v>
      </x:c>
      <x:c r="NI119" s="14" t="n">
        <x:v>2</x:v>
      </x:c>
      <x:c r="NJ119" s="14" t="str">
        <x:v>未收錄</x:v>
      </x:c>
      <x:c r="NK119" s="14" t="str">
        <x:v>30372</x:v>
      </x:c>
      <x:c r="NL119" s="14" t="n">
        <x:v>10</x:v>
      </x:c>
      <x:c r="NM119" s="14" t="n">
        <x:v>2035</x:v>
      </x:c>
      <x:c r="NN119" s="14" t="n">
        <x:v>387</x:v>
      </x:c>
      <x:c r="NO119" s="14" t="n">
        <x:v>1</x:v>
      </x:c>
      <x:c r="NP119" s="14" t="n">
        <x:v>3</x:v>
      </x:c>
      <x:c r="NQ119" s="14" t="str">
        <x:v>未收錄</x:v>
      </x:c>
      <x:c r="NR119" s="14" t="str">
        <x:v>30392</x:v>
      </x:c>
      <x:c r="NS119" s="14" t="n">
        <x:v>10</x:v>
      </x:c>
      <x:c r="NT119" s="14" t="n">
        <x:v>2036</x:v>
      </x:c>
      <x:c r="NU119" s="14" t="n">
        <x:v>388</x:v>
      </x:c>
      <x:c r="NV119" s="14" t="n">
        <x:v>1</x:v>
      </x:c>
      <x:c r="NW119" s="14" t="n">
        <x:v>4</x:v>
      </x:c>
      <x:c r="NX119" s="14" t="str">
        <x:v>未收錄</x:v>
      </x:c>
      <x:c r="NY119" s="14" t="str">
        <x:v>28858</x:v>
      </x:c>
      <x:c r="NZ119" s="14" t="n">
        <x:v>5</x:v>
      </x:c>
      <x:c r="OA119" s="14" t="n">
        <x:v>2486</x:v>
      </x:c>
      <x:c r="OB119" s="14" t="n">
        <x:v>385</x:v>
      </x:c>
      <x:c r="OC119" s="14" t="n">
        <x:v>1</x:v>
      </x:c>
      <x:c r="OD119" s="14" t="n">
        <x:v>1</x:v>
      </x:c>
      <x:c r="OE119" s="14" t="str">
        <x:v>未收錄</x:v>
      </x:c>
      <x:c r="OF119" s="14" t="str">
        <x:v>28861</x:v>
      </x:c>
      <x:c r="OG119" s="14" t="n">
        <x:v>5</x:v>
      </x:c>
      <x:c r="OH119" s="14" t="n">
        <x:v>2487</x:v>
      </x:c>
      <x:c r="OI119" s="14" t="n">
        <x:v>386</x:v>
      </x:c>
      <x:c r="OJ119" s="14" t="n">
        <x:v>1</x:v>
      </x:c>
      <x:c r="OK119" s="14" t="n">
        <x:v>2</x:v>
      </x:c>
      <x:c r="OL119" s="14" t="str">
        <x:v>未收錄</x:v>
      </x:c>
      <x:c r="OM119" s="14" t="str">
        <x:v>28864</x:v>
      </x:c>
      <x:c r="ON119" s="14" t="n">
        <x:v>5</x:v>
      </x:c>
      <x:c r="OO119" s="14" t="n">
        <x:v>2488</x:v>
      </x:c>
      <x:c r="OP119" s="14" t="n">
        <x:v>387</x:v>
      </x:c>
      <x:c r="OQ119" s="14" t="n">
        <x:v>1</x:v>
      </x:c>
      <x:c r="OR119" s="14" t="n">
        <x:v>3</x:v>
      </x:c>
      <x:c r="OS119" s="14" t="str">
        <x:v>未收錄</x:v>
      </x:c>
      <x:c r="OT119" s="14" t="str">
        <x:v>28867</x:v>
      </x:c>
      <x:c r="OU119" s="14" t="n">
        <x:v>5</x:v>
      </x:c>
      <x:c r="OV119" s="14" t="n">
        <x:v>2489</x:v>
      </x:c>
      <x:c r="OW119" s="14" t="n">
        <x:v>388</x:v>
      </x:c>
      <x:c r="OX119" s="14" t="n">
        <x:v>1</x:v>
      </x:c>
      <x:c r="OY119" s="14" t="n">
        <x:v>4</x:v>
      </x:c>
      <x:c r="OZ119" s="14" t="str">
        <x:v>未收錄</x:v>
      </x:c>
      <x:c r="PA119" s="14" t="str">
        <x:v>30319</x:v>
      </x:c>
      <x:c r="PB119" s="14" t="n">
        <x:v>5</x:v>
      </x:c>
      <x:c r="PC119" s="14" t="n">
        <x:v>3032</x:v>
      </x:c>
      <x:c r="PD119" s="14" t="n">
        <x:v>385</x:v>
      </x:c>
      <x:c r="PE119" s="14" t="n">
        <x:v>1</x:v>
      </x:c>
      <x:c r="PF119" s="14" t="n">
        <x:v>1</x:v>
      </x:c>
      <x:c r="PG119" s="14" t="str">
        <x:v>未收錄</x:v>
      </x:c>
      <x:c r="PH119" s="14" t="str">
        <x:v>30324</x:v>
      </x:c>
      <x:c r="PI119" s="14" t="n">
        <x:v>5</x:v>
      </x:c>
      <x:c r="PJ119" s="14" t="n">
        <x:v>3033</x:v>
      </x:c>
      <x:c r="PK119" s="14" t="n">
        <x:v>386</x:v>
      </x:c>
      <x:c r="PL119" s="14" t="n">
        <x:v>1</x:v>
      </x:c>
      <x:c r="PM119" s="14" t="n">
        <x:v>2</x:v>
      </x:c>
      <x:c r="PN119" s="14" t="str">
        <x:v>未收錄</x:v>
      </x:c>
      <x:c r="PO119" s="14" t="str">
        <x:v>30384</x:v>
      </x:c>
      <x:c r="PP119" s="14" t="n">
        <x:v>10</x:v>
      </x:c>
      <x:c r="PQ119" s="14" t="n">
        <x:v>3034</x:v>
      </x:c>
      <x:c r="PR119" s="14" t="n">
        <x:v>387</x:v>
      </x:c>
      <x:c r="PS119" s="14" t="n">
        <x:v>1</x:v>
      </x:c>
      <x:c r="PT119" s="14" t="n">
        <x:v>3</x:v>
      </x:c>
      <x:c r="PU119" s="14" t="str">
        <x:v>未收錄</x:v>
      </x:c>
      <x:c r="PV119" s="14" t="str">
        <x:v>30404</x:v>
      </x:c>
      <x:c r="PW119" s="14" t="n">
        <x:v>10</x:v>
      </x:c>
      <x:c r="PX119" s="14" t="n">
        <x:v>3035</x:v>
      </x:c>
      <x:c r="PY119" s="14" t="n">
        <x:v>388</x:v>
      </x:c>
      <x:c r="PZ119" s="14" t="n">
        <x:v>1</x:v>
      </x:c>
      <x:c r="QA119" s="14" t="n">
        <x:v>4</x:v>
      </x:c>
      <x:c r="QB119" s="14" t="str">
        <x:v>未收錄</x:v>
      </x:c>
      <x:c r="QC119" s="14" t="str">
        <x:v>30341</x:v>
      </x:c>
      <x:c r="QD119" s="14" t="n">
        <x:v>5</x:v>
      </x:c>
      <x:c r="QE119" s="14" t="n">
        <x:v>3469</x:v>
      </x:c>
      <x:c r="QF119" s="14" t="n">
        <x:v>385</x:v>
      </x:c>
      <x:c r="QG119" s="14" t="n">
        <x:v>1</x:v>
      </x:c>
      <x:c r="QH119" s="14" t="n">
        <x:v>1</x:v>
      </x:c>
      <x:c r="QI119" s="14" t="str">
        <x:v>未收錄</x:v>
      </x:c>
      <x:c r="QJ119" s="14" t="str">
        <x:v>30346</x:v>
      </x:c>
      <x:c r="QK119" s="14" t="n">
        <x:v>5</x:v>
      </x:c>
      <x:c r="QL119" s="14" t="n">
        <x:v>3470</x:v>
      </x:c>
      <x:c r="QM119" s="14" t="n">
        <x:v>386</x:v>
      </x:c>
      <x:c r="QN119" s="14" t="n">
        <x:v>1</x:v>
      </x:c>
      <x:c r="QO119" s="14" t="n">
        <x:v>2</x:v>
      </x:c>
      <x:c r="QP119" s="14" t="str">
        <x:v>未收錄</x:v>
      </x:c>
      <x:c r="QQ119" s="14" t="str">
        <x:v>30386</x:v>
      </x:c>
      <x:c r="QR119" s="14" t="n">
        <x:v>10</x:v>
      </x:c>
      <x:c r="QS119" s="14" t="n">
        <x:v>3471</x:v>
      </x:c>
      <x:c r="QT119" s="14" t="n">
        <x:v>387</x:v>
      </x:c>
      <x:c r="QU119" s="14" t="n">
        <x:v>1</x:v>
      </x:c>
      <x:c r="QV119" s="14" t="n">
        <x:v>3</x:v>
      </x:c>
      <x:c r="QW119" s="14" t="str">
        <x:v>未收錄</x:v>
      </x:c>
      <x:c r="QX119" s="14" t="str">
        <x:v>30406</x:v>
      </x:c>
      <x:c r="QY119" s="14" t="n">
        <x:v>10</x:v>
      </x:c>
      <x:c r="QZ119" s="14" t="n">
        <x:v>3472</x:v>
      </x:c>
      <x:c r="RA119" s="14" t="n">
        <x:v>388</x:v>
      </x:c>
      <x:c r="RB119" s="14" t="n">
        <x:v>1</x:v>
      </x:c>
      <x:c r="RC119" s="14" t="n">
        <x:v>4</x:v>
      </x:c>
      <x:c r="RD119" s="14" t="str">
        <x:v>未收錄</x:v>
      </x:c>
      <x:c r="RE119" s="14" t="str">
        <x:v>32183</x:v>
      </x:c>
      <x:c r="RF119" s="14" t="n">
        <x:v>2</x:v>
      </x:c>
      <x:c r="RG119" s="14" t="n">
        <x:v>3930</x:v>
      </x:c>
      <x:c r="RH119" s="14" t="n">
        <x:v>385</x:v>
      </x:c>
      <x:c r="RI119" s="14" t="n">
        <x:v>1</x:v>
      </x:c>
      <x:c r="RJ119" s="14" t="n">
        <x:v>1</x:v>
      </x:c>
      <x:c r="RK119" s="14" t="str">
        <x:v>未收錄</x:v>
      </x:c>
      <x:c r="RL119" s="14" t="str">
        <x:v>32184</x:v>
      </x:c>
      <x:c r="RM119" s="14" t="n">
        <x:v>2</x:v>
      </x:c>
      <x:c r="RN119" s="14" t="n">
        <x:v>3931</x:v>
      </x:c>
      <x:c r="RO119" s="14" t="n">
        <x:v>386</x:v>
      </x:c>
      <x:c r="RP119" s="14" t="n">
        <x:v>1</x:v>
      </x:c>
      <x:c r="RQ119" s="14" t="n">
        <x:v>2</x:v>
      </x:c>
      <x:c r="RR119" s="14" t="str">
        <x:v>未收錄</x:v>
      </x:c>
      <x:c r="RS119" s="14" t="str">
        <x:v>32185</x:v>
      </x:c>
      <x:c r="RT119" s="14" t="n">
        <x:v>2</x:v>
      </x:c>
      <x:c r="RU119" s="14" t="n">
        <x:v>3932</x:v>
      </x:c>
      <x:c r="RV119" s="14" t="n">
        <x:v>387</x:v>
      </x:c>
      <x:c r="RW119" s="14" t="n">
        <x:v>1</x:v>
      </x:c>
      <x:c r="RX119" s="14" t="n">
        <x:v>3</x:v>
      </x:c>
      <x:c r="RY119" s="14" t="str">
        <x:v>未收錄</x:v>
      </x:c>
      <x:c r="RZ119" s="14" t="str">
        <x:v>32186</x:v>
      </x:c>
      <x:c r="SA119" s="14" t="n">
        <x:v>2</x:v>
      </x:c>
      <x:c r="SB119" s="14" t="n">
        <x:v>3933</x:v>
      </x:c>
      <x:c r="SC119" s="14" t="n">
        <x:v>388</x:v>
      </x:c>
      <x:c r="SD119" s="14" t="n">
        <x:v>1</x:v>
      </x:c>
      <x:c r="SE119" s="14" t="n">
        <x:v>4</x:v>
      </x:c>
      <x:c r="SF119" s="14" t="str">
        <x:v>未收錄</x:v>
      </x:c>
      <x:c r="SG119" s="14"/>
      <x:c r="SH119" s="14"/>
      <x:c r="SI119" s="14"/>
      <x:c r="SJ119" s="14"/>
      <x:c r="SK119" s="14"/>
      <x:c r="SL119" s="14"/>
      <x:c r="SM119" s="14"/>
      <x:c r="SN119" s="14"/>
      <x:c r="SO119" s="14"/>
      <x:c r="SP119" s="14"/>
      <x:c r="SQ119" s="14"/>
      <x:c r="SR119" s="14"/>
      <x:c r="SS119" s="14"/>
      <x:c r="ST119" s="14"/>
      <x:c r="SU119" s="14"/>
      <x:c r="SV119" s="14"/>
      <x:c r="SW119" s="14"/>
      <x:c r="SX119" s="14"/>
      <x:c r="SY119" s="14"/>
      <x:c r="SZ119" s="14"/>
      <x:c r="TA119" s="14"/>
      <x:c r="TB119" s="14"/>
      <x:c r="TC119" s="14"/>
      <x:c r="TD119" s="14"/>
      <x:c r="TE119" s="14"/>
      <x:c r="TF119" s="14"/>
      <x:c r="TG119" s="14"/>
      <x:c r="TH119" s="14"/>
    </x:row>
    <x:row r="120" ht="15" customHeight="1">
      <x:c r="A120" s="14"/>
      <x:c r="B120" s="14"/>
      <x:c r="C120" s="14"/>
      <x:c r="D120" s="14"/>
      <x:c r="E120" s="14"/>
      <x:c r="F120" s="14"/>
      <x:c r="G120" s="14"/>
      <x:c r="H120" s="14"/>
      <x:c r="I120" s="14"/>
      <x:c r="J120" s="14"/>
      <x:c r="K120" s="14"/>
      <x:c r="L120" s="14"/>
      <x:c r="M120" s="14"/>
      <x:c r="N120" s="14"/>
      <x:c r="O120" s="14"/>
      <x:c r="P120" s="14"/>
      <x:c r="Q120" s="14"/>
      <x:c r="R120" s="14"/>
      <x:c r="S120" s="14"/>
      <x:c r="T120" s="14"/>
      <x:c r="U120" s="14"/>
      <x:c r="V120" s="14"/>
      <x:c r="W120" s="14"/>
      <x:c r="X120" s="14"/>
      <x:c r="Y120" s="14"/>
      <x:c r="Z120" s="14"/>
      <x:c r="AA120" s="14"/>
      <x:c r="AB120" s="14"/>
      <x:c r="AC120" s="14"/>
      <x:c r="AD120" s="14"/>
      <x:c r="AE120" s="14"/>
      <x:c r="AF120" s="14"/>
      <x:c r="AG120" s="14"/>
      <x:c r="AH120" s="14"/>
      <x:c r="AI120" s="14"/>
      <x:c r="AJ120" s="14"/>
      <x:c r="AK120" s="14"/>
      <x:c r="AL120" s="14"/>
      <x:c r="AM120" s="14"/>
      <x:c r="AN120" s="14"/>
      <x:c r="AO120" s="14"/>
      <x:c r="AP120" s="14"/>
      <x:c r="AQ120" s="14"/>
      <x:c r="AR120" s="14"/>
      <x:c r="AS120" s="14"/>
      <x:c r="AT120" s="14"/>
      <x:c r="AU120" s="14"/>
      <x:c r="AV120" s="14"/>
      <x:c r="AW120" s="14"/>
      <x:c r="AX120" s="14"/>
      <x:c r="AY120" s="18" t="str">
        <x:v>宿星銀兜Ⅱ</x:v>
      </x:c>
      <x:c r="AZ120" s="18" t="str">
        <x:v>劍豪旭冠Ⅲ</x:v>
      </x:c>
      <x:c r="BA120" s="18" t="str">
        <x:v>勇將旭盔Ⅲ</x:v>
      </x:c>
      <x:c r="BB120" s="18" t="str">
        <x:v>術凌旭巾Ⅲ</x:v>
      </x:c>
      <x:c r="BC120" s="14"/>
      <x:c r="BD120" s="18" t="str">
        <x:v>佛煌裟☆☆☆</x:v>
      </x:c>
      <x:c r="BE120" s="18" t="str">
        <x:v>鬼兇鎧☆☆☆</x:v>
      </x:c>
      <x:c r="BF120" s="18" t="str">
        <x:v>柳天衣☆☆☆</x:v>
      </x:c>
      <x:c r="BG120" s="18" t="str">
        <x:v>碧隱甲☆☆☆</x:v>
      </x:c>
      <x:c r="BH120" s="14"/>
      <x:c r="BI120" s="18" t="str">
        <x:v>宿星爍臂Ⅳ</x:v>
      </x:c>
      <x:c r="BJ120" s="18" t="str">
        <x:v>劍豪旭腕Ⅴ</x:v>
      </x:c>
      <x:c r="BK120" s="18" t="str">
        <x:v>勇將旭掌Ⅴ</x:v>
      </x:c>
      <x:c r="BL120" s="18" t="str">
        <x:v>術凌旭指Ⅴ</x:v>
      </x:c>
      <x:c r="BM120" s="14"/>
      <x:c r="BN120" s="18" t="str">
        <x:v>宿星閃靴Ⅰ</x:v>
      </x:c>
      <x:c r="BO120" s="18" t="str">
        <x:v>劍豪旭靴Ⅱ</x:v>
      </x:c>
      <x:c r="BP120" s="18" t="str">
        <x:v>勇將旭立Ⅱ</x:v>
      </x:c>
      <x:c r="BQ120" s="18" t="str">
        <x:v>術凌旭步Ⅱ</x:v>
      </x:c>
      <x:c r="BR120" s="14"/>
      <x:c r="BS120" s="18" t="str">
        <x:v>超金梁天佐鎮</x:v>
      </x:c>
      <x:c r="BT120" s="18" t="str">
        <x:v>超水嶷天佐針</x:v>
      </x:c>
      <x:c r="BU120" s="18" t="str">
        <x:v>超火熒天佐徽</x:v>
      </x:c>
      <x:c r="BV120" s="18" t="str">
        <x:v>超土伏天佐玉</x:v>
      </x:c>
      <x:c r="BW120" s="14"/>
      <x:c r="BX120" s="14"/>
      <x:c r="BY120" s="14"/>
      <x:c r="BZ120" s="14"/>
      <x:c r="CA120" s="14"/>
      <x:c r="CB120" s="14"/>
      <x:c r="CC120" s="14"/>
      <x:c r="CD120" s="14"/>
      <x:c r="CE120" s="14"/>
      <x:c r="CF120" s="14"/>
      <x:c r="CG120" s="14"/>
      <x:c r="CH120" s="14"/>
      <x:c r="CI120" s="14"/>
      <x:c r="CJ120" s="14"/>
      <x:c r="CK120" s="14"/>
      <x:c r="CL120" s="14"/>
      <x:c r="CM120" s="14"/>
      <x:c r="CN120" s="14"/>
      <x:c r="CO120" s="14"/>
      <x:c r="CP120" s="14"/>
      <x:c r="CQ120" s="14"/>
      <x:c r="CR120" s="14"/>
      <x:c r="CS120" s="14"/>
      <x:c r="CT120" s="14"/>
      <x:c r="CU120" s="14"/>
      <x:c r="CV120" s="14"/>
      <x:c r="CW120" s="14"/>
      <x:c r="CX120" s="14"/>
      <x:c r="CY120" s="14"/>
      <x:c r="CZ120" s="14"/>
      <x:c r="DA120" s="14"/>
      <x:c r="DB120" s="14"/>
      <x:c r="DC120" s="14"/>
      <x:c r="DD120" s="14"/>
      <x:c r="DE120" s="14"/>
      <x:c r="DF120" s="14"/>
      <x:c r="DG120" s="14"/>
      <x:c r="DH120" s="14"/>
      <x:c r="DI120" s="14"/>
      <x:c r="DJ120" s="14"/>
      <x:c r="DK120" s="14"/>
      <x:c r="DL120" s="14"/>
      <x:c r="DM120" s="14"/>
      <x:c r="DN120" s="14"/>
      <x:c r="DO120" s="14"/>
      <x:c r="DP120" s="14"/>
      <x:c r="DQ120" s="14"/>
      <x:c r="DR120" s="14"/>
      <x:c r="DS120" s="14"/>
      <x:c r="DT120" s="14"/>
      <x:c r="DU120" s="14"/>
      <x:c r="DV120" s="14"/>
      <x:c r="DW120" s="14"/>
      <x:c r="DX120" s="14"/>
      <x:c r="DY120" s="14"/>
      <x:c r="DZ120" s="14"/>
      <x:c r="EA120" s="14"/>
      <x:c r="EB120" s="14"/>
      <x:c r="EC120" s="14"/>
      <x:c r="ED120" s="14"/>
      <x:c r="EE120" s="14"/>
      <x:c r="EF120" s="14"/>
      <x:c r="EG120" s="14"/>
      <x:c r="EH120" s="14"/>
      <x:c r="EI120" s="14"/>
      <x:c r="EJ120" s="14"/>
      <x:c r="EK120" s="14"/>
      <x:c r="EL120" s="14"/>
      <x:c r="EM120" s="14"/>
      <x:c r="EN120" s="14"/>
      <x:c r="EO120" s="14"/>
      <x:c r="EP120" s="14"/>
      <x:c r="EQ120" s="14"/>
      <x:c r="ER120" s="14"/>
      <x:c r="ES120" s="14"/>
      <x:c r="ET120" s="14"/>
      <x:c r="EU120" s="14"/>
      <x:c r="EV120" s="14"/>
      <x:c r="EW120" s="14"/>
      <x:c r="EX120" s="14"/>
      <x:c r="EY120" s="14"/>
      <x:c r="EZ120" s="14"/>
      <x:c r="FA120" s="14"/>
      <x:c r="FB120" s="14"/>
      <x:c r="FC120" s="14"/>
      <x:c r="FD120" s="14"/>
      <x:c r="FE120" s="14"/>
      <x:c r="FF120" s="14"/>
      <x:c r="FG120" s="14"/>
      <x:c r="FH120" s="14"/>
      <x:c r="FI120" s="14"/>
      <x:c r="FJ120" s="14"/>
      <x:c r="FK120" s="14"/>
      <x:c r="FL120" s="14"/>
      <x:c r="FM120" s="14"/>
      <x:c r="FN120" s="14"/>
      <x:c r="FO120" s="14"/>
      <x:c r="FP120" s="14"/>
      <x:c r="FQ120" s="14"/>
      <x:c r="FR120" s="14"/>
      <x:c r="FS120" s="14"/>
      <x:c r="FT120" s="14"/>
      <x:c r="FU120" s="14"/>
      <x:c r="FV120" s="14"/>
      <x:c r="FW120" s="14"/>
      <x:c r="FX120" s="14"/>
      <x:c r="FY120" s="14"/>
      <x:c r="FZ120" s="14"/>
      <x:c r="GA120" s="14"/>
      <x:c r="GB120" s="14"/>
      <x:c r="GC120" s="14"/>
      <x:c r="GD120" s="14"/>
      <x:c r="GE120" s="14"/>
      <x:c r="GF120" s="14"/>
      <x:c r="GG120" s="14"/>
      <x:c r="GH120" s="14"/>
      <x:c r="GI120" s="14"/>
      <x:c r="GJ120" s="14"/>
      <x:c r="GK120" s="14"/>
      <x:c r="GL120" s="14"/>
      <x:c r="GM120" s="14"/>
      <x:c r="GN120" s="14"/>
      <x:c r="GO120" s="14"/>
      <x:c r="GP120" s="14"/>
      <x:c r="GQ120" s="14"/>
      <x:c r="GR120" s="14"/>
      <x:c r="GS120" s="14"/>
      <x:c r="GT120" s="14"/>
      <x:c r="GU120" s="14"/>
      <x:c r="GV120" s="14"/>
      <x:c r="GW120" s="14"/>
      <x:c r="GX120" s="14"/>
      <x:c r="GY120" s="14"/>
      <x:c r="GZ120" s="14"/>
      <x:c r="HA120" s="14"/>
      <x:c r="HB120" s="14"/>
      <x:c r="HC120" s="14"/>
      <x:c r="HD120" s="14"/>
      <x:c r="HE120" s="14"/>
      <x:c r="HF120" s="14"/>
      <x:c r="HG120" s="14"/>
      <x:c r="HH120" s="14"/>
      <x:c r="HI120" s="14"/>
      <x:c r="HJ120" s="14"/>
      <x:c r="HK120" s="14"/>
      <x:c r="HL120" s="14"/>
      <x:c r="HM120" s="14"/>
      <x:c r="HN120" s="14"/>
      <x:c r="HO120" s="14"/>
      <x:c r="HP120" s="14"/>
      <x:c r="HQ120" s="14"/>
      <x:c r="HR120" s="14"/>
      <x:c r="HS120" s="14"/>
      <x:c r="HT120" s="14"/>
      <x:c r="HU120" s="14"/>
      <x:c r="HV120" s="14"/>
      <x:c r="HW120" s="14"/>
      <x:c r="HX120" s="14"/>
      <x:c r="HY120" s="14"/>
      <x:c r="HZ120" s="14"/>
      <x:c r="IA120" s="14"/>
      <x:c r="IB120" s="14"/>
      <x:c r="IC120" s="14"/>
      <x:c r="ID120" s="14"/>
      <x:c r="IE120" s="14"/>
      <x:c r="IF120" s="14"/>
      <x:c r="IG120" s="14"/>
      <x:c r="IH120" s="14"/>
      <x:c r="II120" s="14"/>
      <x:c r="IJ120" s="14"/>
      <x:c r="IK120" s="14"/>
      <x:c r="IL120" s="14"/>
      <x:c r="IM120" s="14"/>
      <x:c r="IN120" s="14"/>
      <x:c r="IO120" s="14"/>
      <x:c r="IP120" s="14"/>
      <x:c r="IQ120" s="14"/>
      <x:c r="IR120" s="14"/>
      <x:c r="IS120" s="14"/>
      <x:c r="IT120" s="14"/>
      <x:c r="IU120" s="14"/>
      <x:c r="IV120" s="14"/>
      <x:c r="IW120" s="14"/>
      <x:c r="IX120" s="14"/>
      <x:c r="IY120" s="14"/>
      <x:c r="IZ120" s="14"/>
      <x:c r="JA120" s="14"/>
      <x:c r="JB120" s="14"/>
      <x:c r="JC120" s="14"/>
      <x:c r="JD120" s="14"/>
      <x:c r="JE120" s="14"/>
      <x:c r="JF120" s="14"/>
      <x:c r="JG120" s="14"/>
      <x:c r="JH120" s="14"/>
      <x:c r="JI120" s="14"/>
      <x:c r="JJ120" s="14"/>
      <x:c r="JK120" s="14"/>
      <x:c r="JL120" s="14"/>
      <x:c r="JM120" s="14"/>
      <x:c r="JN120" s="14"/>
      <x:c r="JO120" s="14"/>
      <x:c r="JP120" s="14"/>
      <x:c r="JQ120" s="14"/>
      <x:c r="JR120" s="14"/>
      <x:c r="JS120" s="14"/>
      <x:c r="JT120" s="14"/>
      <x:c r="JU120" s="14"/>
      <x:c r="JV120" s="14"/>
      <x:c r="JW120" s="14"/>
      <x:c r="JX120" s="14"/>
      <x:c r="JY120" s="14"/>
      <x:c r="JZ120" s="14"/>
      <x:c r="KA120" s="14"/>
      <x:c r="KB120" s="14"/>
      <x:c r="KC120" s="14"/>
      <x:c r="KD120" s="14"/>
      <x:c r="KE120" s="14"/>
      <x:c r="KF120" s="14"/>
      <x:c r="KG120" s="14"/>
      <x:c r="KH120" s="14"/>
      <x:c r="KI120" s="14"/>
      <x:c r="KJ120" s="14"/>
      <x:c r="KK120" s="14"/>
      <x:c r="KL120" s="14"/>
      <x:c r="KM120" s="14"/>
      <x:c r="KN120" s="14"/>
      <x:c r="KO120" s="14"/>
      <x:c r="KP120" s="14"/>
      <x:c r="KQ120" s="14"/>
      <x:c r="KR120" s="14"/>
      <x:c r="KS120" s="14"/>
      <x:c r="KT120" s="14"/>
      <x:c r="KU120" s="14"/>
      <x:c r="KV120" s="14"/>
      <x:c r="KW120" s="14"/>
      <x:c r="KX120" s="14"/>
      <x:c r="KY120" s="14"/>
      <x:c r="KZ120" s="14"/>
      <x:c r="LA120" s="14"/>
      <x:c r="LB120" s="14"/>
      <x:c r="LC120" s="14"/>
      <x:c r="LD120" s="14"/>
      <x:c r="LE120" s="14"/>
      <x:c r="LF120" s="14"/>
      <x:c r="LG120" s="14"/>
      <x:c r="LH120" s="14"/>
      <x:c r="LI120" s="14"/>
      <x:c r="LJ120" s="14"/>
      <x:c r="LK120" s="14"/>
      <x:c r="LL120" s="14"/>
      <x:c r="LM120" s="14"/>
      <x:c r="LN120" s="14"/>
      <x:c r="LO120" s="14"/>
      <x:c r="LP120" s="14"/>
      <x:c r="LQ120" s="14"/>
      <x:c r="LR120" s="14"/>
      <x:c r="LS120" s="14"/>
      <x:c r="LT120" s="14"/>
      <x:c r="LU120" s="14"/>
      <x:c r="LV120" s="14"/>
      <x:c r="LW120" s="14"/>
      <x:c r="LX120" s="14"/>
      <x:c r="LY120" s="14"/>
      <x:c r="LZ120" s="14"/>
      <x:c r="MA120" s="14"/>
      <x:c r="MB120" s="14"/>
      <x:c r="MC120" s="14"/>
      <x:c r="MD120" s="14"/>
      <x:c r="ME120" s="14"/>
      <x:c r="MF120" s="14"/>
      <x:c r="MG120" s="14"/>
      <x:c r="MH120" s="14"/>
      <x:c r="MI120" s="14"/>
      <x:c r="MJ120" s="14"/>
      <x:c r="MK120" s="14"/>
      <x:c r="ML120" s="14"/>
      <x:c r="MM120" s="14"/>
      <x:c r="MN120" s="14"/>
      <x:c r="MO120" s="14"/>
      <x:c r="MP120" s="14"/>
      <x:c r="MQ120" s="14"/>
      <x:c r="MR120" s="14"/>
      <x:c r="MS120" s="14"/>
      <x:c r="MT120" s="14"/>
      <x:c r="MU120" s="14"/>
      <x:c r="MV120" s="14"/>
      <x:c r="MW120" s="14" t="str">
        <x:v>30412</x:v>
      </x:c>
      <x:c r="MX120" s="14" t="n">
        <x:v>10</x:v>
      </x:c>
      <x:c r="MY120" s="14" t="n">
        <x:v>2037</x:v>
      </x:c>
      <x:c r="MZ120" s="14" t="n">
        <x:v>389</x:v>
      </x:c>
      <x:c r="NA120" s="14" t="n">
        <x:v>2</x:v>
      </x:c>
      <x:c r="NB120" s="14" t="n">
        <x:v>1</x:v>
      </x:c>
      <x:c r="NC120" s="14" t="str">
        <x:v>未收錄</x:v>
      </x:c>
      <x:c r="ND120" s="14" t="str">
        <x:v>30253</x:v>
      </x:c>
      <x:c r="NE120" s="14" t="n">
        <x:v>5</x:v>
      </x:c>
      <x:c r="NF120" s="14" t="n">
        <x:v>2038</x:v>
      </x:c>
      <x:c r="NG120" s="14" t="n">
        <x:v>390</x:v>
      </x:c>
      <x:c r="NH120" s="14" t="n">
        <x:v>2</x:v>
      </x:c>
      <x:c r="NI120" s="14" t="n">
        <x:v>2</x:v>
      </x:c>
      <x:c r="NJ120" s="14" t="str">
        <x:v>未收錄</x:v>
      </x:c>
      <x:c r="NK120" s="14" t="str">
        <x:v>30258</x:v>
      </x:c>
      <x:c r="NL120" s="14" t="n">
        <x:v>5</x:v>
      </x:c>
      <x:c r="NM120" s="14" t="n">
        <x:v>2039</x:v>
      </x:c>
      <x:c r="NN120" s="14" t="n">
        <x:v>391</x:v>
      </x:c>
      <x:c r="NO120" s="14" t="n">
        <x:v>2</x:v>
      </x:c>
      <x:c r="NP120" s="14" t="n">
        <x:v>3</x:v>
      </x:c>
      <x:c r="NQ120" s="14" t="str">
        <x:v>未收錄</x:v>
      </x:c>
      <x:c r="NR120" s="14" t="str">
        <x:v>30263</x:v>
      </x:c>
      <x:c r="NS120" s="14" t="n">
        <x:v>5</x:v>
      </x:c>
      <x:c r="NT120" s="14" t="n">
        <x:v>2040</x:v>
      </x:c>
      <x:c r="NU120" s="14" t="n">
        <x:v>392</x:v>
      </x:c>
      <x:c r="NV120" s="14" t="n">
        <x:v>2</x:v>
      </x:c>
      <x:c r="NW120" s="14" t="n">
        <x:v>4</x:v>
      </x:c>
      <x:c r="NX120" s="14" t="str">
        <x:v>未收錄</x:v>
      </x:c>
      <x:c r="NY120" s="14" t="str">
        <x:v>28870</x:v>
      </x:c>
      <x:c r="NZ120" s="14" t="n">
        <x:v>5</x:v>
      </x:c>
      <x:c r="OA120" s="14" t="n">
        <x:v>2490</x:v>
      </x:c>
      <x:c r="OB120" s="14" t="n">
        <x:v>389</x:v>
      </x:c>
      <x:c r="OC120" s="14" t="n">
        <x:v>2</x:v>
      </x:c>
      <x:c r="OD120" s="14" t="n">
        <x:v>1</x:v>
      </x:c>
      <x:c r="OE120" s="14" t="str">
        <x:v>未收錄</x:v>
      </x:c>
      <x:c r="OF120" s="14" t="str">
        <x:v>28956</x:v>
      </x:c>
      <x:c r="OG120" s="14" t="n">
        <x:v>10</x:v>
      </x:c>
      <x:c r="OH120" s="14" t="n">
        <x:v>2491</x:v>
      </x:c>
      <x:c r="OI120" s="14" t="n">
        <x:v>390</x:v>
      </x:c>
      <x:c r="OJ120" s="14" t="n">
        <x:v>2</x:v>
      </x:c>
      <x:c r="OK120" s="14" t="n">
        <x:v>2</x:v>
      </x:c>
      <x:c r="OL120" s="14" t="str">
        <x:v>未收錄</x:v>
      </x:c>
      <x:c r="OM120" s="14" t="str">
        <x:v>28968</x:v>
      </x:c>
      <x:c r="ON120" s="14" t="n">
        <x:v>10</x:v>
      </x:c>
      <x:c r="OO120" s="14" t="n">
        <x:v>2492</x:v>
      </x:c>
      <x:c r="OP120" s="14" t="n">
        <x:v>391</x:v>
      </x:c>
      <x:c r="OQ120" s="14" t="n">
        <x:v>2</x:v>
      </x:c>
      <x:c r="OR120" s="14" t="n">
        <x:v>3</x:v>
      </x:c>
      <x:c r="OS120" s="14" t="str">
        <x:v>未收錄</x:v>
      </x:c>
      <x:c r="OT120" s="14" t="str">
        <x:v>28977</x:v>
      </x:c>
      <x:c r="OU120" s="14" t="n">
        <x:v>10</x:v>
      </x:c>
      <x:c r="OV120" s="14" t="n">
        <x:v>2493</x:v>
      </x:c>
      <x:c r="OW120" s="14" t="n">
        <x:v>392</x:v>
      </x:c>
      <x:c r="OX120" s="14" t="n">
        <x:v>2</x:v>
      </x:c>
      <x:c r="OY120" s="14" t="n">
        <x:v>4</x:v>
      </x:c>
      <x:c r="OZ120" s="14" t="str">
        <x:v>未收錄</x:v>
      </x:c>
      <x:c r="PA120" s="14" t="str">
        <x:v>30424</x:v>
      </x:c>
      <x:c r="PB120" s="14" t="n">
        <x:v>10</x:v>
      </x:c>
      <x:c r="PC120" s="14" t="n">
        <x:v>3036</x:v>
      </x:c>
      <x:c r="PD120" s="14" t="n">
        <x:v>389</x:v>
      </x:c>
      <x:c r="PE120" s="14" t="n">
        <x:v>2</x:v>
      </x:c>
      <x:c r="PF120" s="14" t="n">
        <x:v>1</x:v>
      </x:c>
      <x:c r="PG120" s="14" t="str">
        <x:v>未收錄</x:v>
      </x:c>
      <x:c r="PH120" s="14" t="str">
        <x:v>30305</x:v>
      </x:c>
      <x:c r="PI120" s="14" t="n">
        <x:v>5</x:v>
      </x:c>
      <x:c r="PJ120" s="14" t="n">
        <x:v>3037</x:v>
      </x:c>
      <x:c r="PK120" s="14" t="n">
        <x:v>390</x:v>
      </x:c>
      <x:c r="PL120" s="14" t="n">
        <x:v>2</x:v>
      </x:c>
      <x:c r="PM120" s="14" t="n">
        <x:v>2</x:v>
      </x:c>
      <x:c r="PN120" s="14" t="str">
        <x:v>未收錄</x:v>
      </x:c>
      <x:c r="PO120" s="14" t="str">
        <x:v>30310</x:v>
      </x:c>
      <x:c r="PP120" s="14" t="n">
        <x:v>5</x:v>
      </x:c>
      <x:c r="PQ120" s="14" t="n">
        <x:v>3038</x:v>
      </x:c>
      <x:c r="PR120" s="14" t="n">
        <x:v>391</x:v>
      </x:c>
      <x:c r="PS120" s="14" t="n">
        <x:v>2</x:v>
      </x:c>
      <x:c r="PT120" s="14" t="n">
        <x:v>3</x:v>
      </x:c>
      <x:c r="PU120" s="14" t="str">
        <x:v>未收錄</x:v>
      </x:c>
      <x:c r="PV120" s="14" t="str">
        <x:v>30315</x:v>
      </x:c>
      <x:c r="PW120" s="14" t="n">
        <x:v>5</x:v>
      </x:c>
      <x:c r="PX120" s="14" t="n">
        <x:v>3039</x:v>
      </x:c>
      <x:c r="PY120" s="14" t="n">
        <x:v>392</x:v>
      </x:c>
      <x:c r="PZ120" s="14" t="n">
        <x:v>2</x:v>
      </x:c>
      <x:c r="QA120" s="14" t="n">
        <x:v>4</x:v>
      </x:c>
      <x:c r="QB120" s="14" t="str">
        <x:v>未收錄</x:v>
      </x:c>
      <x:c r="QC120" s="14" t="str">
        <x:v>30601</x:v>
      </x:c>
      <x:c r="QD120" s="14" t="n">
        <x:v>10</x:v>
      </x:c>
      <x:c r="QE120" s="14" t="n">
        <x:v>3473</x:v>
      </x:c>
      <x:c r="QF120" s="14" t="n">
        <x:v>389</x:v>
      </x:c>
      <x:c r="QG120" s="14" t="n">
        <x:v>2</x:v>
      </x:c>
      <x:c r="QH120" s="14" t="n">
        <x:v>1</x:v>
      </x:c>
      <x:c r="QI120" s="14" t="str">
        <x:v>未收錄</x:v>
      </x:c>
      <x:c r="QJ120" s="14" t="str">
        <x:v>30327</x:v>
      </x:c>
      <x:c r="QK120" s="14" t="n">
        <x:v>5</x:v>
      </x:c>
      <x:c r="QL120" s="14" t="n">
        <x:v>3474</x:v>
      </x:c>
      <x:c r="QM120" s="14" t="n">
        <x:v>390</x:v>
      </x:c>
      <x:c r="QN120" s="14" t="n">
        <x:v>2</x:v>
      </x:c>
      <x:c r="QO120" s="14" t="n">
        <x:v>2</x:v>
      </x:c>
      <x:c r="QP120" s="14" t="str">
        <x:v>未收錄</x:v>
      </x:c>
      <x:c r="QQ120" s="14" t="str">
        <x:v>30332</x:v>
      </x:c>
      <x:c r="QR120" s="14" t="n">
        <x:v>5</x:v>
      </x:c>
      <x:c r="QS120" s="14" t="n">
        <x:v>3475</x:v>
      </x:c>
      <x:c r="QT120" s="14" t="n">
        <x:v>391</x:v>
      </x:c>
      <x:c r="QU120" s="14" t="n">
        <x:v>2</x:v>
      </x:c>
      <x:c r="QV120" s="14" t="n">
        <x:v>3</x:v>
      </x:c>
      <x:c r="QW120" s="14" t="str">
        <x:v>未收錄</x:v>
      </x:c>
      <x:c r="QX120" s="14" t="str">
        <x:v>30337</x:v>
      </x:c>
      <x:c r="QY120" s="14" t="n">
        <x:v>5</x:v>
      </x:c>
      <x:c r="QZ120" s="14" t="n">
        <x:v>3476</x:v>
      </x:c>
      <x:c r="RA120" s="14" t="n">
        <x:v>392</x:v>
      </x:c>
      <x:c r="RB120" s="14" t="n">
        <x:v>2</x:v>
      </x:c>
      <x:c r="RC120" s="14" t="n">
        <x:v>4</x:v>
      </x:c>
      <x:c r="RD120" s="14" t="str">
        <x:v>未收錄</x:v>
      </x:c>
      <x:c r="RE120" s="14" t="str">
        <x:v>31577</x:v>
      </x:c>
      <x:c r="RF120" s="14" t="n">
        <x:v>5</x:v>
      </x:c>
      <x:c r="RG120" s="14" t="n">
        <x:v>3934</x:v>
      </x:c>
      <x:c r="RH120" s="14" t="n">
        <x:v>389</x:v>
      </x:c>
      <x:c r="RI120" s="14" t="n">
        <x:v>2</x:v>
      </x:c>
      <x:c r="RJ120" s="14" t="n">
        <x:v>1</x:v>
      </x:c>
      <x:c r="RK120" s="14" t="str">
        <x:v>未收錄</x:v>
      </x:c>
      <x:c r="RL120" s="14" t="str">
        <x:v>31578</x:v>
      </x:c>
      <x:c r="RM120" s="14" t="n">
        <x:v>5</x:v>
      </x:c>
      <x:c r="RN120" s="14" t="n">
        <x:v>3935</x:v>
      </x:c>
      <x:c r="RO120" s="14" t="n">
        <x:v>390</x:v>
      </x:c>
      <x:c r="RP120" s="14" t="n">
        <x:v>2</x:v>
      </x:c>
      <x:c r="RQ120" s="14" t="n">
        <x:v>2</x:v>
      </x:c>
      <x:c r="RR120" s="14" t="str">
        <x:v>未收錄</x:v>
      </x:c>
      <x:c r="RS120" s="14" t="str">
        <x:v>31579</x:v>
      </x:c>
      <x:c r="RT120" s="14" t="n">
        <x:v>5</x:v>
      </x:c>
      <x:c r="RU120" s="14" t="n">
        <x:v>3936</x:v>
      </x:c>
      <x:c r="RV120" s="14" t="n">
        <x:v>391</x:v>
      </x:c>
      <x:c r="RW120" s="14" t="n">
        <x:v>2</x:v>
      </x:c>
      <x:c r="RX120" s="14" t="n">
        <x:v>3</x:v>
      </x:c>
      <x:c r="RY120" s="14" t="str">
        <x:v>未收錄</x:v>
      </x:c>
      <x:c r="RZ120" s="14" t="str">
        <x:v>31580</x:v>
      </x:c>
      <x:c r="SA120" s="14" t="n">
        <x:v>5</x:v>
      </x:c>
      <x:c r="SB120" s="14" t="n">
        <x:v>3937</x:v>
      </x:c>
      <x:c r="SC120" s="14" t="n">
        <x:v>392</x:v>
      </x:c>
      <x:c r="SD120" s="14" t="n">
        <x:v>2</x:v>
      </x:c>
      <x:c r="SE120" s="14" t="n">
        <x:v>4</x:v>
      </x:c>
      <x:c r="SF120" s="14" t="str">
        <x:v>未收錄</x:v>
      </x:c>
      <x:c r="SG120" s="14"/>
      <x:c r="SH120" s="14"/>
      <x:c r="SI120" s="14"/>
      <x:c r="SJ120" s="14"/>
      <x:c r="SK120" s="14"/>
      <x:c r="SL120" s="14"/>
      <x:c r="SM120" s="14"/>
      <x:c r="SN120" s="14"/>
      <x:c r="SO120" s="14"/>
      <x:c r="SP120" s="14"/>
      <x:c r="SQ120" s="14"/>
      <x:c r="SR120" s="14"/>
      <x:c r="SS120" s="14"/>
      <x:c r="ST120" s="14"/>
      <x:c r="SU120" s="14"/>
      <x:c r="SV120" s="14"/>
      <x:c r="SW120" s="14"/>
      <x:c r="SX120" s="14"/>
      <x:c r="SY120" s="14"/>
      <x:c r="SZ120" s="14"/>
      <x:c r="TA120" s="14"/>
      <x:c r="TB120" s="14"/>
      <x:c r="TC120" s="14"/>
      <x:c r="TD120" s="14"/>
      <x:c r="TE120" s="14"/>
      <x:c r="TF120" s="14"/>
      <x:c r="TG120" s="14"/>
      <x:c r="TH120" s="14"/>
    </x:row>
    <x:row r="121" ht="15" customHeight="1">
      <x:c r="A121" s="14"/>
      <x:c r="B121" s="14"/>
      <x:c r="C121" s="14"/>
      <x:c r="D121" s="14"/>
      <x:c r="E121" s="14"/>
      <x:c r="F121" s="14"/>
      <x:c r="G121" s="14"/>
      <x:c r="H121" s="14"/>
      <x:c r="I121" s="14"/>
      <x:c r="J121" s="14"/>
      <x:c r="K121" s="14"/>
      <x:c r="L121" s="14"/>
      <x:c r="M121" s="14"/>
      <x:c r="N121" s="14"/>
      <x:c r="O121" s="14"/>
      <x:c r="P121" s="14"/>
      <x:c r="Q121" s="14"/>
      <x:c r="R121" s="14"/>
      <x:c r="S121" s="14"/>
      <x:c r="T121" s="14"/>
      <x:c r="U121" s="14"/>
      <x:c r="V121" s="14"/>
      <x:c r="W121" s="14"/>
      <x:c r="X121" s="14"/>
      <x:c r="Y121" s="14"/>
      <x:c r="Z121" s="14"/>
      <x:c r="AA121" s="14"/>
      <x:c r="AB121" s="14"/>
      <x:c r="AC121" s="14"/>
      <x:c r="AD121" s="14"/>
      <x:c r="AE121" s="14"/>
      <x:c r="AF121" s="14"/>
      <x:c r="AG121" s="14"/>
      <x:c r="AH121" s="14"/>
      <x:c r="AI121" s="14"/>
      <x:c r="AJ121" s="14"/>
      <x:c r="AK121" s="14"/>
      <x:c r="AL121" s="14"/>
      <x:c r="AM121" s="14"/>
      <x:c r="AN121" s="14"/>
      <x:c r="AO121" s="14"/>
      <x:c r="AP121" s="14"/>
      <x:c r="AQ121" s="14"/>
      <x:c r="AR121" s="14"/>
      <x:c r="AS121" s="14"/>
      <x:c r="AT121" s="14"/>
      <x:c r="AU121" s="14"/>
      <x:c r="AV121" s="14"/>
      <x:c r="AW121" s="14"/>
      <x:c r="AX121" s="14"/>
      <x:c r="AY121" s="17" t="str">
        <x:v>道清旭綸Ⅲ</x:v>
      </x:c>
      <x:c r="AZ121" s="17" t="str">
        <x:v>禪臺旭笠Ⅲ</x:v>
      </x:c>
      <x:c r="BA121" s="17" t="str">
        <x:v>狂陽輝冕Ⅲ</x:v>
      </x:c>
      <x:c r="BB121" s="17" t="str">
        <x:v>靜月幕巾Ⅲ</x:v>
      </x:c>
      <x:c r="BC121" s="14"/>
      <x:c r="BD121" s="17" t="str">
        <x:v>碧行裟☆☆☆</x:v>
      </x:c>
      <x:c r="BE121" s="17" t="str">
        <x:v>昊．智者聖甲</x:v>
      </x:c>
      <x:c r="BF121" s="17" t="str">
        <x:v>昊．仁者聖甲</x:v>
      </x:c>
      <x:c r="BG121" s="17" t="str">
        <x:v>昊．勇者聖甲</x:v>
      </x:c>
      <x:c r="BH121" s="14"/>
      <x:c r="BI121" s="17" t="str">
        <x:v>道清旭袖Ⅴ</x:v>
      </x:c>
      <x:c r="BJ121" s="17" t="str">
        <x:v>禪臺旭執Ⅴ</x:v>
      </x:c>
      <x:c r="BK121" s="17" t="str">
        <x:v>狂陽赤手Ⅴ</x:v>
      </x:c>
      <x:c r="BL121" s="17" t="str">
        <x:v>靜月帷腕Ⅴ</x:v>
      </x:c>
      <x:c r="BM121" s="14"/>
      <x:c r="BN121" s="17" t="str">
        <x:v>道清旭鞋Ⅱ</x:v>
      </x:c>
      <x:c r="BO121" s="17" t="str">
        <x:v>禪臺旭足Ⅱ</x:v>
      </x:c>
      <x:c r="BP121" s="17" t="str">
        <x:v>狂陽烈蹴Ⅱ</x:v>
      </x:c>
      <x:c r="BQ121" s="17" t="str">
        <x:v>靜月織足Ⅱ</x:v>
      </x:c>
      <x:c r="BR121" s="14"/>
      <x:c r="BS121" s="17" t="str">
        <x:v>超木篁天佐戒</x:v>
      </x:c>
      <x:c r="BT121" s="17" t="str">
        <x:v>極金梁天佐鎮</x:v>
      </x:c>
      <x:c r="BU121" s="17" t="str">
        <x:v>極水嶷天佐針</x:v>
      </x:c>
      <x:c r="BV121" s="17" t="str">
        <x:v>極火熒天佐徽</x:v>
      </x:c>
      <x:c r="BW121" s="14"/>
      <x:c r="BX121" s="14"/>
      <x:c r="BY121" s="14"/>
      <x:c r="BZ121" s="14"/>
      <x:c r="CA121" s="14"/>
      <x:c r="CB121" s="14"/>
      <x:c r="CC121" s="14"/>
      <x:c r="CD121" s="14"/>
      <x:c r="CE121" s="14"/>
      <x:c r="CF121" s="14"/>
      <x:c r="CG121" s="14"/>
      <x:c r="CH121" s="14"/>
      <x:c r="CI121" s="14"/>
      <x:c r="CJ121" s="14"/>
      <x:c r="CK121" s="14"/>
      <x:c r="CL121" s="14"/>
      <x:c r="CM121" s="14"/>
      <x:c r="CN121" s="14"/>
      <x:c r="CO121" s="14"/>
      <x:c r="CP121" s="14"/>
      <x:c r="CQ121" s="14"/>
      <x:c r="CR121" s="14"/>
      <x:c r="CS121" s="14"/>
      <x:c r="CT121" s="14"/>
      <x:c r="CU121" s="14"/>
      <x:c r="CV121" s="14"/>
      <x:c r="CW121" s="14"/>
      <x:c r="CX121" s="14"/>
      <x:c r="CY121" s="14"/>
      <x:c r="CZ121" s="14"/>
      <x:c r="DA121" s="14"/>
      <x:c r="DB121" s="14"/>
      <x:c r="DC121" s="14"/>
      <x:c r="DD121" s="14"/>
      <x:c r="DE121" s="14"/>
      <x:c r="DF121" s="14"/>
      <x:c r="DG121" s="14"/>
      <x:c r="DH121" s="14"/>
      <x:c r="DI121" s="14"/>
      <x:c r="DJ121" s="14"/>
      <x:c r="DK121" s="14"/>
      <x:c r="DL121" s="14"/>
      <x:c r="DM121" s="14"/>
      <x:c r="DN121" s="14"/>
      <x:c r="DO121" s="14"/>
      <x:c r="DP121" s="14"/>
      <x:c r="DQ121" s="14"/>
      <x:c r="DR121" s="14"/>
      <x:c r="DS121" s="14"/>
      <x:c r="DT121" s="14"/>
      <x:c r="DU121" s="14"/>
      <x:c r="DV121" s="14"/>
      <x:c r="DW121" s="14"/>
      <x:c r="DX121" s="14"/>
      <x:c r="DY121" s="14"/>
      <x:c r="DZ121" s="14"/>
      <x:c r="EA121" s="14"/>
      <x:c r="EB121" s="14"/>
      <x:c r="EC121" s="14"/>
      <x:c r="ED121" s="14"/>
      <x:c r="EE121" s="14"/>
      <x:c r="EF121" s="14"/>
      <x:c r="EG121" s="14"/>
      <x:c r="EH121" s="14"/>
      <x:c r="EI121" s="14"/>
      <x:c r="EJ121" s="14"/>
      <x:c r="EK121" s="14"/>
      <x:c r="EL121" s="14"/>
      <x:c r="EM121" s="14"/>
      <x:c r="EN121" s="14"/>
      <x:c r="EO121" s="14"/>
      <x:c r="EP121" s="14"/>
      <x:c r="EQ121" s="14"/>
      <x:c r="ER121" s="14"/>
      <x:c r="ES121" s="14"/>
      <x:c r="ET121" s="14"/>
      <x:c r="EU121" s="14"/>
      <x:c r="EV121" s="14"/>
      <x:c r="EW121" s="14"/>
      <x:c r="EX121" s="14"/>
      <x:c r="EY121" s="14"/>
      <x:c r="EZ121" s="14"/>
      <x:c r="FA121" s="14"/>
      <x:c r="FB121" s="14"/>
      <x:c r="FC121" s="14"/>
      <x:c r="FD121" s="14"/>
      <x:c r="FE121" s="14"/>
      <x:c r="FF121" s="14"/>
      <x:c r="FG121" s="14"/>
      <x:c r="FH121" s="14"/>
      <x:c r="FI121" s="14"/>
      <x:c r="FJ121" s="14"/>
      <x:c r="FK121" s="14"/>
      <x:c r="FL121" s="14"/>
      <x:c r="FM121" s="14"/>
      <x:c r="FN121" s="14"/>
      <x:c r="FO121" s="14"/>
      <x:c r="FP121" s="14"/>
      <x:c r="FQ121" s="14"/>
      <x:c r="FR121" s="14"/>
      <x:c r="FS121" s="14"/>
      <x:c r="FT121" s="14"/>
      <x:c r="FU121" s="14"/>
      <x:c r="FV121" s="14"/>
      <x:c r="FW121" s="14"/>
      <x:c r="FX121" s="14"/>
      <x:c r="FY121" s="14"/>
      <x:c r="FZ121" s="14"/>
      <x:c r="GA121" s="14"/>
      <x:c r="GB121" s="14"/>
      <x:c r="GC121" s="14"/>
      <x:c r="GD121" s="14"/>
      <x:c r="GE121" s="14"/>
      <x:c r="GF121" s="14"/>
      <x:c r="GG121" s="14"/>
      <x:c r="GH121" s="14"/>
      <x:c r="GI121" s="14"/>
      <x:c r="GJ121" s="14"/>
      <x:c r="GK121" s="14"/>
      <x:c r="GL121" s="14"/>
      <x:c r="GM121" s="14"/>
      <x:c r="GN121" s="14"/>
      <x:c r="GO121" s="14"/>
      <x:c r="GP121" s="14"/>
      <x:c r="GQ121" s="14"/>
      <x:c r="GR121" s="14"/>
      <x:c r="GS121" s="14"/>
      <x:c r="GT121" s="14"/>
      <x:c r="GU121" s="14"/>
      <x:c r="GV121" s="14"/>
      <x:c r="GW121" s="14"/>
      <x:c r="GX121" s="14"/>
      <x:c r="GY121" s="14"/>
      <x:c r="GZ121" s="14"/>
      <x:c r="HA121" s="14"/>
      <x:c r="HB121" s="14"/>
      <x:c r="HC121" s="14"/>
      <x:c r="HD121" s="14"/>
      <x:c r="HE121" s="14"/>
      <x:c r="HF121" s="14"/>
      <x:c r="HG121" s="14"/>
      <x:c r="HH121" s="14"/>
      <x:c r="HI121" s="14"/>
      <x:c r="HJ121" s="14"/>
      <x:c r="HK121" s="14"/>
      <x:c r="HL121" s="14"/>
      <x:c r="HM121" s="14"/>
      <x:c r="HN121" s="14"/>
      <x:c r="HO121" s="14"/>
      <x:c r="HP121" s="14"/>
      <x:c r="HQ121" s="14"/>
      <x:c r="HR121" s="14"/>
      <x:c r="HS121" s="14"/>
      <x:c r="HT121" s="14"/>
      <x:c r="HU121" s="14"/>
      <x:c r="HV121" s="14"/>
      <x:c r="HW121" s="14"/>
      <x:c r="HX121" s="14"/>
      <x:c r="HY121" s="14"/>
      <x:c r="HZ121" s="14"/>
      <x:c r="IA121" s="14"/>
      <x:c r="IB121" s="14"/>
      <x:c r="IC121" s="14"/>
      <x:c r="ID121" s="14"/>
      <x:c r="IE121" s="14"/>
      <x:c r="IF121" s="14"/>
      <x:c r="IG121" s="14"/>
      <x:c r="IH121" s="14"/>
      <x:c r="II121" s="14"/>
      <x:c r="IJ121" s="14"/>
      <x:c r="IK121" s="14"/>
      <x:c r="IL121" s="14"/>
      <x:c r="IM121" s="14"/>
      <x:c r="IN121" s="14"/>
      <x:c r="IO121" s="14"/>
      <x:c r="IP121" s="14"/>
      <x:c r="IQ121" s="14"/>
      <x:c r="IR121" s="14"/>
      <x:c r="IS121" s="14"/>
      <x:c r="IT121" s="14"/>
      <x:c r="IU121" s="14"/>
      <x:c r="IV121" s="14"/>
      <x:c r="IW121" s="14"/>
      <x:c r="IX121" s="14"/>
      <x:c r="IY121" s="14"/>
      <x:c r="IZ121" s="14"/>
      <x:c r="JA121" s="14"/>
      <x:c r="JB121" s="14"/>
      <x:c r="JC121" s="14"/>
      <x:c r="JD121" s="14"/>
      <x:c r="JE121" s="14"/>
      <x:c r="JF121" s="14"/>
      <x:c r="JG121" s="14"/>
      <x:c r="JH121" s="14"/>
      <x:c r="JI121" s="14"/>
      <x:c r="JJ121" s="14"/>
      <x:c r="JK121" s="14"/>
      <x:c r="JL121" s="14"/>
      <x:c r="JM121" s="14"/>
      <x:c r="JN121" s="14"/>
      <x:c r="JO121" s="14"/>
      <x:c r="JP121" s="14"/>
      <x:c r="JQ121" s="14"/>
      <x:c r="JR121" s="14"/>
      <x:c r="JS121" s="14"/>
      <x:c r="JT121" s="14"/>
      <x:c r="JU121" s="14"/>
      <x:c r="JV121" s="14"/>
      <x:c r="JW121" s="14"/>
      <x:c r="JX121" s="14"/>
      <x:c r="JY121" s="14"/>
      <x:c r="JZ121" s="14"/>
      <x:c r="KA121" s="14"/>
      <x:c r="KB121" s="14"/>
      <x:c r="KC121" s="14"/>
      <x:c r="KD121" s="14"/>
      <x:c r="KE121" s="14"/>
      <x:c r="KF121" s="14"/>
      <x:c r="KG121" s="14"/>
      <x:c r="KH121" s="14"/>
      <x:c r="KI121" s="14"/>
      <x:c r="KJ121" s="14"/>
      <x:c r="KK121" s="14"/>
      <x:c r="KL121" s="14"/>
      <x:c r="KM121" s="14"/>
      <x:c r="KN121" s="14"/>
      <x:c r="KO121" s="14"/>
      <x:c r="KP121" s="14"/>
      <x:c r="KQ121" s="14"/>
      <x:c r="KR121" s="14"/>
      <x:c r="KS121" s="14"/>
      <x:c r="KT121" s="14"/>
      <x:c r="KU121" s="14"/>
      <x:c r="KV121" s="14"/>
      <x:c r="KW121" s="14"/>
      <x:c r="KX121" s="14"/>
      <x:c r="KY121" s="14"/>
      <x:c r="KZ121" s="14"/>
      <x:c r="LA121" s="14"/>
      <x:c r="LB121" s="14"/>
      <x:c r="LC121" s="14"/>
      <x:c r="LD121" s="14"/>
      <x:c r="LE121" s="14"/>
      <x:c r="LF121" s="14"/>
      <x:c r="LG121" s="14"/>
      <x:c r="LH121" s="14"/>
      <x:c r="LI121" s="14"/>
      <x:c r="LJ121" s="14"/>
      <x:c r="LK121" s="14"/>
      <x:c r="LL121" s="14"/>
      <x:c r="LM121" s="14"/>
      <x:c r="LN121" s="14"/>
      <x:c r="LO121" s="14"/>
      <x:c r="LP121" s="14"/>
      <x:c r="LQ121" s="14"/>
      <x:c r="LR121" s="14"/>
      <x:c r="LS121" s="14"/>
      <x:c r="LT121" s="14"/>
      <x:c r="LU121" s="14"/>
      <x:c r="LV121" s="14"/>
      <x:c r="LW121" s="14"/>
      <x:c r="LX121" s="14"/>
      <x:c r="LY121" s="14"/>
      <x:c r="LZ121" s="14"/>
      <x:c r="MA121" s="14"/>
      <x:c r="MB121" s="14"/>
      <x:c r="MC121" s="14"/>
      <x:c r="MD121" s="14"/>
      <x:c r="ME121" s="14"/>
      <x:c r="MF121" s="14"/>
      <x:c r="MG121" s="14"/>
      <x:c r="MH121" s="14"/>
      <x:c r="MI121" s="14"/>
      <x:c r="MJ121" s="14"/>
      <x:c r="MK121" s="14"/>
      <x:c r="ML121" s="14"/>
      <x:c r="MM121" s="14"/>
      <x:c r="MN121" s="14"/>
      <x:c r="MO121" s="14"/>
      <x:c r="MP121" s="14"/>
      <x:c r="MQ121" s="14"/>
      <x:c r="MR121" s="14"/>
      <x:c r="MS121" s="14"/>
      <x:c r="MT121" s="14"/>
      <x:c r="MU121" s="14"/>
      <x:c r="MV121" s="14"/>
      <x:c r="MW121" s="14" t="str">
        <x:v>30268</x:v>
      </x:c>
      <x:c r="MX121" s="14" t="n">
        <x:v>5</x:v>
      </x:c>
      <x:c r="MY121" s="14" t="n">
        <x:v>2041</x:v>
      </x:c>
      <x:c r="MZ121" s="14" t="n">
        <x:v>393</x:v>
      </x:c>
      <x:c r="NA121" s="14" t="n">
        <x:v>3</x:v>
      </x:c>
      <x:c r="NB121" s="14" t="n">
        <x:v>1</x:v>
      </x:c>
      <x:c r="NC121" s="14" t="str">
        <x:v>未收錄</x:v>
      </x:c>
      <x:c r="ND121" s="14" t="str">
        <x:v>30273</x:v>
      </x:c>
      <x:c r="NE121" s="14" t="n">
        <x:v>5</x:v>
      </x:c>
      <x:c r="NF121" s="14" t="n">
        <x:v>2042</x:v>
      </x:c>
      <x:c r="NG121" s="14" t="n">
        <x:v>394</x:v>
      </x:c>
      <x:c r="NH121" s="14" t="n">
        <x:v>3</x:v>
      </x:c>
      <x:c r="NI121" s="14" t="n">
        <x:v>2</x:v>
      </x:c>
      <x:c r="NJ121" s="14" t="str">
        <x:v>未收錄</x:v>
      </x:c>
      <x:c r="NK121" s="14" t="str">
        <x:v>30373</x:v>
      </x:c>
      <x:c r="NL121" s="14" t="n">
        <x:v>10</x:v>
      </x:c>
      <x:c r="NM121" s="14" t="n">
        <x:v>2043</x:v>
      </x:c>
      <x:c r="NN121" s="14" t="n">
        <x:v>395</x:v>
      </x:c>
      <x:c r="NO121" s="14" t="n">
        <x:v>3</x:v>
      </x:c>
      <x:c r="NP121" s="14" t="n">
        <x:v>3</x:v>
      </x:c>
      <x:c r="NQ121" s="14" t="str">
        <x:v>未收錄</x:v>
      </x:c>
      <x:c r="NR121" s="14" t="str">
        <x:v>30393</x:v>
      </x:c>
      <x:c r="NS121" s="14" t="n">
        <x:v>10</x:v>
      </x:c>
      <x:c r="NT121" s="14" t="n">
        <x:v>2044</x:v>
      </x:c>
      <x:c r="NU121" s="14" t="n">
        <x:v>396</x:v>
      </x:c>
      <x:c r="NV121" s="14" t="n">
        <x:v>3</x:v>
      </x:c>
      <x:c r="NW121" s="14" t="n">
        <x:v>4</x:v>
      </x:c>
      <x:c r="NX121" s="14" t="str">
        <x:v>未收錄</x:v>
      </x:c>
      <x:c r="NY121" s="14" t="str">
        <x:v>28980</x:v>
      </x:c>
      <x:c r="NZ121" s="14" t="n">
        <x:v>10</x:v>
      </x:c>
      <x:c r="OA121" s="14" t="n">
        <x:v>2494</x:v>
      </x:c>
      <x:c r="OB121" s="14" t="n">
        <x:v>393</x:v>
      </x:c>
      <x:c r="OC121" s="14" t="n">
        <x:v>3</x:v>
      </x:c>
      <x:c r="OD121" s="14" t="n">
        <x:v>1</x:v>
      </x:c>
      <x:c r="OE121" s="14" t="str">
        <x:v>未收錄</x:v>
      </x:c>
      <x:c r="OF121" s="14" t="str">
        <x:v>28947</x:v>
      </x:c>
      <x:c r="OG121" s="14" t="n">
        <x:v>10</x:v>
      </x:c>
      <x:c r="OH121" s="14" t="n">
        <x:v>2495</x:v>
      </x:c>
      <x:c r="OI121" s="14" t="n">
        <x:v>394</x:v>
      </x:c>
      <x:c r="OJ121" s="14" t="n">
        <x:v>3</x:v>
      </x:c>
      <x:c r="OK121" s="14" t="n">
        <x:v>2</x:v>
      </x:c>
      <x:c r="OL121" s="14" t="str">
        <x:v>未收錄</x:v>
      </x:c>
      <x:c r="OM121" s="14" t="str">
        <x:v>28948</x:v>
      </x:c>
      <x:c r="ON121" s="14" t="n">
        <x:v>10</x:v>
      </x:c>
      <x:c r="OO121" s="14" t="n">
        <x:v>2496</x:v>
      </x:c>
      <x:c r="OP121" s="14" t="n">
        <x:v>395</x:v>
      </x:c>
      <x:c r="OQ121" s="14" t="n">
        <x:v>3</x:v>
      </x:c>
      <x:c r="OR121" s="14" t="n">
        <x:v>3</x:v>
      </x:c>
      <x:c r="OS121" s="14" t="str">
        <x:v>未收錄</x:v>
      </x:c>
      <x:c r="OT121" s="14" t="str">
        <x:v>28949</x:v>
      </x:c>
      <x:c r="OU121" s="14" t="n">
        <x:v>10</x:v>
      </x:c>
      <x:c r="OV121" s="14" t="n">
        <x:v>2497</x:v>
      </x:c>
      <x:c r="OW121" s="14" t="n">
        <x:v>396</x:v>
      </x:c>
      <x:c r="OX121" s="14" t="n">
        <x:v>3</x:v>
      </x:c>
      <x:c r="OY121" s="14" t="n">
        <x:v>4</x:v>
      </x:c>
      <x:c r="OZ121" s="14" t="str">
        <x:v>未收錄</x:v>
      </x:c>
      <x:c r="PA121" s="14" t="str">
        <x:v>30320</x:v>
      </x:c>
      <x:c r="PB121" s="14" t="n">
        <x:v>5</x:v>
      </x:c>
      <x:c r="PC121" s="14" t="n">
        <x:v>3040</x:v>
      </x:c>
      <x:c r="PD121" s="14" t="n">
        <x:v>393</x:v>
      </x:c>
      <x:c r="PE121" s="14" t="n">
        <x:v>3</x:v>
      </x:c>
      <x:c r="PF121" s="14" t="n">
        <x:v>1</x:v>
      </x:c>
      <x:c r="PG121" s="14" t="str">
        <x:v>未收錄</x:v>
      </x:c>
      <x:c r="PH121" s="14" t="str">
        <x:v>30325</x:v>
      </x:c>
      <x:c r="PI121" s="14" t="n">
        <x:v>5</x:v>
      </x:c>
      <x:c r="PJ121" s="14" t="n">
        <x:v>3041</x:v>
      </x:c>
      <x:c r="PK121" s="14" t="n">
        <x:v>394</x:v>
      </x:c>
      <x:c r="PL121" s="14" t="n">
        <x:v>3</x:v>
      </x:c>
      <x:c r="PM121" s="14" t="n">
        <x:v>2</x:v>
      </x:c>
      <x:c r="PN121" s="14" t="str">
        <x:v>未收錄</x:v>
      </x:c>
      <x:c r="PO121" s="14" t="str">
        <x:v>30385</x:v>
      </x:c>
      <x:c r="PP121" s="14" t="n">
        <x:v>10</x:v>
      </x:c>
      <x:c r="PQ121" s="14" t="n">
        <x:v>3042</x:v>
      </x:c>
      <x:c r="PR121" s="14" t="n">
        <x:v>395</x:v>
      </x:c>
      <x:c r="PS121" s="14" t="n">
        <x:v>3</x:v>
      </x:c>
      <x:c r="PT121" s="14" t="n">
        <x:v>3</x:v>
      </x:c>
      <x:c r="PU121" s="14" t="str">
        <x:v>未收錄</x:v>
      </x:c>
      <x:c r="PV121" s="14" t="str">
        <x:v>30405</x:v>
      </x:c>
      <x:c r="PW121" s="14" t="n">
        <x:v>10</x:v>
      </x:c>
      <x:c r="PX121" s="14" t="n">
        <x:v>3043</x:v>
      </x:c>
      <x:c r="PY121" s="14" t="n">
        <x:v>396</x:v>
      </x:c>
      <x:c r="PZ121" s="14" t="n">
        <x:v>3</x:v>
      </x:c>
      <x:c r="QA121" s="14" t="n">
        <x:v>4</x:v>
      </x:c>
      <x:c r="QB121" s="14" t="str">
        <x:v>未收錄</x:v>
      </x:c>
      <x:c r="QC121" s="14" t="str">
        <x:v>30342</x:v>
      </x:c>
      <x:c r="QD121" s="14" t="n">
        <x:v>5</x:v>
      </x:c>
      <x:c r="QE121" s="14" t="n">
        <x:v>3477</x:v>
      </x:c>
      <x:c r="QF121" s="14" t="n">
        <x:v>393</x:v>
      </x:c>
      <x:c r="QG121" s="14" t="n">
        <x:v>3</x:v>
      </x:c>
      <x:c r="QH121" s="14" t="n">
        <x:v>1</x:v>
      </x:c>
      <x:c r="QI121" s="14" t="str">
        <x:v>未收錄</x:v>
      </x:c>
      <x:c r="QJ121" s="14" t="str">
        <x:v>30347</x:v>
      </x:c>
      <x:c r="QK121" s="14" t="n">
        <x:v>5</x:v>
      </x:c>
      <x:c r="QL121" s="14" t="n">
        <x:v>3478</x:v>
      </x:c>
      <x:c r="QM121" s="14" t="n">
        <x:v>394</x:v>
      </x:c>
      <x:c r="QN121" s="14" t="n">
        <x:v>3</x:v>
      </x:c>
      <x:c r="QO121" s="14" t="n">
        <x:v>2</x:v>
      </x:c>
      <x:c r="QP121" s="14" t="str">
        <x:v>未收錄</x:v>
      </x:c>
      <x:c r="QQ121" s="14" t="str">
        <x:v>30387</x:v>
      </x:c>
      <x:c r="QR121" s="14" t="n">
        <x:v>10</x:v>
      </x:c>
      <x:c r="QS121" s="14" t="n">
        <x:v>3479</x:v>
      </x:c>
      <x:c r="QT121" s="14" t="n">
        <x:v>395</x:v>
      </x:c>
      <x:c r="QU121" s="14" t="n">
        <x:v>3</x:v>
      </x:c>
      <x:c r="QV121" s="14" t="n">
        <x:v>3</x:v>
      </x:c>
      <x:c r="QW121" s="14" t="str">
        <x:v>未收錄</x:v>
      </x:c>
      <x:c r="QX121" s="14" t="str">
        <x:v>30407</x:v>
      </x:c>
      <x:c r="QY121" s="14" t="n">
        <x:v>10</x:v>
      </x:c>
      <x:c r="QZ121" s="14" t="n">
        <x:v>3480</x:v>
      </x:c>
      <x:c r="RA121" s="14" t="n">
        <x:v>396</x:v>
      </x:c>
      <x:c r="RB121" s="14" t="n">
        <x:v>3</x:v>
      </x:c>
      <x:c r="RC121" s="14" t="n">
        <x:v>4</x:v>
      </x:c>
      <x:c r="RD121" s="14" t="str">
        <x:v>未收錄</x:v>
      </x:c>
      <x:c r="RE121" s="14" t="str">
        <x:v>31581</x:v>
      </x:c>
      <x:c r="RF121" s="14" t="n">
        <x:v>5</x:v>
      </x:c>
      <x:c r="RG121" s="14" t="n">
        <x:v>3938</x:v>
      </x:c>
      <x:c r="RH121" s="14" t="n">
        <x:v>393</x:v>
      </x:c>
      <x:c r="RI121" s="14" t="n">
        <x:v>3</x:v>
      </x:c>
      <x:c r="RJ121" s="14" t="n">
        <x:v>1</x:v>
      </x:c>
      <x:c r="RK121" s="14" t="str">
        <x:v>未收錄</x:v>
      </x:c>
      <x:c r="RL121" s="14" t="str">
        <x:v>31860</x:v>
      </x:c>
      <x:c r="RM121" s="14" t="n">
        <x:v>5</x:v>
      </x:c>
      <x:c r="RN121" s="14" t="n">
        <x:v>3939</x:v>
      </x:c>
      <x:c r="RO121" s="14" t="n">
        <x:v>394</x:v>
      </x:c>
      <x:c r="RP121" s="14" t="n">
        <x:v>3</x:v>
      </x:c>
      <x:c r="RQ121" s="14" t="n">
        <x:v>2</x:v>
      </x:c>
      <x:c r="RR121" s="14" t="str">
        <x:v>未收錄</x:v>
      </x:c>
      <x:c r="RS121" s="14" t="str">
        <x:v>31861</x:v>
      </x:c>
      <x:c r="RT121" s="14" t="n">
        <x:v>5</x:v>
      </x:c>
      <x:c r="RU121" s="14" t="n">
        <x:v>3940</x:v>
      </x:c>
      <x:c r="RV121" s="14" t="n">
        <x:v>395</x:v>
      </x:c>
      <x:c r="RW121" s="14" t="n">
        <x:v>3</x:v>
      </x:c>
      <x:c r="RX121" s="14" t="n">
        <x:v>3</x:v>
      </x:c>
      <x:c r="RY121" s="14" t="str">
        <x:v>未收錄</x:v>
      </x:c>
      <x:c r="RZ121" s="14" t="str">
        <x:v>31862</x:v>
      </x:c>
      <x:c r="SA121" s="14" t="n">
        <x:v>5</x:v>
      </x:c>
      <x:c r="SB121" s="14" t="n">
        <x:v>3941</x:v>
      </x:c>
      <x:c r="SC121" s="14" t="n">
        <x:v>396</x:v>
      </x:c>
      <x:c r="SD121" s="14" t="n">
        <x:v>3</x:v>
      </x:c>
      <x:c r="SE121" s="14" t="n">
        <x:v>4</x:v>
      </x:c>
      <x:c r="SF121" s="14" t="str">
        <x:v>未收錄</x:v>
      </x:c>
      <x:c r="SG121" s="14"/>
      <x:c r="SH121" s="14"/>
      <x:c r="SI121" s="14"/>
      <x:c r="SJ121" s="14"/>
      <x:c r="SK121" s="14"/>
      <x:c r="SL121" s="14"/>
      <x:c r="SM121" s="14"/>
      <x:c r="SN121" s="14"/>
      <x:c r="SO121" s="14"/>
      <x:c r="SP121" s="14"/>
      <x:c r="SQ121" s="14"/>
      <x:c r="SR121" s="14"/>
      <x:c r="SS121" s="14"/>
      <x:c r="ST121" s="14"/>
      <x:c r="SU121" s="14"/>
      <x:c r="SV121" s="14"/>
      <x:c r="SW121" s="14"/>
      <x:c r="SX121" s="14"/>
      <x:c r="SY121" s="14"/>
      <x:c r="SZ121" s="14"/>
      <x:c r="TA121" s="14"/>
      <x:c r="TB121" s="14"/>
      <x:c r="TC121" s="14"/>
      <x:c r="TD121" s="14"/>
      <x:c r="TE121" s="14"/>
      <x:c r="TF121" s="14"/>
      <x:c r="TG121" s="14"/>
      <x:c r="TH121" s="14"/>
    </x:row>
    <x:row r="122" ht="15" customHeight="1">
      <x:c r="A122" s="14"/>
      <x:c r="B122" s="14"/>
      <x:c r="C122" s="14"/>
      <x:c r="D122" s="14"/>
      <x:c r="E122" s="14"/>
      <x:c r="F122" s="14"/>
      <x:c r="G122" s="14"/>
      <x:c r="H122" s="14"/>
      <x:c r="I122" s="14"/>
      <x:c r="J122" s="14"/>
      <x:c r="K122" s="14"/>
      <x:c r="L122" s="14"/>
      <x:c r="M122" s="14"/>
      <x:c r="N122" s="14"/>
      <x:c r="O122" s="14"/>
      <x:c r="P122" s="14"/>
      <x:c r="Q122" s="14"/>
      <x:c r="R122" s="14"/>
      <x:c r="S122" s="14"/>
      <x:c r="T122" s="14"/>
      <x:c r="U122" s="14"/>
      <x:c r="V122" s="14"/>
      <x:c r="W122" s="14"/>
      <x:c r="X122" s="14"/>
      <x:c r="Y122" s="14"/>
      <x:c r="Z122" s="14"/>
      <x:c r="AA122" s="14"/>
      <x:c r="AB122" s="14"/>
      <x:c r="AC122" s="14"/>
      <x:c r="AD122" s="14"/>
      <x:c r="AE122" s="14"/>
      <x:c r="AF122" s="14"/>
      <x:c r="AG122" s="14"/>
      <x:c r="AH122" s="14"/>
      <x:c r="AI122" s="14"/>
      <x:c r="AJ122" s="14"/>
      <x:c r="AK122" s="14"/>
      <x:c r="AL122" s="14"/>
      <x:c r="AM122" s="14"/>
      <x:c r="AN122" s="14"/>
      <x:c r="AO122" s="14"/>
      <x:c r="AP122" s="14"/>
      <x:c r="AQ122" s="14"/>
      <x:c r="AR122" s="14"/>
      <x:c r="AS122" s="14"/>
      <x:c r="AT122" s="14"/>
      <x:c r="AU122" s="14"/>
      <x:c r="AV122" s="14"/>
      <x:c r="AW122" s="14"/>
      <x:c r="AX122" s="14"/>
      <x:c r="AY122" s="18" t="str">
        <x:v>宿星銀兜Ⅲ</x:v>
      </x:c>
      <x:c r="AZ122" s="18" t="str">
        <x:v>劍豪旭冠Ⅳ</x:v>
      </x:c>
      <x:c r="BA122" s="18" t="str">
        <x:v>勇將旭盔Ⅳ</x:v>
      </x:c>
      <x:c r="BB122" s="18" t="str">
        <x:v>術凌旭巾Ⅳ</x:v>
      </x:c>
      <x:c r="BC122" s="14"/>
      <x:c r="BD122" s="18" t="str">
        <x:v>昊．義者聖甲</x:v>
      </x:c>
      <x:c r="BE122" s="18" t="str">
        <x:v>劍帝服☆</x:v>
      </x:c>
      <x:c r="BF122" s="18" t="str">
        <x:v>武帝胄☆</x:v>
      </x:c>
      <x:c r="BG122" s="18" t="str">
        <x:v>幻帝裘☆</x:v>
      </x:c>
      <x:c r="BH122" s="14"/>
      <x:c r="BI122" s="18" t="str">
        <x:v>宿星爍臂Ⅴ</x:v>
      </x:c>
      <x:c r="BJ122" s="18" t="str">
        <x:v>宇鋒飄腕Ⅰ</x:v>
      </x:c>
      <x:c r="BK122" s="18" t="str">
        <x:v>天衛宙臂Ⅰ</x:v>
      </x:c>
      <x:c r="BL122" s="18" t="str">
        <x:v>光術快手Ⅰ</x:v>
      </x:c>
      <x:c r="BM122" s="14"/>
      <x:c r="BN122" s="18" t="str">
        <x:v>宿星閃靴Ⅱ</x:v>
      </x:c>
      <x:c r="BO122" s="18" t="str">
        <x:v>劍豪旭靴Ⅲ</x:v>
      </x:c>
      <x:c r="BP122" s="18" t="str">
        <x:v>勇將旭立Ⅲ</x:v>
      </x:c>
      <x:c r="BQ122" s="18" t="str">
        <x:v>術凌旭步Ⅲ</x:v>
      </x:c>
      <x:c r="BR122" s="14"/>
      <x:c r="BS122" s="18" t="str">
        <x:v>極土伏天佐玉</x:v>
      </x:c>
      <x:c r="BT122" s="18" t="str">
        <x:v>極木篁天佐戒</x:v>
      </x:c>
      <x:c r="BU122" s="18" t="str">
        <x:v>謙卑集</x:v>
      </x:c>
      <x:c r="BV122" s="18" t="str">
        <x:v>萬用鑰匙</x:v>
      </x:c>
      <x:c r="BW122" s="14"/>
      <x:c r="BX122" s="14"/>
      <x:c r="BY122" s="14"/>
      <x:c r="BZ122" s="14"/>
      <x:c r="CA122" s="14"/>
      <x:c r="CB122" s="14"/>
      <x:c r="CC122" s="14"/>
      <x:c r="CD122" s="14"/>
      <x:c r="CE122" s="14"/>
      <x:c r="CF122" s="14"/>
      <x:c r="CG122" s="14"/>
      <x:c r="CH122" s="14"/>
      <x:c r="CI122" s="14"/>
      <x:c r="CJ122" s="14"/>
      <x:c r="CK122" s="14"/>
      <x:c r="CL122" s="14"/>
      <x:c r="CM122" s="14"/>
      <x:c r="CN122" s="14"/>
      <x:c r="CO122" s="14"/>
      <x:c r="CP122" s="14"/>
      <x:c r="CQ122" s="14"/>
      <x:c r="CR122" s="14"/>
      <x:c r="CS122" s="14"/>
      <x:c r="CT122" s="14"/>
      <x:c r="CU122" s="14"/>
      <x:c r="CV122" s="14"/>
      <x:c r="CW122" s="14"/>
      <x:c r="CX122" s="14"/>
      <x:c r="CY122" s="14"/>
      <x:c r="CZ122" s="14"/>
      <x:c r="DA122" s="14"/>
      <x:c r="DB122" s="14"/>
      <x:c r="DC122" s="14"/>
      <x:c r="DD122" s="14"/>
      <x:c r="DE122" s="14"/>
      <x:c r="DF122" s="14"/>
      <x:c r="DG122" s="14"/>
      <x:c r="DH122" s="14"/>
      <x:c r="DI122" s="14"/>
      <x:c r="DJ122" s="14"/>
      <x:c r="DK122" s="14"/>
      <x:c r="DL122" s="14"/>
      <x:c r="DM122" s="14"/>
      <x:c r="DN122" s="14"/>
      <x:c r="DO122" s="14"/>
      <x:c r="DP122" s="14"/>
      <x:c r="DQ122" s="14"/>
      <x:c r="DR122" s="14"/>
      <x:c r="DS122" s="14"/>
      <x:c r="DT122" s="14"/>
      <x:c r="DU122" s="14"/>
      <x:c r="DV122" s="14"/>
      <x:c r="DW122" s="14"/>
      <x:c r="DX122" s="14"/>
      <x:c r="DY122" s="14"/>
      <x:c r="DZ122" s="14"/>
      <x:c r="EA122" s="14"/>
      <x:c r="EB122" s="14"/>
      <x:c r="EC122" s="14"/>
      <x:c r="ED122" s="14"/>
      <x:c r="EE122" s="14"/>
      <x:c r="EF122" s="14"/>
      <x:c r="EG122" s="14"/>
      <x:c r="EH122" s="14"/>
      <x:c r="EI122" s="14"/>
      <x:c r="EJ122" s="14"/>
      <x:c r="EK122" s="14"/>
      <x:c r="EL122" s="14"/>
      <x:c r="EM122" s="14"/>
      <x:c r="EN122" s="14"/>
      <x:c r="EO122" s="14"/>
      <x:c r="EP122" s="14"/>
      <x:c r="EQ122" s="14"/>
      <x:c r="ER122" s="14"/>
      <x:c r="ES122" s="14"/>
      <x:c r="ET122" s="14"/>
      <x:c r="EU122" s="14"/>
      <x:c r="EV122" s="14"/>
      <x:c r="EW122" s="14"/>
      <x:c r="EX122" s="14"/>
      <x:c r="EY122" s="14"/>
      <x:c r="EZ122" s="14"/>
      <x:c r="FA122" s="14"/>
      <x:c r="FB122" s="14"/>
      <x:c r="FC122" s="14"/>
      <x:c r="FD122" s="14"/>
      <x:c r="FE122" s="14"/>
      <x:c r="FF122" s="14"/>
      <x:c r="FG122" s="14"/>
      <x:c r="FH122" s="14"/>
      <x:c r="FI122" s="14"/>
      <x:c r="FJ122" s="14"/>
      <x:c r="FK122" s="14"/>
      <x:c r="FL122" s="14"/>
      <x:c r="FM122" s="14"/>
      <x:c r="FN122" s="14"/>
      <x:c r="FO122" s="14"/>
      <x:c r="FP122" s="14"/>
      <x:c r="FQ122" s="14"/>
      <x:c r="FR122" s="14"/>
      <x:c r="FS122" s="14"/>
      <x:c r="FT122" s="14"/>
      <x:c r="FU122" s="14"/>
      <x:c r="FV122" s="14"/>
      <x:c r="FW122" s="14"/>
      <x:c r="FX122" s="14"/>
      <x:c r="FY122" s="14"/>
      <x:c r="FZ122" s="14"/>
      <x:c r="GA122" s="14"/>
      <x:c r="GB122" s="14"/>
      <x:c r="GC122" s="14"/>
      <x:c r="GD122" s="14"/>
      <x:c r="GE122" s="14"/>
      <x:c r="GF122" s="14"/>
      <x:c r="GG122" s="14"/>
      <x:c r="GH122" s="14"/>
      <x:c r="GI122" s="14"/>
      <x:c r="GJ122" s="14"/>
      <x:c r="GK122" s="14"/>
      <x:c r="GL122" s="14"/>
      <x:c r="GM122" s="14"/>
      <x:c r="GN122" s="14"/>
      <x:c r="GO122" s="14"/>
      <x:c r="GP122" s="14"/>
      <x:c r="GQ122" s="14"/>
      <x:c r="GR122" s="14"/>
      <x:c r="GS122" s="14"/>
      <x:c r="GT122" s="14"/>
      <x:c r="GU122" s="14"/>
      <x:c r="GV122" s="14"/>
      <x:c r="GW122" s="14"/>
      <x:c r="GX122" s="14"/>
      <x:c r="GY122" s="14"/>
      <x:c r="GZ122" s="14"/>
      <x:c r="HA122" s="14"/>
      <x:c r="HB122" s="14"/>
      <x:c r="HC122" s="14"/>
      <x:c r="HD122" s="14"/>
      <x:c r="HE122" s="14"/>
      <x:c r="HF122" s="14"/>
      <x:c r="HG122" s="14"/>
      <x:c r="HH122" s="14"/>
      <x:c r="HI122" s="14"/>
      <x:c r="HJ122" s="14"/>
      <x:c r="HK122" s="14"/>
      <x:c r="HL122" s="14"/>
      <x:c r="HM122" s="14"/>
      <x:c r="HN122" s="14"/>
      <x:c r="HO122" s="14"/>
      <x:c r="HP122" s="14"/>
      <x:c r="HQ122" s="14"/>
      <x:c r="HR122" s="14"/>
      <x:c r="HS122" s="14"/>
      <x:c r="HT122" s="14"/>
      <x:c r="HU122" s="14"/>
      <x:c r="HV122" s="14"/>
      <x:c r="HW122" s="14"/>
      <x:c r="HX122" s="14"/>
      <x:c r="HY122" s="14"/>
      <x:c r="HZ122" s="14"/>
      <x:c r="IA122" s="14"/>
      <x:c r="IB122" s="14"/>
      <x:c r="IC122" s="14"/>
      <x:c r="ID122" s="14"/>
      <x:c r="IE122" s="14"/>
      <x:c r="IF122" s="14"/>
      <x:c r="IG122" s="14"/>
      <x:c r="IH122" s="14"/>
      <x:c r="II122" s="14"/>
      <x:c r="IJ122" s="14"/>
      <x:c r="IK122" s="14"/>
      <x:c r="IL122" s="14"/>
      <x:c r="IM122" s="14"/>
      <x:c r="IN122" s="14"/>
      <x:c r="IO122" s="14"/>
      <x:c r="IP122" s="14"/>
      <x:c r="IQ122" s="14"/>
      <x:c r="IR122" s="14"/>
      <x:c r="IS122" s="14"/>
      <x:c r="IT122" s="14"/>
      <x:c r="IU122" s="14"/>
      <x:c r="IV122" s="14"/>
      <x:c r="IW122" s="14"/>
      <x:c r="IX122" s="14"/>
      <x:c r="IY122" s="14"/>
      <x:c r="IZ122" s="14"/>
      <x:c r="JA122" s="14"/>
      <x:c r="JB122" s="14"/>
      <x:c r="JC122" s="14"/>
      <x:c r="JD122" s="14"/>
      <x:c r="JE122" s="14"/>
      <x:c r="JF122" s="14"/>
      <x:c r="JG122" s="14"/>
      <x:c r="JH122" s="14"/>
      <x:c r="JI122" s="14"/>
      <x:c r="JJ122" s="14"/>
      <x:c r="JK122" s="14"/>
      <x:c r="JL122" s="14"/>
      <x:c r="JM122" s="14"/>
      <x:c r="JN122" s="14"/>
      <x:c r="JO122" s="14"/>
      <x:c r="JP122" s="14"/>
      <x:c r="JQ122" s="14"/>
      <x:c r="JR122" s="14"/>
      <x:c r="JS122" s="14"/>
      <x:c r="JT122" s="14"/>
      <x:c r="JU122" s="14"/>
      <x:c r="JV122" s="14"/>
      <x:c r="JW122" s="14"/>
      <x:c r="JX122" s="14"/>
      <x:c r="JY122" s="14"/>
      <x:c r="JZ122" s="14"/>
      <x:c r="KA122" s="14"/>
      <x:c r="KB122" s="14"/>
      <x:c r="KC122" s="14"/>
      <x:c r="KD122" s="14"/>
      <x:c r="KE122" s="14"/>
      <x:c r="KF122" s="14"/>
      <x:c r="KG122" s="14"/>
      <x:c r="KH122" s="14"/>
      <x:c r="KI122" s="14"/>
      <x:c r="KJ122" s="14"/>
      <x:c r="KK122" s="14"/>
      <x:c r="KL122" s="14"/>
      <x:c r="KM122" s="14"/>
      <x:c r="KN122" s="14"/>
      <x:c r="KO122" s="14"/>
      <x:c r="KP122" s="14"/>
      <x:c r="KQ122" s="14"/>
      <x:c r="KR122" s="14"/>
      <x:c r="KS122" s="14"/>
      <x:c r="KT122" s="14"/>
      <x:c r="KU122" s="14"/>
      <x:c r="KV122" s="14"/>
      <x:c r="KW122" s="14"/>
      <x:c r="KX122" s="14"/>
      <x:c r="KY122" s="14"/>
      <x:c r="KZ122" s="14"/>
      <x:c r="LA122" s="14"/>
      <x:c r="LB122" s="14"/>
      <x:c r="LC122" s="14"/>
      <x:c r="LD122" s="14"/>
      <x:c r="LE122" s="14"/>
      <x:c r="LF122" s="14"/>
      <x:c r="LG122" s="14"/>
      <x:c r="LH122" s="14"/>
      <x:c r="LI122" s="14"/>
      <x:c r="LJ122" s="14"/>
      <x:c r="LK122" s="14"/>
      <x:c r="LL122" s="14"/>
      <x:c r="LM122" s="14"/>
      <x:c r="LN122" s="14"/>
      <x:c r="LO122" s="14"/>
      <x:c r="LP122" s="14"/>
      <x:c r="LQ122" s="14"/>
      <x:c r="LR122" s="14"/>
      <x:c r="LS122" s="14"/>
      <x:c r="LT122" s="14"/>
      <x:c r="LU122" s="14"/>
      <x:c r="LV122" s="14"/>
      <x:c r="LW122" s="14"/>
      <x:c r="LX122" s="14"/>
      <x:c r="LY122" s="14"/>
      <x:c r="LZ122" s="14"/>
      <x:c r="MA122" s="14"/>
      <x:c r="MB122" s="14"/>
      <x:c r="MC122" s="14"/>
      <x:c r="MD122" s="14"/>
      <x:c r="ME122" s="14"/>
      <x:c r="MF122" s="14"/>
      <x:c r="MG122" s="14"/>
      <x:c r="MH122" s="14"/>
      <x:c r="MI122" s="14"/>
      <x:c r="MJ122" s="14"/>
      <x:c r="MK122" s="14"/>
      <x:c r="ML122" s="14"/>
      <x:c r="MM122" s="14"/>
      <x:c r="MN122" s="14"/>
      <x:c r="MO122" s="14"/>
      <x:c r="MP122" s="14"/>
      <x:c r="MQ122" s="14"/>
      <x:c r="MR122" s="14"/>
      <x:c r="MS122" s="14"/>
      <x:c r="MT122" s="14"/>
      <x:c r="MU122" s="14"/>
      <x:c r="MV122" s="14"/>
      <x:c r="MW122" s="14" t="str">
        <x:v>30413</x:v>
      </x:c>
      <x:c r="MX122" s="14" t="n">
        <x:v>10</x:v>
      </x:c>
      <x:c r="MY122" s="14" t="n">
        <x:v>2045</x:v>
      </x:c>
      <x:c r="MZ122" s="14" t="n">
        <x:v>397</x:v>
      </x:c>
      <x:c r="NA122" s="14" t="n">
        <x:v>4</x:v>
      </x:c>
      <x:c r="NB122" s="14" t="n">
        <x:v>1</x:v>
      </x:c>
      <x:c r="NC122" s="14" t="str">
        <x:v>未收錄</x:v>
      </x:c>
      <x:c r="ND122" s="14" t="str">
        <x:v>30254</x:v>
      </x:c>
      <x:c r="NE122" s="14" t="n">
        <x:v>5</x:v>
      </x:c>
      <x:c r="NF122" s="14" t="n">
        <x:v>2046</x:v>
      </x:c>
      <x:c r="NG122" s="14" t="n">
        <x:v>398</x:v>
      </x:c>
      <x:c r="NH122" s="14" t="n">
        <x:v>4</x:v>
      </x:c>
      <x:c r="NI122" s="14" t="n">
        <x:v>2</x:v>
      </x:c>
      <x:c r="NJ122" s="14" t="str">
        <x:v>未收錄</x:v>
      </x:c>
      <x:c r="NK122" s="14" t="str">
        <x:v>30259</x:v>
      </x:c>
      <x:c r="NL122" s="14" t="n">
        <x:v>5</x:v>
      </x:c>
      <x:c r="NM122" s="14" t="n">
        <x:v>2047</x:v>
      </x:c>
      <x:c r="NN122" s="14" t="n">
        <x:v>399</x:v>
      </x:c>
      <x:c r="NO122" s="14" t="n">
        <x:v>4</x:v>
      </x:c>
      <x:c r="NP122" s="14" t="n">
        <x:v>3</x:v>
      </x:c>
      <x:c r="NQ122" s="14" t="str">
        <x:v>未收錄</x:v>
      </x:c>
      <x:c r="NR122" s="14" t="str">
        <x:v>30264</x:v>
      </x:c>
      <x:c r="NS122" s="14" t="n">
        <x:v>5</x:v>
      </x:c>
      <x:c r="NT122" s="14" t="n">
        <x:v>2048</x:v>
      </x:c>
      <x:c r="NU122" s="14" t="n">
        <x:v>400</x:v>
      </x:c>
      <x:c r="NV122" s="14" t="n">
        <x:v>4</x:v>
      </x:c>
      <x:c r="NW122" s="14" t="n">
        <x:v>4</x:v>
      </x:c>
      <x:c r="NX122" s="14" t="str">
        <x:v>未收錄</x:v>
      </x:c>
      <x:c r="NY122" s="14" t="str">
        <x:v>28950</x:v>
      </x:c>
      <x:c r="NZ122" s="14" t="n">
        <x:v>10</x:v>
      </x:c>
      <x:c r="OA122" s="14" t="n">
        <x:v>2498</x:v>
      </x:c>
      <x:c r="OB122" s="14" t="n">
        <x:v>397</x:v>
      </x:c>
      <x:c r="OC122" s="14" t="n">
        <x:v>4</x:v>
      </x:c>
      <x:c r="OD122" s="14" t="n">
        <x:v>1</x:v>
      </x:c>
      <x:c r="OE122" s="14" t="str">
        <x:v>未收錄</x:v>
      </x:c>
      <x:c r="OF122" s="14" t="str">
        <x:v>29433</x:v>
      </x:c>
      <x:c r="OG122" s="14" t="n">
        <x:v>5</x:v>
      </x:c>
      <x:c r="OH122" s="14" t="n">
        <x:v>2499</x:v>
      </x:c>
      <x:c r="OI122" s="14" t="n">
        <x:v>398</x:v>
      </x:c>
      <x:c r="OJ122" s="14" t="n">
        <x:v>4</x:v>
      </x:c>
      <x:c r="OK122" s="14" t="n">
        <x:v>2</x:v>
      </x:c>
      <x:c r="OL122" s="14" t="str">
        <x:v>未收錄</x:v>
      </x:c>
      <x:c r="OM122" s="14" t="str">
        <x:v>29439</x:v>
      </x:c>
      <x:c r="ON122" s="14" t="n">
        <x:v>5</x:v>
      </x:c>
      <x:c r="OO122" s="14" t="n">
        <x:v>2500</x:v>
      </x:c>
      <x:c r="OP122" s="14" t="n">
        <x:v>399</x:v>
      </x:c>
      <x:c r="OQ122" s="14" t="n">
        <x:v>4</x:v>
      </x:c>
      <x:c r="OR122" s="14" t="n">
        <x:v>3</x:v>
      </x:c>
      <x:c r="OS122" s="14" t="str">
        <x:v>未收錄</x:v>
      </x:c>
      <x:c r="OT122" s="14" t="str">
        <x:v>29445</x:v>
      </x:c>
      <x:c r="OU122" s="14" t="n">
        <x:v>5</x:v>
      </x:c>
      <x:c r="OV122" s="14" t="n">
        <x:v>2501</x:v>
      </x:c>
      <x:c r="OW122" s="14" t="n">
        <x:v>400</x:v>
      </x:c>
      <x:c r="OX122" s="14" t="n">
        <x:v>4</x:v>
      </x:c>
      <x:c r="OY122" s="14" t="n">
        <x:v>4</x:v>
      </x:c>
      <x:c r="OZ122" s="14" t="str">
        <x:v>未收錄</x:v>
      </x:c>
      <x:c r="PA122" s="14" t="str">
        <x:v>30425</x:v>
      </x:c>
      <x:c r="PB122" s="14" t="n">
        <x:v>10</x:v>
      </x:c>
      <x:c r="PC122" s="14" t="n">
        <x:v>3044</x:v>
      </x:c>
      <x:c r="PD122" s="14" t="n">
        <x:v>397</x:v>
      </x:c>
      <x:c r="PE122" s="14" t="n">
        <x:v>4</x:v>
      </x:c>
      <x:c r="PF122" s="14" t="n">
        <x:v>1</x:v>
      </x:c>
      <x:c r="PG122" s="14" t="str">
        <x:v>未收錄</x:v>
      </x:c>
      <x:c r="PH122" s="14" t="str">
        <x:v>31201</x:v>
      </x:c>
      <x:c r="PI122" s="14" t="n">
        <x:v>5</x:v>
      </x:c>
      <x:c r="PJ122" s="14" t="n">
        <x:v>3045</x:v>
      </x:c>
      <x:c r="PK122" s="14" t="n">
        <x:v>398</x:v>
      </x:c>
      <x:c r="PL122" s="14" t="n">
        <x:v>4</x:v>
      </x:c>
      <x:c r="PM122" s="14" t="n">
        <x:v>2</x:v>
      </x:c>
      <x:c r="PN122" s="14" t="str">
        <x:v>未收錄</x:v>
      </x:c>
      <x:c r="PO122" s="14" t="str">
        <x:v>31206</x:v>
      </x:c>
      <x:c r="PP122" s="14" t="n">
        <x:v>5</x:v>
      </x:c>
      <x:c r="PQ122" s="14" t="n">
        <x:v>3046</x:v>
      </x:c>
      <x:c r="PR122" s="14" t="n">
        <x:v>399</x:v>
      </x:c>
      <x:c r="PS122" s="14" t="n">
        <x:v>4</x:v>
      </x:c>
      <x:c r="PT122" s="14" t="n">
        <x:v>3</x:v>
      </x:c>
      <x:c r="PU122" s="14" t="str">
        <x:v>未收錄</x:v>
      </x:c>
      <x:c r="PV122" s="14" t="str">
        <x:v>31211</x:v>
      </x:c>
      <x:c r="PW122" s="14" t="n">
        <x:v>5</x:v>
      </x:c>
      <x:c r="PX122" s="14" t="n">
        <x:v>3047</x:v>
      </x:c>
      <x:c r="PY122" s="14" t="n">
        <x:v>400</x:v>
      </x:c>
      <x:c r="PZ122" s="14" t="n">
        <x:v>4</x:v>
      </x:c>
      <x:c r="QA122" s="14" t="n">
        <x:v>4</x:v>
      </x:c>
      <x:c r="QB122" s="14" t="str">
        <x:v>未收錄</x:v>
      </x:c>
      <x:c r="QC122" s="14" t="str">
        <x:v>30602</x:v>
      </x:c>
      <x:c r="QD122" s="14" t="n">
        <x:v>10</x:v>
      </x:c>
      <x:c r="QE122" s="14" t="n">
        <x:v>3481</x:v>
      </x:c>
      <x:c r="QF122" s="14" t="n">
        <x:v>397</x:v>
      </x:c>
      <x:c r="QG122" s="14" t="n">
        <x:v>4</x:v>
      </x:c>
      <x:c r="QH122" s="14" t="n">
        <x:v>1</x:v>
      </x:c>
      <x:c r="QI122" s="14" t="str">
        <x:v>未收錄</x:v>
      </x:c>
      <x:c r="QJ122" s="14" t="str">
        <x:v>30328</x:v>
      </x:c>
      <x:c r="QK122" s="14" t="n">
        <x:v>5</x:v>
      </x:c>
      <x:c r="QL122" s="14" t="n">
        <x:v>3482</x:v>
      </x:c>
      <x:c r="QM122" s="14" t="n">
        <x:v>398</x:v>
      </x:c>
      <x:c r="QN122" s="14" t="n">
        <x:v>4</x:v>
      </x:c>
      <x:c r="QO122" s="14" t="n">
        <x:v>2</x:v>
      </x:c>
      <x:c r="QP122" s="14" t="str">
        <x:v>未收錄</x:v>
      </x:c>
      <x:c r="QQ122" s="14" t="str">
        <x:v>30333</x:v>
      </x:c>
      <x:c r="QR122" s="14" t="n">
        <x:v>5</x:v>
      </x:c>
      <x:c r="QS122" s="14" t="n">
        <x:v>3483</x:v>
      </x:c>
      <x:c r="QT122" s="14" t="n">
        <x:v>399</x:v>
      </x:c>
      <x:c r="QU122" s="14" t="n">
        <x:v>4</x:v>
      </x:c>
      <x:c r="QV122" s="14" t="n">
        <x:v>3</x:v>
      </x:c>
      <x:c r="QW122" s="14" t="str">
        <x:v>未收錄</x:v>
      </x:c>
      <x:c r="QX122" s="14" t="str">
        <x:v>30338</x:v>
      </x:c>
      <x:c r="QY122" s="14" t="n">
        <x:v>5</x:v>
      </x:c>
      <x:c r="QZ122" s="14" t="n">
        <x:v>3484</x:v>
      </x:c>
      <x:c r="RA122" s="14" t="n">
        <x:v>400</x:v>
      </x:c>
      <x:c r="RB122" s="14" t="n">
        <x:v>4</x:v>
      </x:c>
      <x:c r="RC122" s="14" t="n">
        <x:v>4</x:v>
      </x:c>
      <x:c r="RD122" s="14" t="str">
        <x:v>未收錄</x:v>
      </x:c>
      <x:c r="RE122" s="14" t="str">
        <x:v>31863</x:v>
      </x:c>
      <x:c r="RF122" s="14" t="n">
        <x:v>5</x:v>
      </x:c>
      <x:c r="RG122" s="14" t="n">
        <x:v>3942</x:v>
      </x:c>
      <x:c r="RH122" s="14" t="n">
        <x:v>397</x:v>
      </x:c>
      <x:c r="RI122" s="14" t="n">
        <x:v>4</x:v>
      </x:c>
      <x:c r="RJ122" s="14" t="n">
        <x:v>1</x:v>
      </x:c>
      <x:c r="RK122" s="14" t="str">
        <x:v>未收錄</x:v>
      </x:c>
      <x:c r="RL122" s="14" t="str">
        <x:v>31864</x:v>
      </x:c>
      <x:c r="RM122" s="14" t="n">
        <x:v>5</x:v>
      </x:c>
      <x:c r="RN122" s="14" t="n">
        <x:v>3943</x:v>
      </x:c>
      <x:c r="RO122" s="14" t="n">
        <x:v>398</x:v>
      </x:c>
      <x:c r="RP122" s="14" t="n">
        <x:v>4</x:v>
      </x:c>
      <x:c r="RQ122" s="14" t="n">
        <x:v>2</x:v>
      </x:c>
      <x:c r="RR122" s="14" t="str">
        <x:v>未收錄</x:v>
      </x:c>
      <x:c r="RS122" s="14" t="str">
        <x:v>31572</x:v>
      </x:c>
      <x:c r="RT122" s="14" t="n">
        <x:v>10</x:v>
      </x:c>
      <x:c r="RU122" s="14" t="n">
        <x:v>3944</x:v>
      </x:c>
      <x:c r="RV122" s="14" t="n">
        <x:v>399</x:v>
      </x:c>
      <x:c r="RW122" s="14" t="n">
        <x:v>4</x:v>
      </x:c>
      <x:c r="RX122" s="14" t="n">
        <x:v>3</x:v>
      </x:c>
      <x:c r="RY122" s="14" t="str">
        <x:v>未收錄</x:v>
      </x:c>
      <x:c r="RZ122" s="14" t="str">
        <x:v>31573</x:v>
      </x:c>
      <x:c r="SA122" s="14" t="n">
        <x:v>10</x:v>
      </x:c>
      <x:c r="SB122" s="14" t="n">
        <x:v>3945</x:v>
      </x:c>
      <x:c r="SC122" s="14" t="n">
        <x:v>400</x:v>
      </x:c>
      <x:c r="SD122" s="14" t="n">
        <x:v>4</x:v>
      </x:c>
      <x:c r="SE122" s="14" t="n">
        <x:v>4</x:v>
      </x:c>
      <x:c r="SF122" s="14" t="str">
        <x:v>未收錄</x:v>
      </x:c>
      <x:c r="SG122" s="14"/>
      <x:c r="SH122" s="14"/>
      <x:c r="SI122" s="14"/>
      <x:c r="SJ122" s="14"/>
      <x:c r="SK122" s="14"/>
      <x:c r="SL122" s="14"/>
      <x:c r="SM122" s="14"/>
      <x:c r="SN122" s="14"/>
      <x:c r="SO122" s="14"/>
      <x:c r="SP122" s="14"/>
      <x:c r="SQ122" s="14"/>
      <x:c r="SR122" s="14"/>
      <x:c r="SS122" s="14"/>
      <x:c r="ST122" s="14"/>
      <x:c r="SU122" s="14"/>
      <x:c r="SV122" s="14"/>
      <x:c r="SW122" s="14"/>
      <x:c r="SX122" s="14"/>
      <x:c r="SY122" s="14"/>
      <x:c r="SZ122" s="14"/>
      <x:c r="TA122" s="14"/>
      <x:c r="TB122" s="14"/>
      <x:c r="TC122" s="14"/>
      <x:c r="TD122" s="14"/>
      <x:c r="TE122" s="14"/>
      <x:c r="TF122" s="14"/>
      <x:c r="TG122" s="14"/>
      <x:c r="TH122" s="14"/>
    </x:row>
    <x:row r="123" ht="15" customHeight="1">
      <x:c r="A123" s="14"/>
      <x:c r="B123" s="14"/>
      <x:c r="C123" s="14"/>
      <x:c r="D123" s="14"/>
      <x:c r="E123" s="14"/>
      <x:c r="F123" s="14"/>
      <x:c r="G123" s="14"/>
      <x:c r="H123" s="14"/>
      <x:c r="I123" s="14"/>
      <x:c r="J123" s="14"/>
      <x:c r="K123" s="14"/>
      <x:c r="L123" s="14"/>
      <x:c r="M123" s="14"/>
      <x:c r="N123" s="14"/>
      <x:c r="O123" s="14"/>
      <x:c r="P123" s="14"/>
      <x:c r="Q123" s="14"/>
      <x:c r="R123" s="14"/>
      <x:c r="S123" s="14"/>
      <x:c r="T123" s="14"/>
      <x:c r="U123" s="14"/>
      <x:c r="V123" s="14"/>
      <x:c r="W123" s="14"/>
      <x:c r="X123" s="14"/>
      <x:c r="Y123" s="14"/>
      <x:c r="Z123" s="14"/>
      <x:c r="AA123" s="14"/>
      <x:c r="AB123" s="14"/>
      <x:c r="AC123" s="14"/>
      <x:c r="AD123" s="14"/>
      <x:c r="AE123" s="14"/>
      <x:c r="AF123" s="14"/>
      <x:c r="AG123" s="14"/>
      <x:c r="AH123" s="14"/>
      <x:c r="AI123" s="14"/>
      <x:c r="AJ123" s="14"/>
      <x:c r="AK123" s="14"/>
      <x:c r="AL123" s="14"/>
      <x:c r="AM123" s="14"/>
      <x:c r="AN123" s="14"/>
      <x:c r="AO123" s="14"/>
      <x:c r="AP123" s="14"/>
      <x:c r="AQ123" s="14"/>
      <x:c r="AR123" s="14"/>
      <x:c r="AS123" s="14"/>
      <x:c r="AT123" s="14"/>
      <x:c r="AU123" s="14"/>
      <x:c r="AV123" s="14"/>
      <x:c r="AW123" s="14"/>
      <x:c r="AX123" s="14"/>
      <x:c r="AY123" s="17" t="str">
        <x:v>道清旭綸Ⅳ</x:v>
      </x:c>
      <x:c r="AZ123" s="17" t="str">
        <x:v>禪臺旭笠Ⅳ</x:v>
      </x:c>
      <x:c r="BA123" s="17" t="str">
        <x:v>狂陽輝冕Ⅳ</x:v>
      </x:c>
      <x:c r="BB123" s="17" t="str">
        <x:v>靜月幕巾Ⅳ</x:v>
      </x:c>
      <x:c r="BC123" s="14"/>
      <x:c r="BD123" s="17" t="str">
        <x:v>道帝袍☆</x:v>
      </x:c>
      <x:c r="BE123" s="17" t="str">
        <x:v>禪帝衲☆</x:v>
      </x:c>
      <x:c r="BF123" s="17" t="str">
        <x:v>鬼帝鎧☆</x:v>
      </x:c>
      <x:c r="BG123" s="17" t="str">
        <x:v>黃天衣☆</x:v>
      </x:c>
      <x:c r="BH123" s="14"/>
      <x:c r="BI123" s="17" t="str">
        <x:v>辰道玄袖Ⅰ</x:v>
      </x:c>
      <x:c r="BJ123" s="17" t="str">
        <x:v>寂禪若持Ⅰ</x:v>
      </x:c>
      <x:c r="BK123" s="17" t="str">
        <x:v>騰陽烈釬Ⅰ</x:v>
      </x:c>
      <x:c r="BL123" s="17" t="str">
        <x:v>凜月影束Ⅰ</x:v>
      </x:c>
      <x:c r="BM123" s="14"/>
      <x:c r="BN123" s="17" t="str">
        <x:v>道清旭鞋Ⅲ</x:v>
      </x:c>
      <x:c r="BO123" s="17" t="str">
        <x:v>禪臺旭足Ⅲ</x:v>
      </x:c>
      <x:c r="BP123" s="17" t="str">
        <x:v>狂陽烈蹴Ⅲ</x:v>
      </x:c>
      <x:c r="BQ123" s="17" t="str">
        <x:v>靜月織足Ⅲ</x:v>
      </x:c>
      <x:c r="BR123" s="14"/>
      <x:c r="BS123" s="17" t="str">
        <x:v>北饕萬餮硯</x:v>
      </x:c>
      <x:c r="BT123" s="17" t="str">
        <x:v>天祿銜瑞綴</x:v>
      </x:c>
      <x:c r="BU123" s="17" t="str">
        <x:v>超．五絕皇器</x:v>
      </x:c>
      <x:c r="BV123" s="17" t="str">
        <x:v>極．五絕皇器</x:v>
      </x:c>
      <x:c r="BW123" s="14"/>
      <x:c r="BX123" s="14"/>
      <x:c r="BY123" s="14"/>
      <x:c r="BZ123" s="14"/>
      <x:c r="CA123" s="14"/>
      <x:c r="CB123" s="14"/>
      <x:c r="CC123" s="14"/>
      <x:c r="CD123" s="14"/>
      <x:c r="CE123" s="14"/>
      <x:c r="CF123" s="14"/>
      <x:c r="CG123" s="14"/>
      <x:c r="CH123" s="14"/>
      <x:c r="CI123" s="14"/>
      <x:c r="CJ123" s="14"/>
      <x:c r="CK123" s="14"/>
      <x:c r="CL123" s="14"/>
      <x:c r="CM123" s="14"/>
      <x:c r="CN123" s="14"/>
      <x:c r="CO123" s="14"/>
      <x:c r="CP123" s="14"/>
      <x:c r="CQ123" s="14"/>
      <x:c r="CR123" s="14"/>
      <x:c r="CS123" s="14"/>
      <x:c r="CT123" s="14"/>
      <x:c r="CU123" s="14"/>
      <x:c r="CV123" s="14"/>
      <x:c r="CW123" s="14"/>
      <x:c r="CX123" s="14"/>
      <x:c r="CY123" s="14"/>
      <x:c r="CZ123" s="14"/>
      <x:c r="DA123" s="14"/>
      <x:c r="DB123" s="14"/>
      <x:c r="DC123" s="14"/>
      <x:c r="DD123" s="14"/>
      <x:c r="DE123" s="14"/>
      <x:c r="DF123" s="14"/>
      <x:c r="DG123" s="14"/>
      <x:c r="DH123" s="14"/>
      <x:c r="DI123" s="14"/>
      <x:c r="DJ123" s="14"/>
      <x:c r="DK123" s="14"/>
      <x:c r="DL123" s="14"/>
      <x:c r="DM123" s="14"/>
      <x:c r="DN123" s="14"/>
      <x:c r="DO123" s="14"/>
      <x:c r="DP123" s="14"/>
      <x:c r="DQ123" s="14"/>
      <x:c r="DR123" s="14"/>
      <x:c r="DS123" s="14"/>
      <x:c r="DT123" s="14"/>
      <x:c r="DU123" s="14"/>
      <x:c r="DV123" s="14"/>
      <x:c r="DW123" s="14"/>
      <x:c r="DX123" s="14"/>
      <x:c r="DY123" s="14"/>
      <x:c r="DZ123" s="14"/>
      <x:c r="EA123" s="14"/>
      <x:c r="EB123" s="14"/>
      <x:c r="EC123" s="14"/>
      <x:c r="ED123" s="14"/>
      <x:c r="EE123" s="14"/>
      <x:c r="EF123" s="14"/>
      <x:c r="EG123" s="14"/>
      <x:c r="EH123" s="14"/>
      <x:c r="EI123" s="14"/>
      <x:c r="EJ123" s="14"/>
      <x:c r="EK123" s="14"/>
      <x:c r="EL123" s="14"/>
      <x:c r="EM123" s="14"/>
      <x:c r="EN123" s="14"/>
      <x:c r="EO123" s="14"/>
      <x:c r="EP123" s="14"/>
      <x:c r="EQ123" s="14"/>
      <x:c r="ER123" s="14"/>
      <x:c r="ES123" s="14"/>
      <x:c r="ET123" s="14"/>
      <x:c r="EU123" s="14"/>
      <x:c r="EV123" s="14"/>
      <x:c r="EW123" s="14"/>
      <x:c r="EX123" s="14"/>
      <x:c r="EY123" s="14"/>
      <x:c r="EZ123" s="14"/>
      <x:c r="FA123" s="14"/>
      <x:c r="FB123" s="14"/>
      <x:c r="FC123" s="14"/>
      <x:c r="FD123" s="14"/>
      <x:c r="FE123" s="14"/>
      <x:c r="FF123" s="14"/>
      <x:c r="FG123" s="14"/>
      <x:c r="FH123" s="14"/>
      <x:c r="FI123" s="14"/>
      <x:c r="FJ123" s="14"/>
      <x:c r="FK123" s="14"/>
      <x:c r="FL123" s="14"/>
      <x:c r="FM123" s="14"/>
      <x:c r="FN123" s="14"/>
      <x:c r="FO123" s="14"/>
      <x:c r="FP123" s="14"/>
      <x:c r="FQ123" s="14"/>
      <x:c r="FR123" s="14"/>
      <x:c r="FS123" s="14"/>
      <x:c r="FT123" s="14"/>
      <x:c r="FU123" s="14"/>
      <x:c r="FV123" s="14"/>
      <x:c r="FW123" s="14"/>
      <x:c r="FX123" s="14"/>
      <x:c r="FY123" s="14"/>
      <x:c r="FZ123" s="14"/>
      <x:c r="GA123" s="14"/>
      <x:c r="GB123" s="14"/>
      <x:c r="GC123" s="14"/>
      <x:c r="GD123" s="14"/>
      <x:c r="GE123" s="14"/>
      <x:c r="GF123" s="14"/>
      <x:c r="GG123" s="14"/>
      <x:c r="GH123" s="14"/>
      <x:c r="GI123" s="14"/>
      <x:c r="GJ123" s="14"/>
      <x:c r="GK123" s="14"/>
      <x:c r="GL123" s="14"/>
      <x:c r="GM123" s="14"/>
      <x:c r="GN123" s="14"/>
      <x:c r="GO123" s="14"/>
      <x:c r="GP123" s="14"/>
      <x:c r="GQ123" s="14"/>
      <x:c r="GR123" s="14"/>
      <x:c r="GS123" s="14"/>
      <x:c r="GT123" s="14"/>
      <x:c r="GU123" s="14"/>
      <x:c r="GV123" s="14"/>
      <x:c r="GW123" s="14"/>
      <x:c r="GX123" s="14"/>
      <x:c r="GY123" s="14"/>
      <x:c r="GZ123" s="14"/>
      <x:c r="HA123" s="14"/>
      <x:c r="HB123" s="14"/>
      <x:c r="HC123" s="14"/>
      <x:c r="HD123" s="14"/>
      <x:c r="HE123" s="14"/>
      <x:c r="HF123" s="14"/>
      <x:c r="HG123" s="14"/>
      <x:c r="HH123" s="14"/>
      <x:c r="HI123" s="14"/>
      <x:c r="HJ123" s="14"/>
      <x:c r="HK123" s="14"/>
      <x:c r="HL123" s="14"/>
      <x:c r="HM123" s="14"/>
      <x:c r="HN123" s="14"/>
      <x:c r="HO123" s="14"/>
      <x:c r="HP123" s="14"/>
      <x:c r="HQ123" s="14"/>
      <x:c r="HR123" s="14"/>
      <x:c r="HS123" s="14"/>
      <x:c r="HT123" s="14"/>
      <x:c r="HU123" s="14"/>
      <x:c r="HV123" s="14"/>
      <x:c r="HW123" s="14"/>
      <x:c r="HX123" s="14"/>
      <x:c r="HY123" s="14"/>
      <x:c r="HZ123" s="14"/>
      <x:c r="IA123" s="14"/>
      <x:c r="IB123" s="14"/>
      <x:c r="IC123" s="14"/>
      <x:c r="ID123" s="14"/>
      <x:c r="IE123" s="14"/>
      <x:c r="IF123" s="14"/>
      <x:c r="IG123" s="14"/>
      <x:c r="IH123" s="14"/>
      <x:c r="II123" s="14"/>
      <x:c r="IJ123" s="14"/>
      <x:c r="IK123" s="14"/>
      <x:c r="IL123" s="14"/>
      <x:c r="IM123" s="14"/>
      <x:c r="IN123" s="14"/>
      <x:c r="IO123" s="14"/>
      <x:c r="IP123" s="14"/>
      <x:c r="IQ123" s="14"/>
      <x:c r="IR123" s="14"/>
      <x:c r="IS123" s="14"/>
      <x:c r="IT123" s="14"/>
      <x:c r="IU123" s="14"/>
      <x:c r="IV123" s="14"/>
      <x:c r="IW123" s="14"/>
      <x:c r="IX123" s="14"/>
      <x:c r="IY123" s="14"/>
      <x:c r="IZ123" s="14"/>
      <x:c r="JA123" s="14"/>
      <x:c r="JB123" s="14"/>
      <x:c r="JC123" s="14"/>
      <x:c r="JD123" s="14"/>
      <x:c r="JE123" s="14"/>
      <x:c r="JF123" s="14"/>
      <x:c r="JG123" s="14"/>
      <x:c r="JH123" s="14"/>
      <x:c r="JI123" s="14"/>
      <x:c r="JJ123" s="14"/>
      <x:c r="JK123" s="14"/>
      <x:c r="JL123" s="14"/>
      <x:c r="JM123" s="14"/>
      <x:c r="JN123" s="14"/>
      <x:c r="JO123" s="14"/>
      <x:c r="JP123" s="14"/>
      <x:c r="JQ123" s="14"/>
      <x:c r="JR123" s="14"/>
      <x:c r="JS123" s="14"/>
      <x:c r="JT123" s="14"/>
      <x:c r="JU123" s="14"/>
      <x:c r="JV123" s="14"/>
      <x:c r="JW123" s="14"/>
      <x:c r="JX123" s="14"/>
      <x:c r="JY123" s="14"/>
      <x:c r="JZ123" s="14"/>
      <x:c r="KA123" s="14"/>
      <x:c r="KB123" s="14"/>
      <x:c r="KC123" s="14"/>
      <x:c r="KD123" s="14"/>
      <x:c r="KE123" s="14"/>
      <x:c r="KF123" s="14"/>
      <x:c r="KG123" s="14"/>
      <x:c r="KH123" s="14"/>
      <x:c r="KI123" s="14"/>
      <x:c r="KJ123" s="14"/>
      <x:c r="KK123" s="14"/>
      <x:c r="KL123" s="14"/>
      <x:c r="KM123" s="14"/>
      <x:c r="KN123" s="14"/>
      <x:c r="KO123" s="14"/>
      <x:c r="KP123" s="14"/>
      <x:c r="KQ123" s="14"/>
      <x:c r="KR123" s="14"/>
      <x:c r="KS123" s="14"/>
      <x:c r="KT123" s="14"/>
      <x:c r="KU123" s="14"/>
      <x:c r="KV123" s="14"/>
      <x:c r="KW123" s="14"/>
      <x:c r="KX123" s="14"/>
      <x:c r="KY123" s="14"/>
      <x:c r="KZ123" s="14"/>
      <x:c r="LA123" s="14"/>
      <x:c r="LB123" s="14"/>
      <x:c r="LC123" s="14"/>
      <x:c r="LD123" s="14"/>
      <x:c r="LE123" s="14"/>
      <x:c r="LF123" s="14"/>
      <x:c r="LG123" s="14"/>
      <x:c r="LH123" s="14"/>
      <x:c r="LI123" s="14"/>
      <x:c r="LJ123" s="14"/>
      <x:c r="LK123" s="14"/>
      <x:c r="LL123" s="14"/>
      <x:c r="LM123" s="14"/>
      <x:c r="LN123" s="14"/>
      <x:c r="LO123" s="14"/>
      <x:c r="LP123" s="14"/>
      <x:c r="LQ123" s="14"/>
      <x:c r="LR123" s="14"/>
      <x:c r="LS123" s="14"/>
      <x:c r="LT123" s="14"/>
      <x:c r="LU123" s="14"/>
      <x:c r="LV123" s="14"/>
      <x:c r="LW123" s="14"/>
      <x:c r="LX123" s="14"/>
      <x:c r="LY123" s="14"/>
      <x:c r="LZ123" s="14"/>
      <x:c r="MA123" s="14"/>
      <x:c r="MB123" s="14"/>
      <x:c r="MC123" s="14"/>
      <x:c r="MD123" s="14"/>
      <x:c r="ME123" s="14"/>
      <x:c r="MF123" s="14"/>
      <x:c r="MG123" s="14"/>
      <x:c r="MH123" s="14"/>
      <x:c r="MI123" s="14"/>
      <x:c r="MJ123" s="14"/>
      <x:c r="MK123" s="14"/>
      <x:c r="ML123" s="14"/>
      <x:c r="MM123" s="14"/>
      <x:c r="MN123" s="14"/>
      <x:c r="MO123" s="14"/>
      <x:c r="MP123" s="14"/>
      <x:c r="MQ123" s="14"/>
      <x:c r="MR123" s="14"/>
      <x:c r="MS123" s="14"/>
      <x:c r="MT123" s="14"/>
      <x:c r="MU123" s="14"/>
      <x:c r="MV123" s="14"/>
      <x:c r="MW123" s="14" t="str">
        <x:v>30269</x:v>
      </x:c>
      <x:c r="MX123" s="14" t="n">
        <x:v>5</x:v>
      </x:c>
      <x:c r="MY123" s="14" t="n">
        <x:v>2049</x:v>
      </x:c>
      <x:c r="MZ123" s="14" t="n">
        <x:v>401</x:v>
      </x:c>
      <x:c r="NA123" s="14" t="n">
        <x:v>5</x:v>
      </x:c>
      <x:c r="NB123" s="14" t="n">
        <x:v>1</x:v>
      </x:c>
      <x:c r="NC123" s="14" t="str">
        <x:v>未收錄</x:v>
      </x:c>
      <x:c r="ND123" s="14" t="str">
        <x:v>30274</x:v>
      </x:c>
      <x:c r="NE123" s="14" t="n">
        <x:v>5</x:v>
      </x:c>
      <x:c r="NF123" s="14" t="n">
        <x:v>2050</x:v>
      </x:c>
      <x:c r="NG123" s="14" t="n">
        <x:v>402</x:v>
      </x:c>
      <x:c r="NH123" s="14" t="n">
        <x:v>5</x:v>
      </x:c>
      <x:c r="NI123" s="14" t="n">
        <x:v>2</x:v>
      </x:c>
      <x:c r="NJ123" s="14" t="str">
        <x:v>未收錄</x:v>
      </x:c>
      <x:c r="NK123" s="14" t="str">
        <x:v>30374</x:v>
      </x:c>
      <x:c r="NL123" s="14" t="n">
        <x:v>10</x:v>
      </x:c>
      <x:c r="NM123" s="14" t="n">
        <x:v>2051</x:v>
      </x:c>
      <x:c r="NN123" s="14" t="n">
        <x:v>403</x:v>
      </x:c>
      <x:c r="NO123" s="14" t="n">
        <x:v>5</x:v>
      </x:c>
      <x:c r="NP123" s="14" t="n">
        <x:v>3</x:v>
      </x:c>
      <x:c r="NQ123" s="14" t="str">
        <x:v>未收錄</x:v>
      </x:c>
      <x:c r="NR123" s="14" t="str">
        <x:v>30394</x:v>
      </x:c>
      <x:c r="NS123" s="14" t="n">
        <x:v>10</x:v>
      </x:c>
      <x:c r="NT123" s="14" t="n">
        <x:v>2052</x:v>
      </x:c>
      <x:c r="NU123" s="14" t="n">
        <x:v>404</x:v>
      </x:c>
      <x:c r="NV123" s="14" t="n">
        <x:v>5</x:v>
      </x:c>
      <x:c r="NW123" s="14" t="n">
        <x:v>4</x:v>
      </x:c>
      <x:c r="NX123" s="14" t="str">
        <x:v>未收錄</x:v>
      </x:c>
      <x:c r="NY123" s="14" t="str">
        <x:v>29451</x:v>
      </x:c>
      <x:c r="NZ123" s="14" t="n">
        <x:v>5</x:v>
      </x:c>
      <x:c r="OA123" s="14" t="n">
        <x:v>2502</x:v>
      </x:c>
      <x:c r="OB123" s="14" t="n">
        <x:v>401</x:v>
      </x:c>
      <x:c r="OC123" s="14" t="n">
        <x:v>5</x:v>
      </x:c>
      <x:c r="OD123" s="14" t="n">
        <x:v>1</x:v>
      </x:c>
      <x:c r="OE123" s="14" t="str">
        <x:v>未收錄</x:v>
      </x:c>
      <x:c r="OF123" s="14" t="str">
        <x:v>29457</x:v>
      </x:c>
      <x:c r="OG123" s="14" t="n">
        <x:v>5</x:v>
      </x:c>
      <x:c r="OH123" s="14" t="n">
        <x:v>2503</x:v>
      </x:c>
      <x:c r="OI123" s="14" t="n">
        <x:v>402</x:v>
      </x:c>
      <x:c r="OJ123" s="14" t="n">
        <x:v>5</x:v>
      </x:c>
      <x:c r="OK123" s="14" t="n">
        <x:v>2</x:v>
      </x:c>
      <x:c r="OL123" s="14" t="str">
        <x:v>未收錄</x:v>
      </x:c>
      <x:c r="OM123" s="14" t="str">
        <x:v>29553</x:v>
      </x:c>
      <x:c r="ON123" s="14" t="n">
        <x:v>10</x:v>
      </x:c>
      <x:c r="OO123" s="14" t="n">
        <x:v>2504</x:v>
      </x:c>
      <x:c r="OP123" s="14" t="n">
        <x:v>403</x:v>
      </x:c>
      <x:c r="OQ123" s="14" t="n">
        <x:v>5</x:v>
      </x:c>
      <x:c r="OR123" s="14" t="n">
        <x:v>3</x:v>
      </x:c>
      <x:c r="OS123" s="14" t="str">
        <x:v>未收錄</x:v>
      </x:c>
      <x:c r="OT123" s="14" t="str">
        <x:v>29577</x:v>
      </x:c>
      <x:c r="OU123" s="14" t="n">
        <x:v>10</x:v>
      </x:c>
      <x:c r="OV123" s="14" t="n">
        <x:v>2505</x:v>
      </x:c>
      <x:c r="OW123" s="14" t="n">
        <x:v>404</x:v>
      </x:c>
      <x:c r="OX123" s="14" t="n">
        <x:v>5</x:v>
      </x:c>
      <x:c r="OY123" s="14" t="n">
        <x:v>4</x:v>
      </x:c>
      <x:c r="OZ123" s="14" t="str">
        <x:v>未收錄</x:v>
      </x:c>
      <x:c r="PA123" s="14" t="str">
        <x:v>31216</x:v>
      </x:c>
      <x:c r="PB123" s="14" t="n">
        <x:v>5</x:v>
      </x:c>
      <x:c r="PC123" s="14" t="n">
        <x:v>3048</x:v>
      </x:c>
      <x:c r="PD123" s="14" t="n">
        <x:v>401</x:v>
      </x:c>
      <x:c r="PE123" s="14" t="n">
        <x:v>5</x:v>
      </x:c>
      <x:c r="PF123" s="14" t="n">
        <x:v>1</x:v>
      </x:c>
      <x:c r="PG123" s="14" t="str">
        <x:v>未收錄</x:v>
      </x:c>
      <x:c r="PH123" s="14" t="str">
        <x:v>31221</x:v>
      </x:c>
      <x:c r="PI123" s="14" t="n">
        <x:v>5</x:v>
      </x:c>
      <x:c r="PJ123" s="14" t="n">
        <x:v>3049</x:v>
      </x:c>
      <x:c r="PK123" s="14" t="n">
        <x:v>402</x:v>
      </x:c>
      <x:c r="PL123" s="14" t="n">
        <x:v>5</x:v>
      </x:c>
      <x:c r="PM123" s="14" t="n">
        <x:v>2</x:v>
      </x:c>
      <x:c r="PN123" s="14" t="str">
        <x:v>未收錄</x:v>
      </x:c>
      <x:c r="PO123" s="14" t="str">
        <x:v>31281</x:v>
      </x:c>
      <x:c r="PP123" s="14" t="n">
        <x:v>10</x:v>
      </x:c>
      <x:c r="PQ123" s="14" t="n">
        <x:v>3050</x:v>
      </x:c>
      <x:c r="PR123" s="14" t="n">
        <x:v>403</x:v>
      </x:c>
      <x:c r="PS123" s="14" t="n">
        <x:v>5</x:v>
      </x:c>
      <x:c r="PT123" s="14" t="n">
        <x:v>3</x:v>
      </x:c>
      <x:c r="PU123" s="14" t="str">
        <x:v>未收錄</x:v>
      </x:c>
      <x:c r="PV123" s="14" t="str">
        <x:v>31301</x:v>
      </x:c>
      <x:c r="PW123" s="14" t="n">
        <x:v>10</x:v>
      </x:c>
      <x:c r="PX123" s="14" t="n">
        <x:v>3051</x:v>
      </x:c>
      <x:c r="PY123" s="14" t="n">
        <x:v>404</x:v>
      </x:c>
      <x:c r="PZ123" s="14" t="n">
        <x:v>5</x:v>
      </x:c>
      <x:c r="QA123" s="14" t="n">
        <x:v>4</x:v>
      </x:c>
      <x:c r="QB123" s="14" t="str">
        <x:v>未收錄</x:v>
      </x:c>
      <x:c r="QC123" s="14" t="str">
        <x:v>30343</x:v>
      </x:c>
      <x:c r="QD123" s="14" t="n">
        <x:v>5</x:v>
      </x:c>
      <x:c r="QE123" s="14" t="n">
        <x:v>3485</x:v>
      </x:c>
      <x:c r="QF123" s="14" t="n">
        <x:v>401</x:v>
      </x:c>
      <x:c r="QG123" s="14" t="n">
        <x:v>5</x:v>
      </x:c>
      <x:c r="QH123" s="14" t="n">
        <x:v>1</x:v>
      </x:c>
      <x:c r="QI123" s="14" t="str">
        <x:v>未收錄</x:v>
      </x:c>
      <x:c r="QJ123" s="14" t="str">
        <x:v>30348</x:v>
      </x:c>
      <x:c r="QK123" s="14" t="n">
        <x:v>5</x:v>
      </x:c>
      <x:c r="QL123" s="14" t="n">
        <x:v>3486</x:v>
      </x:c>
      <x:c r="QM123" s="14" t="n">
        <x:v>402</x:v>
      </x:c>
      <x:c r="QN123" s="14" t="n">
        <x:v>5</x:v>
      </x:c>
      <x:c r="QO123" s="14" t="n">
        <x:v>2</x:v>
      </x:c>
      <x:c r="QP123" s="14" t="str">
        <x:v>未收錄</x:v>
      </x:c>
      <x:c r="QQ123" s="14" t="str">
        <x:v>30388</x:v>
      </x:c>
      <x:c r="QR123" s="14" t="n">
        <x:v>10</x:v>
      </x:c>
      <x:c r="QS123" s="14" t="n">
        <x:v>3487</x:v>
      </x:c>
      <x:c r="QT123" s="14" t="n">
        <x:v>403</x:v>
      </x:c>
      <x:c r="QU123" s="14" t="n">
        <x:v>5</x:v>
      </x:c>
      <x:c r="QV123" s="14" t="n">
        <x:v>3</x:v>
      </x:c>
      <x:c r="QW123" s="14" t="str">
        <x:v>未收錄</x:v>
      </x:c>
      <x:c r="QX123" s="14" t="str">
        <x:v>30408</x:v>
      </x:c>
      <x:c r="QY123" s="14" t="n">
        <x:v>10</x:v>
      </x:c>
      <x:c r="QZ123" s="14" t="n">
        <x:v>3488</x:v>
      </x:c>
      <x:c r="RA123" s="14" t="n">
        <x:v>404</x:v>
      </x:c>
      <x:c r="RB123" s="14" t="n">
        <x:v>5</x:v>
      </x:c>
      <x:c r="RC123" s="14" t="n">
        <x:v>4</x:v>
      </x:c>
      <x:c r="RD123" s="14" t="str">
        <x:v>未收錄</x:v>
      </x:c>
      <x:c r="RE123" s="14" t="str">
        <x:v>31855</x:v>
      </x:c>
      <x:c r="RF123" s="14" t="n">
        <x:v>10</x:v>
      </x:c>
      <x:c r="RG123" s="14" t="n">
        <x:v>3946</x:v>
      </x:c>
      <x:c r="RH123" s="14" t="n">
        <x:v>401</x:v>
      </x:c>
      <x:c r="RI123" s="14" t="n">
        <x:v>5</x:v>
      </x:c>
      <x:c r="RJ123" s="14" t="n">
        <x:v>1</x:v>
      </x:c>
      <x:c r="RK123" s="14" t="str">
        <x:v>未收錄</x:v>
      </x:c>
      <x:c r="RL123" s="14" t="str">
        <x:v>31856</x:v>
      </x:c>
      <x:c r="RM123" s="14" t="n">
        <x:v>10</x:v>
      </x:c>
      <x:c r="RN123" s="14" t="n">
        <x:v>3947</x:v>
      </x:c>
      <x:c r="RO123" s="14" t="n">
        <x:v>402</x:v>
      </x:c>
      <x:c r="RP123" s="14" t="n">
        <x:v>5</x:v>
      </x:c>
      <x:c r="RQ123" s="14" t="n">
        <x:v>2</x:v>
      </x:c>
      <x:c r="RR123" s="14" t="str">
        <x:v>未收錄</x:v>
      </x:c>
      <x:c r="RS123" s="14" t="str">
        <x:v>31663</x:v>
      </x:c>
      <x:c r="RT123" s="14" t="n">
        <x:v>20</x:v>
      </x:c>
      <x:c r="RU123" s="14" t="n">
        <x:v>3948</x:v>
      </x:c>
      <x:c r="RV123" s="14" t="n">
        <x:v>403</x:v>
      </x:c>
      <x:c r="RW123" s="14" t="n">
        <x:v>5</x:v>
      </x:c>
      <x:c r="RX123" s="14" t="n">
        <x:v>3</x:v>
      </x:c>
      <x:c r="RY123" s="14" t="str">
        <x:v>未收錄</x:v>
      </x:c>
      <x:c r="RZ123" s="14" t="str">
        <x:v>32157</x:v>
      </x:c>
      <x:c r="SA123" s="14" t="n">
        <x:v>20</x:v>
      </x:c>
      <x:c r="SB123" s="14" t="n">
        <x:v>3949</x:v>
      </x:c>
      <x:c r="SC123" s="14" t="n">
        <x:v>404</x:v>
      </x:c>
      <x:c r="SD123" s="14" t="n">
        <x:v>5</x:v>
      </x:c>
      <x:c r="SE123" s="14" t="n">
        <x:v>4</x:v>
      </x:c>
      <x:c r="SF123" s="14" t="str">
        <x:v>未收錄</x:v>
      </x:c>
      <x:c r="SG123" s="14"/>
      <x:c r="SH123" s="14"/>
      <x:c r="SI123" s="14"/>
      <x:c r="SJ123" s="14"/>
      <x:c r="SK123" s="14"/>
      <x:c r="SL123" s="14"/>
      <x:c r="SM123" s="14"/>
      <x:c r="SN123" s="14"/>
      <x:c r="SO123" s="14"/>
      <x:c r="SP123" s="14"/>
      <x:c r="SQ123" s="14"/>
      <x:c r="SR123" s="14"/>
      <x:c r="SS123" s="14"/>
      <x:c r="ST123" s="14"/>
      <x:c r="SU123" s="14"/>
      <x:c r="SV123" s="14"/>
      <x:c r="SW123" s="14"/>
      <x:c r="SX123" s="14"/>
      <x:c r="SY123" s="14"/>
      <x:c r="SZ123" s="14"/>
      <x:c r="TA123" s="14"/>
      <x:c r="TB123" s="14"/>
      <x:c r="TC123" s="14"/>
      <x:c r="TD123" s="14"/>
      <x:c r="TE123" s="14"/>
      <x:c r="TF123" s="14"/>
      <x:c r="TG123" s="14"/>
      <x:c r="TH123" s="14"/>
    </x:row>
    <x:row r="124" ht="15" customHeight="1">
      <x:c r="A124" s="14"/>
      <x:c r="B124" s="14"/>
      <x:c r="C124" s="14"/>
      <x:c r="D124" s="14"/>
      <x:c r="E124" s="14"/>
      <x:c r="F124" s="14"/>
      <x:c r="G124" s="14"/>
      <x:c r="H124" s="14"/>
      <x:c r="I124" s="14"/>
      <x:c r="J124" s="14"/>
      <x:c r="K124" s="14"/>
      <x:c r="L124" s="14"/>
      <x:c r="M124" s="14"/>
      <x:c r="N124" s="14"/>
      <x:c r="O124" s="14"/>
      <x:c r="P124" s="14"/>
      <x:c r="Q124" s="14"/>
      <x:c r="R124" s="14"/>
      <x:c r="S124" s="14"/>
      <x:c r="T124" s="14"/>
      <x:c r="U124" s="14"/>
      <x:c r="V124" s="14"/>
      <x:c r="W124" s="14"/>
      <x:c r="X124" s="14"/>
      <x:c r="Y124" s="14"/>
      <x:c r="Z124" s="14"/>
      <x:c r="AA124" s="14"/>
      <x:c r="AB124" s="14"/>
      <x:c r="AC124" s="14"/>
      <x:c r="AD124" s="14"/>
      <x:c r="AE124" s="14"/>
      <x:c r="AF124" s="14"/>
      <x:c r="AG124" s="14"/>
      <x:c r="AH124" s="14"/>
      <x:c r="AI124" s="14"/>
      <x:c r="AJ124" s="14"/>
      <x:c r="AK124" s="14"/>
      <x:c r="AL124" s="14"/>
      <x:c r="AM124" s="14"/>
      <x:c r="AN124" s="14"/>
      <x:c r="AO124" s="14"/>
      <x:c r="AP124" s="14"/>
      <x:c r="AQ124" s="14"/>
      <x:c r="AR124" s="14"/>
      <x:c r="AS124" s="14"/>
      <x:c r="AT124" s="14"/>
      <x:c r="AU124" s="14"/>
      <x:c r="AV124" s="14"/>
      <x:c r="AW124" s="14"/>
      <x:c r="AX124" s="14"/>
      <x:c r="AY124" s="18" t="str">
        <x:v>宿星銀兜Ⅳ</x:v>
      </x:c>
      <x:c r="AZ124" s="18" t="str">
        <x:v>劍豪旭冠Ⅴ</x:v>
      </x:c>
      <x:c r="BA124" s="18" t="str">
        <x:v>勇將旭盔Ⅴ</x:v>
      </x:c>
      <x:c r="BB124" s="18" t="str">
        <x:v>術凌旭巾Ⅴ</x:v>
      </x:c>
      <x:c r="BC124" s="14"/>
      <x:c r="BD124" s="18" t="str">
        <x:v>皇影甲☆</x:v>
      </x:c>
      <x:c r="BE124" s="18" t="str">
        <x:v>神無袈☆</x:v>
      </x:c>
      <x:c r="BF124" s="18" t="str">
        <x:v>劍帝服★</x:v>
      </x:c>
      <x:c r="BG124" s="18" t="str">
        <x:v>武帝胄★</x:v>
      </x:c>
      <x:c r="BH124" s="14"/>
      <x:c r="BI124" s="18" t="str">
        <x:v>舞星鎢掌Ⅰ</x:v>
      </x:c>
      <x:c r="BJ124" s="18" t="str">
        <x:v>宇鋒飄腕Ⅱ</x:v>
      </x:c>
      <x:c r="BK124" s="18" t="str">
        <x:v>天衛宙臂Ⅱ</x:v>
      </x:c>
      <x:c r="BL124" s="18" t="str">
        <x:v>光術快手Ⅱ</x:v>
      </x:c>
      <x:c r="BM124" s="14"/>
      <x:c r="BN124" s="18" t="str">
        <x:v>宿星閃靴Ⅲ</x:v>
      </x:c>
      <x:c r="BO124" s="18" t="str">
        <x:v>劍豪旭靴Ⅳ</x:v>
      </x:c>
      <x:c r="BP124" s="18" t="str">
        <x:v>勇將旭立Ⅳ</x:v>
      </x:c>
      <x:c r="BQ124" s="18" t="str">
        <x:v>術凌旭步Ⅳ</x:v>
      </x:c>
      <x:c r="BR124" s="14"/>
      <x:c r="BS124" s="18" t="str">
        <x:v>諾亞航令Ⅰ</x:v>
      </x:c>
      <x:c r="BT124" s="18" t="str">
        <x:v>誅仙御鐸Ⅰ</x:v>
      </x:c>
      <x:c r="BU124" s="18" t="str">
        <x:v>獨眼慧珠Ⅰ</x:v>
      </x:c>
      <x:c r="BV124" s="18" t="str">
        <x:v>龍之印信Ⅰ</x:v>
      </x:c>
      <x:c r="BW124" s="14"/>
      <x:c r="BX124" s="14"/>
      <x:c r="BY124" s="14"/>
      <x:c r="BZ124" s="14"/>
      <x:c r="CA124" s="14"/>
      <x:c r="CB124" s="14"/>
      <x:c r="CC124" s="14"/>
      <x:c r="CD124" s="14"/>
      <x:c r="CE124" s="14"/>
      <x:c r="CF124" s="14"/>
      <x:c r="CG124" s="14"/>
      <x:c r="CH124" s="14"/>
      <x:c r="CI124" s="14"/>
      <x:c r="CJ124" s="14"/>
      <x:c r="CK124" s="14"/>
      <x:c r="CL124" s="14"/>
      <x:c r="CM124" s="14"/>
      <x:c r="CN124" s="14"/>
      <x:c r="CO124" s="14"/>
      <x:c r="CP124" s="14"/>
      <x:c r="CQ124" s="14"/>
      <x:c r="CR124" s="14"/>
      <x:c r="CS124" s="14"/>
      <x:c r="CT124" s="14"/>
      <x:c r="CU124" s="14"/>
      <x:c r="CV124" s="14"/>
      <x:c r="CW124" s="14"/>
      <x:c r="CX124" s="14"/>
      <x:c r="CY124" s="14"/>
      <x:c r="CZ124" s="14"/>
      <x:c r="DA124" s="14"/>
      <x:c r="DB124" s="14"/>
      <x:c r="DC124" s="14"/>
      <x:c r="DD124" s="14"/>
      <x:c r="DE124" s="14"/>
      <x:c r="DF124" s="14"/>
      <x:c r="DG124" s="14"/>
      <x:c r="DH124" s="14"/>
      <x:c r="DI124" s="14"/>
      <x:c r="DJ124" s="14"/>
      <x:c r="DK124" s="14"/>
      <x:c r="DL124" s="14"/>
      <x:c r="DM124" s="14"/>
      <x:c r="DN124" s="14"/>
      <x:c r="DO124" s="14"/>
      <x:c r="DP124" s="14"/>
      <x:c r="DQ124" s="14"/>
      <x:c r="DR124" s="14"/>
      <x:c r="DS124" s="14"/>
      <x:c r="DT124" s="14"/>
      <x:c r="DU124" s="14"/>
      <x:c r="DV124" s="14"/>
      <x:c r="DW124" s="14"/>
      <x:c r="DX124" s="14"/>
      <x:c r="DY124" s="14"/>
      <x:c r="DZ124" s="14"/>
      <x:c r="EA124" s="14"/>
      <x:c r="EB124" s="14"/>
      <x:c r="EC124" s="14"/>
      <x:c r="ED124" s="14"/>
      <x:c r="EE124" s="14"/>
      <x:c r="EF124" s="14"/>
      <x:c r="EG124" s="14"/>
      <x:c r="EH124" s="14"/>
      <x:c r="EI124" s="14"/>
      <x:c r="EJ124" s="14"/>
      <x:c r="EK124" s="14"/>
      <x:c r="EL124" s="14"/>
      <x:c r="EM124" s="14"/>
      <x:c r="EN124" s="14"/>
      <x:c r="EO124" s="14"/>
      <x:c r="EP124" s="14"/>
      <x:c r="EQ124" s="14"/>
      <x:c r="ER124" s="14"/>
      <x:c r="ES124" s="14"/>
      <x:c r="ET124" s="14"/>
      <x:c r="EU124" s="14"/>
      <x:c r="EV124" s="14"/>
      <x:c r="EW124" s="14"/>
      <x:c r="EX124" s="14"/>
      <x:c r="EY124" s="14"/>
      <x:c r="EZ124" s="14"/>
      <x:c r="FA124" s="14"/>
      <x:c r="FB124" s="14"/>
      <x:c r="FC124" s="14"/>
      <x:c r="FD124" s="14"/>
      <x:c r="FE124" s="14"/>
      <x:c r="FF124" s="14"/>
      <x:c r="FG124" s="14"/>
      <x:c r="FH124" s="14"/>
      <x:c r="FI124" s="14"/>
      <x:c r="FJ124" s="14"/>
      <x:c r="FK124" s="14"/>
      <x:c r="FL124" s="14"/>
      <x:c r="FM124" s="14"/>
      <x:c r="FN124" s="14"/>
      <x:c r="FO124" s="14"/>
      <x:c r="FP124" s="14"/>
      <x:c r="FQ124" s="14"/>
      <x:c r="FR124" s="14"/>
      <x:c r="FS124" s="14"/>
      <x:c r="FT124" s="14"/>
      <x:c r="FU124" s="14"/>
      <x:c r="FV124" s="14"/>
      <x:c r="FW124" s="14"/>
      <x:c r="FX124" s="14"/>
      <x:c r="FY124" s="14"/>
      <x:c r="FZ124" s="14"/>
      <x:c r="GA124" s="14"/>
      <x:c r="GB124" s="14"/>
      <x:c r="GC124" s="14"/>
      <x:c r="GD124" s="14"/>
      <x:c r="GE124" s="14"/>
      <x:c r="GF124" s="14"/>
      <x:c r="GG124" s="14"/>
      <x:c r="GH124" s="14"/>
      <x:c r="GI124" s="14"/>
      <x:c r="GJ124" s="14"/>
      <x:c r="GK124" s="14"/>
      <x:c r="GL124" s="14"/>
      <x:c r="GM124" s="14"/>
      <x:c r="GN124" s="14"/>
      <x:c r="GO124" s="14"/>
      <x:c r="GP124" s="14"/>
      <x:c r="GQ124" s="14"/>
      <x:c r="GR124" s="14"/>
      <x:c r="GS124" s="14"/>
      <x:c r="GT124" s="14"/>
      <x:c r="GU124" s="14"/>
      <x:c r="GV124" s="14"/>
      <x:c r="GW124" s="14"/>
      <x:c r="GX124" s="14"/>
      <x:c r="GY124" s="14"/>
      <x:c r="GZ124" s="14"/>
      <x:c r="HA124" s="14"/>
      <x:c r="HB124" s="14"/>
      <x:c r="HC124" s="14"/>
      <x:c r="HD124" s="14"/>
      <x:c r="HE124" s="14"/>
      <x:c r="HF124" s="14"/>
      <x:c r="HG124" s="14"/>
      <x:c r="HH124" s="14"/>
      <x:c r="HI124" s="14"/>
      <x:c r="HJ124" s="14"/>
      <x:c r="HK124" s="14"/>
      <x:c r="HL124" s="14"/>
      <x:c r="HM124" s="14"/>
      <x:c r="HN124" s="14"/>
      <x:c r="HO124" s="14"/>
      <x:c r="HP124" s="14"/>
      <x:c r="HQ124" s="14"/>
      <x:c r="HR124" s="14"/>
      <x:c r="HS124" s="14"/>
      <x:c r="HT124" s="14"/>
      <x:c r="HU124" s="14"/>
      <x:c r="HV124" s="14"/>
      <x:c r="HW124" s="14"/>
      <x:c r="HX124" s="14"/>
      <x:c r="HY124" s="14"/>
      <x:c r="HZ124" s="14"/>
      <x:c r="IA124" s="14"/>
      <x:c r="IB124" s="14"/>
      <x:c r="IC124" s="14"/>
      <x:c r="ID124" s="14"/>
      <x:c r="IE124" s="14"/>
      <x:c r="IF124" s="14"/>
      <x:c r="IG124" s="14"/>
      <x:c r="IH124" s="14"/>
      <x:c r="II124" s="14"/>
      <x:c r="IJ124" s="14"/>
      <x:c r="IK124" s="14"/>
      <x:c r="IL124" s="14"/>
      <x:c r="IM124" s="14"/>
      <x:c r="IN124" s="14"/>
      <x:c r="IO124" s="14"/>
      <x:c r="IP124" s="14"/>
      <x:c r="IQ124" s="14"/>
      <x:c r="IR124" s="14"/>
      <x:c r="IS124" s="14"/>
      <x:c r="IT124" s="14"/>
      <x:c r="IU124" s="14"/>
      <x:c r="IV124" s="14"/>
      <x:c r="IW124" s="14"/>
      <x:c r="IX124" s="14"/>
      <x:c r="IY124" s="14"/>
      <x:c r="IZ124" s="14"/>
      <x:c r="JA124" s="14"/>
      <x:c r="JB124" s="14"/>
      <x:c r="JC124" s="14"/>
      <x:c r="JD124" s="14"/>
      <x:c r="JE124" s="14"/>
      <x:c r="JF124" s="14"/>
      <x:c r="JG124" s="14"/>
      <x:c r="JH124" s="14"/>
      <x:c r="JI124" s="14"/>
      <x:c r="JJ124" s="14"/>
      <x:c r="JK124" s="14"/>
      <x:c r="JL124" s="14"/>
      <x:c r="JM124" s="14"/>
      <x:c r="JN124" s="14"/>
      <x:c r="JO124" s="14"/>
      <x:c r="JP124" s="14"/>
      <x:c r="JQ124" s="14"/>
      <x:c r="JR124" s="14"/>
      <x:c r="JS124" s="14"/>
      <x:c r="JT124" s="14"/>
      <x:c r="JU124" s="14"/>
      <x:c r="JV124" s="14"/>
      <x:c r="JW124" s="14"/>
      <x:c r="JX124" s="14"/>
      <x:c r="JY124" s="14"/>
      <x:c r="JZ124" s="14"/>
      <x:c r="KA124" s="14"/>
      <x:c r="KB124" s="14"/>
      <x:c r="KC124" s="14"/>
      <x:c r="KD124" s="14"/>
      <x:c r="KE124" s="14"/>
      <x:c r="KF124" s="14"/>
      <x:c r="KG124" s="14"/>
      <x:c r="KH124" s="14"/>
      <x:c r="KI124" s="14"/>
      <x:c r="KJ124" s="14"/>
      <x:c r="KK124" s="14"/>
      <x:c r="KL124" s="14"/>
      <x:c r="KM124" s="14"/>
      <x:c r="KN124" s="14"/>
      <x:c r="KO124" s="14"/>
      <x:c r="KP124" s="14"/>
      <x:c r="KQ124" s="14"/>
      <x:c r="KR124" s="14"/>
      <x:c r="KS124" s="14"/>
      <x:c r="KT124" s="14"/>
      <x:c r="KU124" s="14"/>
      <x:c r="KV124" s="14"/>
      <x:c r="KW124" s="14"/>
      <x:c r="KX124" s="14"/>
      <x:c r="KY124" s="14"/>
      <x:c r="KZ124" s="14"/>
      <x:c r="LA124" s="14"/>
      <x:c r="LB124" s="14"/>
      <x:c r="LC124" s="14"/>
      <x:c r="LD124" s="14"/>
      <x:c r="LE124" s="14"/>
      <x:c r="LF124" s="14"/>
      <x:c r="LG124" s="14"/>
      <x:c r="LH124" s="14"/>
      <x:c r="LI124" s="14"/>
      <x:c r="LJ124" s="14"/>
      <x:c r="LK124" s="14"/>
      <x:c r="LL124" s="14"/>
      <x:c r="LM124" s="14"/>
      <x:c r="LN124" s="14"/>
      <x:c r="LO124" s="14"/>
      <x:c r="LP124" s="14"/>
      <x:c r="LQ124" s="14"/>
      <x:c r="LR124" s="14"/>
      <x:c r="LS124" s="14"/>
      <x:c r="LT124" s="14"/>
      <x:c r="LU124" s="14"/>
      <x:c r="LV124" s="14"/>
      <x:c r="LW124" s="14"/>
      <x:c r="LX124" s="14"/>
      <x:c r="LY124" s="14"/>
      <x:c r="LZ124" s="14"/>
      <x:c r="MA124" s="14"/>
      <x:c r="MB124" s="14"/>
      <x:c r="MC124" s="14"/>
      <x:c r="MD124" s="14"/>
      <x:c r="ME124" s="14"/>
      <x:c r="MF124" s="14"/>
      <x:c r="MG124" s="14"/>
      <x:c r="MH124" s="14"/>
      <x:c r="MI124" s="14"/>
      <x:c r="MJ124" s="14"/>
      <x:c r="MK124" s="14"/>
      <x:c r="ML124" s="14"/>
      <x:c r="MM124" s="14"/>
      <x:c r="MN124" s="14"/>
      <x:c r="MO124" s="14"/>
      <x:c r="MP124" s="14"/>
      <x:c r="MQ124" s="14"/>
      <x:c r="MR124" s="14"/>
      <x:c r="MS124" s="14"/>
      <x:c r="MT124" s="14"/>
      <x:c r="MU124" s="14"/>
      <x:c r="MV124" s="14"/>
      <x:c r="MW124" s="14" t="str">
        <x:v>30414</x:v>
      </x:c>
      <x:c r="MX124" s="14" t="n">
        <x:v>10</x:v>
      </x:c>
      <x:c r="MY124" s="14" t="n">
        <x:v>2053</x:v>
      </x:c>
      <x:c r="MZ124" s="14" t="n">
        <x:v>405</x:v>
      </x:c>
      <x:c r="NA124" s="14" t="n">
        <x:v>6</x:v>
      </x:c>
      <x:c r="NB124" s="14" t="n">
        <x:v>1</x:v>
      </x:c>
      <x:c r="NC124" s="14" t="str">
        <x:v>未收錄</x:v>
      </x:c>
      <x:c r="ND124" s="14" t="str">
        <x:v>30255</x:v>
      </x:c>
      <x:c r="NE124" s="14" t="n">
        <x:v>5</x:v>
      </x:c>
      <x:c r="NF124" s="14" t="n">
        <x:v>2054</x:v>
      </x:c>
      <x:c r="NG124" s="14" t="n">
        <x:v>406</x:v>
      </x:c>
      <x:c r="NH124" s="14" t="n">
        <x:v>6</x:v>
      </x:c>
      <x:c r="NI124" s="14" t="n">
        <x:v>2</x:v>
      </x:c>
      <x:c r="NJ124" s="14" t="str">
        <x:v>未收錄</x:v>
      </x:c>
      <x:c r="NK124" s="14" t="str">
        <x:v>30260</x:v>
      </x:c>
      <x:c r="NL124" s="14" t="n">
        <x:v>5</x:v>
      </x:c>
      <x:c r="NM124" s="14" t="n">
        <x:v>2055</x:v>
      </x:c>
      <x:c r="NN124" s="14" t="n">
        <x:v>407</x:v>
      </x:c>
      <x:c r="NO124" s="14" t="n">
        <x:v>6</x:v>
      </x:c>
      <x:c r="NP124" s="14" t="n">
        <x:v>3</x:v>
      </x:c>
      <x:c r="NQ124" s="14" t="str">
        <x:v>未收錄</x:v>
      </x:c>
      <x:c r="NR124" s="14" t="str">
        <x:v>30265</x:v>
      </x:c>
      <x:c r="NS124" s="14" t="n">
        <x:v>5</x:v>
      </x:c>
      <x:c r="NT124" s="14" t="n">
        <x:v>2056</x:v>
      </x:c>
      <x:c r="NU124" s="14" t="n">
        <x:v>408</x:v>
      </x:c>
      <x:c r="NV124" s="14" t="n">
        <x:v>6</x:v>
      </x:c>
      <x:c r="NW124" s="14" t="n">
        <x:v>4</x:v>
      </x:c>
      <x:c r="NX124" s="14" t="str">
        <x:v>未收錄</x:v>
      </x:c>
      <x:c r="NY124" s="14" t="str">
        <x:v>29595</x:v>
      </x:c>
      <x:c r="NZ124" s="14" t="n">
        <x:v>10</x:v>
      </x:c>
      <x:c r="OA124" s="14" t="n">
        <x:v>2506</x:v>
      </x:c>
      <x:c r="OB124" s="14" t="n">
        <x:v>405</x:v>
      </x:c>
      <x:c r="OC124" s="14" t="n">
        <x:v>6</x:v>
      </x:c>
      <x:c r="OD124" s="14" t="n">
        <x:v>1</x:v>
      </x:c>
      <x:c r="OE124" s="14" t="str">
        <x:v>未收錄</x:v>
      </x:c>
      <x:c r="OF124" s="14" t="str">
        <x:v>29601</x:v>
      </x:c>
      <x:c r="OG124" s="14" t="n">
        <x:v>10</x:v>
      </x:c>
      <x:c r="OH124" s="14" t="n">
        <x:v>2507</x:v>
      </x:c>
      <x:c r="OI124" s="14" t="n">
        <x:v>406</x:v>
      </x:c>
      <x:c r="OJ124" s="14" t="n">
        <x:v>6</x:v>
      </x:c>
      <x:c r="OK124" s="14" t="n">
        <x:v>2</x:v>
      </x:c>
      <x:c r="OL124" s="14" t="str">
        <x:v>未收錄</x:v>
      </x:c>
      <x:c r="OM124" s="14" t="str">
        <x:v>29434</x:v>
      </x:c>
      <x:c r="ON124" s="14" t="n">
        <x:v>5</x:v>
      </x:c>
      <x:c r="OO124" s="14" t="n">
        <x:v>2508</x:v>
      </x:c>
      <x:c r="OP124" s="14" t="n">
        <x:v>407</x:v>
      </x:c>
      <x:c r="OQ124" s="14" t="n">
        <x:v>6</x:v>
      </x:c>
      <x:c r="OR124" s="14" t="n">
        <x:v>3</x:v>
      </x:c>
      <x:c r="OS124" s="14" t="str">
        <x:v>未收錄</x:v>
      </x:c>
      <x:c r="OT124" s="14" t="str">
        <x:v>29440</x:v>
      </x:c>
      <x:c r="OU124" s="14" t="n">
        <x:v>5</x:v>
      </x:c>
      <x:c r="OV124" s="14" t="n">
        <x:v>2509</x:v>
      </x:c>
      <x:c r="OW124" s="14" t="n">
        <x:v>408</x:v>
      </x:c>
      <x:c r="OX124" s="14" t="n">
        <x:v>6</x:v>
      </x:c>
      <x:c r="OY124" s="14" t="n">
        <x:v>4</x:v>
      </x:c>
      <x:c r="OZ124" s="14" t="str">
        <x:v>未收錄</x:v>
      </x:c>
      <x:c r="PA124" s="14" t="str">
        <x:v>31321</x:v>
      </x:c>
      <x:c r="PB124" s="14" t="n">
        <x:v>10</x:v>
      </x:c>
      <x:c r="PC124" s="14" t="n">
        <x:v>3052</x:v>
      </x:c>
      <x:c r="PD124" s="14" t="n">
        <x:v>405</x:v>
      </x:c>
      <x:c r="PE124" s="14" t="n">
        <x:v>6</x:v>
      </x:c>
      <x:c r="PF124" s="14" t="n">
        <x:v>1</x:v>
      </x:c>
      <x:c r="PG124" s="14" t="str">
        <x:v>未收錄</x:v>
      </x:c>
      <x:c r="PH124" s="14" t="str">
        <x:v>31202</x:v>
      </x:c>
      <x:c r="PI124" s="14" t="n">
        <x:v>5</x:v>
      </x:c>
      <x:c r="PJ124" s="14" t="n">
        <x:v>3053</x:v>
      </x:c>
      <x:c r="PK124" s="14" t="n">
        <x:v>406</x:v>
      </x:c>
      <x:c r="PL124" s="14" t="n">
        <x:v>6</x:v>
      </x:c>
      <x:c r="PM124" s="14" t="n">
        <x:v>2</x:v>
      </x:c>
      <x:c r="PN124" s="14" t="str">
        <x:v>未收錄</x:v>
      </x:c>
      <x:c r="PO124" s="14" t="str">
        <x:v>31207</x:v>
      </x:c>
      <x:c r="PP124" s="14" t="n">
        <x:v>5</x:v>
      </x:c>
      <x:c r="PQ124" s="14" t="n">
        <x:v>3054</x:v>
      </x:c>
      <x:c r="PR124" s="14" t="n">
        <x:v>407</x:v>
      </x:c>
      <x:c r="PS124" s="14" t="n">
        <x:v>6</x:v>
      </x:c>
      <x:c r="PT124" s="14" t="n">
        <x:v>3</x:v>
      </x:c>
      <x:c r="PU124" s="14" t="str">
        <x:v>未收錄</x:v>
      </x:c>
      <x:c r="PV124" s="14" t="str">
        <x:v>31212</x:v>
      </x:c>
      <x:c r="PW124" s="14" t="n">
        <x:v>5</x:v>
      </x:c>
      <x:c r="PX124" s="14" t="n">
        <x:v>3055</x:v>
      </x:c>
      <x:c r="PY124" s="14" t="n">
        <x:v>408</x:v>
      </x:c>
      <x:c r="PZ124" s="14" t="n">
        <x:v>6</x:v>
      </x:c>
      <x:c r="QA124" s="14" t="n">
        <x:v>4</x:v>
      </x:c>
      <x:c r="QB124" s="14" t="str">
        <x:v>未收錄</x:v>
      </x:c>
      <x:c r="QC124" s="14" t="str">
        <x:v>30603</x:v>
      </x:c>
      <x:c r="QD124" s="14" t="n">
        <x:v>10</x:v>
      </x:c>
      <x:c r="QE124" s="14" t="n">
        <x:v>3489</x:v>
      </x:c>
      <x:c r="QF124" s="14" t="n">
        <x:v>405</x:v>
      </x:c>
      <x:c r="QG124" s="14" t="n">
        <x:v>6</x:v>
      </x:c>
      <x:c r="QH124" s="14" t="n">
        <x:v>1</x:v>
      </x:c>
      <x:c r="QI124" s="14" t="str">
        <x:v>未收錄</x:v>
      </x:c>
      <x:c r="QJ124" s="14" t="str">
        <x:v>30329</x:v>
      </x:c>
      <x:c r="QK124" s="14" t="n">
        <x:v>5</x:v>
      </x:c>
      <x:c r="QL124" s="14" t="n">
        <x:v>3490</x:v>
      </x:c>
      <x:c r="QM124" s="14" t="n">
        <x:v>406</x:v>
      </x:c>
      <x:c r="QN124" s="14" t="n">
        <x:v>6</x:v>
      </x:c>
      <x:c r="QO124" s="14" t="n">
        <x:v>2</x:v>
      </x:c>
      <x:c r="QP124" s="14" t="str">
        <x:v>未收錄</x:v>
      </x:c>
      <x:c r="QQ124" s="14" t="str">
        <x:v>30334</x:v>
      </x:c>
      <x:c r="QR124" s="14" t="n">
        <x:v>5</x:v>
      </x:c>
      <x:c r="QS124" s="14" t="n">
        <x:v>3491</x:v>
      </x:c>
      <x:c r="QT124" s="14" t="n">
        <x:v>407</x:v>
      </x:c>
      <x:c r="QU124" s="14" t="n">
        <x:v>6</x:v>
      </x:c>
      <x:c r="QV124" s="14" t="n">
        <x:v>3</x:v>
      </x:c>
      <x:c r="QW124" s="14" t="str">
        <x:v>未收錄</x:v>
      </x:c>
      <x:c r="QX124" s="14" t="str">
        <x:v>30339</x:v>
      </x:c>
      <x:c r="QY124" s="14" t="n">
        <x:v>5</x:v>
      </x:c>
      <x:c r="QZ124" s="14" t="n">
        <x:v>3492</x:v>
      </x:c>
      <x:c r="RA124" s="14" t="n">
        <x:v>408</x:v>
      </x:c>
      <x:c r="RB124" s="14" t="n">
        <x:v>6</x:v>
      </x:c>
      <x:c r="RC124" s="14" t="n">
        <x:v>4</x:v>
      </x:c>
      <x:c r="RD124" s="14" t="str">
        <x:v>未收錄</x:v>
      </x:c>
      <x:c r="RE124" s="14" t="str">
        <x:v>31251</x:v>
      </x:c>
      <x:c r="RF124" s="14" t="n">
        <x:v>5</x:v>
      </x:c>
      <x:c r="RG124" s="14" t="n">
        <x:v>3950</x:v>
      </x:c>
      <x:c r="RH124" s="14" t="n">
        <x:v>405</x:v>
      </x:c>
      <x:c r="RI124" s="14" t="n">
        <x:v>6</x:v>
      </x:c>
      <x:c r="RJ124" s="14" t="n">
        <x:v>1</x:v>
      </x:c>
      <x:c r="RK124" s="14" t="str">
        <x:v>未收錄</x:v>
      </x:c>
      <x:c r="RL124" s="14" t="str">
        <x:v>31256</x:v>
      </x:c>
      <x:c r="RM124" s="14" t="n">
        <x:v>5</x:v>
      </x:c>
      <x:c r="RN124" s="14" t="n">
        <x:v>3951</x:v>
      </x:c>
      <x:c r="RO124" s="14" t="n">
        <x:v>406</x:v>
      </x:c>
      <x:c r="RP124" s="14" t="n">
        <x:v>6</x:v>
      </x:c>
      <x:c r="RQ124" s="14" t="n">
        <x:v>2</x:v>
      </x:c>
      <x:c r="RR124" s="14" t="str">
        <x:v>未收錄</x:v>
      </x:c>
      <x:c r="RS124" s="14" t="str">
        <x:v>31261</x:v>
      </x:c>
      <x:c r="RT124" s="14" t="n">
        <x:v>5</x:v>
      </x:c>
      <x:c r="RU124" s="14" t="n">
        <x:v>3952</x:v>
      </x:c>
      <x:c r="RV124" s="14" t="n">
        <x:v>407</x:v>
      </x:c>
      <x:c r="RW124" s="14" t="n">
        <x:v>6</x:v>
      </x:c>
      <x:c r="RX124" s="14" t="n">
        <x:v>3</x:v>
      </x:c>
      <x:c r="RY124" s="14" t="str">
        <x:v>未收錄</x:v>
      </x:c>
      <x:c r="RZ124" s="14" t="str">
        <x:v>31266</x:v>
      </x:c>
      <x:c r="SA124" s="14" t="n">
        <x:v>5</x:v>
      </x:c>
      <x:c r="SB124" s="14" t="n">
        <x:v>3953</x:v>
      </x:c>
      <x:c r="SC124" s="14" t="n">
        <x:v>408</x:v>
      </x:c>
      <x:c r="SD124" s="14" t="n">
        <x:v>6</x:v>
      </x:c>
      <x:c r="SE124" s="14" t="n">
        <x:v>4</x:v>
      </x:c>
      <x:c r="SF124" s="14" t="str">
        <x:v>未收錄</x:v>
      </x:c>
      <x:c r="SG124" s="14"/>
      <x:c r="SH124" s="14"/>
      <x:c r="SI124" s="14"/>
      <x:c r="SJ124" s="14"/>
      <x:c r="SK124" s="14"/>
      <x:c r="SL124" s="14"/>
      <x:c r="SM124" s="14"/>
      <x:c r="SN124" s="14"/>
      <x:c r="SO124" s="14"/>
      <x:c r="SP124" s="14"/>
      <x:c r="SQ124" s="14"/>
      <x:c r="SR124" s="14"/>
      <x:c r="SS124" s="14"/>
      <x:c r="ST124" s="14"/>
      <x:c r="SU124" s="14"/>
      <x:c r="SV124" s="14"/>
      <x:c r="SW124" s="14"/>
      <x:c r="SX124" s="14"/>
      <x:c r="SY124" s="14"/>
      <x:c r="SZ124" s="14"/>
      <x:c r="TA124" s="14"/>
      <x:c r="TB124" s="14"/>
      <x:c r="TC124" s="14"/>
      <x:c r="TD124" s="14"/>
      <x:c r="TE124" s="14"/>
      <x:c r="TF124" s="14"/>
      <x:c r="TG124" s="14"/>
      <x:c r="TH124" s="14"/>
    </x:row>
    <x:row r="125" ht="15" customHeight="1">
      <x:c r="A125" s="14"/>
      <x:c r="B125" s="14"/>
      <x:c r="C125" s="14"/>
      <x:c r="D125" s="14"/>
      <x:c r="E125" s="14"/>
      <x:c r="F125" s="14"/>
      <x:c r="G125" s="14"/>
      <x:c r="H125" s="14"/>
      <x:c r="I125" s="14"/>
      <x:c r="J125" s="14"/>
      <x:c r="K125" s="14"/>
      <x:c r="L125" s="14"/>
      <x:c r="M125" s="14"/>
      <x:c r="N125" s="14"/>
      <x:c r="O125" s="14"/>
      <x:c r="P125" s="14"/>
      <x:c r="Q125" s="14"/>
      <x:c r="R125" s="14"/>
      <x:c r="S125" s="14"/>
      <x:c r="T125" s="14"/>
      <x:c r="U125" s="14"/>
      <x:c r="V125" s="14"/>
      <x:c r="W125" s="14"/>
      <x:c r="X125" s="14"/>
      <x:c r="Y125" s="14"/>
      <x:c r="Z125" s="14"/>
      <x:c r="AA125" s="14"/>
      <x:c r="AB125" s="14"/>
      <x:c r="AC125" s="14"/>
      <x:c r="AD125" s="14"/>
      <x:c r="AE125" s="14"/>
      <x:c r="AF125" s="14"/>
      <x:c r="AG125" s="14"/>
      <x:c r="AH125" s="14"/>
      <x:c r="AI125" s="14"/>
      <x:c r="AJ125" s="14"/>
      <x:c r="AK125" s="14"/>
      <x:c r="AL125" s="14"/>
      <x:c r="AM125" s="14"/>
      <x:c r="AN125" s="14"/>
      <x:c r="AO125" s="14"/>
      <x:c r="AP125" s="14"/>
      <x:c r="AQ125" s="14"/>
      <x:c r="AR125" s="14"/>
      <x:c r="AS125" s="14"/>
      <x:c r="AT125" s="14"/>
      <x:c r="AU125" s="14"/>
      <x:c r="AV125" s="14"/>
      <x:c r="AW125" s="14"/>
      <x:c r="AX125" s="14"/>
      <x:c r="AY125" s="17" t="str">
        <x:v>道清旭綸Ⅴ</x:v>
      </x:c>
      <x:c r="AZ125" s="17" t="str">
        <x:v>禪臺旭笠Ⅴ</x:v>
      </x:c>
      <x:c r="BA125" s="17" t="str">
        <x:v>狂陽輝冕Ⅴ</x:v>
      </x:c>
      <x:c r="BB125" s="17" t="str">
        <x:v>靜月幕巾Ⅴ</x:v>
      </x:c>
      <x:c r="BC125" s="14"/>
      <x:c r="BD125" s="17" t="str">
        <x:v>幻帝裘★</x:v>
      </x:c>
      <x:c r="BE125" s="17" t="str">
        <x:v>道帝袍★</x:v>
      </x:c>
      <x:c r="BF125" s="17" t="str">
        <x:v>禪帝衲★</x:v>
      </x:c>
      <x:c r="BG125" s="17" t="str">
        <x:v>鬼帝鎧★</x:v>
      </x:c>
      <x:c r="BH125" s="14"/>
      <x:c r="BI125" s="17" t="str">
        <x:v>辰道玄袖Ⅱ</x:v>
      </x:c>
      <x:c r="BJ125" s="17" t="str">
        <x:v>寂禪若持Ⅱ</x:v>
      </x:c>
      <x:c r="BK125" s="17" t="str">
        <x:v>騰陽烈釬Ⅱ</x:v>
      </x:c>
      <x:c r="BL125" s="17" t="str">
        <x:v>凜月影束Ⅱ</x:v>
      </x:c>
      <x:c r="BM125" s="14"/>
      <x:c r="BN125" s="17" t="str">
        <x:v>道清旭鞋Ⅳ</x:v>
      </x:c>
      <x:c r="BO125" s="17" t="str">
        <x:v>禪臺旭足Ⅳ</x:v>
      </x:c>
      <x:c r="BP125" s="17" t="str">
        <x:v>狂陽烈蹴Ⅳ</x:v>
      </x:c>
      <x:c r="BQ125" s="17" t="str">
        <x:v>靜月織足Ⅳ</x:v>
      </x:c>
      <x:c r="BR125" s="14"/>
      <x:c r="BS125" s="17" t="str">
        <x:v>諾亞航令Ⅱ</x:v>
      </x:c>
      <x:c r="BT125" s="17" t="str">
        <x:v>誅仙御鐸Ⅱ</x:v>
      </x:c>
      <x:c r="BU125" s="17" t="str">
        <x:v>獨眼慧珠Ⅱ</x:v>
      </x:c>
      <x:c r="BV125" s="17" t="str">
        <x:v>龍之印信Ⅱ</x:v>
      </x:c>
      <x:c r="BW125" s="14"/>
      <x:c r="BX125" s="14"/>
      <x:c r="BY125" s="14"/>
      <x:c r="BZ125" s="14"/>
      <x:c r="CA125" s="14"/>
      <x:c r="CB125" s="14"/>
      <x:c r="CC125" s="14"/>
      <x:c r="CD125" s="14"/>
      <x:c r="CE125" s="14"/>
      <x:c r="CF125" s="14"/>
      <x:c r="CG125" s="14"/>
      <x:c r="CH125" s="14"/>
      <x:c r="CI125" s="14"/>
      <x:c r="CJ125" s="14"/>
      <x:c r="CK125" s="14"/>
      <x:c r="CL125" s="14"/>
      <x:c r="CM125" s="14"/>
      <x:c r="CN125" s="14"/>
      <x:c r="CO125" s="14"/>
      <x:c r="CP125" s="14"/>
      <x:c r="CQ125" s="14"/>
      <x:c r="CR125" s="14"/>
      <x:c r="CS125" s="14"/>
      <x:c r="CT125" s="14"/>
      <x:c r="CU125" s="14"/>
      <x:c r="CV125" s="14"/>
      <x:c r="CW125" s="14"/>
      <x:c r="CX125" s="14"/>
      <x:c r="CY125" s="14"/>
      <x:c r="CZ125" s="14"/>
      <x:c r="DA125" s="14"/>
      <x:c r="DB125" s="14"/>
      <x:c r="DC125" s="14"/>
      <x:c r="DD125" s="14"/>
      <x:c r="DE125" s="14"/>
      <x:c r="DF125" s="14"/>
      <x:c r="DG125" s="14"/>
      <x:c r="DH125" s="14"/>
      <x:c r="DI125" s="14"/>
      <x:c r="DJ125" s="14"/>
      <x:c r="DK125" s="14"/>
      <x:c r="DL125" s="14"/>
      <x:c r="DM125" s="14"/>
      <x:c r="DN125" s="14"/>
      <x:c r="DO125" s="14"/>
      <x:c r="DP125" s="14"/>
      <x:c r="DQ125" s="14"/>
      <x:c r="DR125" s="14"/>
      <x:c r="DS125" s="14"/>
      <x:c r="DT125" s="14"/>
      <x:c r="DU125" s="14"/>
      <x:c r="DV125" s="14"/>
      <x:c r="DW125" s="14"/>
      <x:c r="DX125" s="14"/>
      <x:c r="DY125" s="14"/>
      <x:c r="DZ125" s="14"/>
      <x:c r="EA125" s="14"/>
      <x:c r="EB125" s="14"/>
      <x:c r="EC125" s="14"/>
      <x:c r="ED125" s="14"/>
      <x:c r="EE125" s="14"/>
      <x:c r="EF125" s="14"/>
      <x:c r="EG125" s="14"/>
      <x:c r="EH125" s="14"/>
      <x:c r="EI125" s="14"/>
      <x:c r="EJ125" s="14"/>
      <x:c r="EK125" s="14"/>
      <x:c r="EL125" s="14"/>
      <x:c r="EM125" s="14"/>
      <x:c r="EN125" s="14"/>
      <x:c r="EO125" s="14"/>
      <x:c r="EP125" s="14"/>
      <x:c r="EQ125" s="14"/>
      <x:c r="ER125" s="14"/>
      <x:c r="ES125" s="14"/>
      <x:c r="ET125" s="14"/>
      <x:c r="EU125" s="14"/>
      <x:c r="EV125" s="14"/>
      <x:c r="EW125" s="14"/>
      <x:c r="EX125" s="14"/>
      <x:c r="EY125" s="14"/>
      <x:c r="EZ125" s="14"/>
      <x:c r="FA125" s="14"/>
      <x:c r="FB125" s="14"/>
      <x:c r="FC125" s="14"/>
      <x:c r="FD125" s="14"/>
      <x:c r="FE125" s="14"/>
      <x:c r="FF125" s="14"/>
      <x:c r="FG125" s="14"/>
      <x:c r="FH125" s="14"/>
      <x:c r="FI125" s="14"/>
      <x:c r="FJ125" s="14"/>
      <x:c r="FK125" s="14"/>
      <x:c r="FL125" s="14"/>
      <x:c r="FM125" s="14"/>
      <x:c r="FN125" s="14"/>
      <x:c r="FO125" s="14"/>
      <x:c r="FP125" s="14"/>
      <x:c r="FQ125" s="14"/>
      <x:c r="FR125" s="14"/>
      <x:c r="FS125" s="14"/>
      <x:c r="FT125" s="14"/>
      <x:c r="FU125" s="14"/>
      <x:c r="FV125" s="14"/>
      <x:c r="FW125" s="14"/>
      <x:c r="FX125" s="14"/>
      <x:c r="FY125" s="14"/>
      <x:c r="FZ125" s="14"/>
      <x:c r="GA125" s="14"/>
      <x:c r="GB125" s="14"/>
      <x:c r="GC125" s="14"/>
      <x:c r="GD125" s="14"/>
      <x:c r="GE125" s="14"/>
      <x:c r="GF125" s="14"/>
      <x:c r="GG125" s="14"/>
      <x:c r="GH125" s="14"/>
      <x:c r="GI125" s="14"/>
      <x:c r="GJ125" s="14"/>
      <x:c r="GK125" s="14"/>
      <x:c r="GL125" s="14"/>
      <x:c r="GM125" s="14"/>
      <x:c r="GN125" s="14"/>
      <x:c r="GO125" s="14"/>
      <x:c r="GP125" s="14"/>
      <x:c r="GQ125" s="14"/>
      <x:c r="GR125" s="14"/>
      <x:c r="GS125" s="14"/>
      <x:c r="GT125" s="14"/>
      <x:c r="GU125" s="14"/>
      <x:c r="GV125" s="14"/>
      <x:c r="GW125" s="14"/>
      <x:c r="GX125" s="14"/>
      <x:c r="GY125" s="14"/>
      <x:c r="GZ125" s="14"/>
      <x:c r="HA125" s="14"/>
      <x:c r="HB125" s="14"/>
      <x:c r="HC125" s="14"/>
      <x:c r="HD125" s="14"/>
      <x:c r="HE125" s="14"/>
      <x:c r="HF125" s="14"/>
      <x:c r="HG125" s="14"/>
      <x:c r="HH125" s="14"/>
      <x:c r="HI125" s="14"/>
      <x:c r="HJ125" s="14"/>
      <x:c r="HK125" s="14"/>
      <x:c r="HL125" s="14"/>
      <x:c r="HM125" s="14"/>
      <x:c r="HN125" s="14"/>
      <x:c r="HO125" s="14"/>
      <x:c r="HP125" s="14"/>
      <x:c r="HQ125" s="14"/>
      <x:c r="HR125" s="14"/>
      <x:c r="HS125" s="14"/>
      <x:c r="HT125" s="14"/>
      <x:c r="HU125" s="14"/>
      <x:c r="HV125" s="14"/>
      <x:c r="HW125" s="14"/>
      <x:c r="HX125" s="14"/>
      <x:c r="HY125" s="14"/>
      <x:c r="HZ125" s="14"/>
      <x:c r="IA125" s="14"/>
      <x:c r="IB125" s="14"/>
      <x:c r="IC125" s="14"/>
      <x:c r="ID125" s="14"/>
      <x:c r="IE125" s="14"/>
      <x:c r="IF125" s="14"/>
      <x:c r="IG125" s="14"/>
      <x:c r="IH125" s="14"/>
      <x:c r="II125" s="14"/>
      <x:c r="IJ125" s="14"/>
      <x:c r="IK125" s="14"/>
      <x:c r="IL125" s="14"/>
      <x:c r="IM125" s="14"/>
      <x:c r="IN125" s="14"/>
      <x:c r="IO125" s="14"/>
      <x:c r="IP125" s="14"/>
      <x:c r="IQ125" s="14"/>
      <x:c r="IR125" s="14"/>
      <x:c r="IS125" s="14"/>
      <x:c r="IT125" s="14"/>
      <x:c r="IU125" s="14"/>
      <x:c r="IV125" s="14"/>
      <x:c r="IW125" s="14"/>
      <x:c r="IX125" s="14"/>
      <x:c r="IY125" s="14"/>
      <x:c r="IZ125" s="14"/>
      <x:c r="JA125" s="14"/>
      <x:c r="JB125" s="14"/>
      <x:c r="JC125" s="14"/>
      <x:c r="JD125" s="14"/>
      <x:c r="JE125" s="14"/>
      <x:c r="JF125" s="14"/>
      <x:c r="JG125" s="14"/>
      <x:c r="JH125" s="14"/>
      <x:c r="JI125" s="14"/>
      <x:c r="JJ125" s="14"/>
      <x:c r="JK125" s="14"/>
      <x:c r="JL125" s="14"/>
      <x:c r="JM125" s="14"/>
      <x:c r="JN125" s="14"/>
      <x:c r="JO125" s="14"/>
      <x:c r="JP125" s="14"/>
      <x:c r="JQ125" s="14"/>
      <x:c r="JR125" s="14"/>
      <x:c r="JS125" s="14"/>
      <x:c r="JT125" s="14"/>
      <x:c r="JU125" s="14"/>
      <x:c r="JV125" s="14"/>
      <x:c r="JW125" s="14"/>
      <x:c r="JX125" s="14"/>
      <x:c r="JY125" s="14"/>
      <x:c r="JZ125" s="14"/>
      <x:c r="KA125" s="14"/>
      <x:c r="KB125" s="14"/>
      <x:c r="KC125" s="14"/>
      <x:c r="KD125" s="14"/>
      <x:c r="KE125" s="14"/>
      <x:c r="KF125" s="14"/>
      <x:c r="KG125" s="14"/>
      <x:c r="KH125" s="14"/>
      <x:c r="KI125" s="14"/>
      <x:c r="KJ125" s="14"/>
      <x:c r="KK125" s="14"/>
      <x:c r="KL125" s="14"/>
      <x:c r="KM125" s="14"/>
      <x:c r="KN125" s="14"/>
      <x:c r="KO125" s="14"/>
      <x:c r="KP125" s="14"/>
      <x:c r="KQ125" s="14"/>
      <x:c r="KR125" s="14"/>
      <x:c r="KS125" s="14"/>
      <x:c r="KT125" s="14"/>
      <x:c r="KU125" s="14"/>
      <x:c r="KV125" s="14"/>
      <x:c r="KW125" s="14"/>
      <x:c r="KX125" s="14"/>
      <x:c r="KY125" s="14"/>
      <x:c r="KZ125" s="14"/>
      <x:c r="LA125" s="14"/>
      <x:c r="LB125" s="14"/>
      <x:c r="LC125" s="14"/>
      <x:c r="LD125" s="14"/>
      <x:c r="LE125" s="14"/>
      <x:c r="LF125" s="14"/>
      <x:c r="LG125" s="14"/>
      <x:c r="LH125" s="14"/>
      <x:c r="LI125" s="14"/>
      <x:c r="LJ125" s="14"/>
      <x:c r="LK125" s="14"/>
      <x:c r="LL125" s="14"/>
      <x:c r="LM125" s="14"/>
      <x:c r="LN125" s="14"/>
      <x:c r="LO125" s="14"/>
      <x:c r="LP125" s="14"/>
      <x:c r="LQ125" s="14"/>
      <x:c r="LR125" s="14"/>
      <x:c r="LS125" s="14"/>
      <x:c r="LT125" s="14"/>
      <x:c r="LU125" s="14"/>
      <x:c r="LV125" s="14"/>
      <x:c r="LW125" s="14"/>
      <x:c r="LX125" s="14"/>
      <x:c r="LY125" s="14"/>
      <x:c r="LZ125" s="14"/>
      <x:c r="MA125" s="14"/>
      <x:c r="MB125" s="14"/>
      <x:c r="MC125" s="14"/>
      <x:c r="MD125" s="14"/>
      <x:c r="ME125" s="14"/>
      <x:c r="MF125" s="14"/>
      <x:c r="MG125" s="14"/>
      <x:c r="MH125" s="14"/>
      <x:c r="MI125" s="14"/>
      <x:c r="MJ125" s="14"/>
      <x:c r="MK125" s="14"/>
      <x:c r="ML125" s="14"/>
      <x:c r="MM125" s="14"/>
      <x:c r="MN125" s="14"/>
      <x:c r="MO125" s="14"/>
      <x:c r="MP125" s="14"/>
      <x:c r="MQ125" s="14"/>
      <x:c r="MR125" s="14"/>
      <x:c r="MS125" s="14"/>
      <x:c r="MT125" s="14"/>
      <x:c r="MU125" s="14"/>
      <x:c r="MV125" s="14"/>
      <x:c r="MW125" s="14" t="str">
        <x:v>30270</x:v>
      </x:c>
      <x:c r="MX125" s="14" t="n">
        <x:v>5</x:v>
      </x:c>
      <x:c r="MY125" s="14" t="n">
        <x:v>2057</x:v>
      </x:c>
      <x:c r="MZ125" s="14" t="n">
        <x:v>409</x:v>
      </x:c>
      <x:c r="NA125" s="14" t="n">
        <x:v>7</x:v>
      </x:c>
      <x:c r="NB125" s="14" t="n">
        <x:v>1</x:v>
      </x:c>
      <x:c r="NC125" s="14" t="str">
        <x:v>未收錄</x:v>
      </x:c>
      <x:c r="ND125" s="14" t="str">
        <x:v>30275</x:v>
      </x:c>
      <x:c r="NE125" s="14" t="n">
        <x:v>5</x:v>
      </x:c>
      <x:c r="NF125" s="14" t="n">
        <x:v>2058</x:v>
      </x:c>
      <x:c r="NG125" s="14" t="n">
        <x:v>410</x:v>
      </x:c>
      <x:c r="NH125" s="14" t="n">
        <x:v>7</x:v>
      </x:c>
      <x:c r="NI125" s="14" t="n">
        <x:v>2</x:v>
      </x:c>
      <x:c r="NJ125" s="14" t="str">
        <x:v>未收錄</x:v>
      </x:c>
      <x:c r="NK125" s="14" t="str">
        <x:v>30375</x:v>
      </x:c>
      <x:c r="NL125" s="14" t="n">
        <x:v>10</x:v>
      </x:c>
      <x:c r="NM125" s="14" t="n">
        <x:v>2059</x:v>
      </x:c>
      <x:c r="NN125" s="14" t="n">
        <x:v>411</x:v>
      </x:c>
      <x:c r="NO125" s="14" t="n">
        <x:v>7</x:v>
      </x:c>
      <x:c r="NP125" s="14" t="n">
        <x:v>3</x:v>
      </x:c>
      <x:c r="NQ125" s="14" t="str">
        <x:v>未收錄</x:v>
      </x:c>
      <x:c r="NR125" s="14" t="str">
        <x:v>30395</x:v>
      </x:c>
      <x:c r="NS125" s="14" t="n">
        <x:v>10</x:v>
      </x:c>
      <x:c r="NT125" s="14" t="n">
        <x:v>2060</x:v>
      </x:c>
      <x:c r="NU125" s="14" t="n">
        <x:v>412</x:v>
      </x:c>
      <x:c r="NV125" s="14" t="n">
        <x:v>7</x:v>
      </x:c>
      <x:c r="NW125" s="14" t="n">
        <x:v>4</x:v>
      </x:c>
      <x:c r="NX125" s="14" t="str">
        <x:v>未收錄</x:v>
      </x:c>
      <x:c r="NY125" s="14" t="str">
        <x:v>29446</x:v>
      </x:c>
      <x:c r="NZ125" s="14" t="n">
        <x:v>5</x:v>
      </x:c>
      <x:c r="OA125" s="14" t="n">
        <x:v>2510</x:v>
      </x:c>
      <x:c r="OB125" s="14" t="n">
        <x:v>409</x:v>
      </x:c>
      <x:c r="OC125" s="14" t="n">
        <x:v>7</x:v>
      </x:c>
      <x:c r="OD125" s="14" t="n">
        <x:v>1</x:v>
      </x:c>
      <x:c r="OE125" s="14" t="str">
        <x:v>未收錄</x:v>
      </x:c>
      <x:c r="OF125" s="14" t="str">
        <x:v>29452</x:v>
      </x:c>
      <x:c r="OG125" s="14" t="n">
        <x:v>5</x:v>
      </x:c>
      <x:c r="OH125" s="14" t="n">
        <x:v>2511</x:v>
      </x:c>
      <x:c r="OI125" s="14" t="n">
        <x:v>410</x:v>
      </x:c>
      <x:c r="OJ125" s="14" t="n">
        <x:v>7</x:v>
      </x:c>
      <x:c r="OK125" s="14" t="n">
        <x:v>2</x:v>
      </x:c>
      <x:c r="OL125" s="14" t="str">
        <x:v>未收錄</x:v>
      </x:c>
      <x:c r="OM125" s="14" t="str">
        <x:v>29458</x:v>
      </x:c>
      <x:c r="ON125" s="14" t="n">
        <x:v>5</x:v>
      </x:c>
      <x:c r="OO125" s="14" t="n">
        <x:v>2512</x:v>
      </x:c>
      <x:c r="OP125" s="14" t="n">
        <x:v>411</x:v>
      </x:c>
      <x:c r="OQ125" s="14" t="n">
        <x:v>7</x:v>
      </x:c>
      <x:c r="OR125" s="14" t="n">
        <x:v>3</x:v>
      </x:c>
      <x:c r="OS125" s="14" t="str">
        <x:v>未收錄</x:v>
      </x:c>
      <x:c r="OT125" s="14" t="str">
        <x:v>29554</x:v>
      </x:c>
      <x:c r="OU125" s="14" t="n">
        <x:v>10</x:v>
      </x:c>
      <x:c r="OV125" s="14" t="n">
        <x:v>2513</x:v>
      </x:c>
      <x:c r="OW125" s="14" t="n">
        <x:v>412</x:v>
      </x:c>
      <x:c r="OX125" s="14" t="n">
        <x:v>7</x:v>
      </x:c>
      <x:c r="OY125" s="14" t="n">
        <x:v>4</x:v>
      </x:c>
      <x:c r="OZ125" s="14" t="str">
        <x:v>未收錄</x:v>
      </x:c>
      <x:c r="PA125" s="14" t="str">
        <x:v>31217</x:v>
      </x:c>
      <x:c r="PB125" s="14" t="n">
        <x:v>5</x:v>
      </x:c>
      <x:c r="PC125" s="14" t="n">
        <x:v>3056</x:v>
      </x:c>
      <x:c r="PD125" s="14" t="n">
        <x:v>409</x:v>
      </x:c>
      <x:c r="PE125" s="14" t="n">
        <x:v>7</x:v>
      </x:c>
      <x:c r="PF125" s="14" t="n">
        <x:v>1</x:v>
      </x:c>
      <x:c r="PG125" s="14" t="str">
        <x:v>未收錄</x:v>
      </x:c>
      <x:c r="PH125" s="14" t="str">
        <x:v>31222</x:v>
      </x:c>
      <x:c r="PI125" s="14" t="n">
        <x:v>5</x:v>
      </x:c>
      <x:c r="PJ125" s="14" t="n">
        <x:v>3057</x:v>
      </x:c>
      <x:c r="PK125" s="14" t="n">
        <x:v>410</x:v>
      </x:c>
      <x:c r="PL125" s="14" t="n">
        <x:v>7</x:v>
      </x:c>
      <x:c r="PM125" s="14" t="n">
        <x:v>2</x:v>
      </x:c>
      <x:c r="PN125" s="14" t="str">
        <x:v>未收錄</x:v>
      </x:c>
      <x:c r="PO125" s="14" t="str">
        <x:v>31282</x:v>
      </x:c>
      <x:c r="PP125" s="14" t="n">
        <x:v>10</x:v>
      </x:c>
      <x:c r="PQ125" s="14" t="n">
        <x:v>3058</x:v>
      </x:c>
      <x:c r="PR125" s="14" t="n">
        <x:v>411</x:v>
      </x:c>
      <x:c r="PS125" s="14" t="n">
        <x:v>7</x:v>
      </x:c>
      <x:c r="PT125" s="14" t="n">
        <x:v>3</x:v>
      </x:c>
      <x:c r="PU125" s="14" t="str">
        <x:v>未收錄</x:v>
      </x:c>
      <x:c r="PV125" s="14" t="str">
        <x:v>31302</x:v>
      </x:c>
      <x:c r="PW125" s="14" t="n">
        <x:v>10</x:v>
      </x:c>
      <x:c r="PX125" s="14" t="n">
        <x:v>3059</x:v>
      </x:c>
      <x:c r="PY125" s="14" t="n">
        <x:v>412</x:v>
      </x:c>
      <x:c r="PZ125" s="14" t="n">
        <x:v>7</x:v>
      </x:c>
      <x:c r="QA125" s="14" t="n">
        <x:v>4</x:v>
      </x:c>
      <x:c r="QB125" s="14" t="str">
        <x:v>未收錄</x:v>
      </x:c>
      <x:c r="QC125" s="14" t="str">
        <x:v>30344</x:v>
      </x:c>
      <x:c r="QD125" s="14" t="n">
        <x:v>5</x:v>
      </x:c>
      <x:c r="QE125" s="14" t="n">
        <x:v>3493</x:v>
      </x:c>
      <x:c r="QF125" s="14" t="n">
        <x:v>409</x:v>
      </x:c>
      <x:c r="QG125" s="14" t="n">
        <x:v>7</x:v>
      </x:c>
      <x:c r="QH125" s="14" t="n">
        <x:v>1</x:v>
      </x:c>
      <x:c r="QI125" s="14" t="str">
        <x:v>未收錄</x:v>
      </x:c>
      <x:c r="QJ125" s="14" t="str">
        <x:v>30349</x:v>
      </x:c>
      <x:c r="QK125" s="14" t="n">
        <x:v>5</x:v>
      </x:c>
      <x:c r="QL125" s="14" t="n">
        <x:v>3494</x:v>
      </x:c>
      <x:c r="QM125" s="14" t="n">
        <x:v>410</x:v>
      </x:c>
      <x:c r="QN125" s="14" t="n">
        <x:v>7</x:v>
      </x:c>
      <x:c r="QO125" s="14" t="n">
        <x:v>2</x:v>
      </x:c>
      <x:c r="QP125" s="14" t="str">
        <x:v>未收錄</x:v>
      </x:c>
      <x:c r="QQ125" s="14" t="str">
        <x:v>30389</x:v>
      </x:c>
      <x:c r="QR125" s="14" t="n">
        <x:v>10</x:v>
      </x:c>
      <x:c r="QS125" s="14" t="n">
        <x:v>3495</x:v>
      </x:c>
      <x:c r="QT125" s="14" t="n">
        <x:v>411</x:v>
      </x:c>
      <x:c r="QU125" s="14" t="n">
        <x:v>7</x:v>
      </x:c>
      <x:c r="QV125" s="14" t="n">
        <x:v>3</x:v>
      </x:c>
      <x:c r="QW125" s="14" t="str">
        <x:v>未收錄</x:v>
      </x:c>
      <x:c r="QX125" s="14" t="str">
        <x:v>30409</x:v>
      </x:c>
      <x:c r="QY125" s="14" t="n">
        <x:v>10</x:v>
      </x:c>
      <x:c r="QZ125" s="14" t="n">
        <x:v>3496</x:v>
      </x:c>
      <x:c r="RA125" s="14" t="n">
        <x:v>412</x:v>
      </x:c>
      <x:c r="RB125" s="14" t="n">
        <x:v>7</x:v>
      </x:c>
      <x:c r="RC125" s="14" t="n">
        <x:v>4</x:v>
      </x:c>
      <x:c r="RD125" s="14" t="str">
        <x:v>未收錄</x:v>
      </x:c>
      <x:c r="RE125" s="14" t="str">
        <x:v>31252</x:v>
      </x:c>
      <x:c r="RF125" s="14" t="n">
        <x:v>5</x:v>
      </x:c>
      <x:c r="RG125" s="14" t="n">
        <x:v>3954</x:v>
      </x:c>
      <x:c r="RH125" s="14" t="n">
        <x:v>409</x:v>
      </x:c>
      <x:c r="RI125" s="14" t="n">
        <x:v>7</x:v>
      </x:c>
      <x:c r="RJ125" s="14" t="n">
        <x:v>1</x:v>
      </x:c>
      <x:c r="RK125" s="14" t="str">
        <x:v>未收錄</x:v>
      </x:c>
      <x:c r="RL125" s="14" t="str">
        <x:v>31257</x:v>
      </x:c>
      <x:c r="RM125" s="14" t="n">
        <x:v>5</x:v>
      </x:c>
      <x:c r="RN125" s="14" t="n">
        <x:v>3955</x:v>
      </x:c>
      <x:c r="RO125" s="14" t="n">
        <x:v>410</x:v>
      </x:c>
      <x:c r="RP125" s="14" t="n">
        <x:v>7</x:v>
      </x:c>
      <x:c r="RQ125" s="14" t="n">
        <x:v>2</x:v>
      </x:c>
      <x:c r="RR125" s="14" t="str">
        <x:v>未收錄</x:v>
      </x:c>
      <x:c r="RS125" s="14" t="str">
        <x:v>31262</x:v>
      </x:c>
      <x:c r="RT125" s="14" t="n">
        <x:v>5</x:v>
      </x:c>
      <x:c r="RU125" s="14" t="n">
        <x:v>3956</x:v>
      </x:c>
      <x:c r="RV125" s="14" t="n">
        <x:v>411</x:v>
      </x:c>
      <x:c r="RW125" s="14" t="n">
        <x:v>7</x:v>
      </x:c>
      <x:c r="RX125" s="14" t="n">
        <x:v>3</x:v>
      </x:c>
      <x:c r="RY125" s="14" t="str">
        <x:v>未收錄</x:v>
      </x:c>
      <x:c r="RZ125" s="14" t="str">
        <x:v>31267</x:v>
      </x:c>
      <x:c r="SA125" s="14" t="n">
        <x:v>5</x:v>
      </x:c>
      <x:c r="SB125" s="14" t="n">
        <x:v>3957</x:v>
      </x:c>
      <x:c r="SC125" s="14" t="n">
        <x:v>412</x:v>
      </x:c>
      <x:c r="SD125" s="14" t="n">
        <x:v>7</x:v>
      </x:c>
      <x:c r="SE125" s="14" t="n">
        <x:v>4</x:v>
      </x:c>
      <x:c r="SF125" s="14" t="str">
        <x:v>未收錄</x:v>
      </x:c>
      <x:c r="SG125" s="14"/>
      <x:c r="SH125" s="14"/>
      <x:c r="SI125" s="14"/>
      <x:c r="SJ125" s="14"/>
      <x:c r="SK125" s="14"/>
      <x:c r="SL125" s="14"/>
      <x:c r="SM125" s="14"/>
      <x:c r="SN125" s="14"/>
      <x:c r="SO125" s="14"/>
      <x:c r="SP125" s="14"/>
      <x:c r="SQ125" s="14"/>
      <x:c r="SR125" s="14"/>
      <x:c r="SS125" s="14"/>
      <x:c r="ST125" s="14"/>
      <x:c r="SU125" s="14"/>
      <x:c r="SV125" s="14"/>
      <x:c r="SW125" s="14"/>
      <x:c r="SX125" s="14"/>
      <x:c r="SY125" s="14"/>
      <x:c r="SZ125" s="14"/>
      <x:c r="TA125" s="14"/>
      <x:c r="TB125" s="14"/>
      <x:c r="TC125" s="14"/>
      <x:c r="TD125" s="14"/>
      <x:c r="TE125" s="14"/>
      <x:c r="TF125" s="14"/>
      <x:c r="TG125" s="14"/>
      <x:c r="TH125" s="14"/>
    </x:row>
    <x:row r="126" ht="15" customHeight="1">
      <x:c r="A126" s="14"/>
      <x:c r="B126" s="14"/>
      <x:c r="C126" s="14"/>
      <x:c r="D126" s="14"/>
      <x:c r="E126" s="14"/>
      <x:c r="F126" s="14"/>
      <x:c r="G126" s="14"/>
      <x:c r="H126" s="14"/>
      <x:c r="I126" s="14"/>
      <x:c r="J126" s="14"/>
      <x:c r="K126" s="14"/>
      <x:c r="L126" s="14"/>
      <x:c r="M126" s="14"/>
      <x:c r="N126" s="14"/>
      <x:c r="O126" s="14"/>
      <x:c r="P126" s="14"/>
      <x:c r="Q126" s="14"/>
      <x:c r="R126" s="14"/>
      <x:c r="S126" s="14"/>
      <x:c r="T126" s="14"/>
      <x:c r="U126" s="14"/>
      <x:c r="V126" s="14"/>
      <x:c r="W126" s="14"/>
      <x:c r="X126" s="14"/>
      <x:c r="Y126" s="14"/>
      <x:c r="Z126" s="14"/>
      <x:c r="AA126" s="14"/>
      <x:c r="AB126" s="14"/>
      <x:c r="AC126" s="14"/>
      <x:c r="AD126" s="14"/>
      <x:c r="AE126" s="14"/>
      <x:c r="AF126" s="14"/>
      <x:c r="AG126" s="14"/>
      <x:c r="AH126" s="14"/>
      <x:c r="AI126" s="14"/>
      <x:c r="AJ126" s="14"/>
      <x:c r="AK126" s="14"/>
      <x:c r="AL126" s="14"/>
      <x:c r="AM126" s="14"/>
      <x:c r="AN126" s="14"/>
      <x:c r="AO126" s="14"/>
      <x:c r="AP126" s="14"/>
      <x:c r="AQ126" s="14"/>
      <x:c r="AR126" s="14"/>
      <x:c r="AS126" s="14"/>
      <x:c r="AT126" s="14"/>
      <x:c r="AU126" s="14"/>
      <x:c r="AV126" s="14"/>
      <x:c r="AW126" s="14"/>
      <x:c r="AX126" s="14"/>
      <x:c r="AY126" s="18" t="str">
        <x:v>宿星銀兜Ⅴ</x:v>
      </x:c>
      <x:c r="AZ126" s="18" t="str">
        <x:v>宇鋒颺頂Ⅰ</x:v>
      </x:c>
      <x:c r="BA126" s="18" t="str">
        <x:v>天衛宙盔Ⅰ</x:v>
      </x:c>
      <x:c r="BB126" s="18" t="str">
        <x:v>光術覆面Ⅰ</x:v>
      </x:c>
      <x:c r="BC126" s="14"/>
      <x:c r="BD126" s="18" t="str">
        <x:v>黃天衣★</x:v>
      </x:c>
      <x:c r="BE126" s="18" t="str">
        <x:v>皇影甲★</x:v>
      </x:c>
      <x:c r="BF126" s="18" t="str">
        <x:v>神無袈★</x:v>
      </x:c>
      <x:c r="BG126" s="18" t="str">
        <x:v>劍帝服★☆</x:v>
      </x:c>
      <x:c r="BH126" s="14"/>
      <x:c r="BI126" s="18" t="str">
        <x:v>舞星鎢掌Ⅱ</x:v>
      </x:c>
      <x:c r="BJ126" s="18" t="str">
        <x:v>宇鋒飄腕Ⅲ</x:v>
      </x:c>
      <x:c r="BK126" s="18" t="str">
        <x:v>天衛宙臂Ⅲ</x:v>
      </x:c>
      <x:c r="BL126" s="18" t="str">
        <x:v>光術快手Ⅲ</x:v>
      </x:c>
      <x:c r="BM126" s="14"/>
      <x:c r="BN126" s="18" t="str">
        <x:v>宿星閃靴Ⅳ</x:v>
      </x:c>
      <x:c r="BO126" s="18" t="str">
        <x:v>劍豪旭靴Ⅴ</x:v>
      </x:c>
      <x:c r="BP126" s="18" t="str">
        <x:v>勇將旭立Ⅴ</x:v>
      </x:c>
      <x:c r="BQ126" s="18" t="str">
        <x:v>術凌旭步Ⅴ</x:v>
      </x:c>
      <x:c r="BR126" s="14"/>
      <x:c r="BS126" s="18" t="str">
        <x:v>諾亞航令Ⅲ</x:v>
      </x:c>
      <x:c r="BT126" s="18" t="str">
        <x:v>誅仙御鐸Ⅲ</x:v>
      </x:c>
      <x:c r="BU126" s="18" t="str">
        <x:v>獨眼慧珠Ⅲ</x:v>
      </x:c>
      <x:c r="BV126" s="18" t="str">
        <x:v>龍之印信Ⅲ</x:v>
      </x:c>
      <x:c r="BW126" s="14"/>
      <x:c r="BX126" s="14"/>
      <x:c r="BY126" s="14"/>
      <x:c r="BZ126" s="14"/>
      <x:c r="CA126" s="14"/>
      <x:c r="CB126" s="14"/>
      <x:c r="CC126" s="14"/>
      <x:c r="CD126" s="14"/>
      <x:c r="CE126" s="14"/>
      <x:c r="CF126" s="14"/>
      <x:c r="CG126" s="14"/>
      <x:c r="CH126" s="14"/>
      <x:c r="CI126" s="14"/>
      <x:c r="CJ126" s="14"/>
      <x:c r="CK126" s="14"/>
      <x:c r="CL126" s="14"/>
      <x:c r="CM126" s="14"/>
      <x:c r="CN126" s="14"/>
      <x:c r="CO126" s="14"/>
      <x:c r="CP126" s="14"/>
      <x:c r="CQ126" s="14"/>
      <x:c r="CR126" s="14"/>
      <x:c r="CS126" s="14"/>
      <x:c r="CT126" s="14"/>
      <x:c r="CU126" s="14"/>
      <x:c r="CV126" s="14"/>
      <x:c r="CW126" s="14"/>
      <x:c r="CX126" s="14"/>
      <x:c r="CY126" s="14"/>
      <x:c r="CZ126" s="14"/>
      <x:c r="DA126" s="14"/>
      <x:c r="DB126" s="14"/>
      <x:c r="DC126" s="14"/>
      <x:c r="DD126" s="14"/>
      <x:c r="DE126" s="14"/>
      <x:c r="DF126" s="14"/>
      <x:c r="DG126" s="14"/>
      <x:c r="DH126" s="14"/>
      <x:c r="DI126" s="14"/>
      <x:c r="DJ126" s="14"/>
      <x:c r="DK126" s="14"/>
      <x:c r="DL126" s="14"/>
      <x:c r="DM126" s="14"/>
      <x:c r="DN126" s="14"/>
      <x:c r="DO126" s="14"/>
      <x:c r="DP126" s="14"/>
      <x:c r="DQ126" s="14"/>
      <x:c r="DR126" s="14"/>
      <x:c r="DS126" s="14"/>
      <x:c r="DT126" s="14"/>
      <x:c r="DU126" s="14"/>
      <x:c r="DV126" s="14"/>
      <x:c r="DW126" s="14"/>
      <x:c r="DX126" s="14"/>
      <x:c r="DY126" s="14"/>
      <x:c r="DZ126" s="14"/>
      <x:c r="EA126" s="14"/>
      <x:c r="EB126" s="14"/>
      <x:c r="EC126" s="14"/>
      <x:c r="ED126" s="14"/>
      <x:c r="EE126" s="14"/>
      <x:c r="EF126" s="14"/>
      <x:c r="EG126" s="14"/>
      <x:c r="EH126" s="14"/>
      <x:c r="EI126" s="14"/>
      <x:c r="EJ126" s="14"/>
      <x:c r="EK126" s="14"/>
      <x:c r="EL126" s="14"/>
      <x:c r="EM126" s="14"/>
      <x:c r="EN126" s="14"/>
      <x:c r="EO126" s="14"/>
      <x:c r="EP126" s="14"/>
      <x:c r="EQ126" s="14"/>
      <x:c r="ER126" s="14"/>
      <x:c r="ES126" s="14"/>
      <x:c r="ET126" s="14"/>
      <x:c r="EU126" s="14"/>
      <x:c r="EV126" s="14"/>
      <x:c r="EW126" s="14"/>
      <x:c r="EX126" s="14"/>
      <x:c r="EY126" s="14"/>
      <x:c r="EZ126" s="14"/>
      <x:c r="FA126" s="14"/>
      <x:c r="FB126" s="14"/>
      <x:c r="FC126" s="14"/>
      <x:c r="FD126" s="14"/>
      <x:c r="FE126" s="14"/>
      <x:c r="FF126" s="14"/>
      <x:c r="FG126" s="14"/>
      <x:c r="FH126" s="14"/>
      <x:c r="FI126" s="14"/>
      <x:c r="FJ126" s="14"/>
      <x:c r="FK126" s="14"/>
      <x:c r="FL126" s="14"/>
      <x:c r="FM126" s="14"/>
      <x:c r="FN126" s="14"/>
      <x:c r="FO126" s="14"/>
      <x:c r="FP126" s="14"/>
      <x:c r="FQ126" s="14"/>
      <x:c r="FR126" s="14"/>
      <x:c r="FS126" s="14"/>
      <x:c r="FT126" s="14"/>
      <x:c r="FU126" s="14"/>
      <x:c r="FV126" s="14"/>
      <x:c r="FW126" s="14"/>
      <x:c r="FX126" s="14"/>
      <x:c r="FY126" s="14"/>
      <x:c r="FZ126" s="14"/>
      <x:c r="GA126" s="14"/>
      <x:c r="GB126" s="14"/>
      <x:c r="GC126" s="14"/>
      <x:c r="GD126" s="14"/>
      <x:c r="GE126" s="14"/>
      <x:c r="GF126" s="14"/>
      <x:c r="GG126" s="14"/>
      <x:c r="GH126" s="14"/>
      <x:c r="GI126" s="14"/>
      <x:c r="GJ126" s="14"/>
      <x:c r="GK126" s="14"/>
      <x:c r="GL126" s="14"/>
      <x:c r="GM126" s="14"/>
      <x:c r="GN126" s="14"/>
      <x:c r="GO126" s="14"/>
      <x:c r="GP126" s="14"/>
      <x:c r="GQ126" s="14"/>
      <x:c r="GR126" s="14"/>
      <x:c r="GS126" s="14"/>
      <x:c r="GT126" s="14"/>
      <x:c r="GU126" s="14"/>
      <x:c r="GV126" s="14"/>
      <x:c r="GW126" s="14"/>
      <x:c r="GX126" s="14"/>
      <x:c r="GY126" s="14"/>
      <x:c r="GZ126" s="14"/>
      <x:c r="HA126" s="14"/>
      <x:c r="HB126" s="14"/>
      <x:c r="HC126" s="14"/>
      <x:c r="HD126" s="14"/>
      <x:c r="HE126" s="14"/>
      <x:c r="HF126" s="14"/>
      <x:c r="HG126" s="14"/>
      <x:c r="HH126" s="14"/>
      <x:c r="HI126" s="14"/>
      <x:c r="HJ126" s="14"/>
      <x:c r="HK126" s="14"/>
      <x:c r="HL126" s="14"/>
      <x:c r="HM126" s="14"/>
      <x:c r="HN126" s="14"/>
      <x:c r="HO126" s="14"/>
      <x:c r="HP126" s="14"/>
      <x:c r="HQ126" s="14"/>
      <x:c r="HR126" s="14"/>
      <x:c r="HS126" s="14"/>
      <x:c r="HT126" s="14"/>
      <x:c r="HU126" s="14"/>
      <x:c r="HV126" s="14"/>
      <x:c r="HW126" s="14"/>
      <x:c r="HX126" s="14"/>
      <x:c r="HY126" s="14"/>
      <x:c r="HZ126" s="14"/>
      <x:c r="IA126" s="14"/>
      <x:c r="IB126" s="14"/>
      <x:c r="IC126" s="14"/>
      <x:c r="ID126" s="14"/>
      <x:c r="IE126" s="14"/>
      <x:c r="IF126" s="14"/>
      <x:c r="IG126" s="14"/>
      <x:c r="IH126" s="14"/>
      <x:c r="II126" s="14"/>
      <x:c r="IJ126" s="14"/>
      <x:c r="IK126" s="14"/>
      <x:c r="IL126" s="14"/>
      <x:c r="IM126" s="14"/>
      <x:c r="IN126" s="14"/>
      <x:c r="IO126" s="14"/>
      <x:c r="IP126" s="14"/>
      <x:c r="IQ126" s="14"/>
      <x:c r="IR126" s="14"/>
      <x:c r="IS126" s="14"/>
      <x:c r="IT126" s="14"/>
      <x:c r="IU126" s="14"/>
      <x:c r="IV126" s="14"/>
      <x:c r="IW126" s="14"/>
      <x:c r="IX126" s="14"/>
      <x:c r="IY126" s="14"/>
      <x:c r="IZ126" s="14"/>
      <x:c r="JA126" s="14"/>
      <x:c r="JB126" s="14"/>
      <x:c r="JC126" s="14"/>
      <x:c r="JD126" s="14"/>
      <x:c r="JE126" s="14"/>
      <x:c r="JF126" s="14"/>
      <x:c r="JG126" s="14"/>
      <x:c r="JH126" s="14"/>
      <x:c r="JI126" s="14"/>
      <x:c r="JJ126" s="14"/>
      <x:c r="JK126" s="14"/>
      <x:c r="JL126" s="14"/>
      <x:c r="JM126" s="14"/>
      <x:c r="JN126" s="14"/>
      <x:c r="JO126" s="14"/>
      <x:c r="JP126" s="14"/>
      <x:c r="JQ126" s="14"/>
      <x:c r="JR126" s="14"/>
      <x:c r="JS126" s="14"/>
      <x:c r="JT126" s="14"/>
      <x:c r="JU126" s="14"/>
      <x:c r="JV126" s="14"/>
      <x:c r="JW126" s="14"/>
      <x:c r="JX126" s="14"/>
      <x:c r="JY126" s="14"/>
      <x:c r="JZ126" s="14"/>
      <x:c r="KA126" s="14"/>
      <x:c r="KB126" s="14"/>
      <x:c r="KC126" s="14"/>
      <x:c r="KD126" s="14"/>
      <x:c r="KE126" s="14"/>
      <x:c r="KF126" s="14"/>
      <x:c r="KG126" s="14"/>
      <x:c r="KH126" s="14"/>
      <x:c r="KI126" s="14"/>
      <x:c r="KJ126" s="14"/>
      <x:c r="KK126" s="14"/>
      <x:c r="KL126" s="14"/>
      <x:c r="KM126" s="14"/>
      <x:c r="KN126" s="14"/>
      <x:c r="KO126" s="14"/>
      <x:c r="KP126" s="14"/>
      <x:c r="KQ126" s="14"/>
      <x:c r="KR126" s="14"/>
      <x:c r="KS126" s="14"/>
      <x:c r="KT126" s="14"/>
      <x:c r="KU126" s="14"/>
      <x:c r="KV126" s="14"/>
      <x:c r="KW126" s="14"/>
      <x:c r="KX126" s="14"/>
      <x:c r="KY126" s="14"/>
      <x:c r="KZ126" s="14"/>
      <x:c r="LA126" s="14"/>
      <x:c r="LB126" s="14"/>
      <x:c r="LC126" s="14"/>
      <x:c r="LD126" s="14"/>
      <x:c r="LE126" s="14"/>
      <x:c r="LF126" s="14"/>
      <x:c r="LG126" s="14"/>
      <x:c r="LH126" s="14"/>
      <x:c r="LI126" s="14"/>
      <x:c r="LJ126" s="14"/>
      <x:c r="LK126" s="14"/>
      <x:c r="LL126" s="14"/>
      <x:c r="LM126" s="14"/>
      <x:c r="LN126" s="14"/>
      <x:c r="LO126" s="14"/>
      <x:c r="LP126" s="14"/>
      <x:c r="LQ126" s="14"/>
      <x:c r="LR126" s="14"/>
      <x:c r="LS126" s="14"/>
      <x:c r="LT126" s="14"/>
      <x:c r="LU126" s="14"/>
      <x:c r="LV126" s="14"/>
      <x:c r="LW126" s="14"/>
      <x:c r="LX126" s="14"/>
      <x:c r="LY126" s="14"/>
      <x:c r="LZ126" s="14"/>
      <x:c r="MA126" s="14"/>
      <x:c r="MB126" s="14"/>
      <x:c r="MC126" s="14"/>
      <x:c r="MD126" s="14"/>
      <x:c r="ME126" s="14"/>
      <x:c r="MF126" s="14"/>
      <x:c r="MG126" s="14"/>
      <x:c r="MH126" s="14"/>
      <x:c r="MI126" s="14"/>
      <x:c r="MJ126" s="14"/>
      <x:c r="MK126" s="14"/>
      <x:c r="ML126" s="14"/>
      <x:c r="MM126" s="14"/>
      <x:c r="MN126" s="14"/>
      <x:c r="MO126" s="14"/>
      <x:c r="MP126" s="14"/>
      <x:c r="MQ126" s="14"/>
      <x:c r="MR126" s="14"/>
      <x:c r="MS126" s="14"/>
      <x:c r="MT126" s="14"/>
      <x:c r="MU126" s="14"/>
      <x:c r="MV126" s="14"/>
      <x:c r="MW126" s="14" t="str">
        <x:v>30415</x:v>
      </x:c>
      <x:c r="MX126" s="14" t="n">
        <x:v>10</x:v>
      </x:c>
      <x:c r="MY126" s="14" t="n">
        <x:v>2061</x:v>
      </x:c>
      <x:c r="MZ126" s="14" t="n">
        <x:v>413</x:v>
      </x:c>
      <x:c r="NA126" s="14" t="n">
        <x:v>8</x:v>
      </x:c>
      <x:c r="NB126" s="14" t="n">
        <x:v>1</x:v>
      </x:c>
      <x:c r="NC126" s="14" t="str">
        <x:v>未收錄</x:v>
      </x:c>
      <x:c r="ND126" s="14" t="str">
        <x:v>31151</x:v>
      </x:c>
      <x:c r="NE126" s="14" t="n">
        <x:v>5</x:v>
      </x:c>
      <x:c r="NF126" s="14" t="n">
        <x:v>2062</x:v>
      </x:c>
      <x:c r="NG126" s="14" t="n">
        <x:v>414</x:v>
      </x:c>
      <x:c r="NH126" s="14" t="n">
        <x:v>8</x:v>
      </x:c>
      <x:c r="NI126" s="14" t="n">
        <x:v>2</x:v>
      </x:c>
      <x:c r="NJ126" s="14" t="str">
        <x:v>未收錄</x:v>
      </x:c>
      <x:c r="NK126" s="14" t="str">
        <x:v>31156</x:v>
      </x:c>
      <x:c r="NL126" s="14" t="n">
        <x:v>5</x:v>
      </x:c>
      <x:c r="NM126" s="14" t="n">
        <x:v>2063</x:v>
      </x:c>
      <x:c r="NN126" s="14" t="n">
        <x:v>415</x:v>
      </x:c>
      <x:c r="NO126" s="14" t="n">
        <x:v>8</x:v>
      </x:c>
      <x:c r="NP126" s="14" t="n">
        <x:v>3</x:v>
      </x:c>
      <x:c r="NQ126" s="14" t="str">
        <x:v>未收錄</x:v>
      </x:c>
      <x:c r="NR126" s="14" t="str">
        <x:v>31161</x:v>
      </x:c>
      <x:c r="NS126" s="14" t="n">
        <x:v>5</x:v>
      </x:c>
      <x:c r="NT126" s="14" t="n">
        <x:v>2064</x:v>
      </x:c>
      <x:c r="NU126" s="14" t="n">
        <x:v>416</x:v>
      </x:c>
      <x:c r="NV126" s="14" t="n">
        <x:v>8</x:v>
      </x:c>
      <x:c r="NW126" s="14" t="n">
        <x:v>4</x:v>
      </x:c>
      <x:c r="NX126" s="14" t="str">
        <x:v>未收錄</x:v>
      </x:c>
      <x:c r="NY126" s="14" t="str">
        <x:v>29578</x:v>
      </x:c>
      <x:c r="NZ126" s="14" t="n">
        <x:v>10</x:v>
      </x:c>
      <x:c r="OA126" s="14" t="n">
        <x:v>2514</x:v>
      </x:c>
      <x:c r="OB126" s="14" t="n">
        <x:v>413</x:v>
      </x:c>
      <x:c r="OC126" s="14" t="n">
        <x:v>8</x:v>
      </x:c>
      <x:c r="OD126" s="14" t="n">
        <x:v>1</x:v>
      </x:c>
      <x:c r="OE126" s="14" t="str">
        <x:v>未收錄</x:v>
      </x:c>
      <x:c r="OF126" s="14" t="str">
        <x:v>29596</x:v>
      </x:c>
      <x:c r="OG126" s="14" t="n">
        <x:v>10</x:v>
      </x:c>
      <x:c r="OH126" s="14" t="n">
        <x:v>2515</x:v>
      </x:c>
      <x:c r="OI126" s="14" t="n">
        <x:v>414</x:v>
      </x:c>
      <x:c r="OJ126" s="14" t="n">
        <x:v>8</x:v>
      </x:c>
      <x:c r="OK126" s="14" t="n">
        <x:v>2</x:v>
      </x:c>
      <x:c r="OL126" s="14" t="str">
        <x:v>未收錄</x:v>
      </x:c>
      <x:c r="OM126" s="14" t="str">
        <x:v>29602</x:v>
      </x:c>
      <x:c r="ON126" s="14" t="n">
        <x:v>10</x:v>
      </x:c>
      <x:c r="OO126" s="14" t="n">
        <x:v>2516</x:v>
      </x:c>
      <x:c r="OP126" s="14" t="n">
        <x:v>415</x:v>
      </x:c>
      <x:c r="OQ126" s="14" t="n">
        <x:v>8</x:v>
      </x:c>
      <x:c r="OR126" s="14" t="n">
        <x:v>3</x:v>
      </x:c>
      <x:c r="OS126" s="14" t="str">
        <x:v>未收錄</x:v>
      </x:c>
      <x:c r="OT126" s="14" t="str">
        <x:v>29435</x:v>
      </x:c>
      <x:c r="OU126" s="14" t="n">
        <x:v>5</x:v>
      </x:c>
      <x:c r="OV126" s="14" t="n">
        <x:v>2517</x:v>
      </x:c>
      <x:c r="OW126" s="14" t="n">
        <x:v>416</x:v>
      </x:c>
      <x:c r="OX126" s="14" t="n">
        <x:v>8</x:v>
      </x:c>
      <x:c r="OY126" s="14" t="n">
        <x:v>4</x:v>
      </x:c>
      <x:c r="OZ126" s="14" t="str">
        <x:v>未收錄</x:v>
      </x:c>
      <x:c r="PA126" s="14" t="str">
        <x:v>31322</x:v>
      </x:c>
      <x:c r="PB126" s="14" t="n">
        <x:v>10</x:v>
      </x:c>
      <x:c r="PC126" s="14" t="n">
        <x:v>3060</x:v>
      </x:c>
      <x:c r="PD126" s="14" t="n">
        <x:v>413</x:v>
      </x:c>
      <x:c r="PE126" s="14" t="n">
        <x:v>8</x:v>
      </x:c>
      <x:c r="PF126" s="14" t="n">
        <x:v>1</x:v>
      </x:c>
      <x:c r="PG126" s="14" t="str">
        <x:v>未收錄</x:v>
      </x:c>
      <x:c r="PH126" s="14" t="str">
        <x:v>31203</x:v>
      </x:c>
      <x:c r="PI126" s="14" t="n">
        <x:v>5</x:v>
      </x:c>
      <x:c r="PJ126" s="14" t="n">
        <x:v>3061</x:v>
      </x:c>
      <x:c r="PK126" s="14" t="n">
        <x:v>414</x:v>
      </x:c>
      <x:c r="PL126" s="14" t="n">
        <x:v>8</x:v>
      </x:c>
      <x:c r="PM126" s="14" t="n">
        <x:v>2</x:v>
      </x:c>
      <x:c r="PN126" s="14" t="str">
        <x:v>未收錄</x:v>
      </x:c>
      <x:c r="PO126" s="14" t="str">
        <x:v>31208</x:v>
      </x:c>
      <x:c r="PP126" s="14" t="n">
        <x:v>5</x:v>
      </x:c>
      <x:c r="PQ126" s="14" t="n">
        <x:v>3062</x:v>
      </x:c>
      <x:c r="PR126" s="14" t="n">
        <x:v>415</x:v>
      </x:c>
      <x:c r="PS126" s="14" t="n">
        <x:v>8</x:v>
      </x:c>
      <x:c r="PT126" s="14" t="n">
        <x:v>3</x:v>
      </x:c>
      <x:c r="PU126" s="14" t="str">
        <x:v>未收錄</x:v>
      </x:c>
      <x:c r="PV126" s="14" t="str">
        <x:v>31213</x:v>
      </x:c>
      <x:c r="PW126" s="14" t="n">
        <x:v>5</x:v>
      </x:c>
      <x:c r="PX126" s="14" t="n">
        <x:v>3063</x:v>
      </x:c>
      <x:c r="PY126" s="14" t="n">
        <x:v>416</x:v>
      </x:c>
      <x:c r="PZ126" s="14" t="n">
        <x:v>8</x:v>
      </x:c>
      <x:c r="QA126" s="14" t="n">
        <x:v>4</x:v>
      </x:c>
      <x:c r="QB126" s="14" t="str">
        <x:v>未收錄</x:v>
      </x:c>
      <x:c r="QC126" s="14" t="str">
        <x:v>30604</x:v>
      </x:c>
      <x:c r="QD126" s="14" t="n">
        <x:v>10</x:v>
      </x:c>
      <x:c r="QE126" s="14" t="n">
        <x:v>3497</x:v>
      </x:c>
      <x:c r="QF126" s="14" t="n">
        <x:v>413</x:v>
      </x:c>
      <x:c r="QG126" s="14" t="n">
        <x:v>8</x:v>
      </x:c>
      <x:c r="QH126" s="14" t="n">
        <x:v>1</x:v>
      </x:c>
      <x:c r="QI126" s="14" t="str">
        <x:v>未收錄</x:v>
      </x:c>
      <x:c r="QJ126" s="14" t="str">
        <x:v>30330</x:v>
      </x:c>
      <x:c r="QK126" s="14" t="n">
        <x:v>5</x:v>
      </x:c>
      <x:c r="QL126" s="14" t="n">
        <x:v>3498</x:v>
      </x:c>
      <x:c r="QM126" s="14" t="n">
        <x:v>414</x:v>
      </x:c>
      <x:c r="QN126" s="14" t="n">
        <x:v>8</x:v>
      </x:c>
      <x:c r="QO126" s="14" t="n">
        <x:v>2</x:v>
      </x:c>
      <x:c r="QP126" s="14" t="str">
        <x:v>未收錄</x:v>
      </x:c>
      <x:c r="QQ126" s="14" t="str">
        <x:v>30335</x:v>
      </x:c>
      <x:c r="QR126" s="14" t="n">
        <x:v>5</x:v>
      </x:c>
      <x:c r="QS126" s="14" t="n">
        <x:v>3499</x:v>
      </x:c>
      <x:c r="QT126" s="14" t="n">
        <x:v>415</x:v>
      </x:c>
      <x:c r="QU126" s="14" t="n">
        <x:v>8</x:v>
      </x:c>
      <x:c r="QV126" s="14" t="n">
        <x:v>3</x:v>
      </x:c>
      <x:c r="QW126" s="14" t="str">
        <x:v>未收錄</x:v>
      </x:c>
      <x:c r="QX126" s="14" t="str">
        <x:v>30340</x:v>
      </x:c>
      <x:c r="QY126" s="14" t="n">
        <x:v>5</x:v>
      </x:c>
      <x:c r="QZ126" s="14" t="n">
        <x:v>3500</x:v>
      </x:c>
      <x:c r="RA126" s="14" t="n">
        <x:v>416</x:v>
      </x:c>
      <x:c r="RB126" s="14" t="n">
        <x:v>8</x:v>
      </x:c>
      <x:c r="RC126" s="14" t="n">
        <x:v>4</x:v>
      </x:c>
      <x:c r="RD126" s="14" t="str">
        <x:v>未收錄</x:v>
      </x:c>
      <x:c r="RE126" s="14" t="str">
        <x:v>31253</x:v>
      </x:c>
      <x:c r="RF126" s="14" t="n">
        <x:v>5</x:v>
      </x:c>
      <x:c r="RG126" s="14" t="n">
        <x:v>3958</x:v>
      </x:c>
      <x:c r="RH126" s="14" t="n">
        <x:v>413</x:v>
      </x:c>
      <x:c r="RI126" s="14" t="n">
        <x:v>8</x:v>
      </x:c>
      <x:c r="RJ126" s="14" t="n">
        <x:v>1</x:v>
      </x:c>
      <x:c r="RK126" s="14" t="str">
        <x:v>未收錄</x:v>
      </x:c>
      <x:c r="RL126" s="14" t="str">
        <x:v>31258</x:v>
      </x:c>
      <x:c r="RM126" s="14" t="n">
        <x:v>5</x:v>
      </x:c>
      <x:c r="RN126" s="14" t="n">
        <x:v>3959</x:v>
      </x:c>
      <x:c r="RO126" s="14" t="n">
        <x:v>414</x:v>
      </x:c>
      <x:c r="RP126" s="14" t="n">
        <x:v>8</x:v>
      </x:c>
      <x:c r="RQ126" s="14" t="n">
        <x:v>2</x:v>
      </x:c>
      <x:c r="RR126" s="14" t="str">
        <x:v>未收錄</x:v>
      </x:c>
      <x:c r="RS126" s="14" t="str">
        <x:v>31263</x:v>
      </x:c>
      <x:c r="RT126" s="14" t="n">
        <x:v>5</x:v>
      </x:c>
      <x:c r="RU126" s="14" t="n">
        <x:v>3960</x:v>
      </x:c>
      <x:c r="RV126" s="14" t="n">
        <x:v>415</x:v>
      </x:c>
      <x:c r="RW126" s="14" t="n">
        <x:v>8</x:v>
      </x:c>
      <x:c r="RX126" s="14" t="n">
        <x:v>3</x:v>
      </x:c>
      <x:c r="RY126" s="14" t="str">
        <x:v>未收錄</x:v>
      </x:c>
      <x:c r="RZ126" s="14" t="str">
        <x:v>31268</x:v>
      </x:c>
      <x:c r="SA126" s="14" t="n">
        <x:v>5</x:v>
      </x:c>
      <x:c r="SB126" s="14" t="n">
        <x:v>3961</x:v>
      </x:c>
      <x:c r="SC126" s="14" t="n">
        <x:v>416</x:v>
      </x:c>
      <x:c r="SD126" s="14" t="n">
        <x:v>8</x:v>
      </x:c>
      <x:c r="SE126" s="14" t="n">
        <x:v>4</x:v>
      </x:c>
      <x:c r="SF126" s="14" t="str">
        <x:v>未收錄</x:v>
      </x:c>
      <x:c r="SG126" s="14"/>
      <x:c r="SH126" s="14"/>
      <x:c r="SI126" s="14"/>
      <x:c r="SJ126" s="14"/>
      <x:c r="SK126" s="14"/>
      <x:c r="SL126" s="14"/>
      <x:c r="SM126" s="14"/>
      <x:c r="SN126" s="14"/>
      <x:c r="SO126" s="14"/>
      <x:c r="SP126" s="14"/>
      <x:c r="SQ126" s="14"/>
      <x:c r="SR126" s="14"/>
      <x:c r="SS126" s="14"/>
      <x:c r="ST126" s="14"/>
      <x:c r="SU126" s="14"/>
      <x:c r="SV126" s="14"/>
      <x:c r="SW126" s="14"/>
      <x:c r="SX126" s="14"/>
      <x:c r="SY126" s="14"/>
      <x:c r="SZ126" s="14"/>
      <x:c r="TA126" s="14"/>
      <x:c r="TB126" s="14"/>
      <x:c r="TC126" s="14"/>
      <x:c r="TD126" s="14"/>
      <x:c r="TE126" s="14"/>
      <x:c r="TF126" s="14"/>
      <x:c r="TG126" s="14"/>
      <x:c r="TH126" s="14"/>
    </x:row>
    <x:row r="127" ht="15" customHeight="1">
      <x:c r="A127" s="14"/>
      <x:c r="B127" s="14"/>
      <x:c r="C127" s="14"/>
      <x:c r="D127" s="14"/>
      <x:c r="E127" s="14"/>
      <x:c r="F127" s="14"/>
      <x:c r="G127" s="14"/>
      <x:c r="H127" s="14"/>
      <x:c r="I127" s="14"/>
      <x:c r="J127" s="14"/>
      <x:c r="K127" s="14"/>
      <x:c r="L127" s="14"/>
      <x:c r="M127" s="14"/>
      <x:c r="N127" s="14"/>
      <x:c r="O127" s="14"/>
      <x:c r="P127" s="14"/>
      <x:c r="Q127" s="14"/>
      <x:c r="R127" s="14"/>
      <x:c r="S127" s="14"/>
      <x:c r="T127" s="14"/>
      <x:c r="U127" s="14"/>
      <x:c r="V127" s="14"/>
      <x:c r="W127" s="14"/>
      <x:c r="X127" s="14"/>
      <x:c r="Y127" s="14"/>
      <x:c r="Z127" s="14"/>
      <x:c r="AA127" s="14"/>
      <x:c r="AB127" s="14"/>
      <x:c r="AC127" s="14"/>
      <x:c r="AD127" s="14"/>
      <x:c r="AE127" s="14"/>
      <x:c r="AF127" s="14"/>
      <x:c r="AG127" s="14"/>
      <x:c r="AH127" s="14"/>
      <x:c r="AI127" s="14"/>
      <x:c r="AJ127" s="14"/>
      <x:c r="AK127" s="14"/>
      <x:c r="AL127" s="14"/>
      <x:c r="AM127" s="14"/>
      <x:c r="AN127" s="14"/>
      <x:c r="AO127" s="14"/>
      <x:c r="AP127" s="14"/>
      <x:c r="AQ127" s="14"/>
      <x:c r="AR127" s="14"/>
      <x:c r="AS127" s="14"/>
      <x:c r="AT127" s="14"/>
      <x:c r="AU127" s="14"/>
      <x:c r="AV127" s="14"/>
      <x:c r="AW127" s="14"/>
      <x:c r="AX127" s="14"/>
      <x:c r="AY127" s="17" t="str">
        <x:v>辰道玄冠Ⅰ</x:v>
      </x:c>
      <x:c r="AZ127" s="17" t="str">
        <x:v>寂禪靜觀Ⅰ</x:v>
      </x:c>
      <x:c r="BA127" s="17" t="str">
        <x:v>騰陽威冕Ⅰ</x:v>
      </x:c>
      <x:c r="BB127" s="17" t="str">
        <x:v>凜月冪巾Ⅰ</x:v>
      </x:c>
      <x:c r="BC127" s="14"/>
      <x:c r="BD127" s="17" t="str">
        <x:v>武帝胄★☆</x:v>
      </x:c>
      <x:c r="BE127" s="17" t="str">
        <x:v>幻帝裘★☆</x:v>
      </x:c>
      <x:c r="BF127" s="17" t="str">
        <x:v>道帝袍★☆</x:v>
      </x:c>
      <x:c r="BG127" s="17" t="str">
        <x:v>禪帝衲★☆</x:v>
      </x:c>
      <x:c r="BH127" s="14"/>
      <x:c r="BI127" s="17" t="str">
        <x:v>辰道玄袖Ⅲ</x:v>
      </x:c>
      <x:c r="BJ127" s="17" t="str">
        <x:v>寂禪若持Ⅲ</x:v>
      </x:c>
      <x:c r="BK127" s="17" t="str">
        <x:v>騰陽烈釬Ⅲ</x:v>
      </x:c>
      <x:c r="BL127" s="17" t="str">
        <x:v>凜月影束Ⅲ</x:v>
      </x:c>
      <x:c r="BM127" s="14"/>
      <x:c r="BN127" s="17" t="str">
        <x:v>道清旭鞋Ⅴ</x:v>
      </x:c>
      <x:c r="BO127" s="17" t="str">
        <x:v>禪臺旭足Ⅴ</x:v>
      </x:c>
      <x:c r="BP127" s="17" t="str">
        <x:v>狂陽烈蹴Ⅴ</x:v>
      </x:c>
      <x:c r="BQ127" s="17" t="str">
        <x:v>靜月織足Ⅴ</x:v>
      </x:c>
      <x:c r="BR127" s="14"/>
      <x:c r="BS127" s="17" t="str">
        <x:v>諾亞航令Ⅳ</x:v>
      </x:c>
      <x:c r="BT127" s="17" t="str">
        <x:v>誅仙御鐸Ⅳ</x:v>
      </x:c>
      <x:c r="BU127" s="17" t="str">
        <x:v>獨眼慧珠Ⅳ</x:v>
      </x:c>
      <x:c r="BV127" s="17" t="str">
        <x:v>龍之印信Ⅳ</x:v>
      </x:c>
      <x:c r="BW127" s="14"/>
      <x:c r="BX127" s="14"/>
      <x:c r="BY127" s="14"/>
      <x:c r="BZ127" s="14"/>
      <x:c r="CA127" s="14"/>
      <x:c r="CB127" s="14"/>
      <x:c r="CC127" s="14"/>
      <x:c r="CD127" s="14"/>
      <x:c r="CE127" s="14"/>
      <x:c r="CF127" s="14"/>
      <x:c r="CG127" s="14"/>
      <x:c r="CH127" s="14"/>
      <x:c r="CI127" s="14"/>
      <x:c r="CJ127" s="14"/>
      <x:c r="CK127" s="14"/>
      <x:c r="CL127" s="14"/>
      <x:c r="CM127" s="14"/>
      <x:c r="CN127" s="14"/>
      <x:c r="CO127" s="14"/>
      <x:c r="CP127" s="14"/>
      <x:c r="CQ127" s="14"/>
      <x:c r="CR127" s="14"/>
      <x:c r="CS127" s="14"/>
      <x:c r="CT127" s="14"/>
      <x:c r="CU127" s="14"/>
      <x:c r="CV127" s="14"/>
      <x:c r="CW127" s="14"/>
      <x:c r="CX127" s="14"/>
      <x:c r="CY127" s="14"/>
      <x:c r="CZ127" s="14"/>
      <x:c r="DA127" s="14"/>
      <x:c r="DB127" s="14"/>
      <x:c r="DC127" s="14"/>
      <x:c r="DD127" s="14"/>
      <x:c r="DE127" s="14"/>
      <x:c r="DF127" s="14"/>
      <x:c r="DG127" s="14"/>
      <x:c r="DH127" s="14"/>
      <x:c r="DI127" s="14"/>
      <x:c r="DJ127" s="14"/>
      <x:c r="DK127" s="14"/>
      <x:c r="DL127" s="14"/>
      <x:c r="DM127" s="14"/>
      <x:c r="DN127" s="14"/>
      <x:c r="DO127" s="14"/>
      <x:c r="DP127" s="14"/>
      <x:c r="DQ127" s="14"/>
      <x:c r="DR127" s="14"/>
      <x:c r="DS127" s="14"/>
      <x:c r="DT127" s="14"/>
      <x:c r="DU127" s="14"/>
      <x:c r="DV127" s="14"/>
      <x:c r="DW127" s="14"/>
      <x:c r="DX127" s="14"/>
      <x:c r="DY127" s="14"/>
      <x:c r="DZ127" s="14"/>
      <x:c r="EA127" s="14"/>
      <x:c r="EB127" s="14"/>
      <x:c r="EC127" s="14"/>
      <x:c r="ED127" s="14"/>
      <x:c r="EE127" s="14"/>
      <x:c r="EF127" s="14"/>
      <x:c r="EG127" s="14"/>
      <x:c r="EH127" s="14"/>
      <x:c r="EI127" s="14"/>
      <x:c r="EJ127" s="14"/>
      <x:c r="EK127" s="14"/>
      <x:c r="EL127" s="14"/>
      <x:c r="EM127" s="14"/>
      <x:c r="EN127" s="14"/>
      <x:c r="EO127" s="14"/>
      <x:c r="EP127" s="14"/>
      <x:c r="EQ127" s="14"/>
      <x:c r="ER127" s="14"/>
      <x:c r="ES127" s="14"/>
      <x:c r="ET127" s="14"/>
      <x:c r="EU127" s="14"/>
      <x:c r="EV127" s="14"/>
      <x:c r="EW127" s="14"/>
      <x:c r="EX127" s="14"/>
      <x:c r="EY127" s="14"/>
      <x:c r="EZ127" s="14"/>
      <x:c r="FA127" s="14"/>
      <x:c r="FB127" s="14"/>
      <x:c r="FC127" s="14"/>
      <x:c r="FD127" s="14"/>
      <x:c r="FE127" s="14"/>
      <x:c r="FF127" s="14"/>
      <x:c r="FG127" s="14"/>
      <x:c r="FH127" s="14"/>
      <x:c r="FI127" s="14"/>
      <x:c r="FJ127" s="14"/>
      <x:c r="FK127" s="14"/>
      <x:c r="FL127" s="14"/>
      <x:c r="FM127" s="14"/>
      <x:c r="FN127" s="14"/>
      <x:c r="FO127" s="14"/>
      <x:c r="FP127" s="14"/>
      <x:c r="FQ127" s="14"/>
      <x:c r="FR127" s="14"/>
      <x:c r="FS127" s="14"/>
      <x:c r="FT127" s="14"/>
      <x:c r="FU127" s="14"/>
      <x:c r="FV127" s="14"/>
      <x:c r="FW127" s="14"/>
      <x:c r="FX127" s="14"/>
      <x:c r="FY127" s="14"/>
      <x:c r="FZ127" s="14"/>
      <x:c r="GA127" s="14"/>
      <x:c r="GB127" s="14"/>
      <x:c r="GC127" s="14"/>
      <x:c r="GD127" s="14"/>
      <x:c r="GE127" s="14"/>
      <x:c r="GF127" s="14"/>
      <x:c r="GG127" s="14"/>
      <x:c r="GH127" s="14"/>
      <x:c r="GI127" s="14"/>
      <x:c r="GJ127" s="14"/>
      <x:c r="GK127" s="14"/>
      <x:c r="GL127" s="14"/>
      <x:c r="GM127" s="14"/>
      <x:c r="GN127" s="14"/>
      <x:c r="GO127" s="14"/>
      <x:c r="GP127" s="14"/>
      <x:c r="GQ127" s="14"/>
      <x:c r="GR127" s="14"/>
      <x:c r="GS127" s="14"/>
      <x:c r="GT127" s="14"/>
      <x:c r="GU127" s="14"/>
      <x:c r="GV127" s="14"/>
      <x:c r="GW127" s="14"/>
      <x:c r="GX127" s="14"/>
      <x:c r="GY127" s="14"/>
      <x:c r="GZ127" s="14"/>
      <x:c r="HA127" s="14"/>
      <x:c r="HB127" s="14"/>
      <x:c r="HC127" s="14"/>
      <x:c r="HD127" s="14"/>
      <x:c r="HE127" s="14"/>
      <x:c r="HF127" s="14"/>
      <x:c r="HG127" s="14"/>
      <x:c r="HH127" s="14"/>
      <x:c r="HI127" s="14"/>
      <x:c r="HJ127" s="14"/>
      <x:c r="HK127" s="14"/>
      <x:c r="HL127" s="14"/>
      <x:c r="HM127" s="14"/>
      <x:c r="HN127" s="14"/>
      <x:c r="HO127" s="14"/>
      <x:c r="HP127" s="14"/>
      <x:c r="HQ127" s="14"/>
      <x:c r="HR127" s="14"/>
      <x:c r="HS127" s="14"/>
      <x:c r="HT127" s="14"/>
      <x:c r="HU127" s="14"/>
      <x:c r="HV127" s="14"/>
      <x:c r="HW127" s="14"/>
      <x:c r="HX127" s="14"/>
      <x:c r="HY127" s="14"/>
      <x:c r="HZ127" s="14"/>
      <x:c r="IA127" s="14"/>
      <x:c r="IB127" s="14"/>
      <x:c r="IC127" s="14"/>
      <x:c r="ID127" s="14"/>
      <x:c r="IE127" s="14"/>
      <x:c r="IF127" s="14"/>
      <x:c r="IG127" s="14"/>
      <x:c r="IH127" s="14"/>
      <x:c r="II127" s="14"/>
      <x:c r="IJ127" s="14"/>
      <x:c r="IK127" s="14"/>
      <x:c r="IL127" s="14"/>
      <x:c r="IM127" s="14"/>
      <x:c r="IN127" s="14"/>
      <x:c r="IO127" s="14"/>
      <x:c r="IP127" s="14"/>
      <x:c r="IQ127" s="14"/>
      <x:c r="IR127" s="14"/>
      <x:c r="IS127" s="14"/>
      <x:c r="IT127" s="14"/>
      <x:c r="IU127" s="14"/>
      <x:c r="IV127" s="14"/>
      <x:c r="IW127" s="14"/>
      <x:c r="IX127" s="14"/>
      <x:c r="IY127" s="14"/>
      <x:c r="IZ127" s="14"/>
      <x:c r="JA127" s="14"/>
      <x:c r="JB127" s="14"/>
      <x:c r="JC127" s="14"/>
      <x:c r="JD127" s="14"/>
      <x:c r="JE127" s="14"/>
      <x:c r="JF127" s="14"/>
      <x:c r="JG127" s="14"/>
      <x:c r="JH127" s="14"/>
      <x:c r="JI127" s="14"/>
      <x:c r="JJ127" s="14"/>
      <x:c r="JK127" s="14"/>
      <x:c r="JL127" s="14"/>
      <x:c r="JM127" s="14"/>
      <x:c r="JN127" s="14"/>
      <x:c r="JO127" s="14"/>
      <x:c r="JP127" s="14"/>
      <x:c r="JQ127" s="14"/>
      <x:c r="JR127" s="14"/>
      <x:c r="JS127" s="14"/>
      <x:c r="JT127" s="14"/>
      <x:c r="JU127" s="14"/>
      <x:c r="JV127" s="14"/>
      <x:c r="JW127" s="14"/>
      <x:c r="JX127" s="14"/>
      <x:c r="JY127" s="14"/>
      <x:c r="JZ127" s="14"/>
      <x:c r="KA127" s="14"/>
      <x:c r="KB127" s="14"/>
      <x:c r="KC127" s="14"/>
      <x:c r="KD127" s="14"/>
      <x:c r="KE127" s="14"/>
      <x:c r="KF127" s="14"/>
      <x:c r="KG127" s="14"/>
      <x:c r="KH127" s="14"/>
      <x:c r="KI127" s="14"/>
      <x:c r="KJ127" s="14"/>
      <x:c r="KK127" s="14"/>
      <x:c r="KL127" s="14"/>
      <x:c r="KM127" s="14"/>
      <x:c r="KN127" s="14"/>
      <x:c r="KO127" s="14"/>
      <x:c r="KP127" s="14"/>
      <x:c r="KQ127" s="14"/>
      <x:c r="KR127" s="14"/>
      <x:c r="KS127" s="14"/>
      <x:c r="KT127" s="14"/>
      <x:c r="KU127" s="14"/>
      <x:c r="KV127" s="14"/>
      <x:c r="KW127" s="14"/>
      <x:c r="KX127" s="14"/>
      <x:c r="KY127" s="14"/>
      <x:c r="KZ127" s="14"/>
      <x:c r="LA127" s="14"/>
      <x:c r="LB127" s="14"/>
      <x:c r="LC127" s="14"/>
      <x:c r="LD127" s="14"/>
      <x:c r="LE127" s="14"/>
      <x:c r="LF127" s="14"/>
      <x:c r="LG127" s="14"/>
      <x:c r="LH127" s="14"/>
      <x:c r="LI127" s="14"/>
      <x:c r="LJ127" s="14"/>
      <x:c r="LK127" s="14"/>
      <x:c r="LL127" s="14"/>
      <x:c r="LM127" s="14"/>
      <x:c r="LN127" s="14"/>
      <x:c r="LO127" s="14"/>
      <x:c r="LP127" s="14"/>
      <x:c r="LQ127" s="14"/>
      <x:c r="LR127" s="14"/>
      <x:c r="LS127" s="14"/>
      <x:c r="LT127" s="14"/>
      <x:c r="LU127" s="14"/>
      <x:c r="LV127" s="14"/>
      <x:c r="LW127" s="14"/>
      <x:c r="LX127" s="14"/>
      <x:c r="LY127" s="14"/>
      <x:c r="LZ127" s="14"/>
      <x:c r="MA127" s="14"/>
      <x:c r="MB127" s="14"/>
      <x:c r="MC127" s="14"/>
      <x:c r="MD127" s="14"/>
      <x:c r="ME127" s="14"/>
      <x:c r="MF127" s="14"/>
      <x:c r="MG127" s="14"/>
      <x:c r="MH127" s="14"/>
      <x:c r="MI127" s="14"/>
      <x:c r="MJ127" s="14"/>
      <x:c r="MK127" s="14"/>
      <x:c r="ML127" s="14"/>
      <x:c r="MM127" s="14"/>
      <x:c r="MN127" s="14"/>
      <x:c r="MO127" s="14"/>
      <x:c r="MP127" s="14"/>
      <x:c r="MQ127" s="14"/>
      <x:c r="MR127" s="14"/>
      <x:c r="MS127" s="14"/>
      <x:c r="MT127" s="14"/>
      <x:c r="MU127" s="14"/>
      <x:c r="MV127" s="14"/>
      <x:c r="MW127" s="14" t="str">
        <x:v>31166</x:v>
      </x:c>
      <x:c r="MX127" s="14" t="n">
        <x:v>5</x:v>
      </x:c>
      <x:c r="MY127" s="14" t="n">
        <x:v>2065</x:v>
      </x:c>
      <x:c r="MZ127" s="14" t="n">
        <x:v>417</x:v>
      </x:c>
      <x:c r="NA127" s="14" t="n">
        <x:v>9</x:v>
      </x:c>
      <x:c r="NB127" s="14" t="n">
        <x:v>1</x:v>
      </x:c>
      <x:c r="NC127" s="14" t="str">
        <x:v>未收錄</x:v>
      </x:c>
      <x:c r="ND127" s="14" t="str">
        <x:v>31171</x:v>
      </x:c>
      <x:c r="NE127" s="14" t="n">
        <x:v>5</x:v>
      </x:c>
      <x:c r="NF127" s="14" t="n">
        <x:v>2066</x:v>
      </x:c>
      <x:c r="NG127" s="14" t="n">
        <x:v>418</x:v>
      </x:c>
      <x:c r="NH127" s="14" t="n">
        <x:v>9</x:v>
      </x:c>
      <x:c r="NI127" s="14" t="n">
        <x:v>2</x:v>
      </x:c>
      <x:c r="NJ127" s="14" t="str">
        <x:v>未收錄</x:v>
      </x:c>
      <x:c r="NK127" s="14" t="str">
        <x:v>31271</x:v>
      </x:c>
      <x:c r="NL127" s="14" t="n">
        <x:v>10</x:v>
      </x:c>
      <x:c r="NM127" s="14" t="n">
        <x:v>2067</x:v>
      </x:c>
      <x:c r="NN127" s="14" t="n">
        <x:v>419</x:v>
      </x:c>
      <x:c r="NO127" s="14" t="n">
        <x:v>9</x:v>
      </x:c>
      <x:c r="NP127" s="14" t="n">
        <x:v>3</x:v>
      </x:c>
      <x:c r="NQ127" s="14" t="str">
        <x:v>未收錄</x:v>
      </x:c>
      <x:c r="NR127" s="14" t="str">
        <x:v>31291</x:v>
      </x:c>
      <x:c r="NS127" s="14" t="n">
        <x:v>10</x:v>
      </x:c>
      <x:c r="NT127" s="14" t="n">
        <x:v>2068</x:v>
      </x:c>
      <x:c r="NU127" s="14" t="n">
        <x:v>420</x:v>
      </x:c>
      <x:c r="NV127" s="14" t="n">
        <x:v>9</x:v>
      </x:c>
      <x:c r="NW127" s="14" t="n">
        <x:v>4</x:v>
      </x:c>
      <x:c r="NX127" s="14" t="str">
        <x:v>未收錄</x:v>
      </x:c>
      <x:c r="NY127" s="14" t="str">
        <x:v>29441</x:v>
      </x:c>
      <x:c r="NZ127" s="14" t="n">
        <x:v>5</x:v>
      </x:c>
      <x:c r="OA127" s="14" t="n">
        <x:v>2518</x:v>
      </x:c>
      <x:c r="OB127" s="14" t="n">
        <x:v>417</x:v>
      </x:c>
      <x:c r="OC127" s="14" t="n">
        <x:v>9</x:v>
      </x:c>
      <x:c r="OD127" s="14" t="n">
        <x:v>1</x:v>
      </x:c>
      <x:c r="OE127" s="14" t="str">
        <x:v>未收錄</x:v>
      </x:c>
      <x:c r="OF127" s="14" t="str">
        <x:v>29447</x:v>
      </x:c>
      <x:c r="OG127" s="14" t="n">
        <x:v>5</x:v>
      </x:c>
      <x:c r="OH127" s="14" t="n">
        <x:v>2519</x:v>
      </x:c>
      <x:c r="OI127" s="14" t="n">
        <x:v>418</x:v>
      </x:c>
      <x:c r="OJ127" s="14" t="n">
        <x:v>9</x:v>
      </x:c>
      <x:c r="OK127" s="14" t="n">
        <x:v>2</x:v>
      </x:c>
      <x:c r="OL127" s="14" t="str">
        <x:v>未收錄</x:v>
      </x:c>
      <x:c r="OM127" s="14" t="str">
        <x:v>29453</x:v>
      </x:c>
      <x:c r="ON127" s="14" t="n">
        <x:v>5</x:v>
      </x:c>
      <x:c r="OO127" s="14" t="n">
        <x:v>2520</x:v>
      </x:c>
      <x:c r="OP127" s="14" t="n">
        <x:v>419</x:v>
      </x:c>
      <x:c r="OQ127" s="14" t="n">
        <x:v>9</x:v>
      </x:c>
      <x:c r="OR127" s="14" t="n">
        <x:v>3</x:v>
      </x:c>
      <x:c r="OS127" s="14" t="str">
        <x:v>未收錄</x:v>
      </x:c>
      <x:c r="OT127" s="14" t="str">
        <x:v>29459</x:v>
      </x:c>
      <x:c r="OU127" s="14" t="n">
        <x:v>5</x:v>
      </x:c>
      <x:c r="OV127" s="14" t="n">
        <x:v>2521</x:v>
      </x:c>
      <x:c r="OW127" s="14" t="n">
        <x:v>420</x:v>
      </x:c>
      <x:c r="OX127" s="14" t="n">
        <x:v>9</x:v>
      </x:c>
      <x:c r="OY127" s="14" t="n">
        <x:v>4</x:v>
      </x:c>
      <x:c r="OZ127" s="14" t="str">
        <x:v>未收錄</x:v>
      </x:c>
      <x:c r="PA127" s="14" t="str">
        <x:v>31218</x:v>
      </x:c>
      <x:c r="PB127" s="14" t="n">
        <x:v>5</x:v>
      </x:c>
      <x:c r="PC127" s="14" t="n">
        <x:v>3064</x:v>
      </x:c>
      <x:c r="PD127" s="14" t="n">
        <x:v>417</x:v>
      </x:c>
      <x:c r="PE127" s="14" t="n">
        <x:v>9</x:v>
      </x:c>
      <x:c r="PF127" s="14" t="n">
        <x:v>1</x:v>
      </x:c>
      <x:c r="PG127" s="14" t="str">
        <x:v>未收錄</x:v>
      </x:c>
      <x:c r="PH127" s="14" t="str">
        <x:v>31223</x:v>
      </x:c>
      <x:c r="PI127" s="14" t="n">
        <x:v>5</x:v>
      </x:c>
      <x:c r="PJ127" s="14" t="n">
        <x:v>3065</x:v>
      </x:c>
      <x:c r="PK127" s="14" t="n">
        <x:v>418</x:v>
      </x:c>
      <x:c r="PL127" s="14" t="n">
        <x:v>9</x:v>
      </x:c>
      <x:c r="PM127" s="14" t="n">
        <x:v>2</x:v>
      </x:c>
      <x:c r="PN127" s="14" t="str">
        <x:v>未收錄</x:v>
      </x:c>
      <x:c r="PO127" s="14" t="str">
        <x:v>31283</x:v>
      </x:c>
      <x:c r="PP127" s="14" t="n">
        <x:v>10</x:v>
      </x:c>
      <x:c r="PQ127" s="14" t="n">
        <x:v>3066</x:v>
      </x:c>
      <x:c r="PR127" s="14" t="n">
        <x:v>419</x:v>
      </x:c>
      <x:c r="PS127" s="14" t="n">
        <x:v>9</x:v>
      </x:c>
      <x:c r="PT127" s="14" t="n">
        <x:v>3</x:v>
      </x:c>
      <x:c r="PU127" s="14" t="str">
        <x:v>未收錄</x:v>
      </x:c>
      <x:c r="PV127" s="14" t="str">
        <x:v>31303</x:v>
      </x:c>
      <x:c r="PW127" s="14" t="n">
        <x:v>10</x:v>
      </x:c>
      <x:c r="PX127" s="14" t="n">
        <x:v>3067</x:v>
      </x:c>
      <x:c r="PY127" s="14" t="n">
        <x:v>420</x:v>
      </x:c>
      <x:c r="PZ127" s="14" t="n">
        <x:v>9</x:v>
      </x:c>
      <x:c r="QA127" s="14" t="n">
        <x:v>4</x:v>
      </x:c>
      <x:c r="QB127" s="14" t="str">
        <x:v>未收錄</x:v>
      </x:c>
      <x:c r="QC127" s="14" t="str">
        <x:v>30345</x:v>
      </x:c>
      <x:c r="QD127" s="14" t="n">
        <x:v>5</x:v>
      </x:c>
      <x:c r="QE127" s="14" t="n">
        <x:v>3501</x:v>
      </x:c>
      <x:c r="QF127" s="14" t="n">
        <x:v>417</x:v>
      </x:c>
      <x:c r="QG127" s="14" t="n">
        <x:v>9</x:v>
      </x:c>
      <x:c r="QH127" s="14" t="n">
        <x:v>1</x:v>
      </x:c>
      <x:c r="QI127" s="14" t="str">
        <x:v>未收錄</x:v>
      </x:c>
      <x:c r="QJ127" s="14" t="str">
        <x:v>30350</x:v>
      </x:c>
      <x:c r="QK127" s="14" t="n">
        <x:v>5</x:v>
      </x:c>
      <x:c r="QL127" s="14" t="n">
        <x:v>3502</x:v>
      </x:c>
      <x:c r="QM127" s="14" t="n">
        <x:v>418</x:v>
      </x:c>
      <x:c r="QN127" s="14" t="n">
        <x:v>9</x:v>
      </x:c>
      <x:c r="QO127" s="14" t="n">
        <x:v>2</x:v>
      </x:c>
      <x:c r="QP127" s="14" t="str">
        <x:v>未收錄</x:v>
      </x:c>
      <x:c r="QQ127" s="14" t="str">
        <x:v>30390</x:v>
      </x:c>
      <x:c r="QR127" s="14" t="n">
        <x:v>10</x:v>
      </x:c>
      <x:c r="QS127" s="14" t="n">
        <x:v>3503</x:v>
      </x:c>
      <x:c r="QT127" s="14" t="n">
        <x:v>419</x:v>
      </x:c>
      <x:c r="QU127" s="14" t="n">
        <x:v>9</x:v>
      </x:c>
      <x:c r="QV127" s="14" t="n">
        <x:v>3</x:v>
      </x:c>
      <x:c r="QW127" s="14" t="str">
        <x:v>未收錄</x:v>
      </x:c>
      <x:c r="QX127" s="14" t="str">
        <x:v>30410</x:v>
      </x:c>
      <x:c r="QY127" s="14" t="n">
        <x:v>10</x:v>
      </x:c>
      <x:c r="QZ127" s="14" t="n">
        <x:v>3504</x:v>
      </x:c>
      <x:c r="RA127" s="14" t="n">
        <x:v>420</x:v>
      </x:c>
      <x:c r="RB127" s="14" t="n">
        <x:v>9</x:v>
      </x:c>
      <x:c r="RC127" s="14" t="n">
        <x:v>4</x:v>
      </x:c>
      <x:c r="RD127" s="14" t="str">
        <x:v>未收錄</x:v>
      </x:c>
      <x:c r="RE127" s="14" t="str">
        <x:v>31254</x:v>
      </x:c>
      <x:c r="RF127" s="14" t="n">
        <x:v>5</x:v>
      </x:c>
      <x:c r="RG127" s="14" t="n">
        <x:v>3962</x:v>
      </x:c>
      <x:c r="RH127" s="14" t="n">
        <x:v>417</x:v>
      </x:c>
      <x:c r="RI127" s="14" t="n">
        <x:v>9</x:v>
      </x:c>
      <x:c r="RJ127" s="14" t="n">
        <x:v>1</x:v>
      </x:c>
      <x:c r="RK127" s="14" t="str">
        <x:v>未收錄</x:v>
      </x:c>
      <x:c r="RL127" s="14" t="str">
        <x:v>31259</x:v>
      </x:c>
      <x:c r="RM127" s="14" t="n">
        <x:v>5</x:v>
      </x:c>
      <x:c r="RN127" s="14" t="n">
        <x:v>3963</x:v>
      </x:c>
      <x:c r="RO127" s="14" t="n">
        <x:v>418</x:v>
      </x:c>
      <x:c r="RP127" s="14" t="n">
        <x:v>9</x:v>
      </x:c>
      <x:c r="RQ127" s="14" t="n">
        <x:v>2</x:v>
      </x:c>
      <x:c r="RR127" s="14" t="str">
        <x:v>未收錄</x:v>
      </x:c>
      <x:c r="RS127" s="14" t="str">
        <x:v>31264</x:v>
      </x:c>
      <x:c r="RT127" s="14" t="n">
        <x:v>5</x:v>
      </x:c>
      <x:c r="RU127" s="14" t="n">
        <x:v>3964</x:v>
      </x:c>
      <x:c r="RV127" s="14" t="n">
        <x:v>419</x:v>
      </x:c>
      <x:c r="RW127" s="14" t="n">
        <x:v>9</x:v>
      </x:c>
      <x:c r="RX127" s="14" t="n">
        <x:v>3</x:v>
      </x:c>
      <x:c r="RY127" s="14" t="str">
        <x:v>未收錄</x:v>
      </x:c>
      <x:c r="RZ127" s="14" t="str">
        <x:v>31269</x:v>
      </x:c>
      <x:c r="SA127" s="14" t="n">
        <x:v>5</x:v>
      </x:c>
      <x:c r="SB127" s="14" t="n">
        <x:v>3965</x:v>
      </x:c>
      <x:c r="SC127" s="14" t="n">
        <x:v>420</x:v>
      </x:c>
      <x:c r="SD127" s="14" t="n">
        <x:v>9</x:v>
      </x:c>
      <x:c r="SE127" s="14" t="n">
        <x:v>4</x:v>
      </x:c>
      <x:c r="SF127" s="14" t="str">
        <x:v>未收錄</x:v>
      </x:c>
      <x:c r="SG127" s="14"/>
      <x:c r="SH127" s="14"/>
      <x:c r="SI127" s="14"/>
      <x:c r="SJ127" s="14"/>
      <x:c r="SK127" s="14"/>
      <x:c r="SL127" s="14"/>
      <x:c r="SM127" s="14"/>
      <x:c r="SN127" s="14"/>
      <x:c r="SO127" s="14"/>
      <x:c r="SP127" s="14"/>
      <x:c r="SQ127" s="14"/>
      <x:c r="SR127" s="14"/>
      <x:c r="SS127" s="14"/>
      <x:c r="ST127" s="14"/>
      <x:c r="SU127" s="14"/>
      <x:c r="SV127" s="14"/>
      <x:c r="SW127" s="14"/>
      <x:c r="SX127" s="14"/>
      <x:c r="SY127" s="14"/>
      <x:c r="SZ127" s="14"/>
      <x:c r="TA127" s="14"/>
      <x:c r="TB127" s="14"/>
      <x:c r="TC127" s="14"/>
      <x:c r="TD127" s="14"/>
      <x:c r="TE127" s="14"/>
      <x:c r="TF127" s="14"/>
      <x:c r="TG127" s="14"/>
      <x:c r="TH127" s="14"/>
    </x:row>
    <x:row r="128" ht="15" customHeight="1">
      <x:c r="A128" s="14"/>
      <x:c r="B128" s="14"/>
      <x:c r="C128" s="14"/>
      <x:c r="D128" s="14"/>
      <x:c r="E128" s="14"/>
      <x:c r="F128" s="14"/>
      <x:c r="G128" s="14"/>
      <x:c r="H128" s="14"/>
      <x:c r="I128" s="14"/>
      <x:c r="J128" s="14"/>
      <x:c r="K128" s="14"/>
      <x:c r="L128" s="14"/>
      <x:c r="M128" s="14"/>
      <x:c r="N128" s="14"/>
      <x:c r="O128" s="14"/>
      <x:c r="P128" s="14"/>
      <x:c r="Q128" s="14"/>
      <x:c r="R128" s="14"/>
      <x:c r="S128" s="14"/>
      <x:c r="T128" s="14"/>
      <x:c r="U128" s="14"/>
      <x:c r="V128" s="14"/>
      <x:c r="W128" s="14"/>
      <x:c r="X128" s="14"/>
      <x:c r="Y128" s="14"/>
      <x:c r="Z128" s="14"/>
      <x:c r="AA128" s="14"/>
      <x:c r="AB128" s="14"/>
      <x:c r="AC128" s="14"/>
      <x:c r="AD128" s="14"/>
      <x:c r="AE128" s="14"/>
      <x:c r="AF128" s="14"/>
      <x:c r="AG128" s="14"/>
      <x:c r="AH128" s="14"/>
      <x:c r="AI128" s="14"/>
      <x:c r="AJ128" s="14"/>
      <x:c r="AK128" s="14"/>
      <x:c r="AL128" s="14"/>
      <x:c r="AM128" s="14"/>
      <x:c r="AN128" s="14"/>
      <x:c r="AO128" s="14"/>
      <x:c r="AP128" s="14"/>
      <x:c r="AQ128" s="14"/>
      <x:c r="AR128" s="14"/>
      <x:c r="AS128" s="14"/>
      <x:c r="AT128" s="14"/>
      <x:c r="AU128" s="14"/>
      <x:c r="AV128" s="14"/>
      <x:c r="AW128" s="14"/>
      <x:c r="AX128" s="14"/>
      <x:c r="AY128" s="18" t="str">
        <x:v>舞星釩兜Ⅰ</x:v>
      </x:c>
      <x:c r="AZ128" s="18" t="str">
        <x:v>宇鋒颺頂Ⅱ</x:v>
      </x:c>
      <x:c r="BA128" s="18" t="str">
        <x:v>天衛宙盔Ⅱ</x:v>
      </x:c>
      <x:c r="BB128" s="18" t="str">
        <x:v>光術覆面Ⅱ</x:v>
      </x:c>
      <x:c r="BC128" s="14"/>
      <x:c r="BD128" s="18" t="str">
        <x:v>鬼帝鎧★☆</x:v>
      </x:c>
      <x:c r="BE128" s="18" t="str">
        <x:v>黃天衣★☆</x:v>
      </x:c>
      <x:c r="BF128" s="18" t="str">
        <x:v>皇影甲★☆</x:v>
      </x:c>
      <x:c r="BG128" s="18" t="str">
        <x:v>神無袈★☆</x:v>
      </x:c>
      <x:c r="BH128" s="14"/>
      <x:c r="BI128" s="18" t="str">
        <x:v>舞星鎢掌Ⅲ</x:v>
      </x:c>
      <x:c r="BJ128" s="18" t="str">
        <x:v>宇鋒飄腕Ⅳ</x:v>
      </x:c>
      <x:c r="BK128" s="18" t="str">
        <x:v>天衛宙臂Ⅳ</x:v>
      </x:c>
      <x:c r="BL128" s="18" t="str">
        <x:v>光術快手Ⅳ</x:v>
      </x:c>
      <x:c r="BM128" s="14"/>
      <x:c r="BN128" s="18" t="str">
        <x:v>宿星閃靴Ⅴ</x:v>
      </x:c>
      <x:c r="BO128" s="18" t="str">
        <x:v>宇鋒飆靴Ⅰ</x:v>
      </x:c>
      <x:c r="BP128" s="18" t="str">
        <x:v>天衛宙脛Ⅰ</x:v>
      </x:c>
      <x:c r="BQ128" s="18" t="str">
        <x:v>光術疾履Ⅰ</x:v>
      </x:c>
      <x:c r="BR128" s="14"/>
      <x:c r="BS128" s="18" t="str">
        <x:v>諾亞航令Ⅴ</x:v>
      </x:c>
      <x:c r="BT128" s="18" t="str">
        <x:v>誅仙御鐸Ⅴ</x:v>
      </x:c>
      <x:c r="BU128" s="18" t="str">
        <x:v>獨眼慧珠Ⅴ</x:v>
      </x:c>
      <x:c r="BV128" s="18" t="str">
        <x:v>龍之印信Ⅴ</x:v>
      </x:c>
      <x:c r="BW128" s="14"/>
      <x:c r="BX128" s="14"/>
      <x:c r="BY128" s="14"/>
      <x:c r="BZ128" s="14"/>
      <x:c r="CA128" s="14"/>
      <x:c r="CB128" s="14"/>
      <x:c r="CC128" s="14"/>
      <x:c r="CD128" s="14"/>
      <x:c r="CE128" s="14"/>
      <x:c r="CF128" s="14"/>
      <x:c r="CG128" s="14"/>
      <x:c r="CH128" s="14"/>
      <x:c r="CI128" s="14"/>
      <x:c r="CJ128" s="14"/>
      <x:c r="CK128" s="14"/>
      <x:c r="CL128" s="14"/>
      <x:c r="CM128" s="14"/>
      <x:c r="CN128" s="14"/>
      <x:c r="CO128" s="14"/>
      <x:c r="CP128" s="14"/>
      <x:c r="CQ128" s="14"/>
      <x:c r="CR128" s="14"/>
      <x:c r="CS128" s="14"/>
      <x:c r="CT128" s="14"/>
      <x:c r="CU128" s="14"/>
      <x:c r="CV128" s="14"/>
      <x:c r="CW128" s="14"/>
      <x:c r="CX128" s="14"/>
      <x:c r="CY128" s="14"/>
      <x:c r="CZ128" s="14"/>
      <x:c r="DA128" s="14"/>
      <x:c r="DB128" s="14"/>
      <x:c r="DC128" s="14"/>
      <x:c r="DD128" s="14"/>
      <x:c r="DE128" s="14"/>
      <x:c r="DF128" s="14"/>
      <x:c r="DG128" s="14"/>
      <x:c r="DH128" s="14"/>
      <x:c r="DI128" s="14"/>
      <x:c r="DJ128" s="14"/>
      <x:c r="DK128" s="14"/>
      <x:c r="DL128" s="14"/>
      <x:c r="DM128" s="14"/>
      <x:c r="DN128" s="14"/>
      <x:c r="DO128" s="14"/>
      <x:c r="DP128" s="14"/>
      <x:c r="DQ128" s="14"/>
      <x:c r="DR128" s="14"/>
      <x:c r="DS128" s="14"/>
      <x:c r="DT128" s="14"/>
      <x:c r="DU128" s="14"/>
      <x:c r="DV128" s="14"/>
      <x:c r="DW128" s="14"/>
      <x:c r="DX128" s="14"/>
      <x:c r="DY128" s="14"/>
      <x:c r="DZ128" s="14"/>
      <x:c r="EA128" s="14"/>
      <x:c r="EB128" s="14"/>
      <x:c r="EC128" s="14"/>
      <x:c r="ED128" s="14"/>
      <x:c r="EE128" s="14"/>
      <x:c r="EF128" s="14"/>
      <x:c r="EG128" s="14"/>
      <x:c r="EH128" s="14"/>
      <x:c r="EI128" s="14"/>
      <x:c r="EJ128" s="14"/>
      <x:c r="EK128" s="14"/>
      <x:c r="EL128" s="14"/>
      <x:c r="EM128" s="14"/>
      <x:c r="EN128" s="14"/>
      <x:c r="EO128" s="14"/>
      <x:c r="EP128" s="14"/>
      <x:c r="EQ128" s="14"/>
      <x:c r="ER128" s="14"/>
      <x:c r="ES128" s="14"/>
      <x:c r="ET128" s="14"/>
      <x:c r="EU128" s="14"/>
      <x:c r="EV128" s="14"/>
      <x:c r="EW128" s="14"/>
      <x:c r="EX128" s="14"/>
      <x:c r="EY128" s="14"/>
      <x:c r="EZ128" s="14"/>
      <x:c r="FA128" s="14"/>
      <x:c r="FB128" s="14"/>
      <x:c r="FC128" s="14"/>
      <x:c r="FD128" s="14"/>
      <x:c r="FE128" s="14"/>
      <x:c r="FF128" s="14"/>
      <x:c r="FG128" s="14"/>
      <x:c r="FH128" s="14"/>
      <x:c r="FI128" s="14"/>
      <x:c r="FJ128" s="14"/>
      <x:c r="FK128" s="14"/>
      <x:c r="FL128" s="14"/>
      <x:c r="FM128" s="14"/>
      <x:c r="FN128" s="14"/>
      <x:c r="FO128" s="14"/>
      <x:c r="FP128" s="14"/>
      <x:c r="FQ128" s="14"/>
      <x:c r="FR128" s="14"/>
      <x:c r="FS128" s="14"/>
      <x:c r="FT128" s="14"/>
      <x:c r="FU128" s="14"/>
      <x:c r="FV128" s="14"/>
      <x:c r="FW128" s="14"/>
      <x:c r="FX128" s="14"/>
      <x:c r="FY128" s="14"/>
      <x:c r="FZ128" s="14"/>
      <x:c r="GA128" s="14"/>
      <x:c r="GB128" s="14"/>
      <x:c r="GC128" s="14"/>
      <x:c r="GD128" s="14"/>
      <x:c r="GE128" s="14"/>
      <x:c r="GF128" s="14"/>
      <x:c r="GG128" s="14"/>
      <x:c r="GH128" s="14"/>
      <x:c r="GI128" s="14"/>
      <x:c r="GJ128" s="14"/>
      <x:c r="GK128" s="14"/>
      <x:c r="GL128" s="14"/>
      <x:c r="GM128" s="14"/>
      <x:c r="GN128" s="14"/>
      <x:c r="GO128" s="14"/>
      <x:c r="GP128" s="14"/>
      <x:c r="GQ128" s="14"/>
      <x:c r="GR128" s="14"/>
      <x:c r="GS128" s="14"/>
      <x:c r="GT128" s="14"/>
      <x:c r="GU128" s="14"/>
      <x:c r="GV128" s="14"/>
      <x:c r="GW128" s="14"/>
      <x:c r="GX128" s="14"/>
      <x:c r="GY128" s="14"/>
      <x:c r="GZ128" s="14"/>
      <x:c r="HA128" s="14"/>
      <x:c r="HB128" s="14"/>
      <x:c r="HC128" s="14"/>
      <x:c r="HD128" s="14"/>
      <x:c r="HE128" s="14"/>
      <x:c r="HF128" s="14"/>
      <x:c r="HG128" s="14"/>
      <x:c r="HH128" s="14"/>
      <x:c r="HI128" s="14"/>
      <x:c r="HJ128" s="14"/>
      <x:c r="HK128" s="14"/>
      <x:c r="HL128" s="14"/>
      <x:c r="HM128" s="14"/>
      <x:c r="HN128" s="14"/>
      <x:c r="HO128" s="14"/>
      <x:c r="HP128" s="14"/>
      <x:c r="HQ128" s="14"/>
      <x:c r="HR128" s="14"/>
      <x:c r="HS128" s="14"/>
      <x:c r="HT128" s="14"/>
      <x:c r="HU128" s="14"/>
      <x:c r="HV128" s="14"/>
      <x:c r="HW128" s="14"/>
      <x:c r="HX128" s="14"/>
      <x:c r="HY128" s="14"/>
      <x:c r="HZ128" s="14"/>
      <x:c r="IA128" s="14"/>
      <x:c r="IB128" s="14"/>
      <x:c r="IC128" s="14"/>
      <x:c r="ID128" s="14"/>
      <x:c r="IE128" s="14"/>
      <x:c r="IF128" s="14"/>
      <x:c r="IG128" s="14"/>
      <x:c r="IH128" s="14"/>
      <x:c r="II128" s="14"/>
      <x:c r="IJ128" s="14"/>
      <x:c r="IK128" s="14"/>
      <x:c r="IL128" s="14"/>
      <x:c r="IM128" s="14"/>
      <x:c r="IN128" s="14"/>
      <x:c r="IO128" s="14"/>
      <x:c r="IP128" s="14"/>
      <x:c r="IQ128" s="14"/>
      <x:c r="IR128" s="14"/>
      <x:c r="IS128" s="14"/>
      <x:c r="IT128" s="14"/>
      <x:c r="IU128" s="14"/>
      <x:c r="IV128" s="14"/>
      <x:c r="IW128" s="14"/>
      <x:c r="IX128" s="14"/>
      <x:c r="IY128" s="14"/>
      <x:c r="IZ128" s="14"/>
      <x:c r="JA128" s="14"/>
      <x:c r="JB128" s="14"/>
      <x:c r="JC128" s="14"/>
      <x:c r="JD128" s="14"/>
      <x:c r="JE128" s="14"/>
      <x:c r="JF128" s="14"/>
      <x:c r="JG128" s="14"/>
      <x:c r="JH128" s="14"/>
      <x:c r="JI128" s="14"/>
      <x:c r="JJ128" s="14"/>
      <x:c r="JK128" s="14"/>
      <x:c r="JL128" s="14"/>
      <x:c r="JM128" s="14"/>
      <x:c r="JN128" s="14"/>
      <x:c r="JO128" s="14"/>
      <x:c r="JP128" s="14"/>
      <x:c r="JQ128" s="14"/>
      <x:c r="JR128" s="14"/>
      <x:c r="JS128" s="14"/>
      <x:c r="JT128" s="14"/>
      <x:c r="JU128" s="14"/>
      <x:c r="JV128" s="14"/>
      <x:c r="JW128" s="14"/>
      <x:c r="JX128" s="14"/>
      <x:c r="JY128" s="14"/>
      <x:c r="JZ128" s="14"/>
      <x:c r="KA128" s="14"/>
      <x:c r="KB128" s="14"/>
      <x:c r="KC128" s="14"/>
      <x:c r="KD128" s="14"/>
      <x:c r="KE128" s="14"/>
      <x:c r="KF128" s="14"/>
      <x:c r="KG128" s="14"/>
      <x:c r="KH128" s="14"/>
      <x:c r="KI128" s="14"/>
      <x:c r="KJ128" s="14"/>
      <x:c r="KK128" s="14"/>
      <x:c r="KL128" s="14"/>
      <x:c r="KM128" s="14"/>
      <x:c r="KN128" s="14"/>
      <x:c r="KO128" s="14"/>
      <x:c r="KP128" s="14"/>
      <x:c r="KQ128" s="14"/>
      <x:c r="KR128" s="14"/>
      <x:c r="KS128" s="14"/>
      <x:c r="KT128" s="14"/>
      <x:c r="KU128" s="14"/>
      <x:c r="KV128" s="14"/>
      <x:c r="KW128" s="14"/>
      <x:c r="KX128" s="14"/>
      <x:c r="KY128" s="14"/>
      <x:c r="KZ128" s="14"/>
      <x:c r="LA128" s="14"/>
      <x:c r="LB128" s="14"/>
      <x:c r="LC128" s="14"/>
      <x:c r="LD128" s="14"/>
      <x:c r="LE128" s="14"/>
      <x:c r="LF128" s="14"/>
      <x:c r="LG128" s="14"/>
      <x:c r="LH128" s="14"/>
      <x:c r="LI128" s="14"/>
      <x:c r="LJ128" s="14"/>
      <x:c r="LK128" s="14"/>
      <x:c r="LL128" s="14"/>
      <x:c r="LM128" s="14"/>
      <x:c r="LN128" s="14"/>
      <x:c r="LO128" s="14"/>
      <x:c r="LP128" s="14"/>
      <x:c r="LQ128" s="14"/>
      <x:c r="LR128" s="14"/>
      <x:c r="LS128" s="14"/>
      <x:c r="LT128" s="14"/>
      <x:c r="LU128" s="14"/>
      <x:c r="LV128" s="14"/>
      <x:c r="LW128" s="14"/>
      <x:c r="LX128" s="14"/>
      <x:c r="LY128" s="14"/>
      <x:c r="LZ128" s="14"/>
      <x:c r="MA128" s="14"/>
      <x:c r="MB128" s="14"/>
      <x:c r="MC128" s="14"/>
      <x:c r="MD128" s="14"/>
      <x:c r="ME128" s="14"/>
      <x:c r="MF128" s="14"/>
      <x:c r="MG128" s="14"/>
      <x:c r="MH128" s="14"/>
      <x:c r="MI128" s="14"/>
      <x:c r="MJ128" s="14"/>
      <x:c r="MK128" s="14"/>
      <x:c r="ML128" s="14"/>
      <x:c r="MM128" s="14"/>
      <x:c r="MN128" s="14"/>
      <x:c r="MO128" s="14"/>
      <x:c r="MP128" s="14"/>
      <x:c r="MQ128" s="14"/>
      <x:c r="MR128" s="14"/>
      <x:c r="MS128" s="14"/>
      <x:c r="MT128" s="14"/>
      <x:c r="MU128" s="14"/>
      <x:c r="MV128" s="14"/>
      <x:c r="MW128" s="14" t="str">
        <x:v>31311</x:v>
      </x:c>
      <x:c r="MX128" s="14" t="n">
        <x:v>10</x:v>
      </x:c>
      <x:c r="MY128" s="14" t="n">
        <x:v>2069</x:v>
      </x:c>
      <x:c r="MZ128" s="14" t="n">
        <x:v>421</x:v>
      </x:c>
      <x:c r="NA128" s="14" t="n">
        <x:v>10</x:v>
      </x:c>
      <x:c r="NB128" s="14" t="n">
        <x:v>1</x:v>
      </x:c>
      <x:c r="NC128" s="14" t="str">
        <x:v>未收錄</x:v>
      </x:c>
      <x:c r="ND128" s="14" t="str">
        <x:v>31152</x:v>
      </x:c>
      <x:c r="NE128" s="14" t="n">
        <x:v>5</x:v>
      </x:c>
      <x:c r="NF128" s="14" t="n">
        <x:v>2070</x:v>
      </x:c>
      <x:c r="NG128" s="14" t="n">
        <x:v>422</x:v>
      </x:c>
      <x:c r="NH128" s="14" t="n">
        <x:v>10</x:v>
      </x:c>
      <x:c r="NI128" s="14" t="n">
        <x:v>2</x:v>
      </x:c>
      <x:c r="NJ128" s="14" t="str">
        <x:v>未收錄</x:v>
      </x:c>
      <x:c r="NK128" s="14" t="str">
        <x:v>31157</x:v>
      </x:c>
      <x:c r="NL128" s="14" t="n">
        <x:v>5</x:v>
      </x:c>
      <x:c r="NM128" s="14" t="n">
        <x:v>2071</x:v>
      </x:c>
      <x:c r="NN128" s="14" t="n">
        <x:v>423</x:v>
      </x:c>
      <x:c r="NO128" s="14" t="n">
        <x:v>10</x:v>
      </x:c>
      <x:c r="NP128" s="14" t="n">
        <x:v>3</x:v>
      </x:c>
      <x:c r="NQ128" s="14" t="str">
        <x:v>未收錄</x:v>
      </x:c>
      <x:c r="NR128" s="14" t="str">
        <x:v>31162</x:v>
      </x:c>
      <x:c r="NS128" s="14" t="n">
        <x:v>5</x:v>
      </x:c>
      <x:c r="NT128" s="14" t="n">
        <x:v>2072</x:v>
      </x:c>
      <x:c r="NU128" s="14" t="n">
        <x:v>424</x:v>
      </x:c>
      <x:c r="NV128" s="14" t="n">
        <x:v>10</x:v>
      </x:c>
      <x:c r="NW128" s="14" t="n">
        <x:v>4</x:v>
      </x:c>
      <x:c r="NX128" s="14" t="str">
        <x:v>未收錄</x:v>
      </x:c>
      <x:c r="NY128" s="14" t="str">
        <x:v>29555</x:v>
      </x:c>
      <x:c r="NZ128" s="14" t="n">
        <x:v>10</x:v>
      </x:c>
      <x:c r="OA128" s="14" t="n">
        <x:v>2522</x:v>
      </x:c>
      <x:c r="OB128" s="14" t="n">
        <x:v>421</x:v>
      </x:c>
      <x:c r="OC128" s="14" t="n">
        <x:v>10</x:v>
      </x:c>
      <x:c r="OD128" s="14" t="n">
        <x:v>1</x:v>
      </x:c>
      <x:c r="OE128" s="14" t="str">
        <x:v>未收錄</x:v>
      </x:c>
      <x:c r="OF128" s="14" t="str">
        <x:v>29579</x:v>
      </x:c>
      <x:c r="OG128" s="14" t="n">
        <x:v>10</x:v>
      </x:c>
      <x:c r="OH128" s="14" t="n">
        <x:v>2523</x:v>
      </x:c>
      <x:c r="OI128" s="14" t="n">
        <x:v>422</x:v>
      </x:c>
      <x:c r="OJ128" s="14" t="n">
        <x:v>10</x:v>
      </x:c>
      <x:c r="OK128" s="14" t="n">
        <x:v>2</x:v>
      </x:c>
      <x:c r="OL128" s="14" t="str">
        <x:v>未收錄</x:v>
      </x:c>
      <x:c r="OM128" s="14" t="str">
        <x:v>29597</x:v>
      </x:c>
      <x:c r="ON128" s="14" t="n">
        <x:v>10</x:v>
      </x:c>
      <x:c r="OO128" s="14" t="n">
        <x:v>2524</x:v>
      </x:c>
      <x:c r="OP128" s="14" t="n">
        <x:v>423</x:v>
      </x:c>
      <x:c r="OQ128" s="14" t="n">
        <x:v>10</x:v>
      </x:c>
      <x:c r="OR128" s="14" t="n">
        <x:v>3</x:v>
      </x:c>
      <x:c r="OS128" s="14" t="str">
        <x:v>未收錄</x:v>
      </x:c>
      <x:c r="OT128" s="14" t="str">
        <x:v>29603</x:v>
      </x:c>
      <x:c r="OU128" s="14" t="n">
        <x:v>10</x:v>
      </x:c>
      <x:c r="OV128" s="14" t="n">
        <x:v>2525</x:v>
      </x:c>
      <x:c r="OW128" s="14" t="n">
        <x:v>424</x:v>
      </x:c>
      <x:c r="OX128" s="14" t="n">
        <x:v>10</x:v>
      </x:c>
      <x:c r="OY128" s="14" t="n">
        <x:v>4</x:v>
      </x:c>
      <x:c r="OZ128" s="14" t="str">
        <x:v>未收錄</x:v>
      </x:c>
      <x:c r="PA128" s="14" t="str">
        <x:v>31323</x:v>
      </x:c>
      <x:c r="PB128" s="14" t="n">
        <x:v>10</x:v>
      </x:c>
      <x:c r="PC128" s="14" t="n">
        <x:v>3068</x:v>
      </x:c>
      <x:c r="PD128" s="14" t="n">
        <x:v>421</x:v>
      </x:c>
      <x:c r="PE128" s="14" t="n">
        <x:v>10</x:v>
      </x:c>
      <x:c r="PF128" s="14" t="n">
        <x:v>1</x:v>
      </x:c>
      <x:c r="PG128" s="14" t="str">
        <x:v>未收錄</x:v>
      </x:c>
      <x:c r="PH128" s="14" t="str">
        <x:v>31204</x:v>
      </x:c>
      <x:c r="PI128" s="14" t="n">
        <x:v>5</x:v>
      </x:c>
      <x:c r="PJ128" s="14" t="n">
        <x:v>3069</x:v>
      </x:c>
      <x:c r="PK128" s="14" t="n">
        <x:v>422</x:v>
      </x:c>
      <x:c r="PL128" s="14" t="n">
        <x:v>10</x:v>
      </x:c>
      <x:c r="PM128" s="14" t="n">
        <x:v>2</x:v>
      </x:c>
      <x:c r="PN128" s="14" t="str">
        <x:v>未收錄</x:v>
      </x:c>
      <x:c r="PO128" s="14" t="str">
        <x:v>31209</x:v>
      </x:c>
      <x:c r="PP128" s="14" t="n">
        <x:v>5</x:v>
      </x:c>
      <x:c r="PQ128" s="14" t="n">
        <x:v>3070</x:v>
      </x:c>
      <x:c r="PR128" s="14" t="n">
        <x:v>423</x:v>
      </x:c>
      <x:c r="PS128" s="14" t="n">
        <x:v>10</x:v>
      </x:c>
      <x:c r="PT128" s="14" t="n">
        <x:v>3</x:v>
      </x:c>
      <x:c r="PU128" s="14" t="str">
        <x:v>未收錄</x:v>
      </x:c>
      <x:c r="PV128" s="14" t="str">
        <x:v>31214</x:v>
      </x:c>
      <x:c r="PW128" s="14" t="n">
        <x:v>5</x:v>
      </x:c>
      <x:c r="PX128" s="14" t="n">
        <x:v>3071</x:v>
      </x:c>
      <x:c r="PY128" s="14" t="n">
        <x:v>424</x:v>
      </x:c>
      <x:c r="PZ128" s="14" t="n">
        <x:v>10</x:v>
      </x:c>
      <x:c r="QA128" s="14" t="n">
        <x:v>4</x:v>
      </x:c>
      <x:c r="QB128" s="14" t="str">
        <x:v>未收錄</x:v>
      </x:c>
      <x:c r="QC128" s="14" t="str">
        <x:v>30605</x:v>
      </x:c>
      <x:c r="QD128" s="14" t="n">
        <x:v>10</x:v>
      </x:c>
      <x:c r="QE128" s="14" t="n">
        <x:v>3505</x:v>
      </x:c>
      <x:c r="QF128" s="14" t="n">
        <x:v>421</x:v>
      </x:c>
      <x:c r="QG128" s="14" t="n">
        <x:v>10</x:v>
      </x:c>
      <x:c r="QH128" s="14" t="n">
        <x:v>1</x:v>
      </x:c>
      <x:c r="QI128" s="14" t="str">
        <x:v>未收錄</x:v>
      </x:c>
      <x:c r="QJ128" s="14" t="str">
        <x:v>31226</x:v>
      </x:c>
      <x:c r="QK128" s="14" t="n">
        <x:v>5</x:v>
      </x:c>
      <x:c r="QL128" s="14" t="n">
        <x:v>3506</x:v>
      </x:c>
      <x:c r="QM128" s="14" t="n">
        <x:v>422</x:v>
      </x:c>
      <x:c r="QN128" s="14" t="n">
        <x:v>10</x:v>
      </x:c>
      <x:c r="QO128" s="14" t="n">
        <x:v>2</x:v>
      </x:c>
      <x:c r="QP128" s="14" t="str">
        <x:v>未收錄</x:v>
      </x:c>
      <x:c r="QQ128" s="14" t="str">
        <x:v>31231</x:v>
      </x:c>
      <x:c r="QR128" s="14" t="n">
        <x:v>5</x:v>
      </x:c>
      <x:c r="QS128" s="14" t="n">
        <x:v>3507</x:v>
      </x:c>
      <x:c r="QT128" s="14" t="n">
        <x:v>423</x:v>
      </x:c>
      <x:c r="QU128" s="14" t="n">
        <x:v>10</x:v>
      </x:c>
      <x:c r="QV128" s="14" t="n">
        <x:v>3</x:v>
      </x:c>
      <x:c r="QW128" s="14" t="str">
        <x:v>未收錄</x:v>
      </x:c>
      <x:c r="QX128" s="14" t="str">
        <x:v>31236</x:v>
      </x:c>
      <x:c r="QY128" s="14" t="n">
        <x:v>5</x:v>
      </x:c>
      <x:c r="QZ128" s="14" t="n">
        <x:v>3508</x:v>
      </x:c>
      <x:c r="RA128" s="14" t="n">
        <x:v>424</x:v>
      </x:c>
      <x:c r="RB128" s="14" t="n">
        <x:v>10</x:v>
      </x:c>
      <x:c r="RC128" s="14" t="n">
        <x:v>4</x:v>
      </x:c>
      <x:c r="RD128" s="14" t="str">
        <x:v>未收錄</x:v>
      </x:c>
      <x:c r="RE128" s="14" t="str">
        <x:v>31255</x:v>
      </x:c>
      <x:c r="RF128" s="14" t="n">
        <x:v>5</x:v>
      </x:c>
      <x:c r="RG128" s="14" t="n">
        <x:v>3966</x:v>
      </x:c>
      <x:c r="RH128" s="14" t="n">
        <x:v>421</x:v>
      </x:c>
      <x:c r="RI128" s="14" t="n">
        <x:v>10</x:v>
      </x:c>
      <x:c r="RJ128" s="14" t="n">
        <x:v>1</x:v>
      </x:c>
      <x:c r="RK128" s="14" t="str">
        <x:v>未收錄</x:v>
      </x:c>
      <x:c r="RL128" s="14" t="str">
        <x:v>31260</x:v>
      </x:c>
      <x:c r="RM128" s="14" t="n">
        <x:v>5</x:v>
      </x:c>
      <x:c r="RN128" s="14" t="n">
        <x:v>3967</x:v>
      </x:c>
      <x:c r="RO128" s="14" t="n">
        <x:v>422</x:v>
      </x:c>
      <x:c r="RP128" s="14" t="n">
        <x:v>10</x:v>
      </x:c>
      <x:c r="RQ128" s="14" t="n">
        <x:v>2</x:v>
      </x:c>
      <x:c r="RR128" s="14" t="str">
        <x:v>未收錄</x:v>
      </x:c>
      <x:c r="RS128" s="14" t="str">
        <x:v>31265</x:v>
      </x:c>
      <x:c r="RT128" s="14" t="n">
        <x:v>5</x:v>
      </x:c>
      <x:c r="RU128" s="14" t="n">
        <x:v>3968</x:v>
      </x:c>
      <x:c r="RV128" s="14" t="n">
        <x:v>423</x:v>
      </x:c>
      <x:c r="RW128" s="14" t="n">
        <x:v>10</x:v>
      </x:c>
      <x:c r="RX128" s="14" t="n">
        <x:v>3</x:v>
      </x:c>
      <x:c r="RY128" s="14" t="str">
        <x:v>未收錄</x:v>
      </x:c>
      <x:c r="RZ128" s="14" t="str">
        <x:v>31270</x:v>
      </x:c>
      <x:c r="SA128" s="14" t="n">
        <x:v>5</x:v>
      </x:c>
      <x:c r="SB128" s="14" t="n">
        <x:v>3969</x:v>
      </x:c>
      <x:c r="SC128" s="14" t="n">
        <x:v>424</x:v>
      </x:c>
      <x:c r="SD128" s="14" t="n">
        <x:v>10</x:v>
      </x:c>
      <x:c r="SE128" s="14" t="n">
        <x:v>4</x:v>
      </x:c>
      <x:c r="SF128" s="14" t="str">
        <x:v>未收錄</x:v>
      </x:c>
      <x:c r="SG128" s="14"/>
      <x:c r="SH128" s="14"/>
      <x:c r="SI128" s="14"/>
      <x:c r="SJ128" s="14"/>
      <x:c r="SK128" s="14"/>
      <x:c r="SL128" s="14"/>
      <x:c r="SM128" s="14"/>
      <x:c r="SN128" s="14"/>
      <x:c r="SO128" s="14"/>
      <x:c r="SP128" s="14"/>
      <x:c r="SQ128" s="14"/>
      <x:c r="SR128" s="14"/>
      <x:c r="SS128" s="14"/>
      <x:c r="ST128" s="14"/>
      <x:c r="SU128" s="14"/>
      <x:c r="SV128" s="14"/>
      <x:c r="SW128" s="14"/>
      <x:c r="SX128" s="14"/>
      <x:c r="SY128" s="14"/>
      <x:c r="SZ128" s="14"/>
      <x:c r="TA128" s="14"/>
      <x:c r="TB128" s="14"/>
      <x:c r="TC128" s="14"/>
      <x:c r="TD128" s="14"/>
      <x:c r="TE128" s="14"/>
      <x:c r="TF128" s="14"/>
      <x:c r="TG128" s="14"/>
      <x:c r="TH128" s="14"/>
    </x:row>
    <x:row r="129" ht="15" customHeight="1">
      <x:c r="A129" s="14"/>
      <x:c r="B129" s="14"/>
      <x:c r="C129" s="14"/>
      <x:c r="D129" s="14"/>
      <x:c r="E129" s="14"/>
      <x:c r="F129" s="14"/>
      <x:c r="G129" s="14"/>
      <x:c r="H129" s="14"/>
      <x:c r="I129" s="14"/>
      <x:c r="J129" s="14"/>
      <x:c r="K129" s="14"/>
      <x:c r="L129" s="14"/>
      <x:c r="M129" s="14"/>
      <x:c r="N129" s="14"/>
      <x:c r="O129" s="14"/>
      <x:c r="P129" s="14"/>
      <x:c r="Q129" s="14"/>
      <x:c r="R129" s="14"/>
      <x:c r="S129" s="14"/>
      <x:c r="T129" s="14"/>
      <x:c r="U129" s="14"/>
      <x:c r="V129" s="14"/>
      <x:c r="W129" s="14"/>
      <x:c r="X129" s="14"/>
      <x:c r="Y129" s="14"/>
      <x:c r="Z129" s="14"/>
      <x:c r="AA129" s="14"/>
      <x:c r="AB129" s="14"/>
      <x:c r="AC129" s="14"/>
      <x:c r="AD129" s="14"/>
      <x:c r="AE129" s="14"/>
      <x:c r="AF129" s="14"/>
      <x:c r="AG129" s="14"/>
      <x:c r="AH129" s="14"/>
      <x:c r="AI129" s="14"/>
      <x:c r="AJ129" s="14"/>
      <x:c r="AK129" s="14"/>
      <x:c r="AL129" s="14"/>
      <x:c r="AM129" s="14"/>
      <x:c r="AN129" s="14"/>
      <x:c r="AO129" s="14"/>
      <x:c r="AP129" s="14"/>
      <x:c r="AQ129" s="14"/>
      <x:c r="AR129" s="14"/>
      <x:c r="AS129" s="14"/>
      <x:c r="AT129" s="14"/>
      <x:c r="AU129" s="14"/>
      <x:c r="AV129" s="14"/>
      <x:c r="AW129" s="14"/>
      <x:c r="AX129" s="14"/>
      <x:c r="AY129" s="17" t="str">
        <x:v>辰道玄冠Ⅱ</x:v>
      </x:c>
      <x:c r="AZ129" s="17" t="str">
        <x:v>寂禪靜觀Ⅱ</x:v>
      </x:c>
      <x:c r="BA129" s="17" t="str">
        <x:v>騰陽威冕Ⅱ</x:v>
      </x:c>
      <x:c r="BB129" s="17" t="str">
        <x:v>凜月冪巾Ⅱ</x:v>
      </x:c>
      <x:c r="BC129" s="14"/>
      <x:c r="BD129" s="17" t="str">
        <x:v>劍帝服★★</x:v>
      </x:c>
      <x:c r="BE129" s="17" t="str">
        <x:v>武帝胄★★</x:v>
      </x:c>
      <x:c r="BF129" s="17" t="str">
        <x:v>幻帝裘★★</x:v>
      </x:c>
      <x:c r="BG129" s="17" t="str">
        <x:v>道帝袍★★</x:v>
      </x:c>
      <x:c r="BH129" s="14"/>
      <x:c r="BI129" s="17" t="str">
        <x:v>辰道玄袖Ⅳ</x:v>
      </x:c>
      <x:c r="BJ129" s="17" t="str">
        <x:v>寂禪若持Ⅳ</x:v>
      </x:c>
      <x:c r="BK129" s="17" t="str">
        <x:v>騰陽烈釬Ⅳ</x:v>
      </x:c>
      <x:c r="BL129" s="17" t="str">
        <x:v>凜月影束Ⅳ</x:v>
      </x:c>
      <x:c r="BM129" s="14"/>
      <x:c r="BN129" s="17" t="str">
        <x:v>辰道玄鞋Ⅰ</x:v>
      </x:c>
      <x:c r="BO129" s="17" t="str">
        <x:v>寂禪矜足Ⅰ</x:v>
      </x:c>
      <x:c r="BP129" s="17" t="str">
        <x:v>騰陽巍立Ⅰ</x:v>
      </x:c>
      <x:c r="BQ129" s="17" t="str">
        <x:v>凜月漪纏Ⅰ</x:v>
      </x:c>
      <x:c r="BR129" s="14"/>
      <x:c r="BS129" s="14"/>
      <x:c r="BT129" s="14"/>
      <x:c r="BU129" s="14"/>
      <x:c r="BV129" s="14"/>
      <x:c r="BW129" s="14"/>
      <x:c r="BX129" s="14"/>
      <x:c r="BY129" s="14"/>
      <x:c r="BZ129" s="14"/>
      <x:c r="CA129" s="14"/>
      <x:c r="CB129" s="14"/>
      <x:c r="CC129" s="14"/>
      <x:c r="CD129" s="14"/>
      <x:c r="CE129" s="14"/>
      <x:c r="CF129" s="14"/>
      <x:c r="CG129" s="14"/>
      <x:c r="CH129" s="14"/>
      <x:c r="CI129" s="14"/>
      <x:c r="CJ129" s="14"/>
      <x:c r="CK129" s="14"/>
      <x:c r="CL129" s="14"/>
      <x:c r="CM129" s="14"/>
      <x:c r="CN129" s="14"/>
      <x:c r="CO129" s="14"/>
      <x:c r="CP129" s="14"/>
      <x:c r="CQ129" s="14"/>
      <x:c r="CR129" s="14"/>
      <x:c r="CS129" s="14"/>
      <x:c r="CT129" s="14"/>
      <x:c r="CU129" s="14"/>
      <x:c r="CV129" s="14"/>
      <x:c r="CW129" s="14"/>
      <x:c r="CX129" s="14"/>
      <x:c r="CY129" s="14"/>
      <x:c r="CZ129" s="14"/>
      <x:c r="DA129" s="14"/>
      <x:c r="DB129" s="14"/>
      <x:c r="DC129" s="14"/>
      <x:c r="DD129" s="14"/>
      <x:c r="DE129" s="14"/>
      <x:c r="DF129" s="14"/>
      <x:c r="DG129" s="14"/>
      <x:c r="DH129" s="14"/>
      <x:c r="DI129" s="14"/>
      <x:c r="DJ129" s="14"/>
      <x:c r="DK129" s="14"/>
      <x:c r="DL129" s="14"/>
      <x:c r="DM129" s="14"/>
      <x:c r="DN129" s="14"/>
      <x:c r="DO129" s="14"/>
      <x:c r="DP129" s="14"/>
      <x:c r="DQ129" s="14"/>
      <x:c r="DR129" s="14"/>
      <x:c r="DS129" s="14"/>
      <x:c r="DT129" s="14"/>
      <x:c r="DU129" s="14"/>
      <x:c r="DV129" s="14"/>
      <x:c r="DW129" s="14"/>
      <x:c r="DX129" s="14"/>
      <x:c r="DY129" s="14"/>
      <x:c r="DZ129" s="14"/>
      <x:c r="EA129" s="14"/>
      <x:c r="EB129" s="14"/>
      <x:c r="EC129" s="14"/>
      <x:c r="ED129" s="14"/>
      <x:c r="EE129" s="14"/>
      <x:c r="EF129" s="14"/>
      <x:c r="EG129" s="14"/>
      <x:c r="EH129" s="14"/>
      <x:c r="EI129" s="14"/>
      <x:c r="EJ129" s="14"/>
      <x:c r="EK129" s="14"/>
      <x:c r="EL129" s="14"/>
      <x:c r="EM129" s="14"/>
      <x:c r="EN129" s="14"/>
      <x:c r="EO129" s="14"/>
      <x:c r="EP129" s="14"/>
      <x:c r="EQ129" s="14"/>
      <x:c r="ER129" s="14"/>
      <x:c r="ES129" s="14"/>
      <x:c r="ET129" s="14"/>
      <x:c r="EU129" s="14"/>
      <x:c r="EV129" s="14"/>
      <x:c r="EW129" s="14"/>
      <x:c r="EX129" s="14"/>
      <x:c r="EY129" s="14"/>
      <x:c r="EZ129" s="14"/>
      <x:c r="FA129" s="14"/>
      <x:c r="FB129" s="14"/>
      <x:c r="FC129" s="14"/>
      <x:c r="FD129" s="14"/>
      <x:c r="FE129" s="14"/>
      <x:c r="FF129" s="14"/>
      <x:c r="FG129" s="14"/>
      <x:c r="FH129" s="14"/>
      <x:c r="FI129" s="14"/>
      <x:c r="FJ129" s="14"/>
      <x:c r="FK129" s="14"/>
      <x:c r="FL129" s="14"/>
      <x:c r="FM129" s="14"/>
      <x:c r="FN129" s="14"/>
      <x:c r="FO129" s="14"/>
      <x:c r="FP129" s="14"/>
      <x:c r="FQ129" s="14"/>
      <x:c r="FR129" s="14"/>
      <x:c r="FS129" s="14"/>
      <x:c r="FT129" s="14"/>
      <x:c r="FU129" s="14"/>
      <x:c r="FV129" s="14"/>
      <x:c r="FW129" s="14"/>
      <x:c r="FX129" s="14"/>
      <x:c r="FY129" s="14"/>
      <x:c r="FZ129" s="14"/>
      <x:c r="GA129" s="14"/>
      <x:c r="GB129" s="14"/>
      <x:c r="GC129" s="14"/>
      <x:c r="GD129" s="14"/>
      <x:c r="GE129" s="14"/>
      <x:c r="GF129" s="14"/>
      <x:c r="GG129" s="14"/>
      <x:c r="GH129" s="14"/>
      <x:c r="GI129" s="14"/>
      <x:c r="GJ129" s="14"/>
      <x:c r="GK129" s="14"/>
      <x:c r="GL129" s="14"/>
      <x:c r="GM129" s="14"/>
      <x:c r="GN129" s="14"/>
      <x:c r="GO129" s="14"/>
      <x:c r="GP129" s="14"/>
      <x:c r="GQ129" s="14"/>
      <x:c r="GR129" s="14"/>
      <x:c r="GS129" s="14"/>
      <x:c r="GT129" s="14"/>
      <x:c r="GU129" s="14"/>
      <x:c r="GV129" s="14"/>
      <x:c r="GW129" s="14"/>
      <x:c r="GX129" s="14"/>
      <x:c r="GY129" s="14"/>
      <x:c r="GZ129" s="14"/>
      <x:c r="HA129" s="14"/>
      <x:c r="HB129" s="14"/>
      <x:c r="HC129" s="14"/>
      <x:c r="HD129" s="14"/>
      <x:c r="HE129" s="14"/>
      <x:c r="HF129" s="14"/>
      <x:c r="HG129" s="14"/>
      <x:c r="HH129" s="14"/>
      <x:c r="HI129" s="14"/>
      <x:c r="HJ129" s="14"/>
      <x:c r="HK129" s="14"/>
      <x:c r="HL129" s="14"/>
      <x:c r="HM129" s="14"/>
      <x:c r="HN129" s="14"/>
      <x:c r="HO129" s="14"/>
      <x:c r="HP129" s="14"/>
      <x:c r="HQ129" s="14"/>
      <x:c r="HR129" s="14"/>
      <x:c r="HS129" s="14"/>
      <x:c r="HT129" s="14"/>
      <x:c r="HU129" s="14"/>
      <x:c r="HV129" s="14"/>
      <x:c r="HW129" s="14"/>
      <x:c r="HX129" s="14"/>
      <x:c r="HY129" s="14"/>
      <x:c r="HZ129" s="14"/>
      <x:c r="IA129" s="14"/>
      <x:c r="IB129" s="14"/>
      <x:c r="IC129" s="14"/>
      <x:c r="ID129" s="14"/>
      <x:c r="IE129" s="14"/>
      <x:c r="IF129" s="14"/>
      <x:c r="IG129" s="14"/>
      <x:c r="IH129" s="14"/>
      <x:c r="II129" s="14"/>
      <x:c r="IJ129" s="14"/>
      <x:c r="IK129" s="14"/>
      <x:c r="IL129" s="14"/>
      <x:c r="IM129" s="14"/>
      <x:c r="IN129" s="14"/>
      <x:c r="IO129" s="14"/>
      <x:c r="IP129" s="14"/>
      <x:c r="IQ129" s="14"/>
      <x:c r="IR129" s="14"/>
      <x:c r="IS129" s="14"/>
      <x:c r="IT129" s="14"/>
      <x:c r="IU129" s="14"/>
      <x:c r="IV129" s="14"/>
      <x:c r="IW129" s="14"/>
      <x:c r="IX129" s="14"/>
      <x:c r="IY129" s="14"/>
      <x:c r="IZ129" s="14"/>
      <x:c r="JA129" s="14"/>
      <x:c r="JB129" s="14"/>
      <x:c r="JC129" s="14"/>
      <x:c r="JD129" s="14"/>
      <x:c r="JE129" s="14"/>
      <x:c r="JF129" s="14"/>
      <x:c r="JG129" s="14"/>
      <x:c r="JH129" s="14"/>
      <x:c r="JI129" s="14"/>
      <x:c r="JJ129" s="14"/>
      <x:c r="JK129" s="14"/>
      <x:c r="JL129" s="14"/>
      <x:c r="JM129" s="14"/>
      <x:c r="JN129" s="14"/>
      <x:c r="JO129" s="14"/>
      <x:c r="JP129" s="14"/>
      <x:c r="JQ129" s="14"/>
      <x:c r="JR129" s="14"/>
      <x:c r="JS129" s="14"/>
      <x:c r="JT129" s="14"/>
      <x:c r="JU129" s="14"/>
      <x:c r="JV129" s="14"/>
      <x:c r="JW129" s="14"/>
      <x:c r="JX129" s="14"/>
      <x:c r="JY129" s="14"/>
      <x:c r="JZ129" s="14"/>
      <x:c r="KA129" s="14"/>
      <x:c r="KB129" s="14"/>
      <x:c r="KC129" s="14"/>
      <x:c r="KD129" s="14"/>
      <x:c r="KE129" s="14"/>
      <x:c r="KF129" s="14"/>
      <x:c r="KG129" s="14"/>
      <x:c r="KH129" s="14"/>
      <x:c r="KI129" s="14"/>
      <x:c r="KJ129" s="14"/>
      <x:c r="KK129" s="14"/>
      <x:c r="KL129" s="14"/>
      <x:c r="KM129" s="14"/>
      <x:c r="KN129" s="14"/>
      <x:c r="KO129" s="14"/>
      <x:c r="KP129" s="14"/>
      <x:c r="KQ129" s="14"/>
      <x:c r="KR129" s="14"/>
      <x:c r="KS129" s="14"/>
      <x:c r="KT129" s="14"/>
      <x:c r="KU129" s="14"/>
      <x:c r="KV129" s="14"/>
      <x:c r="KW129" s="14"/>
      <x:c r="KX129" s="14"/>
      <x:c r="KY129" s="14"/>
      <x:c r="KZ129" s="14"/>
      <x:c r="LA129" s="14"/>
      <x:c r="LB129" s="14"/>
      <x:c r="LC129" s="14"/>
      <x:c r="LD129" s="14"/>
      <x:c r="LE129" s="14"/>
      <x:c r="LF129" s="14"/>
      <x:c r="LG129" s="14"/>
      <x:c r="LH129" s="14"/>
      <x:c r="LI129" s="14"/>
      <x:c r="LJ129" s="14"/>
      <x:c r="LK129" s="14"/>
      <x:c r="LL129" s="14"/>
      <x:c r="LM129" s="14"/>
      <x:c r="LN129" s="14"/>
      <x:c r="LO129" s="14"/>
      <x:c r="LP129" s="14"/>
      <x:c r="LQ129" s="14"/>
      <x:c r="LR129" s="14"/>
      <x:c r="LS129" s="14"/>
      <x:c r="LT129" s="14"/>
      <x:c r="LU129" s="14"/>
      <x:c r="LV129" s="14"/>
      <x:c r="LW129" s="14"/>
      <x:c r="LX129" s="14"/>
      <x:c r="LY129" s="14"/>
      <x:c r="LZ129" s="14"/>
      <x:c r="MA129" s="14"/>
      <x:c r="MB129" s="14"/>
      <x:c r="MC129" s="14"/>
      <x:c r="MD129" s="14"/>
      <x:c r="ME129" s="14"/>
      <x:c r="MF129" s="14"/>
      <x:c r="MG129" s="14"/>
      <x:c r="MH129" s="14"/>
      <x:c r="MI129" s="14"/>
      <x:c r="MJ129" s="14"/>
      <x:c r="MK129" s="14"/>
      <x:c r="ML129" s="14"/>
      <x:c r="MM129" s="14"/>
      <x:c r="MN129" s="14"/>
      <x:c r="MO129" s="14"/>
      <x:c r="MP129" s="14"/>
      <x:c r="MQ129" s="14"/>
      <x:c r="MR129" s="14"/>
      <x:c r="MS129" s="14"/>
      <x:c r="MT129" s="14"/>
      <x:c r="MU129" s="14"/>
      <x:c r="MV129" s="14"/>
      <x:c r="MW129" s="14" t="str">
        <x:v>31167</x:v>
      </x:c>
      <x:c r="MX129" s="14" t="n">
        <x:v>5</x:v>
      </x:c>
      <x:c r="MY129" s="14" t="n">
        <x:v>2073</x:v>
      </x:c>
      <x:c r="MZ129" s="14" t="n">
        <x:v>425</x:v>
      </x:c>
      <x:c r="NA129" s="14" t="n">
        <x:v>11</x:v>
      </x:c>
      <x:c r="NB129" s="14" t="n">
        <x:v>1</x:v>
      </x:c>
      <x:c r="NC129" s="14" t="str">
        <x:v>未收錄</x:v>
      </x:c>
      <x:c r="ND129" s="14" t="str">
        <x:v>31172</x:v>
      </x:c>
      <x:c r="NE129" s="14" t="n">
        <x:v>5</x:v>
      </x:c>
      <x:c r="NF129" s="14" t="n">
        <x:v>2074</x:v>
      </x:c>
      <x:c r="NG129" s="14" t="n">
        <x:v>426</x:v>
      </x:c>
      <x:c r="NH129" s="14" t="n">
        <x:v>11</x:v>
      </x:c>
      <x:c r="NI129" s="14" t="n">
        <x:v>2</x:v>
      </x:c>
      <x:c r="NJ129" s="14" t="str">
        <x:v>未收錄</x:v>
      </x:c>
      <x:c r="NK129" s="14" t="str">
        <x:v>31272</x:v>
      </x:c>
      <x:c r="NL129" s="14" t="n">
        <x:v>10</x:v>
      </x:c>
      <x:c r="NM129" s="14" t="n">
        <x:v>2075</x:v>
      </x:c>
      <x:c r="NN129" s="14" t="n">
        <x:v>427</x:v>
      </x:c>
      <x:c r="NO129" s="14" t="n">
        <x:v>11</x:v>
      </x:c>
      <x:c r="NP129" s="14" t="n">
        <x:v>3</x:v>
      </x:c>
      <x:c r="NQ129" s="14" t="str">
        <x:v>未收錄</x:v>
      </x:c>
      <x:c r="NR129" s="14" t="str">
        <x:v>31292</x:v>
      </x:c>
      <x:c r="NS129" s="14" t="n">
        <x:v>10</x:v>
      </x:c>
      <x:c r="NT129" s="14" t="n">
        <x:v>2076</x:v>
      </x:c>
      <x:c r="NU129" s="14" t="n">
        <x:v>428</x:v>
      </x:c>
      <x:c r="NV129" s="14" t="n">
        <x:v>11</x:v>
      </x:c>
      <x:c r="NW129" s="14" t="n">
        <x:v>4</x:v>
      </x:c>
      <x:c r="NX129" s="14" t="str">
        <x:v>未收錄</x:v>
      </x:c>
      <x:c r="NY129" s="14" t="str">
        <x:v>29436</x:v>
      </x:c>
      <x:c r="NZ129" s="14" t="n">
        <x:v>5</x:v>
      </x:c>
      <x:c r="OA129" s="14" t="n">
        <x:v>2526</x:v>
      </x:c>
      <x:c r="OB129" s="14" t="n">
        <x:v>425</x:v>
      </x:c>
      <x:c r="OC129" s="14" t="n">
        <x:v>11</x:v>
      </x:c>
      <x:c r="OD129" s="14" t="n">
        <x:v>1</x:v>
      </x:c>
      <x:c r="OE129" s="14" t="str">
        <x:v>未收錄</x:v>
      </x:c>
      <x:c r="OF129" s="14" t="str">
        <x:v>29442</x:v>
      </x:c>
      <x:c r="OG129" s="14" t="n">
        <x:v>5</x:v>
      </x:c>
      <x:c r="OH129" s="14" t="n">
        <x:v>2527</x:v>
      </x:c>
      <x:c r="OI129" s="14" t="n">
        <x:v>426</x:v>
      </x:c>
      <x:c r="OJ129" s="14" t="n">
        <x:v>11</x:v>
      </x:c>
      <x:c r="OK129" s="14" t="n">
        <x:v>2</x:v>
      </x:c>
      <x:c r="OL129" s="14" t="str">
        <x:v>未收錄</x:v>
      </x:c>
      <x:c r="OM129" s="14" t="str">
        <x:v>29448</x:v>
      </x:c>
      <x:c r="ON129" s="14" t="n">
        <x:v>5</x:v>
      </x:c>
      <x:c r="OO129" s="14" t="n">
        <x:v>2528</x:v>
      </x:c>
      <x:c r="OP129" s="14" t="n">
        <x:v>427</x:v>
      </x:c>
      <x:c r="OQ129" s="14" t="n">
        <x:v>11</x:v>
      </x:c>
      <x:c r="OR129" s="14" t="n">
        <x:v>3</x:v>
      </x:c>
      <x:c r="OS129" s="14" t="str">
        <x:v>未收錄</x:v>
      </x:c>
      <x:c r="OT129" s="14" t="str">
        <x:v>29454</x:v>
      </x:c>
      <x:c r="OU129" s="14" t="n">
        <x:v>5</x:v>
      </x:c>
      <x:c r="OV129" s="14" t="n">
        <x:v>2529</x:v>
      </x:c>
      <x:c r="OW129" s="14" t="n">
        <x:v>428</x:v>
      </x:c>
      <x:c r="OX129" s="14" t="n">
        <x:v>11</x:v>
      </x:c>
      <x:c r="OY129" s="14" t="n">
        <x:v>4</x:v>
      </x:c>
      <x:c r="OZ129" s="14" t="str">
        <x:v>未收錄</x:v>
      </x:c>
      <x:c r="PA129" s="14" t="str">
        <x:v>31219</x:v>
      </x:c>
      <x:c r="PB129" s="14" t="n">
        <x:v>5</x:v>
      </x:c>
      <x:c r="PC129" s="14" t="n">
        <x:v>3072</x:v>
      </x:c>
      <x:c r="PD129" s="14" t="n">
        <x:v>425</x:v>
      </x:c>
      <x:c r="PE129" s="14" t="n">
        <x:v>11</x:v>
      </x:c>
      <x:c r="PF129" s="14" t="n">
        <x:v>1</x:v>
      </x:c>
      <x:c r="PG129" s="14" t="str">
        <x:v>未收錄</x:v>
      </x:c>
      <x:c r="PH129" s="14" t="str">
        <x:v>31224</x:v>
      </x:c>
      <x:c r="PI129" s="14" t="n">
        <x:v>5</x:v>
      </x:c>
      <x:c r="PJ129" s="14" t="n">
        <x:v>3073</x:v>
      </x:c>
      <x:c r="PK129" s="14" t="n">
        <x:v>426</x:v>
      </x:c>
      <x:c r="PL129" s="14" t="n">
        <x:v>11</x:v>
      </x:c>
      <x:c r="PM129" s="14" t="n">
        <x:v>2</x:v>
      </x:c>
      <x:c r="PN129" s="14" t="str">
        <x:v>未收錄</x:v>
      </x:c>
      <x:c r="PO129" s="14" t="str">
        <x:v>31284</x:v>
      </x:c>
      <x:c r="PP129" s="14" t="n">
        <x:v>10</x:v>
      </x:c>
      <x:c r="PQ129" s="14" t="n">
        <x:v>3074</x:v>
      </x:c>
      <x:c r="PR129" s="14" t="n">
        <x:v>427</x:v>
      </x:c>
      <x:c r="PS129" s="14" t="n">
        <x:v>11</x:v>
      </x:c>
      <x:c r="PT129" s="14" t="n">
        <x:v>3</x:v>
      </x:c>
      <x:c r="PU129" s="14" t="str">
        <x:v>未收錄</x:v>
      </x:c>
      <x:c r="PV129" s="14" t="str">
        <x:v>31304</x:v>
      </x:c>
      <x:c r="PW129" s="14" t="n">
        <x:v>10</x:v>
      </x:c>
      <x:c r="PX129" s="14" t="n">
        <x:v>3075</x:v>
      </x:c>
      <x:c r="PY129" s="14" t="n">
        <x:v>428</x:v>
      </x:c>
      <x:c r="PZ129" s="14" t="n">
        <x:v>11</x:v>
      </x:c>
      <x:c r="QA129" s="14" t="n">
        <x:v>4</x:v>
      </x:c>
      <x:c r="QB129" s="14" t="str">
        <x:v>未收錄</x:v>
      </x:c>
      <x:c r="QC129" s="14" t="str">
        <x:v>31241</x:v>
      </x:c>
      <x:c r="QD129" s="14" t="n">
        <x:v>5</x:v>
      </x:c>
      <x:c r="QE129" s="14" t="n">
        <x:v>3509</x:v>
      </x:c>
      <x:c r="QF129" s="14" t="n">
        <x:v>425</x:v>
      </x:c>
      <x:c r="QG129" s="14" t="n">
        <x:v>11</x:v>
      </x:c>
      <x:c r="QH129" s="14" t="n">
        <x:v>1</x:v>
      </x:c>
      <x:c r="QI129" s="14" t="str">
        <x:v>未收錄</x:v>
      </x:c>
      <x:c r="QJ129" s="14" t="str">
        <x:v>31246</x:v>
      </x:c>
      <x:c r="QK129" s="14" t="n">
        <x:v>5</x:v>
      </x:c>
      <x:c r="QL129" s="14" t="n">
        <x:v>3510</x:v>
      </x:c>
      <x:c r="QM129" s="14" t="n">
        <x:v>426</x:v>
      </x:c>
      <x:c r="QN129" s="14" t="n">
        <x:v>11</x:v>
      </x:c>
      <x:c r="QO129" s="14" t="n">
        <x:v>2</x:v>
      </x:c>
      <x:c r="QP129" s="14" t="str">
        <x:v>未收錄</x:v>
      </x:c>
      <x:c r="QQ129" s="14" t="str">
        <x:v>31286</x:v>
      </x:c>
      <x:c r="QR129" s="14" t="n">
        <x:v>10</x:v>
      </x:c>
      <x:c r="QS129" s="14" t="n">
        <x:v>3511</x:v>
      </x:c>
      <x:c r="QT129" s="14" t="n">
        <x:v>427</x:v>
      </x:c>
      <x:c r="QU129" s="14" t="n">
        <x:v>11</x:v>
      </x:c>
      <x:c r="QV129" s="14" t="n">
        <x:v>3</x:v>
      </x:c>
      <x:c r="QW129" s="14" t="str">
        <x:v>未收錄</x:v>
      </x:c>
      <x:c r="QX129" s="14" t="str">
        <x:v>31306</x:v>
      </x:c>
      <x:c r="QY129" s="14" t="n">
        <x:v>10</x:v>
      </x:c>
      <x:c r="QZ129" s="14" t="n">
        <x:v>3512</x:v>
      </x:c>
      <x:c r="RA129" s="14" t="n">
        <x:v>428</x:v>
      </x:c>
      <x:c r="RB129" s="14" t="n">
        <x:v>11</x:v>
      </x:c>
      <x:c r="RC129" s="14" t="n">
        <x:v>4</x:v>
      </x:c>
      <x:c r="RD129" s="14" t="str">
        <x:v>未收錄</x:v>
      </x:c>
      <x:c r="RE129" s="14"/>
      <x:c r="RF129" s="14"/>
      <x:c r="RG129" s="14"/>
      <x:c r="RH129" s="14"/>
      <x:c r="RI129" s="14"/>
      <x:c r="RJ129" s="14"/>
      <x:c r="RK129" s="14"/>
      <x:c r="RL129" s="14"/>
      <x:c r="RM129" s="14"/>
      <x:c r="RN129" s="14"/>
      <x:c r="RO129" s="14"/>
      <x:c r="RP129" s="14"/>
      <x:c r="RQ129" s="14"/>
      <x:c r="RR129" s="14"/>
      <x:c r="RS129" s="14"/>
      <x:c r="RT129" s="14"/>
      <x:c r="RU129" s="14"/>
      <x:c r="RV129" s="14"/>
      <x:c r="RW129" s="14"/>
      <x:c r="RX129" s="14"/>
      <x:c r="RY129" s="14"/>
      <x:c r="RZ129" s="14"/>
      <x:c r="SA129" s="14"/>
      <x:c r="SB129" s="14"/>
      <x:c r="SC129" s="14"/>
      <x:c r="SD129" s="14"/>
      <x:c r="SE129" s="14"/>
      <x:c r="SF129" s="14"/>
      <x:c r="SG129" s="14"/>
      <x:c r="SH129" s="14"/>
      <x:c r="SI129" s="14"/>
      <x:c r="SJ129" s="14"/>
      <x:c r="SK129" s="14"/>
      <x:c r="SL129" s="14"/>
      <x:c r="SM129" s="14"/>
      <x:c r="SN129" s="14"/>
      <x:c r="SO129" s="14"/>
      <x:c r="SP129" s="14"/>
      <x:c r="SQ129" s="14"/>
      <x:c r="SR129" s="14"/>
      <x:c r="SS129" s="14"/>
      <x:c r="ST129" s="14"/>
      <x:c r="SU129" s="14"/>
      <x:c r="SV129" s="14"/>
      <x:c r="SW129" s="14"/>
      <x:c r="SX129" s="14"/>
      <x:c r="SY129" s="14"/>
      <x:c r="SZ129" s="14"/>
      <x:c r="TA129" s="14"/>
      <x:c r="TB129" s="14"/>
      <x:c r="TC129" s="14"/>
      <x:c r="TD129" s="14"/>
      <x:c r="TE129" s="14"/>
      <x:c r="TF129" s="14"/>
      <x:c r="TG129" s="14"/>
      <x:c r="TH129" s="14"/>
    </x:row>
    <x:row r="130" ht="15" customHeight="1">
      <x:c r="A130" s="14"/>
      <x:c r="B130" s="14"/>
      <x:c r="C130" s="14"/>
      <x:c r="D130" s="14"/>
      <x:c r="E130" s="14"/>
      <x:c r="F130" s="14"/>
      <x:c r="G130" s="14"/>
      <x:c r="H130" s="14"/>
      <x:c r="I130" s="14"/>
      <x:c r="J130" s="14"/>
      <x:c r="K130" s="14"/>
      <x:c r="L130" s="14"/>
      <x:c r="M130" s="14"/>
      <x:c r="N130" s="14"/>
      <x:c r="O130" s="14"/>
      <x:c r="P130" s="14"/>
      <x:c r="Q130" s="14"/>
      <x:c r="R130" s="14"/>
      <x:c r="S130" s="14"/>
      <x:c r="T130" s="14"/>
      <x:c r="U130" s="14"/>
      <x:c r="V130" s="14"/>
      <x:c r="W130" s="14"/>
      <x:c r="X130" s="14"/>
      <x:c r="Y130" s="14"/>
      <x:c r="Z130" s="14"/>
      <x:c r="AA130" s="14"/>
      <x:c r="AB130" s="14"/>
      <x:c r="AC130" s="14"/>
      <x:c r="AD130" s="14"/>
      <x:c r="AE130" s="14"/>
      <x:c r="AF130" s="14"/>
      <x:c r="AG130" s="14"/>
      <x:c r="AH130" s="14"/>
      <x:c r="AI130" s="14"/>
      <x:c r="AJ130" s="14"/>
      <x:c r="AK130" s="14"/>
      <x:c r="AL130" s="14"/>
      <x:c r="AM130" s="14"/>
      <x:c r="AN130" s="14"/>
      <x:c r="AO130" s="14"/>
      <x:c r="AP130" s="14"/>
      <x:c r="AQ130" s="14"/>
      <x:c r="AR130" s="14"/>
      <x:c r="AS130" s="14"/>
      <x:c r="AT130" s="14"/>
      <x:c r="AU130" s="14"/>
      <x:c r="AV130" s="14"/>
      <x:c r="AW130" s="14"/>
      <x:c r="AX130" s="14"/>
      <x:c r="AY130" s="18" t="str">
        <x:v>舞星釩兜Ⅱ</x:v>
      </x:c>
      <x:c r="AZ130" s="18" t="str">
        <x:v>宇鋒颺頂Ⅲ</x:v>
      </x:c>
      <x:c r="BA130" s="18" t="str">
        <x:v>天衛宙盔Ⅲ</x:v>
      </x:c>
      <x:c r="BB130" s="18" t="str">
        <x:v>光術覆面Ⅲ</x:v>
      </x:c>
      <x:c r="BC130" s="14"/>
      <x:c r="BD130" s="18" t="str">
        <x:v>禪帝衲★★</x:v>
      </x:c>
      <x:c r="BE130" s="18" t="str">
        <x:v>鬼帝鎧★★</x:v>
      </x:c>
      <x:c r="BF130" s="18" t="str">
        <x:v>黃天衣★★</x:v>
      </x:c>
      <x:c r="BG130" s="18" t="str">
        <x:v>皇影甲★★</x:v>
      </x:c>
      <x:c r="BH130" s="14"/>
      <x:c r="BI130" s="18" t="str">
        <x:v>舞星鎢掌Ⅳ</x:v>
      </x:c>
      <x:c r="BJ130" s="18" t="str">
        <x:v>宇鋒飄腕Ⅴ</x:v>
      </x:c>
      <x:c r="BK130" s="18" t="str">
        <x:v>天衛宙臂Ⅴ</x:v>
      </x:c>
      <x:c r="BL130" s="18" t="str">
        <x:v>光術快手Ⅴ</x:v>
      </x:c>
      <x:c r="BM130" s="14"/>
      <x:c r="BN130" s="18" t="str">
        <x:v>舞星鋁行Ⅰ</x:v>
      </x:c>
      <x:c r="BO130" s="18" t="str">
        <x:v>宇鋒飆靴Ⅱ</x:v>
      </x:c>
      <x:c r="BP130" s="18" t="str">
        <x:v>天衛宙脛Ⅱ</x:v>
      </x:c>
      <x:c r="BQ130" s="18" t="str">
        <x:v>光術疾履Ⅱ</x:v>
      </x:c>
      <x:c r="BR130" s="14"/>
      <x:c r="BS130" s="14"/>
      <x:c r="BT130" s="14"/>
      <x:c r="BU130" s="14"/>
      <x:c r="BV130" s="14"/>
      <x:c r="BW130" s="14"/>
      <x:c r="BX130" s="14"/>
      <x:c r="BY130" s="14"/>
      <x:c r="BZ130" s="14"/>
      <x:c r="CA130" s="14"/>
      <x:c r="CB130" s="14"/>
      <x:c r="CC130" s="14"/>
      <x:c r="CD130" s="14"/>
      <x:c r="CE130" s="14"/>
      <x:c r="CF130" s="14"/>
      <x:c r="CG130" s="14"/>
      <x:c r="CH130" s="14"/>
      <x:c r="CI130" s="14"/>
      <x:c r="CJ130" s="14"/>
      <x:c r="CK130" s="14"/>
      <x:c r="CL130" s="14"/>
      <x:c r="CM130" s="14"/>
      <x:c r="CN130" s="14"/>
      <x:c r="CO130" s="14"/>
      <x:c r="CP130" s="14"/>
      <x:c r="CQ130" s="14"/>
      <x:c r="CR130" s="14"/>
      <x:c r="CS130" s="14"/>
      <x:c r="CT130" s="14"/>
      <x:c r="CU130" s="14"/>
      <x:c r="CV130" s="14"/>
      <x:c r="CW130" s="14"/>
      <x:c r="CX130" s="14"/>
      <x:c r="CY130" s="14"/>
      <x:c r="CZ130" s="14"/>
      <x:c r="DA130" s="14"/>
      <x:c r="DB130" s="14"/>
      <x:c r="DC130" s="14"/>
      <x:c r="DD130" s="14"/>
      <x:c r="DE130" s="14"/>
      <x:c r="DF130" s="14"/>
      <x:c r="DG130" s="14"/>
      <x:c r="DH130" s="14"/>
      <x:c r="DI130" s="14"/>
      <x:c r="DJ130" s="14"/>
      <x:c r="DK130" s="14"/>
      <x:c r="DL130" s="14"/>
      <x:c r="DM130" s="14"/>
      <x:c r="DN130" s="14"/>
      <x:c r="DO130" s="14"/>
      <x:c r="DP130" s="14"/>
      <x:c r="DQ130" s="14"/>
      <x:c r="DR130" s="14"/>
      <x:c r="DS130" s="14"/>
      <x:c r="DT130" s="14"/>
      <x:c r="DU130" s="14"/>
      <x:c r="DV130" s="14"/>
      <x:c r="DW130" s="14"/>
      <x:c r="DX130" s="14"/>
      <x:c r="DY130" s="14"/>
      <x:c r="DZ130" s="14"/>
      <x:c r="EA130" s="14"/>
      <x:c r="EB130" s="14"/>
      <x:c r="EC130" s="14"/>
      <x:c r="ED130" s="14"/>
      <x:c r="EE130" s="14"/>
      <x:c r="EF130" s="14"/>
      <x:c r="EG130" s="14"/>
      <x:c r="EH130" s="14"/>
      <x:c r="EI130" s="14"/>
      <x:c r="EJ130" s="14"/>
      <x:c r="EK130" s="14"/>
      <x:c r="EL130" s="14"/>
      <x:c r="EM130" s="14"/>
      <x:c r="EN130" s="14"/>
      <x:c r="EO130" s="14"/>
      <x:c r="EP130" s="14"/>
      <x:c r="EQ130" s="14"/>
      <x:c r="ER130" s="14"/>
      <x:c r="ES130" s="14"/>
      <x:c r="ET130" s="14"/>
      <x:c r="EU130" s="14"/>
      <x:c r="EV130" s="14"/>
      <x:c r="EW130" s="14"/>
      <x:c r="EX130" s="14"/>
      <x:c r="EY130" s="14"/>
      <x:c r="EZ130" s="14"/>
      <x:c r="FA130" s="14"/>
      <x:c r="FB130" s="14"/>
      <x:c r="FC130" s="14"/>
      <x:c r="FD130" s="14"/>
      <x:c r="FE130" s="14"/>
      <x:c r="FF130" s="14"/>
      <x:c r="FG130" s="14"/>
      <x:c r="FH130" s="14"/>
      <x:c r="FI130" s="14"/>
      <x:c r="FJ130" s="14"/>
      <x:c r="FK130" s="14"/>
      <x:c r="FL130" s="14"/>
      <x:c r="FM130" s="14"/>
      <x:c r="FN130" s="14"/>
      <x:c r="FO130" s="14"/>
      <x:c r="FP130" s="14"/>
      <x:c r="FQ130" s="14"/>
      <x:c r="FR130" s="14"/>
      <x:c r="FS130" s="14"/>
      <x:c r="FT130" s="14"/>
      <x:c r="FU130" s="14"/>
      <x:c r="FV130" s="14"/>
      <x:c r="FW130" s="14"/>
      <x:c r="FX130" s="14"/>
      <x:c r="FY130" s="14"/>
      <x:c r="FZ130" s="14"/>
      <x:c r="GA130" s="14"/>
      <x:c r="GB130" s="14"/>
      <x:c r="GC130" s="14"/>
      <x:c r="GD130" s="14"/>
      <x:c r="GE130" s="14"/>
      <x:c r="GF130" s="14"/>
      <x:c r="GG130" s="14"/>
      <x:c r="GH130" s="14"/>
      <x:c r="GI130" s="14"/>
      <x:c r="GJ130" s="14"/>
      <x:c r="GK130" s="14"/>
      <x:c r="GL130" s="14"/>
      <x:c r="GM130" s="14"/>
      <x:c r="GN130" s="14"/>
      <x:c r="GO130" s="14"/>
      <x:c r="GP130" s="14"/>
      <x:c r="GQ130" s="14"/>
      <x:c r="GR130" s="14"/>
      <x:c r="GS130" s="14"/>
      <x:c r="GT130" s="14"/>
      <x:c r="GU130" s="14"/>
      <x:c r="GV130" s="14"/>
      <x:c r="GW130" s="14"/>
      <x:c r="GX130" s="14"/>
      <x:c r="GY130" s="14"/>
      <x:c r="GZ130" s="14"/>
      <x:c r="HA130" s="14"/>
      <x:c r="HB130" s="14"/>
      <x:c r="HC130" s="14"/>
      <x:c r="HD130" s="14"/>
      <x:c r="HE130" s="14"/>
      <x:c r="HF130" s="14"/>
      <x:c r="HG130" s="14"/>
      <x:c r="HH130" s="14"/>
      <x:c r="HI130" s="14"/>
      <x:c r="HJ130" s="14"/>
      <x:c r="HK130" s="14"/>
      <x:c r="HL130" s="14"/>
      <x:c r="HM130" s="14"/>
      <x:c r="HN130" s="14"/>
      <x:c r="HO130" s="14"/>
      <x:c r="HP130" s="14"/>
      <x:c r="HQ130" s="14"/>
      <x:c r="HR130" s="14"/>
      <x:c r="HS130" s="14"/>
      <x:c r="HT130" s="14"/>
      <x:c r="HU130" s="14"/>
      <x:c r="HV130" s="14"/>
      <x:c r="HW130" s="14"/>
      <x:c r="HX130" s="14"/>
      <x:c r="HY130" s="14"/>
      <x:c r="HZ130" s="14"/>
      <x:c r="IA130" s="14"/>
      <x:c r="IB130" s="14"/>
      <x:c r="IC130" s="14"/>
      <x:c r="ID130" s="14"/>
      <x:c r="IE130" s="14"/>
      <x:c r="IF130" s="14"/>
      <x:c r="IG130" s="14"/>
      <x:c r="IH130" s="14"/>
      <x:c r="II130" s="14"/>
      <x:c r="IJ130" s="14"/>
      <x:c r="IK130" s="14"/>
      <x:c r="IL130" s="14"/>
      <x:c r="IM130" s="14"/>
      <x:c r="IN130" s="14"/>
      <x:c r="IO130" s="14"/>
      <x:c r="IP130" s="14"/>
      <x:c r="IQ130" s="14"/>
      <x:c r="IR130" s="14"/>
      <x:c r="IS130" s="14"/>
      <x:c r="IT130" s="14"/>
      <x:c r="IU130" s="14"/>
      <x:c r="IV130" s="14"/>
      <x:c r="IW130" s="14"/>
      <x:c r="IX130" s="14"/>
      <x:c r="IY130" s="14"/>
      <x:c r="IZ130" s="14"/>
      <x:c r="JA130" s="14"/>
      <x:c r="JB130" s="14"/>
      <x:c r="JC130" s="14"/>
      <x:c r="JD130" s="14"/>
      <x:c r="JE130" s="14"/>
      <x:c r="JF130" s="14"/>
      <x:c r="JG130" s="14"/>
      <x:c r="JH130" s="14"/>
      <x:c r="JI130" s="14"/>
      <x:c r="JJ130" s="14"/>
      <x:c r="JK130" s="14"/>
      <x:c r="JL130" s="14"/>
      <x:c r="JM130" s="14"/>
      <x:c r="JN130" s="14"/>
      <x:c r="JO130" s="14"/>
      <x:c r="JP130" s="14"/>
      <x:c r="JQ130" s="14"/>
      <x:c r="JR130" s="14"/>
      <x:c r="JS130" s="14"/>
      <x:c r="JT130" s="14"/>
      <x:c r="JU130" s="14"/>
      <x:c r="JV130" s="14"/>
      <x:c r="JW130" s="14"/>
      <x:c r="JX130" s="14"/>
      <x:c r="JY130" s="14"/>
      <x:c r="JZ130" s="14"/>
      <x:c r="KA130" s="14"/>
      <x:c r="KB130" s="14"/>
      <x:c r="KC130" s="14"/>
      <x:c r="KD130" s="14"/>
      <x:c r="KE130" s="14"/>
      <x:c r="KF130" s="14"/>
      <x:c r="KG130" s="14"/>
      <x:c r="KH130" s="14"/>
      <x:c r="KI130" s="14"/>
      <x:c r="KJ130" s="14"/>
      <x:c r="KK130" s="14"/>
      <x:c r="KL130" s="14"/>
      <x:c r="KM130" s="14"/>
      <x:c r="KN130" s="14"/>
      <x:c r="KO130" s="14"/>
      <x:c r="KP130" s="14"/>
      <x:c r="KQ130" s="14"/>
      <x:c r="KR130" s="14"/>
      <x:c r="KS130" s="14"/>
      <x:c r="KT130" s="14"/>
      <x:c r="KU130" s="14"/>
      <x:c r="KV130" s="14"/>
      <x:c r="KW130" s="14"/>
      <x:c r="KX130" s="14"/>
      <x:c r="KY130" s="14"/>
      <x:c r="KZ130" s="14"/>
      <x:c r="LA130" s="14"/>
      <x:c r="LB130" s="14"/>
      <x:c r="LC130" s="14"/>
      <x:c r="LD130" s="14"/>
      <x:c r="LE130" s="14"/>
      <x:c r="LF130" s="14"/>
      <x:c r="LG130" s="14"/>
      <x:c r="LH130" s="14"/>
      <x:c r="LI130" s="14"/>
      <x:c r="LJ130" s="14"/>
      <x:c r="LK130" s="14"/>
      <x:c r="LL130" s="14"/>
      <x:c r="LM130" s="14"/>
      <x:c r="LN130" s="14"/>
      <x:c r="LO130" s="14"/>
      <x:c r="LP130" s="14"/>
      <x:c r="LQ130" s="14"/>
      <x:c r="LR130" s="14"/>
      <x:c r="LS130" s="14"/>
      <x:c r="LT130" s="14"/>
      <x:c r="LU130" s="14"/>
      <x:c r="LV130" s="14"/>
      <x:c r="LW130" s="14"/>
      <x:c r="LX130" s="14"/>
      <x:c r="LY130" s="14"/>
      <x:c r="LZ130" s="14"/>
      <x:c r="MA130" s="14"/>
      <x:c r="MB130" s="14"/>
      <x:c r="MC130" s="14"/>
      <x:c r="MD130" s="14"/>
      <x:c r="ME130" s="14"/>
      <x:c r="MF130" s="14"/>
      <x:c r="MG130" s="14"/>
      <x:c r="MH130" s="14"/>
      <x:c r="MI130" s="14"/>
      <x:c r="MJ130" s="14"/>
      <x:c r="MK130" s="14"/>
      <x:c r="ML130" s="14"/>
      <x:c r="MM130" s="14"/>
      <x:c r="MN130" s="14"/>
      <x:c r="MO130" s="14"/>
      <x:c r="MP130" s="14"/>
      <x:c r="MQ130" s="14"/>
      <x:c r="MR130" s="14"/>
      <x:c r="MS130" s="14"/>
      <x:c r="MT130" s="14"/>
      <x:c r="MU130" s="14"/>
      <x:c r="MV130" s="14"/>
      <x:c r="MW130" s="14" t="str">
        <x:v>31312</x:v>
      </x:c>
      <x:c r="MX130" s="14" t="n">
        <x:v>10</x:v>
      </x:c>
      <x:c r="MY130" s="14" t="n">
        <x:v>2077</x:v>
      </x:c>
      <x:c r="MZ130" s="14" t="n">
        <x:v>429</x:v>
      </x:c>
      <x:c r="NA130" s="14" t="n">
        <x:v>12</x:v>
      </x:c>
      <x:c r="NB130" s="14" t="n">
        <x:v>1</x:v>
      </x:c>
      <x:c r="NC130" s="14" t="str">
        <x:v>未收錄</x:v>
      </x:c>
      <x:c r="ND130" s="14" t="str">
        <x:v>31153</x:v>
      </x:c>
      <x:c r="NE130" s="14" t="n">
        <x:v>5</x:v>
      </x:c>
      <x:c r="NF130" s="14" t="n">
        <x:v>2078</x:v>
      </x:c>
      <x:c r="NG130" s="14" t="n">
        <x:v>430</x:v>
      </x:c>
      <x:c r="NH130" s="14" t="n">
        <x:v>12</x:v>
      </x:c>
      <x:c r="NI130" s="14" t="n">
        <x:v>2</x:v>
      </x:c>
      <x:c r="NJ130" s="14" t="str">
        <x:v>未收錄</x:v>
      </x:c>
      <x:c r="NK130" s="14" t="str">
        <x:v>31158</x:v>
      </x:c>
      <x:c r="NL130" s="14" t="n">
        <x:v>5</x:v>
      </x:c>
      <x:c r="NM130" s="14" t="n">
        <x:v>2079</x:v>
      </x:c>
      <x:c r="NN130" s="14" t="n">
        <x:v>431</x:v>
      </x:c>
      <x:c r="NO130" s="14" t="n">
        <x:v>12</x:v>
      </x:c>
      <x:c r="NP130" s="14" t="n">
        <x:v>3</x:v>
      </x:c>
      <x:c r="NQ130" s="14" t="str">
        <x:v>未收錄</x:v>
      </x:c>
      <x:c r="NR130" s="14" t="str">
        <x:v>31163</x:v>
      </x:c>
      <x:c r="NS130" s="14" t="n">
        <x:v>5</x:v>
      </x:c>
      <x:c r="NT130" s="14" t="n">
        <x:v>2080</x:v>
      </x:c>
      <x:c r="NU130" s="14" t="n">
        <x:v>432</x:v>
      </x:c>
      <x:c r="NV130" s="14" t="n">
        <x:v>12</x:v>
      </x:c>
      <x:c r="NW130" s="14" t="n">
        <x:v>4</x:v>
      </x:c>
      <x:c r="NX130" s="14" t="str">
        <x:v>未收錄</x:v>
      </x:c>
      <x:c r="NY130" s="14" t="str">
        <x:v>29460</x:v>
      </x:c>
      <x:c r="NZ130" s="14" t="n">
        <x:v>5</x:v>
      </x:c>
      <x:c r="OA130" s="14" t="n">
        <x:v>2530</x:v>
      </x:c>
      <x:c r="OB130" s="14" t="n">
        <x:v>429</x:v>
      </x:c>
      <x:c r="OC130" s="14" t="n">
        <x:v>12</x:v>
      </x:c>
      <x:c r="OD130" s="14" t="n">
        <x:v>1</x:v>
      </x:c>
      <x:c r="OE130" s="14" t="str">
        <x:v>未收錄</x:v>
      </x:c>
      <x:c r="OF130" s="14" t="str">
        <x:v>29556</x:v>
      </x:c>
      <x:c r="OG130" s="14" t="n">
        <x:v>10</x:v>
      </x:c>
      <x:c r="OH130" s="14" t="n">
        <x:v>2531</x:v>
      </x:c>
      <x:c r="OI130" s="14" t="n">
        <x:v>430</x:v>
      </x:c>
      <x:c r="OJ130" s="14" t="n">
        <x:v>12</x:v>
      </x:c>
      <x:c r="OK130" s="14" t="n">
        <x:v>2</x:v>
      </x:c>
      <x:c r="OL130" s="14" t="str">
        <x:v>未收錄</x:v>
      </x:c>
      <x:c r="OM130" s="14" t="str">
        <x:v>29580</x:v>
      </x:c>
      <x:c r="ON130" s="14" t="n">
        <x:v>10</x:v>
      </x:c>
      <x:c r="OO130" s="14" t="n">
        <x:v>2532</x:v>
      </x:c>
      <x:c r="OP130" s="14" t="n">
        <x:v>431</x:v>
      </x:c>
      <x:c r="OQ130" s="14" t="n">
        <x:v>12</x:v>
      </x:c>
      <x:c r="OR130" s="14" t="n">
        <x:v>3</x:v>
      </x:c>
      <x:c r="OS130" s="14" t="str">
        <x:v>未收錄</x:v>
      </x:c>
      <x:c r="OT130" s="14" t="str">
        <x:v>29598</x:v>
      </x:c>
      <x:c r="OU130" s="14" t="n">
        <x:v>10</x:v>
      </x:c>
      <x:c r="OV130" s="14" t="n">
        <x:v>2533</x:v>
      </x:c>
      <x:c r="OW130" s="14" t="n">
        <x:v>432</x:v>
      </x:c>
      <x:c r="OX130" s="14" t="n">
        <x:v>12</x:v>
      </x:c>
      <x:c r="OY130" s="14" t="n">
        <x:v>4</x:v>
      </x:c>
      <x:c r="OZ130" s="14" t="str">
        <x:v>未收錄</x:v>
      </x:c>
      <x:c r="PA130" s="14" t="str">
        <x:v>31324</x:v>
      </x:c>
      <x:c r="PB130" s="14" t="n">
        <x:v>10</x:v>
      </x:c>
      <x:c r="PC130" s="14" t="n">
        <x:v>3076</x:v>
      </x:c>
      <x:c r="PD130" s="14" t="n">
        <x:v>429</x:v>
      </x:c>
      <x:c r="PE130" s="14" t="n">
        <x:v>12</x:v>
      </x:c>
      <x:c r="PF130" s="14" t="n">
        <x:v>1</x:v>
      </x:c>
      <x:c r="PG130" s="14" t="str">
        <x:v>未收錄</x:v>
      </x:c>
      <x:c r="PH130" s="14" t="str">
        <x:v>31205</x:v>
      </x:c>
      <x:c r="PI130" s="14" t="n">
        <x:v>5</x:v>
      </x:c>
      <x:c r="PJ130" s="14" t="n">
        <x:v>3077</x:v>
      </x:c>
      <x:c r="PK130" s="14" t="n">
        <x:v>430</x:v>
      </x:c>
      <x:c r="PL130" s="14" t="n">
        <x:v>12</x:v>
      </x:c>
      <x:c r="PM130" s="14" t="n">
        <x:v>2</x:v>
      </x:c>
      <x:c r="PN130" s="14" t="str">
        <x:v>未收錄</x:v>
      </x:c>
      <x:c r="PO130" s="14" t="str">
        <x:v>31210</x:v>
      </x:c>
      <x:c r="PP130" s="14" t="n">
        <x:v>5</x:v>
      </x:c>
      <x:c r="PQ130" s="14" t="n">
        <x:v>3078</x:v>
      </x:c>
      <x:c r="PR130" s="14" t="n">
        <x:v>431</x:v>
      </x:c>
      <x:c r="PS130" s="14" t="n">
        <x:v>12</x:v>
      </x:c>
      <x:c r="PT130" s="14" t="n">
        <x:v>3</x:v>
      </x:c>
      <x:c r="PU130" s="14" t="str">
        <x:v>未收錄</x:v>
      </x:c>
      <x:c r="PV130" s="14" t="str">
        <x:v>31215</x:v>
      </x:c>
      <x:c r="PW130" s="14" t="n">
        <x:v>5</x:v>
      </x:c>
      <x:c r="PX130" s="14" t="n">
        <x:v>3079</x:v>
      </x:c>
      <x:c r="PY130" s="14" t="n">
        <x:v>432</x:v>
      </x:c>
      <x:c r="PZ130" s="14" t="n">
        <x:v>12</x:v>
      </x:c>
      <x:c r="QA130" s="14" t="n">
        <x:v>4</x:v>
      </x:c>
      <x:c r="QB130" s="14" t="str">
        <x:v>未收錄</x:v>
      </x:c>
      <x:c r="QC130" s="14" t="str">
        <x:v>31326</x:v>
      </x:c>
      <x:c r="QD130" s="14" t="n">
        <x:v>10</x:v>
      </x:c>
      <x:c r="QE130" s="14" t="n">
        <x:v>3513</x:v>
      </x:c>
      <x:c r="QF130" s="14" t="n">
        <x:v>429</x:v>
      </x:c>
      <x:c r="QG130" s="14" t="n">
        <x:v>12</x:v>
      </x:c>
      <x:c r="QH130" s="14" t="n">
        <x:v>1</x:v>
      </x:c>
      <x:c r="QI130" s="14" t="str">
        <x:v>未收錄</x:v>
      </x:c>
      <x:c r="QJ130" s="14" t="str">
        <x:v>31227</x:v>
      </x:c>
      <x:c r="QK130" s="14" t="n">
        <x:v>5</x:v>
      </x:c>
      <x:c r="QL130" s="14" t="n">
        <x:v>3514</x:v>
      </x:c>
      <x:c r="QM130" s="14" t="n">
        <x:v>430</x:v>
      </x:c>
      <x:c r="QN130" s="14" t="n">
        <x:v>12</x:v>
      </x:c>
      <x:c r="QO130" s="14" t="n">
        <x:v>2</x:v>
      </x:c>
      <x:c r="QP130" s="14" t="str">
        <x:v>未收錄</x:v>
      </x:c>
      <x:c r="QQ130" s="14" t="str">
        <x:v>31232</x:v>
      </x:c>
      <x:c r="QR130" s="14" t="n">
        <x:v>5</x:v>
      </x:c>
      <x:c r="QS130" s="14" t="n">
        <x:v>3515</x:v>
      </x:c>
      <x:c r="QT130" s="14" t="n">
        <x:v>431</x:v>
      </x:c>
      <x:c r="QU130" s="14" t="n">
        <x:v>12</x:v>
      </x:c>
      <x:c r="QV130" s="14" t="n">
        <x:v>3</x:v>
      </x:c>
      <x:c r="QW130" s="14" t="str">
        <x:v>未收錄</x:v>
      </x:c>
      <x:c r="QX130" s="14" t="str">
        <x:v>31237</x:v>
      </x:c>
      <x:c r="QY130" s="14" t="n">
        <x:v>5</x:v>
      </x:c>
      <x:c r="QZ130" s="14" t="n">
        <x:v>3516</x:v>
      </x:c>
      <x:c r="RA130" s="14" t="n">
        <x:v>432</x:v>
      </x:c>
      <x:c r="RB130" s="14" t="n">
        <x:v>12</x:v>
      </x:c>
      <x:c r="RC130" s="14" t="n">
        <x:v>4</x:v>
      </x:c>
      <x:c r="RD130" s="14" t="str">
        <x:v>未收錄</x:v>
      </x:c>
      <x:c r="RE130" s="14"/>
      <x:c r="RF130" s="14"/>
      <x:c r="RG130" s="14"/>
      <x:c r="RH130" s="14"/>
      <x:c r="RI130" s="14"/>
      <x:c r="RJ130" s="14"/>
      <x:c r="RK130" s="14"/>
      <x:c r="RL130" s="14"/>
      <x:c r="RM130" s="14"/>
      <x:c r="RN130" s="14"/>
      <x:c r="RO130" s="14"/>
      <x:c r="RP130" s="14"/>
      <x:c r="RQ130" s="14"/>
      <x:c r="RR130" s="14"/>
      <x:c r="RS130" s="14"/>
      <x:c r="RT130" s="14"/>
      <x:c r="RU130" s="14"/>
      <x:c r="RV130" s="14"/>
      <x:c r="RW130" s="14"/>
      <x:c r="RX130" s="14"/>
      <x:c r="RY130" s="14"/>
      <x:c r="RZ130" s="14"/>
      <x:c r="SA130" s="14"/>
      <x:c r="SB130" s="14"/>
      <x:c r="SC130" s="14"/>
      <x:c r="SD130" s="14"/>
      <x:c r="SE130" s="14"/>
      <x:c r="SF130" s="14"/>
      <x:c r="SG130" s="14"/>
      <x:c r="SH130" s="14"/>
      <x:c r="SI130" s="14"/>
      <x:c r="SJ130" s="14"/>
      <x:c r="SK130" s="14"/>
      <x:c r="SL130" s="14"/>
      <x:c r="SM130" s="14"/>
      <x:c r="SN130" s="14"/>
      <x:c r="SO130" s="14"/>
      <x:c r="SP130" s="14"/>
      <x:c r="SQ130" s="14"/>
      <x:c r="SR130" s="14"/>
      <x:c r="SS130" s="14"/>
      <x:c r="ST130" s="14"/>
      <x:c r="SU130" s="14"/>
      <x:c r="SV130" s="14"/>
      <x:c r="SW130" s="14"/>
      <x:c r="SX130" s="14"/>
      <x:c r="SY130" s="14"/>
      <x:c r="SZ130" s="14"/>
      <x:c r="TA130" s="14"/>
      <x:c r="TB130" s="14"/>
      <x:c r="TC130" s="14"/>
      <x:c r="TD130" s="14"/>
      <x:c r="TE130" s="14"/>
      <x:c r="TF130" s="14"/>
      <x:c r="TG130" s="14"/>
      <x:c r="TH130" s="14"/>
    </x:row>
    <x:row r="131" ht="15" customHeight="1">
      <x:c r="A131" s="14"/>
      <x:c r="B131" s="14"/>
      <x:c r="C131" s="14"/>
      <x:c r="D131" s="14"/>
      <x:c r="E131" s="14"/>
      <x:c r="F131" s="14"/>
      <x:c r="G131" s="14"/>
      <x:c r="H131" s="14"/>
      <x:c r="I131" s="14"/>
      <x:c r="J131" s="14"/>
      <x:c r="K131" s="14"/>
      <x:c r="L131" s="14"/>
      <x:c r="M131" s="14"/>
      <x:c r="N131" s="14"/>
      <x:c r="O131" s="14"/>
      <x:c r="P131" s="14"/>
      <x:c r="Q131" s="14"/>
      <x:c r="R131" s="14"/>
      <x:c r="S131" s="14"/>
      <x:c r="T131" s="14"/>
      <x:c r="U131" s="14"/>
      <x:c r="V131" s="14"/>
      <x:c r="W131" s="14"/>
      <x:c r="X131" s="14"/>
      <x:c r="Y131" s="14"/>
      <x:c r="Z131" s="14"/>
      <x:c r="AA131" s="14"/>
      <x:c r="AB131" s="14"/>
      <x:c r="AC131" s="14"/>
      <x:c r="AD131" s="14"/>
      <x:c r="AE131" s="14"/>
      <x:c r="AF131" s="14"/>
      <x:c r="AG131" s="14"/>
      <x:c r="AH131" s="14"/>
      <x:c r="AI131" s="14"/>
      <x:c r="AJ131" s="14"/>
      <x:c r="AK131" s="14"/>
      <x:c r="AL131" s="14"/>
      <x:c r="AM131" s="14"/>
      <x:c r="AN131" s="14"/>
      <x:c r="AO131" s="14"/>
      <x:c r="AP131" s="14"/>
      <x:c r="AQ131" s="14"/>
      <x:c r="AR131" s="14"/>
      <x:c r="AS131" s="14"/>
      <x:c r="AT131" s="14"/>
      <x:c r="AU131" s="14"/>
      <x:c r="AV131" s="14"/>
      <x:c r="AW131" s="14"/>
      <x:c r="AX131" s="14"/>
      <x:c r="AY131" s="17" t="str">
        <x:v>辰道玄冠Ⅲ</x:v>
      </x:c>
      <x:c r="AZ131" s="17" t="str">
        <x:v>寂禪靜觀Ⅲ</x:v>
      </x:c>
      <x:c r="BA131" s="17" t="str">
        <x:v>騰陽威冕Ⅲ</x:v>
      </x:c>
      <x:c r="BB131" s="17" t="str">
        <x:v>凜月冪巾Ⅲ</x:v>
      </x:c>
      <x:c r="BC131" s="14"/>
      <x:c r="BD131" s="17" t="str">
        <x:v>神無袈★★</x:v>
      </x:c>
      <x:c r="BE131" s="17" t="str">
        <x:v>劍帝服★★☆</x:v>
      </x:c>
      <x:c r="BF131" s="17" t="str">
        <x:v>武帝胄★★☆</x:v>
      </x:c>
      <x:c r="BG131" s="17" t="str">
        <x:v>幻帝裘★★☆</x:v>
      </x:c>
      <x:c r="BH131" s="14"/>
      <x:c r="BI131" s="17" t="str">
        <x:v>辰道玄袖Ⅴ</x:v>
      </x:c>
      <x:c r="BJ131" s="17" t="str">
        <x:v>寂禪若持Ⅴ</x:v>
      </x:c>
      <x:c r="BK131" s="17" t="str">
        <x:v>騰陽烈釬Ⅴ</x:v>
      </x:c>
      <x:c r="BL131" s="17" t="str">
        <x:v>凜月影束Ⅴ</x:v>
      </x:c>
      <x:c r="BM131" s="14"/>
      <x:c r="BN131" s="17" t="str">
        <x:v>辰道玄鞋Ⅱ</x:v>
      </x:c>
      <x:c r="BO131" s="17" t="str">
        <x:v>寂禪矜足Ⅱ</x:v>
      </x:c>
      <x:c r="BP131" s="17" t="str">
        <x:v>騰陽巍立Ⅱ</x:v>
      </x:c>
      <x:c r="BQ131" s="17" t="str">
        <x:v>凜月漪纏Ⅱ</x:v>
      </x:c>
      <x:c r="BR131" s="14"/>
      <x:c r="BS131" s="14"/>
      <x:c r="BT131" s="14"/>
      <x:c r="BU131" s="14"/>
      <x:c r="BV131" s="14"/>
      <x:c r="BW131" s="14"/>
      <x:c r="BX131" s="14"/>
      <x:c r="BY131" s="14"/>
      <x:c r="BZ131" s="14"/>
      <x:c r="CA131" s="14"/>
      <x:c r="CB131" s="14"/>
      <x:c r="CC131" s="14"/>
      <x:c r="CD131" s="14"/>
      <x:c r="CE131" s="14"/>
      <x:c r="CF131" s="14"/>
      <x:c r="CG131" s="14"/>
      <x:c r="CH131" s="14"/>
      <x:c r="CI131" s="14"/>
      <x:c r="CJ131" s="14"/>
      <x:c r="CK131" s="14"/>
      <x:c r="CL131" s="14"/>
      <x:c r="CM131" s="14"/>
      <x:c r="CN131" s="14"/>
      <x:c r="CO131" s="14"/>
      <x:c r="CP131" s="14"/>
      <x:c r="CQ131" s="14"/>
      <x:c r="CR131" s="14"/>
      <x:c r="CS131" s="14"/>
      <x:c r="CT131" s="14"/>
      <x:c r="CU131" s="14"/>
      <x:c r="CV131" s="14"/>
      <x:c r="CW131" s="14"/>
      <x:c r="CX131" s="14"/>
      <x:c r="CY131" s="14"/>
      <x:c r="CZ131" s="14"/>
      <x:c r="DA131" s="14"/>
      <x:c r="DB131" s="14"/>
      <x:c r="DC131" s="14"/>
      <x:c r="DD131" s="14"/>
      <x:c r="DE131" s="14"/>
      <x:c r="DF131" s="14"/>
      <x:c r="DG131" s="14"/>
      <x:c r="DH131" s="14"/>
      <x:c r="DI131" s="14"/>
      <x:c r="DJ131" s="14"/>
      <x:c r="DK131" s="14"/>
      <x:c r="DL131" s="14"/>
      <x:c r="DM131" s="14"/>
      <x:c r="DN131" s="14"/>
      <x:c r="DO131" s="14"/>
      <x:c r="DP131" s="14"/>
      <x:c r="DQ131" s="14"/>
      <x:c r="DR131" s="14"/>
      <x:c r="DS131" s="14"/>
      <x:c r="DT131" s="14"/>
      <x:c r="DU131" s="14"/>
      <x:c r="DV131" s="14"/>
      <x:c r="DW131" s="14"/>
      <x:c r="DX131" s="14"/>
      <x:c r="DY131" s="14"/>
      <x:c r="DZ131" s="14"/>
      <x:c r="EA131" s="14"/>
      <x:c r="EB131" s="14"/>
      <x:c r="EC131" s="14"/>
      <x:c r="ED131" s="14"/>
      <x:c r="EE131" s="14"/>
      <x:c r="EF131" s="14"/>
      <x:c r="EG131" s="14"/>
      <x:c r="EH131" s="14"/>
      <x:c r="EI131" s="14"/>
      <x:c r="EJ131" s="14"/>
      <x:c r="EK131" s="14"/>
      <x:c r="EL131" s="14"/>
      <x:c r="EM131" s="14"/>
      <x:c r="EN131" s="14"/>
      <x:c r="EO131" s="14"/>
      <x:c r="EP131" s="14"/>
      <x:c r="EQ131" s="14"/>
      <x:c r="ER131" s="14"/>
      <x:c r="ES131" s="14"/>
      <x:c r="ET131" s="14"/>
      <x:c r="EU131" s="14"/>
      <x:c r="EV131" s="14"/>
      <x:c r="EW131" s="14"/>
      <x:c r="EX131" s="14"/>
      <x:c r="EY131" s="14"/>
      <x:c r="EZ131" s="14"/>
      <x:c r="FA131" s="14"/>
      <x:c r="FB131" s="14"/>
      <x:c r="FC131" s="14"/>
      <x:c r="FD131" s="14"/>
      <x:c r="FE131" s="14"/>
      <x:c r="FF131" s="14"/>
      <x:c r="FG131" s="14"/>
      <x:c r="FH131" s="14"/>
      <x:c r="FI131" s="14"/>
      <x:c r="FJ131" s="14"/>
      <x:c r="FK131" s="14"/>
      <x:c r="FL131" s="14"/>
      <x:c r="FM131" s="14"/>
      <x:c r="FN131" s="14"/>
      <x:c r="FO131" s="14"/>
      <x:c r="FP131" s="14"/>
      <x:c r="FQ131" s="14"/>
      <x:c r="FR131" s="14"/>
      <x:c r="FS131" s="14"/>
      <x:c r="FT131" s="14"/>
      <x:c r="FU131" s="14"/>
      <x:c r="FV131" s="14"/>
      <x:c r="FW131" s="14"/>
      <x:c r="FX131" s="14"/>
      <x:c r="FY131" s="14"/>
      <x:c r="FZ131" s="14"/>
      <x:c r="GA131" s="14"/>
      <x:c r="GB131" s="14"/>
      <x:c r="GC131" s="14"/>
      <x:c r="GD131" s="14"/>
      <x:c r="GE131" s="14"/>
      <x:c r="GF131" s="14"/>
      <x:c r="GG131" s="14"/>
      <x:c r="GH131" s="14"/>
      <x:c r="GI131" s="14"/>
      <x:c r="GJ131" s="14"/>
      <x:c r="GK131" s="14"/>
      <x:c r="GL131" s="14"/>
      <x:c r="GM131" s="14"/>
      <x:c r="GN131" s="14"/>
      <x:c r="GO131" s="14"/>
      <x:c r="GP131" s="14"/>
      <x:c r="GQ131" s="14"/>
      <x:c r="GR131" s="14"/>
      <x:c r="GS131" s="14"/>
      <x:c r="GT131" s="14"/>
      <x:c r="GU131" s="14"/>
      <x:c r="GV131" s="14"/>
      <x:c r="GW131" s="14"/>
      <x:c r="GX131" s="14"/>
      <x:c r="GY131" s="14"/>
      <x:c r="GZ131" s="14"/>
      <x:c r="HA131" s="14"/>
      <x:c r="HB131" s="14"/>
      <x:c r="HC131" s="14"/>
      <x:c r="HD131" s="14"/>
      <x:c r="HE131" s="14"/>
      <x:c r="HF131" s="14"/>
      <x:c r="HG131" s="14"/>
      <x:c r="HH131" s="14"/>
      <x:c r="HI131" s="14"/>
      <x:c r="HJ131" s="14"/>
      <x:c r="HK131" s="14"/>
      <x:c r="HL131" s="14"/>
      <x:c r="HM131" s="14"/>
      <x:c r="HN131" s="14"/>
      <x:c r="HO131" s="14"/>
      <x:c r="HP131" s="14"/>
      <x:c r="HQ131" s="14"/>
      <x:c r="HR131" s="14"/>
      <x:c r="HS131" s="14"/>
      <x:c r="HT131" s="14"/>
      <x:c r="HU131" s="14"/>
      <x:c r="HV131" s="14"/>
      <x:c r="HW131" s="14"/>
      <x:c r="HX131" s="14"/>
      <x:c r="HY131" s="14"/>
      <x:c r="HZ131" s="14"/>
      <x:c r="IA131" s="14"/>
      <x:c r="IB131" s="14"/>
      <x:c r="IC131" s="14"/>
      <x:c r="ID131" s="14"/>
      <x:c r="IE131" s="14"/>
      <x:c r="IF131" s="14"/>
      <x:c r="IG131" s="14"/>
      <x:c r="IH131" s="14"/>
      <x:c r="II131" s="14"/>
      <x:c r="IJ131" s="14"/>
      <x:c r="IK131" s="14"/>
      <x:c r="IL131" s="14"/>
      <x:c r="IM131" s="14"/>
      <x:c r="IN131" s="14"/>
      <x:c r="IO131" s="14"/>
      <x:c r="IP131" s="14"/>
      <x:c r="IQ131" s="14"/>
      <x:c r="IR131" s="14"/>
      <x:c r="IS131" s="14"/>
      <x:c r="IT131" s="14"/>
      <x:c r="IU131" s="14"/>
      <x:c r="IV131" s="14"/>
      <x:c r="IW131" s="14"/>
      <x:c r="IX131" s="14"/>
      <x:c r="IY131" s="14"/>
      <x:c r="IZ131" s="14"/>
      <x:c r="JA131" s="14"/>
      <x:c r="JB131" s="14"/>
      <x:c r="JC131" s="14"/>
      <x:c r="JD131" s="14"/>
      <x:c r="JE131" s="14"/>
      <x:c r="JF131" s="14"/>
      <x:c r="JG131" s="14"/>
      <x:c r="JH131" s="14"/>
      <x:c r="JI131" s="14"/>
      <x:c r="JJ131" s="14"/>
      <x:c r="JK131" s="14"/>
      <x:c r="JL131" s="14"/>
      <x:c r="JM131" s="14"/>
      <x:c r="JN131" s="14"/>
      <x:c r="JO131" s="14"/>
      <x:c r="JP131" s="14"/>
      <x:c r="JQ131" s="14"/>
      <x:c r="JR131" s="14"/>
      <x:c r="JS131" s="14"/>
      <x:c r="JT131" s="14"/>
      <x:c r="JU131" s="14"/>
      <x:c r="JV131" s="14"/>
      <x:c r="JW131" s="14"/>
      <x:c r="JX131" s="14"/>
      <x:c r="JY131" s="14"/>
      <x:c r="JZ131" s="14"/>
      <x:c r="KA131" s="14"/>
      <x:c r="KB131" s="14"/>
      <x:c r="KC131" s="14"/>
      <x:c r="KD131" s="14"/>
      <x:c r="KE131" s="14"/>
      <x:c r="KF131" s="14"/>
      <x:c r="KG131" s="14"/>
      <x:c r="KH131" s="14"/>
      <x:c r="KI131" s="14"/>
      <x:c r="KJ131" s="14"/>
      <x:c r="KK131" s="14"/>
      <x:c r="KL131" s="14"/>
      <x:c r="KM131" s="14"/>
      <x:c r="KN131" s="14"/>
      <x:c r="KO131" s="14"/>
      <x:c r="KP131" s="14"/>
      <x:c r="KQ131" s="14"/>
      <x:c r="KR131" s="14"/>
      <x:c r="KS131" s="14"/>
      <x:c r="KT131" s="14"/>
      <x:c r="KU131" s="14"/>
      <x:c r="KV131" s="14"/>
      <x:c r="KW131" s="14"/>
      <x:c r="KX131" s="14"/>
      <x:c r="KY131" s="14"/>
      <x:c r="KZ131" s="14"/>
      <x:c r="LA131" s="14"/>
      <x:c r="LB131" s="14"/>
      <x:c r="LC131" s="14"/>
      <x:c r="LD131" s="14"/>
      <x:c r="LE131" s="14"/>
      <x:c r="LF131" s="14"/>
      <x:c r="LG131" s="14"/>
      <x:c r="LH131" s="14"/>
      <x:c r="LI131" s="14"/>
      <x:c r="LJ131" s="14"/>
      <x:c r="LK131" s="14"/>
      <x:c r="LL131" s="14"/>
      <x:c r="LM131" s="14"/>
      <x:c r="LN131" s="14"/>
      <x:c r="LO131" s="14"/>
      <x:c r="LP131" s="14"/>
      <x:c r="LQ131" s="14"/>
      <x:c r="LR131" s="14"/>
      <x:c r="LS131" s="14"/>
      <x:c r="LT131" s="14"/>
      <x:c r="LU131" s="14"/>
      <x:c r="LV131" s="14"/>
      <x:c r="LW131" s="14"/>
      <x:c r="LX131" s="14"/>
      <x:c r="LY131" s="14"/>
      <x:c r="LZ131" s="14"/>
      <x:c r="MA131" s="14"/>
      <x:c r="MB131" s="14"/>
      <x:c r="MC131" s="14"/>
      <x:c r="MD131" s="14"/>
      <x:c r="ME131" s="14"/>
      <x:c r="MF131" s="14"/>
      <x:c r="MG131" s="14"/>
      <x:c r="MH131" s="14"/>
      <x:c r="MI131" s="14"/>
      <x:c r="MJ131" s="14"/>
      <x:c r="MK131" s="14"/>
      <x:c r="ML131" s="14"/>
      <x:c r="MM131" s="14"/>
      <x:c r="MN131" s="14"/>
      <x:c r="MO131" s="14"/>
      <x:c r="MP131" s="14"/>
      <x:c r="MQ131" s="14"/>
      <x:c r="MR131" s="14"/>
      <x:c r="MS131" s="14"/>
      <x:c r="MT131" s="14"/>
      <x:c r="MU131" s="14"/>
      <x:c r="MV131" s="14"/>
      <x:c r="MW131" s="14" t="str">
        <x:v>31168</x:v>
      </x:c>
      <x:c r="MX131" s="14" t="n">
        <x:v>5</x:v>
      </x:c>
      <x:c r="MY131" s="14" t="n">
        <x:v>2081</x:v>
      </x:c>
      <x:c r="MZ131" s="14" t="n">
        <x:v>433</x:v>
      </x:c>
      <x:c r="NA131" s="14" t="n">
        <x:v>13</x:v>
      </x:c>
      <x:c r="NB131" s="14" t="n">
        <x:v>1</x:v>
      </x:c>
      <x:c r="NC131" s="14" t="str">
        <x:v>未收錄</x:v>
      </x:c>
      <x:c r="ND131" s="14" t="str">
        <x:v>31173</x:v>
      </x:c>
      <x:c r="NE131" s="14" t="n">
        <x:v>5</x:v>
      </x:c>
      <x:c r="NF131" s="14" t="n">
        <x:v>2082</x:v>
      </x:c>
      <x:c r="NG131" s="14" t="n">
        <x:v>434</x:v>
      </x:c>
      <x:c r="NH131" s="14" t="n">
        <x:v>13</x:v>
      </x:c>
      <x:c r="NI131" s="14" t="n">
        <x:v>2</x:v>
      </x:c>
      <x:c r="NJ131" s="14" t="str">
        <x:v>未收錄</x:v>
      </x:c>
      <x:c r="NK131" s="14" t="str">
        <x:v>31273</x:v>
      </x:c>
      <x:c r="NL131" s="14" t="n">
        <x:v>10</x:v>
      </x:c>
      <x:c r="NM131" s="14" t="n">
        <x:v>2083</x:v>
      </x:c>
      <x:c r="NN131" s="14" t="n">
        <x:v>435</x:v>
      </x:c>
      <x:c r="NO131" s="14" t="n">
        <x:v>13</x:v>
      </x:c>
      <x:c r="NP131" s="14" t="n">
        <x:v>3</x:v>
      </x:c>
      <x:c r="NQ131" s="14" t="str">
        <x:v>未收錄</x:v>
      </x:c>
      <x:c r="NR131" s="14" t="str">
        <x:v>31293</x:v>
      </x:c>
      <x:c r="NS131" s="14" t="n">
        <x:v>10</x:v>
      </x:c>
      <x:c r="NT131" s="14" t="n">
        <x:v>2084</x:v>
      </x:c>
      <x:c r="NU131" s="14" t="n">
        <x:v>436</x:v>
      </x:c>
      <x:c r="NV131" s="14" t="n">
        <x:v>13</x:v>
      </x:c>
      <x:c r="NW131" s="14" t="n">
        <x:v>4</x:v>
      </x:c>
      <x:c r="NX131" s="14" t="str">
        <x:v>未收錄</x:v>
      </x:c>
      <x:c r="NY131" s="14" t="str">
        <x:v>29604</x:v>
      </x:c>
      <x:c r="NZ131" s="14" t="n">
        <x:v>10</x:v>
      </x:c>
      <x:c r="OA131" s="14" t="n">
        <x:v>2534</x:v>
      </x:c>
      <x:c r="OB131" s="14" t="n">
        <x:v>433</x:v>
      </x:c>
      <x:c r="OC131" s="14" t="n">
        <x:v>13</x:v>
      </x:c>
      <x:c r="OD131" s="14" t="n">
        <x:v>1</x:v>
      </x:c>
      <x:c r="OE131" s="14" t="str">
        <x:v>未收錄</x:v>
      </x:c>
      <x:c r="OF131" s="14" t="str">
        <x:v>29437</x:v>
      </x:c>
      <x:c r="OG131" s="14" t="n">
        <x:v>5</x:v>
      </x:c>
      <x:c r="OH131" s="14" t="n">
        <x:v>2535</x:v>
      </x:c>
      <x:c r="OI131" s="14" t="n">
        <x:v>434</x:v>
      </x:c>
      <x:c r="OJ131" s="14" t="n">
        <x:v>13</x:v>
      </x:c>
      <x:c r="OK131" s="14" t="n">
        <x:v>2</x:v>
      </x:c>
      <x:c r="OL131" s="14" t="str">
        <x:v>未收錄</x:v>
      </x:c>
      <x:c r="OM131" s="14" t="str">
        <x:v>29443</x:v>
      </x:c>
      <x:c r="ON131" s="14" t="n">
        <x:v>5</x:v>
      </x:c>
      <x:c r="OO131" s="14" t="n">
        <x:v>2536</x:v>
      </x:c>
      <x:c r="OP131" s="14" t="n">
        <x:v>435</x:v>
      </x:c>
      <x:c r="OQ131" s="14" t="n">
        <x:v>13</x:v>
      </x:c>
      <x:c r="OR131" s="14" t="n">
        <x:v>3</x:v>
      </x:c>
      <x:c r="OS131" s="14" t="str">
        <x:v>未收錄</x:v>
      </x:c>
      <x:c r="OT131" s="14" t="str">
        <x:v>29449</x:v>
      </x:c>
      <x:c r="OU131" s="14" t="n">
        <x:v>5</x:v>
      </x:c>
      <x:c r="OV131" s="14" t="n">
        <x:v>2537</x:v>
      </x:c>
      <x:c r="OW131" s="14" t="n">
        <x:v>436</x:v>
      </x:c>
      <x:c r="OX131" s="14" t="n">
        <x:v>13</x:v>
      </x:c>
      <x:c r="OY131" s="14" t="n">
        <x:v>4</x:v>
      </x:c>
      <x:c r="OZ131" s="14" t="str">
        <x:v>未收錄</x:v>
      </x:c>
      <x:c r="PA131" s="14" t="str">
        <x:v>31220</x:v>
      </x:c>
      <x:c r="PB131" s="14" t="n">
        <x:v>5</x:v>
      </x:c>
      <x:c r="PC131" s="14" t="n">
        <x:v>3080</x:v>
      </x:c>
      <x:c r="PD131" s="14" t="n">
        <x:v>433</x:v>
      </x:c>
      <x:c r="PE131" s="14" t="n">
        <x:v>13</x:v>
      </x:c>
      <x:c r="PF131" s="14" t="n">
        <x:v>1</x:v>
      </x:c>
      <x:c r="PG131" s="14" t="str">
        <x:v>未收錄</x:v>
      </x:c>
      <x:c r="PH131" s="14" t="str">
        <x:v>31225</x:v>
      </x:c>
      <x:c r="PI131" s="14" t="n">
        <x:v>5</x:v>
      </x:c>
      <x:c r="PJ131" s="14" t="n">
        <x:v>3081</x:v>
      </x:c>
      <x:c r="PK131" s="14" t="n">
        <x:v>434</x:v>
      </x:c>
      <x:c r="PL131" s="14" t="n">
        <x:v>13</x:v>
      </x:c>
      <x:c r="PM131" s="14" t="n">
        <x:v>2</x:v>
      </x:c>
      <x:c r="PN131" s="14" t="str">
        <x:v>未收錄</x:v>
      </x:c>
      <x:c r="PO131" s="14" t="str">
        <x:v>31285</x:v>
      </x:c>
      <x:c r="PP131" s="14" t="n">
        <x:v>10</x:v>
      </x:c>
      <x:c r="PQ131" s="14" t="n">
        <x:v>3082</x:v>
      </x:c>
      <x:c r="PR131" s="14" t="n">
        <x:v>435</x:v>
      </x:c>
      <x:c r="PS131" s="14" t="n">
        <x:v>13</x:v>
      </x:c>
      <x:c r="PT131" s="14" t="n">
        <x:v>3</x:v>
      </x:c>
      <x:c r="PU131" s="14" t="str">
        <x:v>未收錄</x:v>
      </x:c>
      <x:c r="PV131" s="14" t="str">
        <x:v>31305</x:v>
      </x:c>
      <x:c r="PW131" s="14" t="n">
        <x:v>10</x:v>
      </x:c>
      <x:c r="PX131" s="14" t="n">
        <x:v>3083</x:v>
      </x:c>
      <x:c r="PY131" s="14" t="n">
        <x:v>436</x:v>
      </x:c>
      <x:c r="PZ131" s="14" t="n">
        <x:v>13</x:v>
      </x:c>
      <x:c r="QA131" s="14" t="n">
        <x:v>4</x:v>
      </x:c>
      <x:c r="QB131" s="14" t="str">
        <x:v>未收錄</x:v>
      </x:c>
      <x:c r="QC131" s="14" t="str">
        <x:v>31242</x:v>
      </x:c>
      <x:c r="QD131" s="14" t="n">
        <x:v>5</x:v>
      </x:c>
      <x:c r="QE131" s="14" t="n">
        <x:v>3517</x:v>
      </x:c>
      <x:c r="QF131" s="14" t="n">
        <x:v>433</x:v>
      </x:c>
      <x:c r="QG131" s="14" t="n">
        <x:v>13</x:v>
      </x:c>
      <x:c r="QH131" s="14" t="n">
        <x:v>1</x:v>
      </x:c>
      <x:c r="QI131" s="14" t="str">
        <x:v>未收錄</x:v>
      </x:c>
      <x:c r="QJ131" s="14" t="str">
        <x:v>31247</x:v>
      </x:c>
      <x:c r="QK131" s="14" t="n">
        <x:v>5</x:v>
      </x:c>
      <x:c r="QL131" s="14" t="n">
        <x:v>3518</x:v>
      </x:c>
      <x:c r="QM131" s="14" t="n">
        <x:v>434</x:v>
      </x:c>
      <x:c r="QN131" s="14" t="n">
        <x:v>13</x:v>
      </x:c>
      <x:c r="QO131" s="14" t="n">
        <x:v>2</x:v>
      </x:c>
      <x:c r="QP131" s="14" t="str">
        <x:v>未收錄</x:v>
      </x:c>
      <x:c r="QQ131" s="14" t="str">
        <x:v>31287</x:v>
      </x:c>
      <x:c r="QR131" s="14" t="n">
        <x:v>10</x:v>
      </x:c>
      <x:c r="QS131" s="14" t="n">
        <x:v>3519</x:v>
      </x:c>
      <x:c r="QT131" s="14" t="n">
        <x:v>435</x:v>
      </x:c>
      <x:c r="QU131" s="14" t="n">
        <x:v>13</x:v>
      </x:c>
      <x:c r="QV131" s="14" t="n">
        <x:v>3</x:v>
      </x:c>
      <x:c r="QW131" s="14" t="str">
        <x:v>未收錄</x:v>
      </x:c>
      <x:c r="QX131" s="14" t="str">
        <x:v>31307</x:v>
      </x:c>
      <x:c r="QY131" s="14" t="n">
        <x:v>10</x:v>
      </x:c>
      <x:c r="QZ131" s="14" t="n">
        <x:v>3520</x:v>
      </x:c>
      <x:c r="RA131" s="14" t="n">
        <x:v>436</x:v>
      </x:c>
      <x:c r="RB131" s="14" t="n">
        <x:v>13</x:v>
      </x:c>
      <x:c r="RC131" s="14" t="n">
        <x:v>4</x:v>
      </x:c>
      <x:c r="RD131" s="14" t="str">
        <x:v>未收錄</x:v>
      </x:c>
      <x:c r="RE131" s="14"/>
      <x:c r="RF131" s="14"/>
      <x:c r="RG131" s="14"/>
      <x:c r="RH131" s="14"/>
      <x:c r="RI131" s="14"/>
      <x:c r="RJ131" s="14"/>
      <x:c r="RK131" s="14"/>
      <x:c r="RL131" s="14"/>
      <x:c r="RM131" s="14"/>
      <x:c r="RN131" s="14"/>
      <x:c r="RO131" s="14"/>
      <x:c r="RP131" s="14"/>
      <x:c r="RQ131" s="14"/>
      <x:c r="RR131" s="14"/>
      <x:c r="RS131" s="14"/>
      <x:c r="RT131" s="14"/>
      <x:c r="RU131" s="14"/>
      <x:c r="RV131" s="14"/>
      <x:c r="RW131" s="14"/>
      <x:c r="RX131" s="14"/>
      <x:c r="RY131" s="14"/>
      <x:c r="RZ131" s="14"/>
      <x:c r="SA131" s="14"/>
      <x:c r="SB131" s="14"/>
      <x:c r="SC131" s="14"/>
      <x:c r="SD131" s="14"/>
      <x:c r="SE131" s="14"/>
      <x:c r="SF131" s="14"/>
      <x:c r="SG131" s="14"/>
      <x:c r="SH131" s="14"/>
      <x:c r="SI131" s="14"/>
      <x:c r="SJ131" s="14"/>
      <x:c r="SK131" s="14"/>
      <x:c r="SL131" s="14"/>
      <x:c r="SM131" s="14"/>
      <x:c r="SN131" s="14"/>
      <x:c r="SO131" s="14"/>
      <x:c r="SP131" s="14"/>
      <x:c r="SQ131" s="14"/>
      <x:c r="SR131" s="14"/>
      <x:c r="SS131" s="14"/>
      <x:c r="ST131" s="14"/>
      <x:c r="SU131" s="14"/>
      <x:c r="SV131" s="14"/>
      <x:c r="SW131" s="14"/>
      <x:c r="SX131" s="14"/>
      <x:c r="SY131" s="14"/>
      <x:c r="SZ131" s="14"/>
      <x:c r="TA131" s="14"/>
      <x:c r="TB131" s="14"/>
      <x:c r="TC131" s="14"/>
      <x:c r="TD131" s="14"/>
      <x:c r="TE131" s="14"/>
      <x:c r="TF131" s="14"/>
      <x:c r="TG131" s="14"/>
      <x:c r="TH131" s="14"/>
    </x:row>
    <x:row r="132" ht="15" customHeight="1">
      <x:c r="A132" s="14"/>
      <x:c r="B132" s="14"/>
      <x:c r="C132" s="14"/>
      <x:c r="D132" s="14"/>
      <x:c r="E132" s="14"/>
      <x:c r="F132" s="14"/>
      <x:c r="G132" s="14"/>
      <x:c r="H132" s="14"/>
      <x:c r="I132" s="14"/>
      <x:c r="J132" s="14"/>
      <x:c r="K132" s="14"/>
      <x:c r="L132" s="14"/>
      <x:c r="M132" s="14"/>
      <x:c r="N132" s="14"/>
      <x:c r="O132" s="14"/>
      <x:c r="P132" s="14"/>
      <x:c r="Q132" s="14"/>
      <x:c r="R132" s="14"/>
      <x:c r="S132" s="14"/>
      <x:c r="T132" s="14"/>
      <x:c r="U132" s="14"/>
      <x:c r="V132" s="14"/>
      <x:c r="W132" s="14"/>
      <x:c r="X132" s="14"/>
      <x:c r="Y132" s="14"/>
      <x:c r="Z132" s="14"/>
      <x:c r="AA132" s="14"/>
      <x:c r="AB132" s="14"/>
      <x:c r="AC132" s="14"/>
      <x:c r="AD132" s="14"/>
      <x:c r="AE132" s="14"/>
      <x:c r="AF132" s="14"/>
      <x:c r="AG132" s="14"/>
      <x:c r="AH132" s="14"/>
      <x:c r="AI132" s="14"/>
      <x:c r="AJ132" s="14"/>
      <x:c r="AK132" s="14"/>
      <x:c r="AL132" s="14"/>
      <x:c r="AM132" s="14"/>
      <x:c r="AN132" s="14"/>
      <x:c r="AO132" s="14"/>
      <x:c r="AP132" s="14"/>
      <x:c r="AQ132" s="14"/>
      <x:c r="AR132" s="14"/>
      <x:c r="AS132" s="14"/>
      <x:c r="AT132" s="14"/>
      <x:c r="AU132" s="14"/>
      <x:c r="AV132" s="14"/>
      <x:c r="AW132" s="14"/>
      <x:c r="AX132" s="14"/>
      <x:c r="AY132" s="18" t="str">
        <x:v>舞星釩兜Ⅲ</x:v>
      </x:c>
      <x:c r="AZ132" s="18" t="str">
        <x:v>宇鋒颺頂Ⅳ</x:v>
      </x:c>
      <x:c r="BA132" s="18" t="str">
        <x:v>天衛宙盔Ⅳ</x:v>
      </x:c>
      <x:c r="BB132" s="18" t="str">
        <x:v>光術覆面Ⅳ</x:v>
      </x:c>
      <x:c r="BC132" s="14"/>
      <x:c r="BD132" s="18" t="str">
        <x:v>道帝袍★★☆</x:v>
      </x:c>
      <x:c r="BE132" s="18" t="str">
        <x:v>禪帝衲★★☆</x:v>
      </x:c>
      <x:c r="BF132" s="18" t="str">
        <x:v>鬼帝鎧★★☆</x:v>
      </x:c>
      <x:c r="BG132" s="18" t="str">
        <x:v>黃天衣★★☆</x:v>
      </x:c>
      <x:c r="BH132" s="14"/>
      <x:c r="BI132" s="18" t="str">
        <x:v>舞星鎢掌Ⅴ</x:v>
      </x:c>
      <x:c r="BJ132" s="18"/>
      <x:c r="BK132" s="18"/>
      <x:c r="BL132" s="18"/>
      <x:c r="BM132" s="14"/>
      <x:c r="BN132" s="18" t="str">
        <x:v>舞星鋁行Ⅱ</x:v>
      </x:c>
      <x:c r="BO132" s="18" t="str">
        <x:v>宇鋒飆靴Ⅲ</x:v>
      </x:c>
      <x:c r="BP132" s="18" t="str">
        <x:v>天衛宙脛Ⅲ</x:v>
      </x:c>
      <x:c r="BQ132" s="18" t="str">
        <x:v>光術疾履Ⅲ</x:v>
      </x:c>
      <x:c r="BR132" s="14"/>
      <x:c r="BS132" s="14"/>
      <x:c r="BT132" s="14"/>
      <x:c r="BU132" s="14"/>
      <x:c r="BV132" s="14"/>
      <x:c r="BW132" s="14"/>
      <x:c r="BX132" s="14"/>
      <x:c r="BY132" s="14"/>
      <x:c r="BZ132" s="14"/>
      <x:c r="CA132" s="14"/>
      <x:c r="CB132" s="14"/>
      <x:c r="CC132" s="14"/>
      <x:c r="CD132" s="14"/>
      <x:c r="CE132" s="14"/>
      <x:c r="CF132" s="14"/>
      <x:c r="CG132" s="14"/>
      <x:c r="CH132" s="14"/>
      <x:c r="CI132" s="14"/>
      <x:c r="CJ132" s="14"/>
      <x:c r="CK132" s="14"/>
      <x:c r="CL132" s="14"/>
      <x:c r="CM132" s="14"/>
      <x:c r="CN132" s="14"/>
      <x:c r="CO132" s="14"/>
      <x:c r="CP132" s="14"/>
      <x:c r="CQ132" s="14"/>
      <x:c r="CR132" s="14"/>
      <x:c r="CS132" s="14"/>
      <x:c r="CT132" s="14"/>
      <x:c r="CU132" s="14"/>
      <x:c r="CV132" s="14"/>
      <x:c r="CW132" s="14"/>
      <x:c r="CX132" s="14"/>
      <x:c r="CY132" s="14"/>
      <x:c r="CZ132" s="14"/>
      <x:c r="DA132" s="14"/>
      <x:c r="DB132" s="14"/>
      <x:c r="DC132" s="14"/>
      <x:c r="DD132" s="14"/>
      <x:c r="DE132" s="14"/>
      <x:c r="DF132" s="14"/>
      <x:c r="DG132" s="14"/>
      <x:c r="DH132" s="14"/>
      <x:c r="DI132" s="14"/>
      <x:c r="DJ132" s="14"/>
      <x:c r="DK132" s="14"/>
      <x:c r="DL132" s="14"/>
      <x:c r="DM132" s="14"/>
      <x:c r="DN132" s="14"/>
      <x:c r="DO132" s="14"/>
      <x:c r="DP132" s="14"/>
      <x:c r="DQ132" s="14"/>
      <x:c r="DR132" s="14"/>
      <x:c r="DS132" s="14"/>
      <x:c r="DT132" s="14"/>
      <x:c r="DU132" s="14"/>
      <x:c r="DV132" s="14"/>
      <x:c r="DW132" s="14"/>
      <x:c r="DX132" s="14"/>
      <x:c r="DY132" s="14"/>
      <x:c r="DZ132" s="14"/>
      <x:c r="EA132" s="14"/>
      <x:c r="EB132" s="14"/>
      <x:c r="EC132" s="14"/>
      <x:c r="ED132" s="14"/>
      <x:c r="EE132" s="14"/>
      <x:c r="EF132" s="14"/>
      <x:c r="EG132" s="14"/>
      <x:c r="EH132" s="14"/>
      <x:c r="EI132" s="14"/>
      <x:c r="EJ132" s="14"/>
      <x:c r="EK132" s="14"/>
      <x:c r="EL132" s="14"/>
      <x:c r="EM132" s="14"/>
      <x:c r="EN132" s="14"/>
      <x:c r="EO132" s="14"/>
      <x:c r="EP132" s="14"/>
      <x:c r="EQ132" s="14"/>
      <x:c r="ER132" s="14"/>
      <x:c r="ES132" s="14"/>
      <x:c r="ET132" s="14"/>
      <x:c r="EU132" s="14"/>
      <x:c r="EV132" s="14"/>
      <x:c r="EW132" s="14"/>
      <x:c r="EX132" s="14"/>
      <x:c r="EY132" s="14"/>
      <x:c r="EZ132" s="14"/>
      <x:c r="FA132" s="14"/>
      <x:c r="FB132" s="14"/>
      <x:c r="FC132" s="14"/>
      <x:c r="FD132" s="14"/>
      <x:c r="FE132" s="14"/>
      <x:c r="FF132" s="14"/>
      <x:c r="FG132" s="14"/>
      <x:c r="FH132" s="14"/>
      <x:c r="FI132" s="14"/>
      <x:c r="FJ132" s="14"/>
      <x:c r="FK132" s="14"/>
      <x:c r="FL132" s="14"/>
      <x:c r="FM132" s="14"/>
      <x:c r="FN132" s="14"/>
      <x:c r="FO132" s="14"/>
      <x:c r="FP132" s="14"/>
      <x:c r="FQ132" s="14"/>
      <x:c r="FR132" s="14"/>
      <x:c r="FS132" s="14"/>
      <x:c r="FT132" s="14"/>
      <x:c r="FU132" s="14"/>
      <x:c r="FV132" s="14"/>
      <x:c r="FW132" s="14"/>
      <x:c r="FX132" s="14"/>
      <x:c r="FY132" s="14"/>
      <x:c r="FZ132" s="14"/>
      <x:c r="GA132" s="14"/>
      <x:c r="GB132" s="14"/>
      <x:c r="GC132" s="14"/>
      <x:c r="GD132" s="14"/>
      <x:c r="GE132" s="14"/>
      <x:c r="GF132" s="14"/>
      <x:c r="GG132" s="14"/>
      <x:c r="GH132" s="14"/>
      <x:c r="GI132" s="14"/>
      <x:c r="GJ132" s="14"/>
      <x:c r="GK132" s="14"/>
      <x:c r="GL132" s="14"/>
      <x:c r="GM132" s="14"/>
      <x:c r="GN132" s="14"/>
      <x:c r="GO132" s="14"/>
      <x:c r="GP132" s="14"/>
      <x:c r="GQ132" s="14"/>
      <x:c r="GR132" s="14"/>
      <x:c r="GS132" s="14"/>
      <x:c r="GT132" s="14"/>
      <x:c r="GU132" s="14"/>
      <x:c r="GV132" s="14"/>
      <x:c r="GW132" s="14"/>
      <x:c r="GX132" s="14"/>
      <x:c r="GY132" s="14"/>
      <x:c r="GZ132" s="14"/>
      <x:c r="HA132" s="14"/>
      <x:c r="HB132" s="14"/>
      <x:c r="HC132" s="14"/>
      <x:c r="HD132" s="14"/>
      <x:c r="HE132" s="14"/>
      <x:c r="HF132" s="14"/>
      <x:c r="HG132" s="14"/>
      <x:c r="HH132" s="14"/>
      <x:c r="HI132" s="14"/>
      <x:c r="HJ132" s="14"/>
      <x:c r="HK132" s="14"/>
      <x:c r="HL132" s="14"/>
      <x:c r="HM132" s="14"/>
      <x:c r="HN132" s="14"/>
      <x:c r="HO132" s="14"/>
      <x:c r="HP132" s="14"/>
      <x:c r="HQ132" s="14"/>
      <x:c r="HR132" s="14"/>
      <x:c r="HS132" s="14"/>
      <x:c r="HT132" s="14"/>
      <x:c r="HU132" s="14"/>
      <x:c r="HV132" s="14"/>
      <x:c r="HW132" s="14"/>
      <x:c r="HX132" s="14"/>
      <x:c r="HY132" s="14"/>
      <x:c r="HZ132" s="14"/>
      <x:c r="IA132" s="14"/>
      <x:c r="IB132" s="14"/>
      <x:c r="IC132" s="14"/>
      <x:c r="ID132" s="14"/>
      <x:c r="IE132" s="14"/>
      <x:c r="IF132" s="14"/>
      <x:c r="IG132" s="14"/>
      <x:c r="IH132" s="14"/>
      <x:c r="II132" s="14"/>
      <x:c r="IJ132" s="14"/>
      <x:c r="IK132" s="14"/>
      <x:c r="IL132" s="14"/>
      <x:c r="IM132" s="14"/>
      <x:c r="IN132" s="14"/>
      <x:c r="IO132" s="14"/>
      <x:c r="IP132" s="14"/>
      <x:c r="IQ132" s="14"/>
      <x:c r="IR132" s="14"/>
      <x:c r="IS132" s="14"/>
      <x:c r="IT132" s="14"/>
      <x:c r="IU132" s="14"/>
      <x:c r="IV132" s="14"/>
      <x:c r="IW132" s="14"/>
      <x:c r="IX132" s="14"/>
      <x:c r="IY132" s="14"/>
      <x:c r="IZ132" s="14"/>
      <x:c r="JA132" s="14"/>
      <x:c r="JB132" s="14"/>
      <x:c r="JC132" s="14"/>
      <x:c r="JD132" s="14"/>
      <x:c r="JE132" s="14"/>
      <x:c r="JF132" s="14"/>
      <x:c r="JG132" s="14"/>
      <x:c r="JH132" s="14"/>
      <x:c r="JI132" s="14"/>
      <x:c r="JJ132" s="14"/>
      <x:c r="JK132" s="14"/>
      <x:c r="JL132" s="14"/>
      <x:c r="JM132" s="14"/>
      <x:c r="JN132" s="14"/>
      <x:c r="JO132" s="14"/>
      <x:c r="JP132" s="14"/>
      <x:c r="JQ132" s="14"/>
      <x:c r="JR132" s="14"/>
      <x:c r="JS132" s="14"/>
      <x:c r="JT132" s="14"/>
      <x:c r="JU132" s="14"/>
      <x:c r="JV132" s="14"/>
      <x:c r="JW132" s="14"/>
      <x:c r="JX132" s="14"/>
      <x:c r="JY132" s="14"/>
      <x:c r="JZ132" s="14"/>
      <x:c r="KA132" s="14"/>
      <x:c r="KB132" s="14"/>
      <x:c r="KC132" s="14"/>
      <x:c r="KD132" s="14"/>
      <x:c r="KE132" s="14"/>
      <x:c r="KF132" s="14"/>
      <x:c r="KG132" s="14"/>
      <x:c r="KH132" s="14"/>
      <x:c r="KI132" s="14"/>
      <x:c r="KJ132" s="14"/>
      <x:c r="KK132" s="14"/>
      <x:c r="KL132" s="14"/>
      <x:c r="KM132" s="14"/>
      <x:c r="KN132" s="14"/>
      <x:c r="KO132" s="14"/>
      <x:c r="KP132" s="14"/>
      <x:c r="KQ132" s="14"/>
      <x:c r="KR132" s="14"/>
      <x:c r="KS132" s="14"/>
      <x:c r="KT132" s="14"/>
      <x:c r="KU132" s="14"/>
      <x:c r="KV132" s="14"/>
      <x:c r="KW132" s="14"/>
      <x:c r="KX132" s="14"/>
      <x:c r="KY132" s="14"/>
      <x:c r="KZ132" s="14"/>
      <x:c r="LA132" s="14"/>
      <x:c r="LB132" s="14"/>
      <x:c r="LC132" s="14"/>
      <x:c r="LD132" s="14"/>
      <x:c r="LE132" s="14"/>
      <x:c r="LF132" s="14"/>
      <x:c r="LG132" s="14"/>
      <x:c r="LH132" s="14"/>
      <x:c r="LI132" s="14"/>
      <x:c r="LJ132" s="14"/>
      <x:c r="LK132" s="14"/>
      <x:c r="LL132" s="14"/>
      <x:c r="LM132" s="14"/>
      <x:c r="LN132" s="14"/>
      <x:c r="LO132" s="14"/>
      <x:c r="LP132" s="14"/>
      <x:c r="LQ132" s="14"/>
      <x:c r="LR132" s="14"/>
      <x:c r="LS132" s="14"/>
      <x:c r="LT132" s="14"/>
      <x:c r="LU132" s="14"/>
      <x:c r="LV132" s="14"/>
      <x:c r="LW132" s="14"/>
      <x:c r="LX132" s="14"/>
      <x:c r="LY132" s="14"/>
      <x:c r="LZ132" s="14"/>
      <x:c r="MA132" s="14"/>
      <x:c r="MB132" s="14"/>
      <x:c r="MC132" s="14"/>
      <x:c r="MD132" s="14"/>
      <x:c r="ME132" s="14"/>
      <x:c r="MF132" s="14"/>
      <x:c r="MG132" s="14"/>
      <x:c r="MH132" s="14"/>
      <x:c r="MI132" s="14"/>
      <x:c r="MJ132" s="14"/>
      <x:c r="MK132" s="14"/>
      <x:c r="ML132" s="14"/>
      <x:c r="MM132" s="14"/>
      <x:c r="MN132" s="14"/>
      <x:c r="MO132" s="14"/>
      <x:c r="MP132" s="14"/>
      <x:c r="MQ132" s="14"/>
      <x:c r="MR132" s="14"/>
      <x:c r="MS132" s="14"/>
      <x:c r="MT132" s="14"/>
      <x:c r="MU132" s="14"/>
      <x:c r="MV132" s="14"/>
      <x:c r="MW132" s="14" t="str">
        <x:v>31313</x:v>
      </x:c>
      <x:c r="MX132" s="14" t="n">
        <x:v>10</x:v>
      </x:c>
      <x:c r="MY132" s="14" t="n">
        <x:v>2085</x:v>
      </x:c>
      <x:c r="MZ132" s="14" t="n">
        <x:v>437</x:v>
      </x:c>
      <x:c r="NA132" s="14" t="n">
        <x:v>14</x:v>
      </x:c>
      <x:c r="NB132" s="14" t="n">
        <x:v>1</x:v>
      </x:c>
      <x:c r="NC132" s="14" t="str">
        <x:v>未收錄</x:v>
      </x:c>
      <x:c r="ND132" s="14" t="str">
        <x:v>31154</x:v>
      </x:c>
      <x:c r="NE132" s="14" t="n">
        <x:v>5</x:v>
      </x:c>
      <x:c r="NF132" s="14" t="n">
        <x:v>2086</x:v>
      </x:c>
      <x:c r="NG132" s="14" t="n">
        <x:v>438</x:v>
      </x:c>
      <x:c r="NH132" s="14" t="n">
        <x:v>14</x:v>
      </x:c>
      <x:c r="NI132" s="14" t="n">
        <x:v>2</x:v>
      </x:c>
      <x:c r="NJ132" s="14" t="str">
        <x:v>未收錄</x:v>
      </x:c>
      <x:c r="NK132" s="14" t="str">
        <x:v>31159</x:v>
      </x:c>
      <x:c r="NL132" s="14" t="n">
        <x:v>5</x:v>
      </x:c>
      <x:c r="NM132" s="14" t="n">
        <x:v>2087</x:v>
      </x:c>
      <x:c r="NN132" s="14" t="n">
        <x:v>439</x:v>
      </x:c>
      <x:c r="NO132" s="14" t="n">
        <x:v>14</x:v>
      </x:c>
      <x:c r="NP132" s="14" t="n">
        <x:v>3</x:v>
      </x:c>
      <x:c r="NQ132" s="14" t="str">
        <x:v>未收錄</x:v>
      </x:c>
      <x:c r="NR132" s="14" t="str">
        <x:v>31164</x:v>
      </x:c>
      <x:c r="NS132" s="14" t="n">
        <x:v>5</x:v>
      </x:c>
      <x:c r="NT132" s="14" t="n">
        <x:v>2088</x:v>
      </x:c>
      <x:c r="NU132" s="14" t="n">
        <x:v>440</x:v>
      </x:c>
      <x:c r="NV132" s="14" t="n">
        <x:v>14</x:v>
      </x:c>
      <x:c r="NW132" s="14" t="n">
        <x:v>4</x:v>
      </x:c>
      <x:c r="NX132" s="14" t="str">
        <x:v>未收錄</x:v>
      </x:c>
      <x:c r="NY132" s="14" t="str">
        <x:v>29455</x:v>
      </x:c>
      <x:c r="NZ132" s="14" t="n">
        <x:v>5</x:v>
      </x:c>
      <x:c r="OA132" s="14" t="n">
        <x:v>2538</x:v>
      </x:c>
      <x:c r="OB132" s="14" t="n">
        <x:v>437</x:v>
      </x:c>
      <x:c r="OC132" s="14" t="n">
        <x:v>14</x:v>
      </x:c>
      <x:c r="OD132" s="14" t="n">
        <x:v>1</x:v>
      </x:c>
      <x:c r="OE132" s="14" t="str">
        <x:v>未收錄</x:v>
      </x:c>
      <x:c r="OF132" s="14" t="str">
        <x:v>29461</x:v>
      </x:c>
      <x:c r="OG132" s="14" t="n">
        <x:v>5</x:v>
      </x:c>
      <x:c r="OH132" s="14" t="n">
        <x:v>2539</x:v>
      </x:c>
      <x:c r="OI132" s="14" t="n">
        <x:v>438</x:v>
      </x:c>
      <x:c r="OJ132" s="14" t="n">
        <x:v>14</x:v>
      </x:c>
      <x:c r="OK132" s="14" t="n">
        <x:v>2</x:v>
      </x:c>
      <x:c r="OL132" s="14" t="str">
        <x:v>未收錄</x:v>
      </x:c>
      <x:c r="OM132" s="14" t="str">
        <x:v>29557</x:v>
      </x:c>
      <x:c r="ON132" s="14" t="n">
        <x:v>10</x:v>
      </x:c>
      <x:c r="OO132" s="14" t="n">
        <x:v>2540</x:v>
      </x:c>
      <x:c r="OP132" s="14" t="n">
        <x:v>439</x:v>
      </x:c>
      <x:c r="OQ132" s="14" t="n">
        <x:v>14</x:v>
      </x:c>
      <x:c r="OR132" s="14" t="n">
        <x:v>3</x:v>
      </x:c>
      <x:c r="OS132" s="14" t="str">
        <x:v>未收錄</x:v>
      </x:c>
      <x:c r="OT132" s="14" t="str">
        <x:v>29581</x:v>
      </x:c>
      <x:c r="OU132" s="14" t="n">
        <x:v>10</x:v>
      </x:c>
      <x:c r="OV132" s="14" t="n">
        <x:v>2541</x:v>
      </x:c>
      <x:c r="OW132" s="14" t="n">
        <x:v>440</x:v>
      </x:c>
      <x:c r="OX132" s="14" t="n">
        <x:v>14</x:v>
      </x:c>
      <x:c r="OY132" s="14" t="n">
        <x:v>4</x:v>
      </x:c>
      <x:c r="OZ132" s="14" t="str">
        <x:v>未收錄</x:v>
      </x:c>
      <x:c r="PA132" s="14" t="str">
        <x:v>31325</x:v>
      </x:c>
      <x:c r="PB132" s="14" t="n">
        <x:v>10</x:v>
      </x:c>
      <x:c r="PC132" s="14" t="n">
        <x:v>3084</x:v>
      </x:c>
      <x:c r="PD132" s="14" t="n">
        <x:v>437</x:v>
      </x:c>
      <x:c r="PE132" s="14" t="n">
        <x:v>14</x:v>
      </x:c>
      <x:c r="PF132" s="14" t="n">
        <x:v>1</x:v>
      </x:c>
      <x:c r="PG132" s="14" t="str">
        <x:v>未收錄</x:v>
      </x:c>
      <x:c r="PH132" s="14"/>
      <x:c r="PI132" s="14"/>
      <x:c r="PJ132" s="14"/>
      <x:c r="PK132" s="14"/>
      <x:c r="PL132" s="14"/>
      <x:c r="PM132" s="14"/>
      <x:c r="PN132" s="14"/>
      <x:c r="PO132" s="14"/>
      <x:c r="PP132" s="14"/>
      <x:c r="PQ132" s="14"/>
      <x:c r="PR132" s="14"/>
      <x:c r="PS132" s="14"/>
      <x:c r="PT132" s="14"/>
      <x:c r="PU132" s="14"/>
      <x:c r="PV132" s="14"/>
      <x:c r="PW132" s="14"/>
      <x:c r="PX132" s="14"/>
      <x:c r="PY132" s="14"/>
      <x:c r="PZ132" s="14"/>
      <x:c r="QA132" s="14"/>
      <x:c r="QB132" s="14"/>
      <x:c r="QC132" s="14" t="str">
        <x:v>31327</x:v>
      </x:c>
      <x:c r="QD132" s="14" t="n">
        <x:v>10</x:v>
      </x:c>
      <x:c r="QE132" s="14" t="n">
        <x:v>3521</x:v>
      </x:c>
      <x:c r="QF132" s="14" t="n">
        <x:v>437</x:v>
      </x:c>
      <x:c r="QG132" s="14" t="n">
        <x:v>14</x:v>
      </x:c>
      <x:c r="QH132" s="14" t="n">
        <x:v>1</x:v>
      </x:c>
      <x:c r="QI132" s="14" t="str">
        <x:v>未收錄</x:v>
      </x:c>
      <x:c r="QJ132" s="14" t="str">
        <x:v>31228</x:v>
      </x:c>
      <x:c r="QK132" s="14" t="n">
        <x:v>5</x:v>
      </x:c>
      <x:c r="QL132" s="14" t="n">
        <x:v>3522</x:v>
      </x:c>
      <x:c r="QM132" s="14" t="n">
        <x:v>438</x:v>
      </x:c>
      <x:c r="QN132" s="14" t="n">
        <x:v>14</x:v>
      </x:c>
      <x:c r="QO132" s="14" t="n">
        <x:v>2</x:v>
      </x:c>
      <x:c r="QP132" s="14" t="str">
        <x:v>未收錄</x:v>
      </x:c>
      <x:c r="QQ132" s="14" t="str">
        <x:v>31233</x:v>
      </x:c>
      <x:c r="QR132" s="14" t="n">
        <x:v>5</x:v>
      </x:c>
      <x:c r="QS132" s="14" t="n">
        <x:v>3523</x:v>
      </x:c>
      <x:c r="QT132" s="14" t="n">
        <x:v>439</x:v>
      </x:c>
      <x:c r="QU132" s="14" t="n">
        <x:v>14</x:v>
      </x:c>
      <x:c r="QV132" s="14" t="n">
        <x:v>3</x:v>
      </x:c>
      <x:c r="QW132" s="14" t="str">
        <x:v>未收錄</x:v>
      </x:c>
      <x:c r="QX132" s="14" t="str">
        <x:v>31238</x:v>
      </x:c>
      <x:c r="QY132" s="14" t="n">
        <x:v>5</x:v>
      </x:c>
      <x:c r="QZ132" s="14" t="n">
        <x:v>3524</x:v>
      </x:c>
      <x:c r="RA132" s="14" t="n">
        <x:v>440</x:v>
      </x:c>
      <x:c r="RB132" s="14" t="n">
        <x:v>14</x:v>
      </x:c>
      <x:c r="RC132" s="14" t="n">
        <x:v>4</x:v>
      </x:c>
      <x:c r="RD132" s="14" t="str">
        <x:v>未收錄</x:v>
      </x:c>
      <x:c r="RE132" s="14"/>
      <x:c r="RF132" s="14"/>
      <x:c r="RG132" s="14"/>
      <x:c r="RH132" s="14"/>
      <x:c r="RI132" s="14"/>
      <x:c r="RJ132" s="14"/>
      <x:c r="RK132" s="14"/>
      <x:c r="RL132" s="14"/>
      <x:c r="RM132" s="14"/>
      <x:c r="RN132" s="14"/>
      <x:c r="RO132" s="14"/>
      <x:c r="RP132" s="14"/>
      <x:c r="RQ132" s="14"/>
      <x:c r="RR132" s="14"/>
      <x:c r="RS132" s="14"/>
      <x:c r="RT132" s="14"/>
      <x:c r="RU132" s="14"/>
      <x:c r="RV132" s="14"/>
      <x:c r="RW132" s="14"/>
      <x:c r="RX132" s="14"/>
      <x:c r="RY132" s="14"/>
      <x:c r="RZ132" s="14"/>
      <x:c r="SA132" s="14"/>
      <x:c r="SB132" s="14"/>
      <x:c r="SC132" s="14"/>
      <x:c r="SD132" s="14"/>
      <x:c r="SE132" s="14"/>
      <x:c r="SF132" s="14"/>
      <x:c r="SG132" s="14"/>
      <x:c r="SH132" s="14"/>
      <x:c r="SI132" s="14"/>
      <x:c r="SJ132" s="14"/>
      <x:c r="SK132" s="14"/>
      <x:c r="SL132" s="14"/>
      <x:c r="SM132" s="14"/>
      <x:c r="SN132" s="14"/>
      <x:c r="SO132" s="14"/>
      <x:c r="SP132" s="14"/>
      <x:c r="SQ132" s="14"/>
      <x:c r="SR132" s="14"/>
      <x:c r="SS132" s="14"/>
      <x:c r="ST132" s="14"/>
      <x:c r="SU132" s="14"/>
      <x:c r="SV132" s="14"/>
      <x:c r="SW132" s="14"/>
      <x:c r="SX132" s="14"/>
      <x:c r="SY132" s="14"/>
      <x:c r="SZ132" s="14"/>
      <x:c r="TA132" s="14"/>
      <x:c r="TB132" s="14"/>
      <x:c r="TC132" s="14"/>
      <x:c r="TD132" s="14"/>
      <x:c r="TE132" s="14"/>
      <x:c r="TF132" s="14"/>
      <x:c r="TG132" s="14"/>
      <x:c r="TH132" s="14"/>
    </x:row>
    <x:row r="133" ht="15" customHeight="1">
      <x:c r="A133" s="14"/>
      <x:c r="B133" s="14"/>
      <x:c r="C133" s="14"/>
      <x:c r="D133" s="14"/>
      <x:c r="E133" s="14"/>
      <x:c r="F133" s="14"/>
      <x:c r="G133" s="14"/>
      <x:c r="H133" s="14"/>
      <x:c r="I133" s="14"/>
      <x:c r="J133" s="14"/>
      <x:c r="K133" s="14"/>
      <x:c r="L133" s="14"/>
      <x:c r="M133" s="14"/>
      <x:c r="N133" s="14"/>
      <x:c r="O133" s="14"/>
      <x:c r="P133" s="14"/>
      <x:c r="Q133" s="14"/>
      <x:c r="R133" s="14"/>
      <x:c r="S133" s="14"/>
      <x:c r="T133" s="14"/>
      <x:c r="U133" s="14"/>
      <x:c r="V133" s="14"/>
      <x:c r="W133" s="14"/>
      <x:c r="X133" s="14"/>
      <x:c r="Y133" s="14"/>
      <x:c r="Z133" s="14"/>
      <x:c r="AA133" s="14"/>
      <x:c r="AB133" s="14"/>
      <x:c r="AC133" s="14"/>
      <x:c r="AD133" s="14"/>
      <x:c r="AE133" s="14"/>
      <x:c r="AF133" s="14"/>
      <x:c r="AG133" s="14"/>
      <x:c r="AH133" s="14"/>
      <x:c r="AI133" s="14"/>
      <x:c r="AJ133" s="14"/>
      <x:c r="AK133" s="14"/>
      <x:c r="AL133" s="14"/>
      <x:c r="AM133" s="14"/>
      <x:c r="AN133" s="14"/>
      <x:c r="AO133" s="14"/>
      <x:c r="AP133" s="14"/>
      <x:c r="AQ133" s="14"/>
      <x:c r="AR133" s="14"/>
      <x:c r="AS133" s="14"/>
      <x:c r="AT133" s="14"/>
      <x:c r="AU133" s="14"/>
      <x:c r="AV133" s="14"/>
      <x:c r="AW133" s="14"/>
      <x:c r="AX133" s="14"/>
      <x:c r="AY133" s="17" t="str">
        <x:v>辰道玄冠Ⅳ</x:v>
      </x:c>
      <x:c r="AZ133" s="17" t="str">
        <x:v>寂禪靜觀Ⅳ</x:v>
      </x:c>
      <x:c r="BA133" s="17" t="str">
        <x:v>騰陽威冕Ⅳ</x:v>
      </x:c>
      <x:c r="BB133" s="17" t="str">
        <x:v>凜月冪巾Ⅳ</x:v>
      </x:c>
      <x:c r="BC133" s="14"/>
      <x:c r="BD133" s="17" t="str">
        <x:v>皇影甲★★☆</x:v>
      </x:c>
      <x:c r="BE133" s="17" t="str">
        <x:v>神無袈★★☆</x:v>
      </x:c>
      <x:c r="BF133" s="17" t="str">
        <x:v>劍帝服★★★</x:v>
      </x:c>
      <x:c r="BG133" s="17" t="str">
        <x:v>武帝胄★★★</x:v>
      </x:c>
      <x:c r="BH133" s="14"/>
      <x:c r="BI133" s="14"/>
      <x:c r="BJ133" s="14"/>
      <x:c r="BK133" s="14"/>
      <x:c r="BL133" s="14"/>
      <x:c r="BM133" s="14"/>
      <x:c r="BN133" s="17" t="str">
        <x:v>辰道玄鞋Ⅲ</x:v>
      </x:c>
      <x:c r="BO133" s="17" t="str">
        <x:v>寂禪矜足Ⅲ</x:v>
      </x:c>
      <x:c r="BP133" s="17" t="str">
        <x:v>騰陽巍立Ⅲ</x:v>
      </x:c>
      <x:c r="BQ133" s="17" t="str">
        <x:v>凜月漪纏Ⅲ</x:v>
      </x:c>
      <x:c r="BR133" s="14"/>
      <x:c r="BS133" s="14"/>
      <x:c r="BT133" s="14"/>
      <x:c r="BU133" s="14"/>
      <x:c r="BV133" s="14"/>
      <x:c r="BW133" s="14"/>
      <x:c r="BX133" s="14"/>
      <x:c r="BY133" s="14"/>
      <x:c r="BZ133" s="14"/>
      <x:c r="CA133" s="14"/>
      <x:c r="CB133" s="14"/>
      <x:c r="CC133" s="14"/>
      <x:c r="CD133" s="14"/>
      <x:c r="CE133" s="14"/>
      <x:c r="CF133" s="14"/>
      <x:c r="CG133" s="14"/>
      <x:c r="CH133" s="14"/>
      <x:c r="CI133" s="14"/>
      <x:c r="CJ133" s="14"/>
      <x:c r="CK133" s="14"/>
      <x:c r="CL133" s="14"/>
      <x:c r="CM133" s="14"/>
      <x:c r="CN133" s="14"/>
      <x:c r="CO133" s="14"/>
      <x:c r="CP133" s="14"/>
      <x:c r="CQ133" s="14"/>
      <x:c r="CR133" s="14"/>
      <x:c r="CS133" s="14"/>
      <x:c r="CT133" s="14"/>
      <x:c r="CU133" s="14"/>
      <x:c r="CV133" s="14"/>
      <x:c r="CW133" s="14"/>
      <x:c r="CX133" s="14"/>
      <x:c r="CY133" s="14"/>
      <x:c r="CZ133" s="14"/>
      <x:c r="DA133" s="14"/>
      <x:c r="DB133" s="14"/>
      <x:c r="DC133" s="14"/>
      <x:c r="DD133" s="14"/>
      <x:c r="DE133" s="14"/>
      <x:c r="DF133" s="14"/>
      <x:c r="DG133" s="14"/>
      <x:c r="DH133" s="14"/>
      <x:c r="DI133" s="14"/>
      <x:c r="DJ133" s="14"/>
      <x:c r="DK133" s="14"/>
      <x:c r="DL133" s="14"/>
      <x:c r="DM133" s="14"/>
      <x:c r="DN133" s="14"/>
      <x:c r="DO133" s="14"/>
      <x:c r="DP133" s="14"/>
      <x:c r="DQ133" s="14"/>
      <x:c r="DR133" s="14"/>
      <x:c r="DS133" s="14"/>
      <x:c r="DT133" s="14"/>
      <x:c r="DU133" s="14"/>
      <x:c r="DV133" s="14"/>
      <x:c r="DW133" s="14"/>
      <x:c r="DX133" s="14"/>
      <x:c r="DY133" s="14"/>
      <x:c r="DZ133" s="14"/>
      <x:c r="EA133" s="14"/>
      <x:c r="EB133" s="14"/>
      <x:c r="EC133" s="14"/>
      <x:c r="ED133" s="14"/>
      <x:c r="EE133" s="14"/>
      <x:c r="EF133" s="14"/>
      <x:c r="EG133" s="14"/>
      <x:c r="EH133" s="14"/>
      <x:c r="EI133" s="14"/>
      <x:c r="EJ133" s="14"/>
      <x:c r="EK133" s="14"/>
      <x:c r="EL133" s="14"/>
      <x:c r="EM133" s="14"/>
      <x:c r="EN133" s="14"/>
      <x:c r="EO133" s="14"/>
      <x:c r="EP133" s="14"/>
      <x:c r="EQ133" s="14"/>
      <x:c r="ER133" s="14"/>
      <x:c r="ES133" s="14"/>
      <x:c r="ET133" s="14"/>
      <x:c r="EU133" s="14"/>
      <x:c r="EV133" s="14"/>
      <x:c r="EW133" s="14"/>
      <x:c r="EX133" s="14"/>
      <x:c r="EY133" s="14"/>
      <x:c r="EZ133" s="14"/>
      <x:c r="FA133" s="14"/>
      <x:c r="FB133" s="14"/>
      <x:c r="FC133" s="14"/>
      <x:c r="FD133" s="14"/>
      <x:c r="FE133" s="14"/>
      <x:c r="FF133" s="14"/>
      <x:c r="FG133" s="14"/>
      <x:c r="FH133" s="14"/>
      <x:c r="FI133" s="14"/>
      <x:c r="FJ133" s="14"/>
      <x:c r="FK133" s="14"/>
      <x:c r="FL133" s="14"/>
      <x:c r="FM133" s="14"/>
      <x:c r="FN133" s="14"/>
      <x:c r="FO133" s="14"/>
      <x:c r="FP133" s="14"/>
      <x:c r="FQ133" s="14"/>
      <x:c r="FR133" s="14"/>
      <x:c r="FS133" s="14"/>
      <x:c r="FT133" s="14"/>
      <x:c r="FU133" s="14"/>
      <x:c r="FV133" s="14"/>
      <x:c r="FW133" s="14"/>
      <x:c r="FX133" s="14"/>
      <x:c r="FY133" s="14"/>
      <x:c r="FZ133" s="14"/>
      <x:c r="GA133" s="14"/>
      <x:c r="GB133" s="14"/>
      <x:c r="GC133" s="14"/>
      <x:c r="GD133" s="14"/>
      <x:c r="GE133" s="14"/>
      <x:c r="GF133" s="14"/>
      <x:c r="GG133" s="14"/>
      <x:c r="GH133" s="14"/>
      <x:c r="GI133" s="14"/>
      <x:c r="GJ133" s="14"/>
      <x:c r="GK133" s="14"/>
      <x:c r="GL133" s="14"/>
      <x:c r="GM133" s="14"/>
      <x:c r="GN133" s="14"/>
      <x:c r="GO133" s="14"/>
      <x:c r="GP133" s="14"/>
      <x:c r="GQ133" s="14"/>
      <x:c r="GR133" s="14"/>
      <x:c r="GS133" s="14"/>
      <x:c r="GT133" s="14"/>
      <x:c r="GU133" s="14"/>
      <x:c r="GV133" s="14"/>
      <x:c r="GW133" s="14"/>
      <x:c r="GX133" s="14"/>
      <x:c r="GY133" s="14"/>
      <x:c r="GZ133" s="14"/>
      <x:c r="HA133" s="14"/>
      <x:c r="HB133" s="14"/>
      <x:c r="HC133" s="14"/>
      <x:c r="HD133" s="14"/>
      <x:c r="HE133" s="14"/>
      <x:c r="HF133" s="14"/>
      <x:c r="HG133" s="14"/>
      <x:c r="HH133" s="14"/>
      <x:c r="HI133" s="14"/>
      <x:c r="HJ133" s="14"/>
      <x:c r="HK133" s="14"/>
      <x:c r="HL133" s="14"/>
      <x:c r="HM133" s="14"/>
      <x:c r="HN133" s="14"/>
      <x:c r="HO133" s="14"/>
      <x:c r="HP133" s="14"/>
      <x:c r="HQ133" s="14"/>
      <x:c r="HR133" s="14"/>
      <x:c r="HS133" s="14"/>
      <x:c r="HT133" s="14"/>
      <x:c r="HU133" s="14"/>
      <x:c r="HV133" s="14"/>
      <x:c r="HW133" s="14"/>
      <x:c r="HX133" s="14"/>
      <x:c r="HY133" s="14"/>
      <x:c r="HZ133" s="14"/>
      <x:c r="IA133" s="14"/>
      <x:c r="IB133" s="14"/>
      <x:c r="IC133" s="14"/>
      <x:c r="ID133" s="14"/>
      <x:c r="IE133" s="14"/>
      <x:c r="IF133" s="14"/>
      <x:c r="IG133" s="14"/>
      <x:c r="IH133" s="14"/>
      <x:c r="II133" s="14"/>
      <x:c r="IJ133" s="14"/>
      <x:c r="IK133" s="14"/>
      <x:c r="IL133" s="14"/>
      <x:c r="IM133" s="14"/>
      <x:c r="IN133" s="14"/>
      <x:c r="IO133" s="14"/>
      <x:c r="IP133" s="14"/>
      <x:c r="IQ133" s="14"/>
      <x:c r="IR133" s="14"/>
      <x:c r="IS133" s="14"/>
      <x:c r="IT133" s="14"/>
      <x:c r="IU133" s="14"/>
      <x:c r="IV133" s="14"/>
      <x:c r="IW133" s="14"/>
      <x:c r="IX133" s="14"/>
      <x:c r="IY133" s="14"/>
      <x:c r="IZ133" s="14"/>
      <x:c r="JA133" s="14"/>
      <x:c r="JB133" s="14"/>
      <x:c r="JC133" s="14"/>
      <x:c r="JD133" s="14"/>
      <x:c r="JE133" s="14"/>
      <x:c r="JF133" s="14"/>
      <x:c r="JG133" s="14"/>
      <x:c r="JH133" s="14"/>
      <x:c r="JI133" s="14"/>
      <x:c r="JJ133" s="14"/>
      <x:c r="JK133" s="14"/>
      <x:c r="JL133" s="14"/>
      <x:c r="JM133" s="14"/>
      <x:c r="JN133" s="14"/>
      <x:c r="JO133" s="14"/>
      <x:c r="JP133" s="14"/>
      <x:c r="JQ133" s="14"/>
      <x:c r="JR133" s="14"/>
      <x:c r="JS133" s="14"/>
      <x:c r="JT133" s="14"/>
      <x:c r="JU133" s="14"/>
      <x:c r="JV133" s="14"/>
      <x:c r="JW133" s="14"/>
      <x:c r="JX133" s="14"/>
      <x:c r="JY133" s="14"/>
      <x:c r="JZ133" s="14"/>
      <x:c r="KA133" s="14"/>
      <x:c r="KB133" s="14"/>
      <x:c r="KC133" s="14"/>
      <x:c r="KD133" s="14"/>
      <x:c r="KE133" s="14"/>
      <x:c r="KF133" s="14"/>
      <x:c r="KG133" s="14"/>
      <x:c r="KH133" s="14"/>
      <x:c r="KI133" s="14"/>
      <x:c r="KJ133" s="14"/>
      <x:c r="KK133" s="14"/>
      <x:c r="KL133" s="14"/>
      <x:c r="KM133" s="14"/>
      <x:c r="KN133" s="14"/>
      <x:c r="KO133" s="14"/>
      <x:c r="KP133" s="14"/>
      <x:c r="KQ133" s="14"/>
      <x:c r="KR133" s="14"/>
      <x:c r="KS133" s="14"/>
      <x:c r="KT133" s="14"/>
      <x:c r="KU133" s="14"/>
      <x:c r="KV133" s="14"/>
      <x:c r="KW133" s="14"/>
      <x:c r="KX133" s="14"/>
      <x:c r="KY133" s="14"/>
      <x:c r="KZ133" s="14"/>
      <x:c r="LA133" s="14"/>
      <x:c r="LB133" s="14"/>
      <x:c r="LC133" s="14"/>
      <x:c r="LD133" s="14"/>
      <x:c r="LE133" s="14"/>
      <x:c r="LF133" s="14"/>
      <x:c r="LG133" s="14"/>
      <x:c r="LH133" s="14"/>
      <x:c r="LI133" s="14"/>
      <x:c r="LJ133" s="14"/>
      <x:c r="LK133" s="14"/>
      <x:c r="LL133" s="14"/>
      <x:c r="LM133" s="14"/>
      <x:c r="LN133" s="14"/>
      <x:c r="LO133" s="14"/>
      <x:c r="LP133" s="14"/>
      <x:c r="LQ133" s="14"/>
      <x:c r="LR133" s="14"/>
      <x:c r="LS133" s="14"/>
      <x:c r="LT133" s="14"/>
      <x:c r="LU133" s="14"/>
      <x:c r="LV133" s="14"/>
      <x:c r="LW133" s="14"/>
      <x:c r="LX133" s="14"/>
      <x:c r="LY133" s="14"/>
      <x:c r="LZ133" s="14"/>
      <x:c r="MA133" s="14"/>
      <x:c r="MB133" s="14"/>
      <x:c r="MC133" s="14"/>
      <x:c r="MD133" s="14"/>
      <x:c r="ME133" s="14"/>
      <x:c r="MF133" s="14"/>
      <x:c r="MG133" s="14"/>
      <x:c r="MH133" s="14"/>
      <x:c r="MI133" s="14"/>
      <x:c r="MJ133" s="14"/>
      <x:c r="MK133" s="14"/>
      <x:c r="ML133" s="14"/>
      <x:c r="MM133" s="14"/>
      <x:c r="MN133" s="14"/>
      <x:c r="MO133" s="14"/>
      <x:c r="MP133" s="14"/>
      <x:c r="MQ133" s="14"/>
      <x:c r="MR133" s="14"/>
      <x:c r="MS133" s="14"/>
      <x:c r="MT133" s="14"/>
      <x:c r="MU133" s="14"/>
      <x:c r="MV133" s="14"/>
      <x:c r="MW133" s="14" t="str">
        <x:v>31169</x:v>
      </x:c>
      <x:c r="MX133" s="14" t="n">
        <x:v>5</x:v>
      </x:c>
      <x:c r="MY133" s="14" t="n">
        <x:v>2089</x:v>
      </x:c>
      <x:c r="MZ133" s="14" t="n">
        <x:v>441</x:v>
      </x:c>
      <x:c r="NA133" s="14" t="n">
        <x:v>15</x:v>
      </x:c>
      <x:c r="NB133" s="14" t="n">
        <x:v>1</x:v>
      </x:c>
      <x:c r="NC133" s="14" t="str">
        <x:v>未收錄</x:v>
      </x:c>
      <x:c r="ND133" s="14" t="str">
        <x:v>31174</x:v>
      </x:c>
      <x:c r="NE133" s="14" t="n">
        <x:v>5</x:v>
      </x:c>
      <x:c r="NF133" s="14" t="n">
        <x:v>2090</x:v>
      </x:c>
      <x:c r="NG133" s="14" t="n">
        <x:v>442</x:v>
      </x:c>
      <x:c r="NH133" s="14" t="n">
        <x:v>15</x:v>
      </x:c>
      <x:c r="NI133" s="14" t="n">
        <x:v>2</x:v>
      </x:c>
      <x:c r="NJ133" s="14" t="str">
        <x:v>未收錄</x:v>
      </x:c>
      <x:c r="NK133" s="14" t="str">
        <x:v>31274</x:v>
      </x:c>
      <x:c r="NL133" s="14" t="n">
        <x:v>10</x:v>
      </x:c>
      <x:c r="NM133" s="14" t="n">
        <x:v>2091</x:v>
      </x:c>
      <x:c r="NN133" s="14" t="n">
        <x:v>443</x:v>
      </x:c>
      <x:c r="NO133" s="14" t="n">
        <x:v>15</x:v>
      </x:c>
      <x:c r="NP133" s="14" t="n">
        <x:v>3</x:v>
      </x:c>
      <x:c r="NQ133" s="14" t="str">
        <x:v>未收錄</x:v>
      </x:c>
      <x:c r="NR133" s="14" t="str">
        <x:v>31294</x:v>
      </x:c>
      <x:c r="NS133" s="14" t="n">
        <x:v>10</x:v>
      </x:c>
      <x:c r="NT133" s="14" t="n">
        <x:v>2092</x:v>
      </x:c>
      <x:c r="NU133" s="14" t="n">
        <x:v>444</x:v>
      </x:c>
      <x:c r="NV133" s="14" t="n">
        <x:v>15</x:v>
      </x:c>
      <x:c r="NW133" s="14" t="n">
        <x:v>4</x:v>
      </x:c>
      <x:c r="NX133" s="14" t="str">
        <x:v>未收錄</x:v>
      </x:c>
      <x:c r="NY133" s="14" t="str">
        <x:v>29599</x:v>
      </x:c>
      <x:c r="NZ133" s="14" t="n">
        <x:v>10</x:v>
      </x:c>
      <x:c r="OA133" s="14" t="n">
        <x:v>2542</x:v>
      </x:c>
      <x:c r="OB133" s="14" t="n">
        <x:v>441</x:v>
      </x:c>
      <x:c r="OC133" s="14" t="n">
        <x:v>15</x:v>
      </x:c>
      <x:c r="OD133" s="14" t="n">
        <x:v>1</x:v>
      </x:c>
      <x:c r="OE133" s="14" t="str">
        <x:v>未收錄</x:v>
      </x:c>
      <x:c r="OF133" s="14" t="str">
        <x:v>29605</x:v>
      </x:c>
      <x:c r="OG133" s="14" t="n">
        <x:v>10</x:v>
      </x:c>
      <x:c r="OH133" s="14" t="n">
        <x:v>2543</x:v>
      </x:c>
      <x:c r="OI133" s="14" t="n">
        <x:v>442</x:v>
      </x:c>
      <x:c r="OJ133" s="14" t="n">
        <x:v>15</x:v>
      </x:c>
      <x:c r="OK133" s="14" t="n">
        <x:v>2</x:v>
      </x:c>
      <x:c r="OL133" s="14" t="str">
        <x:v>未收錄</x:v>
      </x:c>
      <x:c r="OM133" s="14" t="str">
        <x:v>29438</x:v>
      </x:c>
      <x:c r="ON133" s="14" t="n">
        <x:v>5</x:v>
      </x:c>
      <x:c r="OO133" s="14" t="n">
        <x:v>2544</x:v>
      </x:c>
      <x:c r="OP133" s="14" t="n">
        <x:v>443</x:v>
      </x:c>
      <x:c r="OQ133" s="14" t="n">
        <x:v>15</x:v>
      </x:c>
      <x:c r="OR133" s="14" t="n">
        <x:v>3</x:v>
      </x:c>
      <x:c r="OS133" s="14" t="str">
        <x:v>未收錄</x:v>
      </x:c>
      <x:c r="OT133" s="14" t="str">
        <x:v>29444</x:v>
      </x:c>
      <x:c r="OU133" s="14" t="n">
        <x:v>5</x:v>
      </x:c>
      <x:c r="OV133" s="14" t="n">
        <x:v>2545</x:v>
      </x:c>
      <x:c r="OW133" s="14" t="n">
        <x:v>444</x:v>
      </x:c>
      <x:c r="OX133" s="14" t="n">
        <x:v>15</x:v>
      </x:c>
      <x:c r="OY133" s="14" t="n">
        <x:v>4</x:v>
      </x:c>
      <x:c r="OZ133" s="14" t="str">
        <x:v>未收錄</x:v>
      </x:c>
      <x:c r="PA133" s="14"/>
      <x:c r="PB133" s="14"/>
      <x:c r="PC133" s="14"/>
      <x:c r="PD133" s="14"/>
      <x:c r="PE133" s="14"/>
      <x:c r="PF133" s="14"/>
      <x:c r="PG133" s="14"/>
      <x:c r="PH133" s="14"/>
      <x:c r="PI133" s="14"/>
      <x:c r="PJ133" s="14"/>
      <x:c r="PK133" s="14"/>
      <x:c r="PL133" s="14"/>
      <x:c r="PM133" s="14"/>
      <x:c r="PN133" s="14"/>
      <x:c r="PO133" s="14"/>
      <x:c r="PP133" s="14"/>
      <x:c r="PQ133" s="14"/>
      <x:c r="PR133" s="14"/>
      <x:c r="PS133" s="14"/>
      <x:c r="PT133" s="14"/>
      <x:c r="PU133" s="14"/>
      <x:c r="PV133" s="14"/>
      <x:c r="PW133" s="14"/>
      <x:c r="PX133" s="14"/>
      <x:c r="PY133" s="14"/>
      <x:c r="PZ133" s="14"/>
      <x:c r="QA133" s="14"/>
      <x:c r="QB133" s="14"/>
      <x:c r="QC133" s="14" t="str">
        <x:v>31243</x:v>
      </x:c>
      <x:c r="QD133" s="14" t="n">
        <x:v>5</x:v>
      </x:c>
      <x:c r="QE133" s="14" t="n">
        <x:v>3525</x:v>
      </x:c>
      <x:c r="QF133" s="14" t="n">
        <x:v>441</x:v>
      </x:c>
      <x:c r="QG133" s="14" t="n">
        <x:v>15</x:v>
      </x:c>
      <x:c r="QH133" s="14" t="n">
        <x:v>1</x:v>
      </x:c>
      <x:c r="QI133" s="14" t="str">
        <x:v>未收錄</x:v>
      </x:c>
      <x:c r="QJ133" s="14" t="str">
        <x:v>31248</x:v>
      </x:c>
      <x:c r="QK133" s="14" t="n">
        <x:v>5</x:v>
      </x:c>
      <x:c r="QL133" s="14" t="n">
        <x:v>3526</x:v>
      </x:c>
      <x:c r="QM133" s="14" t="n">
        <x:v>442</x:v>
      </x:c>
      <x:c r="QN133" s="14" t="n">
        <x:v>15</x:v>
      </x:c>
      <x:c r="QO133" s="14" t="n">
        <x:v>2</x:v>
      </x:c>
      <x:c r="QP133" s="14" t="str">
        <x:v>未收錄</x:v>
      </x:c>
      <x:c r="QQ133" s="14" t="str">
        <x:v>31288</x:v>
      </x:c>
      <x:c r="QR133" s="14" t="n">
        <x:v>10</x:v>
      </x:c>
      <x:c r="QS133" s="14" t="n">
        <x:v>3527</x:v>
      </x:c>
      <x:c r="QT133" s="14" t="n">
        <x:v>443</x:v>
      </x:c>
      <x:c r="QU133" s="14" t="n">
        <x:v>15</x:v>
      </x:c>
      <x:c r="QV133" s="14" t="n">
        <x:v>3</x:v>
      </x:c>
      <x:c r="QW133" s="14" t="str">
        <x:v>未收錄</x:v>
      </x:c>
      <x:c r="QX133" s="14" t="str">
        <x:v>31308</x:v>
      </x:c>
      <x:c r="QY133" s="14" t="n">
        <x:v>10</x:v>
      </x:c>
      <x:c r="QZ133" s="14" t="n">
        <x:v>3528</x:v>
      </x:c>
      <x:c r="RA133" s="14" t="n">
        <x:v>444</x:v>
      </x:c>
      <x:c r="RB133" s="14" t="n">
        <x:v>15</x:v>
      </x:c>
      <x:c r="RC133" s="14" t="n">
        <x:v>4</x:v>
      </x:c>
      <x:c r="RD133" s="14" t="str">
        <x:v>未收錄</x:v>
      </x:c>
      <x:c r="RE133" s="14"/>
      <x:c r="RF133" s="14"/>
      <x:c r="RG133" s="14"/>
      <x:c r="RH133" s="14"/>
      <x:c r="RI133" s="14"/>
      <x:c r="RJ133" s="14"/>
      <x:c r="RK133" s="14"/>
      <x:c r="RL133" s="14"/>
      <x:c r="RM133" s="14"/>
      <x:c r="RN133" s="14"/>
      <x:c r="RO133" s="14"/>
      <x:c r="RP133" s="14"/>
      <x:c r="RQ133" s="14"/>
      <x:c r="RR133" s="14"/>
      <x:c r="RS133" s="14"/>
      <x:c r="RT133" s="14"/>
      <x:c r="RU133" s="14"/>
      <x:c r="RV133" s="14"/>
      <x:c r="RW133" s="14"/>
      <x:c r="RX133" s="14"/>
      <x:c r="RY133" s="14"/>
      <x:c r="RZ133" s="14"/>
      <x:c r="SA133" s="14"/>
      <x:c r="SB133" s="14"/>
      <x:c r="SC133" s="14"/>
      <x:c r="SD133" s="14"/>
      <x:c r="SE133" s="14"/>
      <x:c r="SF133" s="14"/>
      <x:c r="SG133" s="14"/>
      <x:c r="SH133" s="14"/>
      <x:c r="SI133" s="14"/>
      <x:c r="SJ133" s="14"/>
      <x:c r="SK133" s="14"/>
      <x:c r="SL133" s="14"/>
      <x:c r="SM133" s="14"/>
      <x:c r="SN133" s="14"/>
      <x:c r="SO133" s="14"/>
      <x:c r="SP133" s="14"/>
      <x:c r="SQ133" s="14"/>
      <x:c r="SR133" s="14"/>
      <x:c r="SS133" s="14"/>
      <x:c r="ST133" s="14"/>
      <x:c r="SU133" s="14"/>
      <x:c r="SV133" s="14"/>
      <x:c r="SW133" s="14"/>
      <x:c r="SX133" s="14"/>
      <x:c r="SY133" s="14"/>
      <x:c r="SZ133" s="14"/>
      <x:c r="TA133" s="14"/>
      <x:c r="TB133" s="14"/>
      <x:c r="TC133" s="14"/>
      <x:c r="TD133" s="14"/>
      <x:c r="TE133" s="14"/>
      <x:c r="TF133" s="14"/>
      <x:c r="TG133" s="14"/>
      <x:c r="TH133" s="14"/>
    </x:row>
    <x:row r="134" ht="15" customHeight="1">
      <x:c r="A134" s="14"/>
      <x:c r="B134" s="14"/>
      <x:c r="C134" s="14"/>
      <x:c r="D134" s="14"/>
      <x:c r="E134" s="14"/>
      <x:c r="F134" s="14"/>
      <x:c r="G134" s="14"/>
      <x:c r="H134" s="14"/>
      <x:c r="I134" s="14"/>
      <x:c r="J134" s="14"/>
      <x:c r="K134" s="14"/>
      <x:c r="L134" s="14"/>
      <x:c r="M134" s="14"/>
      <x:c r="N134" s="14"/>
      <x:c r="O134" s="14"/>
      <x:c r="P134" s="14"/>
      <x:c r="Q134" s="14"/>
      <x:c r="R134" s="14"/>
      <x:c r="S134" s="14"/>
      <x:c r="T134" s="14"/>
      <x:c r="U134" s="14"/>
      <x:c r="V134" s="14"/>
      <x:c r="W134" s="14"/>
      <x:c r="X134" s="14"/>
      <x:c r="Y134" s="14"/>
      <x:c r="Z134" s="14"/>
      <x:c r="AA134" s="14"/>
      <x:c r="AB134" s="14"/>
      <x:c r="AC134" s="14"/>
      <x:c r="AD134" s="14"/>
      <x:c r="AE134" s="14"/>
      <x:c r="AF134" s="14"/>
      <x:c r="AG134" s="14"/>
      <x:c r="AH134" s="14"/>
      <x:c r="AI134" s="14"/>
      <x:c r="AJ134" s="14"/>
      <x:c r="AK134" s="14"/>
      <x:c r="AL134" s="14"/>
      <x:c r="AM134" s="14"/>
      <x:c r="AN134" s="14"/>
      <x:c r="AO134" s="14"/>
      <x:c r="AP134" s="14"/>
      <x:c r="AQ134" s="14"/>
      <x:c r="AR134" s="14"/>
      <x:c r="AS134" s="14"/>
      <x:c r="AT134" s="14"/>
      <x:c r="AU134" s="14"/>
      <x:c r="AV134" s="14"/>
      <x:c r="AW134" s="14"/>
      <x:c r="AX134" s="14"/>
      <x:c r="AY134" s="18" t="str">
        <x:v>舞星釩兜Ⅳ</x:v>
      </x:c>
      <x:c r="AZ134" s="18" t="str">
        <x:v>宇鋒颺頂Ⅴ</x:v>
      </x:c>
      <x:c r="BA134" s="18" t="str">
        <x:v>天衛宙盔Ⅴ</x:v>
      </x:c>
      <x:c r="BB134" s="18" t="str">
        <x:v>光術覆面Ⅴ</x:v>
      </x:c>
      <x:c r="BC134" s="14"/>
      <x:c r="BD134" s="18" t="str">
        <x:v>幻帝裘★★★</x:v>
      </x:c>
      <x:c r="BE134" s="18" t="str">
        <x:v>道帝袍★★★</x:v>
      </x:c>
      <x:c r="BF134" s="18" t="str">
        <x:v>禪帝衲★★★</x:v>
      </x:c>
      <x:c r="BG134" s="18" t="str">
        <x:v>鬼帝鎧★★★</x:v>
      </x:c>
      <x:c r="BH134" s="14"/>
      <x:c r="BI134" s="14"/>
      <x:c r="BJ134" s="14"/>
      <x:c r="BK134" s="14"/>
      <x:c r="BL134" s="14"/>
      <x:c r="BM134" s="14"/>
      <x:c r="BN134" s="18" t="str">
        <x:v>舞星鋁行Ⅲ</x:v>
      </x:c>
      <x:c r="BO134" s="18" t="str">
        <x:v>宇鋒飆靴Ⅳ</x:v>
      </x:c>
      <x:c r="BP134" s="18" t="str">
        <x:v>天衛宙脛Ⅳ</x:v>
      </x:c>
      <x:c r="BQ134" s="18" t="str">
        <x:v>光術疾履Ⅳ</x:v>
      </x:c>
      <x:c r="BR134" s="14"/>
      <x:c r="BS134" s="14"/>
      <x:c r="BT134" s="14"/>
      <x:c r="BU134" s="14"/>
      <x:c r="BV134" s="14"/>
      <x:c r="BW134" s="14"/>
      <x:c r="BX134" s="14"/>
      <x:c r="BY134" s="14"/>
      <x:c r="BZ134" s="14"/>
      <x:c r="CA134" s="14"/>
      <x:c r="CB134" s="14"/>
      <x:c r="CC134" s="14"/>
      <x:c r="CD134" s="14"/>
      <x:c r="CE134" s="14"/>
      <x:c r="CF134" s="14"/>
      <x:c r="CG134" s="14"/>
      <x:c r="CH134" s="14"/>
      <x:c r="CI134" s="14"/>
      <x:c r="CJ134" s="14"/>
      <x:c r="CK134" s="14"/>
      <x:c r="CL134" s="14"/>
      <x:c r="CM134" s="14"/>
      <x:c r="CN134" s="14"/>
      <x:c r="CO134" s="14"/>
      <x:c r="CP134" s="14"/>
      <x:c r="CQ134" s="14"/>
      <x:c r="CR134" s="14"/>
      <x:c r="CS134" s="14"/>
      <x:c r="CT134" s="14"/>
      <x:c r="CU134" s="14"/>
      <x:c r="CV134" s="14"/>
      <x:c r="CW134" s="14"/>
      <x:c r="CX134" s="14"/>
      <x:c r="CY134" s="14"/>
      <x:c r="CZ134" s="14"/>
      <x:c r="DA134" s="14"/>
      <x:c r="DB134" s="14"/>
      <x:c r="DC134" s="14"/>
      <x:c r="DD134" s="14"/>
      <x:c r="DE134" s="14"/>
      <x:c r="DF134" s="14"/>
      <x:c r="DG134" s="14"/>
      <x:c r="DH134" s="14"/>
      <x:c r="DI134" s="14"/>
      <x:c r="DJ134" s="14"/>
      <x:c r="DK134" s="14"/>
      <x:c r="DL134" s="14"/>
      <x:c r="DM134" s="14"/>
      <x:c r="DN134" s="14"/>
      <x:c r="DO134" s="14"/>
      <x:c r="DP134" s="14"/>
      <x:c r="DQ134" s="14"/>
      <x:c r="DR134" s="14"/>
      <x:c r="DS134" s="14"/>
      <x:c r="DT134" s="14"/>
      <x:c r="DU134" s="14"/>
      <x:c r="DV134" s="14"/>
      <x:c r="DW134" s="14"/>
      <x:c r="DX134" s="14"/>
      <x:c r="DY134" s="14"/>
      <x:c r="DZ134" s="14"/>
      <x:c r="EA134" s="14"/>
      <x:c r="EB134" s="14"/>
      <x:c r="EC134" s="14"/>
      <x:c r="ED134" s="14"/>
      <x:c r="EE134" s="14"/>
      <x:c r="EF134" s="14"/>
      <x:c r="EG134" s="14"/>
      <x:c r="EH134" s="14"/>
      <x:c r="EI134" s="14"/>
      <x:c r="EJ134" s="14"/>
      <x:c r="EK134" s="14"/>
      <x:c r="EL134" s="14"/>
      <x:c r="EM134" s="14"/>
      <x:c r="EN134" s="14"/>
      <x:c r="EO134" s="14"/>
      <x:c r="EP134" s="14"/>
      <x:c r="EQ134" s="14"/>
      <x:c r="ER134" s="14"/>
      <x:c r="ES134" s="14"/>
      <x:c r="ET134" s="14"/>
      <x:c r="EU134" s="14"/>
      <x:c r="EV134" s="14"/>
      <x:c r="EW134" s="14"/>
      <x:c r="EX134" s="14"/>
      <x:c r="EY134" s="14"/>
      <x:c r="EZ134" s="14"/>
      <x:c r="FA134" s="14"/>
      <x:c r="FB134" s="14"/>
      <x:c r="FC134" s="14"/>
      <x:c r="FD134" s="14"/>
      <x:c r="FE134" s="14"/>
      <x:c r="FF134" s="14"/>
      <x:c r="FG134" s="14"/>
      <x:c r="FH134" s="14"/>
      <x:c r="FI134" s="14"/>
      <x:c r="FJ134" s="14"/>
      <x:c r="FK134" s="14"/>
      <x:c r="FL134" s="14"/>
      <x:c r="FM134" s="14"/>
      <x:c r="FN134" s="14"/>
      <x:c r="FO134" s="14"/>
      <x:c r="FP134" s="14"/>
      <x:c r="FQ134" s="14"/>
      <x:c r="FR134" s="14"/>
      <x:c r="FS134" s="14"/>
      <x:c r="FT134" s="14"/>
      <x:c r="FU134" s="14"/>
      <x:c r="FV134" s="14"/>
      <x:c r="FW134" s="14"/>
      <x:c r="FX134" s="14"/>
      <x:c r="FY134" s="14"/>
      <x:c r="FZ134" s="14"/>
      <x:c r="GA134" s="14"/>
      <x:c r="GB134" s="14"/>
      <x:c r="GC134" s="14"/>
      <x:c r="GD134" s="14"/>
      <x:c r="GE134" s="14"/>
      <x:c r="GF134" s="14"/>
      <x:c r="GG134" s="14"/>
      <x:c r="GH134" s="14"/>
      <x:c r="GI134" s="14"/>
      <x:c r="GJ134" s="14"/>
      <x:c r="GK134" s="14"/>
      <x:c r="GL134" s="14"/>
      <x:c r="GM134" s="14"/>
      <x:c r="GN134" s="14"/>
      <x:c r="GO134" s="14"/>
      <x:c r="GP134" s="14"/>
      <x:c r="GQ134" s="14"/>
      <x:c r="GR134" s="14"/>
      <x:c r="GS134" s="14"/>
      <x:c r="GT134" s="14"/>
      <x:c r="GU134" s="14"/>
      <x:c r="GV134" s="14"/>
      <x:c r="GW134" s="14"/>
      <x:c r="GX134" s="14"/>
      <x:c r="GY134" s="14"/>
      <x:c r="GZ134" s="14"/>
      <x:c r="HA134" s="14"/>
      <x:c r="HB134" s="14"/>
      <x:c r="HC134" s="14"/>
      <x:c r="HD134" s="14"/>
      <x:c r="HE134" s="14"/>
      <x:c r="HF134" s="14"/>
      <x:c r="HG134" s="14"/>
      <x:c r="HH134" s="14"/>
      <x:c r="HI134" s="14"/>
      <x:c r="HJ134" s="14"/>
      <x:c r="HK134" s="14"/>
      <x:c r="HL134" s="14"/>
      <x:c r="HM134" s="14"/>
      <x:c r="HN134" s="14"/>
      <x:c r="HO134" s="14"/>
      <x:c r="HP134" s="14"/>
      <x:c r="HQ134" s="14"/>
      <x:c r="HR134" s="14"/>
      <x:c r="HS134" s="14"/>
      <x:c r="HT134" s="14"/>
      <x:c r="HU134" s="14"/>
      <x:c r="HV134" s="14"/>
      <x:c r="HW134" s="14"/>
      <x:c r="HX134" s="14"/>
      <x:c r="HY134" s="14"/>
      <x:c r="HZ134" s="14"/>
      <x:c r="IA134" s="14"/>
      <x:c r="IB134" s="14"/>
      <x:c r="IC134" s="14"/>
      <x:c r="ID134" s="14"/>
      <x:c r="IE134" s="14"/>
      <x:c r="IF134" s="14"/>
      <x:c r="IG134" s="14"/>
      <x:c r="IH134" s="14"/>
      <x:c r="II134" s="14"/>
      <x:c r="IJ134" s="14"/>
      <x:c r="IK134" s="14"/>
      <x:c r="IL134" s="14"/>
      <x:c r="IM134" s="14"/>
      <x:c r="IN134" s="14"/>
      <x:c r="IO134" s="14"/>
      <x:c r="IP134" s="14"/>
      <x:c r="IQ134" s="14"/>
      <x:c r="IR134" s="14"/>
      <x:c r="IS134" s="14"/>
      <x:c r="IT134" s="14"/>
      <x:c r="IU134" s="14"/>
      <x:c r="IV134" s="14"/>
      <x:c r="IW134" s="14"/>
      <x:c r="IX134" s="14"/>
      <x:c r="IY134" s="14"/>
      <x:c r="IZ134" s="14"/>
      <x:c r="JA134" s="14"/>
      <x:c r="JB134" s="14"/>
      <x:c r="JC134" s="14"/>
      <x:c r="JD134" s="14"/>
      <x:c r="JE134" s="14"/>
      <x:c r="JF134" s="14"/>
      <x:c r="JG134" s="14"/>
      <x:c r="JH134" s="14"/>
      <x:c r="JI134" s="14"/>
      <x:c r="JJ134" s="14"/>
      <x:c r="JK134" s="14"/>
      <x:c r="JL134" s="14"/>
      <x:c r="JM134" s="14"/>
      <x:c r="JN134" s="14"/>
      <x:c r="JO134" s="14"/>
      <x:c r="JP134" s="14"/>
      <x:c r="JQ134" s="14"/>
      <x:c r="JR134" s="14"/>
      <x:c r="JS134" s="14"/>
      <x:c r="JT134" s="14"/>
      <x:c r="JU134" s="14"/>
      <x:c r="JV134" s="14"/>
      <x:c r="JW134" s="14"/>
      <x:c r="JX134" s="14"/>
      <x:c r="JY134" s="14"/>
      <x:c r="JZ134" s="14"/>
      <x:c r="KA134" s="14"/>
      <x:c r="KB134" s="14"/>
      <x:c r="KC134" s="14"/>
      <x:c r="KD134" s="14"/>
      <x:c r="KE134" s="14"/>
      <x:c r="KF134" s="14"/>
      <x:c r="KG134" s="14"/>
      <x:c r="KH134" s="14"/>
      <x:c r="KI134" s="14"/>
      <x:c r="KJ134" s="14"/>
      <x:c r="KK134" s="14"/>
      <x:c r="KL134" s="14"/>
      <x:c r="KM134" s="14"/>
      <x:c r="KN134" s="14"/>
      <x:c r="KO134" s="14"/>
      <x:c r="KP134" s="14"/>
      <x:c r="KQ134" s="14"/>
      <x:c r="KR134" s="14"/>
      <x:c r="KS134" s="14"/>
      <x:c r="KT134" s="14"/>
      <x:c r="KU134" s="14"/>
      <x:c r="KV134" s="14"/>
      <x:c r="KW134" s="14"/>
      <x:c r="KX134" s="14"/>
      <x:c r="KY134" s="14"/>
      <x:c r="KZ134" s="14"/>
      <x:c r="LA134" s="14"/>
      <x:c r="LB134" s="14"/>
      <x:c r="LC134" s="14"/>
      <x:c r="LD134" s="14"/>
      <x:c r="LE134" s="14"/>
      <x:c r="LF134" s="14"/>
      <x:c r="LG134" s="14"/>
      <x:c r="LH134" s="14"/>
      <x:c r="LI134" s="14"/>
      <x:c r="LJ134" s="14"/>
      <x:c r="LK134" s="14"/>
      <x:c r="LL134" s="14"/>
      <x:c r="LM134" s="14"/>
      <x:c r="LN134" s="14"/>
      <x:c r="LO134" s="14"/>
      <x:c r="LP134" s="14"/>
      <x:c r="LQ134" s="14"/>
      <x:c r="LR134" s="14"/>
      <x:c r="LS134" s="14"/>
      <x:c r="LT134" s="14"/>
      <x:c r="LU134" s="14"/>
      <x:c r="LV134" s="14"/>
      <x:c r="LW134" s="14"/>
      <x:c r="LX134" s="14"/>
      <x:c r="LY134" s="14"/>
      <x:c r="LZ134" s="14"/>
      <x:c r="MA134" s="14"/>
      <x:c r="MB134" s="14"/>
      <x:c r="MC134" s="14"/>
      <x:c r="MD134" s="14"/>
      <x:c r="ME134" s="14"/>
      <x:c r="MF134" s="14"/>
      <x:c r="MG134" s="14"/>
      <x:c r="MH134" s="14"/>
      <x:c r="MI134" s="14"/>
      <x:c r="MJ134" s="14"/>
      <x:c r="MK134" s="14"/>
      <x:c r="ML134" s="14"/>
      <x:c r="MM134" s="14"/>
      <x:c r="MN134" s="14"/>
      <x:c r="MO134" s="14"/>
      <x:c r="MP134" s="14"/>
      <x:c r="MQ134" s="14"/>
      <x:c r="MR134" s="14"/>
      <x:c r="MS134" s="14"/>
      <x:c r="MT134" s="14"/>
      <x:c r="MU134" s="14"/>
      <x:c r="MV134" s="14"/>
      <x:c r="MW134" s="14" t="str">
        <x:v>31314</x:v>
      </x:c>
      <x:c r="MX134" s="14" t="n">
        <x:v>10</x:v>
      </x:c>
      <x:c r="MY134" s="14" t="n">
        <x:v>2093</x:v>
      </x:c>
      <x:c r="MZ134" s="14" t="n">
        <x:v>445</x:v>
      </x:c>
      <x:c r="NA134" s="14" t="n">
        <x:v>16</x:v>
      </x:c>
      <x:c r="NB134" s="14" t="n">
        <x:v>1</x:v>
      </x:c>
      <x:c r="NC134" s="14" t="str">
        <x:v>未收錄</x:v>
      </x:c>
      <x:c r="ND134" s="14" t="str">
        <x:v>31155</x:v>
      </x:c>
      <x:c r="NE134" s="14" t="n">
        <x:v>5</x:v>
      </x:c>
      <x:c r="NF134" s="14" t="n">
        <x:v>2094</x:v>
      </x:c>
      <x:c r="NG134" s="14" t="n">
        <x:v>446</x:v>
      </x:c>
      <x:c r="NH134" s="14" t="n">
        <x:v>16</x:v>
      </x:c>
      <x:c r="NI134" s="14" t="n">
        <x:v>2</x:v>
      </x:c>
      <x:c r="NJ134" s="14" t="str">
        <x:v>未收錄</x:v>
      </x:c>
      <x:c r="NK134" s="14" t="str">
        <x:v>31160</x:v>
      </x:c>
      <x:c r="NL134" s="14" t="n">
        <x:v>5</x:v>
      </x:c>
      <x:c r="NM134" s="14" t="n">
        <x:v>2095</x:v>
      </x:c>
      <x:c r="NN134" s="14" t="n">
        <x:v>447</x:v>
      </x:c>
      <x:c r="NO134" s="14" t="n">
        <x:v>16</x:v>
      </x:c>
      <x:c r="NP134" s="14" t="n">
        <x:v>3</x:v>
      </x:c>
      <x:c r="NQ134" s="14" t="str">
        <x:v>未收錄</x:v>
      </x:c>
      <x:c r="NR134" s="14" t="str">
        <x:v>31165</x:v>
      </x:c>
      <x:c r="NS134" s="14" t="n">
        <x:v>5</x:v>
      </x:c>
      <x:c r="NT134" s="14" t="n">
        <x:v>2096</x:v>
      </x:c>
      <x:c r="NU134" s="14" t="n">
        <x:v>448</x:v>
      </x:c>
      <x:c r="NV134" s="14" t="n">
        <x:v>16</x:v>
      </x:c>
      <x:c r="NW134" s="14" t="n">
        <x:v>4</x:v>
      </x:c>
      <x:c r="NX134" s="14" t="str">
        <x:v>未收錄</x:v>
      </x:c>
      <x:c r="NY134" s="14" t="str">
        <x:v>29450</x:v>
      </x:c>
      <x:c r="NZ134" s="14" t="n">
        <x:v>5</x:v>
      </x:c>
      <x:c r="OA134" s="14" t="n">
        <x:v>2546</x:v>
      </x:c>
      <x:c r="OB134" s="14" t="n">
        <x:v>445</x:v>
      </x:c>
      <x:c r="OC134" s="14" t="n">
        <x:v>16</x:v>
      </x:c>
      <x:c r="OD134" s="14" t="n">
        <x:v>1</x:v>
      </x:c>
      <x:c r="OE134" s="14" t="str">
        <x:v>未收錄</x:v>
      </x:c>
      <x:c r="OF134" s="14" t="str">
        <x:v>29456</x:v>
      </x:c>
      <x:c r="OG134" s="14" t="n">
        <x:v>5</x:v>
      </x:c>
      <x:c r="OH134" s="14" t="n">
        <x:v>2547</x:v>
      </x:c>
      <x:c r="OI134" s="14" t="n">
        <x:v>446</x:v>
      </x:c>
      <x:c r="OJ134" s="14" t="n">
        <x:v>16</x:v>
      </x:c>
      <x:c r="OK134" s="14" t="n">
        <x:v>2</x:v>
      </x:c>
      <x:c r="OL134" s="14" t="str">
        <x:v>未收錄</x:v>
      </x:c>
      <x:c r="OM134" s="14" t="str">
        <x:v>29462</x:v>
      </x:c>
      <x:c r="ON134" s="14" t="n">
        <x:v>5</x:v>
      </x:c>
      <x:c r="OO134" s="14" t="n">
        <x:v>2548</x:v>
      </x:c>
      <x:c r="OP134" s="14" t="n">
        <x:v>447</x:v>
      </x:c>
      <x:c r="OQ134" s="14" t="n">
        <x:v>16</x:v>
      </x:c>
      <x:c r="OR134" s="14" t="n">
        <x:v>3</x:v>
      </x:c>
      <x:c r="OS134" s="14" t="str">
        <x:v>未收錄</x:v>
      </x:c>
      <x:c r="OT134" s="14" t="str">
        <x:v>29558</x:v>
      </x:c>
      <x:c r="OU134" s="14" t="n">
        <x:v>10</x:v>
      </x:c>
      <x:c r="OV134" s="14" t="n">
        <x:v>2549</x:v>
      </x:c>
      <x:c r="OW134" s="14" t="n">
        <x:v>448</x:v>
      </x:c>
      <x:c r="OX134" s="14" t="n">
        <x:v>16</x:v>
      </x:c>
      <x:c r="OY134" s="14" t="n">
        <x:v>4</x:v>
      </x:c>
      <x:c r="OZ134" s="14" t="str">
        <x:v>未收錄</x:v>
      </x:c>
      <x:c r="PA134" s="14"/>
      <x:c r="PB134" s="14"/>
      <x:c r="PC134" s="14"/>
      <x:c r="PD134" s="14"/>
      <x:c r="PE134" s="14"/>
      <x:c r="PF134" s="14"/>
      <x:c r="PG134" s="14"/>
      <x:c r="PH134" s="14"/>
      <x:c r="PI134" s="14"/>
      <x:c r="PJ134" s="14"/>
      <x:c r="PK134" s="14"/>
      <x:c r="PL134" s="14"/>
      <x:c r="PM134" s="14"/>
      <x:c r="PN134" s="14"/>
      <x:c r="PO134" s="14"/>
      <x:c r="PP134" s="14"/>
      <x:c r="PQ134" s="14"/>
      <x:c r="PR134" s="14"/>
      <x:c r="PS134" s="14"/>
      <x:c r="PT134" s="14"/>
      <x:c r="PU134" s="14"/>
      <x:c r="PV134" s="14"/>
      <x:c r="PW134" s="14"/>
      <x:c r="PX134" s="14"/>
      <x:c r="PY134" s="14"/>
      <x:c r="PZ134" s="14"/>
      <x:c r="QA134" s="14"/>
      <x:c r="QB134" s="14"/>
      <x:c r="QC134" s="14" t="str">
        <x:v>31328</x:v>
      </x:c>
      <x:c r="QD134" s="14" t="n">
        <x:v>10</x:v>
      </x:c>
      <x:c r="QE134" s="14" t="n">
        <x:v>3529</x:v>
      </x:c>
      <x:c r="QF134" s="14" t="n">
        <x:v>445</x:v>
      </x:c>
      <x:c r="QG134" s="14" t="n">
        <x:v>16</x:v>
      </x:c>
      <x:c r="QH134" s="14" t="n">
        <x:v>1</x:v>
      </x:c>
      <x:c r="QI134" s="14" t="str">
        <x:v>未收錄</x:v>
      </x:c>
      <x:c r="QJ134" s="14" t="str">
        <x:v>31229</x:v>
      </x:c>
      <x:c r="QK134" s="14" t="n">
        <x:v>5</x:v>
      </x:c>
      <x:c r="QL134" s="14" t="n">
        <x:v>3530</x:v>
      </x:c>
      <x:c r="QM134" s="14" t="n">
        <x:v>446</x:v>
      </x:c>
      <x:c r="QN134" s="14" t="n">
        <x:v>16</x:v>
      </x:c>
      <x:c r="QO134" s="14" t="n">
        <x:v>2</x:v>
      </x:c>
      <x:c r="QP134" s="14" t="str">
        <x:v>未收錄</x:v>
      </x:c>
      <x:c r="QQ134" s="14" t="str">
        <x:v>31234</x:v>
      </x:c>
      <x:c r="QR134" s="14" t="n">
        <x:v>5</x:v>
      </x:c>
      <x:c r="QS134" s="14" t="n">
        <x:v>3531</x:v>
      </x:c>
      <x:c r="QT134" s="14" t="n">
        <x:v>447</x:v>
      </x:c>
      <x:c r="QU134" s="14" t="n">
        <x:v>16</x:v>
      </x:c>
      <x:c r="QV134" s="14" t="n">
        <x:v>3</x:v>
      </x:c>
      <x:c r="QW134" s="14" t="str">
        <x:v>未收錄</x:v>
      </x:c>
      <x:c r="QX134" s="14" t="str">
        <x:v>31239</x:v>
      </x:c>
      <x:c r="QY134" s="14" t="n">
        <x:v>5</x:v>
      </x:c>
      <x:c r="QZ134" s="14" t="n">
        <x:v>3532</x:v>
      </x:c>
      <x:c r="RA134" s="14" t="n">
        <x:v>448</x:v>
      </x:c>
      <x:c r="RB134" s="14" t="n">
        <x:v>16</x:v>
      </x:c>
      <x:c r="RC134" s="14" t="n">
        <x:v>4</x:v>
      </x:c>
      <x:c r="RD134" s="14" t="str">
        <x:v>未收錄</x:v>
      </x:c>
      <x:c r="RE134" s="14"/>
      <x:c r="RF134" s="14"/>
      <x:c r="RG134" s="14"/>
      <x:c r="RH134" s="14"/>
      <x:c r="RI134" s="14"/>
      <x:c r="RJ134" s="14"/>
      <x:c r="RK134" s="14"/>
      <x:c r="RL134" s="14"/>
      <x:c r="RM134" s="14"/>
      <x:c r="RN134" s="14"/>
      <x:c r="RO134" s="14"/>
      <x:c r="RP134" s="14"/>
      <x:c r="RQ134" s="14"/>
      <x:c r="RR134" s="14"/>
      <x:c r="RS134" s="14"/>
      <x:c r="RT134" s="14"/>
      <x:c r="RU134" s="14"/>
      <x:c r="RV134" s="14"/>
      <x:c r="RW134" s="14"/>
      <x:c r="RX134" s="14"/>
      <x:c r="RY134" s="14"/>
      <x:c r="RZ134" s="14"/>
      <x:c r="SA134" s="14"/>
      <x:c r="SB134" s="14"/>
      <x:c r="SC134" s="14"/>
      <x:c r="SD134" s="14"/>
      <x:c r="SE134" s="14"/>
      <x:c r="SF134" s="14"/>
      <x:c r="SG134" s="14"/>
      <x:c r="SH134" s="14"/>
      <x:c r="SI134" s="14"/>
      <x:c r="SJ134" s="14"/>
      <x:c r="SK134" s="14"/>
      <x:c r="SL134" s="14"/>
      <x:c r="SM134" s="14"/>
      <x:c r="SN134" s="14"/>
      <x:c r="SO134" s="14"/>
      <x:c r="SP134" s="14"/>
      <x:c r="SQ134" s="14"/>
      <x:c r="SR134" s="14"/>
      <x:c r="SS134" s="14"/>
      <x:c r="ST134" s="14"/>
      <x:c r="SU134" s="14"/>
      <x:c r="SV134" s="14"/>
      <x:c r="SW134" s="14"/>
      <x:c r="SX134" s="14"/>
      <x:c r="SY134" s="14"/>
      <x:c r="SZ134" s="14"/>
      <x:c r="TA134" s="14"/>
      <x:c r="TB134" s="14"/>
      <x:c r="TC134" s="14"/>
      <x:c r="TD134" s="14"/>
      <x:c r="TE134" s="14"/>
      <x:c r="TF134" s="14"/>
      <x:c r="TG134" s="14"/>
      <x:c r="TH134" s="14"/>
    </x:row>
    <x:row r="135" ht="15" customHeight="1">
      <x:c r="A135" s="14"/>
      <x:c r="B135" s="14"/>
      <x:c r="C135" s="14"/>
      <x:c r="D135" s="14"/>
      <x:c r="E135" s="14"/>
      <x:c r="F135" s="14"/>
      <x:c r="G135" s="14"/>
      <x:c r="H135" s="14"/>
      <x:c r="I135" s="14"/>
      <x:c r="J135" s="14"/>
      <x:c r="K135" s="14"/>
      <x:c r="L135" s="14"/>
      <x:c r="M135" s="14"/>
      <x:c r="N135" s="14"/>
      <x:c r="O135" s="14"/>
      <x:c r="P135" s="14"/>
      <x:c r="Q135" s="14"/>
      <x:c r="R135" s="14"/>
      <x:c r="S135" s="14"/>
      <x:c r="T135" s="14"/>
      <x:c r="U135" s="14"/>
      <x:c r="V135" s="14"/>
      <x:c r="W135" s="14"/>
      <x:c r="X135" s="14"/>
      <x:c r="Y135" s="14"/>
      <x:c r="Z135" s="14"/>
      <x:c r="AA135" s="14"/>
      <x:c r="AB135" s="14"/>
      <x:c r="AC135" s="14"/>
      <x:c r="AD135" s="14"/>
      <x:c r="AE135" s="14"/>
      <x:c r="AF135" s="14"/>
      <x:c r="AG135" s="14"/>
      <x:c r="AH135" s="14"/>
      <x:c r="AI135" s="14"/>
      <x:c r="AJ135" s="14"/>
      <x:c r="AK135" s="14"/>
      <x:c r="AL135" s="14"/>
      <x:c r="AM135" s="14"/>
      <x:c r="AN135" s="14"/>
      <x:c r="AO135" s="14"/>
      <x:c r="AP135" s="14"/>
      <x:c r="AQ135" s="14"/>
      <x:c r="AR135" s="14"/>
      <x:c r="AS135" s="14"/>
      <x:c r="AT135" s="14"/>
      <x:c r="AU135" s="14"/>
      <x:c r="AV135" s="14"/>
      <x:c r="AW135" s="14"/>
      <x:c r="AX135" s="14"/>
      <x:c r="AY135" s="17" t="str">
        <x:v>辰道玄冠Ⅴ</x:v>
      </x:c>
      <x:c r="AZ135" s="17" t="str">
        <x:v>寂禪靜觀Ⅴ</x:v>
      </x:c>
      <x:c r="BA135" s="17" t="str">
        <x:v>騰陽威冕Ⅴ</x:v>
      </x:c>
      <x:c r="BB135" s="17" t="str">
        <x:v>凜月冪巾Ⅴ</x:v>
      </x:c>
      <x:c r="BC135" s="14"/>
      <x:c r="BD135" s="17" t="str">
        <x:v>黃天衣★★★</x:v>
      </x:c>
      <x:c r="BE135" s="17" t="str">
        <x:v>皇影甲★★★</x:v>
      </x:c>
      <x:c r="BF135" s="17" t="str">
        <x:v>神無袈★★★</x:v>
      </x:c>
      <x:c r="BG135" s="17" t="str">
        <x:v>皇．智者聖甲</x:v>
      </x:c>
      <x:c r="BH135" s="14"/>
      <x:c r="BI135" s="14"/>
      <x:c r="BJ135" s="14"/>
      <x:c r="BK135" s="14"/>
      <x:c r="BL135" s="14"/>
      <x:c r="BM135" s="14"/>
      <x:c r="BN135" s="17" t="str">
        <x:v>辰道玄鞋Ⅳ</x:v>
      </x:c>
      <x:c r="BO135" s="17" t="str">
        <x:v>寂禪矜足Ⅳ</x:v>
      </x:c>
      <x:c r="BP135" s="17" t="str">
        <x:v>騰陽巍立Ⅳ</x:v>
      </x:c>
      <x:c r="BQ135" s="17" t="str">
        <x:v>凜月漪纏Ⅳ</x:v>
      </x:c>
      <x:c r="BR135" s="14"/>
      <x:c r="BS135" s="14"/>
      <x:c r="BT135" s="14"/>
      <x:c r="BU135" s="14"/>
      <x:c r="BV135" s="14"/>
      <x:c r="BW135" s="14"/>
      <x:c r="BX135" s="14"/>
      <x:c r="BY135" s="14"/>
      <x:c r="BZ135" s="14"/>
      <x:c r="CA135" s="14"/>
      <x:c r="CB135" s="14"/>
      <x:c r="CC135" s="14"/>
      <x:c r="CD135" s="14"/>
      <x:c r="CE135" s="14"/>
      <x:c r="CF135" s="14"/>
      <x:c r="CG135" s="14"/>
      <x:c r="CH135" s="14"/>
      <x:c r="CI135" s="14"/>
      <x:c r="CJ135" s="14"/>
      <x:c r="CK135" s="14"/>
      <x:c r="CL135" s="14"/>
      <x:c r="CM135" s="14"/>
      <x:c r="CN135" s="14"/>
      <x:c r="CO135" s="14"/>
      <x:c r="CP135" s="14"/>
      <x:c r="CQ135" s="14"/>
      <x:c r="CR135" s="14"/>
      <x:c r="CS135" s="14"/>
      <x:c r="CT135" s="14"/>
      <x:c r="CU135" s="14"/>
      <x:c r="CV135" s="14"/>
      <x:c r="CW135" s="14"/>
      <x:c r="CX135" s="14"/>
      <x:c r="CY135" s="14"/>
      <x:c r="CZ135" s="14"/>
      <x:c r="DA135" s="14"/>
      <x:c r="DB135" s="14"/>
      <x:c r="DC135" s="14"/>
      <x:c r="DD135" s="14"/>
      <x:c r="DE135" s="14"/>
      <x:c r="DF135" s="14"/>
      <x:c r="DG135" s="14"/>
      <x:c r="DH135" s="14"/>
      <x:c r="DI135" s="14"/>
      <x:c r="DJ135" s="14"/>
      <x:c r="DK135" s="14"/>
      <x:c r="DL135" s="14"/>
      <x:c r="DM135" s="14"/>
      <x:c r="DN135" s="14"/>
      <x:c r="DO135" s="14"/>
      <x:c r="DP135" s="14"/>
      <x:c r="DQ135" s="14"/>
      <x:c r="DR135" s="14"/>
      <x:c r="DS135" s="14"/>
      <x:c r="DT135" s="14"/>
      <x:c r="DU135" s="14"/>
      <x:c r="DV135" s="14"/>
      <x:c r="DW135" s="14"/>
      <x:c r="DX135" s="14"/>
      <x:c r="DY135" s="14"/>
      <x:c r="DZ135" s="14"/>
      <x:c r="EA135" s="14"/>
      <x:c r="EB135" s="14"/>
      <x:c r="EC135" s="14"/>
      <x:c r="ED135" s="14"/>
      <x:c r="EE135" s="14"/>
      <x:c r="EF135" s="14"/>
      <x:c r="EG135" s="14"/>
      <x:c r="EH135" s="14"/>
      <x:c r="EI135" s="14"/>
      <x:c r="EJ135" s="14"/>
      <x:c r="EK135" s="14"/>
      <x:c r="EL135" s="14"/>
      <x:c r="EM135" s="14"/>
      <x:c r="EN135" s="14"/>
      <x:c r="EO135" s="14"/>
      <x:c r="EP135" s="14"/>
      <x:c r="EQ135" s="14"/>
      <x:c r="ER135" s="14"/>
      <x:c r="ES135" s="14"/>
      <x:c r="ET135" s="14"/>
      <x:c r="EU135" s="14"/>
      <x:c r="EV135" s="14"/>
      <x:c r="EW135" s="14"/>
      <x:c r="EX135" s="14"/>
      <x:c r="EY135" s="14"/>
      <x:c r="EZ135" s="14"/>
      <x:c r="FA135" s="14"/>
      <x:c r="FB135" s="14"/>
      <x:c r="FC135" s="14"/>
      <x:c r="FD135" s="14"/>
      <x:c r="FE135" s="14"/>
      <x:c r="FF135" s="14"/>
      <x:c r="FG135" s="14"/>
      <x:c r="FH135" s="14"/>
      <x:c r="FI135" s="14"/>
      <x:c r="FJ135" s="14"/>
      <x:c r="FK135" s="14"/>
      <x:c r="FL135" s="14"/>
      <x:c r="FM135" s="14"/>
      <x:c r="FN135" s="14"/>
      <x:c r="FO135" s="14"/>
      <x:c r="FP135" s="14"/>
      <x:c r="FQ135" s="14"/>
      <x:c r="FR135" s="14"/>
      <x:c r="FS135" s="14"/>
      <x:c r="FT135" s="14"/>
      <x:c r="FU135" s="14"/>
      <x:c r="FV135" s="14"/>
      <x:c r="FW135" s="14"/>
      <x:c r="FX135" s="14"/>
      <x:c r="FY135" s="14"/>
      <x:c r="FZ135" s="14"/>
      <x:c r="GA135" s="14"/>
      <x:c r="GB135" s="14"/>
      <x:c r="GC135" s="14"/>
      <x:c r="GD135" s="14"/>
      <x:c r="GE135" s="14"/>
      <x:c r="GF135" s="14"/>
      <x:c r="GG135" s="14"/>
      <x:c r="GH135" s="14"/>
      <x:c r="GI135" s="14"/>
      <x:c r="GJ135" s="14"/>
      <x:c r="GK135" s="14"/>
      <x:c r="GL135" s="14"/>
      <x:c r="GM135" s="14"/>
      <x:c r="GN135" s="14"/>
      <x:c r="GO135" s="14"/>
      <x:c r="GP135" s="14"/>
      <x:c r="GQ135" s="14"/>
      <x:c r="GR135" s="14"/>
      <x:c r="GS135" s="14"/>
      <x:c r="GT135" s="14"/>
      <x:c r="GU135" s="14"/>
      <x:c r="GV135" s="14"/>
      <x:c r="GW135" s="14"/>
      <x:c r="GX135" s="14"/>
      <x:c r="GY135" s="14"/>
      <x:c r="GZ135" s="14"/>
      <x:c r="HA135" s="14"/>
      <x:c r="HB135" s="14"/>
      <x:c r="HC135" s="14"/>
      <x:c r="HD135" s="14"/>
      <x:c r="HE135" s="14"/>
      <x:c r="HF135" s="14"/>
      <x:c r="HG135" s="14"/>
      <x:c r="HH135" s="14"/>
      <x:c r="HI135" s="14"/>
      <x:c r="HJ135" s="14"/>
      <x:c r="HK135" s="14"/>
      <x:c r="HL135" s="14"/>
      <x:c r="HM135" s="14"/>
      <x:c r="HN135" s="14"/>
      <x:c r="HO135" s="14"/>
      <x:c r="HP135" s="14"/>
      <x:c r="HQ135" s="14"/>
      <x:c r="HR135" s="14"/>
      <x:c r="HS135" s="14"/>
      <x:c r="HT135" s="14"/>
      <x:c r="HU135" s="14"/>
      <x:c r="HV135" s="14"/>
      <x:c r="HW135" s="14"/>
      <x:c r="HX135" s="14"/>
      <x:c r="HY135" s="14"/>
      <x:c r="HZ135" s="14"/>
      <x:c r="IA135" s="14"/>
      <x:c r="IB135" s="14"/>
      <x:c r="IC135" s="14"/>
      <x:c r="ID135" s="14"/>
      <x:c r="IE135" s="14"/>
      <x:c r="IF135" s="14"/>
      <x:c r="IG135" s="14"/>
      <x:c r="IH135" s="14"/>
      <x:c r="II135" s="14"/>
      <x:c r="IJ135" s="14"/>
      <x:c r="IK135" s="14"/>
      <x:c r="IL135" s="14"/>
      <x:c r="IM135" s="14"/>
      <x:c r="IN135" s="14"/>
      <x:c r="IO135" s="14"/>
      <x:c r="IP135" s="14"/>
      <x:c r="IQ135" s="14"/>
      <x:c r="IR135" s="14"/>
      <x:c r="IS135" s="14"/>
      <x:c r="IT135" s="14"/>
      <x:c r="IU135" s="14"/>
      <x:c r="IV135" s="14"/>
      <x:c r="IW135" s="14"/>
      <x:c r="IX135" s="14"/>
      <x:c r="IY135" s="14"/>
      <x:c r="IZ135" s="14"/>
      <x:c r="JA135" s="14"/>
      <x:c r="JB135" s="14"/>
      <x:c r="JC135" s="14"/>
      <x:c r="JD135" s="14"/>
      <x:c r="JE135" s="14"/>
      <x:c r="JF135" s="14"/>
      <x:c r="JG135" s="14"/>
      <x:c r="JH135" s="14"/>
      <x:c r="JI135" s="14"/>
      <x:c r="JJ135" s="14"/>
      <x:c r="JK135" s="14"/>
      <x:c r="JL135" s="14"/>
      <x:c r="JM135" s="14"/>
      <x:c r="JN135" s="14"/>
      <x:c r="JO135" s="14"/>
      <x:c r="JP135" s="14"/>
      <x:c r="JQ135" s="14"/>
      <x:c r="JR135" s="14"/>
      <x:c r="JS135" s="14"/>
      <x:c r="JT135" s="14"/>
      <x:c r="JU135" s="14"/>
      <x:c r="JV135" s="14"/>
      <x:c r="JW135" s="14"/>
      <x:c r="JX135" s="14"/>
      <x:c r="JY135" s="14"/>
      <x:c r="JZ135" s="14"/>
      <x:c r="KA135" s="14"/>
      <x:c r="KB135" s="14"/>
      <x:c r="KC135" s="14"/>
      <x:c r="KD135" s="14"/>
      <x:c r="KE135" s="14"/>
      <x:c r="KF135" s="14"/>
      <x:c r="KG135" s="14"/>
      <x:c r="KH135" s="14"/>
      <x:c r="KI135" s="14"/>
      <x:c r="KJ135" s="14"/>
      <x:c r="KK135" s="14"/>
      <x:c r="KL135" s="14"/>
      <x:c r="KM135" s="14"/>
      <x:c r="KN135" s="14"/>
      <x:c r="KO135" s="14"/>
      <x:c r="KP135" s="14"/>
      <x:c r="KQ135" s="14"/>
      <x:c r="KR135" s="14"/>
      <x:c r="KS135" s="14"/>
      <x:c r="KT135" s="14"/>
      <x:c r="KU135" s="14"/>
      <x:c r="KV135" s="14"/>
      <x:c r="KW135" s="14"/>
      <x:c r="KX135" s="14"/>
      <x:c r="KY135" s="14"/>
      <x:c r="KZ135" s="14"/>
      <x:c r="LA135" s="14"/>
      <x:c r="LB135" s="14"/>
      <x:c r="LC135" s="14"/>
      <x:c r="LD135" s="14"/>
      <x:c r="LE135" s="14"/>
      <x:c r="LF135" s="14"/>
      <x:c r="LG135" s="14"/>
      <x:c r="LH135" s="14"/>
      <x:c r="LI135" s="14"/>
      <x:c r="LJ135" s="14"/>
      <x:c r="LK135" s="14"/>
      <x:c r="LL135" s="14"/>
      <x:c r="LM135" s="14"/>
      <x:c r="LN135" s="14"/>
      <x:c r="LO135" s="14"/>
      <x:c r="LP135" s="14"/>
      <x:c r="LQ135" s="14"/>
      <x:c r="LR135" s="14"/>
      <x:c r="LS135" s="14"/>
      <x:c r="LT135" s="14"/>
      <x:c r="LU135" s="14"/>
      <x:c r="LV135" s="14"/>
      <x:c r="LW135" s="14"/>
      <x:c r="LX135" s="14"/>
      <x:c r="LY135" s="14"/>
      <x:c r="LZ135" s="14"/>
      <x:c r="MA135" s="14"/>
      <x:c r="MB135" s="14"/>
      <x:c r="MC135" s="14"/>
      <x:c r="MD135" s="14"/>
      <x:c r="ME135" s="14"/>
      <x:c r="MF135" s="14"/>
      <x:c r="MG135" s="14"/>
      <x:c r="MH135" s="14"/>
      <x:c r="MI135" s="14"/>
      <x:c r="MJ135" s="14"/>
      <x:c r="MK135" s="14"/>
      <x:c r="ML135" s="14"/>
      <x:c r="MM135" s="14"/>
      <x:c r="MN135" s="14"/>
      <x:c r="MO135" s="14"/>
      <x:c r="MP135" s="14"/>
      <x:c r="MQ135" s="14"/>
      <x:c r="MR135" s="14"/>
      <x:c r="MS135" s="14"/>
      <x:c r="MT135" s="14"/>
      <x:c r="MU135" s="14"/>
      <x:c r="MV135" s="14"/>
      <x:c r="MW135" s="14" t="str">
        <x:v>31170</x:v>
      </x:c>
      <x:c r="MX135" s="14" t="n">
        <x:v>5</x:v>
      </x:c>
      <x:c r="MY135" s="14" t="n">
        <x:v>2097</x:v>
      </x:c>
      <x:c r="MZ135" s="14" t="n">
        <x:v>449</x:v>
      </x:c>
      <x:c r="NA135" s="14" t="n">
        <x:v>17</x:v>
      </x:c>
      <x:c r="NB135" s="14" t="n">
        <x:v>1</x:v>
      </x:c>
      <x:c r="NC135" s="14" t="str">
        <x:v>未收錄</x:v>
      </x:c>
      <x:c r="ND135" s="14" t="str">
        <x:v>31175</x:v>
      </x:c>
      <x:c r="NE135" s="14" t="n">
        <x:v>5</x:v>
      </x:c>
      <x:c r="NF135" s="14" t="n">
        <x:v>2098</x:v>
      </x:c>
      <x:c r="NG135" s="14" t="n">
        <x:v>450</x:v>
      </x:c>
      <x:c r="NH135" s="14" t="n">
        <x:v>17</x:v>
      </x:c>
      <x:c r="NI135" s="14" t="n">
        <x:v>2</x:v>
      </x:c>
      <x:c r="NJ135" s="14" t="str">
        <x:v>未收錄</x:v>
      </x:c>
      <x:c r="NK135" s="14" t="str">
        <x:v>31275</x:v>
      </x:c>
      <x:c r="NL135" s="14" t="n">
        <x:v>10</x:v>
      </x:c>
      <x:c r="NM135" s="14" t="n">
        <x:v>2099</x:v>
      </x:c>
      <x:c r="NN135" s="14" t="n">
        <x:v>451</x:v>
      </x:c>
      <x:c r="NO135" s="14" t="n">
        <x:v>17</x:v>
      </x:c>
      <x:c r="NP135" s="14" t="n">
        <x:v>3</x:v>
      </x:c>
      <x:c r="NQ135" s="14" t="str">
        <x:v>未收錄</x:v>
      </x:c>
      <x:c r="NR135" s="14" t="str">
        <x:v>31295</x:v>
      </x:c>
      <x:c r="NS135" s="14" t="n">
        <x:v>10</x:v>
      </x:c>
      <x:c r="NT135" s="14" t="n">
        <x:v>2100</x:v>
      </x:c>
      <x:c r="NU135" s="14" t="n">
        <x:v>452</x:v>
      </x:c>
      <x:c r="NV135" s="14" t="n">
        <x:v>17</x:v>
      </x:c>
      <x:c r="NW135" s="14" t="n">
        <x:v>4</x:v>
      </x:c>
      <x:c r="NX135" s="14" t="str">
        <x:v>未收錄</x:v>
      </x:c>
      <x:c r="NY135" s="14" t="str">
        <x:v>29582</x:v>
      </x:c>
      <x:c r="NZ135" s="14" t="n">
        <x:v>10</x:v>
      </x:c>
      <x:c r="OA135" s="14" t="n">
        <x:v>2550</x:v>
      </x:c>
      <x:c r="OB135" s="14" t="n">
        <x:v>449</x:v>
      </x:c>
      <x:c r="OC135" s="14" t="n">
        <x:v>17</x:v>
      </x:c>
      <x:c r="OD135" s="14" t="n">
        <x:v>1</x:v>
      </x:c>
      <x:c r="OE135" s="14" t="str">
        <x:v>未收錄</x:v>
      </x:c>
      <x:c r="OF135" s="14" t="str">
        <x:v>29600</x:v>
      </x:c>
      <x:c r="OG135" s="14" t="n">
        <x:v>10</x:v>
      </x:c>
      <x:c r="OH135" s="14" t="n">
        <x:v>2551</x:v>
      </x:c>
      <x:c r="OI135" s="14" t="n">
        <x:v>450</x:v>
      </x:c>
      <x:c r="OJ135" s="14" t="n">
        <x:v>17</x:v>
      </x:c>
      <x:c r="OK135" s="14" t="n">
        <x:v>2</x:v>
      </x:c>
      <x:c r="OL135" s="14" t="str">
        <x:v>未收錄</x:v>
      </x:c>
      <x:c r="OM135" s="14" t="str">
        <x:v>29606</x:v>
      </x:c>
      <x:c r="ON135" s="14" t="n">
        <x:v>10</x:v>
      </x:c>
      <x:c r="OO135" s="14" t="n">
        <x:v>2552</x:v>
      </x:c>
      <x:c r="OP135" s="14" t="n">
        <x:v>451</x:v>
      </x:c>
      <x:c r="OQ135" s="14" t="n">
        <x:v>17</x:v>
      </x:c>
      <x:c r="OR135" s="14" t="n">
        <x:v>3</x:v>
      </x:c>
      <x:c r="OS135" s="14" t="str">
        <x:v>未收錄</x:v>
      </x:c>
      <x:c r="OT135" s="14" t="str">
        <x:v>29679</x:v>
      </x:c>
      <x:c r="OU135" s="14" t="n">
        <x:v>10</x:v>
      </x:c>
      <x:c r="OV135" s="14" t="n">
        <x:v>2553</x:v>
      </x:c>
      <x:c r="OW135" s="14" t="n">
        <x:v>452</x:v>
      </x:c>
      <x:c r="OX135" s="14" t="n">
        <x:v>17</x:v>
      </x:c>
      <x:c r="OY135" s="14" t="n">
        <x:v>4</x:v>
      </x:c>
      <x:c r="OZ135" s="14" t="str">
        <x:v>未收錄</x:v>
      </x:c>
      <x:c r="PA135" s="14"/>
      <x:c r="PB135" s="14"/>
      <x:c r="PC135" s="14"/>
      <x:c r="PD135" s="14"/>
      <x:c r="PE135" s="14"/>
      <x:c r="PF135" s="14"/>
      <x:c r="PG135" s="14"/>
      <x:c r="PH135" s="14"/>
      <x:c r="PI135" s="14"/>
      <x:c r="PJ135" s="14"/>
      <x:c r="PK135" s="14"/>
      <x:c r="PL135" s="14"/>
      <x:c r="PM135" s="14"/>
      <x:c r="PN135" s="14"/>
      <x:c r="PO135" s="14"/>
      <x:c r="PP135" s="14"/>
      <x:c r="PQ135" s="14"/>
      <x:c r="PR135" s="14"/>
      <x:c r="PS135" s="14"/>
      <x:c r="PT135" s="14"/>
      <x:c r="PU135" s="14"/>
      <x:c r="PV135" s="14"/>
      <x:c r="PW135" s="14"/>
      <x:c r="PX135" s="14"/>
      <x:c r="PY135" s="14"/>
      <x:c r="PZ135" s="14"/>
      <x:c r="QA135" s="14"/>
      <x:c r="QB135" s="14"/>
      <x:c r="QC135" s="14" t="str">
        <x:v>31244</x:v>
      </x:c>
      <x:c r="QD135" s="14" t="n">
        <x:v>5</x:v>
      </x:c>
      <x:c r="QE135" s="14" t="n">
        <x:v>3533</x:v>
      </x:c>
      <x:c r="QF135" s="14" t="n">
        <x:v>449</x:v>
      </x:c>
      <x:c r="QG135" s="14" t="n">
        <x:v>17</x:v>
      </x:c>
      <x:c r="QH135" s="14" t="n">
        <x:v>1</x:v>
      </x:c>
      <x:c r="QI135" s="14" t="str">
        <x:v>未收錄</x:v>
      </x:c>
      <x:c r="QJ135" s="14" t="str">
        <x:v>31249</x:v>
      </x:c>
      <x:c r="QK135" s="14" t="n">
        <x:v>5</x:v>
      </x:c>
      <x:c r="QL135" s="14" t="n">
        <x:v>3534</x:v>
      </x:c>
      <x:c r="QM135" s="14" t="n">
        <x:v>450</x:v>
      </x:c>
      <x:c r="QN135" s="14" t="n">
        <x:v>17</x:v>
      </x:c>
      <x:c r="QO135" s="14" t="n">
        <x:v>2</x:v>
      </x:c>
      <x:c r="QP135" s="14" t="str">
        <x:v>未收錄</x:v>
      </x:c>
      <x:c r="QQ135" s="14" t="str">
        <x:v>31289</x:v>
      </x:c>
      <x:c r="QR135" s="14" t="n">
        <x:v>10</x:v>
      </x:c>
      <x:c r="QS135" s="14" t="n">
        <x:v>3535</x:v>
      </x:c>
      <x:c r="QT135" s="14" t="n">
        <x:v>451</x:v>
      </x:c>
      <x:c r="QU135" s="14" t="n">
        <x:v>17</x:v>
      </x:c>
      <x:c r="QV135" s="14" t="n">
        <x:v>3</x:v>
      </x:c>
      <x:c r="QW135" s="14" t="str">
        <x:v>未收錄</x:v>
      </x:c>
      <x:c r="QX135" s="14" t="str">
        <x:v>31309</x:v>
      </x:c>
      <x:c r="QY135" s="14" t="n">
        <x:v>10</x:v>
      </x:c>
      <x:c r="QZ135" s="14" t="n">
        <x:v>3536</x:v>
      </x:c>
      <x:c r="RA135" s="14" t="n">
        <x:v>452</x:v>
      </x:c>
      <x:c r="RB135" s="14" t="n">
        <x:v>17</x:v>
      </x:c>
      <x:c r="RC135" s="14" t="n">
        <x:v>4</x:v>
      </x:c>
      <x:c r="RD135" s="14" t="str">
        <x:v>未收錄</x:v>
      </x:c>
      <x:c r="RE135" s="14"/>
      <x:c r="RF135" s="14"/>
      <x:c r="RG135" s="14"/>
      <x:c r="RH135" s="14"/>
      <x:c r="RI135" s="14"/>
      <x:c r="RJ135" s="14"/>
      <x:c r="RK135" s="14"/>
      <x:c r="RL135" s="14"/>
      <x:c r="RM135" s="14"/>
      <x:c r="RN135" s="14"/>
      <x:c r="RO135" s="14"/>
      <x:c r="RP135" s="14"/>
      <x:c r="RQ135" s="14"/>
      <x:c r="RR135" s="14"/>
      <x:c r="RS135" s="14"/>
      <x:c r="RT135" s="14"/>
      <x:c r="RU135" s="14"/>
      <x:c r="RV135" s="14"/>
      <x:c r="RW135" s="14"/>
      <x:c r="RX135" s="14"/>
      <x:c r="RY135" s="14"/>
      <x:c r="RZ135" s="14"/>
      <x:c r="SA135" s="14"/>
      <x:c r="SB135" s="14"/>
      <x:c r="SC135" s="14"/>
      <x:c r="SD135" s="14"/>
      <x:c r="SE135" s="14"/>
      <x:c r="SF135" s="14"/>
      <x:c r="SG135" s="14"/>
      <x:c r="SH135" s="14"/>
      <x:c r="SI135" s="14"/>
      <x:c r="SJ135" s="14"/>
      <x:c r="SK135" s="14"/>
      <x:c r="SL135" s="14"/>
      <x:c r="SM135" s="14"/>
      <x:c r="SN135" s="14"/>
      <x:c r="SO135" s="14"/>
      <x:c r="SP135" s="14"/>
      <x:c r="SQ135" s="14"/>
      <x:c r="SR135" s="14"/>
      <x:c r="SS135" s="14"/>
      <x:c r="ST135" s="14"/>
      <x:c r="SU135" s="14"/>
      <x:c r="SV135" s="14"/>
      <x:c r="SW135" s="14"/>
      <x:c r="SX135" s="14"/>
      <x:c r="SY135" s="14"/>
      <x:c r="SZ135" s="14"/>
      <x:c r="TA135" s="14"/>
      <x:c r="TB135" s="14"/>
      <x:c r="TC135" s="14"/>
      <x:c r="TD135" s="14"/>
      <x:c r="TE135" s="14"/>
      <x:c r="TF135" s="14"/>
      <x:c r="TG135" s="14"/>
      <x:c r="TH135" s="14"/>
    </x:row>
    <x:row r="136" ht="15" customHeight="1">
      <x:c r="A136" s="14"/>
      <x:c r="B136" s="14"/>
      <x:c r="C136" s="14"/>
      <x:c r="D136" s="14"/>
      <x:c r="E136" s="14"/>
      <x:c r="F136" s="14"/>
      <x:c r="G136" s="14"/>
      <x:c r="H136" s="14"/>
      <x:c r="I136" s="14"/>
      <x:c r="J136" s="14"/>
      <x:c r="K136" s="14"/>
      <x:c r="L136" s="14"/>
      <x:c r="M136" s="14"/>
      <x:c r="N136" s="14"/>
      <x:c r="O136" s="14"/>
      <x:c r="P136" s="14"/>
      <x:c r="Q136" s="14"/>
      <x:c r="R136" s="14"/>
      <x:c r="S136" s="14"/>
      <x:c r="T136" s="14"/>
      <x:c r="U136" s="14"/>
      <x:c r="V136" s="14"/>
      <x:c r="W136" s="14"/>
      <x:c r="X136" s="14"/>
      <x:c r="Y136" s="14"/>
      <x:c r="Z136" s="14"/>
      <x:c r="AA136" s="14"/>
      <x:c r="AB136" s="14"/>
      <x:c r="AC136" s="14"/>
      <x:c r="AD136" s="14"/>
      <x:c r="AE136" s="14"/>
      <x:c r="AF136" s="14"/>
      <x:c r="AG136" s="14"/>
      <x:c r="AH136" s="14"/>
      <x:c r="AI136" s="14"/>
      <x:c r="AJ136" s="14"/>
      <x:c r="AK136" s="14"/>
      <x:c r="AL136" s="14"/>
      <x:c r="AM136" s="14"/>
      <x:c r="AN136" s="14"/>
      <x:c r="AO136" s="14"/>
      <x:c r="AP136" s="14"/>
      <x:c r="AQ136" s="14"/>
      <x:c r="AR136" s="14"/>
      <x:c r="AS136" s="14"/>
      <x:c r="AT136" s="14"/>
      <x:c r="AU136" s="14"/>
      <x:c r="AV136" s="14"/>
      <x:c r="AW136" s="14"/>
      <x:c r="AX136" s="14"/>
      <x:c r="AY136" s="18" t="str">
        <x:v>舞星釩兜Ⅴ</x:v>
      </x:c>
      <x:c r="AZ136" s="18"/>
      <x:c r="BA136" s="18"/>
      <x:c r="BB136" s="18"/>
      <x:c r="BC136" s="14"/>
      <x:c r="BD136" s="18" t="str">
        <x:v>皇．仁者聖甲</x:v>
      </x:c>
      <x:c r="BE136" s="18" t="str">
        <x:v>皇．勇者聖甲</x:v>
      </x:c>
      <x:c r="BF136" s="18" t="str">
        <x:v>皇．義者聖甲</x:v>
      </x:c>
      <x:c r="BG136" s="18" t="str">
        <x:v>終極智者聖甲</x:v>
      </x:c>
      <x:c r="BH136" s="14"/>
      <x:c r="BI136" s="14"/>
      <x:c r="BJ136" s="14"/>
      <x:c r="BK136" s="14"/>
      <x:c r="BL136" s="14"/>
      <x:c r="BM136" s="14"/>
      <x:c r="BN136" s="18" t="str">
        <x:v>舞星鋁行Ⅳ</x:v>
      </x:c>
      <x:c r="BO136" s="18" t="str">
        <x:v>宇鋒飆靴Ⅴ</x:v>
      </x:c>
      <x:c r="BP136" s="18" t="str">
        <x:v>天衛宙脛Ⅴ</x:v>
      </x:c>
      <x:c r="BQ136" s="18" t="str">
        <x:v>光術疾履Ⅴ</x:v>
      </x:c>
      <x:c r="BR136" s="14"/>
      <x:c r="BS136" s="14"/>
      <x:c r="BT136" s="14"/>
      <x:c r="BU136" s="14"/>
      <x:c r="BV136" s="14"/>
      <x:c r="BW136" s="14"/>
      <x:c r="BX136" s="14"/>
      <x:c r="BY136" s="14"/>
      <x:c r="BZ136" s="14"/>
      <x:c r="CA136" s="14"/>
      <x:c r="CB136" s="14"/>
      <x:c r="CC136" s="14"/>
      <x:c r="CD136" s="14"/>
      <x:c r="CE136" s="14"/>
      <x:c r="CF136" s="14"/>
      <x:c r="CG136" s="14"/>
      <x:c r="CH136" s="14"/>
      <x:c r="CI136" s="14"/>
      <x:c r="CJ136" s="14"/>
      <x:c r="CK136" s="14"/>
      <x:c r="CL136" s="14"/>
      <x:c r="CM136" s="14"/>
      <x:c r="CN136" s="14"/>
      <x:c r="CO136" s="14"/>
      <x:c r="CP136" s="14"/>
      <x:c r="CQ136" s="14"/>
      <x:c r="CR136" s="14"/>
      <x:c r="CS136" s="14"/>
      <x:c r="CT136" s="14"/>
      <x:c r="CU136" s="14"/>
      <x:c r="CV136" s="14"/>
      <x:c r="CW136" s="14"/>
      <x:c r="CX136" s="14"/>
      <x:c r="CY136" s="14"/>
      <x:c r="CZ136" s="14"/>
      <x:c r="DA136" s="14"/>
      <x:c r="DB136" s="14"/>
      <x:c r="DC136" s="14"/>
      <x:c r="DD136" s="14"/>
      <x:c r="DE136" s="14"/>
      <x:c r="DF136" s="14"/>
      <x:c r="DG136" s="14"/>
      <x:c r="DH136" s="14"/>
      <x:c r="DI136" s="14"/>
      <x:c r="DJ136" s="14"/>
      <x:c r="DK136" s="14"/>
      <x:c r="DL136" s="14"/>
      <x:c r="DM136" s="14"/>
      <x:c r="DN136" s="14"/>
      <x:c r="DO136" s="14"/>
      <x:c r="DP136" s="14"/>
      <x:c r="DQ136" s="14"/>
      <x:c r="DR136" s="14"/>
      <x:c r="DS136" s="14"/>
      <x:c r="DT136" s="14"/>
      <x:c r="DU136" s="14"/>
      <x:c r="DV136" s="14"/>
      <x:c r="DW136" s="14"/>
      <x:c r="DX136" s="14"/>
      <x:c r="DY136" s="14"/>
      <x:c r="DZ136" s="14"/>
      <x:c r="EA136" s="14"/>
      <x:c r="EB136" s="14"/>
      <x:c r="EC136" s="14"/>
      <x:c r="ED136" s="14"/>
      <x:c r="EE136" s="14"/>
      <x:c r="EF136" s="14"/>
      <x:c r="EG136" s="14"/>
      <x:c r="EH136" s="14"/>
      <x:c r="EI136" s="14"/>
      <x:c r="EJ136" s="14"/>
      <x:c r="EK136" s="14"/>
      <x:c r="EL136" s="14"/>
      <x:c r="EM136" s="14"/>
      <x:c r="EN136" s="14"/>
      <x:c r="EO136" s="14"/>
      <x:c r="EP136" s="14"/>
      <x:c r="EQ136" s="14"/>
      <x:c r="ER136" s="14"/>
      <x:c r="ES136" s="14"/>
      <x:c r="ET136" s="14"/>
      <x:c r="EU136" s="14"/>
      <x:c r="EV136" s="14"/>
      <x:c r="EW136" s="14"/>
      <x:c r="EX136" s="14"/>
      <x:c r="EY136" s="14"/>
      <x:c r="EZ136" s="14"/>
      <x:c r="FA136" s="14"/>
      <x:c r="FB136" s="14"/>
      <x:c r="FC136" s="14"/>
      <x:c r="FD136" s="14"/>
      <x:c r="FE136" s="14"/>
      <x:c r="FF136" s="14"/>
      <x:c r="FG136" s="14"/>
      <x:c r="FH136" s="14"/>
      <x:c r="FI136" s="14"/>
      <x:c r="FJ136" s="14"/>
      <x:c r="FK136" s="14"/>
      <x:c r="FL136" s="14"/>
      <x:c r="FM136" s="14"/>
      <x:c r="FN136" s="14"/>
      <x:c r="FO136" s="14"/>
      <x:c r="FP136" s="14"/>
      <x:c r="FQ136" s="14"/>
      <x:c r="FR136" s="14"/>
      <x:c r="FS136" s="14"/>
      <x:c r="FT136" s="14"/>
      <x:c r="FU136" s="14"/>
      <x:c r="FV136" s="14"/>
      <x:c r="FW136" s="14"/>
      <x:c r="FX136" s="14"/>
      <x:c r="FY136" s="14"/>
      <x:c r="FZ136" s="14"/>
      <x:c r="GA136" s="14"/>
      <x:c r="GB136" s="14"/>
      <x:c r="GC136" s="14"/>
      <x:c r="GD136" s="14"/>
      <x:c r="GE136" s="14"/>
      <x:c r="GF136" s="14"/>
      <x:c r="GG136" s="14"/>
      <x:c r="GH136" s="14"/>
      <x:c r="GI136" s="14"/>
      <x:c r="GJ136" s="14"/>
      <x:c r="GK136" s="14"/>
      <x:c r="GL136" s="14"/>
      <x:c r="GM136" s="14"/>
      <x:c r="GN136" s="14"/>
      <x:c r="GO136" s="14"/>
      <x:c r="GP136" s="14"/>
      <x:c r="GQ136" s="14"/>
      <x:c r="GR136" s="14"/>
      <x:c r="GS136" s="14"/>
      <x:c r="GT136" s="14"/>
      <x:c r="GU136" s="14"/>
      <x:c r="GV136" s="14"/>
      <x:c r="GW136" s="14"/>
      <x:c r="GX136" s="14"/>
      <x:c r="GY136" s="14"/>
      <x:c r="GZ136" s="14"/>
      <x:c r="HA136" s="14"/>
      <x:c r="HB136" s="14"/>
      <x:c r="HC136" s="14"/>
      <x:c r="HD136" s="14"/>
      <x:c r="HE136" s="14"/>
      <x:c r="HF136" s="14"/>
      <x:c r="HG136" s="14"/>
      <x:c r="HH136" s="14"/>
      <x:c r="HI136" s="14"/>
      <x:c r="HJ136" s="14"/>
      <x:c r="HK136" s="14"/>
      <x:c r="HL136" s="14"/>
      <x:c r="HM136" s="14"/>
      <x:c r="HN136" s="14"/>
      <x:c r="HO136" s="14"/>
      <x:c r="HP136" s="14"/>
      <x:c r="HQ136" s="14"/>
      <x:c r="HR136" s="14"/>
      <x:c r="HS136" s="14"/>
      <x:c r="HT136" s="14"/>
      <x:c r="HU136" s="14"/>
      <x:c r="HV136" s="14"/>
      <x:c r="HW136" s="14"/>
      <x:c r="HX136" s="14"/>
      <x:c r="HY136" s="14"/>
      <x:c r="HZ136" s="14"/>
      <x:c r="IA136" s="14"/>
      <x:c r="IB136" s="14"/>
      <x:c r="IC136" s="14"/>
      <x:c r="ID136" s="14"/>
      <x:c r="IE136" s="14"/>
      <x:c r="IF136" s="14"/>
      <x:c r="IG136" s="14"/>
      <x:c r="IH136" s="14"/>
      <x:c r="II136" s="14"/>
      <x:c r="IJ136" s="14"/>
      <x:c r="IK136" s="14"/>
      <x:c r="IL136" s="14"/>
      <x:c r="IM136" s="14"/>
      <x:c r="IN136" s="14"/>
      <x:c r="IO136" s="14"/>
      <x:c r="IP136" s="14"/>
      <x:c r="IQ136" s="14"/>
      <x:c r="IR136" s="14"/>
      <x:c r="IS136" s="14"/>
      <x:c r="IT136" s="14"/>
      <x:c r="IU136" s="14"/>
      <x:c r="IV136" s="14"/>
      <x:c r="IW136" s="14"/>
      <x:c r="IX136" s="14"/>
      <x:c r="IY136" s="14"/>
      <x:c r="IZ136" s="14"/>
      <x:c r="JA136" s="14"/>
      <x:c r="JB136" s="14"/>
      <x:c r="JC136" s="14"/>
      <x:c r="JD136" s="14"/>
      <x:c r="JE136" s="14"/>
      <x:c r="JF136" s="14"/>
      <x:c r="JG136" s="14"/>
      <x:c r="JH136" s="14"/>
      <x:c r="JI136" s="14"/>
      <x:c r="JJ136" s="14"/>
      <x:c r="JK136" s="14"/>
      <x:c r="JL136" s="14"/>
      <x:c r="JM136" s="14"/>
      <x:c r="JN136" s="14"/>
      <x:c r="JO136" s="14"/>
      <x:c r="JP136" s="14"/>
      <x:c r="JQ136" s="14"/>
      <x:c r="JR136" s="14"/>
      <x:c r="JS136" s="14"/>
      <x:c r="JT136" s="14"/>
      <x:c r="JU136" s="14"/>
      <x:c r="JV136" s="14"/>
      <x:c r="JW136" s="14"/>
      <x:c r="JX136" s="14"/>
      <x:c r="JY136" s="14"/>
      <x:c r="JZ136" s="14"/>
      <x:c r="KA136" s="14"/>
      <x:c r="KB136" s="14"/>
      <x:c r="KC136" s="14"/>
      <x:c r="KD136" s="14"/>
      <x:c r="KE136" s="14"/>
      <x:c r="KF136" s="14"/>
      <x:c r="KG136" s="14"/>
      <x:c r="KH136" s="14"/>
      <x:c r="KI136" s="14"/>
      <x:c r="KJ136" s="14"/>
      <x:c r="KK136" s="14"/>
      <x:c r="KL136" s="14"/>
      <x:c r="KM136" s="14"/>
      <x:c r="KN136" s="14"/>
      <x:c r="KO136" s="14"/>
      <x:c r="KP136" s="14"/>
      <x:c r="KQ136" s="14"/>
      <x:c r="KR136" s="14"/>
      <x:c r="KS136" s="14"/>
      <x:c r="KT136" s="14"/>
      <x:c r="KU136" s="14"/>
      <x:c r="KV136" s="14"/>
      <x:c r="KW136" s="14"/>
      <x:c r="KX136" s="14"/>
      <x:c r="KY136" s="14"/>
      <x:c r="KZ136" s="14"/>
      <x:c r="LA136" s="14"/>
      <x:c r="LB136" s="14"/>
      <x:c r="LC136" s="14"/>
      <x:c r="LD136" s="14"/>
      <x:c r="LE136" s="14"/>
      <x:c r="LF136" s="14"/>
      <x:c r="LG136" s="14"/>
      <x:c r="LH136" s="14"/>
      <x:c r="LI136" s="14"/>
      <x:c r="LJ136" s="14"/>
      <x:c r="LK136" s="14"/>
      <x:c r="LL136" s="14"/>
      <x:c r="LM136" s="14"/>
      <x:c r="LN136" s="14"/>
      <x:c r="LO136" s="14"/>
      <x:c r="LP136" s="14"/>
      <x:c r="LQ136" s="14"/>
      <x:c r="LR136" s="14"/>
      <x:c r="LS136" s="14"/>
      <x:c r="LT136" s="14"/>
      <x:c r="LU136" s="14"/>
      <x:c r="LV136" s="14"/>
      <x:c r="LW136" s="14"/>
      <x:c r="LX136" s="14"/>
      <x:c r="LY136" s="14"/>
      <x:c r="LZ136" s="14"/>
      <x:c r="MA136" s="14"/>
      <x:c r="MB136" s="14"/>
      <x:c r="MC136" s="14"/>
      <x:c r="MD136" s="14"/>
      <x:c r="ME136" s="14"/>
      <x:c r="MF136" s="14"/>
      <x:c r="MG136" s="14"/>
      <x:c r="MH136" s="14"/>
      <x:c r="MI136" s="14"/>
      <x:c r="MJ136" s="14"/>
      <x:c r="MK136" s="14"/>
      <x:c r="ML136" s="14"/>
      <x:c r="MM136" s="14"/>
      <x:c r="MN136" s="14"/>
      <x:c r="MO136" s="14"/>
      <x:c r="MP136" s="14"/>
      <x:c r="MQ136" s="14"/>
      <x:c r="MR136" s="14"/>
      <x:c r="MS136" s="14"/>
      <x:c r="MT136" s="14"/>
      <x:c r="MU136" s="14"/>
      <x:c r="MV136" s="14"/>
      <x:c r="MW136" s="14" t="str">
        <x:v>31315</x:v>
      </x:c>
      <x:c r="MX136" s="14" t="n">
        <x:v>10</x:v>
      </x:c>
      <x:c r="MY136" s="14" t="n">
        <x:v>2101</x:v>
      </x:c>
      <x:c r="MZ136" s="14" t="n">
        <x:v>453</x:v>
      </x:c>
      <x:c r="NA136" s="14" t="n">
        <x:v>18</x:v>
      </x:c>
      <x:c r="NB136" s="14" t="n">
        <x:v>1</x:v>
      </x:c>
      <x:c r="NC136" s="14" t="str">
        <x:v>未收錄</x:v>
      </x:c>
      <x:c r="ND136" s="14"/>
      <x:c r="NE136" s="14"/>
      <x:c r="NF136" s="14"/>
      <x:c r="NG136" s="14"/>
      <x:c r="NH136" s="14"/>
      <x:c r="NI136" s="14"/>
      <x:c r="NJ136" s="14"/>
      <x:c r="NK136" s="14"/>
      <x:c r="NL136" s="14"/>
      <x:c r="NM136" s="14"/>
      <x:c r="NN136" s="14"/>
      <x:c r="NO136" s="14"/>
      <x:c r="NP136" s="14"/>
      <x:c r="NQ136" s="14"/>
      <x:c r="NR136" s="14"/>
      <x:c r="NS136" s="14"/>
      <x:c r="NT136" s="14"/>
      <x:c r="NU136" s="14"/>
      <x:c r="NV136" s="14"/>
      <x:c r="NW136" s="14"/>
      <x:c r="NX136" s="14"/>
      <x:c r="NY136" s="14" t="str">
        <x:v>29680</x:v>
      </x:c>
      <x:c r="NZ136" s="14" t="n">
        <x:v>10</x:v>
      </x:c>
      <x:c r="OA136" s="14" t="n">
        <x:v>2554</x:v>
      </x:c>
      <x:c r="OB136" s="14" t="n">
        <x:v>453</x:v>
      </x:c>
      <x:c r="OC136" s="14" t="n">
        <x:v>18</x:v>
      </x:c>
      <x:c r="OD136" s="14" t="n">
        <x:v>1</x:v>
      </x:c>
      <x:c r="OE136" s="14" t="str">
        <x:v>未收錄</x:v>
      </x:c>
      <x:c r="OF136" s="14" t="str">
        <x:v>29681</x:v>
      </x:c>
      <x:c r="OG136" s="14" t="n">
        <x:v>10</x:v>
      </x:c>
      <x:c r="OH136" s="14" t="n">
        <x:v>2555</x:v>
      </x:c>
      <x:c r="OI136" s="14" t="n">
        <x:v>454</x:v>
      </x:c>
      <x:c r="OJ136" s="14" t="n">
        <x:v>18</x:v>
      </x:c>
      <x:c r="OK136" s="14" t="n">
        <x:v>2</x:v>
      </x:c>
      <x:c r="OL136" s="14" t="str">
        <x:v>未收錄</x:v>
      </x:c>
      <x:c r="OM136" s="14" t="str">
        <x:v>29682</x:v>
      </x:c>
      <x:c r="ON136" s="14" t="n">
        <x:v>10</x:v>
      </x:c>
      <x:c r="OO136" s="14" t="n">
        <x:v>2556</x:v>
      </x:c>
      <x:c r="OP136" s="14" t="n">
        <x:v>455</x:v>
      </x:c>
      <x:c r="OQ136" s="14" t="n">
        <x:v>18</x:v>
      </x:c>
      <x:c r="OR136" s="14" t="n">
        <x:v>3</x:v>
      </x:c>
      <x:c r="OS136" s="14" t="str">
        <x:v>未收錄</x:v>
      </x:c>
      <x:c r="OT136" s="14" t="str">
        <x:v>29938</x:v>
      </x:c>
      <x:c r="OU136" s="14" t="n">
        <x:v>10</x:v>
      </x:c>
      <x:c r="OV136" s="14" t="n">
        <x:v>2557</x:v>
      </x:c>
      <x:c r="OW136" s="14" t="n">
        <x:v>456</x:v>
      </x:c>
      <x:c r="OX136" s="14" t="n">
        <x:v>18</x:v>
      </x:c>
      <x:c r="OY136" s="14" t="n">
        <x:v>4</x:v>
      </x:c>
      <x:c r="OZ136" s="14" t="str">
        <x:v>未收錄</x:v>
      </x:c>
      <x:c r="PA136" s="14"/>
      <x:c r="PB136" s="14"/>
      <x:c r="PC136" s="14"/>
      <x:c r="PD136" s="14"/>
      <x:c r="PE136" s="14"/>
      <x:c r="PF136" s="14"/>
      <x:c r="PG136" s="14"/>
      <x:c r="PH136" s="14"/>
      <x:c r="PI136" s="14"/>
      <x:c r="PJ136" s="14"/>
      <x:c r="PK136" s="14"/>
      <x:c r="PL136" s="14"/>
      <x:c r="PM136" s="14"/>
      <x:c r="PN136" s="14"/>
      <x:c r="PO136" s="14"/>
      <x:c r="PP136" s="14"/>
      <x:c r="PQ136" s="14"/>
      <x:c r="PR136" s="14"/>
      <x:c r="PS136" s="14"/>
      <x:c r="PT136" s="14"/>
      <x:c r="PU136" s="14"/>
      <x:c r="PV136" s="14"/>
      <x:c r="PW136" s="14"/>
      <x:c r="PX136" s="14"/>
      <x:c r="PY136" s="14"/>
      <x:c r="PZ136" s="14"/>
      <x:c r="QA136" s="14"/>
      <x:c r="QB136" s="14"/>
      <x:c r="QC136" s="14" t="str">
        <x:v>31329</x:v>
      </x:c>
      <x:c r="QD136" s="14" t="n">
        <x:v>10</x:v>
      </x:c>
      <x:c r="QE136" s="14" t="n">
        <x:v>3537</x:v>
      </x:c>
      <x:c r="QF136" s="14" t="n">
        <x:v>453</x:v>
      </x:c>
      <x:c r="QG136" s="14" t="n">
        <x:v>18</x:v>
      </x:c>
      <x:c r="QH136" s="14" t="n">
        <x:v>1</x:v>
      </x:c>
      <x:c r="QI136" s="14" t="str">
        <x:v>未收錄</x:v>
      </x:c>
      <x:c r="QJ136" s="14" t="str">
        <x:v>31230</x:v>
      </x:c>
      <x:c r="QK136" s="14" t="n">
        <x:v>5</x:v>
      </x:c>
      <x:c r="QL136" s="14" t="n">
        <x:v>3538</x:v>
      </x:c>
      <x:c r="QM136" s="14" t="n">
        <x:v>454</x:v>
      </x:c>
      <x:c r="QN136" s="14" t="n">
        <x:v>18</x:v>
      </x:c>
      <x:c r="QO136" s="14" t="n">
        <x:v>2</x:v>
      </x:c>
      <x:c r="QP136" s="14" t="str">
        <x:v>未收錄</x:v>
      </x:c>
      <x:c r="QQ136" s="14" t="str">
        <x:v>31235</x:v>
      </x:c>
      <x:c r="QR136" s="14" t="n">
        <x:v>5</x:v>
      </x:c>
      <x:c r="QS136" s="14" t="n">
        <x:v>3539</x:v>
      </x:c>
      <x:c r="QT136" s="14" t="n">
        <x:v>455</x:v>
      </x:c>
      <x:c r="QU136" s="14" t="n">
        <x:v>18</x:v>
      </x:c>
      <x:c r="QV136" s="14" t="n">
        <x:v>3</x:v>
      </x:c>
      <x:c r="QW136" s="14" t="str">
        <x:v>未收錄</x:v>
      </x:c>
      <x:c r="QX136" s="14" t="str">
        <x:v>31240</x:v>
      </x:c>
      <x:c r="QY136" s="14" t="n">
        <x:v>5</x:v>
      </x:c>
      <x:c r="QZ136" s="14" t="n">
        <x:v>3540</x:v>
      </x:c>
      <x:c r="RA136" s="14" t="n">
        <x:v>456</x:v>
      </x:c>
      <x:c r="RB136" s="14" t="n">
        <x:v>18</x:v>
      </x:c>
      <x:c r="RC136" s="14" t="n">
        <x:v>4</x:v>
      </x:c>
      <x:c r="RD136" s="14" t="str">
        <x:v>未收錄</x:v>
      </x:c>
      <x:c r="RE136" s="14"/>
      <x:c r="RF136" s="14"/>
      <x:c r="RG136" s="14"/>
      <x:c r="RH136" s="14"/>
      <x:c r="RI136" s="14"/>
      <x:c r="RJ136" s="14"/>
      <x:c r="RK136" s="14"/>
      <x:c r="RL136" s="14"/>
      <x:c r="RM136" s="14"/>
      <x:c r="RN136" s="14"/>
      <x:c r="RO136" s="14"/>
      <x:c r="RP136" s="14"/>
      <x:c r="RQ136" s="14"/>
      <x:c r="RR136" s="14"/>
      <x:c r="RS136" s="14"/>
      <x:c r="RT136" s="14"/>
      <x:c r="RU136" s="14"/>
      <x:c r="RV136" s="14"/>
      <x:c r="RW136" s="14"/>
      <x:c r="RX136" s="14"/>
      <x:c r="RY136" s="14"/>
      <x:c r="RZ136" s="14"/>
      <x:c r="SA136" s="14"/>
      <x:c r="SB136" s="14"/>
      <x:c r="SC136" s="14"/>
      <x:c r="SD136" s="14"/>
      <x:c r="SE136" s="14"/>
      <x:c r="SF136" s="14"/>
      <x:c r="SG136" s="14"/>
      <x:c r="SH136" s="14"/>
      <x:c r="SI136" s="14"/>
      <x:c r="SJ136" s="14"/>
      <x:c r="SK136" s="14"/>
      <x:c r="SL136" s="14"/>
      <x:c r="SM136" s="14"/>
      <x:c r="SN136" s="14"/>
      <x:c r="SO136" s="14"/>
      <x:c r="SP136" s="14"/>
      <x:c r="SQ136" s="14"/>
      <x:c r="SR136" s="14"/>
      <x:c r="SS136" s="14"/>
      <x:c r="ST136" s="14"/>
      <x:c r="SU136" s="14"/>
      <x:c r="SV136" s="14"/>
      <x:c r="SW136" s="14"/>
      <x:c r="SX136" s="14"/>
      <x:c r="SY136" s="14"/>
      <x:c r="SZ136" s="14"/>
      <x:c r="TA136" s="14"/>
      <x:c r="TB136" s="14"/>
      <x:c r="TC136" s="14"/>
      <x:c r="TD136" s="14"/>
      <x:c r="TE136" s="14"/>
      <x:c r="TF136" s="14"/>
      <x:c r="TG136" s="14"/>
      <x:c r="TH136" s="14"/>
    </x:row>
    <x:row r="137" ht="15" customHeight="1">
      <x:c r="A137" s="14"/>
      <x:c r="B137" s="14"/>
      <x:c r="C137" s="14"/>
      <x:c r="D137" s="14"/>
      <x:c r="E137" s="14"/>
      <x:c r="F137" s="14"/>
      <x:c r="G137" s="14"/>
      <x:c r="H137" s="14"/>
      <x:c r="I137" s="14"/>
      <x:c r="J137" s="14"/>
      <x:c r="K137" s="14"/>
      <x:c r="L137" s="14"/>
      <x:c r="M137" s="14"/>
      <x:c r="N137" s="14"/>
      <x:c r="O137" s="14"/>
      <x:c r="P137" s="14"/>
      <x:c r="Q137" s="14"/>
      <x:c r="R137" s="14"/>
      <x:c r="S137" s="14"/>
      <x:c r="T137" s="14"/>
      <x:c r="U137" s="14"/>
      <x:c r="V137" s="14"/>
      <x:c r="W137" s="14"/>
      <x:c r="X137" s="14"/>
      <x:c r="Y137" s="14"/>
      <x:c r="Z137" s="14"/>
      <x:c r="AA137" s="14"/>
      <x:c r="AB137" s="14"/>
      <x:c r="AC137" s="14"/>
      <x:c r="AD137" s="14"/>
      <x:c r="AE137" s="14"/>
      <x:c r="AF137" s="14"/>
      <x:c r="AG137" s="14"/>
      <x:c r="AH137" s="14"/>
      <x:c r="AI137" s="14"/>
      <x:c r="AJ137" s="14"/>
      <x:c r="AK137" s="14"/>
      <x:c r="AL137" s="14"/>
      <x:c r="AM137" s="14"/>
      <x:c r="AN137" s="14"/>
      <x:c r="AO137" s="14"/>
      <x:c r="AP137" s="14"/>
      <x:c r="AQ137" s="14"/>
      <x:c r="AR137" s="14"/>
      <x:c r="AS137" s="14"/>
      <x:c r="AT137" s="14"/>
      <x:c r="AU137" s="14"/>
      <x:c r="AV137" s="14"/>
      <x:c r="AW137" s="14"/>
      <x:c r="AX137" s="14"/>
      <x:c r="AY137" s="14"/>
      <x:c r="AZ137" s="14"/>
      <x:c r="BA137" s="14"/>
      <x:c r="BB137" s="14"/>
      <x:c r="BC137" s="14"/>
      <x:c r="BD137" s="17" t="str">
        <x:v>終極仁者聖甲</x:v>
      </x:c>
      <x:c r="BE137" s="17" t="str">
        <x:v>終極勇者聖甲</x:v>
      </x:c>
      <x:c r="BF137" s="17" t="str">
        <x:v>終極義者聖甲</x:v>
      </x:c>
      <x:c r="BG137" s="17" t="str">
        <x:v>新星之劍英冑</x:v>
      </x:c>
      <x:c r="BH137" s="14"/>
      <x:c r="BI137" s="14"/>
      <x:c r="BJ137" s="14"/>
      <x:c r="BK137" s="14"/>
      <x:c r="BL137" s="14"/>
      <x:c r="BM137" s="14"/>
      <x:c r="BN137" s="17" t="str">
        <x:v>辰道玄鞋Ⅴ</x:v>
      </x:c>
      <x:c r="BO137" s="17" t="str">
        <x:v>寂禪矜足Ⅴ</x:v>
      </x:c>
      <x:c r="BP137" s="17" t="str">
        <x:v>騰陽巍立Ⅴ</x:v>
      </x:c>
      <x:c r="BQ137" s="17" t="str">
        <x:v>凜月漪纏Ⅴ</x:v>
      </x:c>
      <x:c r="BR137" s="14"/>
      <x:c r="BS137" s="14"/>
      <x:c r="BT137" s="14"/>
      <x:c r="BU137" s="14"/>
      <x:c r="BV137" s="14"/>
      <x:c r="BW137" s="14"/>
      <x:c r="BX137" s="14"/>
      <x:c r="BY137" s="14"/>
      <x:c r="BZ137" s="14"/>
      <x:c r="CA137" s="14"/>
      <x:c r="CB137" s="14"/>
      <x:c r="CC137" s="14"/>
      <x:c r="CD137" s="14"/>
      <x:c r="CE137" s="14"/>
      <x:c r="CF137" s="14"/>
      <x:c r="CG137" s="14"/>
      <x:c r="CH137" s="14"/>
      <x:c r="CI137" s="14"/>
      <x:c r="CJ137" s="14"/>
      <x:c r="CK137" s="14"/>
      <x:c r="CL137" s="14"/>
      <x:c r="CM137" s="14"/>
      <x:c r="CN137" s="14"/>
      <x:c r="CO137" s="14"/>
      <x:c r="CP137" s="14"/>
      <x:c r="CQ137" s="14"/>
      <x:c r="CR137" s="14"/>
      <x:c r="CS137" s="14"/>
      <x:c r="CT137" s="14"/>
      <x:c r="CU137" s="14"/>
      <x:c r="CV137" s="14"/>
      <x:c r="CW137" s="14"/>
      <x:c r="CX137" s="14"/>
      <x:c r="CY137" s="14"/>
      <x:c r="CZ137" s="14"/>
      <x:c r="DA137" s="14"/>
      <x:c r="DB137" s="14"/>
      <x:c r="DC137" s="14"/>
      <x:c r="DD137" s="14"/>
      <x:c r="DE137" s="14"/>
      <x:c r="DF137" s="14"/>
      <x:c r="DG137" s="14"/>
      <x:c r="DH137" s="14"/>
      <x:c r="DI137" s="14"/>
      <x:c r="DJ137" s="14"/>
      <x:c r="DK137" s="14"/>
      <x:c r="DL137" s="14"/>
      <x:c r="DM137" s="14"/>
      <x:c r="DN137" s="14"/>
      <x:c r="DO137" s="14"/>
      <x:c r="DP137" s="14"/>
      <x:c r="DQ137" s="14"/>
      <x:c r="DR137" s="14"/>
      <x:c r="DS137" s="14"/>
      <x:c r="DT137" s="14"/>
      <x:c r="DU137" s="14"/>
      <x:c r="DV137" s="14"/>
      <x:c r="DW137" s="14"/>
      <x:c r="DX137" s="14"/>
      <x:c r="DY137" s="14"/>
      <x:c r="DZ137" s="14"/>
      <x:c r="EA137" s="14"/>
      <x:c r="EB137" s="14"/>
      <x:c r="EC137" s="14"/>
      <x:c r="ED137" s="14"/>
      <x:c r="EE137" s="14"/>
      <x:c r="EF137" s="14"/>
      <x:c r="EG137" s="14"/>
      <x:c r="EH137" s="14"/>
      <x:c r="EI137" s="14"/>
      <x:c r="EJ137" s="14"/>
      <x:c r="EK137" s="14"/>
      <x:c r="EL137" s="14"/>
      <x:c r="EM137" s="14"/>
      <x:c r="EN137" s="14"/>
      <x:c r="EO137" s="14"/>
      <x:c r="EP137" s="14"/>
      <x:c r="EQ137" s="14"/>
      <x:c r="ER137" s="14"/>
      <x:c r="ES137" s="14"/>
      <x:c r="ET137" s="14"/>
      <x:c r="EU137" s="14"/>
      <x:c r="EV137" s="14"/>
      <x:c r="EW137" s="14"/>
      <x:c r="EX137" s="14"/>
      <x:c r="EY137" s="14"/>
      <x:c r="EZ137" s="14"/>
      <x:c r="FA137" s="14"/>
      <x:c r="FB137" s="14"/>
      <x:c r="FC137" s="14"/>
      <x:c r="FD137" s="14"/>
      <x:c r="FE137" s="14"/>
      <x:c r="FF137" s="14"/>
      <x:c r="FG137" s="14"/>
      <x:c r="FH137" s="14"/>
      <x:c r="FI137" s="14"/>
      <x:c r="FJ137" s="14"/>
      <x:c r="FK137" s="14"/>
      <x:c r="FL137" s="14"/>
      <x:c r="FM137" s="14"/>
      <x:c r="FN137" s="14"/>
      <x:c r="FO137" s="14"/>
      <x:c r="FP137" s="14"/>
      <x:c r="FQ137" s="14"/>
      <x:c r="FR137" s="14"/>
      <x:c r="FS137" s="14"/>
      <x:c r="FT137" s="14"/>
      <x:c r="FU137" s="14"/>
      <x:c r="FV137" s="14"/>
      <x:c r="FW137" s="14"/>
      <x:c r="FX137" s="14"/>
      <x:c r="FY137" s="14"/>
      <x:c r="FZ137" s="14"/>
      <x:c r="GA137" s="14"/>
      <x:c r="GB137" s="14"/>
      <x:c r="GC137" s="14"/>
      <x:c r="GD137" s="14"/>
      <x:c r="GE137" s="14"/>
      <x:c r="GF137" s="14"/>
      <x:c r="GG137" s="14"/>
      <x:c r="GH137" s="14"/>
      <x:c r="GI137" s="14"/>
      <x:c r="GJ137" s="14"/>
      <x:c r="GK137" s="14"/>
      <x:c r="GL137" s="14"/>
      <x:c r="GM137" s="14"/>
      <x:c r="GN137" s="14"/>
      <x:c r="GO137" s="14"/>
      <x:c r="GP137" s="14"/>
      <x:c r="GQ137" s="14"/>
      <x:c r="GR137" s="14"/>
      <x:c r="GS137" s="14"/>
      <x:c r="GT137" s="14"/>
      <x:c r="GU137" s="14"/>
      <x:c r="GV137" s="14"/>
      <x:c r="GW137" s="14"/>
      <x:c r="GX137" s="14"/>
      <x:c r="GY137" s="14"/>
      <x:c r="GZ137" s="14"/>
      <x:c r="HA137" s="14"/>
      <x:c r="HB137" s="14"/>
      <x:c r="HC137" s="14"/>
      <x:c r="HD137" s="14"/>
      <x:c r="HE137" s="14"/>
      <x:c r="HF137" s="14"/>
      <x:c r="HG137" s="14"/>
      <x:c r="HH137" s="14"/>
      <x:c r="HI137" s="14"/>
      <x:c r="HJ137" s="14"/>
      <x:c r="HK137" s="14"/>
      <x:c r="HL137" s="14"/>
      <x:c r="HM137" s="14"/>
      <x:c r="HN137" s="14"/>
      <x:c r="HO137" s="14"/>
      <x:c r="HP137" s="14"/>
      <x:c r="HQ137" s="14"/>
      <x:c r="HR137" s="14"/>
      <x:c r="HS137" s="14"/>
      <x:c r="HT137" s="14"/>
      <x:c r="HU137" s="14"/>
      <x:c r="HV137" s="14"/>
      <x:c r="HW137" s="14"/>
      <x:c r="HX137" s="14"/>
      <x:c r="HY137" s="14"/>
      <x:c r="HZ137" s="14"/>
      <x:c r="IA137" s="14"/>
      <x:c r="IB137" s="14"/>
      <x:c r="IC137" s="14"/>
      <x:c r="ID137" s="14"/>
      <x:c r="IE137" s="14"/>
      <x:c r="IF137" s="14"/>
      <x:c r="IG137" s="14"/>
      <x:c r="IH137" s="14"/>
      <x:c r="II137" s="14"/>
      <x:c r="IJ137" s="14"/>
      <x:c r="IK137" s="14"/>
      <x:c r="IL137" s="14"/>
      <x:c r="IM137" s="14"/>
      <x:c r="IN137" s="14"/>
      <x:c r="IO137" s="14"/>
      <x:c r="IP137" s="14"/>
      <x:c r="IQ137" s="14"/>
      <x:c r="IR137" s="14"/>
      <x:c r="IS137" s="14"/>
      <x:c r="IT137" s="14"/>
      <x:c r="IU137" s="14"/>
      <x:c r="IV137" s="14"/>
      <x:c r="IW137" s="14"/>
      <x:c r="IX137" s="14"/>
      <x:c r="IY137" s="14"/>
      <x:c r="IZ137" s="14"/>
      <x:c r="JA137" s="14"/>
      <x:c r="JB137" s="14"/>
      <x:c r="JC137" s="14"/>
      <x:c r="JD137" s="14"/>
      <x:c r="JE137" s="14"/>
      <x:c r="JF137" s="14"/>
      <x:c r="JG137" s="14"/>
      <x:c r="JH137" s="14"/>
      <x:c r="JI137" s="14"/>
      <x:c r="JJ137" s="14"/>
      <x:c r="JK137" s="14"/>
      <x:c r="JL137" s="14"/>
      <x:c r="JM137" s="14"/>
      <x:c r="JN137" s="14"/>
      <x:c r="JO137" s="14"/>
      <x:c r="JP137" s="14"/>
      <x:c r="JQ137" s="14"/>
      <x:c r="JR137" s="14"/>
      <x:c r="JS137" s="14"/>
      <x:c r="JT137" s="14"/>
      <x:c r="JU137" s="14"/>
      <x:c r="JV137" s="14"/>
      <x:c r="JW137" s="14"/>
      <x:c r="JX137" s="14"/>
      <x:c r="JY137" s="14"/>
      <x:c r="JZ137" s="14"/>
      <x:c r="KA137" s="14"/>
      <x:c r="KB137" s="14"/>
      <x:c r="KC137" s="14"/>
      <x:c r="KD137" s="14"/>
      <x:c r="KE137" s="14"/>
      <x:c r="KF137" s="14"/>
      <x:c r="KG137" s="14"/>
      <x:c r="KH137" s="14"/>
      <x:c r="KI137" s="14"/>
      <x:c r="KJ137" s="14"/>
      <x:c r="KK137" s="14"/>
      <x:c r="KL137" s="14"/>
      <x:c r="KM137" s="14"/>
      <x:c r="KN137" s="14"/>
      <x:c r="KO137" s="14"/>
      <x:c r="KP137" s="14"/>
      <x:c r="KQ137" s="14"/>
      <x:c r="KR137" s="14"/>
      <x:c r="KS137" s="14"/>
      <x:c r="KT137" s="14"/>
      <x:c r="KU137" s="14"/>
      <x:c r="KV137" s="14"/>
      <x:c r="KW137" s="14"/>
      <x:c r="KX137" s="14"/>
      <x:c r="KY137" s="14"/>
      <x:c r="KZ137" s="14"/>
      <x:c r="LA137" s="14"/>
      <x:c r="LB137" s="14"/>
      <x:c r="LC137" s="14"/>
      <x:c r="LD137" s="14"/>
      <x:c r="LE137" s="14"/>
      <x:c r="LF137" s="14"/>
      <x:c r="LG137" s="14"/>
      <x:c r="LH137" s="14"/>
      <x:c r="LI137" s="14"/>
      <x:c r="LJ137" s="14"/>
      <x:c r="LK137" s="14"/>
      <x:c r="LL137" s="14"/>
      <x:c r="LM137" s="14"/>
      <x:c r="LN137" s="14"/>
      <x:c r="LO137" s="14"/>
      <x:c r="LP137" s="14"/>
      <x:c r="LQ137" s="14"/>
      <x:c r="LR137" s="14"/>
      <x:c r="LS137" s="14"/>
      <x:c r="LT137" s="14"/>
      <x:c r="LU137" s="14"/>
      <x:c r="LV137" s="14"/>
      <x:c r="LW137" s="14"/>
      <x:c r="LX137" s="14"/>
      <x:c r="LY137" s="14"/>
      <x:c r="LZ137" s="14"/>
      <x:c r="MA137" s="14"/>
      <x:c r="MB137" s="14"/>
      <x:c r="MC137" s="14"/>
      <x:c r="MD137" s="14"/>
      <x:c r="ME137" s="14"/>
      <x:c r="MF137" s="14"/>
      <x:c r="MG137" s="14"/>
      <x:c r="MH137" s="14"/>
      <x:c r="MI137" s="14"/>
      <x:c r="MJ137" s="14"/>
      <x:c r="MK137" s="14"/>
      <x:c r="ML137" s="14"/>
      <x:c r="MM137" s="14"/>
      <x:c r="MN137" s="14"/>
      <x:c r="MO137" s="14"/>
      <x:c r="MP137" s="14"/>
      <x:c r="MQ137" s="14"/>
      <x:c r="MR137" s="14"/>
      <x:c r="MS137" s="14"/>
      <x:c r="MT137" s="14"/>
      <x:c r="MU137" s="14"/>
      <x:c r="MV137" s="14"/>
      <x:c r="MW137" s="14"/>
      <x:c r="MX137" s="14"/>
      <x:c r="MY137" s="14"/>
      <x:c r="MZ137" s="14"/>
      <x:c r="NA137" s="14"/>
      <x:c r="NB137" s="14"/>
      <x:c r="NC137" s="14"/>
      <x:c r="ND137" s="14"/>
      <x:c r="NE137" s="14"/>
      <x:c r="NF137" s="14"/>
      <x:c r="NG137" s="14"/>
      <x:c r="NH137" s="14"/>
      <x:c r="NI137" s="14"/>
      <x:c r="NJ137" s="14"/>
      <x:c r="NK137" s="14"/>
      <x:c r="NL137" s="14"/>
      <x:c r="NM137" s="14"/>
      <x:c r="NN137" s="14"/>
      <x:c r="NO137" s="14"/>
      <x:c r="NP137" s="14"/>
      <x:c r="NQ137" s="14"/>
      <x:c r="NR137" s="14"/>
      <x:c r="NS137" s="14"/>
      <x:c r="NT137" s="14"/>
      <x:c r="NU137" s="14"/>
      <x:c r="NV137" s="14"/>
      <x:c r="NW137" s="14"/>
      <x:c r="NX137" s="14"/>
      <x:c r="NY137" s="14" t="str">
        <x:v>29939</x:v>
      </x:c>
      <x:c r="NZ137" s="14" t="n">
        <x:v>10</x:v>
      </x:c>
      <x:c r="OA137" s="14" t="n">
        <x:v>2558</x:v>
      </x:c>
      <x:c r="OB137" s="14" t="n">
        <x:v>457</x:v>
      </x:c>
      <x:c r="OC137" s="14" t="n">
        <x:v>19</x:v>
      </x:c>
      <x:c r="OD137" s="14" t="n">
        <x:v>1</x:v>
      </x:c>
      <x:c r="OE137" s="14" t="str">
        <x:v>未收錄</x:v>
      </x:c>
      <x:c r="OF137" s="14" t="str">
        <x:v>29940</x:v>
      </x:c>
      <x:c r="OG137" s="14" t="n">
        <x:v>10</x:v>
      </x:c>
      <x:c r="OH137" s="14" t="n">
        <x:v>2559</x:v>
      </x:c>
      <x:c r="OI137" s="14" t="n">
        <x:v>458</x:v>
      </x:c>
      <x:c r="OJ137" s="14" t="n">
        <x:v>19</x:v>
      </x:c>
      <x:c r="OK137" s="14" t="n">
        <x:v>2</x:v>
      </x:c>
      <x:c r="OL137" s="14" t="str">
        <x:v>未收錄</x:v>
      </x:c>
      <x:c r="OM137" s="14" t="str">
        <x:v>29941</x:v>
      </x:c>
      <x:c r="ON137" s="14" t="n">
        <x:v>10</x:v>
      </x:c>
      <x:c r="OO137" s="14" t="n">
        <x:v>2560</x:v>
      </x:c>
      <x:c r="OP137" s="14" t="n">
        <x:v>459</x:v>
      </x:c>
      <x:c r="OQ137" s="14" t="n">
        <x:v>19</x:v>
      </x:c>
      <x:c r="OR137" s="14" t="n">
        <x:v>3</x:v>
      </x:c>
      <x:c r="OS137" s="14" t="str">
        <x:v>未收錄</x:v>
      </x:c>
      <x:c r="OT137" s="14" t="str">
        <x:v>27304</x:v>
      </x:c>
      <x:c r="OU137" s="14" t="n">
        <x:v>5</x:v>
      </x:c>
      <x:c r="OV137" s="14" t="n">
        <x:v>2561</x:v>
      </x:c>
      <x:c r="OW137" s="14" t="n">
        <x:v>460</x:v>
      </x:c>
      <x:c r="OX137" s="14" t="n">
        <x:v>19</x:v>
      </x:c>
      <x:c r="OY137" s="14" t="n">
        <x:v>4</x:v>
      </x:c>
      <x:c r="OZ137" s="14" t="str">
        <x:v>未收錄</x:v>
      </x:c>
      <x:c r="PA137" s="14"/>
      <x:c r="PB137" s="14"/>
      <x:c r="PC137" s="14"/>
      <x:c r="PD137" s="14"/>
      <x:c r="PE137" s="14"/>
      <x:c r="PF137" s="14"/>
      <x:c r="PG137" s="14"/>
      <x:c r="PH137" s="14"/>
      <x:c r="PI137" s="14"/>
      <x:c r="PJ137" s="14"/>
      <x:c r="PK137" s="14"/>
      <x:c r="PL137" s="14"/>
      <x:c r="PM137" s="14"/>
      <x:c r="PN137" s="14"/>
      <x:c r="PO137" s="14"/>
      <x:c r="PP137" s="14"/>
      <x:c r="PQ137" s="14"/>
      <x:c r="PR137" s="14"/>
      <x:c r="PS137" s="14"/>
      <x:c r="PT137" s="14"/>
      <x:c r="PU137" s="14"/>
      <x:c r="PV137" s="14"/>
      <x:c r="PW137" s="14"/>
      <x:c r="PX137" s="14"/>
      <x:c r="PY137" s="14"/>
      <x:c r="PZ137" s="14"/>
      <x:c r="QA137" s="14"/>
      <x:c r="QB137" s="14"/>
      <x:c r="QC137" s="14" t="str">
        <x:v>31245</x:v>
      </x:c>
      <x:c r="QD137" s="14" t="n">
        <x:v>5</x:v>
      </x:c>
      <x:c r="QE137" s="14" t="n">
        <x:v>3541</x:v>
      </x:c>
      <x:c r="QF137" s="14" t="n">
        <x:v>457</x:v>
      </x:c>
      <x:c r="QG137" s="14" t="n">
        <x:v>19</x:v>
      </x:c>
      <x:c r="QH137" s="14" t="n">
        <x:v>1</x:v>
      </x:c>
      <x:c r="QI137" s="14" t="str">
        <x:v>未收錄</x:v>
      </x:c>
      <x:c r="QJ137" s="14" t="str">
        <x:v>31250</x:v>
      </x:c>
      <x:c r="QK137" s="14" t="n">
        <x:v>5</x:v>
      </x:c>
      <x:c r="QL137" s="14" t="n">
        <x:v>3542</x:v>
      </x:c>
      <x:c r="QM137" s="14" t="n">
        <x:v>458</x:v>
      </x:c>
      <x:c r="QN137" s="14" t="n">
        <x:v>19</x:v>
      </x:c>
      <x:c r="QO137" s="14" t="n">
        <x:v>2</x:v>
      </x:c>
      <x:c r="QP137" s="14" t="str">
        <x:v>未收錄</x:v>
      </x:c>
      <x:c r="QQ137" s="14" t="str">
        <x:v>31290</x:v>
      </x:c>
      <x:c r="QR137" s="14" t="n">
        <x:v>10</x:v>
      </x:c>
      <x:c r="QS137" s="14" t="n">
        <x:v>3543</x:v>
      </x:c>
      <x:c r="QT137" s="14" t="n">
        <x:v>459</x:v>
      </x:c>
      <x:c r="QU137" s="14" t="n">
        <x:v>19</x:v>
      </x:c>
      <x:c r="QV137" s="14" t="n">
        <x:v>3</x:v>
      </x:c>
      <x:c r="QW137" s="14" t="str">
        <x:v>未收錄</x:v>
      </x:c>
      <x:c r="QX137" s="14" t="str">
        <x:v>31310</x:v>
      </x:c>
      <x:c r="QY137" s="14" t="n">
        <x:v>10</x:v>
      </x:c>
      <x:c r="QZ137" s="14" t="n">
        <x:v>3544</x:v>
      </x:c>
      <x:c r="RA137" s="14" t="n">
        <x:v>460</x:v>
      </x:c>
      <x:c r="RB137" s="14" t="n">
        <x:v>19</x:v>
      </x:c>
      <x:c r="RC137" s="14" t="n">
        <x:v>4</x:v>
      </x:c>
      <x:c r="RD137" s="14" t="str">
        <x:v>未收錄</x:v>
      </x:c>
      <x:c r="RE137" s="14"/>
      <x:c r="RF137" s="14"/>
      <x:c r="RG137" s="14"/>
      <x:c r="RH137" s="14"/>
      <x:c r="RI137" s="14"/>
      <x:c r="RJ137" s="14"/>
      <x:c r="RK137" s="14"/>
      <x:c r="RL137" s="14"/>
      <x:c r="RM137" s="14"/>
      <x:c r="RN137" s="14"/>
      <x:c r="RO137" s="14"/>
      <x:c r="RP137" s="14"/>
      <x:c r="RQ137" s="14"/>
      <x:c r="RR137" s="14"/>
      <x:c r="RS137" s="14"/>
      <x:c r="RT137" s="14"/>
      <x:c r="RU137" s="14"/>
      <x:c r="RV137" s="14"/>
      <x:c r="RW137" s="14"/>
      <x:c r="RX137" s="14"/>
      <x:c r="RY137" s="14"/>
      <x:c r="RZ137" s="14"/>
      <x:c r="SA137" s="14"/>
      <x:c r="SB137" s="14"/>
      <x:c r="SC137" s="14"/>
      <x:c r="SD137" s="14"/>
      <x:c r="SE137" s="14"/>
      <x:c r="SF137" s="14"/>
      <x:c r="SG137" s="14"/>
      <x:c r="SH137" s="14"/>
      <x:c r="SI137" s="14"/>
      <x:c r="SJ137" s="14"/>
      <x:c r="SK137" s="14"/>
      <x:c r="SL137" s="14"/>
      <x:c r="SM137" s="14"/>
      <x:c r="SN137" s="14"/>
      <x:c r="SO137" s="14"/>
      <x:c r="SP137" s="14"/>
      <x:c r="SQ137" s="14"/>
      <x:c r="SR137" s="14"/>
      <x:c r="SS137" s="14"/>
      <x:c r="ST137" s="14"/>
      <x:c r="SU137" s="14"/>
      <x:c r="SV137" s="14"/>
      <x:c r="SW137" s="14"/>
      <x:c r="SX137" s="14"/>
      <x:c r="SY137" s="14"/>
      <x:c r="SZ137" s="14"/>
      <x:c r="TA137" s="14"/>
      <x:c r="TB137" s="14"/>
      <x:c r="TC137" s="14"/>
      <x:c r="TD137" s="14"/>
      <x:c r="TE137" s="14"/>
      <x:c r="TF137" s="14"/>
      <x:c r="TG137" s="14"/>
      <x:c r="TH137" s="14"/>
    </x:row>
    <x:row r="138" ht="15" customHeight="1">
      <x:c r="A138" s="14"/>
      <x:c r="B138" s="14"/>
      <x:c r="C138" s="14"/>
      <x:c r="D138" s="14"/>
      <x:c r="E138" s="14"/>
      <x:c r="F138" s="14"/>
      <x:c r="G138" s="14"/>
      <x:c r="H138" s="14"/>
      <x:c r="I138" s="14"/>
      <x:c r="J138" s="14"/>
      <x:c r="K138" s="14"/>
      <x:c r="L138" s="14"/>
      <x:c r="M138" s="14"/>
      <x:c r="N138" s="14"/>
      <x:c r="O138" s="14"/>
      <x:c r="P138" s="14"/>
      <x:c r="Q138" s="14"/>
      <x:c r="R138" s="14"/>
      <x:c r="S138" s="14"/>
      <x:c r="T138" s="14"/>
      <x:c r="U138" s="14"/>
      <x:c r="V138" s="14"/>
      <x:c r="W138" s="14"/>
      <x:c r="X138" s="14"/>
      <x:c r="Y138" s="14"/>
      <x:c r="Z138" s="14"/>
      <x:c r="AA138" s="14"/>
      <x:c r="AB138" s="14"/>
      <x:c r="AC138" s="14"/>
      <x:c r="AD138" s="14"/>
      <x:c r="AE138" s="14"/>
      <x:c r="AF138" s="14"/>
      <x:c r="AG138" s="14"/>
      <x:c r="AH138" s="14"/>
      <x:c r="AI138" s="14"/>
      <x:c r="AJ138" s="14"/>
      <x:c r="AK138" s="14"/>
      <x:c r="AL138" s="14"/>
      <x:c r="AM138" s="14"/>
      <x:c r="AN138" s="14"/>
      <x:c r="AO138" s="14"/>
      <x:c r="AP138" s="14"/>
      <x:c r="AQ138" s="14"/>
      <x:c r="AR138" s="14"/>
      <x:c r="AS138" s="14"/>
      <x:c r="AT138" s="14"/>
      <x:c r="AU138" s="14"/>
      <x:c r="AV138" s="14"/>
      <x:c r="AW138" s="14"/>
      <x:c r="AX138" s="14"/>
      <x:c r="AY138" s="14"/>
      <x:c r="AZ138" s="14"/>
      <x:c r="BA138" s="14"/>
      <x:c r="BB138" s="14"/>
      <x:c r="BC138" s="14"/>
      <x:c r="BD138" s="18" t="str">
        <x:v>新星之武豪鎧</x:v>
      </x:c>
      <x:c r="BE138" s="18" t="str">
        <x:v>新星之術潛裳</x:v>
      </x:c>
      <x:c r="BF138" s="18" t="str">
        <x:v>新星之道明服</x:v>
      </x:c>
      <x:c r="BG138" s="18" t="str">
        <x:v>新星之禪照衣</x:v>
      </x:c>
      <x:c r="BH138" s="14"/>
      <x:c r="BI138" s="14"/>
      <x:c r="BJ138" s="14"/>
      <x:c r="BK138" s="14"/>
      <x:c r="BL138" s="14"/>
      <x:c r="BM138" s="14"/>
      <x:c r="BN138" s="18" t="str">
        <x:v>舞星鋁行Ⅴ</x:v>
      </x:c>
      <x:c r="BO138" s="18"/>
      <x:c r="BP138" s="18"/>
      <x:c r="BQ138" s="18"/>
      <x:c r="BR138" s="14"/>
      <x:c r="BS138" s="14"/>
      <x:c r="BT138" s="14"/>
      <x:c r="BU138" s="14"/>
      <x:c r="BV138" s="14"/>
      <x:c r="BW138" s="14"/>
      <x:c r="BX138" s="14"/>
      <x:c r="BY138" s="14"/>
      <x:c r="BZ138" s="14"/>
      <x:c r="CA138" s="14"/>
      <x:c r="CB138" s="14"/>
      <x:c r="CC138" s="14"/>
      <x:c r="CD138" s="14"/>
      <x:c r="CE138" s="14"/>
      <x:c r="CF138" s="14"/>
      <x:c r="CG138" s="14"/>
      <x:c r="CH138" s="14"/>
      <x:c r="CI138" s="14"/>
      <x:c r="CJ138" s="14"/>
      <x:c r="CK138" s="14"/>
      <x:c r="CL138" s="14"/>
      <x:c r="CM138" s="14"/>
      <x:c r="CN138" s="14"/>
      <x:c r="CO138" s="14"/>
      <x:c r="CP138" s="14"/>
      <x:c r="CQ138" s="14"/>
      <x:c r="CR138" s="14"/>
      <x:c r="CS138" s="14"/>
      <x:c r="CT138" s="14"/>
      <x:c r="CU138" s="14"/>
      <x:c r="CV138" s="14"/>
      <x:c r="CW138" s="14"/>
      <x:c r="CX138" s="14"/>
      <x:c r="CY138" s="14"/>
      <x:c r="CZ138" s="14"/>
      <x:c r="DA138" s="14"/>
      <x:c r="DB138" s="14"/>
      <x:c r="DC138" s="14"/>
      <x:c r="DD138" s="14"/>
      <x:c r="DE138" s="14"/>
      <x:c r="DF138" s="14"/>
      <x:c r="DG138" s="14"/>
      <x:c r="DH138" s="14"/>
      <x:c r="DI138" s="14"/>
      <x:c r="DJ138" s="14"/>
      <x:c r="DK138" s="14"/>
      <x:c r="DL138" s="14"/>
      <x:c r="DM138" s="14"/>
      <x:c r="DN138" s="14"/>
      <x:c r="DO138" s="14"/>
      <x:c r="DP138" s="14"/>
      <x:c r="DQ138" s="14"/>
      <x:c r="DR138" s="14"/>
      <x:c r="DS138" s="14"/>
      <x:c r="DT138" s="14"/>
      <x:c r="DU138" s="14"/>
      <x:c r="DV138" s="14"/>
      <x:c r="DW138" s="14"/>
      <x:c r="DX138" s="14"/>
      <x:c r="DY138" s="14"/>
      <x:c r="DZ138" s="14"/>
      <x:c r="EA138" s="14"/>
      <x:c r="EB138" s="14"/>
      <x:c r="EC138" s="14"/>
      <x:c r="ED138" s="14"/>
      <x:c r="EE138" s="14"/>
      <x:c r="EF138" s="14"/>
      <x:c r="EG138" s="14"/>
      <x:c r="EH138" s="14"/>
      <x:c r="EI138" s="14"/>
      <x:c r="EJ138" s="14"/>
      <x:c r="EK138" s="14"/>
      <x:c r="EL138" s="14"/>
      <x:c r="EM138" s="14"/>
      <x:c r="EN138" s="14"/>
      <x:c r="EO138" s="14"/>
      <x:c r="EP138" s="14"/>
      <x:c r="EQ138" s="14"/>
      <x:c r="ER138" s="14"/>
      <x:c r="ES138" s="14"/>
      <x:c r="ET138" s="14"/>
      <x:c r="EU138" s="14"/>
      <x:c r="EV138" s="14"/>
      <x:c r="EW138" s="14"/>
      <x:c r="EX138" s="14"/>
      <x:c r="EY138" s="14"/>
      <x:c r="EZ138" s="14"/>
      <x:c r="FA138" s="14"/>
      <x:c r="FB138" s="14"/>
      <x:c r="FC138" s="14"/>
      <x:c r="FD138" s="14"/>
      <x:c r="FE138" s="14"/>
      <x:c r="FF138" s="14"/>
      <x:c r="FG138" s="14"/>
      <x:c r="FH138" s="14"/>
      <x:c r="FI138" s="14"/>
      <x:c r="FJ138" s="14"/>
      <x:c r="FK138" s="14"/>
      <x:c r="FL138" s="14"/>
      <x:c r="FM138" s="14"/>
      <x:c r="FN138" s="14"/>
      <x:c r="FO138" s="14"/>
      <x:c r="FP138" s="14"/>
      <x:c r="FQ138" s="14"/>
      <x:c r="FR138" s="14"/>
      <x:c r="FS138" s="14"/>
      <x:c r="FT138" s="14"/>
      <x:c r="FU138" s="14"/>
      <x:c r="FV138" s="14"/>
      <x:c r="FW138" s="14"/>
      <x:c r="FX138" s="14"/>
      <x:c r="FY138" s="14"/>
      <x:c r="FZ138" s="14"/>
      <x:c r="GA138" s="14"/>
      <x:c r="GB138" s="14"/>
      <x:c r="GC138" s="14"/>
      <x:c r="GD138" s="14"/>
      <x:c r="GE138" s="14"/>
      <x:c r="GF138" s="14"/>
      <x:c r="GG138" s="14"/>
      <x:c r="GH138" s="14"/>
      <x:c r="GI138" s="14"/>
      <x:c r="GJ138" s="14"/>
      <x:c r="GK138" s="14"/>
      <x:c r="GL138" s="14"/>
      <x:c r="GM138" s="14"/>
      <x:c r="GN138" s="14"/>
      <x:c r="GO138" s="14"/>
      <x:c r="GP138" s="14"/>
      <x:c r="GQ138" s="14"/>
      <x:c r="GR138" s="14"/>
      <x:c r="GS138" s="14"/>
      <x:c r="GT138" s="14"/>
      <x:c r="GU138" s="14"/>
      <x:c r="GV138" s="14"/>
      <x:c r="GW138" s="14"/>
      <x:c r="GX138" s="14"/>
      <x:c r="GY138" s="14"/>
      <x:c r="GZ138" s="14"/>
      <x:c r="HA138" s="14"/>
      <x:c r="HB138" s="14"/>
      <x:c r="HC138" s="14"/>
      <x:c r="HD138" s="14"/>
      <x:c r="HE138" s="14"/>
      <x:c r="HF138" s="14"/>
      <x:c r="HG138" s="14"/>
      <x:c r="HH138" s="14"/>
      <x:c r="HI138" s="14"/>
      <x:c r="HJ138" s="14"/>
      <x:c r="HK138" s="14"/>
      <x:c r="HL138" s="14"/>
      <x:c r="HM138" s="14"/>
      <x:c r="HN138" s="14"/>
      <x:c r="HO138" s="14"/>
      <x:c r="HP138" s="14"/>
      <x:c r="HQ138" s="14"/>
      <x:c r="HR138" s="14"/>
      <x:c r="HS138" s="14"/>
      <x:c r="HT138" s="14"/>
      <x:c r="HU138" s="14"/>
      <x:c r="HV138" s="14"/>
      <x:c r="HW138" s="14"/>
      <x:c r="HX138" s="14"/>
      <x:c r="HY138" s="14"/>
      <x:c r="HZ138" s="14"/>
      <x:c r="IA138" s="14"/>
      <x:c r="IB138" s="14"/>
      <x:c r="IC138" s="14"/>
      <x:c r="ID138" s="14"/>
      <x:c r="IE138" s="14"/>
      <x:c r="IF138" s="14"/>
      <x:c r="IG138" s="14"/>
      <x:c r="IH138" s="14"/>
      <x:c r="II138" s="14"/>
      <x:c r="IJ138" s="14"/>
      <x:c r="IK138" s="14"/>
      <x:c r="IL138" s="14"/>
      <x:c r="IM138" s="14"/>
      <x:c r="IN138" s="14"/>
      <x:c r="IO138" s="14"/>
      <x:c r="IP138" s="14"/>
      <x:c r="IQ138" s="14"/>
      <x:c r="IR138" s="14"/>
      <x:c r="IS138" s="14"/>
      <x:c r="IT138" s="14"/>
      <x:c r="IU138" s="14"/>
      <x:c r="IV138" s="14"/>
      <x:c r="IW138" s="14"/>
      <x:c r="IX138" s="14"/>
      <x:c r="IY138" s="14"/>
      <x:c r="IZ138" s="14"/>
      <x:c r="JA138" s="14"/>
      <x:c r="JB138" s="14"/>
      <x:c r="JC138" s="14"/>
      <x:c r="JD138" s="14"/>
      <x:c r="JE138" s="14"/>
      <x:c r="JF138" s="14"/>
      <x:c r="JG138" s="14"/>
      <x:c r="JH138" s="14"/>
      <x:c r="JI138" s="14"/>
      <x:c r="JJ138" s="14"/>
      <x:c r="JK138" s="14"/>
      <x:c r="JL138" s="14"/>
      <x:c r="JM138" s="14"/>
      <x:c r="JN138" s="14"/>
      <x:c r="JO138" s="14"/>
      <x:c r="JP138" s="14"/>
      <x:c r="JQ138" s="14"/>
      <x:c r="JR138" s="14"/>
      <x:c r="JS138" s="14"/>
      <x:c r="JT138" s="14"/>
      <x:c r="JU138" s="14"/>
      <x:c r="JV138" s="14"/>
      <x:c r="JW138" s="14"/>
      <x:c r="JX138" s="14"/>
      <x:c r="JY138" s="14"/>
      <x:c r="JZ138" s="14"/>
      <x:c r="KA138" s="14"/>
      <x:c r="KB138" s="14"/>
      <x:c r="KC138" s="14"/>
      <x:c r="KD138" s="14"/>
      <x:c r="KE138" s="14"/>
      <x:c r="KF138" s="14"/>
      <x:c r="KG138" s="14"/>
      <x:c r="KH138" s="14"/>
      <x:c r="KI138" s="14"/>
      <x:c r="KJ138" s="14"/>
      <x:c r="KK138" s="14"/>
      <x:c r="KL138" s="14"/>
      <x:c r="KM138" s="14"/>
      <x:c r="KN138" s="14"/>
      <x:c r="KO138" s="14"/>
      <x:c r="KP138" s="14"/>
      <x:c r="KQ138" s="14"/>
      <x:c r="KR138" s="14"/>
      <x:c r="KS138" s="14"/>
      <x:c r="KT138" s="14"/>
      <x:c r="KU138" s="14"/>
      <x:c r="KV138" s="14"/>
      <x:c r="KW138" s="14"/>
      <x:c r="KX138" s="14"/>
      <x:c r="KY138" s="14"/>
      <x:c r="KZ138" s="14"/>
      <x:c r="LA138" s="14"/>
      <x:c r="LB138" s="14"/>
      <x:c r="LC138" s="14"/>
      <x:c r="LD138" s="14"/>
      <x:c r="LE138" s="14"/>
      <x:c r="LF138" s="14"/>
      <x:c r="LG138" s="14"/>
      <x:c r="LH138" s="14"/>
      <x:c r="LI138" s="14"/>
      <x:c r="LJ138" s="14"/>
      <x:c r="LK138" s="14"/>
      <x:c r="LL138" s="14"/>
      <x:c r="LM138" s="14"/>
      <x:c r="LN138" s="14"/>
      <x:c r="LO138" s="14"/>
      <x:c r="LP138" s="14"/>
      <x:c r="LQ138" s="14"/>
      <x:c r="LR138" s="14"/>
      <x:c r="LS138" s="14"/>
      <x:c r="LT138" s="14"/>
      <x:c r="LU138" s="14"/>
      <x:c r="LV138" s="14"/>
      <x:c r="LW138" s="14"/>
      <x:c r="LX138" s="14"/>
      <x:c r="LY138" s="14"/>
      <x:c r="LZ138" s="14"/>
      <x:c r="MA138" s="14"/>
      <x:c r="MB138" s="14"/>
      <x:c r="MC138" s="14"/>
      <x:c r="MD138" s="14"/>
      <x:c r="ME138" s="14"/>
      <x:c r="MF138" s="14"/>
      <x:c r="MG138" s="14"/>
      <x:c r="MH138" s="14"/>
      <x:c r="MI138" s="14"/>
      <x:c r="MJ138" s="14"/>
      <x:c r="MK138" s="14"/>
      <x:c r="ML138" s="14"/>
      <x:c r="MM138" s="14"/>
      <x:c r="MN138" s="14"/>
      <x:c r="MO138" s="14"/>
      <x:c r="MP138" s="14"/>
      <x:c r="MQ138" s="14"/>
      <x:c r="MR138" s="14"/>
      <x:c r="MS138" s="14"/>
      <x:c r="MT138" s="14"/>
      <x:c r="MU138" s="14"/>
      <x:c r="MV138" s="14"/>
      <x:c r="MW138" s="14"/>
      <x:c r="MX138" s="14"/>
      <x:c r="MY138" s="14"/>
      <x:c r="MZ138" s="14"/>
      <x:c r="NA138" s="14"/>
      <x:c r="NB138" s="14"/>
      <x:c r="NC138" s="14"/>
      <x:c r="ND138" s="14"/>
      <x:c r="NE138" s="14"/>
      <x:c r="NF138" s="14"/>
      <x:c r="NG138" s="14"/>
      <x:c r="NH138" s="14"/>
      <x:c r="NI138" s="14"/>
      <x:c r="NJ138" s="14"/>
      <x:c r="NK138" s="14"/>
      <x:c r="NL138" s="14"/>
      <x:c r="NM138" s="14"/>
      <x:c r="NN138" s="14"/>
      <x:c r="NO138" s="14"/>
      <x:c r="NP138" s="14"/>
      <x:c r="NQ138" s="14"/>
      <x:c r="NR138" s="14"/>
      <x:c r="NS138" s="14"/>
      <x:c r="NT138" s="14"/>
      <x:c r="NU138" s="14"/>
      <x:c r="NV138" s="14"/>
      <x:c r="NW138" s="14"/>
      <x:c r="NX138" s="14"/>
      <x:c r="NY138" s="14" t="str">
        <x:v>27305</x:v>
      </x:c>
      <x:c r="NZ138" s="14" t="n">
        <x:v>5</x:v>
      </x:c>
      <x:c r="OA138" s="14" t="n">
        <x:v>2562</x:v>
      </x:c>
      <x:c r="OB138" s="14" t="n">
        <x:v>461</x:v>
      </x:c>
      <x:c r="OC138" s="14" t="n">
        <x:v>20</x:v>
      </x:c>
      <x:c r="OD138" s="14" t="n">
        <x:v>1</x:v>
      </x:c>
      <x:c r="OE138" s="14" t="str">
        <x:v>未收錄</x:v>
      </x:c>
      <x:c r="OF138" s="14" t="str">
        <x:v>27306</x:v>
      </x:c>
      <x:c r="OG138" s="14" t="n">
        <x:v>5</x:v>
      </x:c>
      <x:c r="OH138" s="14" t="n">
        <x:v>2563</x:v>
      </x:c>
      <x:c r="OI138" s="14" t="n">
        <x:v>462</x:v>
      </x:c>
      <x:c r="OJ138" s="14" t="n">
        <x:v>20</x:v>
      </x:c>
      <x:c r="OK138" s="14" t="n">
        <x:v>2</x:v>
      </x:c>
      <x:c r="OL138" s="14" t="str">
        <x:v>未收錄</x:v>
      </x:c>
      <x:c r="OM138" s="14" t="str">
        <x:v>27307</x:v>
      </x:c>
      <x:c r="ON138" s="14" t="n">
        <x:v>5</x:v>
      </x:c>
      <x:c r="OO138" s="14" t="n">
        <x:v>2564</x:v>
      </x:c>
      <x:c r="OP138" s="14" t="n">
        <x:v>463</x:v>
      </x:c>
      <x:c r="OQ138" s="14" t="n">
        <x:v>20</x:v>
      </x:c>
      <x:c r="OR138" s="14" t="n">
        <x:v>3</x:v>
      </x:c>
      <x:c r="OS138" s="14" t="str">
        <x:v>未收錄</x:v>
      </x:c>
      <x:c r="OT138" s="14" t="str">
        <x:v>27308</x:v>
      </x:c>
      <x:c r="OU138" s="14" t="n">
        <x:v>5</x:v>
      </x:c>
      <x:c r="OV138" s="14" t="n">
        <x:v>2565</x:v>
      </x:c>
      <x:c r="OW138" s="14" t="n">
        <x:v>464</x:v>
      </x:c>
      <x:c r="OX138" s="14" t="n">
        <x:v>20</x:v>
      </x:c>
      <x:c r="OY138" s="14" t="n">
        <x:v>4</x:v>
      </x:c>
      <x:c r="OZ138" s="14" t="str">
        <x:v>未收錄</x:v>
      </x:c>
      <x:c r="PA138" s="14"/>
      <x:c r="PB138" s="14"/>
      <x:c r="PC138" s="14"/>
      <x:c r="PD138" s="14"/>
      <x:c r="PE138" s="14"/>
      <x:c r="PF138" s="14"/>
      <x:c r="PG138" s="14"/>
      <x:c r="PH138" s="14"/>
      <x:c r="PI138" s="14"/>
      <x:c r="PJ138" s="14"/>
      <x:c r="PK138" s="14"/>
      <x:c r="PL138" s="14"/>
      <x:c r="PM138" s="14"/>
      <x:c r="PN138" s="14"/>
      <x:c r="PO138" s="14"/>
      <x:c r="PP138" s="14"/>
      <x:c r="PQ138" s="14"/>
      <x:c r="PR138" s="14"/>
      <x:c r="PS138" s="14"/>
      <x:c r="PT138" s="14"/>
      <x:c r="PU138" s="14"/>
      <x:c r="PV138" s="14"/>
      <x:c r="PW138" s="14"/>
      <x:c r="PX138" s="14"/>
      <x:c r="PY138" s="14"/>
      <x:c r="PZ138" s="14"/>
      <x:c r="QA138" s="14"/>
      <x:c r="QB138" s="14"/>
      <x:c r="QC138" s="14" t="str">
        <x:v>31330</x:v>
      </x:c>
      <x:c r="QD138" s="14" t="n">
        <x:v>10</x:v>
      </x:c>
      <x:c r="QE138" s="14" t="n">
        <x:v>3545</x:v>
      </x:c>
      <x:c r="QF138" s="14" t="n">
        <x:v>461</x:v>
      </x:c>
      <x:c r="QG138" s="14" t="n">
        <x:v>20</x:v>
      </x:c>
      <x:c r="QH138" s="14" t="n">
        <x:v>1</x:v>
      </x:c>
      <x:c r="QI138" s="14" t="str">
        <x:v>未收錄</x:v>
      </x:c>
      <x:c r="QJ138" s="14"/>
      <x:c r="QK138" s="14"/>
      <x:c r="QL138" s="14"/>
      <x:c r="QM138" s="14"/>
      <x:c r="QN138" s="14"/>
      <x:c r="QO138" s="14"/>
      <x:c r="QP138" s="14"/>
      <x:c r="QQ138" s="14"/>
      <x:c r="QR138" s="14"/>
      <x:c r="QS138" s="14"/>
      <x:c r="QT138" s="14"/>
      <x:c r="QU138" s="14"/>
      <x:c r="QV138" s="14"/>
      <x:c r="QW138" s="14"/>
      <x:c r="QX138" s="14"/>
      <x:c r="QY138" s="14"/>
      <x:c r="QZ138" s="14"/>
      <x:c r="RA138" s="14"/>
      <x:c r="RB138" s="14"/>
      <x:c r="RC138" s="14"/>
      <x:c r="RD138" s="14"/>
      <x:c r="RE138" s="14"/>
      <x:c r="RF138" s="14"/>
      <x:c r="RG138" s="14"/>
      <x:c r="RH138" s="14"/>
      <x:c r="RI138" s="14"/>
      <x:c r="RJ138" s="14"/>
      <x:c r="RK138" s="14"/>
      <x:c r="RL138" s="14"/>
      <x:c r="RM138" s="14"/>
      <x:c r="RN138" s="14"/>
      <x:c r="RO138" s="14"/>
      <x:c r="RP138" s="14"/>
      <x:c r="RQ138" s="14"/>
      <x:c r="RR138" s="14"/>
      <x:c r="RS138" s="14"/>
      <x:c r="RT138" s="14"/>
      <x:c r="RU138" s="14"/>
      <x:c r="RV138" s="14"/>
      <x:c r="RW138" s="14"/>
      <x:c r="RX138" s="14"/>
      <x:c r="RY138" s="14"/>
      <x:c r="RZ138" s="14"/>
      <x:c r="SA138" s="14"/>
      <x:c r="SB138" s="14"/>
      <x:c r="SC138" s="14"/>
      <x:c r="SD138" s="14"/>
      <x:c r="SE138" s="14"/>
      <x:c r="SF138" s="14"/>
      <x:c r="SG138" s="14"/>
      <x:c r="SH138" s="14"/>
      <x:c r="SI138" s="14"/>
      <x:c r="SJ138" s="14"/>
      <x:c r="SK138" s="14"/>
      <x:c r="SL138" s="14"/>
      <x:c r="SM138" s="14"/>
      <x:c r="SN138" s="14"/>
      <x:c r="SO138" s="14"/>
      <x:c r="SP138" s="14"/>
      <x:c r="SQ138" s="14"/>
      <x:c r="SR138" s="14"/>
      <x:c r="SS138" s="14"/>
      <x:c r="ST138" s="14"/>
      <x:c r="SU138" s="14"/>
      <x:c r="SV138" s="14"/>
      <x:c r="SW138" s="14"/>
      <x:c r="SX138" s="14"/>
      <x:c r="SY138" s="14"/>
      <x:c r="SZ138" s="14"/>
      <x:c r="TA138" s="14"/>
      <x:c r="TB138" s="14"/>
      <x:c r="TC138" s="14"/>
      <x:c r="TD138" s="14"/>
      <x:c r="TE138" s="14"/>
      <x:c r="TF138" s="14"/>
      <x:c r="TG138" s="14"/>
      <x:c r="TH138" s="14"/>
    </x:row>
    <x:row r="139" ht="15" customHeight="1">
      <x:c r="A139" s="14"/>
      <x:c r="B139" s="14"/>
      <x:c r="C139" s="14"/>
      <x:c r="D139" s="14"/>
      <x:c r="E139" s="14"/>
      <x:c r="F139" s="14"/>
      <x:c r="G139" s="14"/>
      <x:c r="H139" s="14"/>
      <x:c r="I139" s="14"/>
      <x:c r="J139" s="14"/>
      <x:c r="K139" s="14"/>
      <x:c r="L139" s="14"/>
      <x:c r="M139" s="14"/>
      <x:c r="N139" s="14"/>
      <x:c r="O139" s="14"/>
      <x:c r="P139" s="14"/>
      <x:c r="Q139" s="14"/>
      <x:c r="R139" s="14"/>
      <x:c r="S139" s="14"/>
      <x:c r="T139" s="14"/>
      <x:c r="U139" s="14"/>
      <x:c r="V139" s="14"/>
      <x:c r="W139" s="14"/>
      <x:c r="X139" s="14"/>
      <x:c r="Y139" s="14"/>
      <x:c r="Z139" s="14"/>
      <x:c r="AA139" s="14"/>
      <x:c r="AB139" s="14"/>
      <x:c r="AC139" s="14"/>
      <x:c r="AD139" s="14"/>
      <x:c r="AE139" s="14"/>
      <x:c r="AF139" s="14"/>
      <x:c r="AG139" s="14"/>
      <x:c r="AH139" s="14"/>
      <x:c r="AI139" s="14"/>
      <x:c r="AJ139" s="14"/>
      <x:c r="AK139" s="14"/>
      <x:c r="AL139" s="14"/>
      <x:c r="AM139" s="14"/>
      <x:c r="AN139" s="14"/>
      <x:c r="AO139" s="14"/>
      <x:c r="AP139" s="14"/>
      <x:c r="AQ139" s="14"/>
      <x:c r="AR139" s="14"/>
      <x:c r="AS139" s="14"/>
      <x:c r="AT139" s="14"/>
      <x:c r="AU139" s="14"/>
      <x:c r="AV139" s="14"/>
      <x:c r="AW139" s="14"/>
      <x:c r="AX139" s="14"/>
      <x:c r="AY139" s="14"/>
      <x:c r="AZ139" s="14"/>
      <x:c r="BA139" s="14"/>
      <x:c r="BB139" s="14"/>
      <x:c r="BC139" s="14"/>
      <x:c r="BD139" s="17" t="str">
        <x:v>泰源布甲</x:v>
      </x:c>
      <x:c r="BE139" s="17" t="str">
        <x:v>龍池藤甲</x:v>
      </x:c>
      <x:c r="BF139" s="17" t="str">
        <x:v>劍豪旭裝Ⅰ</x:v>
      </x:c>
      <x:c r="BG139" s="17" t="str">
        <x:v>勇將旭甲Ⅰ</x:v>
      </x:c>
      <x:c r="BH139" s="14"/>
      <x:c r="BI139" s="14"/>
      <x:c r="BJ139" s="14"/>
      <x:c r="BK139" s="14"/>
      <x:c r="BL139" s="14"/>
      <x:c r="BM139" s="14"/>
      <x:c r="BN139" s="14"/>
      <x:c r="BO139" s="14"/>
      <x:c r="BP139" s="14"/>
      <x:c r="BQ139" s="14"/>
      <x:c r="BR139" s="14"/>
      <x:c r="BS139" s="14"/>
      <x:c r="BT139" s="14"/>
      <x:c r="BU139" s="14"/>
      <x:c r="BV139" s="14"/>
      <x:c r="BW139" s="14"/>
      <x:c r="BX139" s="14"/>
      <x:c r="BY139" s="14"/>
      <x:c r="BZ139" s="14"/>
      <x:c r="CA139" s="14"/>
      <x:c r="CB139" s="14"/>
      <x:c r="CC139" s="14"/>
      <x:c r="CD139" s="14"/>
      <x:c r="CE139" s="14"/>
      <x:c r="CF139" s="14"/>
      <x:c r="CG139" s="14"/>
      <x:c r="CH139" s="14"/>
      <x:c r="CI139" s="14"/>
      <x:c r="CJ139" s="14"/>
      <x:c r="CK139" s="14"/>
      <x:c r="CL139" s="14"/>
      <x:c r="CM139" s="14"/>
      <x:c r="CN139" s="14"/>
      <x:c r="CO139" s="14"/>
      <x:c r="CP139" s="14"/>
      <x:c r="CQ139" s="14"/>
      <x:c r="CR139" s="14"/>
      <x:c r="CS139" s="14"/>
      <x:c r="CT139" s="14"/>
      <x:c r="CU139" s="14"/>
      <x:c r="CV139" s="14"/>
      <x:c r="CW139" s="14"/>
      <x:c r="CX139" s="14"/>
      <x:c r="CY139" s="14"/>
      <x:c r="CZ139" s="14"/>
      <x:c r="DA139" s="14"/>
      <x:c r="DB139" s="14"/>
      <x:c r="DC139" s="14"/>
      <x:c r="DD139" s="14"/>
      <x:c r="DE139" s="14"/>
      <x:c r="DF139" s="14"/>
      <x:c r="DG139" s="14"/>
      <x:c r="DH139" s="14"/>
      <x:c r="DI139" s="14"/>
      <x:c r="DJ139" s="14"/>
      <x:c r="DK139" s="14"/>
      <x:c r="DL139" s="14"/>
      <x:c r="DM139" s="14"/>
      <x:c r="DN139" s="14"/>
      <x:c r="DO139" s="14"/>
      <x:c r="DP139" s="14"/>
      <x:c r="DQ139" s="14"/>
      <x:c r="DR139" s="14"/>
      <x:c r="DS139" s="14"/>
      <x:c r="DT139" s="14"/>
      <x:c r="DU139" s="14"/>
      <x:c r="DV139" s="14"/>
      <x:c r="DW139" s="14"/>
      <x:c r="DX139" s="14"/>
      <x:c r="DY139" s="14"/>
      <x:c r="DZ139" s="14"/>
      <x:c r="EA139" s="14"/>
      <x:c r="EB139" s="14"/>
      <x:c r="EC139" s="14"/>
      <x:c r="ED139" s="14"/>
      <x:c r="EE139" s="14"/>
      <x:c r="EF139" s="14"/>
      <x:c r="EG139" s="14"/>
      <x:c r="EH139" s="14"/>
      <x:c r="EI139" s="14"/>
      <x:c r="EJ139" s="14"/>
      <x:c r="EK139" s="14"/>
      <x:c r="EL139" s="14"/>
      <x:c r="EM139" s="14"/>
      <x:c r="EN139" s="14"/>
      <x:c r="EO139" s="14"/>
      <x:c r="EP139" s="14"/>
      <x:c r="EQ139" s="14"/>
      <x:c r="ER139" s="14"/>
      <x:c r="ES139" s="14"/>
      <x:c r="ET139" s="14"/>
      <x:c r="EU139" s="14"/>
      <x:c r="EV139" s="14"/>
      <x:c r="EW139" s="14"/>
      <x:c r="EX139" s="14"/>
      <x:c r="EY139" s="14"/>
      <x:c r="EZ139" s="14"/>
      <x:c r="FA139" s="14"/>
      <x:c r="FB139" s="14"/>
      <x:c r="FC139" s="14"/>
      <x:c r="FD139" s="14"/>
      <x:c r="FE139" s="14"/>
      <x:c r="FF139" s="14"/>
      <x:c r="FG139" s="14"/>
      <x:c r="FH139" s="14"/>
      <x:c r="FI139" s="14"/>
      <x:c r="FJ139" s="14"/>
      <x:c r="FK139" s="14"/>
      <x:c r="FL139" s="14"/>
      <x:c r="FM139" s="14"/>
      <x:c r="FN139" s="14"/>
      <x:c r="FO139" s="14"/>
      <x:c r="FP139" s="14"/>
      <x:c r="FQ139" s="14"/>
      <x:c r="FR139" s="14"/>
      <x:c r="FS139" s="14"/>
      <x:c r="FT139" s="14"/>
      <x:c r="FU139" s="14"/>
      <x:c r="FV139" s="14"/>
      <x:c r="FW139" s="14"/>
      <x:c r="FX139" s="14"/>
      <x:c r="FY139" s="14"/>
      <x:c r="FZ139" s="14"/>
      <x:c r="GA139" s="14"/>
      <x:c r="GB139" s="14"/>
      <x:c r="GC139" s="14"/>
      <x:c r="GD139" s="14"/>
      <x:c r="GE139" s="14"/>
      <x:c r="GF139" s="14"/>
      <x:c r="GG139" s="14"/>
      <x:c r="GH139" s="14"/>
      <x:c r="GI139" s="14"/>
      <x:c r="GJ139" s="14"/>
      <x:c r="GK139" s="14"/>
      <x:c r="GL139" s="14"/>
      <x:c r="GM139" s="14"/>
      <x:c r="GN139" s="14"/>
      <x:c r="GO139" s="14"/>
      <x:c r="GP139" s="14"/>
      <x:c r="GQ139" s="14"/>
      <x:c r="GR139" s="14"/>
      <x:c r="GS139" s="14"/>
      <x:c r="GT139" s="14"/>
      <x:c r="GU139" s="14"/>
      <x:c r="GV139" s="14"/>
      <x:c r="GW139" s="14"/>
      <x:c r="GX139" s="14"/>
      <x:c r="GY139" s="14"/>
      <x:c r="GZ139" s="14"/>
      <x:c r="HA139" s="14"/>
      <x:c r="HB139" s="14"/>
      <x:c r="HC139" s="14"/>
      <x:c r="HD139" s="14"/>
      <x:c r="HE139" s="14"/>
      <x:c r="HF139" s="14"/>
      <x:c r="HG139" s="14"/>
      <x:c r="HH139" s="14"/>
      <x:c r="HI139" s="14"/>
      <x:c r="HJ139" s="14"/>
      <x:c r="HK139" s="14"/>
      <x:c r="HL139" s="14"/>
      <x:c r="HM139" s="14"/>
      <x:c r="HN139" s="14"/>
      <x:c r="HO139" s="14"/>
      <x:c r="HP139" s="14"/>
      <x:c r="HQ139" s="14"/>
      <x:c r="HR139" s="14"/>
      <x:c r="HS139" s="14"/>
      <x:c r="HT139" s="14"/>
      <x:c r="HU139" s="14"/>
      <x:c r="HV139" s="14"/>
      <x:c r="HW139" s="14"/>
      <x:c r="HX139" s="14"/>
      <x:c r="HY139" s="14"/>
      <x:c r="HZ139" s="14"/>
      <x:c r="IA139" s="14"/>
      <x:c r="IB139" s="14"/>
      <x:c r="IC139" s="14"/>
      <x:c r="ID139" s="14"/>
      <x:c r="IE139" s="14"/>
      <x:c r="IF139" s="14"/>
      <x:c r="IG139" s="14"/>
      <x:c r="IH139" s="14"/>
      <x:c r="II139" s="14"/>
      <x:c r="IJ139" s="14"/>
      <x:c r="IK139" s="14"/>
      <x:c r="IL139" s="14"/>
      <x:c r="IM139" s="14"/>
      <x:c r="IN139" s="14"/>
      <x:c r="IO139" s="14"/>
      <x:c r="IP139" s="14"/>
      <x:c r="IQ139" s="14"/>
      <x:c r="IR139" s="14"/>
      <x:c r="IS139" s="14"/>
      <x:c r="IT139" s="14"/>
      <x:c r="IU139" s="14"/>
      <x:c r="IV139" s="14"/>
      <x:c r="IW139" s="14"/>
      <x:c r="IX139" s="14"/>
      <x:c r="IY139" s="14"/>
      <x:c r="IZ139" s="14"/>
      <x:c r="JA139" s="14"/>
      <x:c r="JB139" s="14"/>
      <x:c r="JC139" s="14"/>
      <x:c r="JD139" s="14"/>
      <x:c r="JE139" s="14"/>
      <x:c r="JF139" s="14"/>
      <x:c r="JG139" s="14"/>
      <x:c r="JH139" s="14"/>
      <x:c r="JI139" s="14"/>
      <x:c r="JJ139" s="14"/>
      <x:c r="JK139" s="14"/>
      <x:c r="JL139" s="14"/>
      <x:c r="JM139" s="14"/>
      <x:c r="JN139" s="14"/>
      <x:c r="JO139" s="14"/>
      <x:c r="JP139" s="14"/>
      <x:c r="JQ139" s="14"/>
      <x:c r="JR139" s="14"/>
      <x:c r="JS139" s="14"/>
      <x:c r="JT139" s="14"/>
      <x:c r="JU139" s="14"/>
      <x:c r="JV139" s="14"/>
      <x:c r="JW139" s="14"/>
      <x:c r="JX139" s="14"/>
      <x:c r="JY139" s="14"/>
      <x:c r="JZ139" s="14"/>
      <x:c r="KA139" s="14"/>
      <x:c r="KB139" s="14"/>
      <x:c r="KC139" s="14"/>
      <x:c r="KD139" s="14"/>
      <x:c r="KE139" s="14"/>
      <x:c r="KF139" s="14"/>
      <x:c r="KG139" s="14"/>
      <x:c r="KH139" s="14"/>
      <x:c r="KI139" s="14"/>
      <x:c r="KJ139" s="14"/>
      <x:c r="KK139" s="14"/>
      <x:c r="KL139" s="14"/>
      <x:c r="KM139" s="14"/>
      <x:c r="KN139" s="14"/>
      <x:c r="KO139" s="14"/>
      <x:c r="KP139" s="14"/>
      <x:c r="KQ139" s="14"/>
      <x:c r="KR139" s="14"/>
      <x:c r="KS139" s="14"/>
      <x:c r="KT139" s="14"/>
      <x:c r="KU139" s="14"/>
      <x:c r="KV139" s="14"/>
      <x:c r="KW139" s="14"/>
      <x:c r="KX139" s="14"/>
      <x:c r="KY139" s="14"/>
      <x:c r="KZ139" s="14"/>
      <x:c r="LA139" s="14"/>
      <x:c r="LB139" s="14"/>
      <x:c r="LC139" s="14"/>
      <x:c r="LD139" s="14"/>
      <x:c r="LE139" s="14"/>
      <x:c r="LF139" s="14"/>
      <x:c r="LG139" s="14"/>
      <x:c r="LH139" s="14"/>
      <x:c r="LI139" s="14"/>
      <x:c r="LJ139" s="14"/>
      <x:c r="LK139" s="14"/>
      <x:c r="LL139" s="14"/>
      <x:c r="LM139" s="14"/>
      <x:c r="LN139" s="14"/>
      <x:c r="LO139" s="14"/>
      <x:c r="LP139" s="14"/>
      <x:c r="LQ139" s="14"/>
      <x:c r="LR139" s="14"/>
      <x:c r="LS139" s="14"/>
      <x:c r="LT139" s="14"/>
      <x:c r="LU139" s="14"/>
      <x:c r="LV139" s="14"/>
      <x:c r="LW139" s="14"/>
      <x:c r="LX139" s="14"/>
      <x:c r="LY139" s="14"/>
      <x:c r="LZ139" s="14"/>
      <x:c r="MA139" s="14"/>
      <x:c r="MB139" s="14"/>
      <x:c r="MC139" s="14"/>
      <x:c r="MD139" s="14"/>
      <x:c r="ME139" s="14"/>
      <x:c r="MF139" s="14"/>
      <x:c r="MG139" s="14"/>
      <x:c r="MH139" s="14"/>
      <x:c r="MI139" s="14"/>
      <x:c r="MJ139" s="14"/>
      <x:c r="MK139" s="14"/>
      <x:c r="ML139" s="14"/>
      <x:c r="MM139" s="14"/>
      <x:c r="MN139" s="14"/>
      <x:c r="MO139" s="14"/>
      <x:c r="MP139" s="14"/>
      <x:c r="MQ139" s="14"/>
      <x:c r="MR139" s="14"/>
      <x:c r="MS139" s="14"/>
      <x:c r="MT139" s="14"/>
      <x:c r="MU139" s="14"/>
      <x:c r="MV139" s="14"/>
      <x:c r="MW139" s="14"/>
      <x:c r="MX139" s="14"/>
      <x:c r="MY139" s="14"/>
      <x:c r="MZ139" s="14"/>
      <x:c r="NA139" s="14"/>
      <x:c r="NB139" s="14"/>
      <x:c r="NC139" s="14"/>
      <x:c r="ND139" s="14"/>
      <x:c r="NE139" s="14"/>
      <x:c r="NF139" s="14"/>
      <x:c r="NG139" s="14"/>
      <x:c r="NH139" s="14"/>
      <x:c r="NI139" s="14"/>
      <x:c r="NJ139" s="14"/>
      <x:c r="NK139" s="14"/>
      <x:c r="NL139" s="14"/>
      <x:c r="NM139" s="14"/>
      <x:c r="NN139" s="14"/>
      <x:c r="NO139" s="14"/>
      <x:c r="NP139" s="14"/>
      <x:c r="NQ139" s="14"/>
      <x:c r="NR139" s="14"/>
      <x:c r="NS139" s="14"/>
      <x:c r="NT139" s="14"/>
      <x:c r="NU139" s="14"/>
      <x:c r="NV139" s="14"/>
      <x:c r="NW139" s="14"/>
      <x:c r="NX139" s="14"/>
      <x:c r="NY139" s="14" t="str">
        <x:v>30876</x:v>
      </x:c>
      <x:c r="NZ139" s="14" t="n">
        <x:v>2</x:v>
      </x:c>
      <x:c r="OA139" s="14" t="n">
        <x:v>2566</x:v>
      </x:c>
      <x:c r="OB139" s="14" t="n">
        <x:v>465</x:v>
      </x:c>
      <x:c r="OC139" s="14" t="n">
        <x:v>21</x:v>
      </x:c>
      <x:c r="OD139" s="14" t="n">
        <x:v>1</x:v>
      </x:c>
      <x:c r="OE139" s="14" t="str">
        <x:v>未收錄</x:v>
      </x:c>
      <x:c r="OF139" s="14" t="str">
        <x:v>31084</x:v>
      </x:c>
      <x:c r="OG139" s="14" t="n">
        <x:v>2</x:v>
      </x:c>
      <x:c r="OH139" s="14" t="n">
        <x:v>2567</x:v>
      </x:c>
      <x:c r="OI139" s="14" t="n">
        <x:v>466</x:v>
      </x:c>
      <x:c r="OJ139" s="14" t="n">
        <x:v>21</x:v>
      </x:c>
      <x:c r="OK139" s="14" t="n">
        <x:v>2</x:v>
      </x:c>
      <x:c r="OL139" s="14" t="str">
        <x:v>未收錄</x:v>
      </x:c>
      <x:c r="OM139" s="14" t="str">
        <x:v>30276</x:v>
      </x:c>
      <x:c r="ON139" s="14" t="n">
        <x:v>5</x:v>
      </x:c>
      <x:c r="OO139" s="14" t="n">
        <x:v>2568</x:v>
      </x:c>
      <x:c r="OP139" s="14" t="n">
        <x:v>467</x:v>
      </x:c>
      <x:c r="OQ139" s="14" t="n">
        <x:v>21</x:v>
      </x:c>
      <x:c r="OR139" s="14" t="n">
        <x:v>3</x:v>
      </x:c>
      <x:c r="OS139" s="14" t="str">
        <x:v>未收錄</x:v>
      </x:c>
      <x:c r="OT139" s="14" t="str">
        <x:v>30281</x:v>
      </x:c>
      <x:c r="OU139" s="14" t="n">
        <x:v>5</x:v>
      </x:c>
      <x:c r="OV139" s="14" t="n">
        <x:v>2569</x:v>
      </x:c>
      <x:c r="OW139" s="14" t="n">
        <x:v>468</x:v>
      </x:c>
      <x:c r="OX139" s="14" t="n">
        <x:v>21</x:v>
      </x:c>
      <x:c r="OY139" s="14" t="n">
        <x:v>4</x:v>
      </x:c>
      <x:c r="OZ139" s="14" t="str">
        <x:v>未收錄</x:v>
      </x:c>
      <x:c r="PA139" s="14"/>
      <x:c r="PB139" s="14"/>
      <x:c r="PC139" s="14"/>
      <x:c r="PD139" s="14"/>
      <x:c r="PE139" s="14"/>
      <x:c r="PF139" s="14"/>
      <x:c r="PG139" s="14"/>
      <x:c r="PH139" s="14"/>
      <x:c r="PI139" s="14"/>
      <x:c r="PJ139" s="14"/>
      <x:c r="PK139" s="14"/>
      <x:c r="PL139" s="14"/>
      <x:c r="PM139" s="14"/>
      <x:c r="PN139" s="14"/>
      <x:c r="PO139" s="14"/>
      <x:c r="PP139" s="14"/>
      <x:c r="PQ139" s="14"/>
      <x:c r="PR139" s="14"/>
      <x:c r="PS139" s="14"/>
      <x:c r="PT139" s="14"/>
      <x:c r="PU139" s="14"/>
      <x:c r="PV139" s="14"/>
      <x:c r="PW139" s="14"/>
      <x:c r="PX139" s="14"/>
      <x:c r="PY139" s="14"/>
      <x:c r="PZ139" s="14"/>
      <x:c r="QA139" s="14"/>
      <x:c r="QB139" s="14"/>
      <x:c r="QC139" s="14"/>
      <x:c r="QD139" s="14"/>
      <x:c r="QE139" s="14"/>
      <x:c r="QF139" s="14"/>
      <x:c r="QG139" s="14"/>
      <x:c r="QH139" s="14"/>
      <x:c r="QI139" s="14"/>
      <x:c r="QJ139" s="14"/>
      <x:c r="QK139" s="14"/>
      <x:c r="QL139" s="14"/>
      <x:c r="QM139" s="14"/>
      <x:c r="QN139" s="14"/>
      <x:c r="QO139" s="14"/>
      <x:c r="QP139" s="14"/>
      <x:c r="QQ139" s="14"/>
      <x:c r="QR139" s="14"/>
      <x:c r="QS139" s="14"/>
      <x:c r="QT139" s="14"/>
      <x:c r="QU139" s="14"/>
      <x:c r="QV139" s="14"/>
      <x:c r="QW139" s="14"/>
      <x:c r="QX139" s="14"/>
      <x:c r="QY139" s="14"/>
      <x:c r="QZ139" s="14"/>
      <x:c r="RA139" s="14"/>
      <x:c r="RB139" s="14"/>
      <x:c r="RC139" s="14"/>
      <x:c r="RD139" s="14"/>
      <x:c r="RE139" s="14"/>
      <x:c r="RF139" s="14"/>
      <x:c r="RG139" s="14"/>
      <x:c r="RH139" s="14"/>
      <x:c r="RI139" s="14"/>
      <x:c r="RJ139" s="14"/>
      <x:c r="RK139" s="14"/>
      <x:c r="RL139" s="14"/>
      <x:c r="RM139" s="14"/>
      <x:c r="RN139" s="14"/>
      <x:c r="RO139" s="14"/>
      <x:c r="RP139" s="14"/>
      <x:c r="RQ139" s="14"/>
      <x:c r="RR139" s="14"/>
      <x:c r="RS139" s="14"/>
      <x:c r="RT139" s="14"/>
      <x:c r="RU139" s="14"/>
      <x:c r="RV139" s="14"/>
      <x:c r="RW139" s="14"/>
      <x:c r="RX139" s="14"/>
      <x:c r="RY139" s="14"/>
      <x:c r="RZ139" s="14"/>
      <x:c r="SA139" s="14"/>
      <x:c r="SB139" s="14"/>
      <x:c r="SC139" s="14"/>
      <x:c r="SD139" s="14"/>
      <x:c r="SE139" s="14"/>
      <x:c r="SF139" s="14"/>
      <x:c r="SG139" s="14"/>
      <x:c r="SH139" s="14"/>
      <x:c r="SI139" s="14"/>
      <x:c r="SJ139" s="14"/>
      <x:c r="SK139" s="14"/>
      <x:c r="SL139" s="14"/>
      <x:c r="SM139" s="14"/>
      <x:c r="SN139" s="14"/>
      <x:c r="SO139" s="14"/>
      <x:c r="SP139" s="14"/>
      <x:c r="SQ139" s="14"/>
      <x:c r="SR139" s="14"/>
      <x:c r="SS139" s="14"/>
      <x:c r="ST139" s="14"/>
      <x:c r="SU139" s="14"/>
      <x:c r="SV139" s="14"/>
      <x:c r="SW139" s="14"/>
      <x:c r="SX139" s="14"/>
      <x:c r="SY139" s="14"/>
      <x:c r="SZ139" s="14"/>
      <x:c r="TA139" s="14"/>
      <x:c r="TB139" s="14"/>
      <x:c r="TC139" s="14"/>
      <x:c r="TD139" s="14"/>
      <x:c r="TE139" s="14"/>
      <x:c r="TF139" s="14"/>
      <x:c r="TG139" s="14"/>
      <x:c r="TH139" s="14"/>
    </x:row>
    <x:row r="140" ht="15" customHeight="1">
      <x:c r="A140" s="14"/>
      <x:c r="B140" s="14"/>
      <x:c r="C140" s="14"/>
      <x:c r="D140" s="14"/>
      <x:c r="E140" s="14"/>
      <x:c r="F140" s="14"/>
      <x:c r="G140" s="14"/>
      <x:c r="H140" s="14"/>
      <x:c r="I140" s="14"/>
      <x:c r="J140" s="14"/>
      <x:c r="K140" s="14"/>
      <x:c r="L140" s="14"/>
      <x:c r="M140" s="14"/>
      <x:c r="N140" s="14"/>
      <x:c r="O140" s="14"/>
      <x:c r="P140" s="14"/>
      <x:c r="Q140" s="14"/>
      <x:c r="R140" s="14"/>
      <x:c r="S140" s="14"/>
      <x:c r="T140" s="14"/>
      <x:c r="U140" s="14"/>
      <x:c r="V140" s="14"/>
      <x:c r="W140" s="14"/>
      <x:c r="X140" s="14"/>
      <x:c r="Y140" s="14"/>
      <x:c r="Z140" s="14"/>
      <x:c r="AA140" s="14"/>
      <x:c r="AB140" s="14"/>
      <x:c r="AC140" s="14"/>
      <x:c r="AD140" s="14"/>
      <x:c r="AE140" s="14"/>
      <x:c r="AF140" s="14"/>
      <x:c r="AG140" s="14"/>
      <x:c r="AH140" s="14"/>
      <x:c r="AI140" s="14"/>
      <x:c r="AJ140" s="14"/>
      <x:c r="AK140" s="14"/>
      <x:c r="AL140" s="14"/>
      <x:c r="AM140" s="14"/>
      <x:c r="AN140" s="14"/>
      <x:c r="AO140" s="14"/>
      <x:c r="AP140" s="14"/>
      <x:c r="AQ140" s="14"/>
      <x:c r="AR140" s="14"/>
      <x:c r="AS140" s="14"/>
      <x:c r="AT140" s="14"/>
      <x:c r="AU140" s="14"/>
      <x:c r="AV140" s="14"/>
      <x:c r="AW140" s="14"/>
      <x:c r="AX140" s="14"/>
      <x:c r="AY140" s="14"/>
      <x:c r="AZ140" s="14"/>
      <x:c r="BA140" s="14"/>
      <x:c r="BB140" s="14"/>
      <x:c r="BC140" s="14"/>
      <x:c r="BD140" s="18" t="str">
        <x:v>術凌旭服Ⅰ</x:v>
      </x:c>
      <x:c r="BE140" s="18" t="str">
        <x:v>道清旭袍Ⅰ</x:v>
      </x:c>
      <x:c r="BF140" s="18" t="str">
        <x:v>禪臺旭袈Ⅰ</x:v>
      </x:c>
      <x:c r="BG140" s="18" t="str">
        <x:v>狂陽耀鎧Ⅰ</x:v>
      </x:c>
      <x:c r="BH140" s="14"/>
      <x:c r="BI140" s="14"/>
      <x:c r="BJ140" s="14"/>
      <x:c r="BK140" s="14"/>
      <x:c r="BL140" s="14"/>
      <x:c r="BM140" s="14"/>
      <x:c r="BN140" s="14"/>
      <x:c r="BO140" s="14"/>
      <x:c r="BP140" s="14"/>
      <x:c r="BQ140" s="14"/>
      <x:c r="BR140" s="14"/>
      <x:c r="BS140" s="14"/>
      <x:c r="BT140" s="14"/>
      <x:c r="BU140" s="14"/>
      <x:c r="BV140" s="14"/>
      <x:c r="BW140" s="14"/>
      <x:c r="BX140" s="14"/>
      <x:c r="BY140" s="14"/>
      <x:c r="BZ140" s="14"/>
      <x:c r="CA140" s="14"/>
      <x:c r="CB140" s="14"/>
      <x:c r="CC140" s="14"/>
      <x:c r="CD140" s="14"/>
      <x:c r="CE140" s="14"/>
      <x:c r="CF140" s="14"/>
      <x:c r="CG140" s="14"/>
      <x:c r="CH140" s="14"/>
      <x:c r="CI140" s="14"/>
      <x:c r="CJ140" s="14"/>
      <x:c r="CK140" s="14"/>
      <x:c r="CL140" s="14"/>
      <x:c r="CM140" s="14"/>
      <x:c r="CN140" s="14"/>
      <x:c r="CO140" s="14"/>
      <x:c r="CP140" s="14"/>
      <x:c r="CQ140" s="14"/>
      <x:c r="CR140" s="14"/>
      <x:c r="CS140" s="14"/>
      <x:c r="CT140" s="14"/>
      <x:c r="CU140" s="14"/>
      <x:c r="CV140" s="14"/>
      <x:c r="CW140" s="14"/>
      <x:c r="CX140" s="14"/>
      <x:c r="CY140" s="14"/>
      <x:c r="CZ140" s="14"/>
      <x:c r="DA140" s="14"/>
      <x:c r="DB140" s="14"/>
      <x:c r="DC140" s="14"/>
      <x:c r="DD140" s="14"/>
      <x:c r="DE140" s="14"/>
      <x:c r="DF140" s="14"/>
      <x:c r="DG140" s="14"/>
      <x:c r="DH140" s="14"/>
      <x:c r="DI140" s="14"/>
      <x:c r="DJ140" s="14"/>
      <x:c r="DK140" s="14"/>
      <x:c r="DL140" s="14"/>
      <x:c r="DM140" s="14"/>
      <x:c r="DN140" s="14"/>
      <x:c r="DO140" s="14"/>
      <x:c r="DP140" s="14"/>
      <x:c r="DQ140" s="14"/>
      <x:c r="DR140" s="14"/>
      <x:c r="DS140" s="14"/>
      <x:c r="DT140" s="14"/>
      <x:c r="DU140" s="14"/>
      <x:c r="DV140" s="14"/>
      <x:c r="DW140" s="14"/>
      <x:c r="DX140" s="14"/>
      <x:c r="DY140" s="14"/>
      <x:c r="DZ140" s="14"/>
      <x:c r="EA140" s="14"/>
      <x:c r="EB140" s="14"/>
      <x:c r="EC140" s="14"/>
      <x:c r="ED140" s="14"/>
      <x:c r="EE140" s="14"/>
      <x:c r="EF140" s="14"/>
      <x:c r="EG140" s="14"/>
      <x:c r="EH140" s="14"/>
      <x:c r="EI140" s="14"/>
      <x:c r="EJ140" s="14"/>
      <x:c r="EK140" s="14"/>
      <x:c r="EL140" s="14"/>
      <x:c r="EM140" s="14"/>
      <x:c r="EN140" s="14"/>
      <x:c r="EO140" s="14"/>
      <x:c r="EP140" s="14"/>
      <x:c r="EQ140" s="14"/>
      <x:c r="ER140" s="14"/>
      <x:c r="ES140" s="14"/>
      <x:c r="ET140" s="14"/>
      <x:c r="EU140" s="14"/>
      <x:c r="EV140" s="14"/>
      <x:c r="EW140" s="14"/>
      <x:c r="EX140" s="14"/>
      <x:c r="EY140" s="14"/>
      <x:c r="EZ140" s="14"/>
      <x:c r="FA140" s="14"/>
      <x:c r="FB140" s="14"/>
      <x:c r="FC140" s="14"/>
      <x:c r="FD140" s="14"/>
      <x:c r="FE140" s="14"/>
      <x:c r="FF140" s="14"/>
      <x:c r="FG140" s="14"/>
      <x:c r="FH140" s="14"/>
      <x:c r="FI140" s="14"/>
      <x:c r="FJ140" s="14"/>
      <x:c r="FK140" s="14"/>
      <x:c r="FL140" s="14"/>
      <x:c r="FM140" s="14"/>
      <x:c r="FN140" s="14"/>
      <x:c r="FO140" s="14"/>
      <x:c r="FP140" s="14"/>
      <x:c r="FQ140" s="14"/>
      <x:c r="FR140" s="14"/>
      <x:c r="FS140" s="14"/>
      <x:c r="FT140" s="14"/>
      <x:c r="FU140" s="14"/>
      <x:c r="FV140" s="14"/>
      <x:c r="FW140" s="14"/>
      <x:c r="FX140" s="14"/>
      <x:c r="FY140" s="14"/>
      <x:c r="FZ140" s="14"/>
      <x:c r="GA140" s="14"/>
      <x:c r="GB140" s="14"/>
      <x:c r="GC140" s="14"/>
      <x:c r="GD140" s="14"/>
      <x:c r="GE140" s="14"/>
      <x:c r="GF140" s="14"/>
      <x:c r="GG140" s="14"/>
      <x:c r="GH140" s="14"/>
      <x:c r="GI140" s="14"/>
      <x:c r="GJ140" s="14"/>
      <x:c r="GK140" s="14"/>
      <x:c r="GL140" s="14"/>
      <x:c r="GM140" s="14"/>
      <x:c r="GN140" s="14"/>
      <x:c r="GO140" s="14"/>
      <x:c r="GP140" s="14"/>
      <x:c r="GQ140" s="14"/>
      <x:c r="GR140" s="14"/>
      <x:c r="GS140" s="14"/>
      <x:c r="GT140" s="14"/>
      <x:c r="GU140" s="14"/>
      <x:c r="GV140" s="14"/>
      <x:c r="GW140" s="14"/>
      <x:c r="GX140" s="14"/>
      <x:c r="GY140" s="14"/>
      <x:c r="GZ140" s="14"/>
      <x:c r="HA140" s="14"/>
      <x:c r="HB140" s="14"/>
      <x:c r="HC140" s="14"/>
      <x:c r="HD140" s="14"/>
      <x:c r="HE140" s="14"/>
      <x:c r="HF140" s="14"/>
      <x:c r="HG140" s="14"/>
      <x:c r="HH140" s="14"/>
      <x:c r="HI140" s="14"/>
      <x:c r="HJ140" s="14"/>
      <x:c r="HK140" s="14"/>
      <x:c r="HL140" s="14"/>
      <x:c r="HM140" s="14"/>
      <x:c r="HN140" s="14"/>
      <x:c r="HO140" s="14"/>
      <x:c r="HP140" s="14"/>
      <x:c r="HQ140" s="14"/>
      <x:c r="HR140" s="14"/>
      <x:c r="HS140" s="14"/>
      <x:c r="HT140" s="14"/>
      <x:c r="HU140" s="14"/>
      <x:c r="HV140" s="14"/>
      <x:c r="HW140" s="14"/>
      <x:c r="HX140" s="14"/>
      <x:c r="HY140" s="14"/>
      <x:c r="HZ140" s="14"/>
      <x:c r="IA140" s="14"/>
      <x:c r="IB140" s="14"/>
      <x:c r="IC140" s="14"/>
      <x:c r="ID140" s="14"/>
      <x:c r="IE140" s="14"/>
      <x:c r="IF140" s="14"/>
      <x:c r="IG140" s="14"/>
      <x:c r="IH140" s="14"/>
      <x:c r="II140" s="14"/>
      <x:c r="IJ140" s="14"/>
      <x:c r="IK140" s="14"/>
      <x:c r="IL140" s="14"/>
      <x:c r="IM140" s="14"/>
      <x:c r="IN140" s="14"/>
      <x:c r="IO140" s="14"/>
      <x:c r="IP140" s="14"/>
      <x:c r="IQ140" s="14"/>
      <x:c r="IR140" s="14"/>
      <x:c r="IS140" s="14"/>
      <x:c r="IT140" s="14"/>
      <x:c r="IU140" s="14"/>
      <x:c r="IV140" s="14"/>
      <x:c r="IW140" s="14"/>
      <x:c r="IX140" s="14"/>
      <x:c r="IY140" s="14"/>
      <x:c r="IZ140" s="14"/>
      <x:c r="JA140" s="14"/>
      <x:c r="JB140" s="14"/>
      <x:c r="JC140" s="14"/>
      <x:c r="JD140" s="14"/>
      <x:c r="JE140" s="14"/>
      <x:c r="JF140" s="14"/>
      <x:c r="JG140" s="14"/>
      <x:c r="JH140" s="14"/>
      <x:c r="JI140" s="14"/>
      <x:c r="JJ140" s="14"/>
      <x:c r="JK140" s="14"/>
      <x:c r="JL140" s="14"/>
      <x:c r="JM140" s="14"/>
      <x:c r="JN140" s="14"/>
      <x:c r="JO140" s="14"/>
      <x:c r="JP140" s="14"/>
      <x:c r="JQ140" s="14"/>
      <x:c r="JR140" s="14"/>
      <x:c r="JS140" s="14"/>
      <x:c r="JT140" s="14"/>
      <x:c r="JU140" s="14"/>
      <x:c r="JV140" s="14"/>
      <x:c r="JW140" s="14"/>
      <x:c r="JX140" s="14"/>
      <x:c r="JY140" s="14"/>
      <x:c r="JZ140" s="14"/>
      <x:c r="KA140" s="14"/>
      <x:c r="KB140" s="14"/>
      <x:c r="KC140" s="14"/>
      <x:c r="KD140" s="14"/>
      <x:c r="KE140" s="14"/>
      <x:c r="KF140" s="14"/>
      <x:c r="KG140" s="14"/>
      <x:c r="KH140" s="14"/>
      <x:c r="KI140" s="14"/>
      <x:c r="KJ140" s="14"/>
      <x:c r="KK140" s="14"/>
      <x:c r="KL140" s="14"/>
      <x:c r="KM140" s="14"/>
      <x:c r="KN140" s="14"/>
      <x:c r="KO140" s="14"/>
      <x:c r="KP140" s="14"/>
      <x:c r="KQ140" s="14"/>
      <x:c r="KR140" s="14"/>
      <x:c r="KS140" s="14"/>
      <x:c r="KT140" s="14"/>
      <x:c r="KU140" s="14"/>
      <x:c r="KV140" s="14"/>
      <x:c r="KW140" s="14"/>
      <x:c r="KX140" s="14"/>
      <x:c r="KY140" s="14"/>
      <x:c r="KZ140" s="14"/>
      <x:c r="LA140" s="14"/>
      <x:c r="LB140" s="14"/>
      <x:c r="LC140" s="14"/>
      <x:c r="LD140" s="14"/>
      <x:c r="LE140" s="14"/>
      <x:c r="LF140" s="14"/>
      <x:c r="LG140" s="14"/>
      <x:c r="LH140" s="14"/>
      <x:c r="LI140" s="14"/>
      <x:c r="LJ140" s="14"/>
      <x:c r="LK140" s="14"/>
      <x:c r="LL140" s="14"/>
      <x:c r="LM140" s="14"/>
      <x:c r="LN140" s="14"/>
      <x:c r="LO140" s="14"/>
      <x:c r="LP140" s="14"/>
      <x:c r="LQ140" s="14"/>
      <x:c r="LR140" s="14"/>
      <x:c r="LS140" s="14"/>
      <x:c r="LT140" s="14"/>
      <x:c r="LU140" s="14"/>
      <x:c r="LV140" s="14"/>
      <x:c r="LW140" s="14"/>
      <x:c r="LX140" s="14"/>
      <x:c r="LY140" s="14"/>
      <x:c r="LZ140" s="14"/>
      <x:c r="MA140" s="14"/>
      <x:c r="MB140" s="14"/>
      <x:c r="MC140" s="14"/>
      <x:c r="MD140" s="14"/>
      <x:c r="ME140" s="14"/>
      <x:c r="MF140" s="14"/>
      <x:c r="MG140" s="14"/>
      <x:c r="MH140" s="14"/>
      <x:c r="MI140" s="14"/>
      <x:c r="MJ140" s="14"/>
      <x:c r="MK140" s="14"/>
      <x:c r="ML140" s="14"/>
      <x:c r="MM140" s="14"/>
      <x:c r="MN140" s="14"/>
      <x:c r="MO140" s="14"/>
      <x:c r="MP140" s="14"/>
      <x:c r="MQ140" s="14"/>
      <x:c r="MR140" s="14"/>
      <x:c r="MS140" s="14"/>
      <x:c r="MT140" s="14"/>
      <x:c r="MU140" s="14"/>
      <x:c r="MV140" s="14"/>
      <x:c r="MW140" s="14"/>
      <x:c r="MX140" s="14"/>
      <x:c r="MY140" s="14"/>
      <x:c r="MZ140" s="14"/>
      <x:c r="NA140" s="14"/>
      <x:c r="NB140" s="14"/>
      <x:c r="NC140" s="14"/>
      <x:c r="ND140" s="14"/>
      <x:c r="NE140" s="14"/>
      <x:c r="NF140" s="14"/>
      <x:c r="NG140" s="14"/>
      <x:c r="NH140" s="14"/>
      <x:c r="NI140" s="14"/>
      <x:c r="NJ140" s="14"/>
      <x:c r="NK140" s="14"/>
      <x:c r="NL140" s="14"/>
      <x:c r="NM140" s="14"/>
      <x:c r="NN140" s="14"/>
      <x:c r="NO140" s="14"/>
      <x:c r="NP140" s="14"/>
      <x:c r="NQ140" s="14"/>
      <x:c r="NR140" s="14"/>
      <x:c r="NS140" s="14"/>
      <x:c r="NT140" s="14"/>
      <x:c r="NU140" s="14"/>
      <x:c r="NV140" s="14"/>
      <x:c r="NW140" s="14"/>
      <x:c r="NX140" s="14"/>
      <x:c r="NY140" s="14" t="str">
        <x:v>30286</x:v>
      </x:c>
      <x:c r="NZ140" s="14" t="n">
        <x:v>5</x:v>
      </x:c>
      <x:c r="OA140" s="14" t="n">
        <x:v>2570</x:v>
      </x:c>
      <x:c r="OB140" s="14" t="n">
        <x:v>469</x:v>
      </x:c>
      <x:c r="OC140" s="14" t="n">
        <x:v>22</x:v>
      </x:c>
      <x:c r="OD140" s="14" t="n">
        <x:v>1</x:v>
      </x:c>
      <x:c r="OE140" s="14" t="str">
        <x:v>未收錄</x:v>
      </x:c>
      <x:c r="OF140" s="14" t="str">
        <x:v>30291</x:v>
      </x:c>
      <x:c r="OG140" s="14" t="n">
        <x:v>5</x:v>
      </x:c>
      <x:c r="OH140" s="14" t="n">
        <x:v>2571</x:v>
      </x:c>
      <x:c r="OI140" s="14" t="n">
        <x:v>470</x:v>
      </x:c>
      <x:c r="OJ140" s="14" t="n">
        <x:v>22</x:v>
      </x:c>
      <x:c r="OK140" s="14" t="n">
        <x:v>2</x:v>
      </x:c>
      <x:c r="OL140" s="14" t="str">
        <x:v>未收錄</x:v>
      </x:c>
      <x:c r="OM140" s="14" t="str">
        <x:v>30296</x:v>
      </x:c>
      <x:c r="ON140" s="14" t="n">
        <x:v>5</x:v>
      </x:c>
      <x:c r="OO140" s="14" t="n">
        <x:v>2572</x:v>
      </x:c>
      <x:c r="OP140" s="14" t="n">
        <x:v>471</x:v>
      </x:c>
      <x:c r="OQ140" s="14" t="n">
        <x:v>22</x:v>
      </x:c>
      <x:c r="OR140" s="14" t="n">
        <x:v>3</x:v>
      </x:c>
      <x:c r="OS140" s="14" t="str">
        <x:v>未收錄</x:v>
      </x:c>
      <x:c r="OT140" s="14" t="str">
        <x:v>30376</x:v>
      </x:c>
      <x:c r="OU140" s="14" t="n">
        <x:v>10</x:v>
      </x:c>
      <x:c r="OV140" s="14" t="n">
        <x:v>2573</x:v>
      </x:c>
      <x:c r="OW140" s="14" t="n">
        <x:v>472</x:v>
      </x:c>
      <x:c r="OX140" s="14" t="n">
        <x:v>22</x:v>
      </x:c>
      <x:c r="OY140" s="14" t="n">
        <x:v>4</x:v>
      </x:c>
      <x:c r="OZ140" s="14" t="str">
        <x:v>未收錄</x:v>
      </x:c>
      <x:c r="PA140" s="14"/>
      <x:c r="PB140" s="14"/>
      <x:c r="PC140" s="14"/>
      <x:c r="PD140" s="14"/>
      <x:c r="PE140" s="14"/>
      <x:c r="PF140" s="14"/>
      <x:c r="PG140" s="14"/>
      <x:c r="PH140" s="14"/>
      <x:c r="PI140" s="14"/>
      <x:c r="PJ140" s="14"/>
      <x:c r="PK140" s="14"/>
      <x:c r="PL140" s="14"/>
      <x:c r="PM140" s="14"/>
      <x:c r="PN140" s="14"/>
      <x:c r="PO140" s="14"/>
      <x:c r="PP140" s="14"/>
      <x:c r="PQ140" s="14"/>
      <x:c r="PR140" s="14"/>
      <x:c r="PS140" s="14"/>
      <x:c r="PT140" s="14"/>
      <x:c r="PU140" s="14"/>
      <x:c r="PV140" s="14"/>
      <x:c r="PW140" s="14"/>
      <x:c r="PX140" s="14"/>
      <x:c r="PY140" s="14"/>
      <x:c r="PZ140" s="14"/>
      <x:c r="QA140" s="14"/>
      <x:c r="QB140" s="14"/>
      <x:c r="QC140" s="14"/>
      <x:c r="QD140" s="14"/>
      <x:c r="QE140" s="14"/>
      <x:c r="QF140" s="14"/>
      <x:c r="QG140" s="14"/>
      <x:c r="QH140" s="14"/>
      <x:c r="QI140" s="14"/>
      <x:c r="QJ140" s="14"/>
      <x:c r="QK140" s="14"/>
      <x:c r="QL140" s="14"/>
      <x:c r="QM140" s="14"/>
      <x:c r="QN140" s="14"/>
      <x:c r="QO140" s="14"/>
      <x:c r="QP140" s="14"/>
      <x:c r="QQ140" s="14"/>
      <x:c r="QR140" s="14"/>
      <x:c r="QS140" s="14"/>
      <x:c r="QT140" s="14"/>
      <x:c r="QU140" s="14"/>
      <x:c r="QV140" s="14"/>
      <x:c r="QW140" s="14"/>
      <x:c r="QX140" s="14"/>
      <x:c r="QY140" s="14"/>
      <x:c r="QZ140" s="14"/>
      <x:c r="RA140" s="14"/>
      <x:c r="RB140" s="14"/>
      <x:c r="RC140" s="14"/>
      <x:c r="RD140" s="14"/>
      <x:c r="RE140" s="14"/>
      <x:c r="RF140" s="14"/>
      <x:c r="RG140" s="14"/>
      <x:c r="RH140" s="14"/>
      <x:c r="RI140" s="14"/>
      <x:c r="RJ140" s="14"/>
      <x:c r="RK140" s="14"/>
      <x:c r="RL140" s="14"/>
      <x:c r="RM140" s="14"/>
      <x:c r="RN140" s="14"/>
      <x:c r="RO140" s="14"/>
      <x:c r="RP140" s="14"/>
      <x:c r="RQ140" s="14"/>
      <x:c r="RR140" s="14"/>
      <x:c r="RS140" s="14"/>
      <x:c r="RT140" s="14"/>
      <x:c r="RU140" s="14"/>
      <x:c r="RV140" s="14"/>
      <x:c r="RW140" s="14"/>
      <x:c r="RX140" s="14"/>
      <x:c r="RY140" s="14"/>
      <x:c r="RZ140" s="14"/>
      <x:c r="SA140" s="14"/>
      <x:c r="SB140" s="14"/>
      <x:c r="SC140" s="14"/>
      <x:c r="SD140" s="14"/>
      <x:c r="SE140" s="14"/>
      <x:c r="SF140" s="14"/>
      <x:c r="SG140" s="14"/>
      <x:c r="SH140" s="14"/>
      <x:c r="SI140" s="14"/>
      <x:c r="SJ140" s="14"/>
      <x:c r="SK140" s="14"/>
      <x:c r="SL140" s="14"/>
      <x:c r="SM140" s="14"/>
      <x:c r="SN140" s="14"/>
      <x:c r="SO140" s="14"/>
      <x:c r="SP140" s="14"/>
      <x:c r="SQ140" s="14"/>
      <x:c r="SR140" s="14"/>
      <x:c r="SS140" s="14"/>
      <x:c r="ST140" s="14"/>
      <x:c r="SU140" s="14"/>
      <x:c r="SV140" s="14"/>
      <x:c r="SW140" s="14"/>
      <x:c r="SX140" s="14"/>
      <x:c r="SY140" s="14"/>
      <x:c r="SZ140" s="14"/>
      <x:c r="TA140" s="14"/>
      <x:c r="TB140" s="14"/>
      <x:c r="TC140" s="14"/>
      <x:c r="TD140" s="14"/>
      <x:c r="TE140" s="14"/>
      <x:c r="TF140" s="14"/>
      <x:c r="TG140" s="14"/>
      <x:c r="TH140" s="14"/>
    </x:row>
    <x:row r="141" ht="15" customHeight="1">
      <x:c r="A141" s="14"/>
      <x:c r="B141" s="14"/>
      <x:c r="C141" s="14"/>
      <x:c r="D141" s="14"/>
      <x:c r="E141" s="14"/>
      <x:c r="F141" s="14"/>
      <x:c r="G141" s="14"/>
      <x:c r="H141" s="14"/>
      <x:c r="I141" s="14"/>
      <x:c r="J141" s="14"/>
      <x:c r="K141" s="14"/>
      <x:c r="L141" s="14"/>
      <x:c r="M141" s="14"/>
      <x:c r="N141" s="14"/>
      <x:c r="O141" s="14"/>
      <x:c r="P141" s="14"/>
      <x:c r="Q141" s="14"/>
      <x:c r="R141" s="14"/>
      <x:c r="S141" s="14"/>
      <x:c r="T141" s="14"/>
      <x:c r="U141" s="14"/>
      <x:c r="V141" s="14"/>
      <x:c r="W141" s="14"/>
      <x:c r="X141" s="14"/>
      <x:c r="Y141" s="14"/>
      <x:c r="Z141" s="14"/>
      <x:c r="AA141" s="14"/>
      <x:c r="AB141" s="14"/>
      <x:c r="AC141" s="14"/>
      <x:c r="AD141" s="14"/>
      <x:c r="AE141" s="14"/>
      <x:c r="AF141" s="14"/>
      <x:c r="AG141" s="14"/>
      <x:c r="AH141" s="14"/>
      <x:c r="AI141" s="14"/>
      <x:c r="AJ141" s="14"/>
      <x:c r="AK141" s="14"/>
      <x:c r="AL141" s="14"/>
      <x:c r="AM141" s="14"/>
      <x:c r="AN141" s="14"/>
      <x:c r="AO141" s="14"/>
      <x:c r="AP141" s="14"/>
      <x:c r="AQ141" s="14"/>
      <x:c r="AR141" s="14"/>
      <x:c r="AS141" s="14"/>
      <x:c r="AT141" s="14"/>
      <x:c r="AU141" s="14"/>
      <x:c r="AV141" s="14"/>
      <x:c r="AW141" s="14"/>
      <x:c r="AX141" s="14"/>
      <x:c r="AY141" s="14"/>
      <x:c r="AZ141" s="14"/>
      <x:c r="BA141" s="14"/>
      <x:c r="BB141" s="14"/>
      <x:c r="BC141" s="14"/>
      <x:c r="BD141" s="17" t="str">
        <x:v>靜月簾衣Ⅰ</x:v>
      </x:c>
      <x:c r="BE141" s="17" t="str">
        <x:v>宿星燦甲Ⅰ</x:v>
      </x:c>
      <x:c r="BF141" s="17" t="str">
        <x:v>劍豪旭裝Ⅱ</x:v>
      </x:c>
      <x:c r="BG141" s="17" t="str">
        <x:v>勇將旭甲Ⅱ</x:v>
      </x:c>
      <x:c r="BH141" s="14"/>
      <x:c r="BI141" s="14"/>
      <x:c r="BJ141" s="14"/>
      <x:c r="BK141" s="14"/>
      <x:c r="BL141" s="14"/>
      <x:c r="BM141" s="14"/>
      <x:c r="BN141" s="14"/>
      <x:c r="BO141" s="14"/>
      <x:c r="BP141" s="14"/>
      <x:c r="BQ141" s="14"/>
      <x:c r="BR141" s="14"/>
      <x:c r="BS141" s="14"/>
      <x:c r="BT141" s="14"/>
      <x:c r="BU141" s="14"/>
      <x:c r="BV141" s="14"/>
      <x:c r="BW141" s="14"/>
      <x:c r="BX141" s="14"/>
      <x:c r="BY141" s="14"/>
      <x:c r="BZ141" s="14"/>
      <x:c r="CA141" s="14"/>
      <x:c r="CB141" s="14"/>
      <x:c r="CC141" s="14"/>
      <x:c r="CD141" s="14"/>
      <x:c r="CE141" s="14"/>
      <x:c r="CF141" s="14"/>
      <x:c r="CG141" s="14"/>
      <x:c r="CH141" s="14"/>
      <x:c r="CI141" s="14"/>
      <x:c r="CJ141" s="14"/>
      <x:c r="CK141" s="14"/>
      <x:c r="CL141" s="14"/>
      <x:c r="CM141" s="14"/>
      <x:c r="CN141" s="14"/>
      <x:c r="CO141" s="14"/>
      <x:c r="CP141" s="14"/>
      <x:c r="CQ141" s="14"/>
      <x:c r="CR141" s="14"/>
      <x:c r="CS141" s="14"/>
      <x:c r="CT141" s="14"/>
      <x:c r="CU141" s="14"/>
      <x:c r="CV141" s="14"/>
      <x:c r="CW141" s="14"/>
      <x:c r="CX141" s="14"/>
      <x:c r="CY141" s="14"/>
      <x:c r="CZ141" s="14"/>
      <x:c r="DA141" s="14"/>
      <x:c r="DB141" s="14"/>
      <x:c r="DC141" s="14"/>
      <x:c r="DD141" s="14"/>
      <x:c r="DE141" s="14"/>
      <x:c r="DF141" s="14"/>
      <x:c r="DG141" s="14"/>
      <x:c r="DH141" s="14"/>
      <x:c r="DI141" s="14"/>
      <x:c r="DJ141" s="14"/>
      <x:c r="DK141" s="14"/>
      <x:c r="DL141" s="14"/>
      <x:c r="DM141" s="14"/>
      <x:c r="DN141" s="14"/>
      <x:c r="DO141" s="14"/>
      <x:c r="DP141" s="14"/>
      <x:c r="DQ141" s="14"/>
      <x:c r="DR141" s="14"/>
      <x:c r="DS141" s="14"/>
      <x:c r="DT141" s="14"/>
      <x:c r="DU141" s="14"/>
      <x:c r="DV141" s="14"/>
      <x:c r="DW141" s="14"/>
      <x:c r="DX141" s="14"/>
      <x:c r="DY141" s="14"/>
      <x:c r="DZ141" s="14"/>
      <x:c r="EA141" s="14"/>
      <x:c r="EB141" s="14"/>
      <x:c r="EC141" s="14"/>
      <x:c r="ED141" s="14"/>
      <x:c r="EE141" s="14"/>
      <x:c r="EF141" s="14"/>
      <x:c r="EG141" s="14"/>
      <x:c r="EH141" s="14"/>
      <x:c r="EI141" s="14"/>
      <x:c r="EJ141" s="14"/>
      <x:c r="EK141" s="14"/>
      <x:c r="EL141" s="14"/>
      <x:c r="EM141" s="14"/>
      <x:c r="EN141" s="14"/>
      <x:c r="EO141" s="14"/>
      <x:c r="EP141" s="14"/>
      <x:c r="EQ141" s="14"/>
      <x:c r="ER141" s="14"/>
      <x:c r="ES141" s="14"/>
      <x:c r="ET141" s="14"/>
      <x:c r="EU141" s="14"/>
      <x:c r="EV141" s="14"/>
      <x:c r="EW141" s="14"/>
      <x:c r="EX141" s="14"/>
      <x:c r="EY141" s="14"/>
      <x:c r="EZ141" s="14"/>
      <x:c r="FA141" s="14"/>
      <x:c r="FB141" s="14"/>
      <x:c r="FC141" s="14"/>
      <x:c r="FD141" s="14"/>
      <x:c r="FE141" s="14"/>
      <x:c r="FF141" s="14"/>
      <x:c r="FG141" s="14"/>
      <x:c r="FH141" s="14"/>
      <x:c r="FI141" s="14"/>
      <x:c r="FJ141" s="14"/>
      <x:c r="FK141" s="14"/>
      <x:c r="FL141" s="14"/>
      <x:c r="FM141" s="14"/>
      <x:c r="FN141" s="14"/>
      <x:c r="FO141" s="14"/>
      <x:c r="FP141" s="14"/>
      <x:c r="FQ141" s="14"/>
      <x:c r="FR141" s="14"/>
      <x:c r="FS141" s="14"/>
      <x:c r="FT141" s="14"/>
      <x:c r="FU141" s="14"/>
      <x:c r="FV141" s="14"/>
      <x:c r="FW141" s="14"/>
      <x:c r="FX141" s="14"/>
      <x:c r="FY141" s="14"/>
      <x:c r="FZ141" s="14"/>
      <x:c r="GA141" s="14"/>
      <x:c r="GB141" s="14"/>
      <x:c r="GC141" s="14"/>
      <x:c r="GD141" s="14"/>
      <x:c r="GE141" s="14"/>
      <x:c r="GF141" s="14"/>
      <x:c r="GG141" s="14"/>
      <x:c r="GH141" s="14"/>
      <x:c r="GI141" s="14"/>
      <x:c r="GJ141" s="14"/>
      <x:c r="GK141" s="14"/>
      <x:c r="GL141" s="14"/>
      <x:c r="GM141" s="14"/>
      <x:c r="GN141" s="14"/>
      <x:c r="GO141" s="14"/>
      <x:c r="GP141" s="14"/>
      <x:c r="GQ141" s="14"/>
      <x:c r="GR141" s="14"/>
      <x:c r="GS141" s="14"/>
      <x:c r="GT141" s="14"/>
      <x:c r="GU141" s="14"/>
      <x:c r="GV141" s="14"/>
      <x:c r="GW141" s="14"/>
      <x:c r="GX141" s="14"/>
      <x:c r="GY141" s="14"/>
      <x:c r="GZ141" s="14"/>
      <x:c r="HA141" s="14"/>
      <x:c r="HB141" s="14"/>
      <x:c r="HC141" s="14"/>
      <x:c r="HD141" s="14"/>
      <x:c r="HE141" s="14"/>
      <x:c r="HF141" s="14"/>
      <x:c r="HG141" s="14"/>
      <x:c r="HH141" s="14"/>
      <x:c r="HI141" s="14"/>
      <x:c r="HJ141" s="14"/>
      <x:c r="HK141" s="14"/>
      <x:c r="HL141" s="14"/>
      <x:c r="HM141" s="14"/>
      <x:c r="HN141" s="14"/>
      <x:c r="HO141" s="14"/>
      <x:c r="HP141" s="14"/>
      <x:c r="HQ141" s="14"/>
      <x:c r="HR141" s="14"/>
      <x:c r="HS141" s="14"/>
      <x:c r="HT141" s="14"/>
      <x:c r="HU141" s="14"/>
      <x:c r="HV141" s="14"/>
      <x:c r="HW141" s="14"/>
      <x:c r="HX141" s="14"/>
      <x:c r="HY141" s="14"/>
      <x:c r="HZ141" s="14"/>
      <x:c r="IA141" s="14"/>
      <x:c r="IB141" s="14"/>
      <x:c r="IC141" s="14"/>
      <x:c r="ID141" s="14"/>
      <x:c r="IE141" s="14"/>
      <x:c r="IF141" s="14"/>
      <x:c r="IG141" s="14"/>
      <x:c r="IH141" s="14"/>
      <x:c r="II141" s="14"/>
      <x:c r="IJ141" s="14"/>
      <x:c r="IK141" s="14"/>
      <x:c r="IL141" s="14"/>
      <x:c r="IM141" s="14"/>
      <x:c r="IN141" s="14"/>
      <x:c r="IO141" s="14"/>
      <x:c r="IP141" s="14"/>
      <x:c r="IQ141" s="14"/>
      <x:c r="IR141" s="14"/>
      <x:c r="IS141" s="14"/>
      <x:c r="IT141" s="14"/>
      <x:c r="IU141" s="14"/>
      <x:c r="IV141" s="14"/>
      <x:c r="IW141" s="14"/>
      <x:c r="IX141" s="14"/>
      <x:c r="IY141" s="14"/>
      <x:c r="IZ141" s="14"/>
      <x:c r="JA141" s="14"/>
      <x:c r="JB141" s="14"/>
      <x:c r="JC141" s="14"/>
      <x:c r="JD141" s="14"/>
      <x:c r="JE141" s="14"/>
      <x:c r="JF141" s="14"/>
      <x:c r="JG141" s="14"/>
      <x:c r="JH141" s="14"/>
      <x:c r="JI141" s="14"/>
      <x:c r="JJ141" s="14"/>
      <x:c r="JK141" s="14"/>
      <x:c r="JL141" s="14"/>
      <x:c r="JM141" s="14"/>
      <x:c r="JN141" s="14"/>
      <x:c r="JO141" s="14"/>
      <x:c r="JP141" s="14"/>
      <x:c r="JQ141" s="14"/>
      <x:c r="JR141" s="14"/>
      <x:c r="JS141" s="14"/>
      <x:c r="JT141" s="14"/>
      <x:c r="JU141" s="14"/>
      <x:c r="JV141" s="14"/>
      <x:c r="JW141" s="14"/>
      <x:c r="JX141" s="14"/>
      <x:c r="JY141" s="14"/>
      <x:c r="JZ141" s="14"/>
      <x:c r="KA141" s="14"/>
      <x:c r="KB141" s="14"/>
      <x:c r="KC141" s="14"/>
      <x:c r="KD141" s="14"/>
      <x:c r="KE141" s="14"/>
      <x:c r="KF141" s="14"/>
      <x:c r="KG141" s="14"/>
      <x:c r="KH141" s="14"/>
      <x:c r="KI141" s="14"/>
      <x:c r="KJ141" s="14"/>
      <x:c r="KK141" s="14"/>
      <x:c r="KL141" s="14"/>
      <x:c r="KM141" s="14"/>
      <x:c r="KN141" s="14"/>
      <x:c r="KO141" s="14"/>
      <x:c r="KP141" s="14"/>
      <x:c r="KQ141" s="14"/>
      <x:c r="KR141" s="14"/>
      <x:c r="KS141" s="14"/>
      <x:c r="KT141" s="14"/>
      <x:c r="KU141" s="14"/>
      <x:c r="KV141" s="14"/>
      <x:c r="KW141" s="14"/>
      <x:c r="KX141" s="14"/>
      <x:c r="KY141" s="14"/>
      <x:c r="KZ141" s="14"/>
      <x:c r="LA141" s="14"/>
      <x:c r="LB141" s="14"/>
      <x:c r="LC141" s="14"/>
      <x:c r="LD141" s="14"/>
      <x:c r="LE141" s="14"/>
      <x:c r="LF141" s="14"/>
      <x:c r="LG141" s="14"/>
      <x:c r="LH141" s="14"/>
      <x:c r="LI141" s="14"/>
      <x:c r="LJ141" s="14"/>
      <x:c r="LK141" s="14"/>
      <x:c r="LL141" s="14"/>
      <x:c r="LM141" s="14"/>
      <x:c r="LN141" s="14"/>
      <x:c r="LO141" s="14"/>
      <x:c r="LP141" s="14"/>
      <x:c r="LQ141" s="14"/>
      <x:c r="LR141" s="14"/>
      <x:c r="LS141" s="14"/>
      <x:c r="LT141" s="14"/>
      <x:c r="LU141" s="14"/>
      <x:c r="LV141" s="14"/>
      <x:c r="LW141" s="14"/>
      <x:c r="LX141" s="14"/>
      <x:c r="LY141" s="14"/>
      <x:c r="LZ141" s="14"/>
      <x:c r="MA141" s="14"/>
      <x:c r="MB141" s="14"/>
      <x:c r="MC141" s="14"/>
      <x:c r="MD141" s="14"/>
      <x:c r="ME141" s="14"/>
      <x:c r="MF141" s="14"/>
      <x:c r="MG141" s="14"/>
      <x:c r="MH141" s="14"/>
      <x:c r="MI141" s="14"/>
      <x:c r="MJ141" s="14"/>
      <x:c r="MK141" s="14"/>
      <x:c r="ML141" s="14"/>
      <x:c r="MM141" s="14"/>
      <x:c r="MN141" s="14"/>
      <x:c r="MO141" s="14"/>
      <x:c r="MP141" s="14"/>
      <x:c r="MQ141" s="14"/>
      <x:c r="MR141" s="14"/>
      <x:c r="MS141" s="14"/>
      <x:c r="MT141" s="14"/>
      <x:c r="MU141" s="14"/>
      <x:c r="MV141" s="14"/>
      <x:c r="MW141" s="14"/>
      <x:c r="MX141" s="14"/>
      <x:c r="MY141" s="14"/>
      <x:c r="MZ141" s="14"/>
      <x:c r="NA141" s="14"/>
      <x:c r="NB141" s="14"/>
      <x:c r="NC141" s="14"/>
      <x:c r="ND141" s="14"/>
      <x:c r="NE141" s="14"/>
      <x:c r="NF141" s="14"/>
      <x:c r="NG141" s="14"/>
      <x:c r="NH141" s="14"/>
      <x:c r="NI141" s="14"/>
      <x:c r="NJ141" s="14"/>
      <x:c r="NK141" s="14"/>
      <x:c r="NL141" s="14"/>
      <x:c r="NM141" s="14"/>
      <x:c r="NN141" s="14"/>
      <x:c r="NO141" s="14"/>
      <x:c r="NP141" s="14"/>
      <x:c r="NQ141" s="14"/>
      <x:c r="NR141" s="14"/>
      <x:c r="NS141" s="14"/>
      <x:c r="NT141" s="14"/>
      <x:c r="NU141" s="14"/>
      <x:c r="NV141" s="14"/>
      <x:c r="NW141" s="14"/>
      <x:c r="NX141" s="14"/>
      <x:c r="NY141" s="14" t="str">
        <x:v>30396</x:v>
      </x:c>
      <x:c r="NZ141" s="14" t="n">
        <x:v>10</x:v>
      </x:c>
      <x:c r="OA141" s="14" t="n">
        <x:v>2574</x:v>
      </x:c>
      <x:c r="OB141" s="14" t="n">
        <x:v>473</x:v>
      </x:c>
      <x:c r="OC141" s="14" t="n">
        <x:v>23</x:v>
      </x:c>
      <x:c r="OD141" s="14" t="n">
        <x:v>1</x:v>
      </x:c>
      <x:c r="OE141" s="14" t="str">
        <x:v>未收錄</x:v>
      </x:c>
      <x:c r="OF141" s="14" t="str">
        <x:v>30416</x:v>
      </x:c>
      <x:c r="OG141" s="14" t="n">
        <x:v>10</x:v>
      </x:c>
      <x:c r="OH141" s="14" t="n">
        <x:v>2575</x:v>
      </x:c>
      <x:c r="OI141" s="14" t="n">
        <x:v>474</x:v>
      </x:c>
      <x:c r="OJ141" s="14" t="n">
        <x:v>23</x:v>
      </x:c>
      <x:c r="OK141" s="14" t="n">
        <x:v>2</x:v>
      </x:c>
      <x:c r="OL141" s="14" t="str">
        <x:v>未收錄</x:v>
      </x:c>
      <x:c r="OM141" s="14" t="str">
        <x:v>30277</x:v>
      </x:c>
      <x:c r="ON141" s="14" t="n">
        <x:v>5</x:v>
      </x:c>
      <x:c r="OO141" s="14" t="n">
        <x:v>2576</x:v>
      </x:c>
      <x:c r="OP141" s="14" t="n">
        <x:v>475</x:v>
      </x:c>
      <x:c r="OQ141" s="14" t="n">
        <x:v>23</x:v>
      </x:c>
      <x:c r="OR141" s="14" t="n">
        <x:v>3</x:v>
      </x:c>
      <x:c r="OS141" s="14" t="str">
        <x:v>未收錄</x:v>
      </x:c>
      <x:c r="OT141" s="14" t="str">
        <x:v>30282</x:v>
      </x:c>
      <x:c r="OU141" s="14" t="n">
        <x:v>5</x:v>
      </x:c>
      <x:c r="OV141" s="14" t="n">
        <x:v>2577</x:v>
      </x:c>
      <x:c r="OW141" s="14" t="n">
        <x:v>476</x:v>
      </x:c>
      <x:c r="OX141" s="14" t="n">
        <x:v>23</x:v>
      </x:c>
      <x:c r="OY141" s="14" t="n">
        <x:v>4</x:v>
      </x:c>
      <x:c r="OZ141" s="14" t="str">
        <x:v>未收錄</x:v>
      </x:c>
      <x:c r="PA141" s="14"/>
      <x:c r="PB141" s="14"/>
      <x:c r="PC141" s="14"/>
      <x:c r="PD141" s="14"/>
      <x:c r="PE141" s="14"/>
      <x:c r="PF141" s="14"/>
      <x:c r="PG141" s="14"/>
      <x:c r="PH141" s="14"/>
      <x:c r="PI141" s="14"/>
      <x:c r="PJ141" s="14"/>
      <x:c r="PK141" s="14"/>
      <x:c r="PL141" s="14"/>
      <x:c r="PM141" s="14"/>
      <x:c r="PN141" s="14"/>
      <x:c r="PO141" s="14"/>
      <x:c r="PP141" s="14"/>
      <x:c r="PQ141" s="14"/>
      <x:c r="PR141" s="14"/>
      <x:c r="PS141" s="14"/>
      <x:c r="PT141" s="14"/>
      <x:c r="PU141" s="14"/>
      <x:c r="PV141" s="14"/>
      <x:c r="PW141" s="14"/>
      <x:c r="PX141" s="14"/>
      <x:c r="PY141" s="14"/>
      <x:c r="PZ141" s="14"/>
      <x:c r="QA141" s="14"/>
      <x:c r="QB141" s="14"/>
      <x:c r="QC141" s="14"/>
      <x:c r="QD141" s="14"/>
      <x:c r="QE141" s="14"/>
      <x:c r="QF141" s="14"/>
      <x:c r="QG141" s="14"/>
      <x:c r="QH141" s="14"/>
      <x:c r="QI141" s="14"/>
      <x:c r="QJ141" s="14"/>
      <x:c r="QK141" s="14"/>
      <x:c r="QL141" s="14"/>
      <x:c r="QM141" s="14"/>
      <x:c r="QN141" s="14"/>
      <x:c r="QO141" s="14"/>
      <x:c r="QP141" s="14"/>
      <x:c r="QQ141" s="14"/>
      <x:c r="QR141" s="14"/>
      <x:c r="QS141" s="14"/>
      <x:c r="QT141" s="14"/>
      <x:c r="QU141" s="14"/>
      <x:c r="QV141" s="14"/>
      <x:c r="QW141" s="14"/>
      <x:c r="QX141" s="14"/>
      <x:c r="QY141" s="14"/>
      <x:c r="QZ141" s="14"/>
      <x:c r="RA141" s="14"/>
      <x:c r="RB141" s="14"/>
      <x:c r="RC141" s="14"/>
      <x:c r="RD141" s="14"/>
      <x:c r="RE141" s="14"/>
      <x:c r="RF141" s="14"/>
      <x:c r="RG141" s="14"/>
      <x:c r="RH141" s="14"/>
      <x:c r="RI141" s="14"/>
      <x:c r="RJ141" s="14"/>
      <x:c r="RK141" s="14"/>
      <x:c r="RL141" s="14"/>
      <x:c r="RM141" s="14"/>
      <x:c r="RN141" s="14"/>
      <x:c r="RO141" s="14"/>
      <x:c r="RP141" s="14"/>
      <x:c r="RQ141" s="14"/>
      <x:c r="RR141" s="14"/>
      <x:c r="RS141" s="14"/>
      <x:c r="RT141" s="14"/>
      <x:c r="RU141" s="14"/>
      <x:c r="RV141" s="14"/>
      <x:c r="RW141" s="14"/>
      <x:c r="RX141" s="14"/>
      <x:c r="RY141" s="14"/>
      <x:c r="RZ141" s="14"/>
      <x:c r="SA141" s="14"/>
      <x:c r="SB141" s="14"/>
      <x:c r="SC141" s="14"/>
      <x:c r="SD141" s="14"/>
      <x:c r="SE141" s="14"/>
      <x:c r="SF141" s="14"/>
      <x:c r="SG141" s="14"/>
      <x:c r="SH141" s="14"/>
      <x:c r="SI141" s="14"/>
      <x:c r="SJ141" s="14"/>
      <x:c r="SK141" s="14"/>
      <x:c r="SL141" s="14"/>
      <x:c r="SM141" s="14"/>
      <x:c r="SN141" s="14"/>
      <x:c r="SO141" s="14"/>
      <x:c r="SP141" s="14"/>
      <x:c r="SQ141" s="14"/>
      <x:c r="SR141" s="14"/>
      <x:c r="SS141" s="14"/>
      <x:c r="ST141" s="14"/>
      <x:c r="SU141" s="14"/>
      <x:c r="SV141" s="14"/>
      <x:c r="SW141" s="14"/>
      <x:c r="SX141" s="14"/>
      <x:c r="SY141" s="14"/>
      <x:c r="SZ141" s="14"/>
      <x:c r="TA141" s="14"/>
      <x:c r="TB141" s="14"/>
      <x:c r="TC141" s="14"/>
      <x:c r="TD141" s="14"/>
      <x:c r="TE141" s="14"/>
      <x:c r="TF141" s="14"/>
      <x:c r="TG141" s="14"/>
      <x:c r="TH141" s="14"/>
    </x:row>
    <x:row r="142" ht="15" customHeight="1">
      <x:c r="A142" s="14"/>
      <x:c r="B142" s="14"/>
      <x:c r="C142" s="14"/>
      <x:c r="D142" s="14"/>
      <x:c r="E142" s="14"/>
      <x:c r="F142" s="14"/>
      <x:c r="G142" s="14"/>
      <x:c r="H142" s="14"/>
      <x:c r="I142" s="14"/>
      <x:c r="J142" s="14"/>
      <x:c r="K142" s="14"/>
      <x:c r="L142" s="14"/>
      <x:c r="M142" s="14"/>
      <x:c r="N142" s="14"/>
      <x:c r="O142" s="14"/>
      <x:c r="P142" s="14"/>
      <x:c r="Q142" s="14"/>
      <x:c r="R142" s="14"/>
      <x:c r="S142" s="14"/>
      <x:c r="T142" s="14"/>
      <x:c r="U142" s="14"/>
      <x:c r="V142" s="14"/>
      <x:c r="W142" s="14"/>
      <x:c r="X142" s="14"/>
      <x:c r="Y142" s="14"/>
      <x:c r="Z142" s="14"/>
      <x:c r="AA142" s="14"/>
      <x:c r="AB142" s="14"/>
      <x:c r="AC142" s="14"/>
      <x:c r="AD142" s="14"/>
      <x:c r="AE142" s="14"/>
      <x:c r="AF142" s="14"/>
      <x:c r="AG142" s="14"/>
      <x:c r="AH142" s="14"/>
      <x:c r="AI142" s="14"/>
      <x:c r="AJ142" s="14"/>
      <x:c r="AK142" s="14"/>
      <x:c r="AL142" s="14"/>
      <x:c r="AM142" s="14"/>
      <x:c r="AN142" s="14"/>
      <x:c r="AO142" s="14"/>
      <x:c r="AP142" s="14"/>
      <x:c r="AQ142" s="14"/>
      <x:c r="AR142" s="14"/>
      <x:c r="AS142" s="14"/>
      <x:c r="AT142" s="14"/>
      <x:c r="AU142" s="14"/>
      <x:c r="AV142" s="14"/>
      <x:c r="AW142" s="14"/>
      <x:c r="AX142" s="14"/>
      <x:c r="AY142" s="14"/>
      <x:c r="AZ142" s="14"/>
      <x:c r="BA142" s="14"/>
      <x:c r="BB142" s="14"/>
      <x:c r="BC142" s="14"/>
      <x:c r="BD142" s="18" t="str">
        <x:v>術凌旭服Ⅱ</x:v>
      </x:c>
      <x:c r="BE142" s="18" t="str">
        <x:v>道清旭袍Ⅱ</x:v>
      </x:c>
      <x:c r="BF142" s="18" t="str">
        <x:v>禪臺旭袈Ⅱ</x:v>
      </x:c>
      <x:c r="BG142" s="18" t="str">
        <x:v>狂陽耀鎧Ⅱ</x:v>
      </x:c>
      <x:c r="BH142" s="14"/>
      <x:c r="BI142" s="14"/>
      <x:c r="BJ142" s="14"/>
      <x:c r="BK142" s="14"/>
      <x:c r="BL142" s="14"/>
      <x:c r="BM142" s="14"/>
      <x:c r="BN142" s="14"/>
      <x:c r="BO142" s="14"/>
      <x:c r="BP142" s="14"/>
      <x:c r="BQ142" s="14"/>
      <x:c r="BR142" s="14"/>
      <x:c r="BS142" s="14"/>
      <x:c r="BT142" s="14"/>
      <x:c r="BU142" s="14"/>
      <x:c r="BV142" s="14"/>
      <x:c r="BW142" s="14"/>
      <x:c r="BX142" s="14"/>
      <x:c r="BY142" s="14"/>
      <x:c r="BZ142" s="14"/>
      <x:c r="CA142" s="14"/>
      <x:c r="CB142" s="14"/>
      <x:c r="CC142" s="14"/>
      <x:c r="CD142" s="14"/>
      <x:c r="CE142" s="14"/>
      <x:c r="CF142" s="14"/>
      <x:c r="CG142" s="14"/>
      <x:c r="CH142" s="14"/>
      <x:c r="CI142" s="14"/>
      <x:c r="CJ142" s="14"/>
      <x:c r="CK142" s="14"/>
      <x:c r="CL142" s="14"/>
      <x:c r="CM142" s="14"/>
      <x:c r="CN142" s="14"/>
      <x:c r="CO142" s="14"/>
      <x:c r="CP142" s="14"/>
      <x:c r="CQ142" s="14"/>
      <x:c r="CR142" s="14"/>
      <x:c r="CS142" s="14"/>
      <x:c r="CT142" s="14"/>
      <x:c r="CU142" s="14"/>
      <x:c r="CV142" s="14"/>
      <x:c r="CW142" s="14"/>
      <x:c r="CX142" s="14"/>
      <x:c r="CY142" s="14"/>
      <x:c r="CZ142" s="14"/>
      <x:c r="DA142" s="14"/>
      <x:c r="DB142" s="14"/>
      <x:c r="DC142" s="14"/>
      <x:c r="DD142" s="14"/>
      <x:c r="DE142" s="14"/>
      <x:c r="DF142" s="14"/>
      <x:c r="DG142" s="14"/>
      <x:c r="DH142" s="14"/>
      <x:c r="DI142" s="14"/>
      <x:c r="DJ142" s="14"/>
      <x:c r="DK142" s="14"/>
      <x:c r="DL142" s="14"/>
      <x:c r="DM142" s="14"/>
      <x:c r="DN142" s="14"/>
      <x:c r="DO142" s="14"/>
      <x:c r="DP142" s="14"/>
      <x:c r="DQ142" s="14"/>
      <x:c r="DR142" s="14"/>
      <x:c r="DS142" s="14"/>
      <x:c r="DT142" s="14"/>
      <x:c r="DU142" s="14"/>
      <x:c r="DV142" s="14"/>
      <x:c r="DW142" s="14"/>
      <x:c r="DX142" s="14"/>
      <x:c r="DY142" s="14"/>
      <x:c r="DZ142" s="14"/>
      <x:c r="EA142" s="14"/>
      <x:c r="EB142" s="14"/>
      <x:c r="EC142" s="14"/>
      <x:c r="ED142" s="14"/>
      <x:c r="EE142" s="14"/>
      <x:c r="EF142" s="14"/>
      <x:c r="EG142" s="14"/>
      <x:c r="EH142" s="14"/>
      <x:c r="EI142" s="14"/>
      <x:c r="EJ142" s="14"/>
      <x:c r="EK142" s="14"/>
      <x:c r="EL142" s="14"/>
      <x:c r="EM142" s="14"/>
      <x:c r="EN142" s="14"/>
      <x:c r="EO142" s="14"/>
      <x:c r="EP142" s="14"/>
      <x:c r="EQ142" s="14"/>
      <x:c r="ER142" s="14"/>
      <x:c r="ES142" s="14"/>
      <x:c r="ET142" s="14"/>
      <x:c r="EU142" s="14"/>
      <x:c r="EV142" s="14"/>
      <x:c r="EW142" s="14"/>
      <x:c r="EX142" s="14"/>
      <x:c r="EY142" s="14"/>
      <x:c r="EZ142" s="14"/>
      <x:c r="FA142" s="14"/>
      <x:c r="FB142" s="14"/>
      <x:c r="FC142" s="14"/>
      <x:c r="FD142" s="14"/>
      <x:c r="FE142" s="14"/>
      <x:c r="FF142" s="14"/>
      <x:c r="FG142" s="14"/>
      <x:c r="FH142" s="14"/>
      <x:c r="FI142" s="14"/>
      <x:c r="FJ142" s="14"/>
      <x:c r="FK142" s="14"/>
      <x:c r="FL142" s="14"/>
      <x:c r="FM142" s="14"/>
      <x:c r="FN142" s="14"/>
      <x:c r="FO142" s="14"/>
      <x:c r="FP142" s="14"/>
      <x:c r="FQ142" s="14"/>
      <x:c r="FR142" s="14"/>
      <x:c r="FS142" s="14"/>
      <x:c r="FT142" s="14"/>
      <x:c r="FU142" s="14"/>
      <x:c r="FV142" s="14"/>
      <x:c r="FW142" s="14"/>
      <x:c r="FX142" s="14"/>
      <x:c r="FY142" s="14"/>
      <x:c r="FZ142" s="14"/>
      <x:c r="GA142" s="14"/>
      <x:c r="GB142" s="14"/>
      <x:c r="GC142" s="14"/>
      <x:c r="GD142" s="14"/>
      <x:c r="GE142" s="14"/>
      <x:c r="GF142" s="14"/>
      <x:c r="GG142" s="14"/>
      <x:c r="GH142" s="14"/>
      <x:c r="GI142" s="14"/>
      <x:c r="GJ142" s="14"/>
      <x:c r="GK142" s="14"/>
      <x:c r="GL142" s="14"/>
      <x:c r="GM142" s="14"/>
      <x:c r="GN142" s="14"/>
      <x:c r="GO142" s="14"/>
      <x:c r="GP142" s="14"/>
      <x:c r="GQ142" s="14"/>
      <x:c r="GR142" s="14"/>
      <x:c r="GS142" s="14"/>
      <x:c r="GT142" s="14"/>
      <x:c r="GU142" s="14"/>
      <x:c r="GV142" s="14"/>
      <x:c r="GW142" s="14"/>
      <x:c r="GX142" s="14"/>
      <x:c r="GY142" s="14"/>
      <x:c r="GZ142" s="14"/>
      <x:c r="HA142" s="14"/>
      <x:c r="HB142" s="14"/>
      <x:c r="HC142" s="14"/>
      <x:c r="HD142" s="14"/>
      <x:c r="HE142" s="14"/>
      <x:c r="HF142" s="14"/>
      <x:c r="HG142" s="14"/>
      <x:c r="HH142" s="14"/>
      <x:c r="HI142" s="14"/>
      <x:c r="HJ142" s="14"/>
      <x:c r="HK142" s="14"/>
      <x:c r="HL142" s="14"/>
      <x:c r="HM142" s="14"/>
      <x:c r="HN142" s="14"/>
      <x:c r="HO142" s="14"/>
      <x:c r="HP142" s="14"/>
      <x:c r="HQ142" s="14"/>
      <x:c r="HR142" s="14"/>
      <x:c r="HS142" s="14"/>
      <x:c r="HT142" s="14"/>
      <x:c r="HU142" s="14"/>
      <x:c r="HV142" s="14"/>
      <x:c r="HW142" s="14"/>
      <x:c r="HX142" s="14"/>
      <x:c r="HY142" s="14"/>
      <x:c r="HZ142" s="14"/>
      <x:c r="IA142" s="14"/>
      <x:c r="IB142" s="14"/>
      <x:c r="IC142" s="14"/>
      <x:c r="ID142" s="14"/>
      <x:c r="IE142" s="14"/>
      <x:c r="IF142" s="14"/>
      <x:c r="IG142" s="14"/>
      <x:c r="IH142" s="14"/>
      <x:c r="II142" s="14"/>
      <x:c r="IJ142" s="14"/>
      <x:c r="IK142" s="14"/>
      <x:c r="IL142" s="14"/>
      <x:c r="IM142" s="14"/>
      <x:c r="IN142" s="14"/>
      <x:c r="IO142" s="14"/>
      <x:c r="IP142" s="14"/>
      <x:c r="IQ142" s="14"/>
      <x:c r="IR142" s="14"/>
      <x:c r="IS142" s="14"/>
      <x:c r="IT142" s="14"/>
      <x:c r="IU142" s="14"/>
      <x:c r="IV142" s="14"/>
      <x:c r="IW142" s="14"/>
      <x:c r="IX142" s="14"/>
      <x:c r="IY142" s="14"/>
      <x:c r="IZ142" s="14"/>
      <x:c r="JA142" s="14"/>
      <x:c r="JB142" s="14"/>
      <x:c r="JC142" s="14"/>
      <x:c r="JD142" s="14"/>
      <x:c r="JE142" s="14"/>
      <x:c r="JF142" s="14"/>
      <x:c r="JG142" s="14"/>
      <x:c r="JH142" s="14"/>
      <x:c r="JI142" s="14"/>
      <x:c r="JJ142" s="14"/>
      <x:c r="JK142" s="14"/>
      <x:c r="JL142" s="14"/>
      <x:c r="JM142" s="14"/>
      <x:c r="JN142" s="14"/>
      <x:c r="JO142" s="14"/>
      <x:c r="JP142" s="14"/>
      <x:c r="JQ142" s="14"/>
      <x:c r="JR142" s="14"/>
      <x:c r="JS142" s="14"/>
      <x:c r="JT142" s="14"/>
      <x:c r="JU142" s="14"/>
      <x:c r="JV142" s="14"/>
      <x:c r="JW142" s="14"/>
      <x:c r="JX142" s="14"/>
      <x:c r="JY142" s="14"/>
      <x:c r="JZ142" s="14"/>
      <x:c r="KA142" s="14"/>
      <x:c r="KB142" s="14"/>
      <x:c r="KC142" s="14"/>
      <x:c r="KD142" s="14"/>
      <x:c r="KE142" s="14"/>
      <x:c r="KF142" s="14"/>
      <x:c r="KG142" s="14"/>
      <x:c r="KH142" s="14"/>
      <x:c r="KI142" s="14"/>
      <x:c r="KJ142" s="14"/>
      <x:c r="KK142" s="14"/>
      <x:c r="KL142" s="14"/>
      <x:c r="KM142" s="14"/>
      <x:c r="KN142" s="14"/>
      <x:c r="KO142" s="14"/>
      <x:c r="KP142" s="14"/>
      <x:c r="KQ142" s="14"/>
      <x:c r="KR142" s="14"/>
      <x:c r="KS142" s="14"/>
      <x:c r="KT142" s="14"/>
      <x:c r="KU142" s="14"/>
      <x:c r="KV142" s="14"/>
      <x:c r="KW142" s="14"/>
      <x:c r="KX142" s="14"/>
      <x:c r="KY142" s="14"/>
      <x:c r="KZ142" s="14"/>
      <x:c r="LA142" s="14"/>
      <x:c r="LB142" s="14"/>
      <x:c r="LC142" s="14"/>
      <x:c r="LD142" s="14"/>
      <x:c r="LE142" s="14"/>
      <x:c r="LF142" s="14"/>
      <x:c r="LG142" s="14"/>
      <x:c r="LH142" s="14"/>
      <x:c r="LI142" s="14"/>
      <x:c r="LJ142" s="14"/>
      <x:c r="LK142" s="14"/>
      <x:c r="LL142" s="14"/>
      <x:c r="LM142" s="14"/>
      <x:c r="LN142" s="14"/>
      <x:c r="LO142" s="14"/>
      <x:c r="LP142" s="14"/>
      <x:c r="LQ142" s="14"/>
      <x:c r="LR142" s="14"/>
      <x:c r="LS142" s="14"/>
      <x:c r="LT142" s="14"/>
      <x:c r="LU142" s="14"/>
      <x:c r="LV142" s="14"/>
      <x:c r="LW142" s="14"/>
      <x:c r="LX142" s="14"/>
      <x:c r="LY142" s="14"/>
      <x:c r="LZ142" s="14"/>
      <x:c r="MA142" s="14"/>
      <x:c r="MB142" s="14"/>
      <x:c r="MC142" s="14"/>
      <x:c r="MD142" s="14"/>
      <x:c r="ME142" s="14"/>
      <x:c r="MF142" s="14"/>
      <x:c r="MG142" s="14"/>
      <x:c r="MH142" s="14"/>
      <x:c r="MI142" s="14"/>
      <x:c r="MJ142" s="14"/>
      <x:c r="MK142" s="14"/>
      <x:c r="ML142" s="14"/>
      <x:c r="MM142" s="14"/>
      <x:c r="MN142" s="14"/>
      <x:c r="MO142" s="14"/>
      <x:c r="MP142" s="14"/>
      <x:c r="MQ142" s="14"/>
      <x:c r="MR142" s="14"/>
      <x:c r="MS142" s="14"/>
      <x:c r="MT142" s="14"/>
      <x:c r="MU142" s="14"/>
      <x:c r="MV142" s="14"/>
      <x:c r="MW142" s="14"/>
      <x:c r="MX142" s="14"/>
      <x:c r="MY142" s="14"/>
      <x:c r="MZ142" s="14"/>
      <x:c r="NA142" s="14"/>
      <x:c r="NB142" s="14"/>
      <x:c r="NC142" s="14"/>
      <x:c r="ND142" s="14"/>
      <x:c r="NE142" s="14"/>
      <x:c r="NF142" s="14"/>
      <x:c r="NG142" s="14"/>
      <x:c r="NH142" s="14"/>
      <x:c r="NI142" s="14"/>
      <x:c r="NJ142" s="14"/>
      <x:c r="NK142" s="14"/>
      <x:c r="NL142" s="14"/>
      <x:c r="NM142" s="14"/>
      <x:c r="NN142" s="14"/>
      <x:c r="NO142" s="14"/>
      <x:c r="NP142" s="14"/>
      <x:c r="NQ142" s="14"/>
      <x:c r="NR142" s="14"/>
      <x:c r="NS142" s="14"/>
      <x:c r="NT142" s="14"/>
      <x:c r="NU142" s="14"/>
      <x:c r="NV142" s="14"/>
      <x:c r="NW142" s="14"/>
      <x:c r="NX142" s="14"/>
      <x:c r="NY142" s="14" t="str">
        <x:v>30287</x:v>
      </x:c>
      <x:c r="NZ142" s="14" t="n">
        <x:v>5</x:v>
      </x:c>
      <x:c r="OA142" s="14" t="n">
        <x:v>2578</x:v>
      </x:c>
      <x:c r="OB142" s="14" t="n">
        <x:v>477</x:v>
      </x:c>
      <x:c r="OC142" s="14" t="n">
        <x:v>24</x:v>
      </x:c>
      <x:c r="OD142" s="14" t="n">
        <x:v>1</x:v>
      </x:c>
      <x:c r="OE142" s="14" t="str">
        <x:v>未收錄</x:v>
      </x:c>
      <x:c r="OF142" s="14" t="str">
        <x:v>30292</x:v>
      </x:c>
      <x:c r="OG142" s="14" t="n">
        <x:v>5</x:v>
      </x:c>
      <x:c r="OH142" s="14" t="n">
        <x:v>2579</x:v>
      </x:c>
      <x:c r="OI142" s="14" t="n">
        <x:v>478</x:v>
      </x:c>
      <x:c r="OJ142" s="14" t="n">
        <x:v>24</x:v>
      </x:c>
      <x:c r="OK142" s="14" t="n">
        <x:v>2</x:v>
      </x:c>
      <x:c r="OL142" s="14" t="str">
        <x:v>未收錄</x:v>
      </x:c>
      <x:c r="OM142" s="14" t="str">
        <x:v>30297</x:v>
      </x:c>
      <x:c r="ON142" s="14" t="n">
        <x:v>5</x:v>
      </x:c>
      <x:c r="OO142" s="14" t="n">
        <x:v>2580</x:v>
      </x:c>
      <x:c r="OP142" s="14" t="n">
        <x:v>479</x:v>
      </x:c>
      <x:c r="OQ142" s="14" t="n">
        <x:v>24</x:v>
      </x:c>
      <x:c r="OR142" s="14" t="n">
        <x:v>3</x:v>
      </x:c>
      <x:c r="OS142" s="14" t="str">
        <x:v>未收錄</x:v>
      </x:c>
      <x:c r="OT142" s="14" t="str">
        <x:v>30377</x:v>
      </x:c>
      <x:c r="OU142" s="14" t="n">
        <x:v>10</x:v>
      </x:c>
      <x:c r="OV142" s="14" t="n">
        <x:v>2581</x:v>
      </x:c>
      <x:c r="OW142" s="14" t="n">
        <x:v>480</x:v>
      </x:c>
      <x:c r="OX142" s="14" t="n">
        <x:v>24</x:v>
      </x:c>
      <x:c r="OY142" s="14" t="n">
        <x:v>4</x:v>
      </x:c>
      <x:c r="OZ142" s="14" t="str">
        <x:v>未收錄</x:v>
      </x:c>
      <x:c r="PA142" s="14"/>
      <x:c r="PB142" s="14"/>
      <x:c r="PC142" s="14"/>
      <x:c r="PD142" s="14"/>
      <x:c r="PE142" s="14"/>
      <x:c r="PF142" s="14"/>
      <x:c r="PG142" s="14"/>
      <x:c r="PH142" s="14"/>
      <x:c r="PI142" s="14"/>
      <x:c r="PJ142" s="14"/>
      <x:c r="PK142" s="14"/>
      <x:c r="PL142" s="14"/>
      <x:c r="PM142" s="14"/>
      <x:c r="PN142" s="14"/>
      <x:c r="PO142" s="14"/>
      <x:c r="PP142" s="14"/>
      <x:c r="PQ142" s="14"/>
      <x:c r="PR142" s="14"/>
      <x:c r="PS142" s="14"/>
      <x:c r="PT142" s="14"/>
      <x:c r="PU142" s="14"/>
      <x:c r="PV142" s="14"/>
      <x:c r="PW142" s="14"/>
      <x:c r="PX142" s="14"/>
      <x:c r="PY142" s="14"/>
      <x:c r="PZ142" s="14"/>
      <x:c r="QA142" s="14"/>
      <x:c r="QB142" s="14"/>
      <x:c r="QC142" s="14"/>
      <x:c r="QD142" s="14"/>
      <x:c r="QE142" s="14"/>
      <x:c r="QF142" s="14"/>
      <x:c r="QG142" s="14"/>
      <x:c r="QH142" s="14"/>
      <x:c r="QI142" s="14"/>
      <x:c r="QJ142" s="14"/>
      <x:c r="QK142" s="14"/>
      <x:c r="QL142" s="14"/>
      <x:c r="QM142" s="14"/>
      <x:c r="QN142" s="14"/>
      <x:c r="QO142" s="14"/>
      <x:c r="QP142" s="14"/>
      <x:c r="QQ142" s="14"/>
      <x:c r="QR142" s="14"/>
      <x:c r="QS142" s="14"/>
      <x:c r="QT142" s="14"/>
      <x:c r="QU142" s="14"/>
      <x:c r="QV142" s="14"/>
      <x:c r="QW142" s="14"/>
      <x:c r="QX142" s="14"/>
      <x:c r="QY142" s="14"/>
      <x:c r="QZ142" s="14"/>
      <x:c r="RA142" s="14"/>
      <x:c r="RB142" s="14"/>
      <x:c r="RC142" s="14"/>
      <x:c r="RD142" s="14"/>
      <x:c r="RE142" s="14"/>
      <x:c r="RF142" s="14"/>
      <x:c r="RG142" s="14"/>
      <x:c r="RH142" s="14"/>
      <x:c r="RI142" s="14"/>
      <x:c r="RJ142" s="14"/>
      <x:c r="RK142" s="14"/>
      <x:c r="RL142" s="14"/>
      <x:c r="RM142" s="14"/>
      <x:c r="RN142" s="14"/>
      <x:c r="RO142" s="14"/>
      <x:c r="RP142" s="14"/>
      <x:c r="RQ142" s="14"/>
      <x:c r="RR142" s="14"/>
      <x:c r="RS142" s="14"/>
      <x:c r="RT142" s="14"/>
      <x:c r="RU142" s="14"/>
      <x:c r="RV142" s="14"/>
      <x:c r="RW142" s="14"/>
      <x:c r="RX142" s="14"/>
      <x:c r="RY142" s="14"/>
      <x:c r="RZ142" s="14"/>
      <x:c r="SA142" s="14"/>
      <x:c r="SB142" s="14"/>
      <x:c r="SC142" s="14"/>
      <x:c r="SD142" s="14"/>
      <x:c r="SE142" s="14"/>
      <x:c r="SF142" s="14"/>
      <x:c r="SG142" s="14"/>
      <x:c r="SH142" s="14"/>
      <x:c r="SI142" s="14"/>
      <x:c r="SJ142" s="14"/>
      <x:c r="SK142" s="14"/>
      <x:c r="SL142" s="14"/>
      <x:c r="SM142" s="14"/>
      <x:c r="SN142" s="14"/>
      <x:c r="SO142" s="14"/>
      <x:c r="SP142" s="14"/>
      <x:c r="SQ142" s="14"/>
      <x:c r="SR142" s="14"/>
      <x:c r="SS142" s="14"/>
      <x:c r="ST142" s="14"/>
      <x:c r="SU142" s="14"/>
      <x:c r="SV142" s="14"/>
      <x:c r="SW142" s="14"/>
      <x:c r="SX142" s="14"/>
      <x:c r="SY142" s="14"/>
      <x:c r="SZ142" s="14"/>
      <x:c r="TA142" s="14"/>
      <x:c r="TB142" s="14"/>
      <x:c r="TC142" s="14"/>
      <x:c r="TD142" s="14"/>
      <x:c r="TE142" s="14"/>
      <x:c r="TF142" s="14"/>
      <x:c r="TG142" s="14"/>
      <x:c r="TH142" s="14"/>
    </x:row>
    <x:row r="143">
      <x:c r="A143" s="14"/>
      <x:c r="B143" s="14"/>
      <x:c r="C143" s="14"/>
      <x:c r="D143" s="14"/>
      <x:c r="E143" s="14"/>
      <x:c r="F143" s="14"/>
      <x:c r="G143" s="14"/>
      <x:c r="H143" s="14"/>
      <x:c r="I143" s="14"/>
      <x:c r="J143" s="14"/>
      <x:c r="K143" s="14"/>
      <x:c r="L143" s="14"/>
      <x:c r="M143" s="14"/>
      <x:c r="N143" s="14"/>
      <x:c r="O143" s="14"/>
      <x:c r="P143" s="14"/>
      <x:c r="Q143" s="14"/>
      <x:c r="R143" s="14"/>
      <x:c r="S143" s="14"/>
      <x:c r="T143" s="14"/>
      <x:c r="U143" s="14"/>
      <x:c r="V143" s="14"/>
      <x:c r="W143" s="14"/>
      <x:c r="X143" s="14"/>
      <x:c r="Y143" s="14"/>
      <x:c r="Z143" s="14"/>
      <x:c r="AA143" s="14"/>
      <x:c r="AB143" s="14"/>
      <x:c r="AC143" s="14"/>
      <x:c r="AD143" s="14"/>
      <x:c r="AE143" s="14"/>
      <x:c r="AF143" s="14"/>
      <x:c r="AG143" s="14"/>
      <x:c r="AH143" s="14"/>
      <x:c r="AI143" s="14"/>
      <x:c r="AJ143" s="14"/>
      <x:c r="AK143" s="14"/>
      <x:c r="AL143" s="14"/>
      <x:c r="AM143" s="14"/>
      <x:c r="AN143" s="14"/>
      <x:c r="AO143" s="14"/>
      <x:c r="AP143" s="14"/>
      <x:c r="AQ143" s="14"/>
      <x:c r="AR143" s="14"/>
      <x:c r="AS143" s="14"/>
      <x:c r="AT143" s="14"/>
      <x:c r="AU143" s="14"/>
      <x:c r="AV143" s="14"/>
      <x:c r="AW143" s="14"/>
      <x:c r="AX143" s="14"/>
      <x:c r="AY143" s="14"/>
      <x:c r="AZ143" s="14"/>
      <x:c r="BA143" s="14"/>
      <x:c r="BB143" s="14"/>
      <x:c r="BC143" s="14"/>
      <x:c r="BD143" s="14"/>
      <x:c r="BE143" s="14"/>
      <x:c r="BF143" s="14"/>
      <x:c r="BG143" s="14"/>
      <x:c r="BH143" s="14"/>
      <x:c r="BI143" s="14"/>
      <x:c r="BJ143" s="14"/>
      <x:c r="BK143" s="14"/>
      <x:c r="BL143" s="14"/>
      <x:c r="BM143" s="14"/>
      <x:c r="BN143" s="14"/>
      <x:c r="BO143" s="14"/>
      <x:c r="BP143" s="14"/>
      <x:c r="BQ143" s="14"/>
      <x:c r="BR143" s="14"/>
      <x:c r="BS143" s="14"/>
      <x:c r="BT143" s="14"/>
      <x:c r="BU143" s="14"/>
      <x:c r="BV143" s="14"/>
      <x:c r="BW143" s="14"/>
      <x:c r="BX143" s="14"/>
      <x:c r="BY143" s="14"/>
      <x:c r="BZ143" s="14"/>
      <x:c r="CA143" s="14"/>
      <x:c r="CB143" s="14"/>
      <x:c r="CC143" s="14"/>
      <x:c r="CD143" s="14"/>
      <x:c r="CE143" s="14"/>
      <x:c r="CF143" s="14"/>
      <x:c r="CG143" s="14"/>
      <x:c r="CH143" s="14"/>
      <x:c r="CI143" s="14"/>
      <x:c r="CJ143" s="14"/>
      <x:c r="CK143" s="14"/>
      <x:c r="CL143" s="14"/>
      <x:c r="CM143" s="14"/>
      <x:c r="CN143" s="14"/>
      <x:c r="CO143" s="14"/>
      <x:c r="CP143" s="14"/>
      <x:c r="CQ143" s="14"/>
      <x:c r="CR143" s="14"/>
      <x:c r="CS143" s="14"/>
      <x:c r="CT143" s="14"/>
      <x:c r="CU143" s="14"/>
      <x:c r="CV143" s="14"/>
      <x:c r="CW143" s="14"/>
      <x:c r="CX143" s="14"/>
      <x:c r="CY143" s="14"/>
      <x:c r="CZ143" s="14"/>
      <x:c r="DA143" s="14"/>
      <x:c r="DB143" s="14"/>
      <x:c r="DC143" s="14"/>
      <x:c r="DD143" s="14"/>
      <x:c r="DE143" s="14"/>
      <x:c r="DF143" s="14"/>
      <x:c r="DG143" s="14"/>
      <x:c r="DH143" s="14"/>
      <x:c r="DI143" s="14"/>
      <x:c r="DJ143" s="14"/>
      <x:c r="DK143" s="14"/>
      <x:c r="DL143" s="14"/>
      <x:c r="DM143" s="14"/>
      <x:c r="DN143" s="14"/>
      <x:c r="DO143" s="14"/>
      <x:c r="DP143" s="14"/>
      <x:c r="DQ143" s="14"/>
      <x:c r="DR143" s="14"/>
      <x:c r="DS143" s="14"/>
      <x:c r="DT143" s="14"/>
      <x:c r="DU143" s="14"/>
      <x:c r="DV143" s="14"/>
      <x:c r="DW143" s="14"/>
      <x:c r="DX143" s="14"/>
      <x:c r="DY143" s="14"/>
      <x:c r="DZ143" s="14"/>
      <x:c r="EA143" s="14"/>
      <x:c r="EB143" s="14"/>
      <x:c r="EC143" s="14"/>
      <x:c r="ED143" s="14"/>
      <x:c r="EE143" s="14"/>
      <x:c r="EF143" s="14"/>
      <x:c r="EG143" s="14"/>
      <x:c r="EH143" s="14"/>
      <x:c r="EI143" s="14"/>
      <x:c r="EJ143" s="14"/>
      <x:c r="EK143" s="14"/>
      <x:c r="EL143" s="14"/>
      <x:c r="EM143" s="14"/>
      <x:c r="EN143" s="14"/>
      <x:c r="EO143" s="14"/>
      <x:c r="EP143" s="14"/>
      <x:c r="EQ143" s="14"/>
      <x:c r="ER143" s="14"/>
      <x:c r="ES143" s="14"/>
      <x:c r="ET143" s="14"/>
      <x:c r="EU143" s="14"/>
      <x:c r="EV143" s="14"/>
      <x:c r="EW143" s="14"/>
      <x:c r="EX143" s="14"/>
      <x:c r="EY143" s="14"/>
      <x:c r="EZ143" s="14"/>
      <x:c r="FA143" s="14"/>
      <x:c r="FB143" s="14"/>
      <x:c r="FC143" s="14"/>
      <x:c r="FD143" s="14"/>
      <x:c r="FE143" s="14"/>
      <x:c r="FF143" s="14"/>
      <x:c r="FG143" s="14"/>
      <x:c r="FH143" s="14"/>
      <x:c r="FI143" s="14"/>
      <x:c r="FJ143" s="14"/>
      <x:c r="FK143" s="14"/>
      <x:c r="FL143" s="14"/>
      <x:c r="FM143" s="14"/>
      <x:c r="FN143" s="14"/>
      <x:c r="FO143" s="14"/>
      <x:c r="FP143" s="14"/>
      <x:c r="FQ143" s="14"/>
      <x:c r="FR143" s="14"/>
      <x:c r="FS143" s="14"/>
      <x:c r="FT143" s="14"/>
      <x:c r="FU143" s="14"/>
      <x:c r="FV143" s="14"/>
      <x:c r="FW143" s="14"/>
      <x:c r="FX143" s="14"/>
      <x:c r="FY143" s="14"/>
      <x:c r="FZ143" s="14"/>
      <x:c r="GA143" s="14"/>
      <x:c r="GB143" s="14"/>
      <x:c r="GC143" s="14"/>
      <x:c r="GD143" s="14"/>
      <x:c r="GE143" s="14"/>
      <x:c r="GF143" s="14"/>
      <x:c r="GG143" s="14"/>
      <x:c r="GH143" s="14"/>
      <x:c r="GI143" s="14"/>
      <x:c r="GJ143" s="14"/>
      <x:c r="GK143" s="14"/>
      <x:c r="GL143" s="14"/>
      <x:c r="GM143" s="14"/>
      <x:c r="GN143" s="14"/>
      <x:c r="GO143" s="14"/>
      <x:c r="GP143" s="14"/>
      <x:c r="GQ143" s="14"/>
      <x:c r="GR143" s="14"/>
      <x:c r="GS143" s="14"/>
      <x:c r="GT143" s="14"/>
      <x:c r="GU143" s="14"/>
      <x:c r="GV143" s="14"/>
      <x:c r="GW143" s="14"/>
      <x:c r="GX143" s="14"/>
      <x:c r="GY143" s="14"/>
      <x:c r="GZ143" s="14"/>
      <x:c r="HA143" s="14"/>
      <x:c r="HB143" s="14"/>
      <x:c r="HC143" s="14"/>
      <x:c r="HD143" s="14"/>
      <x:c r="HE143" s="14"/>
      <x:c r="HF143" s="14"/>
      <x:c r="HG143" s="14"/>
      <x:c r="HH143" s="14"/>
      <x:c r="HI143" s="14"/>
      <x:c r="HJ143" s="14"/>
      <x:c r="HK143" s="14"/>
      <x:c r="HL143" s="14"/>
      <x:c r="HM143" s="14"/>
      <x:c r="HN143" s="14"/>
      <x:c r="HO143" s="14"/>
      <x:c r="HP143" s="14"/>
      <x:c r="HQ143" s="14"/>
      <x:c r="HR143" s="14"/>
      <x:c r="HS143" s="14"/>
      <x:c r="HT143" s="14"/>
      <x:c r="HU143" s="14"/>
      <x:c r="HV143" s="14"/>
      <x:c r="HW143" s="14"/>
      <x:c r="HX143" s="14"/>
      <x:c r="HY143" s="14"/>
      <x:c r="HZ143" s="14"/>
      <x:c r="IA143" s="14"/>
      <x:c r="IB143" s="14"/>
      <x:c r="IC143" s="14"/>
      <x:c r="ID143" s="14"/>
      <x:c r="IE143" s="14"/>
      <x:c r="IF143" s="14"/>
      <x:c r="IG143" s="14"/>
      <x:c r="IH143" s="14"/>
      <x:c r="II143" s="14"/>
      <x:c r="IJ143" s="14"/>
      <x:c r="IK143" s="14"/>
      <x:c r="IL143" s="14"/>
      <x:c r="IM143" s="14"/>
      <x:c r="IN143" s="14"/>
      <x:c r="IO143" s="14"/>
      <x:c r="IP143" s="14"/>
      <x:c r="IQ143" s="14"/>
      <x:c r="IR143" s="14"/>
      <x:c r="IS143" s="14"/>
      <x:c r="IT143" s="14"/>
      <x:c r="IU143" s="14"/>
      <x:c r="IV143" s="14"/>
      <x:c r="IW143" s="14"/>
      <x:c r="IX143" s="14"/>
      <x:c r="IY143" s="14"/>
      <x:c r="IZ143" s="14"/>
      <x:c r="JA143" s="14"/>
      <x:c r="JB143" s="14"/>
      <x:c r="JC143" s="14"/>
      <x:c r="JD143" s="14"/>
      <x:c r="JE143" s="14"/>
      <x:c r="JF143" s="14"/>
      <x:c r="JG143" s="14"/>
      <x:c r="JH143" s="14"/>
      <x:c r="JI143" s="14"/>
      <x:c r="JJ143" s="14"/>
      <x:c r="JK143" s="14"/>
      <x:c r="JL143" s="14"/>
      <x:c r="JM143" s="14"/>
      <x:c r="JN143" s="14"/>
      <x:c r="JO143" s="14"/>
      <x:c r="JP143" s="14"/>
      <x:c r="JQ143" s="14"/>
      <x:c r="JR143" s="14"/>
      <x:c r="JS143" s="14"/>
      <x:c r="JT143" s="14"/>
      <x:c r="JU143" s="14"/>
      <x:c r="JV143" s="14"/>
      <x:c r="JW143" s="14"/>
      <x:c r="JX143" s="14"/>
      <x:c r="JY143" s="14"/>
      <x:c r="JZ143" s="14"/>
      <x:c r="KA143" s="14"/>
      <x:c r="KB143" s="14"/>
      <x:c r="KC143" s="14"/>
      <x:c r="KD143" s="14"/>
      <x:c r="KE143" s="14"/>
      <x:c r="KF143" s="14"/>
      <x:c r="KG143" s="14"/>
      <x:c r="KH143" s="14"/>
      <x:c r="KI143" s="14"/>
      <x:c r="KJ143" s="14"/>
      <x:c r="KK143" s="14"/>
      <x:c r="KL143" s="14"/>
      <x:c r="KM143" s="14"/>
      <x:c r="KN143" s="14"/>
      <x:c r="KO143" s="14"/>
      <x:c r="KP143" s="14"/>
      <x:c r="KQ143" s="14"/>
      <x:c r="KR143" s="14"/>
      <x:c r="KS143" s="14"/>
      <x:c r="KT143" s="14"/>
      <x:c r="KU143" s="14"/>
      <x:c r="KV143" s="14"/>
      <x:c r="KW143" s="14"/>
      <x:c r="KX143" s="14"/>
      <x:c r="KY143" s="14"/>
      <x:c r="KZ143" s="14"/>
      <x:c r="LA143" s="14"/>
      <x:c r="LB143" s="14"/>
      <x:c r="LC143" s="14"/>
      <x:c r="LD143" s="14"/>
      <x:c r="LE143" s="14"/>
      <x:c r="LF143" s="14"/>
      <x:c r="LG143" s="14"/>
      <x:c r="LH143" s="14"/>
      <x:c r="LI143" s="14"/>
      <x:c r="LJ143" s="14"/>
      <x:c r="LK143" s="14"/>
      <x:c r="LL143" s="14"/>
      <x:c r="LM143" s="14"/>
      <x:c r="LN143" s="14"/>
      <x:c r="LO143" s="14"/>
      <x:c r="LP143" s="14"/>
      <x:c r="LQ143" s="14"/>
      <x:c r="LR143" s="14"/>
      <x:c r="LS143" s="14"/>
      <x:c r="LT143" s="14"/>
      <x:c r="LU143" s="14"/>
      <x:c r="LV143" s="14"/>
      <x:c r="LW143" s="14"/>
      <x:c r="LX143" s="14"/>
      <x:c r="LY143" s="14"/>
      <x:c r="LZ143" s="14"/>
      <x:c r="MA143" s="14"/>
      <x:c r="MB143" s="14"/>
      <x:c r="MC143" s="14"/>
      <x:c r="MD143" s="14"/>
      <x:c r="ME143" s="14"/>
      <x:c r="MF143" s="14"/>
      <x:c r="MG143" s="14"/>
      <x:c r="MH143" s="14"/>
      <x:c r="MI143" s="14"/>
      <x:c r="MJ143" s="14"/>
      <x:c r="MK143" s="14"/>
      <x:c r="ML143" s="14"/>
      <x:c r="MM143" s="14"/>
      <x:c r="MN143" s="14"/>
      <x:c r="MO143" s="14"/>
      <x:c r="MP143" s="14"/>
      <x:c r="MQ143" s="14"/>
      <x:c r="MR143" s="14"/>
      <x:c r="MS143" s="14"/>
      <x:c r="MT143" s="14"/>
      <x:c r="MU143" s="14"/>
      <x:c r="MV143" s="14"/>
      <x:c r="MW143" s="14"/>
      <x:c r="MX143" s="14"/>
      <x:c r="MY143" s="14"/>
      <x:c r="MZ143" s="14"/>
      <x:c r="NA143" s="14"/>
      <x:c r="NB143" s="14"/>
      <x:c r="NC143" s="14"/>
      <x:c r="ND143" s="14"/>
      <x:c r="NE143" s="14"/>
      <x:c r="NF143" s="14"/>
      <x:c r="NG143" s="14"/>
      <x:c r="NH143" s="14"/>
      <x:c r="NI143" s="14"/>
      <x:c r="NJ143" s="14"/>
      <x:c r="NK143" s="14"/>
      <x:c r="NL143" s="14"/>
      <x:c r="NM143" s="14"/>
      <x:c r="NN143" s="14"/>
      <x:c r="NO143" s="14"/>
      <x:c r="NP143" s="14"/>
      <x:c r="NQ143" s="14"/>
      <x:c r="NR143" s="14"/>
      <x:c r="NS143" s="14"/>
      <x:c r="NT143" s="14"/>
      <x:c r="NU143" s="14"/>
      <x:c r="NV143" s="14"/>
      <x:c r="NW143" s="14"/>
      <x:c r="NX143" s="14"/>
      <x:c r="NY143" s="14"/>
      <x:c r="NZ143" s="14"/>
      <x:c r="OA143" s="14"/>
      <x:c r="OB143" s="14"/>
      <x:c r="OC143" s="14"/>
      <x:c r="OD143" s="14"/>
      <x:c r="OE143" s="14"/>
      <x:c r="OF143" s="14"/>
      <x:c r="OG143" s="14"/>
      <x:c r="OH143" s="14"/>
      <x:c r="OI143" s="14"/>
      <x:c r="OJ143" s="14"/>
      <x:c r="OK143" s="14"/>
      <x:c r="OL143" s="14"/>
      <x:c r="OM143" s="14"/>
      <x:c r="ON143" s="14"/>
      <x:c r="OO143" s="14"/>
      <x:c r="OP143" s="14"/>
      <x:c r="OQ143" s="14"/>
      <x:c r="OR143" s="14"/>
      <x:c r="OS143" s="14"/>
      <x:c r="OT143" s="14"/>
      <x:c r="OU143" s="14"/>
      <x:c r="OV143" s="14"/>
      <x:c r="OW143" s="14"/>
      <x:c r="OX143" s="14"/>
      <x:c r="OY143" s="14"/>
      <x:c r="OZ143" s="14"/>
      <x:c r="PA143" s="14"/>
      <x:c r="PB143" s="14"/>
      <x:c r="PC143" s="14"/>
      <x:c r="PD143" s="14"/>
      <x:c r="PE143" s="14"/>
      <x:c r="PF143" s="14"/>
      <x:c r="PG143" s="14"/>
      <x:c r="PH143" s="14"/>
      <x:c r="PI143" s="14"/>
      <x:c r="PJ143" s="14"/>
      <x:c r="PK143" s="14"/>
      <x:c r="PL143" s="14"/>
      <x:c r="PM143" s="14"/>
      <x:c r="PN143" s="14"/>
      <x:c r="PO143" s="14"/>
      <x:c r="PP143" s="14"/>
      <x:c r="PQ143" s="14"/>
      <x:c r="PR143" s="14"/>
      <x:c r="PS143" s="14"/>
      <x:c r="PT143" s="14"/>
      <x:c r="PU143" s="14"/>
      <x:c r="PV143" s="14"/>
      <x:c r="PW143" s="14"/>
      <x:c r="PX143" s="14"/>
      <x:c r="PY143" s="14"/>
      <x:c r="PZ143" s="14"/>
      <x:c r="QA143" s="14"/>
      <x:c r="QB143" s="14"/>
      <x:c r="QC143" s="14"/>
      <x:c r="QD143" s="14"/>
      <x:c r="QE143" s="14"/>
      <x:c r="QF143" s="14"/>
      <x:c r="QG143" s="14"/>
      <x:c r="QH143" s="14"/>
      <x:c r="QI143" s="14"/>
      <x:c r="QJ143" s="14"/>
      <x:c r="QK143" s="14"/>
      <x:c r="QL143" s="14"/>
      <x:c r="QM143" s="14"/>
      <x:c r="QN143" s="14"/>
      <x:c r="QO143" s="14"/>
      <x:c r="QP143" s="14"/>
      <x:c r="QQ143" s="14"/>
      <x:c r="QR143" s="14"/>
      <x:c r="QS143" s="14"/>
      <x:c r="QT143" s="14"/>
      <x:c r="QU143" s="14"/>
      <x:c r="QV143" s="14"/>
      <x:c r="QW143" s="14"/>
      <x:c r="QX143" s="14"/>
      <x:c r="QY143" s="14"/>
      <x:c r="QZ143" s="14"/>
      <x:c r="RA143" s="14"/>
      <x:c r="RB143" s="14"/>
      <x:c r="RC143" s="14"/>
      <x:c r="RD143" s="14"/>
      <x:c r="RE143" s="14"/>
      <x:c r="RF143" s="14"/>
      <x:c r="RG143" s="14"/>
      <x:c r="RH143" s="14"/>
      <x:c r="RI143" s="14"/>
      <x:c r="RJ143" s="14"/>
      <x:c r="RK143" s="14"/>
      <x:c r="RL143" s="14"/>
      <x:c r="RM143" s="14"/>
      <x:c r="RN143" s="14"/>
      <x:c r="RO143" s="14"/>
      <x:c r="RP143" s="14"/>
      <x:c r="RQ143" s="14"/>
      <x:c r="RR143" s="14"/>
      <x:c r="RS143" s="14"/>
      <x:c r="RT143" s="14"/>
      <x:c r="RU143" s="14"/>
      <x:c r="RV143" s="14"/>
      <x:c r="RW143" s="14"/>
      <x:c r="RX143" s="14"/>
      <x:c r="RY143" s="14"/>
      <x:c r="RZ143" s="14"/>
      <x:c r="SA143" s="14"/>
      <x:c r="SB143" s="14"/>
      <x:c r="SC143" s="14"/>
      <x:c r="SD143" s="14"/>
      <x:c r="SE143" s="14"/>
      <x:c r="SF143" s="14"/>
      <x:c r="SG143" s="14"/>
      <x:c r="SH143" s="14"/>
      <x:c r="SI143" s="14"/>
      <x:c r="SJ143" s="14"/>
      <x:c r="SK143" s="14"/>
      <x:c r="SL143" s="14"/>
      <x:c r="SM143" s="14"/>
      <x:c r="SN143" s="14"/>
      <x:c r="SO143" s="14"/>
      <x:c r="SP143" s="14"/>
      <x:c r="SQ143" s="14"/>
      <x:c r="SR143" s="14"/>
      <x:c r="SS143" s="14"/>
      <x:c r="ST143" s="14"/>
      <x:c r="SU143" s="14"/>
      <x:c r="SV143" s="14"/>
      <x:c r="SW143" s="14"/>
      <x:c r="SX143" s="14"/>
      <x:c r="SY143" s="14"/>
      <x:c r="SZ143" s="14"/>
      <x:c r="TA143" s="14"/>
      <x:c r="TB143" s="14"/>
      <x:c r="TC143" s="14"/>
      <x:c r="TD143" s="14"/>
      <x:c r="TE143" s="14"/>
      <x:c r="TF143" s="14"/>
      <x:c r="TG143" s="14"/>
      <x:c r="TH143" s="14"/>
    </x:row>
    <x:row r="144" ht="25" customHeight="1">
      <x:c r="A144" s="14"/>
      <x:c r="B144" s="14"/>
      <x:c r="C144" s="14"/>
      <x:c r="D144" s="14"/>
      <x:c r="E144" s="14"/>
      <x:c r="F144" s="14"/>
      <x:c r="G144" s="14"/>
      <x:c r="H144" s="14"/>
      <x:c r="I144" s="14"/>
      <x:c r="J144" s="14"/>
      <x:c r="K144" s="14"/>
      <x:c r="L144" s="14"/>
      <x:c r="M144" s="14"/>
      <x:c r="N144" s="14"/>
      <x:c r="O144" s="14"/>
      <x:c r="P144" s="14"/>
      <x:c r="Q144" s="14"/>
      <x:c r="R144" s="14"/>
      <x:c r="S144" s="14"/>
      <x:c r="T144" s="14"/>
      <x:c r="U144" s="14"/>
      <x:c r="V144" s="14"/>
      <x:c r="W144" s="14"/>
      <x:c r="X144" s="14"/>
      <x:c r="Y144" s="14"/>
      <x:c r="Z144" s="14"/>
      <x:c r="AA144" s="14"/>
      <x:c r="AB144" s="14"/>
      <x:c r="AC144" s="14"/>
      <x:c r="AD144" s="14"/>
      <x:c r="AE144" s="14"/>
      <x:c r="AF144" s="14"/>
      <x:c r="AG144" s="14"/>
      <x:c r="AH144" s="14"/>
      <x:c r="AI144" s="14"/>
      <x:c r="AJ144" s="14"/>
      <x:c r="AK144" s="14"/>
      <x:c r="AL144" s="14"/>
      <x:c r="AM144" s="14"/>
      <x:c r="AN144" s="14"/>
      <x:c r="AO144" s="14"/>
      <x:c r="AP144" s="14"/>
      <x:c r="AQ144" s="14"/>
      <x:c r="AR144" s="14"/>
      <x:c r="AS144" s="14"/>
      <x:c r="AT144" s="14"/>
      <x:c r="AU144" s="14"/>
      <x:c r="AV144" s="14"/>
      <x:c r="AW144" s="14"/>
      <x:c r="AX144" s="14"/>
      <x:c r="AY144" s="14"/>
      <x:c r="AZ144" s="14"/>
      <x:c r="BA144" s="14"/>
      <x:c r="BB144" s="14"/>
      <x:c r="BC144" s="14"/>
      <x:c r="BD144" s="16" t="str">
        <x:v>衣服類6　／　66 筆</x:v>
      </x:c>
      <x:c r="BE144" s="16"/>
      <x:c r="BF144" s="16"/>
      <x:c r="BG144" s="16"/>
      <x:c r="BH144" s="14"/>
      <x:c r="BI144" s="14"/>
      <x:c r="BJ144" s="14"/>
      <x:c r="BK144" s="14"/>
      <x:c r="BL144" s="14"/>
      <x:c r="BM144" s="14"/>
      <x:c r="BN144" s="14"/>
      <x:c r="BO144" s="14"/>
      <x:c r="BP144" s="14"/>
      <x:c r="BQ144" s="14"/>
      <x:c r="BR144" s="14"/>
      <x:c r="BS144" s="14"/>
      <x:c r="BT144" s="14"/>
      <x:c r="BU144" s="14"/>
      <x:c r="BV144" s="14"/>
      <x:c r="BW144" s="14"/>
      <x:c r="BX144" s="14"/>
      <x:c r="BY144" s="14"/>
      <x:c r="BZ144" s="14"/>
      <x:c r="CA144" s="14"/>
      <x:c r="CB144" s="14"/>
      <x:c r="CC144" s="14"/>
      <x:c r="CD144" s="14"/>
      <x:c r="CE144" s="14"/>
      <x:c r="CF144" s="14"/>
      <x:c r="CG144" s="14"/>
      <x:c r="CH144" s="14"/>
      <x:c r="CI144" s="14"/>
      <x:c r="CJ144" s="14"/>
      <x:c r="CK144" s="14"/>
      <x:c r="CL144" s="14"/>
      <x:c r="CM144" s="14"/>
      <x:c r="CN144" s="14"/>
      <x:c r="CO144" s="14"/>
      <x:c r="CP144" s="14"/>
      <x:c r="CQ144" s="14"/>
      <x:c r="CR144" s="14"/>
      <x:c r="CS144" s="14"/>
      <x:c r="CT144" s="14"/>
      <x:c r="CU144" s="14"/>
      <x:c r="CV144" s="14"/>
      <x:c r="CW144" s="14"/>
      <x:c r="CX144" s="14"/>
      <x:c r="CY144" s="14"/>
      <x:c r="CZ144" s="14"/>
      <x:c r="DA144" s="14"/>
      <x:c r="DB144" s="14"/>
      <x:c r="DC144" s="14"/>
      <x:c r="DD144" s="14"/>
      <x:c r="DE144" s="14"/>
      <x:c r="DF144" s="14"/>
      <x:c r="DG144" s="14"/>
      <x:c r="DH144" s="14"/>
      <x:c r="DI144" s="14"/>
      <x:c r="DJ144" s="14"/>
      <x:c r="DK144" s="14"/>
      <x:c r="DL144" s="14"/>
      <x:c r="DM144" s="14"/>
      <x:c r="DN144" s="14"/>
      <x:c r="DO144" s="14"/>
      <x:c r="DP144" s="14"/>
      <x:c r="DQ144" s="14"/>
      <x:c r="DR144" s="14"/>
      <x:c r="DS144" s="14"/>
      <x:c r="DT144" s="14"/>
      <x:c r="DU144" s="14"/>
      <x:c r="DV144" s="14"/>
      <x:c r="DW144" s="14"/>
      <x:c r="DX144" s="14"/>
      <x:c r="DY144" s="14"/>
      <x:c r="DZ144" s="14"/>
      <x:c r="EA144" s="14"/>
      <x:c r="EB144" s="14"/>
      <x:c r="EC144" s="14"/>
      <x:c r="ED144" s="14"/>
      <x:c r="EE144" s="14"/>
      <x:c r="EF144" s="14"/>
      <x:c r="EG144" s="14"/>
      <x:c r="EH144" s="14"/>
      <x:c r="EI144" s="14"/>
      <x:c r="EJ144" s="14"/>
      <x:c r="EK144" s="14"/>
      <x:c r="EL144" s="14"/>
      <x:c r="EM144" s="14"/>
      <x:c r="EN144" s="14"/>
      <x:c r="EO144" s="14"/>
      <x:c r="EP144" s="14"/>
      <x:c r="EQ144" s="14"/>
      <x:c r="ER144" s="14"/>
      <x:c r="ES144" s="14"/>
      <x:c r="ET144" s="14"/>
      <x:c r="EU144" s="14"/>
      <x:c r="EV144" s="14"/>
      <x:c r="EW144" s="14"/>
      <x:c r="EX144" s="14"/>
      <x:c r="EY144" s="14"/>
      <x:c r="EZ144" s="14"/>
      <x:c r="FA144" s="14"/>
      <x:c r="FB144" s="14"/>
      <x:c r="FC144" s="14"/>
      <x:c r="FD144" s="14"/>
      <x:c r="FE144" s="14"/>
      <x:c r="FF144" s="14"/>
      <x:c r="FG144" s="14"/>
      <x:c r="FH144" s="14"/>
      <x:c r="FI144" s="14"/>
      <x:c r="FJ144" s="14"/>
      <x:c r="FK144" s="14"/>
      <x:c r="FL144" s="14"/>
      <x:c r="FM144" s="14"/>
      <x:c r="FN144" s="14"/>
      <x:c r="FO144" s="14"/>
      <x:c r="FP144" s="14"/>
      <x:c r="FQ144" s="14"/>
      <x:c r="FR144" s="14"/>
      <x:c r="FS144" s="14"/>
      <x:c r="FT144" s="14"/>
      <x:c r="FU144" s="14"/>
      <x:c r="FV144" s="14"/>
      <x:c r="FW144" s="14"/>
      <x:c r="FX144" s="14"/>
      <x:c r="FY144" s="14"/>
      <x:c r="FZ144" s="14"/>
      <x:c r="GA144" s="14"/>
      <x:c r="GB144" s="14"/>
      <x:c r="GC144" s="14"/>
      <x:c r="GD144" s="14"/>
      <x:c r="GE144" s="14"/>
      <x:c r="GF144" s="14"/>
      <x:c r="GG144" s="14"/>
      <x:c r="GH144" s="14"/>
      <x:c r="GI144" s="14"/>
      <x:c r="GJ144" s="14"/>
      <x:c r="GK144" s="14"/>
      <x:c r="GL144" s="14"/>
      <x:c r="GM144" s="14"/>
      <x:c r="GN144" s="14"/>
      <x:c r="GO144" s="14"/>
      <x:c r="GP144" s="14"/>
      <x:c r="GQ144" s="14"/>
      <x:c r="GR144" s="14"/>
      <x:c r="GS144" s="14"/>
      <x:c r="GT144" s="14"/>
      <x:c r="GU144" s="14"/>
      <x:c r="GV144" s="14"/>
      <x:c r="GW144" s="14"/>
      <x:c r="GX144" s="14"/>
      <x:c r="GY144" s="14"/>
      <x:c r="GZ144" s="14"/>
      <x:c r="HA144" s="14"/>
      <x:c r="HB144" s="14"/>
      <x:c r="HC144" s="14"/>
      <x:c r="HD144" s="14"/>
      <x:c r="HE144" s="14"/>
      <x:c r="HF144" s="14"/>
      <x:c r="HG144" s="14"/>
      <x:c r="HH144" s="14"/>
      <x:c r="HI144" s="14"/>
      <x:c r="HJ144" s="14"/>
      <x:c r="HK144" s="14"/>
      <x:c r="HL144" s="14"/>
      <x:c r="HM144" s="14"/>
      <x:c r="HN144" s="14"/>
      <x:c r="HO144" s="14"/>
      <x:c r="HP144" s="14"/>
      <x:c r="HQ144" s="14"/>
      <x:c r="HR144" s="14"/>
      <x:c r="HS144" s="14"/>
      <x:c r="HT144" s="14"/>
      <x:c r="HU144" s="14"/>
      <x:c r="HV144" s="14"/>
      <x:c r="HW144" s="14"/>
      <x:c r="HX144" s="14"/>
      <x:c r="HY144" s="14"/>
      <x:c r="HZ144" s="14"/>
      <x:c r="IA144" s="14"/>
      <x:c r="IB144" s="14"/>
      <x:c r="IC144" s="14"/>
      <x:c r="ID144" s="14"/>
      <x:c r="IE144" s="14"/>
      <x:c r="IF144" s="14"/>
      <x:c r="IG144" s="14"/>
      <x:c r="IH144" s="14"/>
      <x:c r="II144" s="14"/>
      <x:c r="IJ144" s="14"/>
      <x:c r="IK144" s="14"/>
      <x:c r="IL144" s="14"/>
      <x:c r="IM144" s="14"/>
      <x:c r="IN144" s="14"/>
      <x:c r="IO144" s="14"/>
      <x:c r="IP144" s="14"/>
      <x:c r="IQ144" s="14"/>
      <x:c r="IR144" s="14"/>
      <x:c r="IS144" s="14"/>
      <x:c r="IT144" s="14"/>
      <x:c r="IU144" s="14"/>
      <x:c r="IV144" s="14"/>
      <x:c r="IW144" s="14"/>
      <x:c r="IX144" s="14"/>
      <x:c r="IY144" s="14"/>
      <x:c r="IZ144" s="14"/>
      <x:c r="JA144" s="14"/>
      <x:c r="JB144" s="14"/>
      <x:c r="JC144" s="14"/>
      <x:c r="JD144" s="14"/>
      <x:c r="JE144" s="14"/>
      <x:c r="JF144" s="14"/>
      <x:c r="JG144" s="14"/>
      <x:c r="JH144" s="14"/>
      <x:c r="JI144" s="14"/>
      <x:c r="JJ144" s="14"/>
      <x:c r="JK144" s="14"/>
      <x:c r="JL144" s="14"/>
      <x:c r="JM144" s="14"/>
      <x:c r="JN144" s="14"/>
      <x:c r="JO144" s="14"/>
      <x:c r="JP144" s="14"/>
      <x:c r="JQ144" s="14"/>
      <x:c r="JR144" s="14"/>
      <x:c r="JS144" s="14"/>
      <x:c r="JT144" s="14"/>
      <x:c r="JU144" s="14"/>
      <x:c r="JV144" s="14"/>
      <x:c r="JW144" s="14"/>
      <x:c r="JX144" s="14"/>
      <x:c r="JY144" s="14"/>
      <x:c r="JZ144" s="14"/>
      <x:c r="KA144" s="14"/>
      <x:c r="KB144" s="14"/>
      <x:c r="KC144" s="14"/>
      <x:c r="KD144" s="14"/>
      <x:c r="KE144" s="14"/>
      <x:c r="KF144" s="14"/>
      <x:c r="KG144" s="14"/>
      <x:c r="KH144" s="14"/>
      <x:c r="KI144" s="14"/>
      <x:c r="KJ144" s="14"/>
      <x:c r="KK144" s="14"/>
      <x:c r="KL144" s="14"/>
      <x:c r="KM144" s="14"/>
      <x:c r="KN144" s="14"/>
      <x:c r="KO144" s="14"/>
      <x:c r="KP144" s="14"/>
      <x:c r="KQ144" s="14"/>
      <x:c r="KR144" s="14"/>
      <x:c r="KS144" s="14"/>
      <x:c r="KT144" s="14"/>
      <x:c r="KU144" s="14"/>
      <x:c r="KV144" s="14"/>
      <x:c r="KW144" s="14"/>
      <x:c r="KX144" s="14"/>
      <x:c r="KY144" s="14"/>
      <x:c r="KZ144" s="14"/>
      <x:c r="LA144" s="14"/>
      <x:c r="LB144" s="14"/>
      <x:c r="LC144" s="14"/>
      <x:c r="LD144" s="14"/>
      <x:c r="LE144" s="14"/>
      <x:c r="LF144" s="14"/>
      <x:c r="LG144" s="14"/>
      <x:c r="LH144" s="14"/>
      <x:c r="LI144" s="14"/>
      <x:c r="LJ144" s="14"/>
      <x:c r="LK144" s="14"/>
      <x:c r="LL144" s="14"/>
      <x:c r="LM144" s="14"/>
      <x:c r="LN144" s="14"/>
      <x:c r="LO144" s="14"/>
      <x:c r="LP144" s="14"/>
      <x:c r="LQ144" s="14"/>
      <x:c r="LR144" s="14"/>
      <x:c r="LS144" s="14"/>
      <x:c r="LT144" s="14"/>
      <x:c r="LU144" s="14"/>
      <x:c r="LV144" s="14"/>
      <x:c r="LW144" s="14"/>
      <x:c r="LX144" s="14"/>
      <x:c r="LY144" s="14"/>
      <x:c r="LZ144" s="14"/>
      <x:c r="MA144" s="14"/>
      <x:c r="MB144" s="14"/>
      <x:c r="MC144" s="14"/>
      <x:c r="MD144" s="14"/>
      <x:c r="ME144" s="14"/>
      <x:c r="MF144" s="14"/>
      <x:c r="MG144" s="14"/>
      <x:c r="MH144" s="14"/>
      <x:c r="MI144" s="14"/>
      <x:c r="MJ144" s="14"/>
      <x:c r="MK144" s="14"/>
      <x:c r="ML144" s="14"/>
      <x:c r="MM144" s="14"/>
      <x:c r="MN144" s="14"/>
      <x:c r="MO144" s="14"/>
      <x:c r="MP144" s="14"/>
      <x:c r="MQ144" s="14"/>
      <x:c r="MR144" s="14"/>
      <x:c r="MS144" s="14"/>
      <x:c r="MT144" s="14"/>
      <x:c r="MU144" s="14"/>
      <x:c r="MV144" s="14"/>
      <x:c r="MW144" s="14"/>
      <x:c r="MX144" s="14"/>
      <x:c r="MY144" s="14"/>
      <x:c r="MZ144" s="14"/>
      <x:c r="NA144" s="14"/>
      <x:c r="NB144" s="14"/>
      <x:c r="NC144" s="14"/>
      <x:c r="ND144" s="14"/>
      <x:c r="NE144" s="14"/>
      <x:c r="NF144" s="14"/>
      <x:c r="NG144" s="14"/>
      <x:c r="NH144" s="14"/>
      <x:c r="NI144" s="14"/>
      <x:c r="NJ144" s="14"/>
      <x:c r="NK144" s="14"/>
      <x:c r="NL144" s="14"/>
      <x:c r="NM144" s="14"/>
      <x:c r="NN144" s="14"/>
      <x:c r="NO144" s="14"/>
      <x:c r="NP144" s="14"/>
      <x:c r="NQ144" s="14"/>
      <x:c r="NR144" s="14"/>
      <x:c r="NS144" s="14"/>
      <x:c r="NT144" s="14"/>
      <x:c r="NU144" s="14"/>
      <x:c r="NV144" s="14"/>
      <x:c r="NW144" s="14"/>
      <x:c r="NX144" s="14"/>
      <x:c r="NY144" s="14"/>
      <x:c r="NZ144" s="14"/>
      <x:c r="OA144" s="14"/>
      <x:c r="OB144" s="14"/>
      <x:c r="OC144" s="14"/>
      <x:c r="OD144" s="14"/>
      <x:c r="OE144" s="14"/>
      <x:c r="OF144" s="14"/>
      <x:c r="OG144" s="14"/>
      <x:c r="OH144" s="14"/>
      <x:c r="OI144" s="14"/>
      <x:c r="OJ144" s="14"/>
      <x:c r="OK144" s="14"/>
      <x:c r="OL144" s="14"/>
      <x:c r="OM144" s="14"/>
      <x:c r="ON144" s="14"/>
      <x:c r="OO144" s="14"/>
      <x:c r="OP144" s="14"/>
      <x:c r="OQ144" s="14"/>
      <x:c r="OR144" s="14"/>
      <x:c r="OS144" s="14"/>
      <x:c r="OT144" s="14"/>
      <x:c r="OU144" s="14"/>
      <x:c r="OV144" s="14"/>
      <x:c r="OW144" s="14"/>
      <x:c r="OX144" s="14"/>
      <x:c r="OY144" s="14"/>
      <x:c r="OZ144" s="14"/>
      <x:c r="PA144" s="14"/>
      <x:c r="PB144" s="14"/>
      <x:c r="PC144" s="14"/>
      <x:c r="PD144" s="14"/>
      <x:c r="PE144" s="14"/>
      <x:c r="PF144" s="14"/>
      <x:c r="PG144" s="14"/>
      <x:c r="PH144" s="14"/>
      <x:c r="PI144" s="14"/>
      <x:c r="PJ144" s="14"/>
      <x:c r="PK144" s="14"/>
      <x:c r="PL144" s="14"/>
      <x:c r="PM144" s="14"/>
      <x:c r="PN144" s="14"/>
      <x:c r="PO144" s="14"/>
      <x:c r="PP144" s="14"/>
      <x:c r="PQ144" s="14"/>
      <x:c r="PR144" s="14"/>
      <x:c r="PS144" s="14"/>
      <x:c r="PT144" s="14"/>
      <x:c r="PU144" s="14"/>
      <x:c r="PV144" s="14"/>
      <x:c r="PW144" s="14"/>
      <x:c r="PX144" s="14"/>
      <x:c r="PY144" s="14"/>
      <x:c r="PZ144" s="14"/>
      <x:c r="QA144" s="14"/>
      <x:c r="QB144" s="14"/>
      <x:c r="QC144" s="14"/>
      <x:c r="QD144" s="14"/>
      <x:c r="QE144" s="14"/>
      <x:c r="QF144" s="14"/>
      <x:c r="QG144" s="14"/>
      <x:c r="QH144" s="14"/>
      <x:c r="QI144" s="14"/>
      <x:c r="QJ144" s="14"/>
      <x:c r="QK144" s="14"/>
      <x:c r="QL144" s="14"/>
      <x:c r="QM144" s="14"/>
      <x:c r="QN144" s="14"/>
      <x:c r="QO144" s="14"/>
      <x:c r="QP144" s="14"/>
      <x:c r="QQ144" s="14"/>
      <x:c r="QR144" s="14"/>
      <x:c r="QS144" s="14"/>
      <x:c r="QT144" s="14"/>
      <x:c r="QU144" s="14"/>
      <x:c r="QV144" s="14"/>
      <x:c r="QW144" s="14"/>
      <x:c r="QX144" s="14"/>
      <x:c r="QY144" s="14"/>
      <x:c r="QZ144" s="14"/>
      <x:c r="RA144" s="14"/>
      <x:c r="RB144" s="14"/>
      <x:c r="RC144" s="14"/>
      <x:c r="RD144" s="14"/>
      <x:c r="RE144" s="14"/>
      <x:c r="RF144" s="14"/>
      <x:c r="RG144" s="14"/>
      <x:c r="RH144" s="14"/>
      <x:c r="RI144" s="14"/>
      <x:c r="RJ144" s="14"/>
      <x:c r="RK144" s="14"/>
      <x:c r="RL144" s="14"/>
      <x:c r="RM144" s="14"/>
      <x:c r="RN144" s="14"/>
      <x:c r="RO144" s="14"/>
      <x:c r="RP144" s="14"/>
      <x:c r="RQ144" s="14"/>
      <x:c r="RR144" s="14"/>
      <x:c r="RS144" s="14"/>
      <x:c r="RT144" s="14"/>
      <x:c r="RU144" s="14"/>
      <x:c r="RV144" s="14"/>
      <x:c r="RW144" s="14"/>
      <x:c r="RX144" s="14"/>
      <x:c r="RY144" s="14"/>
      <x:c r="RZ144" s="14"/>
      <x:c r="SA144" s="14"/>
      <x:c r="SB144" s="14"/>
      <x:c r="SC144" s="14"/>
      <x:c r="SD144" s="14"/>
      <x:c r="SE144" s="14"/>
      <x:c r="SF144" s="14"/>
      <x:c r="SG144" s="14"/>
      <x:c r="SH144" s="14"/>
      <x:c r="SI144" s="14"/>
      <x:c r="SJ144" s="14"/>
      <x:c r="SK144" s="14"/>
      <x:c r="SL144" s="14"/>
      <x:c r="SM144" s="14"/>
      <x:c r="SN144" s="14"/>
      <x:c r="SO144" s="14"/>
      <x:c r="SP144" s="14"/>
      <x:c r="SQ144" s="14"/>
      <x:c r="SR144" s="14"/>
      <x:c r="SS144" s="14"/>
      <x:c r="ST144" s="14"/>
      <x:c r="SU144" s="14"/>
      <x:c r="SV144" s="14"/>
      <x:c r="SW144" s="14"/>
      <x:c r="SX144" s="14"/>
      <x:c r="SY144" s="14"/>
      <x:c r="SZ144" s="14"/>
      <x:c r="TA144" s="14"/>
      <x:c r="TB144" s="14"/>
      <x:c r="TC144" s="14"/>
      <x:c r="TD144" s="14"/>
      <x:c r="TE144" s="14"/>
      <x:c r="TF144" s="14"/>
      <x:c r="TG144" s="14"/>
      <x:c r="TH144" s="14"/>
    </x:row>
    <x:row r="145" ht="15" customHeight="1">
      <x:c r="A145" s="14"/>
      <x:c r="B145" s="14"/>
      <x:c r="C145" s="14"/>
      <x:c r="D145" s="14"/>
      <x:c r="E145" s="14"/>
      <x:c r="F145" s="14"/>
      <x:c r="G145" s="14"/>
      <x:c r="H145" s="14"/>
      <x:c r="I145" s="14"/>
      <x:c r="J145" s="14"/>
      <x:c r="K145" s="14"/>
      <x:c r="L145" s="14"/>
      <x:c r="M145" s="14"/>
      <x:c r="N145" s="14"/>
      <x:c r="O145" s="14"/>
      <x:c r="P145" s="14"/>
      <x:c r="Q145" s="14"/>
      <x:c r="R145" s="14"/>
      <x:c r="S145" s="14"/>
      <x:c r="T145" s="14"/>
      <x:c r="U145" s="14"/>
      <x:c r="V145" s="14"/>
      <x:c r="W145" s="14"/>
      <x:c r="X145" s="14"/>
      <x:c r="Y145" s="14"/>
      <x:c r="Z145" s="14"/>
      <x:c r="AA145" s="14"/>
      <x:c r="AB145" s="14"/>
      <x:c r="AC145" s="14"/>
      <x:c r="AD145" s="14"/>
      <x:c r="AE145" s="14"/>
      <x:c r="AF145" s="14"/>
      <x:c r="AG145" s="14"/>
      <x:c r="AH145" s="14"/>
      <x:c r="AI145" s="14"/>
      <x:c r="AJ145" s="14"/>
      <x:c r="AK145" s="14"/>
      <x:c r="AL145" s="14"/>
      <x:c r="AM145" s="14"/>
      <x:c r="AN145" s="14"/>
      <x:c r="AO145" s="14"/>
      <x:c r="AP145" s="14"/>
      <x:c r="AQ145" s="14"/>
      <x:c r="AR145" s="14"/>
      <x:c r="AS145" s="14"/>
      <x:c r="AT145" s="14"/>
      <x:c r="AU145" s="14"/>
      <x:c r="AV145" s="14"/>
      <x:c r="AW145" s="14"/>
      <x:c r="AX145" s="14"/>
      <x:c r="AY145" s="14"/>
      <x:c r="AZ145" s="14"/>
      <x:c r="BA145" s="14"/>
      <x:c r="BB145" s="14"/>
      <x:c r="BC145" s="14"/>
      <x:c r="BD145" s="17" t="str">
        <x:v>靜月簾衣Ⅱ</x:v>
      </x:c>
      <x:c r="BE145" s="17" t="str">
        <x:v>宿星燦甲Ⅱ</x:v>
      </x:c>
      <x:c r="BF145" s="17" t="str">
        <x:v>劍豪旭裝Ⅲ</x:v>
      </x:c>
      <x:c r="BG145" s="17" t="str">
        <x:v>勇將旭甲Ⅲ</x:v>
      </x:c>
      <x:c r="BH145" s="14"/>
      <x:c r="BI145" s="14"/>
      <x:c r="BJ145" s="14"/>
      <x:c r="BK145" s="14"/>
      <x:c r="BL145" s="14"/>
      <x:c r="BM145" s="14"/>
      <x:c r="BN145" s="14"/>
      <x:c r="BO145" s="14"/>
      <x:c r="BP145" s="14"/>
      <x:c r="BQ145" s="14"/>
      <x:c r="BR145" s="14"/>
      <x:c r="BS145" s="14"/>
      <x:c r="BT145" s="14"/>
      <x:c r="BU145" s="14"/>
      <x:c r="BV145" s="14"/>
      <x:c r="BW145" s="14"/>
      <x:c r="BX145" s="14"/>
      <x:c r="BY145" s="14"/>
      <x:c r="BZ145" s="14"/>
      <x:c r="CA145" s="14"/>
      <x:c r="CB145" s="14"/>
      <x:c r="CC145" s="14"/>
      <x:c r="CD145" s="14"/>
      <x:c r="CE145" s="14"/>
      <x:c r="CF145" s="14"/>
      <x:c r="CG145" s="14"/>
      <x:c r="CH145" s="14"/>
      <x:c r="CI145" s="14"/>
      <x:c r="CJ145" s="14"/>
      <x:c r="CK145" s="14"/>
      <x:c r="CL145" s="14"/>
      <x:c r="CM145" s="14"/>
      <x:c r="CN145" s="14"/>
      <x:c r="CO145" s="14"/>
      <x:c r="CP145" s="14"/>
      <x:c r="CQ145" s="14"/>
      <x:c r="CR145" s="14"/>
      <x:c r="CS145" s="14"/>
      <x:c r="CT145" s="14"/>
      <x:c r="CU145" s="14"/>
      <x:c r="CV145" s="14"/>
      <x:c r="CW145" s="14"/>
      <x:c r="CX145" s="14"/>
      <x:c r="CY145" s="14"/>
      <x:c r="CZ145" s="14"/>
      <x:c r="DA145" s="14"/>
      <x:c r="DB145" s="14"/>
      <x:c r="DC145" s="14"/>
      <x:c r="DD145" s="14"/>
      <x:c r="DE145" s="14"/>
      <x:c r="DF145" s="14"/>
      <x:c r="DG145" s="14"/>
      <x:c r="DH145" s="14"/>
      <x:c r="DI145" s="14"/>
      <x:c r="DJ145" s="14"/>
      <x:c r="DK145" s="14"/>
      <x:c r="DL145" s="14"/>
      <x:c r="DM145" s="14"/>
      <x:c r="DN145" s="14"/>
      <x:c r="DO145" s="14"/>
      <x:c r="DP145" s="14"/>
      <x:c r="DQ145" s="14"/>
      <x:c r="DR145" s="14"/>
      <x:c r="DS145" s="14"/>
      <x:c r="DT145" s="14"/>
      <x:c r="DU145" s="14"/>
      <x:c r="DV145" s="14"/>
      <x:c r="DW145" s="14"/>
      <x:c r="DX145" s="14"/>
      <x:c r="DY145" s="14"/>
      <x:c r="DZ145" s="14"/>
      <x:c r="EA145" s="14"/>
      <x:c r="EB145" s="14"/>
      <x:c r="EC145" s="14"/>
      <x:c r="ED145" s="14"/>
      <x:c r="EE145" s="14"/>
      <x:c r="EF145" s="14"/>
      <x:c r="EG145" s="14"/>
      <x:c r="EH145" s="14"/>
      <x:c r="EI145" s="14"/>
      <x:c r="EJ145" s="14"/>
      <x:c r="EK145" s="14"/>
      <x:c r="EL145" s="14"/>
      <x:c r="EM145" s="14"/>
      <x:c r="EN145" s="14"/>
      <x:c r="EO145" s="14"/>
      <x:c r="EP145" s="14"/>
      <x:c r="EQ145" s="14"/>
      <x:c r="ER145" s="14"/>
      <x:c r="ES145" s="14"/>
      <x:c r="ET145" s="14"/>
      <x:c r="EU145" s="14"/>
      <x:c r="EV145" s="14"/>
      <x:c r="EW145" s="14"/>
      <x:c r="EX145" s="14"/>
      <x:c r="EY145" s="14"/>
      <x:c r="EZ145" s="14"/>
      <x:c r="FA145" s="14"/>
      <x:c r="FB145" s="14"/>
      <x:c r="FC145" s="14"/>
      <x:c r="FD145" s="14"/>
      <x:c r="FE145" s="14"/>
      <x:c r="FF145" s="14"/>
      <x:c r="FG145" s="14"/>
      <x:c r="FH145" s="14"/>
      <x:c r="FI145" s="14"/>
      <x:c r="FJ145" s="14"/>
      <x:c r="FK145" s="14"/>
      <x:c r="FL145" s="14"/>
      <x:c r="FM145" s="14"/>
      <x:c r="FN145" s="14"/>
      <x:c r="FO145" s="14"/>
      <x:c r="FP145" s="14"/>
      <x:c r="FQ145" s="14"/>
      <x:c r="FR145" s="14"/>
      <x:c r="FS145" s="14"/>
      <x:c r="FT145" s="14"/>
      <x:c r="FU145" s="14"/>
      <x:c r="FV145" s="14"/>
      <x:c r="FW145" s="14"/>
      <x:c r="FX145" s="14"/>
      <x:c r="FY145" s="14"/>
      <x:c r="FZ145" s="14"/>
      <x:c r="GA145" s="14"/>
      <x:c r="GB145" s="14"/>
      <x:c r="GC145" s="14"/>
      <x:c r="GD145" s="14"/>
      <x:c r="GE145" s="14"/>
      <x:c r="GF145" s="14"/>
      <x:c r="GG145" s="14"/>
      <x:c r="GH145" s="14"/>
      <x:c r="GI145" s="14"/>
      <x:c r="GJ145" s="14"/>
      <x:c r="GK145" s="14"/>
      <x:c r="GL145" s="14"/>
      <x:c r="GM145" s="14"/>
      <x:c r="GN145" s="14"/>
      <x:c r="GO145" s="14"/>
      <x:c r="GP145" s="14"/>
      <x:c r="GQ145" s="14"/>
      <x:c r="GR145" s="14"/>
      <x:c r="GS145" s="14"/>
      <x:c r="GT145" s="14"/>
      <x:c r="GU145" s="14"/>
      <x:c r="GV145" s="14"/>
      <x:c r="GW145" s="14"/>
      <x:c r="GX145" s="14"/>
      <x:c r="GY145" s="14"/>
      <x:c r="GZ145" s="14"/>
      <x:c r="HA145" s="14"/>
      <x:c r="HB145" s="14"/>
      <x:c r="HC145" s="14"/>
      <x:c r="HD145" s="14"/>
      <x:c r="HE145" s="14"/>
      <x:c r="HF145" s="14"/>
      <x:c r="HG145" s="14"/>
      <x:c r="HH145" s="14"/>
      <x:c r="HI145" s="14"/>
      <x:c r="HJ145" s="14"/>
      <x:c r="HK145" s="14"/>
      <x:c r="HL145" s="14"/>
      <x:c r="HM145" s="14"/>
      <x:c r="HN145" s="14"/>
      <x:c r="HO145" s="14"/>
      <x:c r="HP145" s="14"/>
      <x:c r="HQ145" s="14"/>
      <x:c r="HR145" s="14"/>
      <x:c r="HS145" s="14"/>
      <x:c r="HT145" s="14"/>
      <x:c r="HU145" s="14"/>
      <x:c r="HV145" s="14"/>
      <x:c r="HW145" s="14"/>
      <x:c r="HX145" s="14"/>
      <x:c r="HY145" s="14"/>
      <x:c r="HZ145" s="14"/>
      <x:c r="IA145" s="14"/>
      <x:c r="IB145" s="14"/>
      <x:c r="IC145" s="14"/>
      <x:c r="ID145" s="14"/>
      <x:c r="IE145" s="14"/>
      <x:c r="IF145" s="14"/>
      <x:c r="IG145" s="14"/>
      <x:c r="IH145" s="14"/>
      <x:c r="II145" s="14"/>
      <x:c r="IJ145" s="14"/>
      <x:c r="IK145" s="14"/>
      <x:c r="IL145" s="14"/>
      <x:c r="IM145" s="14"/>
      <x:c r="IN145" s="14"/>
      <x:c r="IO145" s="14"/>
      <x:c r="IP145" s="14"/>
      <x:c r="IQ145" s="14"/>
      <x:c r="IR145" s="14"/>
      <x:c r="IS145" s="14"/>
      <x:c r="IT145" s="14"/>
      <x:c r="IU145" s="14"/>
      <x:c r="IV145" s="14"/>
      <x:c r="IW145" s="14"/>
      <x:c r="IX145" s="14"/>
      <x:c r="IY145" s="14"/>
      <x:c r="IZ145" s="14"/>
      <x:c r="JA145" s="14"/>
      <x:c r="JB145" s="14"/>
      <x:c r="JC145" s="14"/>
      <x:c r="JD145" s="14"/>
      <x:c r="JE145" s="14"/>
      <x:c r="JF145" s="14"/>
      <x:c r="JG145" s="14"/>
      <x:c r="JH145" s="14"/>
      <x:c r="JI145" s="14"/>
      <x:c r="JJ145" s="14"/>
      <x:c r="JK145" s="14"/>
      <x:c r="JL145" s="14"/>
      <x:c r="JM145" s="14"/>
      <x:c r="JN145" s="14"/>
      <x:c r="JO145" s="14"/>
      <x:c r="JP145" s="14"/>
      <x:c r="JQ145" s="14"/>
      <x:c r="JR145" s="14"/>
      <x:c r="JS145" s="14"/>
      <x:c r="JT145" s="14"/>
      <x:c r="JU145" s="14"/>
      <x:c r="JV145" s="14"/>
      <x:c r="JW145" s="14"/>
      <x:c r="JX145" s="14"/>
      <x:c r="JY145" s="14"/>
      <x:c r="JZ145" s="14"/>
      <x:c r="KA145" s="14"/>
      <x:c r="KB145" s="14"/>
      <x:c r="KC145" s="14"/>
      <x:c r="KD145" s="14"/>
      <x:c r="KE145" s="14"/>
      <x:c r="KF145" s="14"/>
      <x:c r="KG145" s="14"/>
      <x:c r="KH145" s="14"/>
      <x:c r="KI145" s="14"/>
      <x:c r="KJ145" s="14"/>
      <x:c r="KK145" s="14"/>
      <x:c r="KL145" s="14"/>
      <x:c r="KM145" s="14"/>
      <x:c r="KN145" s="14"/>
      <x:c r="KO145" s="14"/>
      <x:c r="KP145" s="14"/>
      <x:c r="KQ145" s="14"/>
      <x:c r="KR145" s="14"/>
      <x:c r="KS145" s="14"/>
      <x:c r="KT145" s="14"/>
      <x:c r="KU145" s="14"/>
      <x:c r="KV145" s="14"/>
      <x:c r="KW145" s="14"/>
      <x:c r="KX145" s="14"/>
      <x:c r="KY145" s="14"/>
      <x:c r="KZ145" s="14"/>
      <x:c r="LA145" s="14"/>
      <x:c r="LB145" s="14"/>
      <x:c r="LC145" s="14"/>
      <x:c r="LD145" s="14"/>
      <x:c r="LE145" s="14"/>
      <x:c r="LF145" s="14"/>
      <x:c r="LG145" s="14"/>
      <x:c r="LH145" s="14"/>
      <x:c r="LI145" s="14"/>
      <x:c r="LJ145" s="14"/>
      <x:c r="LK145" s="14"/>
      <x:c r="LL145" s="14"/>
      <x:c r="LM145" s="14"/>
      <x:c r="LN145" s="14"/>
      <x:c r="LO145" s="14"/>
      <x:c r="LP145" s="14"/>
      <x:c r="LQ145" s="14"/>
      <x:c r="LR145" s="14"/>
      <x:c r="LS145" s="14"/>
      <x:c r="LT145" s="14"/>
      <x:c r="LU145" s="14"/>
      <x:c r="LV145" s="14"/>
      <x:c r="LW145" s="14"/>
      <x:c r="LX145" s="14"/>
      <x:c r="LY145" s="14"/>
      <x:c r="LZ145" s="14"/>
      <x:c r="MA145" s="14"/>
      <x:c r="MB145" s="14"/>
      <x:c r="MC145" s="14"/>
      <x:c r="MD145" s="14"/>
      <x:c r="ME145" s="14"/>
      <x:c r="MF145" s="14"/>
      <x:c r="MG145" s="14"/>
      <x:c r="MH145" s="14"/>
      <x:c r="MI145" s="14"/>
      <x:c r="MJ145" s="14"/>
      <x:c r="MK145" s="14"/>
      <x:c r="ML145" s="14"/>
      <x:c r="MM145" s="14"/>
      <x:c r="MN145" s="14"/>
      <x:c r="MO145" s="14"/>
      <x:c r="MP145" s="14"/>
      <x:c r="MQ145" s="14"/>
      <x:c r="MR145" s="14"/>
      <x:c r="MS145" s="14"/>
      <x:c r="MT145" s="14"/>
      <x:c r="MU145" s="14"/>
      <x:c r="MV145" s="14"/>
      <x:c r="MW145" s="14"/>
      <x:c r="MX145" s="14"/>
      <x:c r="MY145" s="14"/>
      <x:c r="MZ145" s="14"/>
      <x:c r="NA145" s="14"/>
      <x:c r="NB145" s="14"/>
      <x:c r="NC145" s="14"/>
      <x:c r="ND145" s="14"/>
      <x:c r="NE145" s="14"/>
      <x:c r="NF145" s="14"/>
      <x:c r="NG145" s="14"/>
      <x:c r="NH145" s="14"/>
      <x:c r="NI145" s="14"/>
      <x:c r="NJ145" s="14"/>
      <x:c r="NK145" s="14"/>
      <x:c r="NL145" s="14"/>
      <x:c r="NM145" s="14"/>
      <x:c r="NN145" s="14"/>
      <x:c r="NO145" s="14"/>
      <x:c r="NP145" s="14"/>
      <x:c r="NQ145" s="14"/>
      <x:c r="NR145" s="14"/>
      <x:c r="NS145" s="14"/>
      <x:c r="NT145" s="14"/>
      <x:c r="NU145" s="14"/>
      <x:c r="NV145" s="14"/>
      <x:c r="NW145" s="14"/>
      <x:c r="NX145" s="14"/>
      <x:c r="NY145" s="14" t="str">
        <x:v>30397</x:v>
      </x:c>
      <x:c r="NZ145" s="14" t="n">
        <x:v>10</x:v>
      </x:c>
      <x:c r="OA145" s="14" t="n">
        <x:v>2582</x:v>
      </x:c>
      <x:c r="OB145" s="14" t="n">
        <x:v>481</x:v>
      </x:c>
      <x:c r="OC145" s="14" t="n">
        <x:v>1</x:v>
      </x:c>
      <x:c r="OD145" s="14" t="n">
        <x:v>1</x:v>
      </x:c>
      <x:c r="OE145" s="14" t="str">
        <x:v>未收錄</x:v>
      </x:c>
      <x:c r="OF145" s="14" t="str">
        <x:v>30417</x:v>
      </x:c>
      <x:c r="OG145" s="14" t="n">
        <x:v>10</x:v>
      </x:c>
      <x:c r="OH145" s="14" t="n">
        <x:v>2583</x:v>
      </x:c>
      <x:c r="OI145" s="14" t="n">
        <x:v>482</x:v>
      </x:c>
      <x:c r="OJ145" s="14" t="n">
        <x:v>1</x:v>
      </x:c>
      <x:c r="OK145" s="14" t="n">
        <x:v>2</x:v>
      </x:c>
      <x:c r="OL145" s="14" t="str">
        <x:v>未收錄</x:v>
      </x:c>
      <x:c r="OM145" s="14" t="str">
        <x:v>30278</x:v>
      </x:c>
      <x:c r="ON145" s="14" t="n">
        <x:v>5</x:v>
      </x:c>
      <x:c r="OO145" s="14" t="n">
        <x:v>2584</x:v>
      </x:c>
      <x:c r="OP145" s="14" t="n">
        <x:v>483</x:v>
      </x:c>
      <x:c r="OQ145" s="14" t="n">
        <x:v>1</x:v>
      </x:c>
      <x:c r="OR145" s="14" t="n">
        <x:v>3</x:v>
      </x:c>
      <x:c r="OS145" s="14" t="str">
        <x:v>未收錄</x:v>
      </x:c>
      <x:c r="OT145" s="14" t="str">
        <x:v>30283</x:v>
      </x:c>
      <x:c r="OU145" s="14" t="n">
        <x:v>5</x:v>
      </x:c>
      <x:c r="OV145" s="14" t="n">
        <x:v>2585</x:v>
      </x:c>
      <x:c r="OW145" s="14" t="n">
        <x:v>484</x:v>
      </x:c>
      <x:c r="OX145" s="14" t="n">
        <x:v>1</x:v>
      </x:c>
      <x:c r="OY145" s="14" t="n">
        <x:v>4</x:v>
      </x:c>
      <x:c r="OZ145" s="14" t="str">
        <x:v>未收錄</x:v>
      </x:c>
      <x:c r="PA145" s="14"/>
      <x:c r="PB145" s="14"/>
      <x:c r="PC145" s="14"/>
      <x:c r="PD145" s="14"/>
      <x:c r="PE145" s="14"/>
      <x:c r="PF145" s="14"/>
      <x:c r="PG145" s="14"/>
      <x:c r="PH145" s="14"/>
      <x:c r="PI145" s="14"/>
      <x:c r="PJ145" s="14"/>
      <x:c r="PK145" s="14"/>
      <x:c r="PL145" s="14"/>
      <x:c r="PM145" s="14"/>
      <x:c r="PN145" s="14"/>
      <x:c r="PO145" s="14"/>
      <x:c r="PP145" s="14"/>
      <x:c r="PQ145" s="14"/>
      <x:c r="PR145" s="14"/>
      <x:c r="PS145" s="14"/>
      <x:c r="PT145" s="14"/>
      <x:c r="PU145" s="14"/>
      <x:c r="PV145" s="14"/>
      <x:c r="PW145" s="14"/>
      <x:c r="PX145" s="14"/>
      <x:c r="PY145" s="14"/>
      <x:c r="PZ145" s="14"/>
      <x:c r="QA145" s="14"/>
      <x:c r="QB145" s="14"/>
      <x:c r="QC145" s="14"/>
      <x:c r="QD145" s="14"/>
      <x:c r="QE145" s="14"/>
      <x:c r="QF145" s="14"/>
      <x:c r="QG145" s="14"/>
      <x:c r="QH145" s="14"/>
      <x:c r="QI145" s="14"/>
      <x:c r="QJ145" s="14"/>
      <x:c r="QK145" s="14"/>
      <x:c r="QL145" s="14"/>
      <x:c r="QM145" s="14"/>
      <x:c r="QN145" s="14"/>
      <x:c r="QO145" s="14"/>
      <x:c r="QP145" s="14"/>
      <x:c r="QQ145" s="14"/>
      <x:c r="QR145" s="14"/>
      <x:c r="QS145" s="14"/>
      <x:c r="QT145" s="14"/>
      <x:c r="QU145" s="14"/>
      <x:c r="QV145" s="14"/>
      <x:c r="QW145" s="14"/>
      <x:c r="QX145" s="14"/>
      <x:c r="QY145" s="14"/>
      <x:c r="QZ145" s="14"/>
      <x:c r="RA145" s="14"/>
      <x:c r="RB145" s="14"/>
      <x:c r="RC145" s="14"/>
      <x:c r="RD145" s="14"/>
      <x:c r="RE145" s="14"/>
      <x:c r="RF145" s="14"/>
      <x:c r="RG145" s="14"/>
      <x:c r="RH145" s="14"/>
      <x:c r="RI145" s="14"/>
      <x:c r="RJ145" s="14"/>
      <x:c r="RK145" s="14"/>
      <x:c r="RL145" s="14"/>
      <x:c r="RM145" s="14"/>
      <x:c r="RN145" s="14"/>
      <x:c r="RO145" s="14"/>
      <x:c r="RP145" s="14"/>
      <x:c r="RQ145" s="14"/>
      <x:c r="RR145" s="14"/>
      <x:c r="RS145" s="14"/>
      <x:c r="RT145" s="14"/>
      <x:c r="RU145" s="14"/>
      <x:c r="RV145" s="14"/>
      <x:c r="RW145" s="14"/>
      <x:c r="RX145" s="14"/>
      <x:c r="RY145" s="14"/>
      <x:c r="RZ145" s="14"/>
      <x:c r="SA145" s="14"/>
      <x:c r="SB145" s="14"/>
      <x:c r="SC145" s="14"/>
      <x:c r="SD145" s="14"/>
      <x:c r="SE145" s="14"/>
      <x:c r="SF145" s="14"/>
      <x:c r="SG145" s="14"/>
      <x:c r="SH145" s="14"/>
      <x:c r="SI145" s="14"/>
      <x:c r="SJ145" s="14"/>
      <x:c r="SK145" s="14"/>
      <x:c r="SL145" s="14"/>
      <x:c r="SM145" s="14"/>
      <x:c r="SN145" s="14"/>
      <x:c r="SO145" s="14"/>
      <x:c r="SP145" s="14"/>
      <x:c r="SQ145" s="14"/>
      <x:c r="SR145" s="14"/>
      <x:c r="SS145" s="14"/>
      <x:c r="ST145" s="14"/>
      <x:c r="SU145" s="14"/>
      <x:c r="SV145" s="14"/>
      <x:c r="SW145" s="14"/>
      <x:c r="SX145" s="14"/>
      <x:c r="SY145" s="14"/>
      <x:c r="SZ145" s="14"/>
      <x:c r="TA145" s="14"/>
      <x:c r="TB145" s="14"/>
      <x:c r="TC145" s="14"/>
      <x:c r="TD145" s="14"/>
      <x:c r="TE145" s="14"/>
      <x:c r="TF145" s="14"/>
      <x:c r="TG145" s="14"/>
      <x:c r="TH145" s="14"/>
    </x:row>
    <x:row r="146" ht="15" customHeight="1">
      <x:c r="A146" s="14"/>
      <x:c r="B146" s="14"/>
      <x:c r="C146" s="14"/>
      <x:c r="D146" s="14"/>
      <x:c r="E146" s="14"/>
      <x:c r="F146" s="14"/>
      <x:c r="G146" s="14"/>
      <x:c r="H146" s="14"/>
      <x:c r="I146" s="14"/>
      <x:c r="J146" s="14"/>
      <x:c r="K146" s="14"/>
      <x:c r="L146" s="14"/>
      <x:c r="M146" s="14"/>
      <x:c r="N146" s="14"/>
      <x:c r="O146" s="14"/>
      <x:c r="P146" s="14"/>
      <x:c r="Q146" s="14"/>
      <x:c r="R146" s="14"/>
      <x:c r="S146" s="14"/>
      <x:c r="T146" s="14"/>
      <x:c r="U146" s="14"/>
      <x:c r="V146" s="14"/>
      <x:c r="W146" s="14"/>
      <x:c r="X146" s="14"/>
      <x:c r="Y146" s="14"/>
      <x:c r="Z146" s="14"/>
      <x:c r="AA146" s="14"/>
      <x:c r="AB146" s="14"/>
      <x:c r="AC146" s="14"/>
      <x:c r="AD146" s="14"/>
      <x:c r="AE146" s="14"/>
      <x:c r="AF146" s="14"/>
      <x:c r="AG146" s="14"/>
      <x:c r="AH146" s="14"/>
      <x:c r="AI146" s="14"/>
      <x:c r="AJ146" s="14"/>
      <x:c r="AK146" s="14"/>
      <x:c r="AL146" s="14"/>
      <x:c r="AM146" s="14"/>
      <x:c r="AN146" s="14"/>
      <x:c r="AO146" s="14"/>
      <x:c r="AP146" s="14"/>
      <x:c r="AQ146" s="14"/>
      <x:c r="AR146" s="14"/>
      <x:c r="AS146" s="14"/>
      <x:c r="AT146" s="14"/>
      <x:c r="AU146" s="14"/>
      <x:c r="AV146" s="14"/>
      <x:c r="AW146" s="14"/>
      <x:c r="AX146" s="14"/>
      <x:c r="AY146" s="14"/>
      <x:c r="AZ146" s="14"/>
      <x:c r="BA146" s="14"/>
      <x:c r="BB146" s="14"/>
      <x:c r="BC146" s="14"/>
      <x:c r="BD146" s="18" t="str">
        <x:v>術凌旭服Ⅲ</x:v>
      </x:c>
      <x:c r="BE146" s="18" t="str">
        <x:v>道清旭袍Ⅲ</x:v>
      </x:c>
      <x:c r="BF146" s="18" t="str">
        <x:v>禪臺旭袈Ⅲ</x:v>
      </x:c>
      <x:c r="BG146" s="18" t="str">
        <x:v>狂陽耀鎧Ⅲ</x:v>
      </x:c>
      <x:c r="BH146" s="14"/>
      <x:c r="BI146" s="14"/>
      <x:c r="BJ146" s="14"/>
      <x:c r="BK146" s="14"/>
      <x:c r="BL146" s="14"/>
      <x:c r="BM146" s="14"/>
      <x:c r="BN146" s="14"/>
      <x:c r="BO146" s="14"/>
      <x:c r="BP146" s="14"/>
      <x:c r="BQ146" s="14"/>
      <x:c r="BR146" s="14"/>
      <x:c r="BS146" s="14"/>
      <x:c r="BT146" s="14"/>
      <x:c r="BU146" s="14"/>
      <x:c r="BV146" s="14"/>
      <x:c r="BW146" s="14"/>
      <x:c r="BX146" s="14"/>
      <x:c r="BY146" s="14"/>
      <x:c r="BZ146" s="14"/>
      <x:c r="CA146" s="14"/>
      <x:c r="CB146" s="14"/>
      <x:c r="CC146" s="14"/>
      <x:c r="CD146" s="14"/>
      <x:c r="CE146" s="14"/>
      <x:c r="CF146" s="14"/>
      <x:c r="CG146" s="14"/>
      <x:c r="CH146" s="14"/>
      <x:c r="CI146" s="14"/>
      <x:c r="CJ146" s="14"/>
      <x:c r="CK146" s="14"/>
      <x:c r="CL146" s="14"/>
      <x:c r="CM146" s="14"/>
      <x:c r="CN146" s="14"/>
      <x:c r="CO146" s="14"/>
      <x:c r="CP146" s="14"/>
      <x:c r="CQ146" s="14"/>
      <x:c r="CR146" s="14"/>
      <x:c r="CS146" s="14"/>
      <x:c r="CT146" s="14"/>
      <x:c r="CU146" s="14"/>
      <x:c r="CV146" s="14"/>
      <x:c r="CW146" s="14"/>
      <x:c r="CX146" s="14"/>
      <x:c r="CY146" s="14"/>
      <x:c r="CZ146" s="14"/>
      <x:c r="DA146" s="14"/>
      <x:c r="DB146" s="14"/>
      <x:c r="DC146" s="14"/>
      <x:c r="DD146" s="14"/>
      <x:c r="DE146" s="14"/>
      <x:c r="DF146" s="14"/>
      <x:c r="DG146" s="14"/>
      <x:c r="DH146" s="14"/>
      <x:c r="DI146" s="14"/>
      <x:c r="DJ146" s="14"/>
      <x:c r="DK146" s="14"/>
      <x:c r="DL146" s="14"/>
      <x:c r="DM146" s="14"/>
      <x:c r="DN146" s="14"/>
      <x:c r="DO146" s="14"/>
      <x:c r="DP146" s="14"/>
      <x:c r="DQ146" s="14"/>
      <x:c r="DR146" s="14"/>
      <x:c r="DS146" s="14"/>
      <x:c r="DT146" s="14"/>
      <x:c r="DU146" s="14"/>
      <x:c r="DV146" s="14"/>
      <x:c r="DW146" s="14"/>
      <x:c r="DX146" s="14"/>
      <x:c r="DY146" s="14"/>
      <x:c r="DZ146" s="14"/>
      <x:c r="EA146" s="14"/>
      <x:c r="EB146" s="14"/>
      <x:c r="EC146" s="14"/>
      <x:c r="ED146" s="14"/>
      <x:c r="EE146" s="14"/>
      <x:c r="EF146" s="14"/>
      <x:c r="EG146" s="14"/>
      <x:c r="EH146" s="14"/>
      <x:c r="EI146" s="14"/>
      <x:c r="EJ146" s="14"/>
      <x:c r="EK146" s="14"/>
      <x:c r="EL146" s="14"/>
      <x:c r="EM146" s="14"/>
      <x:c r="EN146" s="14"/>
      <x:c r="EO146" s="14"/>
      <x:c r="EP146" s="14"/>
      <x:c r="EQ146" s="14"/>
      <x:c r="ER146" s="14"/>
      <x:c r="ES146" s="14"/>
      <x:c r="ET146" s="14"/>
      <x:c r="EU146" s="14"/>
      <x:c r="EV146" s="14"/>
      <x:c r="EW146" s="14"/>
      <x:c r="EX146" s="14"/>
      <x:c r="EY146" s="14"/>
      <x:c r="EZ146" s="14"/>
      <x:c r="FA146" s="14"/>
      <x:c r="FB146" s="14"/>
      <x:c r="FC146" s="14"/>
      <x:c r="FD146" s="14"/>
      <x:c r="FE146" s="14"/>
      <x:c r="FF146" s="14"/>
      <x:c r="FG146" s="14"/>
      <x:c r="FH146" s="14"/>
      <x:c r="FI146" s="14"/>
      <x:c r="FJ146" s="14"/>
      <x:c r="FK146" s="14"/>
      <x:c r="FL146" s="14"/>
      <x:c r="FM146" s="14"/>
      <x:c r="FN146" s="14"/>
      <x:c r="FO146" s="14"/>
      <x:c r="FP146" s="14"/>
      <x:c r="FQ146" s="14"/>
      <x:c r="FR146" s="14"/>
      <x:c r="FS146" s="14"/>
      <x:c r="FT146" s="14"/>
      <x:c r="FU146" s="14"/>
      <x:c r="FV146" s="14"/>
      <x:c r="FW146" s="14"/>
      <x:c r="FX146" s="14"/>
      <x:c r="FY146" s="14"/>
      <x:c r="FZ146" s="14"/>
      <x:c r="GA146" s="14"/>
      <x:c r="GB146" s="14"/>
      <x:c r="GC146" s="14"/>
      <x:c r="GD146" s="14"/>
      <x:c r="GE146" s="14"/>
      <x:c r="GF146" s="14"/>
      <x:c r="GG146" s="14"/>
      <x:c r="GH146" s="14"/>
      <x:c r="GI146" s="14"/>
      <x:c r="GJ146" s="14"/>
      <x:c r="GK146" s="14"/>
      <x:c r="GL146" s="14"/>
      <x:c r="GM146" s="14"/>
      <x:c r="GN146" s="14"/>
      <x:c r="GO146" s="14"/>
      <x:c r="GP146" s="14"/>
      <x:c r="GQ146" s="14"/>
      <x:c r="GR146" s="14"/>
      <x:c r="GS146" s="14"/>
      <x:c r="GT146" s="14"/>
      <x:c r="GU146" s="14"/>
      <x:c r="GV146" s="14"/>
      <x:c r="GW146" s="14"/>
      <x:c r="GX146" s="14"/>
      <x:c r="GY146" s="14"/>
      <x:c r="GZ146" s="14"/>
      <x:c r="HA146" s="14"/>
      <x:c r="HB146" s="14"/>
      <x:c r="HC146" s="14"/>
      <x:c r="HD146" s="14"/>
      <x:c r="HE146" s="14"/>
      <x:c r="HF146" s="14"/>
      <x:c r="HG146" s="14"/>
      <x:c r="HH146" s="14"/>
      <x:c r="HI146" s="14"/>
      <x:c r="HJ146" s="14"/>
      <x:c r="HK146" s="14"/>
      <x:c r="HL146" s="14"/>
      <x:c r="HM146" s="14"/>
      <x:c r="HN146" s="14"/>
      <x:c r="HO146" s="14"/>
      <x:c r="HP146" s="14"/>
      <x:c r="HQ146" s="14"/>
      <x:c r="HR146" s="14"/>
      <x:c r="HS146" s="14"/>
      <x:c r="HT146" s="14"/>
      <x:c r="HU146" s="14"/>
      <x:c r="HV146" s="14"/>
      <x:c r="HW146" s="14"/>
      <x:c r="HX146" s="14"/>
      <x:c r="HY146" s="14"/>
      <x:c r="HZ146" s="14"/>
      <x:c r="IA146" s="14"/>
      <x:c r="IB146" s="14"/>
      <x:c r="IC146" s="14"/>
      <x:c r="ID146" s="14"/>
      <x:c r="IE146" s="14"/>
      <x:c r="IF146" s="14"/>
      <x:c r="IG146" s="14"/>
      <x:c r="IH146" s="14"/>
      <x:c r="II146" s="14"/>
      <x:c r="IJ146" s="14"/>
      <x:c r="IK146" s="14"/>
      <x:c r="IL146" s="14"/>
      <x:c r="IM146" s="14"/>
      <x:c r="IN146" s="14"/>
      <x:c r="IO146" s="14"/>
      <x:c r="IP146" s="14"/>
      <x:c r="IQ146" s="14"/>
      <x:c r="IR146" s="14"/>
      <x:c r="IS146" s="14"/>
      <x:c r="IT146" s="14"/>
      <x:c r="IU146" s="14"/>
      <x:c r="IV146" s="14"/>
      <x:c r="IW146" s="14"/>
      <x:c r="IX146" s="14"/>
      <x:c r="IY146" s="14"/>
      <x:c r="IZ146" s="14"/>
      <x:c r="JA146" s="14"/>
      <x:c r="JB146" s="14"/>
      <x:c r="JC146" s="14"/>
      <x:c r="JD146" s="14"/>
      <x:c r="JE146" s="14"/>
      <x:c r="JF146" s="14"/>
      <x:c r="JG146" s="14"/>
      <x:c r="JH146" s="14"/>
      <x:c r="JI146" s="14"/>
      <x:c r="JJ146" s="14"/>
      <x:c r="JK146" s="14"/>
      <x:c r="JL146" s="14"/>
      <x:c r="JM146" s="14"/>
      <x:c r="JN146" s="14"/>
      <x:c r="JO146" s="14"/>
      <x:c r="JP146" s="14"/>
      <x:c r="JQ146" s="14"/>
      <x:c r="JR146" s="14"/>
      <x:c r="JS146" s="14"/>
      <x:c r="JT146" s="14"/>
      <x:c r="JU146" s="14"/>
      <x:c r="JV146" s="14"/>
      <x:c r="JW146" s="14"/>
      <x:c r="JX146" s="14"/>
      <x:c r="JY146" s="14"/>
      <x:c r="JZ146" s="14"/>
      <x:c r="KA146" s="14"/>
      <x:c r="KB146" s="14"/>
      <x:c r="KC146" s="14"/>
      <x:c r="KD146" s="14"/>
      <x:c r="KE146" s="14"/>
      <x:c r="KF146" s="14"/>
      <x:c r="KG146" s="14"/>
      <x:c r="KH146" s="14"/>
      <x:c r="KI146" s="14"/>
      <x:c r="KJ146" s="14"/>
      <x:c r="KK146" s="14"/>
      <x:c r="KL146" s="14"/>
      <x:c r="KM146" s="14"/>
      <x:c r="KN146" s="14"/>
      <x:c r="KO146" s="14"/>
      <x:c r="KP146" s="14"/>
      <x:c r="KQ146" s="14"/>
      <x:c r="KR146" s="14"/>
      <x:c r="KS146" s="14"/>
      <x:c r="KT146" s="14"/>
      <x:c r="KU146" s="14"/>
      <x:c r="KV146" s="14"/>
      <x:c r="KW146" s="14"/>
      <x:c r="KX146" s="14"/>
      <x:c r="KY146" s="14"/>
      <x:c r="KZ146" s="14"/>
      <x:c r="LA146" s="14"/>
      <x:c r="LB146" s="14"/>
      <x:c r="LC146" s="14"/>
      <x:c r="LD146" s="14"/>
      <x:c r="LE146" s="14"/>
      <x:c r="LF146" s="14"/>
      <x:c r="LG146" s="14"/>
      <x:c r="LH146" s="14"/>
      <x:c r="LI146" s="14"/>
      <x:c r="LJ146" s="14"/>
      <x:c r="LK146" s="14"/>
      <x:c r="LL146" s="14"/>
      <x:c r="LM146" s="14"/>
      <x:c r="LN146" s="14"/>
      <x:c r="LO146" s="14"/>
      <x:c r="LP146" s="14"/>
      <x:c r="LQ146" s="14"/>
      <x:c r="LR146" s="14"/>
      <x:c r="LS146" s="14"/>
      <x:c r="LT146" s="14"/>
      <x:c r="LU146" s="14"/>
      <x:c r="LV146" s="14"/>
      <x:c r="LW146" s="14"/>
      <x:c r="LX146" s="14"/>
      <x:c r="LY146" s="14"/>
      <x:c r="LZ146" s="14"/>
      <x:c r="MA146" s="14"/>
      <x:c r="MB146" s="14"/>
      <x:c r="MC146" s="14"/>
      <x:c r="MD146" s="14"/>
      <x:c r="ME146" s="14"/>
      <x:c r="MF146" s="14"/>
      <x:c r="MG146" s="14"/>
      <x:c r="MH146" s="14"/>
      <x:c r="MI146" s="14"/>
      <x:c r="MJ146" s="14"/>
      <x:c r="MK146" s="14"/>
      <x:c r="ML146" s="14"/>
      <x:c r="MM146" s="14"/>
      <x:c r="MN146" s="14"/>
      <x:c r="MO146" s="14"/>
      <x:c r="MP146" s="14"/>
      <x:c r="MQ146" s="14"/>
      <x:c r="MR146" s="14"/>
      <x:c r="MS146" s="14"/>
      <x:c r="MT146" s="14"/>
      <x:c r="MU146" s="14"/>
      <x:c r="MV146" s="14"/>
      <x:c r="MW146" s="14"/>
      <x:c r="MX146" s="14"/>
      <x:c r="MY146" s="14"/>
      <x:c r="MZ146" s="14"/>
      <x:c r="NA146" s="14"/>
      <x:c r="NB146" s="14"/>
      <x:c r="NC146" s="14"/>
      <x:c r="ND146" s="14"/>
      <x:c r="NE146" s="14"/>
      <x:c r="NF146" s="14"/>
      <x:c r="NG146" s="14"/>
      <x:c r="NH146" s="14"/>
      <x:c r="NI146" s="14"/>
      <x:c r="NJ146" s="14"/>
      <x:c r="NK146" s="14"/>
      <x:c r="NL146" s="14"/>
      <x:c r="NM146" s="14"/>
      <x:c r="NN146" s="14"/>
      <x:c r="NO146" s="14"/>
      <x:c r="NP146" s="14"/>
      <x:c r="NQ146" s="14"/>
      <x:c r="NR146" s="14"/>
      <x:c r="NS146" s="14"/>
      <x:c r="NT146" s="14"/>
      <x:c r="NU146" s="14"/>
      <x:c r="NV146" s="14"/>
      <x:c r="NW146" s="14"/>
      <x:c r="NX146" s="14"/>
      <x:c r="NY146" s="14" t="str">
        <x:v>30288</x:v>
      </x:c>
      <x:c r="NZ146" s="14" t="n">
        <x:v>5</x:v>
      </x:c>
      <x:c r="OA146" s="14" t="n">
        <x:v>2586</x:v>
      </x:c>
      <x:c r="OB146" s="14" t="n">
        <x:v>485</x:v>
      </x:c>
      <x:c r="OC146" s="14" t="n">
        <x:v>2</x:v>
      </x:c>
      <x:c r="OD146" s="14" t="n">
        <x:v>1</x:v>
      </x:c>
      <x:c r="OE146" s="14" t="str">
        <x:v>未收錄</x:v>
      </x:c>
      <x:c r="OF146" s="14" t="str">
        <x:v>30293</x:v>
      </x:c>
      <x:c r="OG146" s="14" t="n">
        <x:v>5</x:v>
      </x:c>
      <x:c r="OH146" s="14" t="n">
        <x:v>2587</x:v>
      </x:c>
      <x:c r="OI146" s="14" t="n">
        <x:v>486</x:v>
      </x:c>
      <x:c r="OJ146" s="14" t="n">
        <x:v>2</x:v>
      </x:c>
      <x:c r="OK146" s="14" t="n">
        <x:v>2</x:v>
      </x:c>
      <x:c r="OL146" s="14" t="str">
        <x:v>未收錄</x:v>
      </x:c>
      <x:c r="OM146" s="14" t="str">
        <x:v>30298</x:v>
      </x:c>
      <x:c r="ON146" s="14" t="n">
        <x:v>5</x:v>
      </x:c>
      <x:c r="OO146" s="14" t="n">
        <x:v>2588</x:v>
      </x:c>
      <x:c r="OP146" s="14" t="n">
        <x:v>487</x:v>
      </x:c>
      <x:c r="OQ146" s="14" t="n">
        <x:v>2</x:v>
      </x:c>
      <x:c r="OR146" s="14" t="n">
        <x:v>3</x:v>
      </x:c>
      <x:c r="OS146" s="14" t="str">
        <x:v>未收錄</x:v>
      </x:c>
      <x:c r="OT146" s="14" t="str">
        <x:v>30378</x:v>
      </x:c>
      <x:c r="OU146" s="14" t="n">
        <x:v>10</x:v>
      </x:c>
      <x:c r="OV146" s="14" t="n">
        <x:v>2589</x:v>
      </x:c>
      <x:c r="OW146" s="14" t="n">
        <x:v>488</x:v>
      </x:c>
      <x:c r="OX146" s="14" t="n">
        <x:v>2</x:v>
      </x:c>
      <x:c r="OY146" s="14" t="n">
        <x:v>4</x:v>
      </x:c>
      <x:c r="OZ146" s="14" t="str">
        <x:v>未收錄</x:v>
      </x:c>
      <x:c r="PA146" s="14"/>
      <x:c r="PB146" s="14"/>
      <x:c r="PC146" s="14"/>
      <x:c r="PD146" s="14"/>
      <x:c r="PE146" s="14"/>
      <x:c r="PF146" s="14"/>
      <x:c r="PG146" s="14"/>
      <x:c r="PH146" s="14"/>
      <x:c r="PI146" s="14"/>
      <x:c r="PJ146" s="14"/>
      <x:c r="PK146" s="14"/>
      <x:c r="PL146" s="14"/>
      <x:c r="PM146" s="14"/>
      <x:c r="PN146" s="14"/>
      <x:c r="PO146" s="14"/>
      <x:c r="PP146" s="14"/>
      <x:c r="PQ146" s="14"/>
      <x:c r="PR146" s="14"/>
      <x:c r="PS146" s="14"/>
      <x:c r="PT146" s="14"/>
      <x:c r="PU146" s="14"/>
      <x:c r="PV146" s="14"/>
      <x:c r="PW146" s="14"/>
      <x:c r="PX146" s="14"/>
      <x:c r="PY146" s="14"/>
      <x:c r="PZ146" s="14"/>
      <x:c r="QA146" s="14"/>
      <x:c r="QB146" s="14"/>
      <x:c r="QC146" s="14"/>
      <x:c r="QD146" s="14"/>
      <x:c r="QE146" s="14"/>
      <x:c r="QF146" s="14"/>
      <x:c r="QG146" s="14"/>
      <x:c r="QH146" s="14"/>
      <x:c r="QI146" s="14"/>
      <x:c r="QJ146" s="14"/>
      <x:c r="QK146" s="14"/>
      <x:c r="QL146" s="14"/>
      <x:c r="QM146" s="14"/>
      <x:c r="QN146" s="14"/>
      <x:c r="QO146" s="14"/>
      <x:c r="QP146" s="14"/>
      <x:c r="QQ146" s="14"/>
      <x:c r="QR146" s="14"/>
      <x:c r="QS146" s="14"/>
      <x:c r="QT146" s="14"/>
      <x:c r="QU146" s="14"/>
      <x:c r="QV146" s="14"/>
      <x:c r="QW146" s="14"/>
      <x:c r="QX146" s="14"/>
      <x:c r="QY146" s="14"/>
      <x:c r="QZ146" s="14"/>
      <x:c r="RA146" s="14"/>
      <x:c r="RB146" s="14"/>
      <x:c r="RC146" s="14"/>
      <x:c r="RD146" s="14"/>
      <x:c r="RE146" s="14"/>
      <x:c r="RF146" s="14"/>
      <x:c r="RG146" s="14"/>
      <x:c r="RH146" s="14"/>
      <x:c r="RI146" s="14"/>
      <x:c r="RJ146" s="14"/>
      <x:c r="RK146" s="14"/>
      <x:c r="RL146" s="14"/>
      <x:c r="RM146" s="14"/>
      <x:c r="RN146" s="14"/>
      <x:c r="RO146" s="14"/>
      <x:c r="RP146" s="14"/>
      <x:c r="RQ146" s="14"/>
      <x:c r="RR146" s="14"/>
      <x:c r="RS146" s="14"/>
      <x:c r="RT146" s="14"/>
      <x:c r="RU146" s="14"/>
      <x:c r="RV146" s="14"/>
      <x:c r="RW146" s="14"/>
      <x:c r="RX146" s="14"/>
      <x:c r="RY146" s="14"/>
      <x:c r="RZ146" s="14"/>
      <x:c r="SA146" s="14"/>
      <x:c r="SB146" s="14"/>
      <x:c r="SC146" s="14"/>
      <x:c r="SD146" s="14"/>
      <x:c r="SE146" s="14"/>
      <x:c r="SF146" s="14"/>
      <x:c r="SG146" s="14"/>
      <x:c r="SH146" s="14"/>
      <x:c r="SI146" s="14"/>
      <x:c r="SJ146" s="14"/>
      <x:c r="SK146" s="14"/>
      <x:c r="SL146" s="14"/>
      <x:c r="SM146" s="14"/>
      <x:c r="SN146" s="14"/>
      <x:c r="SO146" s="14"/>
      <x:c r="SP146" s="14"/>
      <x:c r="SQ146" s="14"/>
      <x:c r="SR146" s="14"/>
      <x:c r="SS146" s="14"/>
      <x:c r="ST146" s="14"/>
      <x:c r="SU146" s="14"/>
      <x:c r="SV146" s="14"/>
      <x:c r="SW146" s="14"/>
      <x:c r="SX146" s="14"/>
      <x:c r="SY146" s="14"/>
      <x:c r="SZ146" s="14"/>
      <x:c r="TA146" s="14"/>
      <x:c r="TB146" s="14"/>
      <x:c r="TC146" s="14"/>
      <x:c r="TD146" s="14"/>
      <x:c r="TE146" s="14"/>
      <x:c r="TF146" s="14"/>
      <x:c r="TG146" s="14"/>
      <x:c r="TH146" s="14"/>
    </x:row>
    <x:row r="147" ht="15" customHeight="1">
      <x:c r="A147" s="14"/>
      <x:c r="B147" s="14"/>
      <x:c r="C147" s="14"/>
      <x:c r="D147" s="14"/>
      <x:c r="E147" s="14"/>
      <x:c r="F147" s="14"/>
      <x:c r="G147" s="14"/>
      <x:c r="H147" s="14"/>
      <x:c r="I147" s="14"/>
      <x:c r="J147" s="14"/>
      <x:c r="K147" s="14"/>
      <x:c r="L147" s="14"/>
      <x:c r="M147" s="14"/>
      <x:c r="N147" s="14"/>
      <x:c r="O147" s="14"/>
      <x:c r="P147" s="14"/>
      <x:c r="Q147" s="14"/>
      <x:c r="R147" s="14"/>
      <x:c r="S147" s="14"/>
      <x:c r="T147" s="14"/>
      <x:c r="U147" s="14"/>
      <x:c r="V147" s="14"/>
      <x:c r="W147" s="14"/>
      <x:c r="X147" s="14"/>
      <x:c r="Y147" s="14"/>
      <x:c r="Z147" s="14"/>
      <x:c r="AA147" s="14"/>
      <x:c r="AB147" s="14"/>
      <x:c r="AC147" s="14"/>
      <x:c r="AD147" s="14"/>
      <x:c r="AE147" s="14"/>
      <x:c r="AF147" s="14"/>
      <x:c r="AG147" s="14"/>
      <x:c r="AH147" s="14"/>
      <x:c r="AI147" s="14"/>
      <x:c r="AJ147" s="14"/>
      <x:c r="AK147" s="14"/>
      <x:c r="AL147" s="14"/>
      <x:c r="AM147" s="14"/>
      <x:c r="AN147" s="14"/>
      <x:c r="AO147" s="14"/>
      <x:c r="AP147" s="14"/>
      <x:c r="AQ147" s="14"/>
      <x:c r="AR147" s="14"/>
      <x:c r="AS147" s="14"/>
      <x:c r="AT147" s="14"/>
      <x:c r="AU147" s="14"/>
      <x:c r="AV147" s="14"/>
      <x:c r="AW147" s="14"/>
      <x:c r="AX147" s="14"/>
      <x:c r="AY147" s="14"/>
      <x:c r="AZ147" s="14"/>
      <x:c r="BA147" s="14"/>
      <x:c r="BB147" s="14"/>
      <x:c r="BC147" s="14"/>
      <x:c r="BD147" s="17" t="str">
        <x:v>靜月簾衣Ⅲ</x:v>
      </x:c>
      <x:c r="BE147" s="17" t="str">
        <x:v>宿星燦甲Ⅲ</x:v>
      </x:c>
      <x:c r="BF147" s="17" t="str">
        <x:v>劍豪旭裝Ⅳ</x:v>
      </x:c>
      <x:c r="BG147" s="17" t="str">
        <x:v>勇將旭甲Ⅳ</x:v>
      </x:c>
      <x:c r="BH147" s="14"/>
      <x:c r="BI147" s="14"/>
      <x:c r="BJ147" s="14"/>
      <x:c r="BK147" s="14"/>
      <x:c r="BL147" s="14"/>
      <x:c r="BM147" s="14"/>
      <x:c r="BN147" s="14"/>
      <x:c r="BO147" s="14"/>
      <x:c r="BP147" s="14"/>
      <x:c r="BQ147" s="14"/>
      <x:c r="BR147" s="14"/>
      <x:c r="BS147" s="14"/>
      <x:c r="BT147" s="14"/>
      <x:c r="BU147" s="14"/>
      <x:c r="BV147" s="14"/>
      <x:c r="BW147" s="14"/>
      <x:c r="BX147" s="14"/>
      <x:c r="BY147" s="14"/>
      <x:c r="BZ147" s="14"/>
      <x:c r="CA147" s="14"/>
      <x:c r="CB147" s="14"/>
      <x:c r="CC147" s="14"/>
      <x:c r="CD147" s="14"/>
      <x:c r="CE147" s="14"/>
      <x:c r="CF147" s="14"/>
      <x:c r="CG147" s="14"/>
      <x:c r="CH147" s="14"/>
      <x:c r="CI147" s="14"/>
      <x:c r="CJ147" s="14"/>
      <x:c r="CK147" s="14"/>
      <x:c r="CL147" s="14"/>
      <x:c r="CM147" s="14"/>
      <x:c r="CN147" s="14"/>
      <x:c r="CO147" s="14"/>
      <x:c r="CP147" s="14"/>
      <x:c r="CQ147" s="14"/>
      <x:c r="CR147" s="14"/>
      <x:c r="CS147" s="14"/>
      <x:c r="CT147" s="14"/>
      <x:c r="CU147" s="14"/>
      <x:c r="CV147" s="14"/>
      <x:c r="CW147" s="14"/>
      <x:c r="CX147" s="14"/>
      <x:c r="CY147" s="14"/>
      <x:c r="CZ147" s="14"/>
      <x:c r="DA147" s="14"/>
      <x:c r="DB147" s="14"/>
      <x:c r="DC147" s="14"/>
      <x:c r="DD147" s="14"/>
      <x:c r="DE147" s="14"/>
      <x:c r="DF147" s="14"/>
      <x:c r="DG147" s="14"/>
      <x:c r="DH147" s="14"/>
      <x:c r="DI147" s="14"/>
      <x:c r="DJ147" s="14"/>
      <x:c r="DK147" s="14"/>
      <x:c r="DL147" s="14"/>
      <x:c r="DM147" s="14"/>
      <x:c r="DN147" s="14"/>
      <x:c r="DO147" s="14"/>
      <x:c r="DP147" s="14"/>
      <x:c r="DQ147" s="14"/>
      <x:c r="DR147" s="14"/>
      <x:c r="DS147" s="14"/>
      <x:c r="DT147" s="14"/>
      <x:c r="DU147" s="14"/>
      <x:c r="DV147" s="14"/>
      <x:c r="DW147" s="14"/>
      <x:c r="DX147" s="14"/>
      <x:c r="DY147" s="14"/>
      <x:c r="DZ147" s="14"/>
      <x:c r="EA147" s="14"/>
      <x:c r="EB147" s="14"/>
      <x:c r="EC147" s="14"/>
      <x:c r="ED147" s="14"/>
      <x:c r="EE147" s="14"/>
      <x:c r="EF147" s="14"/>
      <x:c r="EG147" s="14"/>
      <x:c r="EH147" s="14"/>
      <x:c r="EI147" s="14"/>
      <x:c r="EJ147" s="14"/>
      <x:c r="EK147" s="14"/>
      <x:c r="EL147" s="14"/>
      <x:c r="EM147" s="14"/>
      <x:c r="EN147" s="14"/>
      <x:c r="EO147" s="14"/>
      <x:c r="EP147" s="14"/>
      <x:c r="EQ147" s="14"/>
      <x:c r="ER147" s="14"/>
      <x:c r="ES147" s="14"/>
      <x:c r="ET147" s="14"/>
      <x:c r="EU147" s="14"/>
      <x:c r="EV147" s="14"/>
      <x:c r="EW147" s="14"/>
      <x:c r="EX147" s="14"/>
      <x:c r="EY147" s="14"/>
      <x:c r="EZ147" s="14"/>
      <x:c r="FA147" s="14"/>
      <x:c r="FB147" s="14"/>
      <x:c r="FC147" s="14"/>
      <x:c r="FD147" s="14"/>
      <x:c r="FE147" s="14"/>
      <x:c r="FF147" s="14"/>
      <x:c r="FG147" s="14"/>
      <x:c r="FH147" s="14"/>
      <x:c r="FI147" s="14"/>
      <x:c r="FJ147" s="14"/>
      <x:c r="FK147" s="14"/>
      <x:c r="FL147" s="14"/>
      <x:c r="FM147" s="14"/>
      <x:c r="FN147" s="14"/>
      <x:c r="FO147" s="14"/>
      <x:c r="FP147" s="14"/>
      <x:c r="FQ147" s="14"/>
      <x:c r="FR147" s="14"/>
      <x:c r="FS147" s="14"/>
      <x:c r="FT147" s="14"/>
      <x:c r="FU147" s="14"/>
      <x:c r="FV147" s="14"/>
      <x:c r="FW147" s="14"/>
      <x:c r="FX147" s="14"/>
      <x:c r="FY147" s="14"/>
      <x:c r="FZ147" s="14"/>
      <x:c r="GA147" s="14"/>
      <x:c r="GB147" s="14"/>
      <x:c r="GC147" s="14"/>
      <x:c r="GD147" s="14"/>
      <x:c r="GE147" s="14"/>
      <x:c r="GF147" s="14"/>
      <x:c r="GG147" s="14"/>
      <x:c r="GH147" s="14"/>
      <x:c r="GI147" s="14"/>
      <x:c r="GJ147" s="14"/>
      <x:c r="GK147" s="14"/>
      <x:c r="GL147" s="14"/>
      <x:c r="GM147" s="14"/>
      <x:c r="GN147" s="14"/>
      <x:c r="GO147" s="14"/>
      <x:c r="GP147" s="14"/>
      <x:c r="GQ147" s="14"/>
      <x:c r="GR147" s="14"/>
      <x:c r="GS147" s="14"/>
      <x:c r="GT147" s="14"/>
      <x:c r="GU147" s="14"/>
      <x:c r="GV147" s="14"/>
      <x:c r="GW147" s="14"/>
      <x:c r="GX147" s="14"/>
      <x:c r="GY147" s="14"/>
      <x:c r="GZ147" s="14"/>
      <x:c r="HA147" s="14"/>
      <x:c r="HB147" s="14"/>
      <x:c r="HC147" s="14"/>
      <x:c r="HD147" s="14"/>
      <x:c r="HE147" s="14"/>
      <x:c r="HF147" s="14"/>
      <x:c r="HG147" s="14"/>
      <x:c r="HH147" s="14"/>
      <x:c r="HI147" s="14"/>
      <x:c r="HJ147" s="14"/>
      <x:c r="HK147" s="14"/>
      <x:c r="HL147" s="14"/>
      <x:c r="HM147" s="14"/>
      <x:c r="HN147" s="14"/>
      <x:c r="HO147" s="14"/>
      <x:c r="HP147" s="14"/>
      <x:c r="HQ147" s="14"/>
      <x:c r="HR147" s="14"/>
      <x:c r="HS147" s="14"/>
      <x:c r="HT147" s="14"/>
      <x:c r="HU147" s="14"/>
      <x:c r="HV147" s="14"/>
      <x:c r="HW147" s="14"/>
      <x:c r="HX147" s="14"/>
      <x:c r="HY147" s="14"/>
      <x:c r="HZ147" s="14"/>
      <x:c r="IA147" s="14"/>
      <x:c r="IB147" s="14"/>
      <x:c r="IC147" s="14"/>
      <x:c r="ID147" s="14"/>
      <x:c r="IE147" s="14"/>
      <x:c r="IF147" s="14"/>
      <x:c r="IG147" s="14"/>
      <x:c r="IH147" s="14"/>
      <x:c r="II147" s="14"/>
      <x:c r="IJ147" s="14"/>
      <x:c r="IK147" s="14"/>
      <x:c r="IL147" s="14"/>
      <x:c r="IM147" s="14"/>
      <x:c r="IN147" s="14"/>
      <x:c r="IO147" s="14"/>
      <x:c r="IP147" s="14"/>
      <x:c r="IQ147" s="14"/>
      <x:c r="IR147" s="14"/>
      <x:c r="IS147" s="14"/>
      <x:c r="IT147" s="14"/>
      <x:c r="IU147" s="14"/>
      <x:c r="IV147" s="14"/>
      <x:c r="IW147" s="14"/>
      <x:c r="IX147" s="14"/>
      <x:c r="IY147" s="14"/>
      <x:c r="IZ147" s="14"/>
      <x:c r="JA147" s="14"/>
      <x:c r="JB147" s="14"/>
      <x:c r="JC147" s="14"/>
      <x:c r="JD147" s="14"/>
      <x:c r="JE147" s="14"/>
      <x:c r="JF147" s="14"/>
      <x:c r="JG147" s="14"/>
      <x:c r="JH147" s="14"/>
      <x:c r="JI147" s="14"/>
      <x:c r="JJ147" s="14"/>
      <x:c r="JK147" s="14"/>
      <x:c r="JL147" s="14"/>
      <x:c r="JM147" s="14"/>
      <x:c r="JN147" s="14"/>
      <x:c r="JO147" s="14"/>
      <x:c r="JP147" s="14"/>
      <x:c r="JQ147" s="14"/>
      <x:c r="JR147" s="14"/>
      <x:c r="JS147" s="14"/>
      <x:c r="JT147" s="14"/>
      <x:c r="JU147" s="14"/>
      <x:c r="JV147" s="14"/>
      <x:c r="JW147" s="14"/>
      <x:c r="JX147" s="14"/>
      <x:c r="JY147" s="14"/>
      <x:c r="JZ147" s="14"/>
      <x:c r="KA147" s="14"/>
      <x:c r="KB147" s="14"/>
      <x:c r="KC147" s="14"/>
      <x:c r="KD147" s="14"/>
      <x:c r="KE147" s="14"/>
      <x:c r="KF147" s="14"/>
      <x:c r="KG147" s="14"/>
      <x:c r="KH147" s="14"/>
      <x:c r="KI147" s="14"/>
      <x:c r="KJ147" s="14"/>
      <x:c r="KK147" s="14"/>
      <x:c r="KL147" s="14"/>
      <x:c r="KM147" s="14"/>
      <x:c r="KN147" s="14"/>
      <x:c r="KO147" s="14"/>
      <x:c r="KP147" s="14"/>
      <x:c r="KQ147" s="14"/>
      <x:c r="KR147" s="14"/>
      <x:c r="KS147" s="14"/>
      <x:c r="KT147" s="14"/>
      <x:c r="KU147" s="14"/>
      <x:c r="KV147" s="14"/>
      <x:c r="KW147" s="14"/>
      <x:c r="KX147" s="14"/>
      <x:c r="KY147" s="14"/>
      <x:c r="KZ147" s="14"/>
      <x:c r="LA147" s="14"/>
      <x:c r="LB147" s="14"/>
      <x:c r="LC147" s="14"/>
      <x:c r="LD147" s="14"/>
      <x:c r="LE147" s="14"/>
      <x:c r="LF147" s="14"/>
      <x:c r="LG147" s="14"/>
      <x:c r="LH147" s="14"/>
      <x:c r="LI147" s="14"/>
      <x:c r="LJ147" s="14"/>
      <x:c r="LK147" s="14"/>
      <x:c r="LL147" s="14"/>
      <x:c r="LM147" s="14"/>
      <x:c r="LN147" s="14"/>
      <x:c r="LO147" s="14"/>
      <x:c r="LP147" s="14"/>
      <x:c r="LQ147" s="14"/>
      <x:c r="LR147" s="14"/>
      <x:c r="LS147" s="14"/>
      <x:c r="LT147" s="14"/>
      <x:c r="LU147" s="14"/>
      <x:c r="LV147" s="14"/>
      <x:c r="LW147" s="14"/>
      <x:c r="LX147" s="14"/>
      <x:c r="LY147" s="14"/>
      <x:c r="LZ147" s="14"/>
      <x:c r="MA147" s="14"/>
      <x:c r="MB147" s="14"/>
      <x:c r="MC147" s="14"/>
      <x:c r="MD147" s="14"/>
      <x:c r="ME147" s="14"/>
      <x:c r="MF147" s="14"/>
      <x:c r="MG147" s="14"/>
      <x:c r="MH147" s="14"/>
      <x:c r="MI147" s="14"/>
      <x:c r="MJ147" s="14"/>
      <x:c r="MK147" s="14"/>
      <x:c r="ML147" s="14"/>
      <x:c r="MM147" s="14"/>
      <x:c r="MN147" s="14"/>
      <x:c r="MO147" s="14"/>
      <x:c r="MP147" s="14"/>
      <x:c r="MQ147" s="14"/>
      <x:c r="MR147" s="14"/>
      <x:c r="MS147" s="14"/>
      <x:c r="MT147" s="14"/>
      <x:c r="MU147" s="14"/>
      <x:c r="MV147" s="14"/>
      <x:c r="MW147" s="14"/>
      <x:c r="MX147" s="14"/>
      <x:c r="MY147" s="14"/>
      <x:c r="MZ147" s="14"/>
      <x:c r="NA147" s="14"/>
      <x:c r="NB147" s="14"/>
      <x:c r="NC147" s="14"/>
      <x:c r="ND147" s="14"/>
      <x:c r="NE147" s="14"/>
      <x:c r="NF147" s="14"/>
      <x:c r="NG147" s="14"/>
      <x:c r="NH147" s="14"/>
      <x:c r="NI147" s="14"/>
      <x:c r="NJ147" s="14"/>
      <x:c r="NK147" s="14"/>
      <x:c r="NL147" s="14"/>
      <x:c r="NM147" s="14"/>
      <x:c r="NN147" s="14"/>
      <x:c r="NO147" s="14"/>
      <x:c r="NP147" s="14"/>
      <x:c r="NQ147" s="14"/>
      <x:c r="NR147" s="14"/>
      <x:c r="NS147" s="14"/>
      <x:c r="NT147" s="14"/>
      <x:c r="NU147" s="14"/>
      <x:c r="NV147" s="14"/>
      <x:c r="NW147" s="14"/>
      <x:c r="NX147" s="14"/>
      <x:c r="NY147" s="14" t="str">
        <x:v>30398</x:v>
      </x:c>
      <x:c r="NZ147" s="14" t="n">
        <x:v>10</x:v>
      </x:c>
      <x:c r="OA147" s="14" t="n">
        <x:v>2590</x:v>
      </x:c>
      <x:c r="OB147" s="14" t="n">
        <x:v>489</x:v>
      </x:c>
      <x:c r="OC147" s="14" t="n">
        <x:v>3</x:v>
      </x:c>
      <x:c r="OD147" s="14" t="n">
        <x:v>1</x:v>
      </x:c>
      <x:c r="OE147" s="14" t="str">
        <x:v>未收錄</x:v>
      </x:c>
      <x:c r="OF147" s="14" t="str">
        <x:v>30418</x:v>
      </x:c>
      <x:c r="OG147" s="14" t="n">
        <x:v>10</x:v>
      </x:c>
      <x:c r="OH147" s="14" t="n">
        <x:v>2591</x:v>
      </x:c>
      <x:c r="OI147" s="14" t="n">
        <x:v>490</x:v>
      </x:c>
      <x:c r="OJ147" s="14" t="n">
        <x:v>3</x:v>
      </x:c>
      <x:c r="OK147" s="14" t="n">
        <x:v>2</x:v>
      </x:c>
      <x:c r="OL147" s="14" t="str">
        <x:v>未收錄</x:v>
      </x:c>
      <x:c r="OM147" s="14" t="str">
        <x:v>30279</x:v>
      </x:c>
      <x:c r="ON147" s="14" t="n">
        <x:v>5</x:v>
      </x:c>
      <x:c r="OO147" s="14" t="n">
        <x:v>2592</x:v>
      </x:c>
      <x:c r="OP147" s="14" t="n">
        <x:v>491</x:v>
      </x:c>
      <x:c r="OQ147" s="14" t="n">
        <x:v>3</x:v>
      </x:c>
      <x:c r="OR147" s="14" t="n">
        <x:v>3</x:v>
      </x:c>
      <x:c r="OS147" s="14" t="str">
        <x:v>未收錄</x:v>
      </x:c>
      <x:c r="OT147" s="14" t="str">
        <x:v>30284</x:v>
      </x:c>
      <x:c r="OU147" s="14" t="n">
        <x:v>5</x:v>
      </x:c>
      <x:c r="OV147" s="14" t="n">
        <x:v>2593</x:v>
      </x:c>
      <x:c r="OW147" s="14" t="n">
        <x:v>492</x:v>
      </x:c>
      <x:c r="OX147" s="14" t="n">
        <x:v>3</x:v>
      </x:c>
      <x:c r="OY147" s="14" t="n">
        <x:v>4</x:v>
      </x:c>
      <x:c r="OZ147" s="14" t="str">
        <x:v>未收錄</x:v>
      </x:c>
      <x:c r="PA147" s="14"/>
      <x:c r="PB147" s="14"/>
      <x:c r="PC147" s="14"/>
      <x:c r="PD147" s="14"/>
      <x:c r="PE147" s="14"/>
      <x:c r="PF147" s="14"/>
      <x:c r="PG147" s="14"/>
      <x:c r="PH147" s="14"/>
      <x:c r="PI147" s="14"/>
      <x:c r="PJ147" s="14"/>
      <x:c r="PK147" s="14"/>
      <x:c r="PL147" s="14"/>
      <x:c r="PM147" s="14"/>
      <x:c r="PN147" s="14"/>
      <x:c r="PO147" s="14"/>
      <x:c r="PP147" s="14"/>
      <x:c r="PQ147" s="14"/>
      <x:c r="PR147" s="14"/>
      <x:c r="PS147" s="14"/>
      <x:c r="PT147" s="14"/>
      <x:c r="PU147" s="14"/>
      <x:c r="PV147" s="14"/>
      <x:c r="PW147" s="14"/>
      <x:c r="PX147" s="14"/>
      <x:c r="PY147" s="14"/>
      <x:c r="PZ147" s="14"/>
      <x:c r="QA147" s="14"/>
      <x:c r="QB147" s="14"/>
      <x:c r="QC147" s="14"/>
      <x:c r="QD147" s="14"/>
      <x:c r="QE147" s="14"/>
      <x:c r="QF147" s="14"/>
      <x:c r="QG147" s="14"/>
      <x:c r="QH147" s="14"/>
      <x:c r="QI147" s="14"/>
      <x:c r="QJ147" s="14"/>
      <x:c r="QK147" s="14"/>
      <x:c r="QL147" s="14"/>
      <x:c r="QM147" s="14"/>
      <x:c r="QN147" s="14"/>
      <x:c r="QO147" s="14"/>
      <x:c r="QP147" s="14"/>
      <x:c r="QQ147" s="14"/>
      <x:c r="QR147" s="14"/>
      <x:c r="QS147" s="14"/>
      <x:c r="QT147" s="14"/>
      <x:c r="QU147" s="14"/>
      <x:c r="QV147" s="14"/>
      <x:c r="QW147" s="14"/>
      <x:c r="QX147" s="14"/>
      <x:c r="QY147" s="14"/>
      <x:c r="QZ147" s="14"/>
      <x:c r="RA147" s="14"/>
      <x:c r="RB147" s="14"/>
      <x:c r="RC147" s="14"/>
      <x:c r="RD147" s="14"/>
      <x:c r="RE147" s="14"/>
      <x:c r="RF147" s="14"/>
      <x:c r="RG147" s="14"/>
      <x:c r="RH147" s="14"/>
      <x:c r="RI147" s="14"/>
      <x:c r="RJ147" s="14"/>
      <x:c r="RK147" s="14"/>
      <x:c r="RL147" s="14"/>
      <x:c r="RM147" s="14"/>
      <x:c r="RN147" s="14"/>
      <x:c r="RO147" s="14"/>
      <x:c r="RP147" s="14"/>
      <x:c r="RQ147" s="14"/>
      <x:c r="RR147" s="14"/>
      <x:c r="RS147" s="14"/>
      <x:c r="RT147" s="14"/>
      <x:c r="RU147" s="14"/>
      <x:c r="RV147" s="14"/>
      <x:c r="RW147" s="14"/>
      <x:c r="RX147" s="14"/>
      <x:c r="RY147" s="14"/>
      <x:c r="RZ147" s="14"/>
      <x:c r="SA147" s="14"/>
      <x:c r="SB147" s="14"/>
      <x:c r="SC147" s="14"/>
      <x:c r="SD147" s="14"/>
      <x:c r="SE147" s="14"/>
      <x:c r="SF147" s="14"/>
      <x:c r="SG147" s="14"/>
      <x:c r="SH147" s="14"/>
      <x:c r="SI147" s="14"/>
      <x:c r="SJ147" s="14"/>
      <x:c r="SK147" s="14"/>
      <x:c r="SL147" s="14"/>
      <x:c r="SM147" s="14"/>
      <x:c r="SN147" s="14"/>
      <x:c r="SO147" s="14"/>
      <x:c r="SP147" s="14"/>
      <x:c r="SQ147" s="14"/>
      <x:c r="SR147" s="14"/>
      <x:c r="SS147" s="14"/>
      <x:c r="ST147" s="14"/>
      <x:c r="SU147" s="14"/>
      <x:c r="SV147" s="14"/>
      <x:c r="SW147" s="14"/>
      <x:c r="SX147" s="14"/>
      <x:c r="SY147" s="14"/>
      <x:c r="SZ147" s="14"/>
      <x:c r="TA147" s="14"/>
      <x:c r="TB147" s="14"/>
      <x:c r="TC147" s="14"/>
      <x:c r="TD147" s="14"/>
      <x:c r="TE147" s="14"/>
      <x:c r="TF147" s="14"/>
      <x:c r="TG147" s="14"/>
      <x:c r="TH147" s="14"/>
    </x:row>
    <x:row r="148" ht="15" customHeight="1">
      <x:c r="A148" s="14"/>
      <x:c r="B148" s="14"/>
      <x:c r="C148" s="14"/>
      <x:c r="D148" s="14"/>
      <x:c r="E148" s="14"/>
      <x:c r="F148" s="14"/>
      <x:c r="G148" s="14"/>
      <x:c r="H148" s="14"/>
      <x:c r="I148" s="14"/>
      <x:c r="J148" s="14"/>
      <x:c r="K148" s="14"/>
      <x:c r="L148" s="14"/>
      <x:c r="M148" s="14"/>
      <x:c r="N148" s="14"/>
      <x:c r="O148" s="14"/>
      <x:c r="P148" s="14"/>
      <x:c r="Q148" s="14"/>
      <x:c r="R148" s="14"/>
      <x:c r="S148" s="14"/>
      <x:c r="T148" s="14"/>
      <x:c r="U148" s="14"/>
      <x:c r="V148" s="14"/>
      <x:c r="W148" s="14"/>
      <x:c r="X148" s="14"/>
      <x:c r="Y148" s="14"/>
      <x:c r="Z148" s="14"/>
      <x:c r="AA148" s="14"/>
      <x:c r="AB148" s="14"/>
      <x:c r="AC148" s="14"/>
      <x:c r="AD148" s="14"/>
      <x:c r="AE148" s="14"/>
      <x:c r="AF148" s="14"/>
      <x:c r="AG148" s="14"/>
      <x:c r="AH148" s="14"/>
      <x:c r="AI148" s="14"/>
      <x:c r="AJ148" s="14"/>
      <x:c r="AK148" s="14"/>
      <x:c r="AL148" s="14"/>
      <x:c r="AM148" s="14"/>
      <x:c r="AN148" s="14"/>
      <x:c r="AO148" s="14"/>
      <x:c r="AP148" s="14"/>
      <x:c r="AQ148" s="14"/>
      <x:c r="AR148" s="14"/>
      <x:c r="AS148" s="14"/>
      <x:c r="AT148" s="14"/>
      <x:c r="AU148" s="14"/>
      <x:c r="AV148" s="14"/>
      <x:c r="AW148" s="14"/>
      <x:c r="AX148" s="14"/>
      <x:c r="AY148" s="14"/>
      <x:c r="AZ148" s="14"/>
      <x:c r="BA148" s="14"/>
      <x:c r="BB148" s="14"/>
      <x:c r="BC148" s="14"/>
      <x:c r="BD148" s="18" t="str">
        <x:v>術凌旭服Ⅳ</x:v>
      </x:c>
      <x:c r="BE148" s="18" t="str">
        <x:v>道清旭袍Ⅳ</x:v>
      </x:c>
      <x:c r="BF148" s="18" t="str">
        <x:v>禪臺旭袈Ⅳ</x:v>
      </x:c>
      <x:c r="BG148" s="18" t="str">
        <x:v>狂陽耀鎧Ⅳ</x:v>
      </x:c>
      <x:c r="BH148" s="14"/>
      <x:c r="BI148" s="14"/>
      <x:c r="BJ148" s="14"/>
      <x:c r="BK148" s="14"/>
      <x:c r="BL148" s="14"/>
      <x:c r="BM148" s="14"/>
      <x:c r="BN148" s="14"/>
      <x:c r="BO148" s="14"/>
      <x:c r="BP148" s="14"/>
      <x:c r="BQ148" s="14"/>
      <x:c r="BR148" s="14"/>
      <x:c r="BS148" s="14"/>
      <x:c r="BT148" s="14"/>
      <x:c r="BU148" s="14"/>
      <x:c r="BV148" s="14"/>
      <x:c r="BW148" s="14"/>
      <x:c r="BX148" s="14"/>
      <x:c r="BY148" s="14"/>
      <x:c r="BZ148" s="14"/>
      <x:c r="CA148" s="14"/>
      <x:c r="CB148" s="14"/>
      <x:c r="CC148" s="14"/>
      <x:c r="CD148" s="14"/>
      <x:c r="CE148" s="14"/>
      <x:c r="CF148" s="14"/>
      <x:c r="CG148" s="14"/>
      <x:c r="CH148" s="14"/>
      <x:c r="CI148" s="14"/>
      <x:c r="CJ148" s="14"/>
      <x:c r="CK148" s="14"/>
      <x:c r="CL148" s="14"/>
      <x:c r="CM148" s="14"/>
      <x:c r="CN148" s="14"/>
      <x:c r="CO148" s="14"/>
      <x:c r="CP148" s="14"/>
      <x:c r="CQ148" s="14"/>
      <x:c r="CR148" s="14"/>
      <x:c r="CS148" s="14"/>
      <x:c r="CT148" s="14"/>
      <x:c r="CU148" s="14"/>
      <x:c r="CV148" s="14"/>
      <x:c r="CW148" s="14"/>
      <x:c r="CX148" s="14"/>
      <x:c r="CY148" s="14"/>
      <x:c r="CZ148" s="14"/>
      <x:c r="DA148" s="14"/>
      <x:c r="DB148" s="14"/>
      <x:c r="DC148" s="14"/>
      <x:c r="DD148" s="14"/>
      <x:c r="DE148" s="14"/>
      <x:c r="DF148" s="14"/>
      <x:c r="DG148" s="14"/>
      <x:c r="DH148" s="14"/>
      <x:c r="DI148" s="14"/>
      <x:c r="DJ148" s="14"/>
      <x:c r="DK148" s="14"/>
      <x:c r="DL148" s="14"/>
      <x:c r="DM148" s="14"/>
      <x:c r="DN148" s="14"/>
      <x:c r="DO148" s="14"/>
      <x:c r="DP148" s="14"/>
      <x:c r="DQ148" s="14"/>
      <x:c r="DR148" s="14"/>
      <x:c r="DS148" s="14"/>
      <x:c r="DT148" s="14"/>
      <x:c r="DU148" s="14"/>
      <x:c r="DV148" s="14"/>
      <x:c r="DW148" s="14"/>
      <x:c r="DX148" s="14"/>
      <x:c r="DY148" s="14"/>
      <x:c r="DZ148" s="14"/>
      <x:c r="EA148" s="14"/>
      <x:c r="EB148" s="14"/>
      <x:c r="EC148" s="14"/>
      <x:c r="ED148" s="14"/>
      <x:c r="EE148" s="14"/>
      <x:c r="EF148" s="14"/>
      <x:c r="EG148" s="14"/>
      <x:c r="EH148" s="14"/>
      <x:c r="EI148" s="14"/>
      <x:c r="EJ148" s="14"/>
      <x:c r="EK148" s="14"/>
      <x:c r="EL148" s="14"/>
      <x:c r="EM148" s="14"/>
      <x:c r="EN148" s="14"/>
      <x:c r="EO148" s="14"/>
      <x:c r="EP148" s="14"/>
      <x:c r="EQ148" s="14"/>
      <x:c r="ER148" s="14"/>
      <x:c r="ES148" s="14"/>
      <x:c r="ET148" s="14"/>
      <x:c r="EU148" s="14"/>
      <x:c r="EV148" s="14"/>
      <x:c r="EW148" s="14"/>
      <x:c r="EX148" s="14"/>
      <x:c r="EY148" s="14"/>
      <x:c r="EZ148" s="14"/>
      <x:c r="FA148" s="14"/>
      <x:c r="FB148" s="14"/>
      <x:c r="FC148" s="14"/>
      <x:c r="FD148" s="14"/>
      <x:c r="FE148" s="14"/>
      <x:c r="FF148" s="14"/>
      <x:c r="FG148" s="14"/>
      <x:c r="FH148" s="14"/>
      <x:c r="FI148" s="14"/>
      <x:c r="FJ148" s="14"/>
      <x:c r="FK148" s="14"/>
      <x:c r="FL148" s="14"/>
      <x:c r="FM148" s="14"/>
      <x:c r="FN148" s="14"/>
      <x:c r="FO148" s="14"/>
      <x:c r="FP148" s="14"/>
      <x:c r="FQ148" s="14"/>
      <x:c r="FR148" s="14"/>
      <x:c r="FS148" s="14"/>
      <x:c r="FT148" s="14"/>
      <x:c r="FU148" s="14"/>
      <x:c r="FV148" s="14"/>
      <x:c r="FW148" s="14"/>
      <x:c r="FX148" s="14"/>
      <x:c r="FY148" s="14"/>
      <x:c r="FZ148" s="14"/>
      <x:c r="GA148" s="14"/>
      <x:c r="GB148" s="14"/>
      <x:c r="GC148" s="14"/>
      <x:c r="GD148" s="14"/>
      <x:c r="GE148" s="14"/>
      <x:c r="GF148" s="14"/>
      <x:c r="GG148" s="14"/>
      <x:c r="GH148" s="14"/>
      <x:c r="GI148" s="14"/>
      <x:c r="GJ148" s="14"/>
      <x:c r="GK148" s="14"/>
      <x:c r="GL148" s="14"/>
      <x:c r="GM148" s="14"/>
      <x:c r="GN148" s="14"/>
      <x:c r="GO148" s="14"/>
      <x:c r="GP148" s="14"/>
      <x:c r="GQ148" s="14"/>
      <x:c r="GR148" s="14"/>
      <x:c r="GS148" s="14"/>
      <x:c r="GT148" s="14"/>
      <x:c r="GU148" s="14"/>
      <x:c r="GV148" s="14"/>
      <x:c r="GW148" s="14"/>
      <x:c r="GX148" s="14"/>
      <x:c r="GY148" s="14"/>
      <x:c r="GZ148" s="14"/>
      <x:c r="HA148" s="14"/>
      <x:c r="HB148" s="14"/>
      <x:c r="HC148" s="14"/>
      <x:c r="HD148" s="14"/>
      <x:c r="HE148" s="14"/>
      <x:c r="HF148" s="14"/>
      <x:c r="HG148" s="14"/>
      <x:c r="HH148" s="14"/>
      <x:c r="HI148" s="14"/>
      <x:c r="HJ148" s="14"/>
      <x:c r="HK148" s="14"/>
      <x:c r="HL148" s="14"/>
      <x:c r="HM148" s="14"/>
      <x:c r="HN148" s="14"/>
      <x:c r="HO148" s="14"/>
      <x:c r="HP148" s="14"/>
      <x:c r="HQ148" s="14"/>
      <x:c r="HR148" s="14"/>
      <x:c r="HS148" s="14"/>
      <x:c r="HT148" s="14"/>
      <x:c r="HU148" s="14"/>
      <x:c r="HV148" s="14"/>
      <x:c r="HW148" s="14"/>
      <x:c r="HX148" s="14"/>
      <x:c r="HY148" s="14"/>
      <x:c r="HZ148" s="14"/>
      <x:c r="IA148" s="14"/>
      <x:c r="IB148" s="14"/>
      <x:c r="IC148" s="14"/>
      <x:c r="ID148" s="14"/>
      <x:c r="IE148" s="14"/>
      <x:c r="IF148" s="14"/>
      <x:c r="IG148" s="14"/>
      <x:c r="IH148" s="14"/>
      <x:c r="II148" s="14"/>
      <x:c r="IJ148" s="14"/>
      <x:c r="IK148" s="14"/>
      <x:c r="IL148" s="14"/>
      <x:c r="IM148" s="14"/>
      <x:c r="IN148" s="14"/>
      <x:c r="IO148" s="14"/>
      <x:c r="IP148" s="14"/>
      <x:c r="IQ148" s="14"/>
      <x:c r="IR148" s="14"/>
      <x:c r="IS148" s="14"/>
      <x:c r="IT148" s="14"/>
      <x:c r="IU148" s="14"/>
      <x:c r="IV148" s="14"/>
      <x:c r="IW148" s="14"/>
      <x:c r="IX148" s="14"/>
      <x:c r="IY148" s="14"/>
      <x:c r="IZ148" s="14"/>
      <x:c r="JA148" s="14"/>
      <x:c r="JB148" s="14"/>
      <x:c r="JC148" s="14"/>
      <x:c r="JD148" s="14"/>
      <x:c r="JE148" s="14"/>
      <x:c r="JF148" s="14"/>
      <x:c r="JG148" s="14"/>
      <x:c r="JH148" s="14"/>
      <x:c r="JI148" s="14"/>
      <x:c r="JJ148" s="14"/>
      <x:c r="JK148" s="14"/>
      <x:c r="JL148" s="14"/>
      <x:c r="JM148" s="14"/>
      <x:c r="JN148" s="14"/>
      <x:c r="JO148" s="14"/>
      <x:c r="JP148" s="14"/>
      <x:c r="JQ148" s="14"/>
      <x:c r="JR148" s="14"/>
      <x:c r="JS148" s="14"/>
      <x:c r="JT148" s="14"/>
      <x:c r="JU148" s="14"/>
      <x:c r="JV148" s="14"/>
      <x:c r="JW148" s="14"/>
      <x:c r="JX148" s="14"/>
      <x:c r="JY148" s="14"/>
      <x:c r="JZ148" s="14"/>
      <x:c r="KA148" s="14"/>
      <x:c r="KB148" s="14"/>
      <x:c r="KC148" s="14"/>
      <x:c r="KD148" s="14"/>
      <x:c r="KE148" s="14"/>
      <x:c r="KF148" s="14"/>
      <x:c r="KG148" s="14"/>
      <x:c r="KH148" s="14"/>
      <x:c r="KI148" s="14"/>
      <x:c r="KJ148" s="14"/>
      <x:c r="KK148" s="14"/>
      <x:c r="KL148" s="14"/>
      <x:c r="KM148" s="14"/>
      <x:c r="KN148" s="14"/>
      <x:c r="KO148" s="14"/>
      <x:c r="KP148" s="14"/>
      <x:c r="KQ148" s="14"/>
      <x:c r="KR148" s="14"/>
      <x:c r="KS148" s="14"/>
      <x:c r="KT148" s="14"/>
      <x:c r="KU148" s="14"/>
      <x:c r="KV148" s="14"/>
      <x:c r="KW148" s="14"/>
      <x:c r="KX148" s="14"/>
      <x:c r="KY148" s="14"/>
      <x:c r="KZ148" s="14"/>
      <x:c r="LA148" s="14"/>
      <x:c r="LB148" s="14"/>
      <x:c r="LC148" s="14"/>
      <x:c r="LD148" s="14"/>
      <x:c r="LE148" s="14"/>
      <x:c r="LF148" s="14"/>
      <x:c r="LG148" s="14"/>
      <x:c r="LH148" s="14"/>
      <x:c r="LI148" s="14"/>
      <x:c r="LJ148" s="14"/>
      <x:c r="LK148" s="14"/>
      <x:c r="LL148" s="14"/>
      <x:c r="LM148" s="14"/>
      <x:c r="LN148" s="14"/>
      <x:c r="LO148" s="14"/>
      <x:c r="LP148" s="14"/>
      <x:c r="LQ148" s="14"/>
      <x:c r="LR148" s="14"/>
      <x:c r="LS148" s="14"/>
      <x:c r="LT148" s="14"/>
      <x:c r="LU148" s="14"/>
      <x:c r="LV148" s="14"/>
      <x:c r="LW148" s="14"/>
      <x:c r="LX148" s="14"/>
      <x:c r="LY148" s="14"/>
      <x:c r="LZ148" s="14"/>
      <x:c r="MA148" s="14"/>
      <x:c r="MB148" s="14"/>
      <x:c r="MC148" s="14"/>
      <x:c r="MD148" s="14"/>
      <x:c r="ME148" s="14"/>
      <x:c r="MF148" s="14"/>
      <x:c r="MG148" s="14"/>
      <x:c r="MH148" s="14"/>
      <x:c r="MI148" s="14"/>
      <x:c r="MJ148" s="14"/>
      <x:c r="MK148" s="14"/>
      <x:c r="ML148" s="14"/>
      <x:c r="MM148" s="14"/>
      <x:c r="MN148" s="14"/>
      <x:c r="MO148" s="14"/>
      <x:c r="MP148" s="14"/>
      <x:c r="MQ148" s="14"/>
      <x:c r="MR148" s="14"/>
      <x:c r="MS148" s="14"/>
      <x:c r="MT148" s="14"/>
      <x:c r="MU148" s="14"/>
      <x:c r="MV148" s="14"/>
      <x:c r="MW148" s="14"/>
      <x:c r="MX148" s="14"/>
      <x:c r="MY148" s="14"/>
      <x:c r="MZ148" s="14"/>
      <x:c r="NA148" s="14"/>
      <x:c r="NB148" s="14"/>
      <x:c r="NC148" s="14"/>
      <x:c r="ND148" s="14"/>
      <x:c r="NE148" s="14"/>
      <x:c r="NF148" s="14"/>
      <x:c r="NG148" s="14"/>
      <x:c r="NH148" s="14"/>
      <x:c r="NI148" s="14"/>
      <x:c r="NJ148" s="14"/>
      <x:c r="NK148" s="14"/>
      <x:c r="NL148" s="14"/>
      <x:c r="NM148" s="14"/>
      <x:c r="NN148" s="14"/>
      <x:c r="NO148" s="14"/>
      <x:c r="NP148" s="14"/>
      <x:c r="NQ148" s="14"/>
      <x:c r="NR148" s="14"/>
      <x:c r="NS148" s="14"/>
      <x:c r="NT148" s="14"/>
      <x:c r="NU148" s="14"/>
      <x:c r="NV148" s="14"/>
      <x:c r="NW148" s="14"/>
      <x:c r="NX148" s="14"/>
      <x:c r="NY148" s="14" t="str">
        <x:v>30289</x:v>
      </x:c>
      <x:c r="NZ148" s="14" t="n">
        <x:v>5</x:v>
      </x:c>
      <x:c r="OA148" s="14" t="n">
        <x:v>2594</x:v>
      </x:c>
      <x:c r="OB148" s="14" t="n">
        <x:v>493</x:v>
      </x:c>
      <x:c r="OC148" s="14" t="n">
        <x:v>4</x:v>
      </x:c>
      <x:c r="OD148" s="14" t="n">
        <x:v>1</x:v>
      </x:c>
      <x:c r="OE148" s="14" t="str">
        <x:v>未收錄</x:v>
      </x:c>
      <x:c r="OF148" s="14" t="str">
        <x:v>30294</x:v>
      </x:c>
      <x:c r="OG148" s="14" t="n">
        <x:v>5</x:v>
      </x:c>
      <x:c r="OH148" s="14" t="n">
        <x:v>2595</x:v>
      </x:c>
      <x:c r="OI148" s="14" t="n">
        <x:v>494</x:v>
      </x:c>
      <x:c r="OJ148" s="14" t="n">
        <x:v>4</x:v>
      </x:c>
      <x:c r="OK148" s="14" t="n">
        <x:v>2</x:v>
      </x:c>
      <x:c r="OL148" s="14" t="str">
        <x:v>未收錄</x:v>
      </x:c>
      <x:c r="OM148" s="14" t="str">
        <x:v>30299</x:v>
      </x:c>
      <x:c r="ON148" s="14" t="n">
        <x:v>5</x:v>
      </x:c>
      <x:c r="OO148" s="14" t="n">
        <x:v>2596</x:v>
      </x:c>
      <x:c r="OP148" s="14" t="n">
        <x:v>495</x:v>
      </x:c>
      <x:c r="OQ148" s="14" t="n">
        <x:v>4</x:v>
      </x:c>
      <x:c r="OR148" s="14" t="n">
        <x:v>3</x:v>
      </x:c>
      <x:c r="OS148" s="14" t="str">
        <x:v>未收錄</x:v>
      </x:c>
      <x:c r="OT148" s="14" t="str">
        <x:v>30379</x:v>
      </x:c>
      <x:c r="OU148" s="14" t="n">
        <x:v>10</x:v>
      </x:c>
      <x:c r="OV148" s="14" t="n">
        <x:v>2597</x:v>
      </x:c>
      <x:c r="OW148" s="14" t="n">
        <x:v>496</x:v>
      </x:c>
      <x:c r="OX148" s="14" t="n">
        <x:v>4</x:v>
      </x:c>
      <x:c r="OY148" s="14" t="n">
        <x:v>4</x:v>
      </x:c>
      <x:c r="OZ148" s="14" t="str">
        <x:v>未收錄</x:v>
      </x:c>
      <x:c r="PA148" s="14"/>
      <x:c r="PB148" s="14"/>
      <x:c r="PC148" s="14"/>
      <x:c r="PD148" s="14"/>
      <x:c r="PE148" s="14"/>
      <x:c r="PF148" s="14"/>
      <x:c r="PG148" s="14"/>
      <x:c r="PH148" s="14"/>
      <x:c r="PI148" s="14"/>
      <x:c r="PJ148" s="14"/>
      <x:c r="PK148" s="14"/>
      <x:c r="PL148" s="14"/>
      <x:c r="PM148" s="14"/>
      <x:c r="PN148" s="14"/>
      <x:c r="PO148" s="14"/>
      <x:c r="PP148" s="14"/>
      <x:c r="PQ148" s="14"/>
      <x:c r="PR148" s="14"/>
      <x:c r="PS148" s="14"/>
      <x:c r="PT148" s="14"/>
      <x:c r="PU148" s="14"/>
      <x:c r="PV148" s="14"/>
      <x:c r="PW148" s="14"/>
      <x:c r="PX148" s="14"/>
      <x:c r="PY148" s="14"/>
      <x:c r="PZ148" s="14"/>
      <x:c r="QA148" s="14"/>
      <x:c r="QB148" s="14"/>
      <x:c r="QC148" s="14"/>
      <x:c r="QD148" s="14"/>
      <x:c r="QE148" s="14"/>
      <x:c r="QF148" s="14"/>
      <x:c r="QG148" s="14"/>
      <x:c r="QH148" s="14"/>
      <x:c r="QI148" s="14"/>
      <x:c r="QJ148" s="14"/>
      <x:c r="QK148" s="14"/>
      <x:c r="QL148" s="14"/>
      <x:c r="QM148" s="14"/>
      <x:c r="QN148" s="14"/>
      <x:c r="QO148" s="14"/>
      <x:c r="QP148" s="14"/>
      <x:c r="QQ148" s="14"/>
      <x:c r="QR148" s="14"/>
      <x:c r="QS148" s="14"/>
      <x:c r="QT148" s="14"/>
      <x:c r="QU148" s="14"/>
      <x:c r="QV148" s="14"/>
      <x:c r="QW148" s="14"/>
      <x:c r="QX148" s="14"/>
      <x:c r="QY148" s="14"/>
      <x:c r="QZ148" s="14"/>
      <x:c r="RA148" s="14"/>
      <x:c r="RB148" s="14"/>
      <x:c r="RC148" s="14"/>
      <x:c r="RD148" s="14"/>
      <x:c r="RE148" s="14"/>
      <x:c r="RF148" s="14"/>
      <x:c r="RG148" s="14"/>
      <x:c r="RH148" s="14"/>
      <x:c r="RI148" s="14"/>
      <x:c r="RJ148" s="14"/>
      <x:c r="RK148" s="14"/>
      <x:c r="RL148" s="14"/>
      <x:c r="RM148" s="14"/>
      <x:c r="RN148" s="14"/>
      <x:c r="RO148" s="14"/>
      <x:c r="RP148" s="14"/>
      <x:c r="RQ148" s="14"/>
      <x:c r="RR148" s="14"/>
      <x:c r="RS148" s="14"/>
      <x:c r="RT148" s="14"/>
      <x:c r="RU148" s="14"/>
      <x:c r="RV148" s="14"/>
      <x:c r="RW148" s="14"/>
      <x:c r="RX148" s="14"/>
      <x:c r="RY148" s="14"/>
      <x:c r="RZ148" s="14"/>
      <x:c r="SA148" s="14"/>
      <x:c r="SB148" s="14"/>
      <x:c r="SC148" s="14"/>
      <x:c r="SD148" s="14"/>
      <x:c r="SE148" s="14"/>
      <x:c r="SF148" s="14"/>
      <x:c r="SG148" s="14"/>
      <x:c r="SH148" s="14"/>
      <x:c r="SI148" s="14"/>
      <x:c r="SJ148" s="14"/>
      <x:c r="SK148" s="14"/>
      <x:c r="SL148" s="14"/>
      <x:c r="SM148" s="14"/>
      <x:c r="SN148" s="14"/>
      <x:c r="SO148" s="14"/>
      <x:c r="SP148" s="14"/>
      <x:c r="SQ148" s="14"/>
      <x:c r="SR148" s="14"/>
      <x:c r="SS148" s="14"/>
      <x:c r="ST148" s="14"/>
      <x:c r="SU148" s="14"/>
      <x:c r="SV148" s="14"/>
      <x:c r="SW148" s="14"/>
      <x:c r="SX148" s="14"/>
      <x:c r="SY148" s="14"/>
      <x:c r="SZ148" s="14"/>
      <x:c r="TA148" s="14"/>
      <x:c r="TB148" s="14"/>
      <x:c r="TC148" s="14"/>
      <x:c r="TD148" s="14"/>
      <x:c r="TE148" s="14"/>
      <x:c r="TF148" s="14"/>
      <x:c r="TG148" s="14"/>
      <x:c r="TH148" s="14"/>
    </x:row>
    <x:row r="149" ht="15" customHeight="1">
      <x:c r="A149" s="14"/>
      <x:c r="B149" s="14"/>
      <x:c r="C149" s="14"/>
      <x:c r="D149" s="14"/>
      <x:c r="E149" s="14"/>
      <x:c r="F149" s="14"/>
      <x:c r="G149" s="14"/>
      <x:c r="H149" s="14"/>
      <x:c r="I149" s="14"/>
      <x:c r="J149" s="14"/>
      <x:c r="K149" s="14"/>
      <x:c r="L149" s="14"/>
      <x:c r="M149" s="14"/>
      <x:c r="N149" s="14"/>
      <x:c r="O149" s="14"/>
      <x:c r="P149" s="14"/>
      <x:c r="Q149" s="14"/>
      <x:c r="R149" s="14"/>
      <x:c r="S149" s="14"/>
      <x:c r="T149" s="14"/>
      <x:c r="U149" s="14"/>
      <x:c r="V149" s="14"/>
      <x:c r="W149" s="14"/>
      <x:c r="X149" s="14"/>
      <x:c r="Y149" s="14"/>
      <x:c r="Z149" s="14"/>
      <x:c r="AA149" s="14"/>
      <x:c r="AB149" s="14"/>
      <x:c r="AC149" s="14"/>
      <x:c r="AD149" s="14"/>
      <x:c r="AE149" s="14"/>
      <x:c r="AF149" s="14"/>
      <x:c r="AG149" s="14"/>
      <x:c r="AH149" s="14"/>
      <x:c r="AI149" s="14"/>
      <x:c r="AJ149" s="14"/>
      <x:c r="AK149" s="14"/>
      <x:c r="AL149" s="14"/>
      <x:c r="AM149" s="14"/>
      <x:c r="AN149" s="14"/>
      <x:c r="AO149" s="14"/>
      <x:c r="AP149" s="14"/>
      <x:c r="AQ149" s="14"/>
      <x:c r="AR149" s="14"/>
      <x:c r="AS149" s="14"/>
      <x:c r="AT149" s="14"/>
      <x:c r="AU149" s="14"/>
      <x:c r="AV149" s="14"/>
      <x:c r="AW149" s="14"/>
      <x:c r="AX149" s="14"/>
      <x:c r="AY149" s="14"/>
      <x:c r="AZ149" s="14"/>
      <x:c r="BA149" s="14"/>
      <x:c r="BB149" s="14"/>
      <x:c r="BC149" s="14"/>
      <x:c r="BD149" s="17" t="str">
        <x:v>靜月簾衣Ⅳ</x:v>
      </x:c>
      <x:c r="BE149" s="17" t="str">
        <x:v>宿星燦甲Ⅳ</x:v>
      </x:c>
      <x:c r="BF149" s="17" t="str">
        <x:v>劍豪旭裝Ⅴ</x:v>
      </x:c>
      <x:c r="BG149" s="17" t="str">
        <x:v>勇將旭甲Ⅴ</x:v>
      </x:c>
      <x:c r="BH149" s="14"/>
      <x:c r="BI149" s="14"/>
      <x:c r="BJ149" s="14"/>
      <x:c r="BK149" s="14"/>
      <x:c r="BL149" s="14"/>
      <x:c r="BM149" s="14"/>
      <x:c r="BN149" s="14"/>
      <x:c r="BO149" s="14"/>
      <x:c r="BP149" s="14"/>
      <x:c r="BQ149" s="14"/>
      <x:c r="BR149" s="14"/>
      <x:c r="BS149" s="14"/>
      <x:c r="BT149" s="14"/>
      <x:c r="BU149" s="14"/>
      <x:c r="BV149" s="14"/>
      <x:c r="BW149" s="14"/>
      <x:c r="BX149" s="14"/>
      <x:c r="BY149" s="14"/>
      <x:c r="BZ149" s="14"/>
      <x:c r="CA149" s="14"/>
      <x:c r="CB149" s="14"/>
      <x:c r="CC149" s="14"/>
      <x:c r="CD149" s="14"/>
      <x:c r="CE149" s="14"/>
      <x:c r="CF149" s="14"/>
      <x:c r="CG149" s="14"/>
      <x:c r="CH149" s="14"/>
      <x:c r="CI149" s="14"/>
      <x:c r="CJ149" s="14"/>
      <x:c r="CK149" s="14"/>
      <x:c r="CL149" s="14"/>
      <x:c r="CM149" s="14"/>
      <x:c r="CN149" s="14"/>
      <x:c r="CO149" s="14"/>
      <x:c r="CP149" s="14"/>
      <x:c r="CQ149" s="14"/>
      <x:c r="CR149" s="14"/>
      <x:c r="CS149" s="14"/>
      <x:c r="CT149" s="14"/>
      <x:c r="CU149" s="14"/>
      <x:c r="CV149" s="14"/>
      <x:c r="CW149" s="14"/>
      <x:c r="CX149" s="14"/>
      <x:c r="CY149" s="14"/>
      <x:c r="CZ149" s="14"/>
      <x:c r="DA149" s="14"/>
      <x:c r="DB149" s="14"/>
      <x:c r="DC149" s="14"/>
      <x:c r="DD149" s="14"/>
      <x:c r="DE149" s="14"/>
      <x:c r="DF149" s="14"/>
      <x:c r="DG149" s="14"/>
      <x:c r="DH149" s="14"/>
      <x:c r="DI149" s="14"/>
      <x:c r="DJ149" s="14"/>
      <x:c r="DK149" s="14"/>
      <x:c r="DL149" s="14"/>
      <x:c r="DM149" s="14"/>
      <x:c r="DN149" s="14"/>
      <x:c r="DO149" s="14"/>
      <x:c r="DP149" s="14"/>
      <x:c r="DQ149" s="14"/>
      <x:c r="DR149" s="14"/>
      <x:c r="DS149" s="14"/>
      <x:c r="DT149" s="14"/>
      <x:c r="DU149" s="14"/>
      <x:c r="DV149" s="14"/>
      <x:c r="DW149" s="14"/>
      <x:c r="DX149" s="14"/>
      <x:c r="DY149" s="14"/>
      <x:c r="DZ149" s="14"/>
      <x:c r="EA149" s="14"/>
      <x:c r="EB149" s="14"/>
      <x:c r="EC149" s="14"/>
      <x:c r="ED149" s="14"/>
      <x:c r="EE149" s="14"/>
      <x:c r="EF149" s="14"/>
      <x:c r="EG149" s="14"/>
      <x:c r="EH149" s="14"/>
      <x:c r="EI149" s="14"/>
      <x:c r="EJ149" s="14"/>
      <x:c r="EK149" s="14"/>
      <x:c r="EL149" s="14"/>
      <x:c r="EM149" s="14"/>
      <x:c r="EN149" s="14"/>
      <x:c r="EO149" s="14"/>
      <x:c r="EP149" s="14"/>
      <x:c r="EQ149" s="14"/>
      <x:c r="ER149" s="14"/>
      <x:c r="ES149" s="14"/>
      <x:c r="ET149" s="14"/>
      <x:c r="EU149" s="14"/>
      <x:c r="EV149" s="14"/>
      <x:c r="EW149" s="14"/>
      <x:c r="EX149" s="14"/>
      <x:c r="EY149" s="14"/>
      <x:c r="EZ149" s="14"/>
      <x:c r="FA149" s="14"/>
      <x:c r="FB149" s="14"/>
      <x:c r="FC149" s="14"/>
      <x:c r="FD149" s="14"/>
      <x:c r="FE149" s="14"/>
      <x:c r="FF149" s="14"/>
      <x:c r="FG149" s="14"/>
      <x:c r="FH149" s="14"/>
      <x:c r="FI149" s="14"/>
      <x:c r="FJ149" s="14"/>
      <x:c r="FK149" s="14"/>
      <x:c r="FL149" s="14"/>
      <x:c r="FM149" s="14"/>
      <x:c r="FN149" s="14"/>
      <x:c r="FO149" s="14"/>
      <x:c r="FP149" s="14"/>
      <x:c r="FQ149" s="14"/>
      <x:c r="FR149" s="14"/>
      <x:c r="FS149" s="14"/>
      <x:c r="FT149" s="14"/>
      <x:c r="FU149" s="14"/>
      <x:c r="FV149" s="14"/>
      <x:c r="FW149" s="14"/>
      <x:c r="FX149" s="14"/>
      <x:c r="FY149" s="14"/>
      <x:c r="FZ149" s="14"/>
      <x:c r="GA149" s="14"/>
      <x:c r="GB149" s="14"/>
      <x:c r="GC149" s="14"/>
      <x:c r="GD149" s="14"/>
      <x:c r="GE149" s="14"/>
      <x:c r="GF149" s="14"/>
      <x:c r="GG149" s="14"/>
      <x:c r="GH149" s="14"/>
      <x:c r="GI149" s="14"/>
      <x:c r="GJ149" s="14"/>
      <x:c r="GK149" s="14"/>
      <x:c r="GL149" s="14"/>
      <x:c r="GM149" s="14"/>
      <x:c r="GN149" s="14"/>
      <x:c r="GO149" s="14"/>
      <x:c r="GP149" s="14"/>
      <x:c r="GQ149" s="14"/>
      <x:c r="GR149" s="14"/>
      <x:c r="GS149" s="14"/>
      <x:c r="GT149" s="14"/>
      <x:c r="GU149" s="14"/>
      <x:c r="GV149" s="14"/>
      <x:c r="GW149" s="14"/>
      <x:c r="GX149" s="14"/>
      <x:c r="GY149" s="14"/>
      <x:c r="GZ149" s="14"/>
      <x:c r="HA149" s="14"/>
      <x:c r="HB149" s="14"/>
      <x:c r="HC149" s="14"/>
      <x:c r="HD149" s="14"/>
      <x:c r="HE149" s="14"/>
      <x:c r="HF149" s="14"/>
      <x:c r="HG149" s="14"/>
      <x:c r="HH149" s="14"/>
      <x:c r="HI149" s="14"/>
      <x:c r="HJ149" s="14"/>
      <x:c r="HK149" s="14"/>
      <x:c r="HL149" s="14"/>
      <x:c r="HM149" s="14"/>
      <x:c r="HN149" s="14"/>
      <x:c r="HO149" s="14"/>
      <x:c r="HP149" s="14"/>
      <x:c r="HQ149" s="14"/>
      <x:c r="HR149" s="14"/>
      <x:c r="HS149" s="14"/>
      <x:c r="HT149" s="14"/>
      <x:c r="HU149" s="14"/>
      <x:c r="HV149" s="14"/>
      <x:c r="HW149" s="14"/>
      <x:c r="HX149" s="14"/>
      <x:c r="HY149" s="14"/>
      <x:c r="HZ149" s="14"/>
      <x:c r="IA149" s="14"/>
      <x:c r="IB149" s="14"/>
      <x:c r="IC149" s="14"/>
      <x:c r="ID149" s="14"/>
      <x:c r="IE149" s="14"/>
      <x:c r="IF149" s="14"/>
      <x:c r="IG149" s="14"/>
      <x:c r="IH149" s="14"/>
      <x:c r="II149" s="14"/>
      <x:c r="IJ149" s="14"/>
      <x:c r="IK149" s="14"/>
      <x:c r="IL149" s="14"/>
      <x:c r="IM149" s="14"/>
      <x:c r="IN149" s="14"/>
      <x:c r="IO149" s="14"/>
      <x:c r="IP149" s="14"/>
      <x:c r="IQ149" s="14"/>
      <x:c r="IR149" s="14"/>
      <x:c r="IS149" s="14"/>
      <x:c r="IT149" s="14"/>
      <x:c r="IU149" s="14"/>
      <x:c r="IV149" s="14"/>
      <x:c r="IW149" s="14"/>
      <x:c r="IX149" s="14"/>
      <x:c r="IY149" s="14"/>
      <x:c r="IZ149" s="14"/>
      <x:c r="JA149" s="14"/>
      <x:c r="JB149" s="14"/>
      <x:c r="JC149" s="14"/>
      <x:c r="JD149" s="14"/>
      <x:c r="JE149" s="14"/>
      <x:c r="JF149" s="14"/>
      <x:c r="JG149" s="14"/>
      <x:c r="JH149" s="14"/>
      <x:c r="JI149" s="14"/>
      <x:c r="JJ149" s="14"/>
      <x:c r="JK149" s="14"/>
      <x:c r="JL149" s="14"/>
      <x:c r="JM149" s="14"/>
      <x:c r="JN149" s="14"/>
      <x:c r="JO149" s="14"/>
      <x:c r="JP149" s="14"/>
      <x:c r="JQ149" s="14"/>
      <x:c r="JR149" s="14"/>
      <x:c r="JS149" s="14"/>
      <x:c r="JT149" s="14"/>
      <x:c r="JU149" s="14"/>
      <x:c r="JV149" s="14"/>
      <x:c r="JW149" s="14"/>
      <x:c r="JX149" s="14"/>
      <x:c r="JY149" s="14"/>
      <x:c r="JZ149" s="14"/>
      <x:c r="KA149" s="14"/>
      <x:c r="KB149" s="14"/>
      <x:c r="KC149" s="14"/>
      <x:c r="KD149" s="14"/>
      <x:c r="KE149" s="14"/>
      <x:c r="KF149" s="14"/>
      <x:c r="KG149" s="14"/>
      <x:c r="KH149" s="14"/>
      <x:c r="KI149" s="14"/>
      <x:c r="KJ149" s="14"/>
      <x:c r="KK149" s="14"/>
      <x:c r="KL149" s="14"/>
      <x:c r="KM149" s="14"/>
      <x:c r="KN149" s="14"/>
      <x:c r="KO149" s="14"/>
      <x:c r="KP149" s="14"/>
      <x:c r="KQ149" s="14"/>
      <x:c r="KR149" s="14"/>
      <x:c r="KS149" s="14"/>
      <x:c r="KT149" s="14"/>
      <x:c r="KU149" s="14"/>
      <x:c r="KV149" s="14"/>
      <x:c r="KW149" s="14"/>
      <x:c r="KX149" s="14"/>
      <x:c r="KY149" s="14"/>
      <x:c r="KZ149" s="14"/>
      <x:c r="LA149" s="14"/>
      <x:c r="LB149" s="14"/>
      <x:c r="LC149" s="14"/>
      <x:c r="LD149" s="14"/>
      <x:c r="LE149" s="14"/>
      <x:c r="LF149" s="14"/>
      <x:c r="LG149" s="14"/>
      <x:c r="LH149" s="14"/>
      <x:c r="LI149" s="14"/>
      <x:c r="LJ149" s="14"/>
      <x:c r="LK149" s="14"/>
      <x:c r="LL149" s="14"/>
      <x:c r="LM149" s="14"/>
      <x:c r="LN149" s="14"/>
      <x:c r="LO149" s="14"/>
      <x:c r="LP149" s="14"/>
      <x:c r="LQ149" s="14"/>
      <x:c r="LR149" s="14"/>
      <x:c r="LS149" s="14"/>
      <x:c r="LT149" s="14"/>
      <x:c r="LU149" s="14"/>
      <x:c r="LV149" s="14"/>
      <x:c r="LW149" s="14"/>
      <x:c r="LX149" s="14"/>
      <x:c r="LY149" s="14"/>
      <x:c r="LZ149" s="14"/>
      <x:c r="MA149" s="14"/>
      <x:c r="MB149" s="14"/>
      <x:c r="MC149" s="14"/>
      <x:c r="MD149" s="14"/>
      <x:c r="ME149" s="14"/>
      <x:c r="MF149" s="14"/>
      <x:c r="MG149" s="14"/>
      <x:c r="MH149" s="14"/>
      <x:c r="MI149" s="14"/>
      <x:c r="MJ149" s="14"/>
      <x:c r="MK149" s="14"/>
      <x:c r="ML149" s="14"/>
      <x:c r="MM149" s="14"/>
      <x:c r="MN149" s="14"/>
      <x:c r="MO149" s="14"/>
      <x:c r="MP149" s="14"/>
      <x:c r="MQ149" s="14"/>
      <x:c r="MR149" s="14"/>
      <x:c r="MS149" s="14"/>
      <x:c r="MT149" s="14"/>
      <x:c r="MU149" s="14"/>
      <x:c r="MV149" s="14"/>
      <x:c r="MW149" s="14"/>
      <x:c r="MX149" s="14"/>
      <x:c r="MY149" s="14"/>
      <x:c r="MZ149" s="14"/>
      <x:c r="NA149" s="14"/>
      <x:c r="NB149" s="14"/>
      <x:c r="NC149" s="14"/>
      <x:c r="ND149" s="14"/>
      <x:c r="NE149" s="14"/>
      <x:c r="NF149" s="14"/>
      <x:c r="NG149" s="14"/>
      <x:c r="NH149" s="14"/>
      <x:c r="NI149" s="14"/>
      <x:c r="NJ149" s="14"/>
      <x:c r="NK149" s="14"/>
      <x:c r="NL149" s="14"/>
      <x:c r="NM149" s="14"/>
      <x:c r="NN149" s="14"/>
      <x:c r="NO149" s="14"/>
      <x:c r="NP149" s="14"/>
      <x:c r="NQ149" s="14"/>
      <x:c r="NR149" s="14"/>
      <x:c r="NS149" s="14"/>
      <x:c r="NT149" s="14"/>
      <x:c r="NU149" s="14"/>
      <x:c r="NV149" s="14"/>
      <x:c r="NW149" s="14"/>
      <x:c r="NX149" s="14"/>
      <x:c r="NY149" s="14" t="str">
        <x:v>30399</x:v>
      </x:c>
      <x:c r="NZ149" s="14" t="n">
        <x:v>10</x:v>
      </x:c>
      <x:c r="OA149" s="14" t="n">
        <x:v>2598</x:v>
      </x:c>
      <x:c r="OB149" s="14" t="n">
        <x:v>497</x:v>
      </x:c>
      <x:c r="OC149" s="14" t="n">
        <x:v>5</x:v>
      </x:c>
      <x:c r="OD149" s="14" t="n">
        <x:v>1</x:v>
      </x:c>
      <x:c r="OE149" s="14" t="str">
        <x:v>未收錄</x:v>
      </x:c>
      <x:c r="OF149" s="14" t="str">
        <x:v>30419</x:v>
      </x:c>
      <x:c r="OG149" s="14" t="n">
        <x:v>10</x:v>
      </x:c>
      <x:c r="OH149" s="14" t="n">
        <x:v>2599</x:v>
      </x:c>
      <x:c r="OI149" s="14" t="n">
        <x:v>498</x:v>
      </x:c>
      <x:c r="OJ149" s="14" t="n">
        <x:v>5</x:v>
      </x:c>
      <x:c r="OK149" s="14" t="n">
        <x:v>2</x:v>
      </x:c>
      <x:c r="OL149" s="14" t="str">
        <x:v>未收錄</x:v>
      </x:c>
      <x:c r="OM149" s="14" t="str">
        <x:v>30280</x:v>
      </x:c>
      <x:c r="ON149" s="14" t="n">
        <x:v>5</x:v>
      </x:c>
      <x:c r="OO149" s="14" t="n">
        <x:v>2600</x:v>
      </x:c>
      <x:c r="OP149" s="14" t="n">
        <x:v>499</x:v>
      </x:c>
      <x:c r="OQ149" s="14" t="n">
        <x:v>5</x:v>
      </x:c>
      <x:c r="OR149" s="14" t="n">
        <x:v>3</x:v>
      </x:c>
      <x:c r="OS149" s="14" t="str">
        <x:v>未收錄</x:v>
      </x:c>
      <x:c r="OT149" s="14" t="str">
        <x:v>30285</x:v>
      </x:c>
      <x:c r="OU149" s="14" t="n">
        <x:v>5</x:v>
      </x:c>
      <x:c r="OV149" s="14" t="n">
        <x:v>2601</x:v>
      </x:c>
      <x:c r="OW149" s="14" t="n">
        <x:v>500</x:v>
      </x:c>
      <x:c r="OX149" s="14" t="n">
        <x:v>5</x:v>
      </x:c>
      <x:c r="OY149" s="14" t="n">
        <x:v>4</x:v>
      </x:c>
      <x:c r="OZ149" s="14" t="str">
        <x:v>未收錄</x:v>
      </x:c>
      <x:c r="PA149" s="14"/>
      <x:c r="PB149" s="14"/>
      <x:c r="PC149" s="14"/>
      <x:c r="PD149" s="14"/>
      <x:c r="PE149" s="14"/>
      <x:c r="PF149" s="14"/>
      <x:c r="PG149" s="14"/>
      <x:c r="PH149" s="14"/>
      <x:c r="PI149" s="14"/>
      <x:c r="PJ149" s="14"/>
      <x:c r="PK149" s="14"/>
      <x:c r="PL149" s="14"/>
      <x:c r="PM149" s="14"/>
      <x:c r="PN149" s="14"/>
      <x:c r="PO149" s="14"/>
      <x:c r="PP149" s="14"/>
      <x:c r="PQ149" s="14"/>
      <x:c r="PR149" s="14"/>
      <x:c r="PS149" s="14"/>
      <x:c r="PT149" s="14"/>
      <x:c r="PU149" s="14"/>
      <x:c r="PV149" s="14"/>
      <x:c r="PW149" s="14"/>
      <x:c r="PX149" s="14"/>
      <x:c r="PY149" s="14"/>
      <x:c r="PZ149" s="14"/>
      <x:c r="QA149" s="14"/>
      <x:c r="QB149" s="14"/>
      <x:c r="QC149" s="14"/>
      <x:c r="QD149" s="14"/>
      <x:c r="QE149" s="14"/>
      <x:c r="QF149" s="14"/>
      <x:c r="QG149" s="14"/>
      <x:c r="QH149" s="14"/>
      <x:c r="QI149" s="14"/>
      <x:c r="QJ149" s="14"/>
      <x:c r="QK149" s="14"/>
      <x:c r="QL149" s="14"/>
      <x:c r="QM149" s="14"/>
      <x:c r="QN149" s="14"/>
      <x:c r="QO149" s="14"/>
      <x:c r="QP149" s="14"/>
      <x:c r="QQ149" s="14"/>
      <x:c r="QR149" s="14"/>
      <x:c r="QS149" s="14"/>
      <x:c r="QT149" s="14"/>
      <x:c r="QU149" s="14"/>
      <x:c r="QV149" s="14"/>
      <x:c r="QW149" s="14"/>
      <x:c r="QX149" s="14"/>
      <x:c r="QY149" s="14"/>
      <x:c r="QZ149" s="14"/>
      <x:c r="RA149" s="14"/>
      <x:c r="RB149" s="14"/>
      <x:c r="RC149" s="14"/>
      <x:c r="RD149" s="14"/>
      <x:c r="RE149" s="14"/>
      <x:c r="RF149" s="14"/>
      <x:c r="RG149" s="14"/>
      <x:c r="RH149" s="14"/>
      <x:c r="RI149" s="14"/>
      <x:c r="RJ149" s="14"/>
      <x:c r="RK149" s="14"/>
      <x:c r="RL149" s="14"/>
      <x:c r="RM149" s="14"/>
      <x:c r="RN149" s="14"/>
      <x:c r="RO149" s="14"/>
      <x:c r="RP149" s="14"/>
      <x:c r="RQ149" s="14"/>
      <x:c r="RR149" s="14"/>
      <x:c r="RS149" s="14"/>
      <x:c r="RT149" s="14"/>
      <x:c r="RU149" s="14"/>
      <x:c r="RV149" s="14"/>
      <x:c r="RW149" s="14"/>
      <x:c r="RX149" s="14"/>
      <x:c r="RY149" s="14"/>
      <x:c r="RZ149" s="14"/>
      <x:c r="SA149" s="14"/>
      <x:c r="SB149" s="14"/>
      <x:c r="SC149" s="14"/>
      <x:c r="SD149" s="14"/>
      <x:c r="SE149" s="14"/>
      <x:c r="SF149" s="14"/>
      <x:c r="SG149" s="14"/>
      <x:c r="SH149" s="14"/>
      <x:c r="SI149" s="14"/>
      <x:c r="SJ149" s="14"/>
      <x:c r="SK149" s="14"/>
      <x:c r="SL149" s="14"/>
      <x:c r="SM149" s="14"/>
      <x:c r="SN149" s="14"/>
      <x:c r="SO149" s="14"/>
      <x:c r="SP149" s="14"/>
      <x:c r="SQ149" s="14"/>
      <x:c r="SR149" s="14"/>
      <x:c r="SS149" s="14"/>
      <x:c r="ST149" s="14"/>
      <x:c r="SU149" s="14"/>
      <x:c r="SV149" s="14"/>
      <x:c r="SW149" s="14"/>
      <x:c r="SX149" s="14"/>
      <x:c r="SY149" s="14"/>
      <x:c r="SZ149" s="14"/>
      <x:c r="TA149" s="14"/>
      <x:c r="TB149" s="14"/>
      <x:c r="TC149" s="14"/>
      <x:c r="TD149" s="14"/>
      <x:c r="TE149" s="14"/>
      <x:c r="TF149" s="14"/>
      <x:c r="TG149" s="14"/>
      <x:c r="TH149" s="14"/>
    </x:row>
    <x:row r="150" ht="15" customHeight="1">
      <x:c r="A150" s="14"/>
      <x:c r="B150" s="14"/>
      <x:c r="C150" s="14"/>
      <x:c r="D150" s="14"/>
      <x:c r="E150" s="14"/>
      <x:c r="F150" s="14"/>
      <x:c r="G150" s="14"/>
      <x:c r="H150" s="14"/>
      <x:c r="I150" s="14"/>
      <x:c r="J150" s="14"/>
      <x:c r="K150" s="14"/>
      <x:c r="L150" s="14"/>
      <x:c r="M150" s="14"/>
      <x:c r="N150" s="14"/>
      <x:c r="O150" s="14"/>
      <x:c r="P150" s="14"/>
      <x:c r="Q150" s="14"/>
      <x:c r="R150" s="14"/>
      <x:c r="S150" s="14"/>
      <x:c r="T150" s="14"/>
      <x:c r="U150" s="14"/>
      <x:c r="V150" s="14"/>
      <x:c r="W150" s="14"/>
      <x:c r="X150" s="14"/>
      <x:c r="Y150" s="14"/>
      <x:c r="Z150" s="14"/>
      <x:c r="AA150" s="14"/>
      <x:c r="AB150" s="14"/>
      <x:c r="AC150" s="14"/>
      <x:c r="AD150" s="14"/>
      <x:c r="AE150" s="14"/>
      <x:c r="AF150" s="14"/>
      <x:c r="AG150" s="14"/>
      <x:c r="AH150" s="14"/>
      <x:c r="AI150" s="14"/>
      <x:c r="AJ150" s="14"/>
      <x:c r="AK150" s="14"/>
      <x:c r="AL150" s="14"/>
      <x:c r="AM150" s="14"/>
      <x:c r="AN150" s="14"/>
      <x:c r="AO150" s="14"/>
      <x:c r="AP150" s="14"/>
      <x:c r="AQ150" s="14"/>
      <x:c r="AR150" s="14"/>
      <x:c r="AS150" s="14"/>
      <x:c r="AT150" s="14"/>
      <x:c r="AU150" s="14"/>
      <x:c r="AV150" s="14"/>
      <x:c r="AW150" s="14"/>
      <x:c r="AX150" s="14"/>
      <x:c r="AY150" s="14"/>
      <x:c r="AZ150" s="14"/>
      <x:c r="BA150" s="14"/>
      <x:c r="BB150" s="14"/>
      <x:c r="BC150" s="14"/>
      <x:c r="BD150" s="18" t="str">
        <x:v>術凌旭服Ⅴ</x:v>
      </x:c>
      <x:c r="BE150" s="18" t="str">
        <x:v>道清旭袍Ⅴ</x:v>
      </x:c>
      <x:c r="BF150" s="18" t="str">
        <x:v>禪臺旭袈Ⅴ</x:v>
      </x:c>
      <x:c r="BG150" s="18" t="str">
        <x:v>狂陽耀鎧Ⅴ</x:v>
      </x:c>
      <x:c r="BH150" s="14"/>
      <x:c r="BI150" s="14"/>
      <x:c r="BJ150" s="14"/>
      <x:c r="BK150" s="14"/>
      <x:c r="BL150" s="14"/>
      <x:c r="BM150" s="14"/>
      <x:c r="BN150" s="14"/>
      <x:c r="BO150" s="14"/>
      <x:c r="BP150" s="14"/>
      <x:c r="BQ150" s="14"/>
      <x:c r="BR150" s="14"/>
      <x:c r="BS150" s="14"/>
      <x:c r="BT150" s="14"/>
      <x:c r="BU150" s="14"/>
      <x:c r="BV150" s="14"/>
      <x:c r="BW150" s="14"/>
      <x:c r="BX150" s="14"/>
      <x:c r="BY150" s="14"/>
      <x:c r="BZ150" s="14"/>
      <x:c r="CA150" s="14"/>
      <x:c r="CB150" s="14"/>
      <x:c r="CC150" s="14"/>
      <x:c r="CD150" s="14"/>
      <x:c r="CE150" s="14"/>
      <x:c r="CF150" s="14"/>
      <x:c r="CG150" s="14"/>
      <x:c r="CH150" s="14"/>
      <x:c r="CI150" s="14"/>
      <x:c r="CJ150" s="14"/>
      <x:c r="CK150" s="14"/>
      <x:c r="CL150" s="14"/>
      <x:c r="CM150" s="14"/>
      <x:c r="CN150" s="14"/>
      <x:c r="CO150" s="14"/>
      <x:c r="CP150" s="14"/>
      <x:c r="CQ150" s="14"/>
      <x:c r="CR150" s="14"/>
      <x:c r="CS150" s="14"/>
      <x:c r="CT150" s="14"/>
      <x:c r="CU150" s="14"/>
      <x:c r="CV150" s="14"/>
      <x:c r="CW150" s="14"/>
      <x:c r="CX150" s="14"/>
      <x:c r="CY150" s="14"/>
      <x:c r="CZ150" s="14"/>
      <x:c r="DA150" s="14"/>
      <x:c r="DB150" s="14"/>
      <x:c r="DC150" s="14"/>
      <x:c r="DD150" s="14"/>
      <x:c r="DE150" s="14"/>
      <x:c r="DF150" s="14"/>
      <x:c r="DG150" s="14"/>
      <x:c r="DH150" s="14"/>
      <x:c r="DI150" s="14"/>
      <x:c r="DJ150" s="14"/>
      <x:c r="DK150" s="14"/>
      <x:c r="DL150" s="14"/>
      <x:c r="DM150" s="14"/>
      <x:c r="DN150" s="14"/>
      <x:c r="DO150" s="14"/>
      <x:c r="DP150" s="14"/>
      <x:c r="DQ150" s="14"/>
      <x:c r="DR150" s="14"/>
      <x:c r="DS150" s="14"/>
      <x:c r="DT150" s="14"/>
      <x:c r="DU150" s="14"/>
      <x:c r="DV150" s="14"/>
      <x:c r="DW150" s="14"/>
      <x:c r="DX150" s="14"/>
      <x:c r="DY150" s="14"/>
      <x:c r="DZ150" s="14"/>
      <x:c r="EA150" s="14"/>
      <x:c r="EB150" s="14"/>
      <x:c r="EC150" s="14"/>
      <x:c r="ED150" s="14"/>
      <x:c r="EE150" s="14"/>
      <x:c r="EF150" s="14"/>
      <x:c r="EG150" s="14"/>
      <x:c r="EH150" s="14"/>
      <x:c r="EI150" s="14"/>
      <x:c r="EJ150" s="14"/>
      <x:c r="EK150" s="14"/>
      <x:c r="EL150" s="14"/>
      <x:c r="EM150" s="14"/>
      <x:c r="EN150" s="14"/>
      <x:c r="EO150" s="14"/>
      <x:c r="EP150" s="14"/>
      <x:c r="EQ150" s="14"/>
      <x:c r="ER150" s="14"/>
      <x:c r="ES150" s="14"/>
      <x:c r="ET150" s="14"/>
      <x:c r="EU150" s="14"/>
      <x:c r="EV150" s="14"/>
      <x:c r="EW150" s="14"/>
      <x:c r="EX150" s="14"/>
      <x:c r="EY150" s="14"/>
      <x:c r="EZ150" s="14"/>
      <x:c r="FA150" s="14"/>
      <x:c r="FB150" s="14"/>
      <x:c r="FC150" s="14"/>
      <x:c r="FD150" s="14"/>
      <x:c r="FE150" s="14"/>
      <x:c r="FF150" s="14"/>
      <x:c r="FG150" s="14"/>
      <x:c r="FH150" s="14"/>
      <x:c r="FI150" s="14"/>
      <x:c r="FJ150" s="14"/>
      <x:c r="FK150" s="14"/>
      <x:c r="FL150" s="14"/>
      <x:c r="FM150" s="14"/>
      <x:c r="FN150" s="14"/>
      <x:c r="FO150" s="14"/>
      <x:c r="FP150" s="14"/>
      <x:c r="FQ150" s="14"/>
      <x:c r="FR150" s="14"/>
      <x:c r="FS150" s="14"/>
      <x:c r="FT150" s="14"/>
      <x:c r="FU150" s="14"/>
      <x:c r="FV150" s="14"/>
      <x:c r="FW150" s="14"/>
      <x:c r="FX150" s="14"/>
      <x:c r="FY150" s="14"/>
      <x:c r="FZ150" s="14"/>
      <x:c r="GA150" s="14"/>
      <x:c r="GB150" s="14"/>
      <x:c r="GC150" s="14"/>
      <x:c r="GD150" s="14"/>
      <x:c r="GE150" s="14"/>
      <x:c r="GF150" s="14"/>
      <x:c r="GG150" s="14"/>
      <x:c r="GH150" s="14"/>
      <x:c r="GI150" s="14"/>
      <x:c r="GJ150" s="14"/>
      <x:c r="GK150" s="14"/>
      <x:c r="GL150" s="14"/>
      <x:c r="GM150" s="14"/>
      <x:c r="GN150" s="14"/>
      <x:c r="GO150" s="14"/>
      <x:c r="GP150" s="14"/>
      <x:c r="GQ150" s="14"/>
      <x:c r="GR150" s="14"/>
      <x:c r="GS150" s="14"/>
      <x:c r="GT150" s="14"/>
      <x:c r="GU150" s="14"/>
      <x:c r="GV150" s="14"/>
      <x:c r="GW150" s="14"/>
      <x:c r="GX150" s="14"/>
      <x:c r="GY150" s="14"/>
      <x:c r="GZ150" s="14"/>
      <x:c r="HA150" s="14"/>
      <x:c r="HB150" s="14"/>
      <x:c r="HC150" s="14"/>
      <x:c r="HD150" s="14"/>
      <x:c r="HE150" s="14"/>
      <x:c r="HF150" s="14"/>
      <x:c r="HG150" s="14"/>
      <x:c r="HH150" s="14"/>
      <x:c r="HI150" s="14"/>
      <x:c r="HJ150" s="14"/>
      <x:c r="HK150" s="14"/>
      <x:c r="HL150" s="14"/>
      <x:c r="HM150" s="14"/>
      <x:c r="HN150" s="14"/>
      <x:c r="HO150" s="14"/>
      <x:c r="HP150" s="14"/>
      <x:c r="HQ150" s="14"/>
      <x:c r="HR150" s="14"/>
      <x:c r="HS150" s="14"/>
      <x:c r="HT150" s="14"/>
      <x:c r="HU150" s="14"/>
      <x:c r="HV150" s="14"/>
      <x:c r="HW150" s="14"/>
      <x:c r="HX150" s="14"/>
      <x:c r="HY150" s="14"/>
      <x:c r="HZ150" s="14"/>
      <x:c r="IA150" s="14"/>
      <x:c r="IB150" s="14"/>
      <x:c r="IC150" s="14"/>
      <x:c r="ID150" s="14"/>
      <x:c r="IE150" s="14"/>
      <x:c r="IF150" s="14"/>
      <x:c r="IG150" s="14"/>
      <x:c r="IH150" s="14"/>
      <x:c r="II150" s="14"/>
      <x:c r="IJ150" s="14"/>
      <x:c r="IK150" s="14"/>
      <x:c r="IL150" s="14"/>
      <x:c r="IM150" s="14"/>
      <x:c r="IN150" s="14"/>
      <x:c r="IO150" s="14"/>
      <x:c r="IP150" s="14"/>
      <x:c r="IQ150" s="14"/>
      <x:c r="IR150" s="14"/>
      <x:c r="IS150" s="14"/>
      <x:c r="IT150" s="14"/>
      <x:c r="IU150" s="14"/>
      <x:c r="IV150" s="14"/>
      <x:c r="IW150" s="14"/>
      <x:c r="IX150" s="14"/>
      <x:c r="IY150" s="14"/>
      <x:c r="IZ150" s="14"/>
      <x:c r="JA150" s="14"/>
      <x:c r="JB150" s="14"/>
      <x:c r="JC150" s="14"/>
      <x:c r="JD150" s="14"/>
      <x:c r="JE150" s="14"/>
      <x:c r="JF150" s="14"/>
      <x:c r="JG150" s="14"/>
      <x:c r="JH150" s="14"/>
      <x:c r="JI150" s="14"/>
      <x:c r="JJ150" s="14"/>
      <x:c r="JK150" s="14"/>
      <x:c r="JL150" s="14"/>
      <x:c r="JM150" s="14"/>
      <x:c r="JN150" s="14"/>
      <x:c r="JO150" s="14"/>
      <x:c r="JP150" s="14"/>
      <x:c r="JQ150" s="14"/>
      <x:c r="JR150" s="14"/>
      <x:c r="JS150" s="14"/>
      <x:c r="JT150" s="14"/>
      <x:c r="JU150" s="14"/>
      <x:c r="JV150" s="14"/>
      <x:c r="JW150" s="14"/>
      <x:c r="JX150" s="14"/>
      <x:c r="JY150" s="14"/>
      <x:c r="JZ150" s="14"/>
      <x:c r="KA150" s="14"/>
      <x:c r="KB150" s="14"/>
      <x:c r="KC150" s="14"/>
      <x:c r="KD150" s="14"/>
      <x:c r="KE150" s="14"/>
      <x:c r="KF150" s="14"/>
      <x:c r="KG150" s="14"/>
      <x:c r="KH150" s="14"/>
      <x:c r="KI150" s="14"/>
      <x:c r="KJ150" s="14"/>
      <x:c r="KK150" s="14"/>
      <x:c r="KL150" s="14"/>
      <x:c r="KM150" s="14"/>
      <x:c r="KN150" s="14"/>
      <x:c r="KO150" s="14"/>
      <x:c r="KP150" s="14"/>
      <x:c r="KQ150" s="14"/>
      <x:c r="KR150" s="14"/>
      <x:c r="KS150" s="14"/>
      <x:c r="KT150" s="14"/>
      <x:c r="KU150" s="14"/>
      <x:c r="KV150" s="14"/>
      <x:c r="KW150" s="14"/>
      <x:c r="KX150" s="14"/>
      <x:c r="KY150" s="14"/>
      <x:c r="KZ150" s="14"/>
      <x:c r="LA150" s="14"/>
      <x:c r="LB150" s="14"/>
      <x:c r="LC150" s="14"/>
      <x:c r="LD150" s="14"/>
      <x:c r="LE150" s="14"/>
      <x:c r="LF150" s="14"/>
      <x:c r="LG150" s="14"/>
      <x:c r="LH150" s="14"/>
      <x:c r="LI150" s="14"/>
      <x:c r="LJ150" s="14"/>
      <x:c r="LK150" s="14"/>
      <x:c r="LL150" s="14"/>
      <x:c r="LM150" s="14"/>
      <x:c r="LN150" s="14"/>
      <x:c r="LO150" s="14"/>
      <x:c r="LP150" s="14"/>
      <x:c r="LQ150" s="14"/>
      <x:c r="LR150" s="14"/>
      <x:c r="LS150" s="14"/>
      <x:c r="LT150" s="14"/>
      <x:c r="LU150" s="14"/>
      <x:c r="LV150" s="14"/>
      <x:c r="LW150" s="14"/>
      <x:c r="LX150" s="14"/>
      <x:c r="LY150" s="14"/>
      <x:c r="LZ150" s="14"/>
      <x:c r="MA150" s="14"/>
      <x:c r="MB150" s="14"/>
      <x:c r="MC150" s="14"/>
      <x:c r="MD150" s="14"/>
      <x:c r="ME150" s="14"/>
      <x:c r="MF150" s="14"/>
      <x:c r="MG150" s="14"/>
      <x:c r="MH150" s="14"/>
      <x:c r="MI150" s="14"/>
      <x:c r="MJ150" s="14"/>
      <x:c r="MK150" s="14"/>
      <x:c r="ML150" s="14"/>
      <x:c r="MM150" s="14"/>
      <x:c r="MN150" s="14"/>
      <x:c r="MO150" s="14"/>
      <x:c r="MP150" s="14"/>
      <x:c r="MQ150" s="14"/>
      <x:c r="MR150" s="14"/>
      <x:c r="MS150" s="14"/>
      <x:c r="MT150" s="14"/>
      <x:c r="MU150" s="14"/>
      <x:c r="MV150" s="14"/>
      <x:c r="MW150" s="14"/>
      <x:c r="MX150" s="14"/>
      <x:c r="MY150" s="14"/>
      <x:c r="MZ150" s="14"/>
      <x:c r="NA150" s="14"/>
      <x:c r="NB150" s="14"/>
      <x:c r="NC150" s="14"/>
      <x:c r="ND150" s="14"/>
      <x:c r="NE150" s="14"/>
      <x:c r="NF150" s="14"/>
      <x:c r="NG150" s="14"/>
      <x:c r="NH150" s="14"/>
      <x:c r="NI150" s="14"/>
      <x:c r="NJ150" s="14"/>
      <x:c r="NK150" s="14"/>
      <x:c r="NL150" s="14"/>
      <x:c r="NM150" s="14"/>
      <x:c r="NN150" s="14"/>
      <x:c r="NO150" s="14"/>
      <x:c r="NP150" s="14"/>
      <x:c r="NQ150" s="14"/>
      <x:c r="NR150" s="14"/>
      <x:c r="NS150" s="14"/>
      <x:c r="NT150" s="14"/>
      <x:c r="NU150" s="14"/>
      <x:c r="NV150" s="14"/>
      <x:c r="NW150" s="14"/>
      <x:c r="NX150" s="14"/>
      <x:c r="NY150" s="14" t="str">
        <x:v>30290</x:v>
      </x:c>
      <x:c r="NZ150" s="14" t="n">
        <x:v>5</x:v>
      </x:c>
      <x:c r="OA150" s="14" t="n">
        <x:v>2602</x:v>
      </x:c>
      <x:c r="OB150" s="14" t="n">
        <x:v>501</x:v>
      </x:c>
      <x:c r="OC150" s="14" t="n">
        <x:v>6</x:v>
      </x:c>
      <x:c r="OD150" s="14" t="n">
        <x:v>1</x:v>
      </x:c>
      <x:c r="OE150" s="14" t="str">
        <x:v>未收錄</x:v>
      </x:c>
      <x:c r="OF150" s="14" t="str">
        <x:v>30295</x:v>
      </x:c>
      <x:c r="OG150" s="14" t="n">
        <x:v>5</x:v>
      </x:c>
      <x:c r="OH150" s="14" t="n">
        <x:v>2603</x:v>
      </x:c>
      <x:c r="OI150" s="14" t="n">
        <x:v>502</x:v>
      </x:c>
      <x:c r="OJ150" s="14" t="n">
        <x:v>6</x:v>
      </x:c>
      <x:c r="OK150" s="14" t="n">
        <x:v>2</x:v>
      </x:c>
      <x:c r="OL150" s="14" t="str">
        <x:v>未收錄</x:v>
      </x:c>
      <x:c r="OM150" s="14" t="str">
        <x:v>30300</x:v>
      </x:c>
      <x:c r="ON150" s="14" t="n">
        <x:v>5</x:v>
      </x:c>
      <x:c r="OO150" s="14" t="n">
        <x:v>2604</x:v>
      </x:c>
      <x:c r="OP150" s="14" t="n">
        <x:v>503</x:v>
      </x:c>
      <x:c r="OQ150" s="14" t="n">
        <x:v>6</x:v>
      </x:c>
      <x:c r="OR150" s="14" t="n">
        <x:v>3</x:v>
      </x:c>
      <x:c r="OS150" s="14" t="str">
        <x:v>未收錄</x:v>
      </x:c>
      <x:c r="OT150" s="14" t="str">
        <x:v>30380</x:v>
      </x:c>
      <x:c r="OU150" s="14" t="n">
        <x:v>10</x:v>
      </x:c>
      <x:c r="OV150" s="14" t="n">
        <x:v>2605</x:v>
      </x:c>
      <x:c r="OW150" s="14" t="n">
        <x:v>504</x:v>
      </x:c>
      <x:c r="OX150" s="14" t="n">
        <x:v>6</x:v>
      </x:c>
      <x:c r="OY150" s="14" t="n">
        <x:v>4</x:v>
      </x:c>
      <x:c r="OZ150" s="14" t="str">
        <x:v>未收錄</x:v>
      </x:c>
      <x:c r="PA150" s="14"/>
      <x:c r="PB150" s="14"/>
      <x:c r="PC150" s="14"/>
      <x:c r="PD150" s="14"/>
      <x:c r="PE150" s="14"/>
      <x:c r="PF150" s="14"/>
      <x:c r="PG150" s="14"/>
      <x:c r="PH150" s="14"/>
      <x:c r="PI150" s="14"/>
      <x:c r="PJ150" s="14"/>
      <x:c r="PK150" s="14"/>
      <x:c r="PL150" s="14"/>
      <x:c r="PM150" s="14"/>
      <x:c r="PN150" s="14"/>
      <x:c r="PO150" s="14"/>
      <x:c r="PP150" s="14"/>
      <x:c r="PQ150" s="14"/>
      <x:c r="PR150" s="14"/>
      <x:c r="PS150" s="14"/>
      <x:c r="PT150" s="14"/>
      <x:c r="PU150" s="14"/>
      <x:c r="PV150" s="14"/>
      <x:c r="PW150" s="14"/>
      <x:c r="PX150" s="14"/>
      <x:c r="PY150" s="14"/>
      <x:c r="PZ150" s="14"/>
      <x:c r="QA150" s="14"/>
      <x:c r="QB150" s="14"/>
      <x:c r="QC150" s="14"/>
      <x:c r="QD150" s="14"/>
      <x:c r="QE150" s="14"/>
      <x:c r="QF150" s="14"/>
      <x:c r="QG150" s="14"/>
      <x:c r="QH150" s="14"/>
      <x:c r="QI150" s="14"/>
      <x:c r="QJ150" s="14"/>
      <x:c r="QK150" s="14"/>
      <x:c r="QL150" s="14"/>
      <x:c r="QM150" s="14"/>
      <x:c r="QN150" s="14"/>
      <x:c r="QO150" s="14"/>
      <x:c r="QP150" s="14"/>
      <x:c r="QQ150" s="14"/>
      <x:c r="QR150" s="14"/>
      <x:c r="QS150" s="14"/>
      <x:c r="QT150" s="14"/>
      <x:c r="QU150" s="14"/>
      <x:c r="QV150" s="14"/>
      <x:c r="QW150" s="14"/>
      <x:c r="QX150" s="14"/>
      <x:c r="QY150" s="14"/>
      <x:c r="QZ150" s="14"/>
      <x:c r="RA150" s="14"/>
      <x:c r="RB150" s="14"/>
      <x:c r="RC150" s="14"/>
      <x:c r="RD150" s="14"/>
      <x:c r="RE150" s="14"/>
      <x:c r="RF150" s="14"/>
      <x:c r="RG150" s="14"/>
      <x:c r="RH150" s="14"/>
      <x:c r="RI150" s="14"/>
      <x:c r="RJ150" s="14"/>
      <x:c r="RK150" s="14"/>
      <x:c r="RL150" s="14"/>
      <x:c r="RM150" s="14"/>
      <x:c r="RN150" s="14"/>
      <x:c r="RO150" s="14"/>
      <x:c r="RP150" s="14"/>
      <x:c r="RQ150" s="14"/>
      <x:c r="RR150" s="14"/>
      <x:c r="RS150" s="14"/>
      <x:c r="RT150" s="14"/>
      <x:c r="RU150" s="14"/>
      <x:c r="RV150" s="14"/>
      <x:c r="RW150" s="14"/>
      <x:c r="RX150" s="14"/>
      <x:c r="RY150" s="14"/>
      <x:c r="RZ150" s="14"/>
      <x:c r="SA150" s="14"/>
      <x:c r="SB150" s="14"/>
      <x:c r="SC150" s="14"/>
      <x:c r="SD150" s="14"/>
      <x:c r="SE150" s="14"/>
      <x:c r="SF150" s="14"/>
      <x:c r="SG150" s="14"/>
      <x:c r="SH150" s="14"/>
      <x:c r="SI150" s="14"/>
      <x:c r="SJ150" s="14"/>
      <x:c r="SK150" s="14"/>
      <x:c r="SL150" s="14"/>
      <x:c r="SM150" s="14"/>
      <x:c r="SN150" s="14"/>
      <x:c r="SO150" s="14"/>
      <x:c r="SP150" s="14"/>
      <x:c r="SQ150" s="14"/>
      <x:c r="SR150" s="14"/>
      <x:c r="SS150" s="14"/>
      <x:c r="ST150" s="14"/>
      <x:c r="SU150" s="14"/>
      <x:c r="SV150" s="14"/>
      <x:c r="SW150" s="14"/>
      <x:c r="SX150" s="14"/>
      <x:c r="SY150" s="14"/>
      <x:c r="SZ150" s="14"/>
      <x:c r="TA150" s="14"/>
      <x:c r="TB150" s="14"/>
      <x:c r="TC150" s="14"/>
      <x:c r="TD150" s="14"/>
      <x:c r="TE150" s="14"/>
      <x:c r="TF150" s="14"/>
      <x:c r="TG150" s="14"/>
      <x:c r="TH150" s="14"/>
    </x:row>
    <x:row r="151" ht="15" customHeight="1">
      <x:c r="A151" s="14"/>
      <x:c r="B151" s="14"/>
      <x:c r="C151" s="14"/>
      <x:c r="D151" s="14"/>
      <x:c r="E151" s="14"/>
      <x:c r="F151" s="14"/>
      <x:c r="G151" s="14"/>
      <x:c r="H151" s="14"/>
      <x:c r="I151" s="14"/>
      <x:c r="J151" s="14"/>
      <x:c r="K151" s="14"/>
      <x:c r="L151" s="14"/>
      <x:c r="M151" s="14"/>
      <x:c r="N151" s="14"/>
      <x:c r="O151" s="14"/>
      <x:c r="P151" s="14"/>
      <x:c r="Q151" s="14"/>
      <x:c r="R151" s="14"/>
      <x:c r="S151" s="14"/>
      <x:c r="T151" s="14"/>
      <x:c r="U151" s="14"/>
      <x:c r="V151" s="14"/>
      <x:c r="W151" s="14"/>
      <x:c r="X151" s="14"/>
      <x:c r="Y151" s="14"/>
      <x:c r="Z151" s="14"/>
      <x:c r="AA151" s="14"/>
      <x:c r="AB151" s="14"/>
      <x:c r="AC151" s="14"/>
      <x:c r="AD151" s="14"/>
      <x:c r="AE151" s="14"/>
      <x:c r="AF151" s="14"/>
      <x:c r="AG151" s="14"/>
      <x:c r="AH151" s="14"/>
      <x:c r="AI151" s="14"/>
      <x:c r="AJ151" s="14"/>
      <x:c r="AK151" s="14"/>
      <x:c r="AL151" s="14"/>
      <x:c r="AM151" s="14"/>
      <x:c r="AN151" s="14"/>
      <x:c r="AO151" s="14"/>
      <x:c r="AP151" s="14"/>
      <x:c r="AQ151" s="14"/>
      <x:c r="AR151" s="14"/>
      <x:c r="AS151" s="14"/>
      <x:c r="AT151" s="14"/>
      <x:c r="AU151" s="14"/>
      <x:c r="AV151" s="14"/>
      <x:c r="AW151" s="14"/>
      <x:c r="AX151" s="14"/>
      <x:c r="AY151" s="14"/>
      <x:c r="AZ151" s="14"/>
      <x:c r="BA151" s="14"/>
      <x:c r="BB151" s="14"/>
      <x:c r="BC151" s="14"/>
      <x:c r="BD151" s="17" t="str">
        <x:v>靜月簾衣Ⅴ</x:v>
      </x:c>
      <x:c r="BE151" s="17" t="str">
        <x:v>宿星燦甲Ⅴ</x:v>
      </x:c>
      <x:c r="BF151" s="17" t="str">
        <x:v>宇鋒颯衣Ⅰ</x:v>
      </x:c>
      <x:c r="BG151" s="17" t="str">
        <x:v>天衛宙甲Ⅰ</x:v>
      </x:c>
      <x:c r="BH151" s="14"/>
      <x:c r="BI151" s="14"/>
      <x:c r="BJ151" s="14"/>
      <x:c r="BK151" s="14"/>
      <x:c r="BL151" s="14"/>
      <x:c r="BM151" s="14"/>
      <x:c r="BN151" s="14"/>
      <x:c r="BO151" s="14"/>
      <x:c r="BP151" s="14"/>
      <x:c r="BQ151" s="14"/>
      <x:c r="BR151" s="14"/>
      <x:c r="BS151" s="14"/>
      <x:c r="BT151" s="14"/>
      <x:c r="BU151" s="14"/>
      <x:c r="BV151" s="14"/>
      <x:c r="BW151" s="14"/>
      <x:c r="BX151" s="14"/>
      <x:c r="BY151" s="14"/>
      <x:c r="BZ151" s="14"/>
      <x:c r="CA151" s="14"/>
      <x:c r="CB151" s="14"/>
      <x:c r="CC151" s="14"/>
      <x:c r="CD151" s="14"/>
      <x:c r="CE151" s="14"/>
      <x:c r="CF151" s="14"/>
      <x:c r="CG151" s="14"/>
      <x:c r="CH151" s="14"/>
      <x:c r="CI151" s="14"/>
      <x:c r="CJ151" s="14"/>
      <x:c r="CK151" s="14"/>
      <x:c r="CL151" s="14"/>
      <x:c r="CM151" s="14"/>
      <x:c r="CN151" s="14"/>
      <x:c r="CO151" s="14"/>
      <x:c r="CP151" s="14"/>
      <x:c r="CQ151" s="14"/>
      <x:c r="CR151" s="14"/>
      <x:c r="CS151" s="14"/>
      <x:c r="CT151" s="14"/>
      <x:c r="CU151" s="14"/>
      <x:c r="CV151" s="14"/>
      <x:c r="CW151" s="14"/>
      <x:c r="CX151" s="14"/>
      <x:c r="CY151" s="14"/>
      <x:c r="CZ151" s="14"/>
      <x:c r="DA151" s="14"/>
      <x:c r="DB151" s="14"/>
      <x:c r="DC151" s="14"/>
      <x:c r="DD151" s="14"/>
      <x:c r="DE151" s="14"/>
      <x:c r="DF151" s="14"/>
      <x:c r="DG151" s="14"/>
      <x:c r="DH151" s="14"/>
      <x:c r="DI151" s="14"/>
      <x:c r="DJ151" s="14"/>
      <x:c r="DK151" s="14"/>
      <x:c r="DL151" s="14"/>
      <x:c r="DM151" s="14"/>
      <x:c r="DN151" s="14"/>
      <x:c r="DO151" s="14"/>
      <x:c r="DP151" s="14"/>
      <x:c r="DQ151" s="14"/>
      <x:c r="DR151" s="14"/>
      <x:c r="DS151" s="14"/>
      <x:c r="DT151" s="14"/>
      <x:c r="DU151" s="14"/>
      <x:c r="DV151" s="14"/>
      <x:c r="DW151" s="14"/>
      <x:c r="DX151" s="14"/>
      <x:c r="DY151" s="14"/>
      <x:c r="DZ151" s="14"/>
      <x:c r="EA151" s="14"/>
      <x:c r="EB151" s="14"/>
      <x:c r="EC151" s="14"/>
      <x:c r="ED151" s="14"/>
      <x:c r="EE151" s="14"/>
      <x:c r="EF151" s="14"/>
      <x:c r="EG151" s="14"/>
      <x:c r="EH151" s="14"/>
      <x:c r="EI151" s="14"/>
      <x:c r="EJ151" s="14"/>
      <x:c r="EK151" s="14"/>
      <x:c r="EL151" s="14"/>
      <x:c r="EM151" s="14"/>
      <x:c r="EN151" s="14"/>
      <x:c r="EO151" s="14"/>
      <x:c r="EP151" s="14"/>
      <x:c r="EQ151" s="14"/>
      <x:c r="ER151" s="14"/>
      <x:c r="ES151" s="14"/>
      <x:c r="ET151" s="14"/>
      <x:c r="EU151" s="14"/>
      <x:c r="EV151" s="14"/>
      <x:c r="EW151" s="14"/>
      <x:c r="EX151" s="14"/>
      <x:c r="EY151" s="14"/>
      <x:c r="EZ151" s="14"/>
      <x:c r="FA151" s="14"/>
      <x:c r="FB151" s="14"/>
      <x:c r="FC151" s="14"/>
      <x:c r="FD151" s="14"/>
      <x:c r="FE151" s="14"/>
      <x:c r="FF151" s="14"/>
      <x:c r="FG151" s="14"/>
      <x:c r="FH151" s="14"/>
      <x:c r="FI151" s="14"/>
      <x:c r="FJ151" s="14"/>
      <x:c r="FK151" s="14"/>
      <x:c r="FL151" s="14"/>
      <x:c r="FM151" s="14"/>
      <x:c r="FN151" s="14"/>
      <x:c r="FO151" s="14"/>
      <x:c r="FP151" s="14"/>
      <x:c r="FQ151" s="14"/>
      <x:c r="FR151" s="14"/>
      <x:c r="FS151" s="14"/>
      <x:c r="FT151" s="14"/>
      <x:c r="FU151" s="14"/>
      <x:c r="FV151" s="14"/>
      <x:c r="FW151" s="14"/>
      <x:c r="FX151" s="14"/>
      <x:c r="FY151" s="14"/>
      <x:c r="FZ151" s="14"/>
      <x:c r="GA151" s="14"/>
      <x:c r="GB151" s="14"/>
      <x:c r="GC151" s="14"/>
      <x:c r="GD151" s="14"/>
      <x:c r="GE151" s="14"/>
      <x:c r="GF151" s="14"/>
      <x:c r="GG151" s="14"/>
      <x:c r="GH151" s="14"/>
      <x:c r="GI151" s="14"/>
      <x:c r="GJ151" s="14"/>
      <x:c r="GK151" s="14"/>
      <x:c r="GL151" s="14"/>
      <x:c r="GM151" s="14"/>
      <x:c r="GN151" s="14"/>
      <x:c r="GO151" s="14"/>
      <x:c r="GP151" s="14"/>
      <x:c r="GQ151" s="14"/>
      <x:c r="GR151" s="14"/>
      <x:c r="GS151" s="14"/>
      <x:c r="GT151" s="14"/>
      <x:c r="GU151" s="14"/>
      <x:c r="GV151" s="14"/>
      <x:c r="GW151" s="14"/>
      <x:c r="GX151" s="14"/>
      <x:c r="GY151" s="14"/>
      <x:c r="GZ151" s="14"/>
      <x:c r="HA151" s="14"/>
      <x:c r="HB151" s="14"/>
      <x:c r="HC151" s="14"/>
      <x:c r="HD151" s="14"/>
      <x:c r="HE151" s="14"/>
      <x:c r="HF151" s="14"/>
      <x:c r="HG151" s="14"/>
      <x:c r="HH151" s="14"/>
      <x:c r="HI151" s="14"/>
      <x:c r="HJ151" s="14"/>
      <x:c r="HK151" s="14"/>
      <x:c r="HL151" s="14"/>
      <x:c r="HM151" s="14"/>
      <x:c r="HN151" s="14"/>
      <x:c r="HO151" s="14"/>
      <x:c r="HP151" s="14"/>
      <x:c r="HQ151" s="14"/>
      <x:c r="HR151" s="14"/>
      <x:c r="HS151" s="14"/>
      <x:c r="HT151" s="14"/>
      <x:c r="HU151" s="14"/>
      <x:c r="HV151" s="14"/>
      <x:c r="HW151" s="14"/>
      <x:c r="HX151" s="14"/>
      <x:c r="HY151" s="14"/>
      <x:c r="HZ151" s="14"/>
      <x:c r="IA151" s="14"/>
      <x:c r="IB151" s="14"/>
      <x:c r="IC151" s="14"/>
      <x:c r="ID151" s="14"/>
      <x:c r="IE151" s="14"/>
      <x:c r="IF151" s="14"/>
      <x:c r="IG151" s="14"/>
      <x:c r="IH151" s="14"/>
      <x:c r="II151" s="14"/>
      <x:c r="IJ151" s="14"/>
      <x:c r="IK151" s="14"/>
      <x:c r="IL151" s="14"/>
      <x:c r="IM151" s="14"/>
      <x:c r="IN151" s="14"/>
      <x:c r="IO151" s="14"/>
      <x:c r="IP151" s="14"/>
      <x:c r="IQ151" s="14"/>
      <x:c r="IR151" s="14"/>
      <x:c r="IS151" s="14"/>
      <x:c r="IT151" s="14"/>
      <x:c r="IU151" s="14"/>
      <x:c r="IV151" s="14"/>
      <x:c r="IW151" s="14"/>
      <x:c r="IX151" s="14"/>
      <x:c r="IY151" s="14"/>
      <x:c r="IZ151" s="14"/>
      <x:c r="JA151" s="14"/>
      <x:c r="JB151" s="14"/>
      <x:c r="JC151" s="14"/>
      <x:c r="JD151" s="14"/>
      <x:c r="JE151" s="14"/>
      <x:c r="JF151" s="14"/>
      <x:c r="JG151" s="14"/>
      <x:c r="JH151" s="14"/>
      <x:c r="JI151" s="14"/>
      <x:c r="JJ151" s="14"/>
      <x:c r="JK151" s="14"/>
      <x:c r="JL151" s="14"/>
      <x:c r="JM151" s="14"/>
      <x:c r="JN151" s="14"/>
      <x:c r="JO151" s="14"/>
      <x:c r="JP151" s="14"/>
      <x:c r="JQ151" s="14"/>
      <x:c r="JR151" s="14"/>
      <x:c r="JS151" s="14"/>
      <x:c r="JT151" s="14"/>
      <x:c r="JU151" s="14"/>
      <x:c r="JV151" s="14"/>
      <x:c r="JW151" s="14"/>
      <x:c r="JX151" s="14"/>
      <x:c r="JY151" s="14"/>
      <x:c r="JZ151" s="14"/>
      <x:c r="KA151" s="14"/>
      <x:c r="KB151" s="14"/>
      <x:c r="KC151" s="14"/>
      <x:c r="KD151" s="14"/>
      <x:c r="KE151" s="14"/>
      <x:c r="KF151" s="14"/>
      <x:c r="KG151" s="14"/>
      <x:c r="KH151" s="14"/>
      <x:c r="KI151" s="14"/>
      <x:c r="KJ151" s="14"/>
      <x:c r="KK151" s="14"/>
      <x:c r="KL151" s="14"/>
      <x:c r="KM151" s="14"/>
      <x:c r="KN151" s="14"/>
      <x:c r="KO151" s="14"/>
      <x:c r="KP151" s="14"/>
      <x:c r="KQ151" s="14"/>
      <x:c r="KR151" s="14"/>
      <x:c r="KS151" s="14"/>
      <x:c r="KT151" s="14"/>
      <x:c r="KU151" s="14"/>
      <x:c r="KV151" s="14"/>
      <x:c r="KW151" s="14"/>
      <x:c r="KX151" s="14"/>
      <x:c r="KY151" s="14"/>
      <x:c r="KZ151" s="14"/>
      <x:c r="LA151" s="14"/>
      <x:c r="LB151" s="14"/>
      <x:c r="LC151" s="14"/>
      <x:c r="LD151" s="14"/>
      <x:c r="LE151" s="14"/>
      <x:c r="LF151" s="14"/>
      <x:c r="LG151" s="14"/>
      <x:c r="LH151" s="14"/>
      <x:c r="LI151" s="14"/>
      <x:c r="LJ151" s="14"/>
      <x:c r="LK151" s="14"/>
      <x:c r="LL151" s="14"/>
      <x:c r="LM151" s="14"/>
      <x:c r="LN151" s="14"/>
      <x:c r="LO151" s="14"/>
      <x:c r="LP151" s="14"/>
      <x:c r="LQ151" s="14"/>
      <x:c r="LR151" s="14"/>
      <x:c r="LS151" s="14"/>
      <x:c r="LT151" s="14"/>
      <x:c r="LU151" s="14"/>
      <x:c r="LV151" s="14"/>
      <x:c r="LW151" s="14"/>
      <x:c r="LX151" s="14"/>
      <x:c r="LY151" s="14"/>
      <x:c r="LZ151" s="14"/>
      <x:c r="MA151" s="14"/>
      <x:c r="MB151" s="14"/>
      <x:c r="MC151" s="14"/>
      <x:c r="MD151" s="14"/>
      <x:c r="ME151" s="14"/>
      <x:c r="MF151" s="14"/>
      <x:c r="MG151" s="14"/>
      <x:c r="MH151" s="14"/>
      <x:c r="MI151" s="14"/>
      <x:c r="MJ151" s="14"/>
      <x:c r="MK151" s="14"/>
      <x:c r="ML151" s="14"/>
      <x:c r="MM151" s="14"/>
      <x:c r="MN151" s="14"/>
      <x:c r="MO151" s="14"/>
      <x:c r="MP151" s="14"/>
      <x:c r="MQ151" s="14"/>
      <x:c r="MR151" s="14"/>
      <x:c r="MS151" s="14"/>
      <x:c r="MT151" s="14"/>
      <x:c r="MU151" s="14"/>
      <x:c r="MV151" s="14"/>
      <x:c r="MW151" s="14"/>
      <x:c r="MX151" s="14"/>
      <x:c r="MY151" s="14"/>
      <x:c r="MZ151" s="14"/>
      <x:c r="NA151" s="14"/>
      <x:c r="NB151" s="14"/>
      <x:c r="NC151" s="14"/>
      <x:c r="ND151" s="14"/>
      <x:c r="NE151" s="14"/>
      <x:c r="NF151" s="14"/>
      <x:c r="NG151" s="14"/>
      <x:c r="NH151" s="14"/>
      <x:c r="NI151" s="14"/>
      <x:c r="NJ151" s="14"/>
      <x:c r="NK151" s="14"/>
      <x:c r="NL151" s="14"/>
      <x:c r="NM151" s="14"/>
      <x:c r="NN151" s="14"/>
      <x:c r="NO151" s="14"/>
      <x:c r="NP151" s="14"/>
      <x:c r="NQ151" s="14"/>
      <x:c r="NR151" s="14"/>
      <x:c r="NS151" s="14"/>
      <x:c r="NT151" s="14"/>
      <x:c r="NU151" s="14"/>
      <x:c r="NV151" s="14"/>
      <x:c r="NW151" s="14"/>
      <x:c r="NX151" s="14"/>
      <x:c r="NY151" s="14" t="str">
        <x:v>30400</x:v>
      </x:c>
      <x:c r="NZ151" s="14" t="n">
        <x:v>10</x:v>
      </x:c>
      <x:c r="OA151" s="14" t="n">
        <x:v>2606</x:v>
      </x:c>
      <x:c r="OB151" s="14" t="n">
        <x:v>505</x:v>
      </x:c>
      <x:c r="OC151" s="14" t="n">
        <x:v>7</x:v>
      </x:c>
      <x:c r="OD151" s="14" t="n">
        <x:v>1</x:v>
      </x:c>
      <x:c r="OE151" s="14" t="str">
        <x:v>未收錄</x:v>
      </x:c>
      <x:c r="OF151" s="14" t="str">
        <x:v>30420</x:v>
      </x:c>
      <x:c r="OG151" s="14" t="n">
        <x:v>10</x:v>
      </x:c>
      <x:c r="OH151" s="14" t="n">
        <x:v>2607</x:v>
      </x:c>
      <x:c r="OI151" s="14" t="n">
        <x:v>506</x:v>
      </x:c>
      <x:c r="OJ151" s="14" t="n">
        <x:v>7</x:v>
      </x:c>
      <x:c r="OK151" s="14" t="n">
        <x:v>2</x:v>
      </x:c>
      <x:c r="OL151" s="14" t="str">
        <x:v>未收錄</x:v>
      </x:c>
      <x:c r="OM151" s="14" t="str">
        <x:v>31176</x:v>
      </x:c>
      <x:c r="ON151" s="14" t="n">
        <x:v>5</x:v>
      </x:c>
      <x:c r="OO151" s="14" t="n">
        <x:v>2608</x:v>
      </x:c>
      <x:c r="OP151" s="14" t="n">
        <x:v>507</x:v>
      </x:c>
      <x:c r="OQ151" s="14" t="n">
        <x:v>7</x:v>
      </x:c>
      <x:c r="OR151" s="14" t="n">
        <x:v>3</x:v>
      </x:c>
      <x:c r="OS151" s="14" t="str">
        <x:v>未收錄</x:v>
      </x:c>
      <x:c r="OT151" s="14" t="str">
        <x:v>31181</x:v>
      </x:c>
      <x:c r="OU151" s="14" t="n">
        <x:v>5</x:v>
      </x:c>
      <x:c r="OV151" s="14" t="n">
        <x:v>2609</x:v>
      </x:c>
      <x:c r="OW151" s="14" t="n">
        <x:v>508</x:v>
      </x:c>
      <x:c r="OX151" s="14" t="n">
        <x:v>7</x:v>
      </x:c>
      <x:c r="OY151" s="14" t="n">
        <x:v>4</x:v>
      </x:c>
      <x:c r="OZ151" s="14" t="str">
        <x:v>未收錄</x:v>
      </x:c>
      <x:c r="PA151" s="14"/>
      <x:c r="PB151" s="14"/>
      <x:c r="PC151" s="14"/>
      <x:c r="PD151" s="14"/>
      <x:c r="PE151" s="14"/>
      <x:c r="PF151" s="14"/>
      <x:c r="PG151" s="14"/>
      <x:c r="PH151" s="14"/>
      <x:c r="PI151" s="14"/>
      <x:c r="PJ151" s="14"/>
      <x:c r="PK151" s="14"/>
      <x:c r="PL151" s="14"/>
      <x:c r="PM151" s="14"/>
      <x:c r="PN151" s="14"/>
      <x:c r="PO151" s="14"/>
      <x:c r="PP151" s="14"/>
      <x:c r="PQ151" s="14"/>
      <x:c r="PR151" s="14"/>
      <x:c r="PS151" s="14"/>
      <x:c r="PT151" s="14"/>
      <x:c r="PU151" s="14"/>
      <x:c r="PV151" s="14"/>
      <x:c r="PW151" s="14"/>
      <x:c r="PX151" s="14"/>
      <x:c r="PY151" s="14"/>
      <x:c r="PZ151" s="14"/>
      <x:c r="QA151" s="14"/>
      <x:c r="QB151" s="14"/>
      <x:c r="QC151" s="14"/>
      <x:c r="QD151" s="14"/>
      <x:c r="QE151" s="14"/>
      <x:c r="QF151" s="14"/>
      <x:c r="QG151" s="14"/>
      <x:c r="QH151" s="14"/>
      <x:c r="QI151" s="14"/>
      <x:c r="QJ151" s="14"/>
      <x:c r="QK151" s="14"/>
      <x:c r="QL151" s="14"/>
      <x:c r="QM151" s="14"/>
      <x:c r="QN151" s="14"/>
      <x:c r="QO151" s="14"/>
      <x:c r="QP151" s="14"/>
      <x:c r="QQ151" s="14"/>
      <x:c r="QR151" s="14"/>
      <x:c r="QS151" s="14"/>
      <x:c r="QT151" s="14"/>
      <x:c r="QU151" s="14"/>
      <x:c r="QV151" s="14"/>
      <x:c r="QW151" s="14"/>
      <x:c r="QX151" s="14"/>
      <x:c r="QY151" s="14"/>
      <x:c r="QZ151" s="14"/>
      <x:c r="RA151" s="14"/>
      <x:c r="RB151" s="14"/>
      <x:c r="RC151" s="14"/>
      <x:c r="RD151" s="14"/>
      <x:c r="RE151" s="14"/>
      <x:c r="RF151" s="14"/>
      <x:c r="RG151" s="14"/>
      <x:c r="RH151" s="14"/>
      <x:c r="RI151" s="14"/>
      <x:c r="RJ151" s="14"/>
      <x:c r="RK151" s="14"/>
      <x:c r="RL151" s="14"/>
      <x:c r="RM151" s="14"/>
      <x:c r="RN151" s="14"/>
      <x:c r="RO151" s="14"/>
      <x:c r="RP151" s="14"/>
      <x:c r="RQ151" s="14"/>
      <x:c r="RR151" s="14"/>
      <x:c r="RS151" s="14"/>
      <x:c r="RT151" s="14"/>
      <x:c r="RU151" s="14"/>
      <x:c r="RV151" s="14"/>
      <x:c r="RW151" s="14"/>
      <x:c r="RX151" s="14"/>
      <x:c r="RY151" s="14"/>
      <x:c r="RZ151" s="14"/>
      <x:c r="SA151" s="14"/>
      <x:c r="SB151" s="14"/>
      <x:c r="SC151" s="14"/>
      <x:c r="SD151" s="14"/>
      <x:c r="SE151" s="14"/>
      <x:c r="SF151" s="14"/>
      <x:c r="SG151" s="14"/>
      <x:c r="SH151" s="14"/>
      <x:c r="SI151" s="14"/>
      <x:c r="SJ151" s="14"/>
      <x:c r="SK151" s="14"/>
      <x:c r="SL151" s="14"/>
      <x:c r="SM151" s="14"/>
      <x:c r="SN151" s="14"/>
      <x:c r="SO151" s="14"/>
      <x:c r="SP151" s="14"/>
      <x:c r="SQ151" s="14"/>
      <x:c r="SR151" s="14"/>
      <x:c r="SS151" s="14"/>
      <x:c r="ST151" s="14"/>
      <x:c r="SU151" s="14"/>
      <x:c r="SV151" s="14"/>
      <x:c r="SW151" s="14"/>
      <x:c r="SX151" s="14"/>
      <x:c r="SY151" s="14"/>
      <x:c r="SZ151" s="14"/>
      <x:c r="TA151" s="14"/>
      <x:c r="TB151" s="14"/>
      <x:c r="TC151" s="14"/>
      <x:c r="TD151" s="14"/>
      <x:c r="TE151" s="14"/>
      <x:c r="TF151" s="14"/>
      <x:c r="TG151" s="14"/>
      <x:c r="TH151" s="14"/>
    </x:row>
    <x:row r="152" ht="15" customHeight="1">
      <x:c r="A152" s="14"/>
      <x:c r="B152" s="14"/>
      <x:c r="C152" s="14"/>
      <x:c r="D152" s="14"/>
      <x:c r="E152" s="14"/>
      <x:c r="F152" s="14"/>
      <x:c r="G152" s="14"/>
      <x:c r="H152" s="14"/>
      <x:c r="I152" s="14"/>
      <x:c r="J152" s="14"/>
      <x:c r="K152" s="14"/>
      <x:c r="L152" s="14"/>
      <x:c r="M152" s="14"/>
      <x:c r="N152" s="14"/>
      <x:c r="O152" s="14"/>
      <x:c r="P152" s="14"/>
      <x:c r="Q152" s="14"/>
      <x:c r="R152" s="14"/>
      <x:c r="S152" s="14"/>
      <x:c r="T152" s="14"/>
      <x:c r="U152" s="14"/>
      <x:c r="V152" s="14"/>
      <x:c r="W152" s="14"/>
      <x:c r="X152" s="14"/>
      <x:c r="Y152" s="14"/>
      <x:c r="Z152" s="14"/>
      <x:c r="AA152" s="14"/>
      <x:c r="AB152" s="14"/>
      <x:c r="AC152" s="14"/>
      <x:c r="AD152" s="14"/>
      <x:c r="AE152" s="14"/>
      <x:c r="AF152" s="14"/>
      <x:c r="AG152" s="14"/>
      <x:c r="AH152" s="14"/>
      <x:c r="AI152" s="14"/>
      <x:c r="AJ152" s="14"/>
      <x:c r="AK152" s="14"/>
      <x:c r="AL152" s="14"/>
      <x:c r="AM152" s="14"/>
      <x:c r="AN152" s="14"/>
      <x:c r="AO152" s="14"/>
      <x:c r="AP152" s="14"/>
      <x:c r="AQ152" s="14"/>
      <x:c r="AR152" s="14"/>
      <x:c r="AS152" s="14"/>
      <x:c r="AT152" s="14"/>
      <x:c r="AU152" s="14"/>
      <x:c r="AV152" s="14"/>
      <x:c r="AW152" s="14"/>
      <x:c r="AX152" s="14"/>
      <x:c r="AY152" s="14"/>
      <x:c r="AZ152" s="14"/>
      <x:c r="BA152" s="14"/>
      <x:c r="BB152" s="14"/>
      <x:c r="BC152" s="14"/>
      <x:c r="BD152" s="18" t="str">
        <x:v>光術旋披Ⅰ</x:v>
      </x:c>
      <x:c r="BE152" s="18" t="str">
        <x:v>辰道玄袍Ⅰ</x:v>
      </x:c>
      <x:c r="BF152" s="18" t="str">
        <x:v>寂禪鎏裟Ⅰ</x:v>
      </x:c>
      <x:c r="BG152" s="18" t="str">
        <x:v>騰陽雄鎧Ⅰ</x:v>
      </x:c>
      <x:c r="BH152" s="14"/>
      <x:c r="BI152" s="14"/>
      <x:c r="BJ152" s="14"/>
      <x:c r="BK152" s="14"/>
      <x:c r="BL152" s="14"/>
      <x:c r="BM152" s="14"/>
      <x:c r="BN152" s="14"/>
      <x:c r="BO152" s="14"/>
      <x:c r="BP152" s="14"/>
      <x:c r="BQ152" s="14"/>
      <x:c r="BR152" s="14"/>
      <x:c r="BS152" s="14"/>
      <x:c r="BT152" s="14"/>
      <x:c r="BU152" s="14"/>
      <x:c r="BV152" s="14"/>
      <x:c r="BW152" s="14"/>
      <x:c r="BX152" s="14"/>
      <x:c r="BY152" s="14"/>
      <x:c r="BZ152" s="14"/>
      <x:c r="CA152" s="14"/>
      <x:c r="CB152" s="14"/>
      <x:c r="CC152" s="14"/>
      <x:c r="CD152" s="14"/>
      <x:c r="CE152" s="14"/>
      <x:c r="CF152" s="14"/>
      <x:c r="CG152" s="14"/>
      <x:c r="CH152" s="14"/>
      <x:c r="CI152" s="14"/>
      <x:c r="CJ152" s="14"/>
      <x:c r="CK152" s="14"/>
      <x:c r="CL152" s="14"/>
      <x:c r="CM152" s="14"/>
      <x:c r="CN152" s="14"/>
      <x:c r="CO152" s="14"/>
      <x:c r="CP152" s="14"/>
      <x:c r="CQ152" s="14"/>
      <x:c r="CR152" s="14"/>
      <x:c r="CS152" s="14"/>
      <x:c r="CT152" s="14"/>
      <x:c r="CU152" s="14"/>
      <x:c r="CV152" s="14"/>
      <x:c r="CW152" s="14"/>
      <x:c r="CX152" s="14"/>
      <x:c r="CY152" s="14"/>
      <x:c r="CZ152" s="14"/>
      <x:c r="DA152" s="14"/>
      <x:c r="DB152" s="14"/>
      <x:c r="DC152" s="14"/>
      <x:c r="DD152" s="14"/>
      <x:c r="DE152" s="14"/>
      <x:c r="DF152" s="14"/>
      <x:c r="DG152" s="14"/>
      <x:c r="DH152" s="14"/>
      <x:c r="DI152" s="14"/>
      <x:c r="DJ152" s="14"/>
      <x:c r="DK152" s="14"/>
      <x:c r="DL152" s="14"/>
      <x:c r="DM152" s="14"/>
      <x:c r="DN152" s="14"/>
      <x:c r="DO152" s="14"/>
      <x:c r="DP152" s="14"/>
      <x:c r="DQ152" s="14"/>
      <x:c r="DR152" s="14"/>
      <x:c r="DS152" s="14"/>
      <x:c r="DT152" s="14"/>
      <x:c r="DU152" s="14"/>
      <x:c r="DV152" s="14"/>
      <x:c r="DW152" s="14"/>
      <x:c r="DX152" s="14"/>
      <x:c r="DY152" s="14"/>
      <x:c r="DZ152" s="14"/>
      <x:c r="EA152" s="14"/>
      <x:c r="EB152" s="14"/>
      <x:c r="EC152" s="14"/>
      <x:c r="ED152" s="14"/>
      <x:c r="EE152" s="14"/>
      <x:c r="EF152" s="14"/>
      <x:c r="EG152" s="14"/>
      <x:c r="EH152" s="14"/>
      <x:c r="EI152" s="14"/>
      <x:c r="EJ152" s="14"/>
      <x:c r="EK152" s="14"/>
      <x:c r="EL152" s="14"/>
      <x:c r="EM152" s="14"/>
      <x:c r="EN152" s="14"/>
      <x:c r="EO152" s="14"/>
      <x:c r="EP152" s="14"/>
      <x:c r="EQ152" s="14"/>
      <x:c r="ER152" s="14"/>
      <x:c r="ES152" s="14"/>
      <x:c r="ET152" s="14"/>
      <x:c r="EU152" s="14"/>
      <x:c r="EV152" s="14"/>
      <x:c r="EW152" s="14"/>
      <x:c r="EX152" s="14"/>
      <x:c r="EY152" s="14"/>
      <x:c r="EZ152" s="14"/>
      <x:c r="FA152" s="14"/>
      <x:c r="FB152" s="14"/>
      <x:c r="FC152" s="14"/>
      <x:c r="FD152" s="14"/>
      <x:c r="FE152" s="14"/>
      <x:c r="FF152" s="14"/>
      <x:c r="FG152" s="14"/>
      <x:c r="FH152" s="14"/>
      <x:c r="FI152" s="14"/>
      <x:c r="FJ152" s="14"/>
      <x:c r="FK152" s="14"/>
      <x:c r="FL152" s="14"/>
      <x:c r="FM152" s="14"/>
      <x:c r="FN152" s="14"/>
      <x:c r="FO152" s="14"/>
      <x:c r="FP152" s="14"/>
      <x:c r="FQ152" s="14"/>
      <x:c r="FR152" s="14"/>
      <x:c r="FS152" s="14"/>
      <x:c r="FT152" s="14"/>
      <x:c r="FU152" s="14"/>
      <x:c r="FV152" s="14"/>
      <x:c r="FW152" s="14"/>
      <x:c r="FX152" s="14"/>
      <x:c r="FY152" s="14"/>
      <x:c r="FZ152" s="14"/>
      <x:c r="GA152" s="14"/>
      <x:c r="GB152" s="14"/>
      <x:c r="GC152" s="14"/>
      <x:c r="GD152" s="14"/>
      <x:c r="GE152" s="14"/>
      <x:c r="GF152" s="14"/>
      <x:c r="GG152" s="14"/>
      <x:c r="GH152" s="14"/>
      <x:c r="GI152" s="14"/>
      <x:c r="GJ152" s="14"/>
      <x:c r="GK152" s="14"/>
      <x:c r="GL152" s="14"/>
      <x:c r="GM152" s="14"/>
      <x:c r="GN152" s="14"/>
      <x:c r="GO152" s="14"/>
      <x:c r="GP152" s="14"/>
      <x:c r="GQ152" s="14"/>
      <x:c r="GR152" s="14"/>
      <x:c r="GS152" s="14"/>
      <x:c r="GT152" s="14"/>
      <x:c r="GU152" s="14"/>
      <x:c r="GV152" s="14"/>
      <x:c r="GW152" s="14"/>
      <x:c r="GX152" s="14"/>
      <x:c r="GY152" s="14"/>
      <x:c r="GZ152" s="14"/>
      <x:c r="HA152" s="14"/>
      <x:c r="HB152" s="14"/>
      <x:c r="HC152" s="14"/>
      <x:c r="HD152" s="14"/>
      <x:c r="HE152" s="14"/>
      <x:c r="HF152" s="14"/>
      <x:c r="HG152" s="14"/>
      <x:c r="HH152" s="14"/>
      <x:c r="HI152" s="14"/>
      <x:c r="HJ152" s="14"/>
      <x:c r="HK152" s="14"/>
      <x:c r="HL152" s="14"/>
      <x:c r="HM152" s="14"/>
      <x:c r="HN152" s="14"/>
      <x:c r="HO152" s="14"/>
      <x:c r="HP152" s="14"/>
      <x:c r="HQ152" s="14"/>
      <x:c r="HR152" s="14"/>
      <x:c r="HS152" s="14"/>
      <x:c r="HT152" s="14"/>
      <x:c r="HU152" s="14"/>
      <x:c r="HV152" s="14"/>
      <x:c r="HW152" s="14"/>
      <x:c r="HX152" s="14"/>
      <x:c r="HY152" s="14"/>
      <x:c r="HZ152" s="14"/>
      <x:c r="IA152" s="14"/>
      <x:c r="IB152" s="14"/>
      <x:c r="IC152" s="14"/>
      <x:c r="ID152" s="14"/>
      <x:c r="IE152" s="14"/>
      <x:c r="IF152" s="14"/>
      <x:c r="IG152" s="14"/>
      <x:c r="IH152" s="14"/>
      <x:c r="II152" s="14"/>
      <x:c r="IJ152" s="14"/>
      <x:c r="IK152" s="14"/>
      <x:c r="IL152" s="14"/>
      <x:c r="IM152" s="14"/>
      <x:c r="IN152" s="14"/>
      <x:c r="IO152" s="14"/>
      <x:c r="IP152" s="14"/>
      <x:c r="IQ152" s="14"/>
      <x:c r="IR152" s="14"/>
      <x:c r="IS152" s="14"/>
      <x:c r="IT152" s="14"/>
      <x:c r="IU152" s="14"/>
      <x:c r="IV152" s="14"/>
      <x:c r="IW152" s="14"/>
      <x:c r="IX152" s="14"/>
      <x:c r="IY152" s="14"/>
      <x:c r="IZ152" s="14"/>
      <x:c r="JA152" s="14"/>
      <x:c r="JB152" s="14"/>
      <x:c r="JC152" s="14"/>
      <x:c r="JD152" s="14"/>
      <x:c r="JE152" s="14"/>
      <x:c r="JF152" s="14"/>
      <x:c r="JG152" s="14"/>
      <x:c r="JH152" s="14"/>
      <x:c r="JI152" s="14"/>
      <x:c r="JJ152" s="14"/>
      <x:c r="JK152" s="14"/>
      <x:c r="JL152" s="14"/>
      <x:c r="JM152" s="14"/>
      <x:c r="JN152" s="14"/>
      <x:c r="JO152" s="14"/>
      <x:c r="JP152" s="14"/>
      <x:c r="JQ152" s="14"/>
      <x:c r="JR152" s="14"/>
      <x:c r="JS152" s="14"/>
      <x:c r="JT152" s="14"/>
      <x:c r="JU152" s="14"/>
      <x:c r="JV152" s="14"/>
      <x:c r="JW152" s="14"/>
      <x:c r="JX152" s="14"/>
      <x:c r="JY152" s="14"/>
      <x:c r="JZ152" s="14"/>
      <x:c r="KA152" s="14"/>
      <x:c r="KB152" s="14"/>
      <x:c r="KC152" s="14"/>
      <x:c r="KD152" s="14"/>
      <x:c r="KE152" s="14"/>
      <x:c r="KF152" s="14"/>
      <x:c r="KG152" s="14"/>
      <x:c r="KH152" s="14"/>
      <x:c r="KI152" s="14"/>
      <x:c r="KJ152" s="14"/>
      <x:c r="KK152" s="14"/>
      <x:c r="KL152" s="14"/>
      <x:c r="KM152" s="14"/>
      <x:c r="KN152" s="14"/>
      <x:c r="KO152" s="14"/>
      <x:c r="KP152" s="14"/>
      <x:c r="KQ152" s="14"/>
      <x:c r="KR152" s="14"/>
      <x:c r="KS152" s="14"/>
      <x:c r="KT152" s="14"/>
      <x:c r="KU152" s="14"/>
      <x:c r="KV152" s="14"/>
      <x:c r="KW152" s="14"/>
      <x:c r="KX152" s="14"/>
      <x:c r="KY152" s="14"/>
      <x:c r="KZ152" s="14"/>
      <x:c r="LA152" s="14"/>
      <x:c r="LB152" s="14"/>
      <x:c r="LC152" s="14"/>
      <x:c r="LD152" s="14"/>
      <x:c r="LE152" s="14"/>
      <x:c r="LF152" s="14"/>
      <x:c r="LG152" s="14"/>
      <x:c r="LH152" s="14"/>
      <x:c r="LI152" s="14"/>
      <x:c r="LJ152" s="14"/>
      <x:c r="LK152" s="14"/>
      <x:c r="LL152" s="14"/>
      <x:c r="LM152" s="14"/>
      <x:c r="LN152" s="14"/>
      <x:c r="LO152" s="14"/>
      <x:c r="LP152" s="14"/>
      <x:c r="LQ152" s="14"/>
      <x:c r="LR152" s="14"/>
      <x:c r="LS152" s="14"/>
      <x:c r="LT152" s="14"/>
      <x:c r="LU152" s="14"/>
      <x:c r="LV152" s="14"/>
      <x:c r="LW152" s="14"/>
      <x:c r="LX152" s="14"/>
      <x:c r="LY152" s="14"/>
      <x:c r="LZ152" s="14"/>
      <x:c r="MA152" s="14"/>
      <x:c r="MB152" s="14"/>
      <x:c r="MC152" s="14"/>
      <x:c r="MD152" s="14"/>
      <x:c r="ME152" s="14"/>
      <x:c r="MF152" s="14"/>
      <x:c r="MG152" s="14"/>
      <x:c r="MH152" s="14"/>
      <x:c r="MI152" s="14"/>
      <x:c r="MJ152" s="14"/>
      <x:c r="MK152" s="14"/>
      <x:c r="ML152" s="14"/>
      <x:c r="MM152" s="14"/>
      <x:c r="MN152" s="14"/>
      <x:c r="MO152" s="14"/>
      <x:c r="MP152" s="14"/>
      <x:c r="MQ152" s="14"/>
      <x:c r="MR152" s="14"/>
      <x:c r="MS152" s="14"/>
      <x:c r="MT152" s="14"/>
      <x:c r="MU152" s="14"/>
      <x:c r="MV152" s="14"/>
      <x:c r="MW152" s="14"/>
      <x:c r="MX152" s="14"/>
      <x:c r="MY152" s="14"/>
      <x:c r="MZ152" s="14"/>
      <x:c r="NA152" s="14"/>
      <x:c r="NB152" s="14"/>
      <x:c r="NC152" s="14"/>
      <x:c r="ND152" s="14"/>
      <x:c r="NE152" s="14"/>
      <x:c r="NF152" s="14"/>
      <x:c r="NG152" s="14"/>
      <x:c r="NH152" s="14"/>
      <x:c r="NI152" s="14"/>
      <x:c r="NJ152" s="14"/>
      <x:c r="NK152" s="14"/>
      <x:c r="NL152" s="14"/>
      <x:c r="NM152" s="14"/>
      <x:c r="NN152" s="14"/>
      <x:c r="NO152" s="14"/>
      <x:c r="NP152" s="14"/>
      <x:c r="NQ152" s="14"/>
      <x:c r="NR152" s="14"/>
      <x:c r="NS152" s="14"/>
      <x:c r="NT152" s="14"/>
      <x:c r="NU152" s="14"/>
      <x:c r="NV152" s="14"/>
      <x:c r="NW152" s="14"/>
      <x:c r="NX152" s="14"/>
      <x:c r="NY152" s="14" t="str">
        <x:v>31186</x:v>
      </x:c>
      <x:c r="NZ152" s="14" t="n">
        <x:v>5</x:v>
      </x:c>
      <x:c r="OA152" s="14" t="n">
        <x:v>2610</x:v>
      </x:c>
      <x:c r="OB152" s="14" t="n">
        <x:v>509</x:v>
      </x:c>
      <x:c r="OC152" s="14" t="n">
        <x:v>8</x:v>
      </x:c>
      <x:c r="OD152" s="14" t="n">
        <x:v>1</x:v>
      </x:c>
      <x:c r="OE152" s="14" t="str">
        <x:v>未收錄</x:v>
      </x:c>
      <x:c r="OF152" s="14" t="str">
        <x:v>31191</x:v>
      </x:c>
      <x:c r="OG152" s="14" t="n">
        <x:v>5</x:v>
      </x:c>
      <x:c r="OH152" s="14" t="n">
        <x:v>2611</x:v>
      </x:c>
      <x:c r="OI152" s="14" t="n">
        <x:v>510</x:v>
      </x:c>
      <x:c r="OJ152" s="14" t="n">
        <x:v>8</x:v>
      </x:c>
      <x:c r="OK152" s="14" t="n">
        <x:v>2</x:v>
      </x:c>
      <x:c r="OL152" s="14" t="str">
        <x:v>未收錄</x:v>
      </x:c>
      <x:c r="OM152" s="14" t="str">
        <x:v>31196</x:v>
      </x:c>
      <x:c r="ON152" s="14" t="n">
        <x:v>5</x:v>
      </x:c>
      <x:c r="OO152" s="14" t="n">
        <x:v>2612</x:v>
      </x:c>
      <x:c r="OP152" s="14" t="n">
        <x:v>511</x:v>
      </x:c>
      <x:c r="OQ152" s="14" t="n">
        <x:v>8</x:v>
      </x:c>
      <x:c r="OR152" s="14" t="n">
        <x:v>3</x:v>
      </x:c>
      <x:c r="OS152" s="14" t="str">
        <x:v>未收錄</x:v>
      </x:c>
      <x:c r="OT152" s="14" t="str">
        <x:v>31276</x:v>
      </x:c>
      <x:c r="OU152" s="14" t="n">
        <x:v>10</x:v>
      </x:c>
      <x:c r="OV152" s="14" t="n">
        <x:v>2613</x:v>
      </x:c>
      <x:c r="OW152" s="14" t="n">
        <x:v>512</x:v>
      </x:c>
      <x:c r="OX152" s="14" t="n">
        <x:v>8</x:v>
      </x:c>
      <x:c r="OY152" s="14" t="n">
        <x:v>4</x:v>
      </x:c>
      <x:c r="OZ152" s="14" t="str">
        <x:v>未收錄</x:v>
      </x:c>
      <x:c r="PA152" s="14"/>
      <x:c r="PB152" s="14"/>
      <x:c r="PC152" s="14"/>
      <x:c r="PD152" s="14"/>
      <x:c r="PE152" s="14"/>
      <x:c r="PF152" s="14"/>
      <x:c r="PG152" s="14"/>
      <x:c r="PH152" s="14"/>
      <x:c r="PI152" s="14"/>
      <x:c r="PJ152" s="14"/>
      <x:c r="PK152" s="14"/>
      <x:c r="PL152" s="14"/>
      <x:c r="PM152" s="14"/>
      <x:c r="PN152" s="14"/>
      <x:c r="PO152" s="14"/>
      <x:c r="PP152" s="14"/>
      <x:c r="PQ152" s="14"/>
      <x:c r="PR152" s="14"/>
      <x:c r="PS152" s="14"/>
      <x:c r="PT152" s="14"/>
      <x:c r="PU152" s="14"/>
      <x:c r="PV152" s="14"/>
      <x:c r="PW152" s="14"/>
      <x:c r="PX152" s="14"/>
      <x:c r="PY152" s="14"/>
      <x:c r="PZ152" s="14"/>
      <x:c r="QA152" s="14"/>
      <x:c r="QB152" s="14"/>
      <x:c r="QC152" s="14"/>
      <x:c r="QD152" s="14"/>
      <x:c r="QE152" s="14"/>
      <x:c r="QF152" s="14"/>
      <x:c r="QG152" s="14"/>
      <x:c r="QH152" s="14"/>
      <x:c r="QI152" s="14"/>
      <x:c r="QJ152" s="14"/>
      <x:c r="QK152" s="14"/>
      <x:c r="QL152" s="14"/>
      <x:c r="QM152" s="14"/>
      <x:c r="QN152" s="14"/>
      <x:c r="QO152" s="14"/>
      <x:c r="QP152" s="14"/>
      <x:c r="QQ152" s="14"/>
      <x:c r="QR152" s="14"/>
      <x:c r="QS152" s="14"/>
      <x:c r="QT152" s="14"/>
      <x:c r="QU152" s="14"/>
      <x:c r="QV152" s="14"/>
      <x:c r="QW152" s="14"/>
      <x:c r="QX152" s="14"/>
      <x:c r="QY152" s="14"/>
      <x:c r="QZ152" s="14"/>
      <x:c r="RA152" s="14"/>
      <x:c r="RB152" s="14"/>
      <x:c r="RC152" s="14"/>
      <x:c r="RD152" s="14"/>
      <x:c r="RE152" s="14"/>
      <x:c r="RF152" s="14"/>
      <x:c r="RG152" s="14"/>
      <x:c r="RH152" s="14"/>
      <x:c r="RI152" s="14"/>
      <x:c r="RJ152" s="14"/>
      <x:c r="RK152" s="14"/>
      <x:c r="RL152" s="14"/>
      <x:c r="RM152" s="14"/>
      <x:c r="RN152" s="14"/>
      <x:c r="RO152" s="14"/>
      <x:c r="RP152" s="14"/>
      <x:c r="RQ152" s="14"/>
      <x:c r="RR152" s="14"/>
      <x:c r="RS152" s="14"/>
      <x:c r="RT152" s="14"/>
      <x:c r="RU152" s="14"/>
      <x:c r="RV152" s="14"/>
      <x:c r="RW152" s="14"/>
      <x:c r="RX152" s="14"/>
      <x:c r="RY152" s="14"/>
      <x:c r="RZ152" s="14"/>
      <x:c r="SA152" s="14"/>
      <x:c r="SB152" s="14"/>
      <x:c r="SC152" s="14"/>
      <x:c r="SD152" s="14"/>
      <x:c r="SE152" s="14"/>
      <x:c r="SF152" s="14"/>
      <x:c r="SG152" s="14"/>
      <x:c r="SH152" s="14"/>
      <x:c r="SI152" s="14"/>
      <x:c r="SJ152" s="14"/>
      <x:c r="SK152" s="14"/>
      <x:c r="SL152" s="14"/>
      <x:c r="SM152" s="14"/>
      <x:c r="SN152" s="14"/>
      <x:c r="SO152" s="14"/>
      <x:c r="SP152" s="14"/>
      <x:c r="SQ152" s="14"/>
      <x:c r="SR152" s="14"/>
      <x:c r="SS152" s="14"/>
      <x:c r="ST152" s="14"/>
      <x:c r="SU152" s="14"/>
      <x:c r="SV152" s="14"/>
      <x:c r="SW152" s="14"/>
      <x:c r="SX152" s="14"/>
      <x:c r="SY152" s="14"/>
      <x:c r="SZ152" s="14"/>
      <x:c r="TA152" s="14"/>
      <x:c r="TB152" s="14"/>
      <x:c r="TC152" s="14"/>
      <x:c r="TD152" s="14"/>
      <x:c r="TE152" s="14"/>
      <x:c r="TF152" s="14"/>
      <x:c r="TG152" s="14"/>
      <x:c r="TH152" s="14"/>
    </x:row>
    <x:row r="153" ht="15" customHeight="1">
      <x:c r="A153" s="14"/>
      <x:c r="B153" s="14"/>
      <x:c r="C153" s="14"/>
      <x:c r="D153" s="14"/>
      <x:c r="E153" s="14"/>
      <x:c r="F153" s="14"/>
      <x:c r="G153" s="14"/>
      <x:c r="H153" s="14"/>
      <x:c r="I153" s="14"/>
      <x:c r="J153" s="14"/>
      <x:c r="K153" s="14"/>
      <x:c r="L153" s="14"/>
      <x:c r="M153" s="14"/>
      <x:c r="N153" s="14"/>
      <x:c r="O153" s="14"/>
      <x:c r="P153" s="14"/>
      <x:c r="Q153" s="14"/>
      <x:c r="R153" s="14"/>
      <x:c r="S153" s="14"/>
      <x:c r="T153" s="14"/>
      <x:c r="U153" s="14"/>
      <x:c r="V153" s="14"/>
      <x:c r="W153" s="14"/>
      <x:c r="X153" s="14"/>
      <x:c r="Y153" s="14"/>
      <x:c r="Z153" s="14"/>
      <x:c r="AA153" s="14"/>
      <x:c r="AB153" s="14"/>
      <x:c r="AC153" s="14"/>
      <x:c r="AD153" s="14"/>
      <x:c r="AE153" s="14"/>
      <x:c r="AF153" s="14"/>
      <x:c r="AG153" s="14"/>
      <x:c r="AH153" s="14"/>
      <x:c r="AI153" s="14"/>
      <x:c r="AJ153" s="14"/>
      <x:c r="AK153" s="14"/>
      <x:c r="AL153" s="14"/>
      <x:c r="AM153" s="14"/>
      <x:c r="AN153" s="14"/>
      <x:c r="AO153" s="14"/>
      <x:c r="AP153" s="14"/>
      <x:c r="AQ153" s="14"/>
      <x:c r="AR153" s="14"/>
      <x:c r="AS153" s="14"/>
      <x:c r="AT153" s="14"/>
      <x:c r="AU153" s="14"/>
      <x:c r="AV153" s="14"/>
      <x:c r="AW153" s="14"/>
      <x:c r="AX153" s="14"/>
      <x:c r="AY153" s="14"/>
      <x:c r="AZ153" s="14"/>
      <x:c r="BA153" s="14"/>
      <x:c r="BB153" s="14"/>
      <x:c r="BC153" s="14"/>
      <x:c r="BD153" s="17" t="str">
        <x:v>凜月霜襟Ⅰ</x:v>
      </x:c>
      <x:c r="BE153" s="17" t="str">
        <x:v>舞星鈦甲Ⅰ</x:v>
      </x:c>
      <x:c r="BF153" s="17" t="str">
        <x:v>宇鋒颯衣Ⅱ</x:v>
      </x:c>
      <x:c r="BG153" s="17" t="str">
        <x:v>天衛宙甲Ⅱ</x:v>
      </x:c>
      <x:c r="BH153" s="14"/>
      <x:c r="BI153" s="14"/>
      <x:c r="BJ153" s="14"/>
      <x:c r="BK153" s="14"/>
      <x:c r="BL153" s="14"/>
      <x:c r="BM153" s="14"/>
      <x:c r="BN153" s="14"/>
      <x:c r="BO153" s="14"/>
      <x:c r="BP153" s="14"/>
      <x:c r="BQ153" s="14"/>
      <x:c r="BR153" s="14"/>
      <x:c r="BS153" s="14"/>
      <x:c r="BT153" s="14"/>
      <x:c r="BU153" s="14"/>
      <x:c r="BV153" s="14"/>
      <x:c r="BW153" s="14"/>
      <x:c r="BX153" s="14"/>
      <x:c r="BY153" s="14"/>
      <x:c r="BZ153" s="14"/>
      <x:c r="CA153" s="14"/>
      <x:c r="CB153" s="14"/>
      <x:c r="CC153" s="14"/>
      <x:c r="CD153" s="14"/>
      <x:c r="CE153" s="14"/>
      <x:c r="CF153" s="14"/>
      <x:c r="CG153" s="14"/>
      <x:c r="CH153" s="14"/>
      <x:c r="CI153" s="14"/>
      <x:c r="CJ153" s="14"/>
      <x:c r="CK153" s="14"/>
      <x:c r="CL153" s="14"/>
      <x:c r="CM153" s="14"/>
      <x:c r="CN153" s="14"/>
      <x:c r="CO153" s="14"/>
      <x:c r="CP153" s="14"/>
      <x:c r="CQ153" s="14"/>
      <x:c r="CR153" s="14"/>
      <x:c r="CS153" s="14"/>
      <x:c r="CT153" s="14"/>
      <x:c r="CU153" s="14"/>
      <x:c r="CV153" s="14"/>
      <x:c r="CW153" s="14"/>
      <x:c r="CX153" s="14"/>
      <x:c r="CY153" s="14"/>
      <x:c r="CZ153" s="14"/>
      <x:c r="DA153" s="14"/>
      <x:c r="DB153" s="14"/>
      <x:c r="DC153" s="14"/>
      <x:c r="DD153" s="14"/>
      <x:c r="DE153" s="14"/>
      <x:c r="DF153" s="14"/>
      <x:c r="DG153" s="14"/>
      <x:c r="DH153" s="14"/>
      <x:c r="DI153" s="14"/>
      <x:c r="DJ153" s="14"/>
      <x:c r="DK153" s="14"/>
      <x:c r="DL153" s="14"/>
      <x:c r="DM153" s="14"/>
      <x:c r="DN153" s="14"/>
      <x:c r="DO153" s="14"/>
      <x:c r="DP153" s="14"/>
      <x:c r="DQ153" s="14"/>
      <x:c r="DR153" s="14"/>
      <x:c r="DS153" s="14"/>
      <x:c r="DT153" s="14"/>
      <x:c r="DU153" s="14"/>
      <x:c r="DV153" s="14"/>
      <x:c r="DW153" s="14"/>
      <x:c r="DX153" s="14"/>
      <x:c r="DY153" s="14"/>
      <x:c r="DZ153" s="14"/>
      <x:c r="EA153" s="14"/>
      <x:c r="EB153" s="14"/>
      <x:c r="EC153" s="14"/>
      <x:c r="ED153" s="14"/>
      <x:c r="EE153" s="14"/>
      <x:c r="EF153" s="14"/>
      <x:c r="EG153" s="14"/>
      <x:c r="EH153" s="14"/>
      <x:c r="EI153" s="14"/>
      <x:c r="EJ153" s="14"/>
      <x:c r="EK153" s="14"/>
      <x:c r="EL153" s="14"/>
      <x:c r="EM153" s="14"/>
      <x:c r="EN153" s="14"/>
      <x:c r="EO153" s="14"/>
      <x:c r="EP153" s="14"/>
      <x:c r="EQ153" s="14"/>
      <x:c r="ER153" s="14"/>
      <x:c r="ES153" s="14"/>
      <x:c r="ET153" s="14"/>
      <x:c r="EU153" s="14"/>
      <x:c r="EV153" s="14"/>
      <x:c r="EW153" s="14"/>
      <x:c r="EX153" s="14"/>
      <x:c r="EY153" s="14"/>
      <x:c r="EZ153" s="14"/>
      <x:c r="FA153" s="14"/>
      <x:c r="FB153" s="14"/>
      <x:c r="FC153" s="14"/>
      <x:c r="FD153" s="14"/>
      <x:c r="FE153" s="14"/>
      <x:c r="FF153" s="14"/>
      <x:c r="FG153" s="14"/>
      <x:c r="FH153" s="14"/>
      <x:c r="FI153" s="14"/>
      <x:c r="FJ153" s="14"/>
      <x:c r="FK153" s="14"/>
      <x:c r="FL153" s="14"/>
      <x:c r="FM153" s="14"/>
      <x:c r="FN153" s="14"/>
      <x:c r="FO153" s="14"/>
      <x:c r="FP153" s="14"/>
      <x:c r="FQ153" s="14"/>
      <x:c r="FR153" s="14"/>
      <x:c r="FS153" s="14"/>
      <x:c r="FT153" s="14"/>
      <x:c r="FU153" s="14"/>
      <x:c r="FV153" s="14"/>
      <x:c r="FW153" s="14"/>
      <x:c r="FX153" s="14"/>
      <x:c r="FY153" s="14"/>
      <x:c r="FZ153" s="14"/>
      <x:c r="GA153" s="14"/>
      <x:c r="GB153" s="14"/>
      <x:c r="GC153" s="14"/>
      <x:c r="GD153" s="14"/>
      <x:c r="GE153" s="14"/>
      <x:c r="GF153" s="14"/>
      <x:c r="GG153" s="14"/>
      <x:c r="GH153" s="14"/>
      <x:c r="GI153" s="14"/>
      <x:c r="GJ153" s="14"/>
      <x:c r="GK153" s="14"/>
      <x:c r="GL153" s="14"/>
      <x:c r="GM153" s="14"/>
      <x:c r="GN153" s="14"/>
      <x:c r="GO153" s="14"/>
      <x:c r="GP153" s="14"/>
      <x:c r="GQ153" s="14"/>
      <x:c r="GR153" s="14"/>
      <x:c r="GS153" s="14"/>
      <x:c r="GT153" s="14"/>
      <x:c r="GU153" s="14"/>
      <x:c r="GV153" s="14"/>
      <x:c r="GW153" s="14"/>
      <x:c r="GX153" s="14"/>
      <x:c r="GY153" s="14"/>
      <x:c r="GZ153" s="14"/>
      <x:c r="HA153" s="14"/>
      <x:c r="HB153" s="14"/>
      <x:c r="HC153" s="14"/>
      <x:c r="HD153" s="14"/>
      <x:c r="HE153" s="14"/>
      <x:c r="HF153" s="14"/>
      <x:c r="HG153" s="14"/>
      <x:c r="HH153" s="14"/>
      <x:c r="HI153" s="14"/>
      <x:c r="HJ153" s="14"/>
      <x:c r="HK153" s="14"/>
      <x:c r="HL153" s="14"/>
      <x:c r="HM153" s="14"/>
      <x:c r="HN153" s="14"/>
      <x:c r="HO153" s="14"/>
      <x:c r="HP153" s="14"/>
      <x:c r="HQ153" s="14"/>
      <x:c r="HR153" s="14"/>
      <x:c r="HS153" s="14"/>
      <x:c r="HT153" s="14"/>
      <x:c r="HU153" s="14"/>
      <x:c r="HV153" s="14"/>
      <x:c r="HW153" s="14"/>
      <x:c r="HX153" s="14"/>
      <x:c r="HY153" s="14"/>
      <x:c r="HZ153" s="14"/>
      <x:c r="IA153" s="14"/>
      <x:c r="IB153" s="14"/>
      <x:c r="IC153" s="14"/>
      <x:c r="ID153" s="14"/>
      <x:c r="IE153" s="14"/>
      <x:c r="IF153" s="14"/>
      <x:c r="IG153" s="14"/>
      <x:c r="IH153" s="14"/>
      <x:c r="II153" s="14"/>
      <x:c r="IJ153" s="14"/>
      <x:c r="IK153" s="14"/>
      <x:c r="IL153" s="14"/>
      <x:c r="IM153" s="14"/>
      <x:c r="IN153" s="14"/>
      <x:c r="IO153" s="14"/>
      <x:c r="IP153" s="14"/>
      <x:c r="IQ153" s="14"/>
      <x:c r="IR153" s="14"/>
      <x:c r="IS153" s="14"/>
      <x:c r="IT153" s="14"/>
      <x:c r="IU153" s="14"/>
      <x:c r="IV153" s="14"/>
      <x:c r="IW153" s="14"/>
      <x:c r="IX153" s="14"/>
      <x:c r="IY153" s="14"/>
      <x:c r="IZ153" s="14"/>
      <x:c r="JA153" s="14"/>
      <x:c r="JB153" s="14"/>
      <x:c r="JC153" s="14"/>
      <x:c r="JD153" s="14"/>
      <x:c r="JE153" s="14"/>
      <x:c r="JF153" s="14"/>
      <x:c r="JG153" s="14"/>
      <x:c r="JH153" s="14"/>
      <x:c r="JI153" s="14"/>
      <x:c r="JJ153" s="14"/>
      <x:c r="JK153" s="14"/>
      <x:c r="JL153" s="14"/>
      <x:c r="JM153" s="14"/>
      <x:c r="JN153" s="14"/>
      <x:c r="JO153" s="14"/>
      <x:c r="JP153" s="14"/>
      <x:c r="JQ153" s="14"/>
      <x:c r="JR153" s="14"/>
      <x:c r="JS153" s="14"/>
      <x:c r="JT153" s="14"/>
      <x:c r="JU153" s="14"/>
      <x:c r="JV153" s="14"/>
      <x:c r="JW153" s="14"/>
      <x:c r="JX153" s="14"/>
      <x:c r="JY153" s="14"/>
      <x:c r="JZ153" s="14"/>
      <x:c r="KA153" s="14"/>
      <x:c r="KB153" s="14"/>
      <x:c r="KC153" s="14"/>
      <x:c r="KD153" s="14"/>
      <x:c r="KE153" s="14"/>
      <x:c r="KF153" s="14"/>
      <x:c r="KG153" s="14"/>
      <x:c r="KH153" s="14"/>
      <x:c r="KI153" s="14"/>
      <x:c r="KJ153" s="14"/>
      <x:c r="KK153" s="14"/>
      <x:c r="KL153" s="14"/>
      <x:c r="KM153" s="14"/>
      <x:c r="KN153" s="14"/>
      <x:c r="KO153" s="14"/>
      <x:c r="KP153" s="14"/>
      <x:c r="KQ153" s="14"/>
      <x:c r="KR153" s="14"/>
      <x:c r="KS153" s="14"/>
      <x:c r="KT153" s="14"/>
      <x:c r="KU153" s="14"/>
      <x:c r="KV153" s="14"/>
      <x:c r="KW153" s="14"/>
      <x:c r="KX153" s="14"/>
      <x:c r="KY153" s="14"/>
      <x:c r="KZ153" s="14"/>
      <x:c r="LA153" s="14"/>
      <x:c r="LB153" s="14"/>
      <x:c r="LC153" s="14"/>
      <x:c r="LD153" s="14"/>
      <x:c r="LE153" s="14"/>
      <x:c r="LF153" s="14"/>
      <x:c r="LG153" s="14"/>
      <x:c r="LH153" s="14"/>
      <x:c r="LI153" s="14"/>
      <x:c r="LJ153" s="14"/>
      <x:c r="LK153" s="14"/>
      <x:c r="LL153" s="14"/>
      <x:c r="LM153" s="14"/>
      <x:c r="LN153" s="14"/>
      <x:c r="LO153" s="14"/>
      <x:c r="LP153" s="14"/>
      <x:c r="LQ153" s="14"/>
      <x:c r="LR153" s="14"/>
      <x:c r="LS153" s="14"/>
      <x:c r="LT153" s="14"/>
      <x:c r="LU153" s="14"/>
      <x:c r="LV153" s="14"/>
      <x:c r="LW153" s="14"/>
      <x:c r="LX153" s="14"/>
      <x:c r="LY153" s="14"/>
      <x:c r="LZ153" s="14"/>
      <x:c r="MA153" s="14"/>
      <x:c r="MB153" s="14"/>
      <x:c r="MC153" s="14"/>
      <x:c r="MD153" s="14"/>
      <x:c r="ME153" s="14"/>
      <x:c r="MF153" s="14"/>
      <x:c r="MG153" s="14"/>
      <x:c r="MH153" s="14"/>
      <x:c r="MI153" s="14"/>
      <x:c r="MJ153" s="14"/>
      <x:c r="MK153" s="14"/>
      <x:c r="ML153" s="14"/>
      <x:c r="MM153" s="14"/>
      <x:c r="MN153" s="14"/>
      <x:c r="MO153" s="14"/>
      <x:c r="MP153" s="14"/>
      <x:c r="MQ153" s="14"/>
      <x:c r="MR153" s="14"/>
      <x:c r="MS153" s="14"/>
      <x:c r="MT153" s="14"/>
      <x:c r="MU153" s="14"/>
      <x:c r="MV153" s="14"/>
      <x:c r="MW153" s="14"/>
      <x:c r="MX153" s="14"/>
      <x:c r="MY153" s="14"/>
      <x:c r="MZ153" s="14"/>
      <x:c r="NA153" s="14"/>
      <x:c r="NB153" s="14"/>
      <x:c r="NC153" s="14"/>
      <x:c r="ND153" s="14"/>
      <x:c r="NE153" s="14"/>
      <x:c r="NF153" s="14"/>
      <x:c r="NG153" s="14"/>
      <x:c r="NH153" s="14"/>
      <x:c r="NI153" s="14"/>
      <x:c r="NJ153" s="14"/>
      <x:c r="NK153" s="14"/>
      <x:c r="NL153" s="14"/>
      <x:c r="NM153" s="14"/>
      <x:c r="NN153" s="14"/>
      <x:c r="NO153" s="14"/>
      <x:c r="NP153" s="14"/>
      <x:c r="NQ153" s="14"/>
      <x:c r="NR153" s="14"/>
      <x:c r="NS153" s="14"/>
      <x:c r="NT153" s="14"/>
      <x:c r="NU153" s="14"/>
      <x:c r="NV153" s="14"/>
      <x:c r="NW153" s="14"/>
      <x:c r="NX153" s="14"/>
      <x:c r="NY153" s="14" t="str">
        <x:v>31296</x:v>
      </x:c>
      <x:c r="NZ153" s="14" t="n">
        <x:v>10</x:v>
      </x:c>
      <x:c r="OA153" s="14" t="n">
        <x:v>2614</x:v>
      </x:c>
      <x:c r="OB153" s="14" t="n">
        <x:v>513</x:v>
      </x:c>
      <x:c r="OC153" s="14" t="n">
        <x:v>9</x:v>
      </x:c>
      <x:c r="OD153" s="14" t="n">
        <x:v>1</x:v>
      </x:c>
      <x:c r="OE153" s="14" t="str">
        <x:v>未收錄</x:v>
      </x:c>
      <x:c r="OF153" s="14" t="str">
        <x:v>31316</x:v>
      </x:c>
      <x:c r="OG153" s="14" t="n">
        <x:v>10</x:v>
      </x:c>
      <x:c r="OH153" s="14" t="n">
        <x:v>2615</x:v>
      </x:c>
      <x:c r="OI153" s="14" t="n">
        <x:v>514</x:v>
      </x:c>
      <x:c r="OJ153" s="14" t="n">
        <x:v>9</x:v>
      </x:c>
      <x:c r="OK153" s="14" t="n">
        <x:v>2</x:v>
      </x:c>
      <x:c r="OL153" s="14" t="str">
        <x:v>未收錄</x:v>
      </x:c>
      <x:c r="OM153" s="14" t="str">
        <x:v>31177</x:v>
      </x:c>
      <x:c r="ON153" s="14" t="n">
        <x:v>5</x:v>
      </x:c>
      <x:c r="OO153" s="14" t="n">
        <x:v>2616</x:v>
      </x:c>
      <x:c r="OP153" s="14" t="n">
        <x:v>515</x:v>
      </x:c>
      <x:c r="OQ153" s="14" t="n">
        <x:v>9</x:v>
      </x:c>
      <x:c r="OR153" s="14" t="n">
        <x:v>3</x:v>
      </x:c>
      <x:c r="OS153" s="14" t="str">
        <x:v>未收錄</x:v>
      </x:c>
      <x:c r="OT153" s="14" t="str">
        <x:v>31182</x:v>
      </x:c>
      <x:c r="OU153" s="14" t="n">
        <x:v>5</x:v>
      </x:c>
      <x:c r="OV153" s="14" t="n">
        <x:v>2617</x:v>
      </x:c>
      <x:c r="OW153" s="14" t="n">
        <x:v>516</x:v>
      </x:c>
      <x:c r="OX153" s="14" t="n">
        <x:v>9</x:v>
      </x:c>
      <x:c r="OY153" s="14" t="n">
        <x:v>4</x:v>
      </x:c>
      <x:c r="OZ153" s="14" t="str">
        <x:v>未收錄</x:v>
      </x:c>
      <x:c r="PA153" s="14"/>
      <x:c r="PB153" s="14"/>
      <x:c r="PC153" s="14"/>
      <x:c r="PD153" s="14"/>
      <x:c r="PE153" s="14"/>
      <x:c r="PF153" s="14"/>
      <x:c r="PG153" s="14"/>
      <x:c r="PH153" s="14"/>
      <x:c r="PI153" s="14"/>
      <x:c r="PJ153" s="14"/>
      <x:c r="PK153" s="14"/>
      <x:c r="PL153" s="14"/>
      <x:c r="PM153" s="14"/>
      <x:c r="PN153" s="14"/>
      <x:c r="PO153" s="14"/>
      <x:c r="PP153" s="14"/>
      <x:c r="PQ153" s="14"/>
      <x:c r="PR153" s="14"/>
      <x:c r="PS153" s="14"/>
      <x:c r="PT153" s="14"/>
      <x:c r="PU153" s="14"/>
      <x:c r="PV153" s="14"/>
      <x:c r="PW153" s="14"/>
      <x:c r="PX153" s="14"/>
      <x:c r="PY153" s="14"/>
      <x:c r="PZ153" s="14"/>
      <x:c r="QA153" s="14"/>
      <x:c r="QB153" s="14"/>
      <x:c r="QC153" s="14"/>
      <x:c r="QD153" s="14"/>
      <x:c r="QE153" s="14"/>
      <x:c r="QF153" s="14"/>
      <x:c r="QG153" s="14"/>
      <x:c r="QH153" s="14"/>
      <x:c r="QI153" s="14"/>
      <x:c r="QJ153" s="14"/>
      <x:c r="QK153" s="14"/>
      <x:c r="QL153" s="14"/>
      <x:c r="QM153" s="14"/>
      <x:c r="QN153" s="14"/>
      <x:c r="QO153" s="14"/>
      <x:c r="QP153" s="14"/>
      <x:c r="QQ153" s="14"/>
      <x:c r="QR153" s="14"/>
      <x:c r="QS153" s="14"/>
      <x:c r="QT153" s="14"/>
      <x:c r="QU153" s="14"/>
      <x:c r="QV153" s="14"/>
      <x:c r="QW153" s="14"/>
      <x:c r="QX153" s="14"/>
      <x:c r="QY153" s="14"/>
      <x:c r="QZ153" s="14"/>
      <x:c r="RA153" s="14"/>
      <x:c r="RB153" s="14"/>
      <x:c r="RC153" s="14"/>
      <x:c r="RD153" s="14"/>
      <x:c r="RE153" s="14"/>
      <x:c r="RF153" s="14"/>
      <x:c r="RG153" s="14"/>
      <x:c r="RH153" s="14"/>
      <x:c r="RI153" s="14"/>
      <x:c r="RJ153" s="14"/>
      <x:c r="RK153" s="14"/>
      <x:c r="RL153" s="14"/>
      <x:c r="RM153" s="14"/>
      <x:c r="RN153" s="14"/>
      <x:c r="RO153" s="14"/>
      <x:c r="RP153" s="14"/>
      <x:c r="RQ153" s="14"/>
      <x:c r="RR153" s="14"/>
      <x:c r="RS153" s="14"/>
      <x:c r="RT153" s="14"/>
      <x:c r="RU153" s="14"/>
      <x:c r="RV153" s="14"/>
      <x:c r="RW153" s="14"/>
      <x:c r="RX153" s="14"/>
      <x:c r="RY153" s="14"/>
      <x:c r="RZ153" s="14"/>
      <x:c r="SA153" s="14"/>
      <x:c r="SB153" s="14"/>
      <x:c r="SC153" s="14"/>
      <x:c r="SD153" s="14"/>
      <x:c r="SE153" s="14"/>
      <x:c r="SF153" s="14"/>
      <x:c r="SG153" s="14"/>
      <x:c r="SH153" s="14"/>
      <x:c r="SI153" s="14"/>
      <x:c r="SJ153" s="14"/>
      <x:c r="SK153" s="14"/>
      <x:c r="SL153" s="14"/>
      <x:c r="SM153" s="14"/>
      <x:c r="SN153" s="14"/>
      <x:c r="SO153" s="14"/>
      <x:c r="SP153" s="14"/>
      <x:c r="SQ153" s="14"/>
      <x:c r="SR153" s="14"/>
      <x:c r="SS153" s="14"/>
      <x:c r="ST153" s="14"/>
      <x:c r="SU153" s="14"/>
      <x:c r="SV153" s="14"/>
      <x:c r="SW153" s="14"/>
      <x:c r="SX153" s="14"/>
      <x:c r="SY153" s="14"/>
      <x:c r="SZ153" s="14"/>
      <x:c r="TA153" s="14"/>
      <x:c r="TB153" s="14"/>
      <x:c r="TC153" s="14"/>
      <x:c r="TD153" s="14"/>
      <x:c r="TE153" s="14"/>
      <x:c r="TF153" s="14"/>
      <x:c r="TG153" s="14"/>
      <x:c r="TH153" s="14"/>
    </x:row>
    <x:row r="154" ht="15" customHeight="1">
      <x:c r="A154" s="14"/>
      <x:c r="B154" s="14"/>
      <x:c r="C154" s="14"/>
      <x:c r="D154" s="14"/>
      <x:c r="E154" s="14"/>
      <x:c r="F154" s="14"/>
      <x:c r="G154" s="14"/>
      <x:c r="H154" s="14"/>
      <x:c r="I154" s="14"/>
      <x:c r="J154" s="14"/>
      <x:c r="K154" s="14"/>
      <x:c r="L154" s="14"/>
      <x:c r="M154" s="14"/>
      <x:c r="N154" s="14"/>
      <x:c r="O154" s="14"/>
      <x:c r="P154" s="14"/>
      <x:c r="Q154" s="14"/>
      <x:c r="R154" s="14"/>
      <x:c r="S154" s="14"/>
      <x:c r="T154" s="14"/>
      <x:c r="U154" s="14"/>
      <x:c r="V154" s="14"/>
      <x:c r="W154" s="14"/>
      <x:c r="X154" s="14"/>
      <x:c r="Y154" s="14"/>
      <x:c r="Z154" s="14"/>
      <x:c r="AA154" s="14"/>
      <x:c r="AB154" s="14"/>
      <x:c r="AC154" s="14"/>
      <x:c r="AD154" s="14"/>
      <x:c r="AE154" s="14"/>
      <x:c r="AF154" s="14"/>
      <x:c r="AG154" s="14"/>
      <x:c r="AH154" s="14"/>
      <x:c r="AI154" s="14"/>
      <x:c r="AJ154" s="14"/>
      <x:c r="AK154" s="14"/>
      <x:c r="AL154" s="14"/>
      <x:c r="AM154" s="14"/>
      <x:c r="AN154" s="14"/>
      <x:c r="AO154" s="14"/>
      <x:c r="AP154" s="14"/>
      <x:c r="AQ154" s="14"/>
      <x:c r="AR154" s="14"/>
      <x:c r="AS154" s="14"/>
      <x:c r="AT154" s="14"/>
      <x:c r="AU154" s="14"/>
      <x:c r="AV154" s="14"/>
      <x:c r="AW154" s="14"/>
      <x:c r="AX154" s="14"/>
      <x:c r="AY154" s="14"/>
      <x:c r="AZ154" s="14"/>
      <x:c r="BA154" s="14"/>
      <x:c r="BB154" s="14"/>
      <x:c r="BC154" s="14"/>
      <x:c r="BD154" s="18" t="str">
        <x:v>光術旋披Ⅱ</x:v>
      </x:c>
      <x:c r="BE154" s="18" t="str">
        <x:v>辰道玄袍Ⅱ</x:v>
      </x:c>
      <x:c r="BF154" s="18" t="str">
        <x:v>寂禪鎏裟Ⅱ</x:v>
      </x:c>
      <x:c r="BG154" s="18" t="str">
        <x:v>騰陽雄鎧Ⅱ</x:v>
      </x:c>
      <x:c r="BH154" s="14"/>
      <x:c r="BI154" s="14"/>
      <x:c r="BJ154" s="14"/>
      <x:c r="BK154" s="14"/>
      <x:c r="BL154" s="14"/>
      <x:c r="BM154" s="14"/>
      <x:c r="BN154" s="14"/>
      <x:c r="BO154" s="14"/>
      <x:c r="BP154" s="14"/>
      <x:c r="BQ154" s="14"/>
      <x:c r="BR154" s="14"/>
      <x:c r="BS154" s="14"/>
      <x:c r="BT154" s="14"/>
      <x:c r="BU154" s="14"/>
      <x:c r="BV154" s="14"/>
      <x:c r="BW154" s="14"/>
      <x:c r="BX154" s="14"/>
      <x:c r="BY154" s="14"/>
      <x:c r="BZ154" s="14"/>
      <x:c r="CA154" s="14"/>
      <x:c r="CB154" s="14"/>
      <x:c r="CC154" s="14"/>
      <x:c r="CD154" s="14"/>
      <x:c r="CE154" s="14"/>
      <x:c r="CF154" s="14"/>
      <x:c r="CG154" s="14"/>
      <x:c r="CH154" s="14"/>
      <x:c r="CI154" s="14"/>
      <x:c r="CJ154" s="14"/>
      <x:c r="CK154" s="14"/>
      <x:c r="CL154" s="14"/>
      <x:c r="CM154" s="14"/>
      <x:c r="CN154" s="14"/>
      <x:c r="CO154" s="14"/>
      <x:c r="CP154" s="14"/>
      <x:c r="CQ154" s="14"/>
      <x:c r="CR154" s="14"/>
      <x:c r="CS154" s="14"/>
      <x:c r="CT154" s="14"/>
      <x:c r="CU154" s="14"/>
      <x:c r="CV154" s="14"/>
      <x:c r="CW154" s="14"/>
      <x:c r="CX154" s="14"/>
      <x:c r="CY154" s="14"/>
      <x:c r="CZ154" s="14"/>
      <x:c r="DA154" s="14"/>
      <x:c r="DB154" s="14"/>
      <x:c r="DC154" s="14"/>
      <x:c r="DD154" s="14"/>
      <x:c r="DE154" s="14"/>
      <x:c r="DF154" s="14"/>
      <x:c r="DG154" s="14"/>
      <x:c r="DH154" s="14"/>
      <x:c r="DI154" s="14"/>
      <x:c r="DJ154" s="14"/>
      <x:c r="DK154" s="14"/>
      <x:c r="DL154" s="14"/>
      <x:c r="DM154" s="14"/>
      <x:c r="DN154" s="14"/>
      <x:c r="DO154" s="14"/>
      <x:c r="DP154" s="14"/>
      <x:c r="DQ154" s="14"/>
      <x:c r="DR154" s="14"/>
      <x:c r="DS154" s="14"/>
      <x:c r="DT154" s="14"/>
      <x:c r="DU154" s="14"/>
      <x:c r="DV154" s="14"/>
      <x:c r="DW154" s="14"/>
      <x:c r="DX154" s="14"/>
      <x:c r="DY154" s="14"/>
      <x:c r="DZ154" s="14"/>
      <x:c r="EA154" s="14"/>
      <x:c r="EB154" s="14"/>
      <x:c r="EC154" s="14"/>
      <x:c r="ED154" s="14"/>
      <x:c r="EE154" s="14"/>
      <x:c r="EF154" s="14"/>
      <x:c r="EG154" s="14"/>
      <x:c r="EH154" s="14"/>
      <x:c r="EI154" s="14"/>
      <x:c r="EJ154" s="14"/>
      <x:c r="EK154" s="14"/>
      <x:c r="EL154" s="14"/>
      <x:c r="EM154" s="14"/>
      <x:c r="EN154" s="14"/>
      <x:c r="EO154" s="14"/>
      <x:c r="EP154" s="14"/>
      <x:c r="EQ154" s="14"/>
      <x:c r="ER154" s="14"/>
      <x:c r="ES154" s="14"/>
      <x:c r="ET154" s="14"/>
      <x:c r="EU154" s="14"/>
      <x:c r="EV154" s="14"/>
      <x:c r="EW154" s="14"/>
      <x:c r="EX154" s="14"/>
      <x:c r="EY154" s="14"/>
      <x:c r="EZ154" s="14"/>
      <x:c r="FA154" s="14"/>
      <x:c r="FB154" s="14"/>
      <x:c r="FC154" s="14"/>
      <x:c r="FD154" s="14"/>
      <x:c r="FE154" s="14"/>
      <x:c r="FF154" s="14"/>
      <x:c r="FG154" s="14"/>
      <x:c r="FH154" s="14"/>
      <x:c r="FI154" s="14"/>
      <x:c r="FJ154" s="14"/>
      <x:c r="FK154" s="14"/>
      <x:c r="FL154" s="14"/>
      <x:c r="FM154" s="14"/>
      <x:c r="FN154" s="14"/>
      <x:c r="FO154" s="14"/>
      <x:c r="FP154" s="14"/>
      <x:c r="FQ154" s="14"/>
      <x:c r="FR154" s="14"/>
      <x:c r="FS154" s="14"/>
      <x:c r="FT154" s="14"/>
      <x:c r="FU154" s="14"/>
      <x:c r="FV154" s="14"/>
      <x:c r="FW154" s="14"/>
      <x:c r="FX154" s="14"/>
      <x:c r="FY154" s="14"/>
      <x:c r="FZ154" s="14"/>
      <x:c r="GA154" s="14"/>
      <x:c r="GB154" s="14"/>
      <x:c r="GC154" s="14"/>
      <x:c r="GD154" s="14"/>
      <x:c r="GE154" s="14"/>
      <x:c r="GF154" s="14"/>
      <x:c r="GG154" s="14"/>
      <x:c r="GH154" s="14"/>
      <x:c r="GI154" s="14"/>
      <x:c r="GJ154" s="14"/>
      <x:c r="GK154" s="14"/>
      <x:c r="GL154" s="14"/>
      <x:c r="GM154" s="14"/>
      <x:c r="GN154" s="14"/>
      <x:c r="GO154" s="14"/>
      <x:c r="GP154" s="14"/>
      <x:c r="GQ154" s="14"/>
      <x:c r="GR154" s="14"/>
      <x:c r="GS154" s="14"/>
      <x:c r="GT154" s="14"/>
      <x:c r="GU154" s="14"/>
      <x:c r="GV154" s="14"/>
      <x:c r="GW154" s="14"/>
      <x:c r="GX154" s="14"/>
      <x:c r="GY154" s="14"/>
      <x:c r="GZ154" s="14"/>
      <x:c r="HA154" s="14"/>
      <x:c r="HB154" s="14"/>
      <x:c r="HC154" s="14"/>
      <x:c r="HD154" s="14"/>
      <x:c r="HE154" s="14"/>
      <x:c r="HF154" s="14"/>
      <x:c r="HG154" s="14"/>
      <x:c r="HH154" s="14"/>
      <x:c r="HI154" s="14"/>
      <x:c r="HJ154" s="14"/>
      <x:c r="HK154" s="14"/>
      <x:c r="HL154" s="14"/>
      <x:c r="HM154" s="14"/>
      <x:c r="HN154" s="14"/>
      <x:c r="HO154" s="14"/>
      <x:c r="HP154" s="14"/>
      <x:c r="HQ154" s="14"/>
      <x:c r="HR154" s="14"/>
      <x:c r="HS154" s="14"/>
      <x:c r="HT154" s="14"/>
      <x:c r="HU154" s="14"/>
      <x:c r="HV154" s="14"/>
      <x:c r="HW154" s="14"/>
      <x:c r="HX154" s="14"/>
      <x:c r="HY154" s="14"/>
      <x:c r="HZ154" s="14"/>
      <x:c r="IA154" s="14"/>
      <x:c r="IB154" s="14"/>
      <x:c r="IC154" s="14"/>
      <x:c r="ID154" s="14"/>
      <x:c r="IE154" s="14"/>
      <x:c r="IF154" s="14"/>
      <x:c r="IG154" s="14"/>
      <x:c r="IH154" s="14"/>
      <x:c r="II154" s="14"/>
      <x:c r="IJ154" s="14"/>
      <x:c r="IK154" s="14"/>
      <x:c r="IL154" s="14"/>
      <x:c r="IM154" s="14"/>
      <x:c r="IN154" s="14"/>
      <x:c r="IO154" s="14"/>
      <x:c r="IP154" s="14"/>
      <x:c r="IQ154" s="14"/>
      <x:c r="IR154" s="14"/>
      <x:c r="IS154" s="14"/>
      <x:c r="IT154" s="14"/>
      <x:c r="IU154" s="14"/>
      <x:c r="IV154" s="14"/>
      <x:c r="IW154" s="14"/>
      <x:c r="IX154" s="14"/>
      <x:c r="IY154" s="14"/>
      <x:c r="IZ154" s="14"/>
      <x:c r="JA154" s="14"/>
      <x:c r="JB154" s="14"/>
      <x:c r="JC154" s="14"/>
      <x:c r="JD154" s="14"/>
      <x:c r="JE154" s="14"/>
      <x:c r="JF154" s="14"/>
      <x:c r="JG154" s="14"/>
      <x:c r="JH154" s="14"/>
      <x:c r="JI154" s="14"/>
      <x:c r="JJ154" s="14"/>
      <x:c r="JK154" s="14"/>
      <x:c r="JL154" s="14"/>
      <x:c r="JM154" s="14"/>
      <x:c r="JN154" s="14"/>
      <x:c r="JO154" s="14"/>
      <x:c r="JP154" s="14"/>
      <x:c r="JQ154" s="14"/>
      <x:c r="JR154" s="14"/>
      <x:c r="JS154" s="14"/>
      <x:c r="JT154" s="14"/>
      <x:c r="JU154" s="14"/>
      <x:c r="JV154" s="14"/>
      <x:c r="JW154" s="14"/>
      <x:c r="JX154" s="14"/>
      <x:c r="JY154" s="14"/>
      <x:c r="JZ154" s="14"/>
      <x:c r="KA154" s="14"/>
      <x:c r="KB154" s="14"/>
      <x:c r="KC154" s="14"/>
      <x:c r="KD154" s="14"/>
      <x:c r="KE154" s="14"/>
      <x:c r="KF154" s="14"/>
      <x:c r="KG154" s="14"/>
      <x:c r="KH154" s="14"/>
      <x:c r="KI154" s="14"/>
      <x:c r="KJ154" s="14"/>
      <x:c r="KK154" s="14"/>
      <x:c r="KL154" s="14"/>
      <x:c r="KM154" s="14"/>
      <x:c r="KN154" s="14"/>
      <x:c r="KO154" s="14"/>
      <x:c r="KP154" s="14"/>
      <x:c r="KQ154" s="14"/>
      <x:c r="KR154" s="14"/>
      <x:c r="KS154" s="14"/>
      <x:c r="KT154" s="14"/>
      <x:c r="KU154" s="14"/>
      <x:c r="KV154" s="14"/>
      <x:c r="KW154" s="14"/>
      <x:c r="KX154" s="14"/>
      <x:c r="KY154" s="14"/>
      <x:c r="KZ154" s="14"/>
      <x:c r="LA154" s="14"/>
      <x:c r="LB154" s="14"/>
      <x:c r="LC154" s="14"/>
      <x:c r="LD154" s="14"/>
      <x:c r="LE154" s="14"/>
      <x:c r="LF154" s="14"/>
      <x:c r="LG154" s="14"/>
      <x:c r="LH154" s="14"/>
      <x:c r="LI154" s="14"/>
      <x:c r="LJ154" s="14"/>
      <x:c r="LK154" s="14"/>
      <x:c r="LL154" s="14"/>
      <x:c r="LM154" s="14"/>
      <x:c r="LN154" s="14"/>
      <x:c r="LO154" s="14"/>
      <x:c r="LP154" s="14"/>
      <x:c r="LQ154" s="14"/>
      <x:c r="LR154" s="14"/>
      <x:c r="LS154" s="14"/>
      <x:c r="LT154" s="14"/>
      <x:c r="LU154" s="14"/>
      <x:c r="LV154" s="14"/>
      <x:c r="LW154" s="14"/>
      <x:c r="LX154" s="14"/>
      <x:c r="LY154" s="14"/>
      <x:c r="LZ154" s="14"/>
      <x:c r="MA154" s="14"/>
      <x:c r="MB154" s="14"/>
      <x:c r="MC154" s="14"/>
      <x:c r="MD154" s="14"/>
      <x:c r="ME154" s="14"/>
      <x:c r="MF154" s="14"/>
      <x:c r="MG154" s="14"/>
      <x:c r="MH154" s="14"/>
      <x:c r="MI154" s="14"/>
      <x:c r="MJ154" s="14"/>
      <x:c r="MK154" s="14"/>
      <x:c r="ML154" s="14"/>
      <x:c r="MM154" s="14"/>
      <x:c r="MN154" s="14"/>
      <x:c r="MO154" s="14"/>
      <x:c r="MP154" s="14"/>
      <x:c r="MQ154" s="14"/>
      <x:c r="MR154" s="14"/>
      <x:c r="MS154" s="14"/>
      <x:c r="MT154" s="14"/>
      <x:c r="MU154" s="14"/>
      <x:c r="MV154" s="14"/>
      <x:c r="MW154" s="14"/>
      <x:c r="MX154" s="14"/>
      <x:c r="MY154" s="14"/>
      <x:c r="MZ154" s="14"/>
      <x:c r="NA154" s="14"/>
      <x:c r="NB154" s="14"/>
      <x:c r="NC154" s="14"/>
      <x:c r="ND154" s="14"/>
      <x:c r="NE154" s="14"/>
      <x:c r="NF154" s="14"/>
      <x:c r="NG154" s="14"/>
      <x:c r="NH154" s="14"/>
      <x:c r="NI154" s="14"/>
      <x:c r="NJ154" s="14"/>
      <x:c r="NK154" s="14"/>
      <x:c r="NL154" s="14"/>
      <x:c r="NM154" s="14"/>
      <x:c r="NN154" s="14"/>
      <x:c r="NO154" s="14"/>
      <x:c r="NP154" s="14"/>
      <x:c r="NQ154" s="14"/>
      <x:c r="NR154" s="14"/>
      <x:c r="NS154" s="14"/>
      <x:c r="NT154" s="14"/>
      <x:c r="NU154" s="14"/>
      <x:c r="NV154" s="14"/>
      <x:c r="NW154" s="14"/>
      <x:c r="NX154" s="14"/>
      <x:c r="NY154" s="14" t="str">
        <x:v>31187</x:v>
      </x:c>
      <x:c r="NZ154" s="14" t="n">
        <x:v>5</x:v>
      </x:c>
      <x:c r="OA154" s="14" t="n">
        <x:v>2618</x:v>
      </x:c>
      <x:c r="OB154" s="14" t="n">
        <x:v>517</x:v>
      </x:c>
      <x:c r="OC154" s="14" t="n">
        <x:v>10</x:v>
      </x:c>
      <x:c r="OD154" s="14" t="n">
        <x:v>1</x:v>
      </x:c>
      <x:c r="OE154" s="14" t="str">
        <x:v>未收錄</x:v>
      </x:c>
      <x:c r="OF154" s="14" t="str">
        <x:v>31192</x:v>
      </x:c>
      <x:c r="OG154" s="14" t="n">
        <x:v>5</x:v>
      </x:c>
      <x:c r="OH154" s="14" t="n">
        <x:v>2619</x:v>
      </x:c>
      <x:c r="OI154" s="14" t="n">
        <x:v>518</x:v>
      </x:c>
      <x:c r="OJ154" s="14" t="n">
        <x:v>10</x:v>
      </x:c>
      <x:c r="OK154" s="14" t="n">
        <x:v>2</x:v>
      </x:c>
      <x:c r="OL154" s="14" t="str">
        <x:v>未收錄</x:v>
      </x:c>
      <x:c r="OM154" s="14" t="str">
        <x:v>31197</x:v>
      </x:c>
      <x:c r="ON154" s="14" t="n">
        <x:v>5</x:v>
      </x:c>
      <x:c r="OO154" s="14" t="n">
        <x:v>2620</x:v>
      </x:c>
      <x:c r="OP154" s="14" t="n">
        <x:v>519</x:v>
      </x:c>
      <x:c r="OQ154" s="14" t="n">
        <x:v>10</x:v>
      </x:c>
      <x:c r="OR154" s="14" t="n">
        <x:v>3</x:v>
      </x:c>
      <x:c r="OS154" s="14" t="str">
        <x:v>未收錄</x:v>
      </x:c>
      <x:c r="OT154" s="14" t="str">
        <x:v>31277</x:v>
      </x:c>
      <x:c r="OU154" s="14" t="n">
        <x:v>10</x:v>
      </x:c>
      <x:c r="OV154" s="14" t="n">
        <x:v>2621</x:v>
      </x:c>
      <x:c r="OW154" s="14" t="n">
        <x:v>520</x:v>
      </x:c>
      <x:c r="OX154" s="14" t="n">
        <x:v>10</x:v>
      </x:c>
      <x:c r="OY154" s="14" t="n">
        <x:v>4</x:v>
      </x:c>
      <x:c r="OZ154" s="14" t="str">
        <x:v>未收錄</x:v>
      </x:c>
      <x:c r="PA154" s="14"/>
      <x:c r="PB154" s="14"/>
      <x:c r="PC154" s="14"/>
      <x:c r="PD154" s="14"/>
      <x:c r="PE154" s="14"/>
      <x:c r="PF154" s="14"/>
      <x:c r="PG154" s="14"/>
      <x:c r="PH154" s="14"/>
      <x:c r="PI154" s="14"/>
      <x:c r="PJ154" s="14"/>
      <x:c r="PK154" s="14"/>
      <x:c r="PL154" s="14"/>
      <x:c r="PM154" s="14"/>
      <x:c r="PN154" s="14"/>
      <x:c r="PO154" s="14"/>
      <x:c r="PP154" s="14"/>
      <x:c r="PQ154" s="14"/>
      <x:c r="PR154" s="14"/>
      <x:c r="PS154" s="14"/>
      <x:c r="PT154" s="14"/>
      <x:c r="PU154" s="14"/>
      <x:c r="PV154" s="14"/>
      <x:c r="PW154" s="14"/>
      <x:c r="PX154" s="14"/>
      <x:c r="PY154" s="14"/>
      <x:c r="PZ154" s="14"/>
      <x:c r="QA154" s="14"/>
      <x:c r="QB154" s="14"/>
      <x:c r="QC154" s="14"/>
      <x:c r="QD154" s="14"/>
      <x:c r="QE154" s="14"/>
      <x:c r="QF154" s="14"/>
      <x:c r="QG154" s="14"/>
      <x:c r="QH154" s="14"/>
      <x:c r="QI154" s="14"/>
      <x:c r="QJ154" s="14"/>
      <x:c r="QK154" s="14"/>
      <x:c r="QL154" s="14"/>
      <x:c r="QM154" s="14"/>
      <x:c r="QN154" s="14"/>
      <x:c r="QO154" s="14"/>
      <x:c r="QP154" s="14"/>
      <x:c r="QQ154" s="14"/>
      <x:c r="QR154" s="14"/>
      <x:c r="QS154" s="14"/>
      <x:c r="QT154" s="14"/>
      <x:c r="QU154" s="14"/>
      <x:c r="QV154" s="14"/>
      <x:c r="QW154" s="14"/>
      <x:c r="QX154" s="14"/>
      <x:c r="QY154" s="14"/>
      <x:c r="QZ154" s="14"/>
      <x:c r="RA154" s="14"/>
      <x:c r="RB154" s="14"/>
      <x:c r="RC154" s="14"/>
      <x:c r="RD154" s="14"/>
      <x:c r="RE154" s="14"/>
      <x:c r="RF154" s="14"/>
      <x:c r="RG154" s="14"/>
      <x:c r="RH154" s="14"/>
      <x:c r="RI154" s="14"/>
      <x:c r="RJ154" s="14"/>
      <x:c r="RK154" s="14"/>
      <x:c r="RL154" s="14"/>
      <x:c r="RM154" s="14"/>
      <x:c r="RN154" s="14"/>
      <x:c r="RO154" s="14"/>
      <x:c r="RP154" s="14"/>
      <x:c r="RQ154" s="14"/>
      <x:c r="RR154" s="14"/>
      <x:c r="RS154" s="14"/>
      <x:c r="RT154" s="14"/>
      <x:c r="RU154" s="14"/>
      <x:c r="RV154" s="14"/>
      <x:c r="RW154" s="14"/>
      <x:c r="RX154" s="14"/>
      <x:c r="RY154" s="14"/>
      <x:c r="RZ154" s="14"/>
      <x:c r="SA154" s="14"/>
      <x:c r="SB154" s="14"/>
      <x:c r="SC154" s="14"/>
      <x:c r="SD154" s="14"/>
      <x:c r="SE154" s="14"/>
      <x:c r="SF154" s="14"/>
      <x:c r="SG154" s="14"/>
      <x:c r="SH154" s="14"/>
      <x:c r="SI154" s="14"/>
      <x:c r="SJ154" s="14"/>
      <x:c r="SK154" s="14"/>
      <x:c r="SL154" s="14"/>
      <x:c r="SM154" s="14"/>
      <x:c r="SN154" s="14"/>
      <x:c r="SO154" s="14"/>
      <x:c r="SP154" s="14"/>
      <x:c r="SQ154" s="14"/>
      <x:c r="SR154" s="14"/>
      <x:c r="SS154" s="14"/>
      <x:c r="ST154" s="14"/>
      <x:c r="SU154" s="14"/>
      <x:c r="SV154" s="14"/>
      <x:c r="SW154" s="14"/>
      <x:c r="SX154" s="14"/>
      <x:c r="SY154" s="14"/>
      <x:c r="SZ154" s="14"/>
      <x:c r="TA154" s="14"/>
      <x:c r="TB154" s="14"/>
      <x:c r="TC154" s="14"/>
      <x:c r="TD154" s="14"/>
      <x:c r="TE154" s="14"/>
      <x:c r="TF154" s="14"/>
      <x:c r="TG154" s="14"/>
      <x:c r="TH154" s="14"/>
    </x:row>
    <x:row r="155" ht="15" customHeight="1">
      <x:c r="A155" s="14"/>
      <x:c r="B155" s="14"/>
      <x:c r="C155" s="14"/>
      <x:c r="D155" s="14"/>
      <x:c r="E155" s="14"/>
      <x:c r="F155" s="14"/>
      <x:c r="G155" s="14"/>
      <x:c r="H155" s="14"/>
      <x:c r="I155" s="14"/>
      <x:c r="J155" s="14"/>
      <x:c r="K155" s="14"/>
      <x:c r="L155" s="14"/>
      <x:c r="M155" s="14"/>
      <x:c r="N155" s="14"/>
      <x:c r="O155" s="14"/>
      <x:c r="P155" s="14"/>
      <x:c r="Q155" s="14"/>
      <x:c r="R155" s="14"/>
      <x:c r="S155" s="14"/>
      <x:c r="T155" s="14"/>
      <x:c r="U155" s="14"/>
      <x:c r="V155" s="14"/>
      <x:c r="W155" s="14"/>
      <x:c r="X155" s="14"/>
      <x:c r="Y155" s="14"/>
      <x:c r="Z155" s="14"/>
      <x:c r="AA155" s="14"/>
      <x:c r="AB155" s="14"/>
      <x:c r="AC155" s="14"/>
      <x:c r="AD155" s="14"/>
      <x:c r="AE155" s="14"/>
      <x:c r="AF155" s="14"/>
      <x:c r="AG155" s="14"/>
      <x:c r="AH155" s="14"/>
      <x:c r="AI155" s="14"/>
      <x:c r="AJ155" s="14"/>
      <x:c r="AK155" s="14"/>
      <x:c r="AL155" s="14"/>
      <x:c r="AM155" s="14"/>
      <x:c r="AN155" s="14"/>
      <x:c r="AO155" s="14"/>
      <x:c r="AP155" s="14"/>
      <x:c r="AQ155" s="14"/>
      <x:c r="AR155" s="14"/>
      <x:c r="AS155" s="14"/>
      <x:c r="AT155" s="14"/>
      <x:c r="AU155" s="14"/>
      <x:c r="AV155" s="14"/>
      <x:c r="AW155" s="14"/>
      <x:c r="AX155" s="14"/>
      <x:c r="AY155" s="14"/>
      <x:c r="AZ155" s="14"/>
      <x:c r="BA155" s="14"/>
      <x:c r="BB155" s="14"/>
      <x:c r="BC155" s="14"/>
      <x:c r="BD155" s="17" t="str">
        <x:v>凜月霜襟Ⅱ</x:v>
      </x:c>
      <x:c r="BE155" s="17" t="str">
        <x:v>舞星鈦甲Ⅱ</x:v>
      </x:c>
      <x:c r="BF155" s="17" t="str">
        <x:v>宇鋒颯衣Ⅲ</x:v>
      </x:c>
      <x:c r="BG155" s="17" t="str">
        <x:v>天衛宙甲Ⅲ</x:v>
      </x:c>
      <x:c r="BH155" s="14"/>
      <x:c r="BI155" s="14"/>
      <x:c r="BJ155" s="14"/>
      <x:c r="BK155" s="14"/>
      <x:c r="BL155" s="14"/>
      <x:c r="BM155" s="14"/>
      <x:c r="BN155" s="14"/>
      <x:c r="BO155" s="14"/>
      <x:c r="BP155" s="14"/>
      <x:c r="BQ155" s="14"/>
      <x:c r="BR155" s="14"/>
      <x:c r="BS155" s="14"/>
      <x:c r="BT155" s="14"/>
      <x:c r="BU155" s="14"/>
      <x:c r="BV155" s="14"/>
      <x:c r="BW155" s="14"/>
      <x:c r="BX155" s="14"/>
      <x:c r="BY155" s="14"/>
      <x:c r="BZ155" s="14"/>
      <x:c r="CA155" s="14"/>
      <x:c r="CB155" s="14"/>
      <x:c r="CC155" s="14"/>
      <x:c r="CD155" s="14"/>
      <x:c r="CE155" s="14"/>
      <x:c r="CF155" s="14"/>
      <x:c r="CG155" s="14"/>
      <x:c r="CH155" s="14"/>
      <x:c r="CI155" s="14"/>
      <x:c r="CJ155" s="14"/>
      <x:c r="CK155" s="14"/>
      <x:c r="CL155" s="14"/>
      <x:c r="CM155" s="14"/>
      <x:c r="CN155" s="14"/>
      <x:c r="CO155" s="14"/>
      <x:c r="CP155" s="14"/>
      <x:c r="CQ155" s="14"/>
      <x:c r="CR155" s="14"/>
      <x:c r="CS155" s="14"/>
      <x:c r="CT155" s="14"/>
      <x:c r="CU155" s="14"/>
      <x:c r="CV155" s="14"/>
      <x:c r="CW155" s="14"/>
      <x:c r="CX155" s="14"/>
      <x:c r="CY155" s="14"/>
      <x:c r="CZ155" s="14"/>
      <x:c r="DA155" s="14"/>
      <x:c r="DB155" s="14"/>
      <x:c r="DC155" s="14"/>
      <x:c r="DD155" s="14"/>
      <x:c r="DE155" s="14"/>
      <x:c r="DF155" s="14"/>
      <x:c r="DG155" s="14"/>
      <x:c r="DH155" s="14"/>
      <x:c r="DI155" s="14"/>
      <x:c r="DJ155" s="14"/>
      <x:c r="DK155" s="14"/>
      <x:c r="DL155" s="14"/>
      <x:c r="DM155" s="14"/>
      <x:c r="DN155" s="14"/>
      <x:c r="DO155" s="14"/>
      <x:c r="DP155" s="14"/>
      <x:c r="DQ155" s="14"/>
      <x:c r="DR155" s="14"/>
      <x:c r="DS155" s="14"/>
      <x:c r="DT155" s="14"/>
      <x:c r="DU155" s="14"/>
      <x:c r="DV155" s="14"/>
      <x:c r="DW155" s="14"/>
      <x:c r="DX155" s="14"/>
      <x:c r="DY155" s="14"/>
      <x:c r="DZ155" s="14"/>
      <x:c r="EA155" s="14"/>
      <x:c r="EB155" s="14"/>
      <x:c r="EC155" s="14"/>
      <x:c r="ED155" s="14"/>
      <x:c r="EE155" s="14"/>
      <x:c r="EF155" s="14"/>
      <x:c r="EG155" s="14"/>
      <x:c r="EH155" s="14"/>
      <x:c r="EI155" s="14"/>
      <x:c r="EJ155" s="14"/>
      <x:c r="EK155" s="14"/>
      <x:c r="EL155" s="14"/>
      <x:c r="EM155" s="14"/>
      <x:c r="EN155" s="14"/>
      <x:c r="EO155" s="14"/>
      <x:c r="EP155" s="14"/>
      <x:c r="EQ155" s="14"/>
      <x:c r="ER155" s="14"/>
      <x:c r="ES155" s="14"/>
      <x:c r="ET155" s="14"/>
      <x:c r="EU155" s="14"/>
      <x:c r="EV155" s="14"/>
      <x:c r="EW155" s="14"/>
      <x:c r="EX155" s="14"/>
      <x:c r="EY155" s="14"/>
      <x:c r="EZ155" s="14"/>
      <x:c r="FA155" s="14"/>
      <x:c r="FB155" s="14"/>
      <x:c r="FC155" s="14"/>
      <x:c r="FD155" s="14"/>
      <x:c r="FE155" s="14"/>
      <x:c r="FF155" s="14"/>
      <x:c r="FG155" s="14"/>
      <x:c r="FH155" s="14"/>
      <x:c r="FI155" s="14"/>
      <x:c r="FJ155" s="14"/>
      <x:c r="FK155" s="14"/>
      <x:c r="FL155" s="14"/>
      <x:c r="FM155" s="14"/>
      <x:c r="FN155" s="14"/>
      <x:c r="FO155" s="14"/>
      <x:c r="FP155" s="14"/>
      <x:c r="FQ155" s="14"/>
      <x:c r="FR155" s="14"/>
      <x:c r="FS155" s="14"/>
      <x:c r="FT155" s="14"/>
      <x:c r="FU155" s="14"/>
      <x:c r="FV155" s="14"/>
      <x:c r="FW155" s="14"/>
      <x:c r="FX155" s="14"/>
      <x:c r="FY155" s="14"/>
      <x:c r="FZ155" s="14"/>
      <x:c r="GA155" s="14"/>
      <x:c r="GB155" s="14"/>
      <x:c r="GC155" s="14"/>
      <x:c r="GD155" s="14"/>
      <x:c r="GE155" s="14"/>
      <x:c r="GF155" s="14"/>
      <x:c r="GG155" s="14"/>
      <x:c r="GH155" s="14"/>
      <x:c r="GI155" s="14"/>
      <x:c r="GJ155" s="14"/>
      <x:c r="GK155" s="14"/>
      <x:c r="GL155" s="14"/>
      <x:c r="GM155" s="14"/>
      <x:c r="GN155" s="14"/>
      <x:c r="GO155" s="14"/>
      <x:c r="GP155" s="14"/>
      <x:c r="GQ155" s="14"/>
      <x:c r="GR155" s="14"/>
      <x:c r="GS155" s="14"/>
      <x:c r="GT155" s="14"/>
      <x:c r="GU155" s="14"/>
      <x:c r="GV155" s="14"/>
      <x:c r="GW155" s="14"/>
      <x:c r="GX155" s="14"/>
      <x:c r="GY155" s="14"/>
      <x:c r="GZ155" s="14"/>
      <x:c r="HA155" s="14"/>
      <x:c r="HB155" s="14"/>
      <x:c r="HC155" s="14"/>
      <x:c r="HD155" s="14"/>
      <x:c r="HE155" s="14"/>
      <x:c r="HF155" s="14"/>
      <x:c r="HG155" s="14"/>
      <x:c r="HH155" s="14"/>
      <x:c r="HI155" s="14"/>
      <x:c r="HJ155" s="14"/>
      <x:c r="HK155" s="14"/>
      <x:c r="HL155" s="14"/>
      <x:c r="HM155" s="14"/>
      <x:c r="HN155" s="14"/>
      <x:c r="HO155" s="14"/>
      <x:c r="HP155" s="14"/>
      <x:c r="HQ155" s="14"/>
      <x:c r="HR155" s="14"/>
      <x:c r="HS155" s="14"/>
      <x:c r="HT155" s="14"/>
      <x:c r="HU155" s="14"/>
      <x:c r="HV155" s="14"/>
      <x:c r="HW155" s="14"/>
      <x:c r="HX155" s="14"/>
      <x:c r="HY155" s="14"/>
      <x:c r="HZ155" s="14"/>
      <x:c r="IA155" s="14"/>
      <x:c r="IB155" s="14"/>
      <x:c r="IC155" s="14"/>
      <x:c r="ID155" s="14"/>
      <x:c r="IE155" s="14"/>
      <x:c r="IF155" s="14"/>
      <x:c r="IG155" s="14"/>
      <x:c r="IH155" s="14"/>
      <x:c r="II155" s="14"/>
      <x:c r="IJ155" s="14"/>
      <x:c r="IK155" s="14"/>
      <x:c r="IL155" s="14"/>
      <x:c r="IM155" s="14"/>
      <x:c r="IN155" s="14"/>
      <x:c r="IO155" s="14"/>
      <x:c r="IP155" s="14"/>
      <x:c r="IQ155" s="14"/>
      <x:c r="IR155" s="14"/>
      <x:c r="IS155" s="14"/>
      <x:c r="IT155" s="14"/>
      <x:c r="IU155" s="14"/>
      <x:c r="IV155" s="14"/>
      <x:c r="IW155" s="14"/>
      <x:c r="IX155" s="14"/>
      <x:c r="IY155" s="14"/>
      <x:c r="IZ155" s="14"/>
      <x:c r="JA155" s="14"/>
      <x:c r="JB155" s="14"/>
      <x:c r="JC155" s="14"/>
      <x:c r="JD155" s="14"/>
      <x:c r="JE155" s="14"/>
      <x:c r="JF155" s="14"/>
      <x:c r="JG155" s="14"/>
      <x:c r="JH155" s="14"/>
      <x:c r="JI155" s="14"/>
      <x:c r="JJ155" s="14"/>
      <x:c r="JK155" s="14"/>
      <x:c r="JL155" s="14"/>
      <x:c r="JM155" s="14"/>
      <x:c r="JN155" s="14"/>
      <x:c r="JO155" s="14"/>
      <x:c r="JP155" s="14"/>
      <x:c r="JQ155" s="14"/>
      <x:c r="JR155" s="14"/>
      <x:c r="JS155" s="14"/>
      <x:c r="JT155" s="14"/>
      <x:c r="JU155" s="14"/>
      <x:c r="JV155" s="14"/>
      <x:c r="JW155" s="14"/>
      <x:c r="JX155" s="14"/>
      <x:c r="JY155" s="14"/>
      <x:c r="JZ155" s="14"/>
      <x:c r="KA155" s="14"/>
      <x:c r="KB155" s="14"/>
      <x:c r="KC155" s="14"/>
      <x:c r="KD155" s="14"/>
      <x:c r="KE155" s="14"/>
      <x:c r="KF155" s="14"/>
      <x:c r="KG155" s="14"/>
      <x:c r="KH155" s="14"/>
      <x:c r="KI155" s="14"/>
      <x:c r="KJ155" s="14"/>
      <x:c r="KK155" s="14"/>
      <x:c r="KL155" s="14"/>
      <x:c r="KM155" s="14"/>
      <x:c r="KN155" s="14"/>
      <x:c r="KO155" s="14"/>
      <x:c r="KP155" s="14"/>
      <x:c r="KQ155" s="14"/>
      <x:c r="KR155" s="14"/>
      <x:c r="KS155" s="14"/>
      <x:c r="KT155" s="14"/>
      <x:c r="KU155" s="14"/>
      <x:c r="KV155" s="14"/>
      <x:c r="KW155" s="14"/>
      <x:c r="KX155" s="14"/>
      <x:c r="KY155" s="14"/>
      <x:c r="KZ155" s="14"/>
      <x:c r="LA155" s="14"/>
      <x:c r="LB155" s="14"/>
      <x:c r="LC155" s="14"/>
      <x:c r="LD155" s="14"/>
      <x:c r="LE155" s="14"/>
      <x:c r="LF155" s="14"/>
      <x:c r="LG155" s="14"/>
      <x:c r="LH155" s="14"/>
      <x:c r="LI155" s="14"/>
      <x:c r="LJ155" s="14"/>
      <x:c r="LK155" s="14"/>
      <x:c r="LL155" s="14"/>
      <x:c r="LM155" s="14"/>
      <x:c r="LN155" s="14"/>
      <x:c r="LO155" s="14"/>
      <x:c r="LP155" s="14"/>
      <x:c r="LQ155" s="14"/>
      <x:c r="LR155" s="14"/>
      <x:c r="LS155" s="14"/>
      <x:c r="LT155" s="14"/>
      <x:c r="LU155" s="14"/>
      <x:c r="LV155" s="14"/>
      <x:c r="LW155" s="14"/>
      <x:c r="LX155" s="14"/>
      <x:c r="LY155" s="14"/>
      <x:c r="LZ155" s="14"/>
      <x:c r="MA155" s="14"/>
      <x:c r="MB155" s="14"/>
      <x:c r="MC155" s="14"/>
      <x:c r="MD155" s="14"/>
      <x:c r="ME155" s="14"/>
      <x:c r="MF155" s="14"/>
      <x:c r="MG155" s="14"/>
      <x:c r="MH155" s="14"/>
      <x:c r="MI155" s="14"/>
      <x:c r="MJ155" s="14"/>
      <x:c r="MK155" s="14"/>
      <x:c r="ML155" s="14"/>
      <x:c r="MM155" s="14"/>
      <x:c r="MN155" s="14"/>
      <x:c r="MO155" s="14"/>
      <x:c r="MP155" s="14"/>
      <x:c r="MQ155" s="14"/>
      <x:c r="MR155" s="14"/>
      <x:c r="MS155" s="14"/>
      <x:c r="MT155" s="14"/>
      <x:c r="MU155" s="14"/>
      <x:c r="MV155" s="14"/>
      <x:c r="MW155" s="14"/>
      <x:c r="MX155" s="14"/>
      <x:c r="MY155" s="14"/>
      <x:c r="MZ155" s="14"/>
      <x:c r="NA155" s="14"/>
      <x:c r="NB155" s="14"/>
      <x:c r="NC155" s="14"/>
      <x:c r="ND155" s="14"/>
      <x:c r="NE155" s="14"/>
      <x:c r="NF155" s="14"/>
      <x:c r="NG155" s="14"/>
      <x:c r="NH155" s="14"/>
      <x:c r="NI155" s="14"/>
      <x:c r="NJ155" s="14"/>
      <x:c r="NK155" s="14"/>
      <x:c r="NL155" s="14"/>
      <x:c r="NM155" s="14"/>
      <x:c r="NN155" s="14"/>
      <x:c r="NO155" s="14"/>
      <x:c r="NP155" s="14"/>
      <x:c r="NQ155" s="14"/>
      <x:c r="NR155" s="14"/>
      <x:c r="NS155" s="14"/>
      <x:c r="NT155" s="14"/>
      <x:c r="NU155" s="14"/>
      <x:c r="NV155" s="14"/>
      <x:c r="NW155" s="14"/>
      <x:c r="NX155" s="14"/>
      <x:c r="NY155" s="14" t="str">
        <x:v>31297</x:v>
      </x:c>
      <x:c r="NZ155" s="14" t="n">
        <x:v>10</x:v>
      </x:c>
      <x:c r="OA155" s="14" t="n">
        <x:v>2622</x:v>
      </x:c>
      <x:c r="OB155" s="14" t="n">
        <x:v>521</x:v>
      </x:c>
      <x:c r="OC155" s="14" t="n">
        <x:v>11</x:v>
      </x:c>
      <x:c r="OD155" s="14" t="n">
        <x:v>1</x:v>
      </x:c>
      <x:c r="OE155" s="14" t="str">
        <x:v>未收錄</x:v>
      </x:c>
      <x:c r="OF155" s="14" t="str">
        <x:v>31317</x:v>
      </x:c>
      <x:c r="OG155" s="14" t="n">
        <x:v>10</x:v>
      </x:c>
      <x:c r="OH155" s="14" t="n">
        <x:v>2623</x:v>
      </x:c>
      <x:c r="OI155" s="14" t="n">
        <x:v>522</x:v>
      </x:c>
      <x:c r="OJ155" s="14" t="n">
        <x:v>11</x:v>
      </x:c>
      <x:c r="OK155" s="14" t="n">
        <x:v>2</x:v>
      </x:c>
      <x:c r="OL155" s="14" t="str">
        <x:v>未收錄</x:v>
      </x:c>
      <x:c r="OM155" s="14" t="str">
        <x:v>31178</x:v>
      </x:c>
      <x:c r="ON155" s="14" t="n">
        <x:v>5</x:v>
      </x:c>
      <x:c r="OO155" s="14" t="n">
        <x:v>2624</x:v>
      </x:c>
      <x:c r="OP155" s="14" t="n">
        <x:v>523</x:v>
      </x:c>
      <x:c r="OQ155" s="14" t="n">
        <x:v>11</x:v>
      </x:c>
      <x:c r="OR155" s="14" t="n">
        <x:v>3</x:v>
      </x:c>
      <x:c r="OS155" s="14" t="str">
        <x:v>未收錄</x:v>
      </x:c>
      <x:c r="OT155" s="14" t="str">
        <x:v>31183</x:v>
      </x:c>
      <x:c r="OU155" s="14" t="n">
        <x:v>5</x:v>
      </x:c>
      <x:c r="OV155" s="14" t="n">
        <x:v>2625</x:v>
      </x:c>
      <x:c r="OW155" s="14" t="n">
        <x:v>524</x:v>
      </x:c>
      <x:c r="OX155" s="14" t="n">
        <x:v>11</x:v>
      </x:c>
      <x:c r="OY155" s="14" t="n">
        <x:v>4</x:v>
      </x:c>
      <x:c r="OZ155" s="14" t="str">
        <x:v>未收錄</x:v>
      </x:c>
      <x:c r="PA155" s="14"/>
      <x:c r="PB155" s="14"/>
      <x:c r="PC155" s="14"/>
      <x:c r="PD155" s="14"/>
      <x:c r="PE155" s="14"/>
      <x:c r="PF155" s="14"/>
      <x:c r="PG155" s="14"/>
      <x:c r="PH155" s="14"/>
      <x:c r="PI155" s="14"/>
      <x:c r="PJ155" s="14"/>
      <x:c r="PK155" s="14"/>
      <x:c r="PL155" s="14"/>
      <x:c r="PM155" s="14"/>
      <x:c r="PN155" s="14"/>
      <x:c r="PO155" s="14"/>
      <x:c r="PP155" s="14"/>
      <x:c r="PQ155" s="14"/>
      <x:c r="PR155" s="14"/>
      <x:c r="PS155" s="14"/>
      <x:c r="PT155" s="14"/>
      <x:c r="PU155" s="14"/>
      <x:c r="PV155" s="14"/>
      <x:c r="PW155" s="14"/>
      <x:c r="PX155" s="14"/>
      <x:c r="PY155" s="14"/>
      <x:c r="PZ155" s="14"/>
      <x:c r="QA155" s="14"/>
      <x:c r="QB155" s="14"/>
      <x:c r="QC155" s="14"/>
      <x:c r="QD155" s="14"/>
      <x:c r="QE155" s="14"/>
      <x:c r="QF155" s="14"/>
      <x:c r="QG155" s="14"/>
      <x:c r="QH155" s="14"/>
      <x:c r="QI155" s="14"/>
      <x:c r="QJ155" s="14"/>
      <x:c r="QK155" s="14"/>
      <x:c r="QL155" s="14"/>
      <x:c r="QM155" s="14"/>
      <x:c r="QN155" s="14"/>
      <x:c r="QO155" s="14"/>
      <x:c r="QP155" s="14"/>
      <x:c r="QQ155" s="14"/>
      <x:c r="QR155" s="14"/>
      <x:c r="QS155" s="14"/>
      <x:c r="QT155" s="14"/>
      <x:c r="QU155" s="14"/>
      <x:c r="QV155" s="14"/>
      <x:c r="QW155" s="14"/>
      <x:c r="QX155" s="14"/>
      <x:c r="QY155" s="14"/>
      <x:c r="QZ155" s="14"/>
      <x:c r="RA155" s="14"/>
      <x:c r="RB155" s="14"/>
      <x:c r="RC155" s="14"/>
      <x:c r="RD155" s="14"/>
      <x:c r="RE155" s="14"/>
      <x:c r="RF155" s="14"/>
      <x:c r="RG155" s="14"/>
      <x:c r="RH155" s="14"/>
      <x:c r="RI155" s="14"/>
      <x:c r="RJ155" s="14"/>
      <x:c r="RK155" s="14"/>
      <x:c r="RL155" s="14"/>
      <x:c r="RM155" s="14"/>
      <x:c r="RN155" s="14"/>
      <x:c r="RO155" s="14"/>
      <x:c r="RP155" s="14"/>
      <x:c r="RQ155" s="14"/>
      <x:c r="RR155" s="14"/>
      <x:c r="RS155" s="14"/>
      <x:c r="RT155" s="14"/>
      <x:c r="RU155" s="14"/>
      <x:c r="RV155" s="14"/>
      <x:c r="RW155" s="14"/>
      <x:c r="RX155" s="14"/>
      <x:c r="RY155" s="14"/>
      <x:c r="RZ155" s="14"/>
      <x:c r="SA155" s="14"/>
      <x:c r="SB155" s="14"/>
      <x:c r="SC155" s="14"/>
      <x:c r="SD155" s="14"/>
      <x:c r="SE155" s="14"/>
      <x:c r="SF155" s="14"/>
      <x:c r="SG155" s="14"/>
      <x:c r="SH155" s="14"/>
      <x:c r="SI155" s="14"/>
      <x:c r="SJ155" s="14"/>
      <x:c r="SK155" s="14"/>
      <x:c r="SL155" s="14"/>
      <x:c r="SM155" s="14"/>
      <x:c r="SN155" s="14"/>
      <x:c r="SO155" s="14"/>
      <x:c r="SP155" s="14"/>
      <x:c r="SQ155" s="14"/>
      <x:c r="SR155" s="14"/>
      <x:c r="SS155" s="14"/>
      <x:c r="ST155" s="14"/>
      <x:c r="SU155" s="14"/>
      <x:c r="SV155" s="14"/>
      <x:c r="SW155" s="14"/>
      <x:c r="SX155" s="14"/>
      <x:c r="SY155" s="14"/>
      <x:c r="SZ155" s="14"/>
      <x:c r="TA155" s="14"/>
      <x:c r="TB155" s="14"/>
      <x:c r="TC155" s="14"/>
      <x:c r="TD155" s="14"/>
      <x:c r="TE155" s="14"/>
      <x:c r="TF155" s="14"/>
      <x:c r="TG155" s="14"/>
      <x:c r="TH155" s="14"/>
    </x:row>
    <x:row r="156" ht="15" customHeight="1">
      <x:c r="A156" s="14"/>
      <x:c r="B156" s="14"/>
      <x:c r="C156" s="14"/>
      <x:c r="D156" s="14"/>
      <x:c r="E156" s="14"/>
      <x:c r="F156" s="14"/>
      <x:c r="G156" s="14"/>
      <x:c r="H156" s="14"/>
      <x:c r="I156" s="14"/>
      <x:c r="J156" s="14"/>
      <x:c r="K156" s="14"/>
      <x:c r="L156" s="14"/>
      <x:c r="M156" s="14"/>
      <x:c r="N156" s="14"/>
      <x:c r="O156" s="14"/>
      <x:c r="P156" s="14"/>
      <x:c r="Q156" s="14"/>
      <x:c r="R156" s="14"/>
      <x:c r="S156" s="14"/>
      <x:c r="T156" s="14"/>
      <x:c r="U156" s="14"/>
      <x:c r="V156" s="14"/>
      <x:c r="W156" s="14"/>
      <x:c r="X156" s="14"/>
      <x:c r="Y156" s="14"/>
      <x:c r="Z156" s="14"/>
      <x:c r="AA156" s="14"/>
      <x:c r="AB156" s="14"/>
      <x:c r="AC156" s="14"/>
      <x:c r="AD156" s="14"/>
      <x:c r="AE156" s="14"/>
      <x:c r="AF156" s="14"/>
      <x:c r="AG156" s="14"/>
      <x:c r="AH156" s="14"/>
      <x:c r="AI156" s="14"/>
      <x:c r="AJ156" s="14"/>
      <x:c r="AK156" s="14"/>
      <x:c r="AL156" s="14"/>
      <x:c r="AM156" s="14"/>
      <x:c r="AN156" s="14"/>
      <x:c r="AO156" s="14"/>
      <x:c r="AP156" s="14"/>
      <x:c r="AQ156" s="14"/>
      <x:c r="AR156" s="14"/>
      <x:c r="AS156" s="14"/>
      <x:c r="AT156" s="14"/>
      <x:c r="AU156" s="14"/>
      <x:c r="AV156" s="14"/>
      <x:c r="AW156" s="14"/>
      <x:c r="AX156" s="14"/>
      <x:c r="AY156" s="14"/>
      <x:c r="AZ156" s="14"/>
      <x:c r="BA156" s="14"/>
      <x:c r="BB156" s="14"/>
      <x:c r="BC156" s="14"/>
      <x:c r="BD156" s="18" t="str">
        <x:v>光術旋披Ⅲ</x:v>
      </x:c>
      <x:c r="BE156" s="18" t="str">
        <x:v>辰道玄袍Ⅲ</x:v>
      </x:c>
      <x:c r="BF156" s="18" t="str">
        <x:v>寂禪鎏裟Ⅲ</x:v>
      </x:c>
      <x:c r="BG156" s="18" t="str">
        <x:v>騰陽雄鎧Ⅲ</x:v>
      </x:c>
      <x:c r="BH156" s="14"/>
      <x:c r="BI156" s="14"/>
      <x:c r="BJ156" s="14"/>
      <x:c r="BK156" s="14"/>
      <x:c r="BL156" s="14"/>
      <x:c r="BM156" s="14"/>
      <x:c r="BN156" s="14"/>
      <x:c r="BO156" s="14"/>
      <x:c r="BP156" s="14"/>
      <x:c r="BQ156" s="14"/>
      <x:c r="BR156" s="14"/>
      <x:c r="BS156" s="14"/>
      <x:c r="BT156" s="14"/>
      <x:c r="BU156" s="14"/>
      <x:c r="BV156" s="14"/>
      <x:c r="BW156" s="14"/>
      <x:c r="BX156" s="14"/>
      <x:c r="BY156" s="14"/>
      <x:c r="BZ156" s="14"/>
      <x:c r="CA156" s="14"/>
      <x:c r="CB156" s="14"/>
      <x:c r="CC156" s="14"/>
      <x:c r="CD156" s="14"/>
      <x:c r="CE156" s="14"/>
      <x:c r="CF156" s="14"/>
      <x:c r="CG156" s="14"/>
      <x:c r="CH156" s="14"/>
      <x:c r="CI156" s="14"/>
      <x:c r="CJ156" s="14"/>
      <x:c r="CK156" s="14"/>
      <x:c r="CL156" s="14"/>
      <x:c r="CM156" s="14"/>
      <x:c r="CN156" s="14"/>
      <x:c r="CO156" s="14"/>
      <x:c r="CP156" s="14"/>
      <x:c r="CQ156" s="14"/>
      <x:c r="CR156" s="14"/>
      <x:c r="CS156" s="14"/>
      <x:c r="CT156" s="14"/>
      <x:c r="CU156" s="14"/>
      <x:c r="CV156" s="14"/>
      <x:c r="CW156" s="14"/>
      <x:c r="CX156" s="14"/>
      <x:c r="CY156" s="14"/>
      <x:c r="CZ156" s="14"/>
      <x:c r="DA156" s="14"/>
      <x:c r="DB156" s="14"/>
      <x:c r="DC156" s="14"/>
      <x:c r="DD156" s="14"/>
      <x:c r="DE156" s="14"/>
      <x:c r="DF156" s="14"/>
      <x:c r="DG156" s="14"/>
      <x:c r="DH156" s="14"/>
      <x:c r="DI156" s="14"/>
      <x:c r="DJ156" s="14"/>
      <x:c r="DK156" s="14"/>
      <x:c r="DL156" s="14"/>
      <x:c r="DM156" s="14"/>
      <x:c r="DN156" s="14"/>
      <x:c r="DO156" s="14"/>
      <x:c r="DP156" s="14"/>
      <x:c r="DQ156" s="14"/>
      <x:c r="DR156" s="14"/>
      <x:c r="DS156" s="14"/>
      <x:c r="DT156" s="14"/>
      <x:c r="DU156" s="14"/>
      <x:c r="DV156" s="14"/>
      <x:c r="DW156" s="14"/>
      <x:c r="DX156" s="14"/>
      <x:c r="DY156" s="14"/>
      <x:c r="DZ156" s="14"/>
      <x:c r="EA156" s="14"/>
      <x:c r="EB156" s="14"/>
      <x:c r="EC156" s="14"/>
      <x:c r="ED156" s="14"/>
      <x:c r="EE156" s="14"/>
      <x:c r="EF156" s="14"/>
      <x:c r="EG156" s="14"/>
      <x:c r="EH156" s="14"/>
      <x:c r="EI156" s="14"/>
      <x:c r="EJ156" s="14"/>
      <x:c r="EK156" s="14"/>
      <x:c r="EL156" s="14"/>
      <x:c r="EM156" s="14"/>
      <x:c r="EN156" s="14"/>
      <x:c r="EO156" s="14"/>
      <x:c r="EP156" s="14"/>
      <x:c r="EQ156" s="14"/>
      <x:c r="ER156" s="14"/>
      <x:c r="ES156" s="14"/>
      <x:c r="ET156" s="14"/>
      <x:c r="EU156" s="14"/>
      <x:c r="EV156" s="14"/>
      <x:c r="EW156" s="14"/>
      <x:c r="EX156" s="14"/>
      <x:c r="EY156" s="14"/>
      <x:c r="EZ156" s="14"/>
      <x:c r="FA156" s="14"/>
      <x:c r="FB156" s="14"/>
      <x:c r="FC156" s="14"/>
      <x:c r="FD156" s="14"/>
      <x:c r="FE156" s="14"/>
      <x:c r="FF156" s="14"/>
      <x:c r="FG156" s="14"/>
      <x:c r="FH156" s="14"/>
      <x:c r="FI156" s="14"/>
      <x:c r="FJ156" s="14"/>
      <x:c r="FK156" s="14"/>
      <x:c r="FL156" s="14"/>
      <x:c r="FM156" s="14"/>
      <x:c r="FN156" s="14"/>
      <x:c r="FO156" s="14"/>
      <x:c r="FP156" s="14"/>
      <x:c r="FQ156" s="14"/>
      <x:c r="FR156" s="14"/>
      <x:c r="FS156" s="14"/>
      <x:c r="FT156" s="14"/>
      <x:c r="FU156" s="14"/>
      <x:c r="FV156" s="14"/>
      <x:c r="FW156" s="14"/>
      <x:c r="FX156" s="14"/>
      <x:c r="FY156" s="14"/>
      <x:c r="FZ156" s="14"/>
      <x:c r="GA156" s="14"/>
      <x:c r="GB156" s="14"/>
      <x:c r="GC156" s="14"/>
      <x:c r="GD156" s="14"/>
      <x:c r="GE156" s="14"/>
      <x:c r="GF156" s="14"/>
      <x:c r="GG156" s="14"/>
      <x:c r="GH156" s="14"/>
      <x:c r="GI156" s="14"/>
      <x:c r="GJ156" s="14"/>
      <x:c r="GK156" s="14"/>
      <x:c r="GL156" s="14"/>
      <x:c r="GM156" s="14"/>
      <x:c r="GN156" s="14"/>
      <x:c r="GO156" s="14"/>
      <x:c r="GP156" s="14"/>
      <x:c r="GQ156" s="14"/>
      <x:c r="GR156" s="14"/>
      <x:c r="GS156" s="14"/>
      <x:c r="GT156" s="14"/>
      <x:c r="GU156" s="14"/>
      <x:c r="GV156" s="14"/>
      <x:c r="GW156" s="14"/>
      <x:c r="GX156" s="14"/>
      <x:c r="GY156" s="14"/>
      <x:c r="GZ156" s="14"/>
      <x:c r="HA156" s="14"/>
      <x:c r="HB156" s="14"/>
      <x:c r="HC156" s="14"/>
      <x:c r="HD156" s="14"/>
      <x:c r="HE156" s="14"/>
      <x:c r="HF156" s="14"/>
      <x:c r="HG156" s="14"/>
      <x:c r="HH156" s="14"/>
      <x:c r="HI156" s="14"/>
      <x:c r="HJ156" s="14"/>
      <x:c r="HK156" s="14"/>
      <x:c r="HL156" s="14"/>
      <x:c r="HM156" s="14"/>
      <x:c r="HN156" s="14"/>
      <x:c r="HO156" s="14"/>
      <x:c r="HP156" s="14"/>
      <x:c r="HQ156" s="14"/>
      <x:c r="HR156" s="14"/>
      <x:c r="HS156" s="14"/>
      <x:c r="HT156" s="14"/>
      <x:c r="HU156" s="14"/>
      <x:c r="HV156" s="14"/>
      <x:c r="HW156" s="14"/>
      <x:c r="HX156" s="14"/>
      <x:c r="HY156" s="14"/>
      <x:c r="HZ156" s="14"/>
      <x:c r="IA156" s="14"/>
      <x:c r="IB156" s="14"/>
      <x:c r="IC156" s="14"/>
      <x:c r="ID156" s="14"/>
      <x:c r="IE156" s="14"/>
      <x:c r="IF156" s="14"/>
      <x:c r="IG156" s="14"/>
      <x:c r="IH156" s="14"/>
      <x:c r="II156" s="14"/>
      <x:c r="IJ156" s="14"/>
      <x:c r="IK156" s="14"/>
      <x:c r="IL156" s="14"/>
      <x:c r="IM156" s="14"/>
      <x:c r="IN156" s="14"/>
      <x:c r="IO156" s="14"/>
      <x:c r="IP156" s="14"/>
      <x:c r="IQ156" s="14"/>
      <x:c r="IR156" s="14"/>
      <x:c r="IS156" s="14"/>
      <x:c r="IT156" s="14"/>
      <x:c r="IU156" s="14"/>
      <x:c r="IV156" s="14"/>
      <x:c r="IW156" s="14"/>
      <x:c r="IX156" s="14"/>
      <x:c r="IY156" s="14"/>
      <x:c r="IZ156" s="14"/>
      <x:c r="JA156" s="14"/>
      <x:c r="JB156" s="14"/>
      <x:c r="JC156" s="14"/>
      <x:c r="JD156" s="14"/>
      <x:c r="JE156" s="14"/>
      <x:c r="JF156" s="14"/>
      <x:c r="JG156" s="14"/>
      <x:c r="JH156" s="14"/>
      <x:c r="JI156" s="14"/>
      <x:c r="JJ156" s="14"/>
      <x:c r="JK156" s="14"/>
      <x:c r="JL156" s="14"/>
      <x:c r="JM156" s="14"/>
      <x:c r="JN156" s="14"/>
      <x:c r="JO156" s="14"/>
      <x:c r="JP156" s="14"/>
      <x:c r="JQ156" s="14"/>
      <x:c r="JR156" s="14"/>
      <x:c r="JS156" s="14"/>
      <x:c r="JT156" s="14"/>
      <x:c r="JU156" s="14"/>
      <x:c r="JV156" s="14"/>
      <x:c r="JW156" s="14"/>
      <x:c r="JX156" s="14"/>
      <x:c r="JY156" s="14"/>
      <x:c r="JZ156" s="14"/>
      <x:c r="KA156" s="14"/>
      <x:c r="KB156" s="14"/>
      <x:c r="KC156" s="14"/>
      <x:c r="KD156" s="14"/>
      <x:c r="KE156" s="14"/>
      <x:c r="KF156" s="14"/>
      <x:c r="KG156" s="14"/>
      <x:c r="KH156" s="14"/>
      <x:c r="KI156" s="14"/>
      <x:c r="KJ156" s="14"/>
      <x:c r="KK156" s="14"/>
      <x:c r="KL156" s="14"/>
      <x:c r="KM156" s="14"/>
      <x:c r="KN156" s="14"/>
      <x:c r="KO156" s="14"/>
      <x:c r="KP156" s="14"/>
      <x:c r="KQ156" s="14"/>
      <x:c r="KR156" s="14"/>
      <x:c r="KS156" s="14"/>
      <x:c r="KT156" s="14"/>
      <x:c r="KU156" s="14"/>
      <x:c r="KV156" s="14"/>
      <x:c r="KW156" s="14"/>
      <x:c r="KX156" s="14"/>
      <x:c r="KY156" s="14"/>
      <x:c r="KZ156" s="14"/>
      <x:c r="LA156" s="14"/>
      <x:c r="LB156" s="14"/>
      <x:c r="LC156" s="14"/>
      <x:c r="LD156" s="14"/>
      <x:c r="LE156" s="14"/>
      <x:c r="LF156" s="14"/>
      <x:c r="LG156" s="14"/>
      <x:c r="LH156" s="14"/>
      <x:c r="LI156" s="14"/>
      <x:c r="LJ156" s="14"/>
      <x:c r="LK156" s="14"/>
      <x:c r="LL156" s="14"/>
      <x:c r="LM156" s="14"/>
      <x:c r="LN156" s="14"/>
      <x:c r="LO156" s="14"/>
      <x:c r="LP156" s="14"/>
      <x:c r="LQ156" s="14"/>
      <x:c r="LR156" s="14"/>
      <x:c r="LS156" s="14"/>
      <x:c r="LT156" s="14"/>
      <x:c r="LU156" s="14"/>
      <x:c r="LV156" s="14"/>
      <x:c r="LW156" s="14"/>
      <x:c r="LX156" s="14"/>
      <x:c r="LY156" s="14"/>
      <x:c r="LZ156" s="14"/>
      <x:c r="MA156" s="14"/>
      <x:c r="MB156" s="14"/>
      <x:c r="MC156" s="14"/>
      <x:c r="MD156" s="14"/>
      <x:c r="ME156" s="14"/>
      <x:c r="MF156" s="14"/>
      <x:c r="MG156" s="14"/>
      <x:c r="MH156" s="14"/>
      <x:c r="MI156" s="14"/>
      <x:c r="MJ156" s="14"/>
      <x:c r="MK156" s="14"/>
      <x:c r="ML156" s="14"/>
      <x:c r="MM156" s="14"/>
      <x:c r="MN156" s="14"/>
      <x:c r="MO156" s="14"/>
      <x:c r="MP156" s="14"/>
      <x:c r="MQ156" s="14"/>
      <x:c r="MR156" s="14"/>
      <x:c r="MS156" s="14"/>
      <x:c r="MT156" s="14"/>
      <x:c r="MU156" s="14"/>
      <x:c r="MV156" s="14"/>
      <x:c r="MW156" s="14"/>
      <x:c r="MX156" s="14"/>
      <x:c r="MY156" s="14"/>
      <x:c r="MZ156" s="14"/>
      <x:c r="NA156" s="14"/>
      <x:c r="NB156" s="14"/>
      <x:c r="NC156" s="14"/>
      <x:c r="ND156" s="14"/>
      <x:c r="NE156" s="14"/>
      <x:c r="NF156" s="14"/>
      <x:c r="NG156" s="14"/>
      <x:c r="NH156" s="14"/>
      <x:c r="NI156" s="14"/>
      <x:c r="NJ156" s="14"/>
      <x:c r="NK156" s="14"/>
      <x:c r="NL156" s="14"/>
      <x:c r="NM156" s="14"/>
      <x:c r="NN156" s="14"/>
      <x:c r="NO156" s="14"/>
      <x:c r="NP156" s="14"/>
      <x:c r="NQ156" s="14"/>
      <x:c r="NR156" s="14"/>
      <x:c r="NS156" s="14"/>
      <x:c r="NT156" s="14"/>
      <x:c r="NU156" s="14"/>
      <x:c r="NV156" s="14"/>
      <x:c r="NW156" s="14"/>
      <x:c r="NX156" s="14"/>
      <x:c r="NY156" s="14" t="str">
        <x:v>31188</x:v>
      </x:c>
      <x:c r="NZ156" s="14" t="n">
        <x:v>5</x:v>
      </x:c>
      <x:c r="OA156" s="14" t="n">
        <x:v>2626</x:v>
      </x:c>
      <x:c r="OB156" s="14" t="n">
        <x:v>525</x:v>
      </x:c>
      <x:c r="OC156" s="14" t="n">
        <x:v>12</x:v>
      </x:c>
      <x:c r="OD156" s="14" t="n">
        <x:v>1</x:v>
      </x:c>
      <x:c r="OE156" s="14" t="str">
        <x:v>未收錄</x:v>
      </x:c>
      <x:c r="OF156" s="14" t="str">
        <x:v>31193</x:v>
      </x:c>
      <x:c r="OG156" s="14" t="n">
        <x:v>5</x:v>
      </x:c>
      <x:c r="OH156" s="14" t="n">
        <x:v>2627</x:v>
      </x:c>
      <x:c r="OI156" s="14" t="n">
        <x:v>526</x:v>
      </x:c>
      <x:c r="OJ156" s="14" t="n">
        <x:v>12</x:v>
      </x:c>
      <x:c r="OK156" s="14" t="n">
        <x:v>2</x:v>
      </x:c>
      <x:c r="OL156" s="14" t="str">
        <x:v>未收錄</x:v>
      </x:c>
      <x:c r="OM156" s="14" t="str">
        <x:v>31198</x:v>
      </x:c>
      <x:c r="ON156" s="14" t="n">
        <x:v>5</x:v>
      </x:c>
      <x:c r="OO156" s="14" t="n">
        <x:v>2628</x:v>
      </x:c>
      <x:c r="OP156" s="14" t="n">
        <x:v>527</x:v>
      </x:c>
      <x:c r="OQ156" s="14" t="n">
        <x:v>12</x:v>
      </x:c>
      <x:c r="OR156" s="14" t="n">
        <x:v>3</x:v>
      </x:c>
      <x:c r="OS156" s="14" t="str">
        <x:v>未收錄</x:v>
      </x:c>
      <x:c r="OT156" s="14" t="str">
        <x:v>31278</x:v>
      </x:c>
      <x:c r="OU156" s="14" t="n">
        <x:v>10</x:v>
      </x:c>
      <x:c r="OV156" s="14" t="n">
        <x:v>2629</x:v>
      </x:c>
      <x:c r="OW156" s="14" t="n">
        <x:v>528</x:v>
      </x:c>
      <x:c r="OX156" s="14" t="n">
        <x:v>12</x:v>
      </x:c>
      <x:c r="OY156" s="14" t="n">
        <x:v>4</x:v>
      </x:c>
      <x:c r="OZ156" s="14" t="str">
        <x:v>未收錄</x:v>
      </x:c>
      <x:c r="PA156" s="14"/>
      <x:c r="PB156" s="14"/>
      <x:c r="PC156" s="14"/>
      <x:c r="PD156" s="14"/>
      <x:c r="PE156" s="14"/>
      <x:c r="PF156" s="14"/>
      <x:c r="PG156" s="14"/>
      <x:c r="PH156" s="14"/>
      <x:c r="PI156" s="14"/>
      <x:c r="PJ156" s="14"/>
      <x:c r="PK156" s="14"/>
      <x:c r="PL156" s="14"/>
      <x:c r="PM156" s="14"/>
      <x:c r="PN156" s="14"/>
      <x:c r="PO156" s="14"/>
      <x:c r="PP156" s="14"/>
      <x:c r="PQ156" s="14"/>
      <x:c r="PR156" s="14"/>
      <x:c r="PS156" s="14"/>
      <x:c r="PT156" s="14"/>
      <x:c r="PU156" s="14"/>
      <x:c r="PV156" s="14"/>
      <x:c r="PW156" s="14"/>
      <x:c r="PX156" s="14"/>
      <x:c r="PY156" s="14"/>
      <x:c r="PZ156" s="14"/>
      <x:c r="QA156" s="14"/>
      <x:c r="QB156" s="14"/>
      <x:c r="QC156" s="14"/>
      <x:c r="QD156" s="14"/>
      <x:c r="QE156" s="14"/>
      <x:c r="QF156" s="14"/>
      <x:c r="QG156" s="14"/>
      <x:c r="QH156" s="14"/>
      <x:c r="QI156" s="14"/>
      <x:c r="QJ156" s="14"/>
      <x:c r="QK156" s="14"/>
      <x:c r="QL156" s="14"/>
      <x:c r="QM156" s="14"/>
      <x:c r="QN156" s="14"/>
      <x:c r="QO156" s="14"/>
      <x:c r="QP156" s="14"/>
      <x:c r="QQ156" s="14"/>
      <x:c r="QR156" s="14"/>
      <x:c r="QS156" s="14"/>
      <x:c r="QT156" s="14"/>
      <x:c r="QU156" s="14"/>
      <x:c r="QV156" s="14"/>
      <x:c r="QW156" s="14"/>
      <x:c r="QX156" s="14"/>
      <x:c r="QY156" s="14"/>
      <x:c r="QZ156" s="14"/>
      <x:c r="RA156" s="14"/>
      <x:c r="RB156" s="14"/>
      <x:c r="RC156" s="14"/>
      <x:c r="RD156" s="14"/>
      <x:c r="RE156" s="14"/>
      <x:c r="RF156" s="14"/>
      <x:c r="RG156" s="14"/>
      <x:c r="RH156" s="14"/>
      <x:c r="RI156" s="14"/>
      <x:c r="RJ156" s="14"/>
      <x:c r="RK156" s="14"/>
      <x:c r="RL156" s="14"/>
      <x:c r="RM156" s="14"/>
      <x:c r="RN156" s="14"/>
      <x:c r="RO156" s="14"/>
      <x:c r="RP156" s="14"/>
      <x:c r="RQ156" s="14"/>
      <x:c r="RR156" s="14"/>
      <x:c r="RS156" s="14"/>
      <x:c r="RT156" s="14"/>
      <x:c r="RU156" s="14"/>
      <x:c r="RV156" s="14"/>
      <x:c r="RW156" s="14"/>
      <x:c r="RX156" s="14"/>
      <x:c r="RY156" s="14"/>
      <x:c r="RZ156" s="14"/>
      <x:c r="SA156" s="14"/>
      <x:c r="SB156" s="14"/>
      <x:c r="SC156" s="14"/>
      <x:c r="SD156" s="14"/>
      <x:c r="SE156" s="14"/>
      <x:c r="SF156" s="14"/>
      <x:c r="SG156" s="14"/>
      <x:c r="SH156" s="14"/>
      <x:c r="SI156" s="14"/>
      <x:c r="SJ156" s="14"/>
      <x:c r="SK156" s="14"/>
      <x:c r="SL156" s="14"/>
      <x:c r="SM156" s="14"/>
      <x:c r="SN156" s="14"/>
      <x:c r="SO156" s="14"/>
      <x:c r="SP156" s="14"/>
      <x:c r="SQ156" s="14"/>
      <x:c r="SR156" s="14"/>
      <x:c r="SS156" s="14"/>
      <x:c r="ST156" s="14"/>
      <x:c r="SU156" s="14"/>
      <x:c r="SV156" s="14"/>
      <x:c r="SW156" s="14"/>
      <x:c r="SX156" s="14"/>
      <x:c r="SY156" s="14"/>
      <x:c r="SZ156" s="14"/>
      <x:c r="TA156" s="14"/>
      <x:c r="TB156" s="14"/>
      <x:c r="TC156" s="14"/>
      <x:c r="TD156" s="14"/>
      <x:c r="TE156" s="14"/>
      <x:c r="TF156" s="14"/>
      <x:c r="TG156" s="14"/>
      <x:c r="TH156" s="14"/>
    </x:row>
    <x:row r="157" ht="15" customHeight="1">
      <x:c r="A157" s="14"/>
      <x:c r="B157" s="14"/>
      <x:c r="C157" s="14"/>
      <x:c r="D157" s="14"/>
      <x:c r="E157" s="14"/>
      <x:c r="F157" s="14"/>
      <x:c r="G157" s="14"/>
      <x:c r="H157" s="14"/>
      <x:c r="I157" s="14"/>
      <x:c r="J157" s="14"/>
      <x:c r="K157" s="14"/>
      <x:c r="L157" s="14"/>
      <x:c r="M157" s="14"/>
      <x:c r="N157" s="14"/>
      <x:c r="O157" s="14"/>
      <x:c r="P157" s="14"/>
      <x:c r="Q157" s="14"/>
      <x:c r="R157" s="14"/>
      <x:c r="S157" s="14"/>
      <x:c r="T157" s="14"/>
      <x:c r="U157" s="14"/>
      <x:c r="V157" s="14"/>
      <x:c r="W157" s="14"/>
      <x:c r="X157" s="14"/>
      <x:c r="Y157" s="14"/>
      <x:c r="Z157" s="14"/>
      <x:c r="AA157" s="14"/>
      <x:c r="AB157" s="14"/>
      <x:c r="AC157" s="14"/>
      <x:c r="AD157" s="14"/>
      <x:c r="AE157" s="14"/>
      <x:c r="AF157" s="14"/>
      <x:c r="AG157" s="14"/>
      <x:c r="AH157" s="14"/>
      <x:c r="AI157" s="14"/>
      <x:c r="AJ157" s="14"/>
      <x:c r="AK157" s="14"/>
      <x:c r="AL157" s="14"/>
      <x:c r="AM157" s="14"/>
      <x:c r="AN157" s="14"/>
      <x:c r="AO157" s="14"/>
      <x:c r="AP157" s="14"/>
      <x:c r="AQ157" s="14"/>
      <x:c r="AR157" s="14"/>
      <x:c r="AS157" s="14"/>
      <x:c r="AT157" s="14"/>
      <x:c r="AU157" s="14"/>
      <x:c r="AV157" s="14"/>
      <x:c r="AW157" s="14"/>
      <x:c r="AX157" s="14"/>
      <x:c r="AY157" s="14"/>
      <x:c r="AZ157" s="14"/>
      <x:c r="BA157" s="14"/>
      <x:c r="BB157" s="14"/>
      <x:c r="BC157" s="14"/>
      <x:c r="BD157" s="17" t="str">
        <x:v>凜月霜襟Ⅲ</x:v>
      </x:c>
      <x:c r="BE157" s="17" t="str">
        <x:v>舞星鈦甲Ⅲ</x:v>
      </x:c>
      <x:c r="BF157" s="17" t="str">
        <x:v>宇鋒颯衣Ⅳ</x:v>
      </x:c>
      <x:c r="BG157" s="17" t="str">
        <x:v>天衛宙甲Ⅳ</x:v>
      </x:c>
      <x:c r="BH157" s="14"/>
      <x:c r="BI157" s="14"/>
      <x:c r="BJ157" s="14"/>
      <x:c r="BK157" s="14"/>
      <x:c r="BL157" s="14"/>
      <x:c r="BM157" s="14"/>
      <x:c r="BN157" s="14"/>
      <x:c r="BO157" s="14"/>
      <x:c r="BP157" s="14"/>
      <x:c r="BQ157" s="14"/>
      <x:c r="BR157" s="14"/>
      <x:c r="BS157" s="14"/>
      <x:c r="BT157" s="14"/>
      <x:c r="BU157" s="14"/>
      <x:c r="BV157" s="14"/>
      <x:c r="BW157" s="14"/>
      <x:c r="BX157" s="14"/>
      <x:c r="BY157" s="14"/>
      <x:c r="BZ157" s="14"/>
      <x:c r="CA157" s="14"/>
      <x:c r="CB157" s="14"/>
      <x:c r="CC157" s="14"/>
      <x:c r="CD157" s="14"/>
      <x:c r="CE157" s="14"/>
      <x:c r="CF157" s="14"/>
      <x:c r="CG157" s="14"/>
      <x:c r="CH157" s="14"/>
      <x:c r="CI157" s="14"/>
      <x:c r="CJ157" s="14"/>
      <x:c r="CK157" s="14"/>
      <x:c r="CL157" s="14"/>
      <x:c r="CM157" s="14"/>
      <x:c r="CN157" s="14"/>
      <x:c r="CO157" s="14"/>
      <x:c r="CP157" s="14"/>
      <x:c r="CQ157" s="14"/>
      <x:c r="CR157" s="14"/>
      <x:c r="CS157" s="14"/>
      <x:c r="CT157" s="14"/>
      <x:c r="CU157" s="14"/>
      <x:c r="CV157" s="14"/>
      <x:c r="CW157" s="14"/>
      <x:c r="CX157" s="14"/>
      <x:c r="CY157" s="14"/>
      <x:c r="CZ157" s="14"/>
      <x:c r="DA157" s="14"/>
      <x:c r="DB157" s="14"/>
      <x:c r="DC157" s="14"/>
      <x:c r="DD157" s="14"/>
      <x:c r="DE157" s="14"/>
      <x:c r="DF157" s="14"/>
      <x:c r="DG157" s="14"/>
      <x:c r="DH157" s="14"/>
      <x:c r="DI157" s="14"/>
      <x:c r="DJ157" s="14"/>
      <x:c r="DK157" s="14"/>
      <x:c r="DL157" s="14"/>
      <x:c r="DM157" s="14"/>
      <x:c r="DN157" s="14"/>
      <x:c r="DO157" s="14"/>
      <x:c r="DP157" s="14"/>
      <x:c r="DQ157" s="14"/>
      <x:c r="DR157" s="14"/>
      <x:c r="DS157" s="14"/>
      <x:c r="DT157" s="14"/>
      <x:c r="DU157" s="14"/>
      <x:c r="DV157" s="14"/>
      <x:c r="DW157" s="14"/>
      <x:c r="DX157" s="14"/>
      <x:c r="DY157" s="14"/>
      <x:c r="DZ157" s="14"/>
      <x:c r="EA157" s="14"/>
      <x:c r="EB157" s="14"/>
      <x:c r="EC157" s="14"/>
      <x:c r="ED157" s="14"/>
      <x:c r="EE157" s="14"/>
      <x:c r="EF157" s="14"/>
      <x:c r="EG157" s="14"/>
      <x:c r="EH157" s="14"/>
      <x:c r="EI157" s="14"/>
      <x:c r="EJ157" s="14"/>
      <x:c r="EK157" s="14"/>
      <x:c r="EL157" s="14"/>
      <x:c r="EM157" s="14"/>
      <x:c r="EN157" s="14"/>
      <x:c r="EO157" s="14"/>
      <x:c r="EP157" s="14"/>
      <x:c r="EQ157" s="14"/>
      <x:c r="ER157" s="14"/>
      <x:c r="ES157" s="14"/>
      <x:c r="ET157" s="14"/>
      <x:c r="EU157" s="14"/>
      <x:c r="EV157" s="14"/>
      <x:c r="EW157" s="14"/>
      <x:c r="EX157" s="14"/>
      <x:c r="EY157" s="14"/>
      <x:c r="EZ157" s="14"/>
      <x:c r="FA157" s="14"/>
      <x:c r="FB157" s="14"/>
      <x:c r="FC157" s="14"/>
      <x:c r="FD157" s="14"/>
      <x:c r="FE157" s="14"/>
      <x:c r="FF157" s="14"/>
      <x:c r="FG157" s="14"/>
      <x:c r="FH157" s="14"/>
      <x:c r="FI157" s="14"/>
      <x:c r="FJ157" s="14"/>
      <x:c r="FK157" s="14"/>
      <x:c r="FL157" s="14"/>
      <x:c r="FM157" s="14"/>
      <x:c r="FN157" s="14"/>
      <x:c r="FO157" s="14"/>
      <x:c r="FP157" s="14"/>
      <x:c r="FQ157" s="14"/>
      <x:c r="FR157" s="14"/>
      <x:c r="FS157" s="14"/>
      <x:c r="FT157" s="14"/>
      <x:c r="FU157" s="14"/>
      <x:c r="FV157" s="14"/>
      <x:c r="FW157" s="14"/>
      <x:c r="FX157" s="14"/>
      <x:c r="FY157" s="14"/>
      <x:c r="FZ157" s="14"/>
      <x:c r="GA157" s="14"/>
      <x:c r="GB157" s="14"/>
      <x:c r="GC157" s="14"/>
      <x:c r="GD157" s="14"/>
      <x:c r="GE157" s="14"/>
      <x:c r="GF157" s="14"/>
      <x:c r="GG157" s="14"/>
      <x:c r="GH157" s="14"/>
      <x:c r="GI157" s="14"/>
      <x:c r="GJ157" s="14"/>
      <x:c r="GK157" s="14"/>
      <x:c r="GL157" s="14"/>
      <x:c r="GM157" s="14"/>
      <x:c r="GN157" s="14"/>
      <x:c r="GO157" s="14"/>
      <x:c r="GP157" s="14"/>
      <x:c r="GQ157" s="14"/>
      <x:c r="GR157" s="14"/>
      <x:c r="GS157" s="14"/>
      <x:c r="GT157" s="14"/>
      <x:c r="GU157" s="14"/>
      <x:c r="GV157" s="14"/>
      <x:c r="GW157" s="14"/>
      <x:c r="GX157" s="14"/>
      <x:c r="GY157" s="14"/>
      <x:c r="GZ157" s="14"/>
      <x:c r="HA157" s="14"/>
      <x:c r="HB157" s="14"/>
      <x:c r="HC157" s="14"/>
      <x:c r="HD157" s="14"/>
      <x:c r="HE157" s="14"/>
      <x:c r="HF157" s="14"/>
      <x:c r="HG157" s="14"/>
      <x:c r="HH157" s="14"/>
      <x:c r="HI157" s="14"/>
      <x:c r="HJ157" s="14"/>
      <x:c r="HK157" s="14"/>
      <x:c r="HL157" s="14"/>
      <x:c r="HM157" s="14"/>
      <x:c r="HN157" s="14"/>
      <x:c r="HO157" s="14"/>
      <x:c r="HP157" s="14"/>
      <x:c r="HQ157" s="14"/>
      <x:c r="HR157" s="14"/>
      <x:c r="HS157" s="14"/>
      <x:c r="HT157" s="14"/>
      <x:c r="HU157" s="14"/>
      <x:c r="HV157" s="14"/>
      <x:c r="HW157" s="14"/>
      <x:c r="HX157" s="14"/>
      <x:c r="HY157" s="14"/>
      <x:c r="HZ157" s="14"/>
      <x:c r="IA157" s="14"/>
      <x:c r="IB157" s="14"/>
      <x:c r="IC157" s="14"/>
      <x:c r="ID157" s="14"/>
      <x:c r="IE157" s="14"/>
      <x:c r="IF157" s="14"/>
      <x:c r="IG157" s="14"/>
      <x:c r="IH157" s="14"/>
      <x:c r="II157" s="14"/>
      <x:c r="IJ157" s="14"/>
      <x:c r="IK157" s="14"/>
      <x:c r="IL157" s="14"/>
      <x:c r="IM157" s="14"/>
      <x:c r="IN157" s="14"/>
      <x:c r="IO157" s="14"/>
      <x:c r="IP157" s="14"/>
      <x:c r="IQ157" s="14"/>
      <x:c r="IR157" s="14"/>
      <x:c r="IS157" s="14"/>
      <x:c r="IT157" s="14"/>
      <x:c r="IU157" s="14"/>
      <x:c r="IV157" s="14"/>
      <x:c r="IW157" s="14"/>
      <x:c r="IX157" s="14"/>
      <x:c r="IY157" s="14"/>
      <x:c r="IZ157" s="14"/>
      <x:c r="JA157" s="14"/>
      <x:c r="JB157" s="14"/>
      <x:c r="JC157" s="14"/>
      <x:c r="JD157" s="14"/>
      <x:c r="JE157" s="14"/>
      <x:c r="JF157" s="14"/>
      <x:c r="JG157" s="14"/>
      <x:c r="JH157" s="14"/>
      <x:c r="JI157" s="14"/>
      <x:c r="JJ157" s="14"/>
      <x:c r="JK157" s="14"/>
      <x:c r="JL157" s="14"/>
      <x:c r="JM157" s="14"/>
      <x:c r="JN157" s="14"/>
      <x:c r="JO157" s="14"/>
      <x:c r="JP157" s="14"/>
      <x:c r="JQ157" s="14"/>
      <x:c r="JR157" s="14"/>
      <x:c r="JS157" s="14"/>
      <x:c r="JT157" s="14"/>
      <x:c r="JU157" s="14"/>
      <x:c r="JV157" s="14"/>
      <x:c r="JW157" s="14"/>
      <x:c r="JX157" s="14"/>
      <x:c r="JY157" s="14"/>
      <x:c r="JZ157" s="14"/>
      <x:c r="KA157" s="14"/>
      <x:c r="KB157" s="14"/>
      <x:c r="KC157" s="14"/>
      <x:c r="KD157" s="14"/>
      <x:c r="KE157" s="14"/>
      <x:c r="KF157" s="14"/>
      <x:c r="KG157" s="14"/>
      <x:c r="KH157" s="14"/>
      <x:c r="KI157" s="14"/>
      <x:c r="KJ157" s="14"/>
      <x:c r="KK157" s="14"/>
      <x:c r="KL157" s="14"/>
      <x:c r="KM157" s="14"/>
      <x:c r="KN157" s="14"/>
      <x:c r="KO157" s="14"/>
      <x:c r="KP157" s="14"/>
      <x:c r="KQ157" s="14"/>
      <x:c r="KR157" s="14"/>
      <x:c r="KS157" s="14"/>
      <x:c r="KT157" s="14"/>
      <x:c r="KU157" s="14"/>
      <x:c r="KV157" s="14"/>
      <x:c r="KW157" s="14"/>
      <x:c r="KX157" s="14"/>
      <x:c r="KY157" s="14"/>
      <x:c r="KZ157" s="14"/>
      <x:c r="LA157" s="14"/>
      <x:c r="LB157" s="14"/>
      <x:c r="LC157" s="14"/>
      <x:c r="LD157" s="14"/>
      <x:c r="LE157" s="14"/>
      <x:c r="LF157" s="14"/>
      <x:c r="LG157" s="14"/>
      <x:c r="LH157" s="14"/>
      <x:c r="LI157" s="14"/>
      <x:c r="LJ157" s="14"/>
      <x:c r="LK157" s="14"/>
      <x:c r="LL157" s="14"/>
      <x:c r="LM157" s="14"/>
      <x:c r="LN157" s="14"/>
      <x:c r="LO157" s="14"/>
      <x:c r="LP157" s="14"/>
      <x:c r="LQ157" s="14"/>
      <x:c r="LR157" s="14"/>
      <x:c r="LS157" s="14"/>
      <x:c r="LT157" s="14"/>
      <x:c r="LU157" s="14"/>
      <x:c r="LV157" s="14"/>
      <x:c r="LW157" s="14"/>
      <x:c r="LX157" s="14"/>
      <x:c r="LY157" s="14"/>
      <x:c r="LZ157" s="14"/>
      <x:c r="MA157" s="14"/>
      <x:c r="MB157" s="14"/>
      <x:c r="MC157" s="14"/>
      <x:c r="MD157" s="14"/>
      <x:c r="ME157" s="14"/>
      <x:c r="MF157" s="14"/>
      <x:c r="MG157" s="14"/>
      <x:c r="MH157" s="14"/>
      <x:c r="MI157" s="14"/>
      <x:c r="MJ157" s="14"/>
      <x:c r="MK157" s="14"/>
      <x:c r="ML157" s="14"/>
      <x:c r="MM157" s="14"/>
      <x:c r="MN157" s="14"/>
      <x:c r="MO157" s="14"/>
      <x:c r="MP157" s="14"/>
      <x:c r="MQ157" s="14"/>
      <x:c r="MR157" s="14"/>
      <x:c r="MS157" s="14"/>
      <x:c r="MT157" s="14"/>
      <x:c r="MU157" s="14"/>
      <x:c r="MV157" s="14"/>
      <x:c r="MW157" s="14"/>
      <x:c r="MX157" s="14"/>
      <x:c r="MY157" s="14"/>
      <x:c r="MZ157" s="14"/>
      <x:c r="NA157" s="14"/>
      <x:c r="NB157" s="14"/>
      <x:c r="NC157" s="14"/>
      <x:c r="ND157" s="14"/>
      <x:c r="NE157" s="14"/>
      <x:c r="NF157" s="14"/>
      <x:c r="NG157" s="14"/>
      <x:c r="NH157" s="14"/>
      <x:c r="NI157" s="14"/>
      <x:c r="NJ157" s="14"/>
      <x:c r="NK157" s="14"/>
      <x:c r="NL157" s="14"/>
      <x:c r="NM157" s="14"/>
      <x:c r="NN157" s="14"/>
      <x:c r="NO157" s="14"/>
      <x:c r="NP157" s="14"/>
      <x:c r="NQ157" s="14"/>
      <x:c r="NR157" s="14"/>
      <x:c r="NS157" s="14"/>
      <x:c r="NT157" s="14"/>
      <x:c r="NU157" s="14"/>
      <x:c r="NV157" s="14"/>
      <x:c r="NW157" s="14"/>
      <x:c r="NX157" s="14"/>
      <x:c r="NY157" s="14" t="str">
        <x:v>31298</x:v>
      </x:c>
      <x:c r="NZ157" s="14" t="n">
        <x:v>10</x:v>
      </x:c>
      <x:c r="OA157" s="14" t="n">
        <x:v>2630</x:v>
      </x:c>
      <x:c r="OB157" s="14" t="n">
        <x:v>529</x:v>
      </x:c>
      <x:c r="OC157" s="14" t="n">
        <x:v>13</x:v>
      </x:c>
      <x:c r="OD157" s="14" t="n">
        <x:v>1</x:v>
      </x:c>
      <x:c r="OE157" s="14" t="str">
        <x:v>未收錄</x:v>
      </x:c>
      <x:c r="OF157" s="14" t="str">
        <x:v>31318</x:v>
      </x:c>
      <x:c r="OG157" s="14" t="n">
        <x:v>10</x:v>
      </x:c>
      <x:c r="OH157" s="14" t="n">
        <x:v>2631</x:v>
      </x:c>
      <x:c r="OI157" s="14" t="n">
        <x:v>530</x:v>
      </x:c>
      <x:c r="OJ157" s="14" t="n">
        <x:v>13</x:v>
      </x:c>
      <x:c r="OK157" s="14" t="n">
        <x:v>2</x:v>
      </x:c>
      <x:c r="OL157" s="14" t="str">
        <x:v>未收錄</x:v>
      </x:c>
      <x:c r="OM157" s="14" t="str">
        <x:v>31179</x:v>
      </x:c>
      <x:c r="ON157" s="14" t="n">
        <x:v>5</x:v>
      </x:c>
      <x:c r="OO157" s="14" t="n">
        <x:v>2632</x:v>
      </x:c>
      <x:c r="OP157" s="14" t="n">
        <x:v>531</x:v>
      </x:c>
      <x:c r="OQ157" s="14" t="n">
        <x:v>13</x:v>
      </x:c>
      <x:c r="OR157" s="14" t="n">
        <x:v>3</x:v>
      </x:c>
      <x:c r="OS157" s="14" t="str">
        <x:v>未收錄</x:v>
      </x:c>
      <x:c r="OT157" s="14" t="str">
        <x:v>31184</x:v>
      </x:c>
      <x:c r="OU157" s="14" t="n">
        <x:v>5</x:v>
      </x:c>
      <x:c r="OV157" s="14" t="n">
        <x:v>2633</x:v>
      </x:c>
      <x:c r="OW157" s="14" t="n">
        <x:v>532</x:v>
      </x:c>
      <x:c r="OX157" s="14" t="n">
        <x:v>13</x:v>
      </x:c>
      <x:c r="OY157" s="14" t="n">
        <x:v>4</x:v>
      </x:c>
      <x:c r="OZ157" s="14" t="str">
        <x:v>未收錄</x:v>
      </x:c>
      <x:c r="PA157" s="14"/>
      <x:c r="PB157" s="14"/>
      <x:c r="PC157" s="14"/>
      <x:c r="PD157" s="14"/>
      <x:c r="PE157" s="14"/>
      <x:c r="PF157" s="14"/>
      <x:c r="PG157" s="14"/>
      <x:c r="PH157" s="14"/>
      <x:c r="PI157" s="14"/>
      <x:c r="PJ157" s="14"/>
      <x:c r="PK157" s="14"/>
      <x:c r="PL157" s="14"/>
      <x:c r="PM157" s="14"/>
      <x:c r="PN157" s="14"/>
      <x:c r="PO157" s="14"/>
      <x:c r="PP157" s="14"/>
      <x:c r="PQ157" s="14"/>
      <x:c r="PR157" s="14"/>
      <x:c r="PS157" s="14"/>
      <x:c r="PT157" s="14"/>
      <x:c r="PU157" s="14"/>
      <x:c r="PV157" s="14"/>
      <x:c r="PW157" s="14"/>
      <x:c r="PX157" s="14"/>
      <x:c r="PY157" s="14"/>
      <x:c r="PZ157" s="14"/>
      <x:c r="QA157" s="14"/>
      <x:c r="QB157" s="14"/>
      <x:c r="QC157" s="14"/>
      <x:c r="QD157" s="14"/>
      <x:c r="QE157" s="14"/>
      <x:c r="QF157" s="14"/>
      <x:c r="QG157" s="14"/>
      <x:c r="QH157" s="14"/>
      <x:c r="QI157" s="14"/>
      <x:c r="QJ157" s="14"/>
      <x:c r="QK157" s="14"/>
      <x:c r="QL157" s="14"/>
      <x:c r="QM157" s="14"/>
      <x:c r="QN157" s="14"/>
      <x:c r="QO157" s="14"/>
      <x:c r="QP157" s="14"/>
      <x:c r="QQ157" s="14"/>
      <x:c r="QR157" s="14"/>
      <x:c r="QS157" s="14"/>
      <x:c r="QT157" s="14"/>
      <x:c r="QU157" s="14"/>
      <x:c r="QV157" s="14"/>
      <x:c r="QW157" s="14"/>
      <x:c r="QX157" s="14"/>
      <x:c r="QY157" s="14"/>
      <x:c r="QZ157" s="14"/>
      <x:c r="RA157" s="14"/>
      <x:c r="RB157" s="14"/>
      <x:c r="RC157" s="14"/>
      <x:c r="RD157" s="14"/>
      <x:c r="RE157" s="14"/>
      <x:c r="RF157" s="14"/>
      <x:c r="RG157" s="14"/>
      <x:c r="RH157" s="14"/>
      <x:c r="RI157" s="14"/>
      <x:c r="RJ157" s="14"/>
      <x:c r="RK157" s="14"/>
      <x:c r="RL157" s="14"/>
      <x:c r="RM157" s="14"/>
      <x:c r="RN157" s="14"/>
      <x:c r="RO157" s="14"/>
      <x:c r="RP157" s="14"/>
      <x:c r="RQ157" s="14"/>
      <x:c r="RR157" s="14"/>
      <x:c r="RS157" s="14"/>
      <x:c r="RT157" s="14"/>
      <x:c r="RU157" s="14"/>
      <x:c r="RV157" s="14"/>
      <x:c r="RW157" s="14"/>
      <x:c r="RX157" s="14"/>
      <x:c r="RY157" s="14"/>
      <x:c r="RZ157" s="14"/>
      <x:c r="SA157" s="14"/>
      <x:c r="SB157" s="14"/>
      <x:c r="SC157" s="14"/>
      <x:c r="SD157" s="14"/>
      <x:c r="SE157" s="14"/>
      <x:c r="SF157" s="14"/>
      <x:c r="SG157" s="14"/>
      <x:c r="SH157" s="14"/>
      <x:c r="SI157" s="14"/>
      <x:c r="SJ157" s="14"/>
      <x:c r="SK157" s="14"/>
      <x:c r="SL157" s="14"/>
      <x:c r="SM157" s="14"/>
      <x:c r="SN157" s="14"/>
      <x:c r="SO157" s="14"/>
      <x:c r="SP157" s="14"/>
      <x:c r="SQ157" s="14"/>
      <x:c r="SR157" s="14"/>
      <x:c r="SS157" s="14"/>
      <x:c r="ST157" s="14"/>
      <x:c r="SU157" s="14"/>
      <x:c r="SV157" s="14"/>
      <x:c r="SW157" s="14"/>
      <x:c r="SX157" s="14"/>
      <x:c r="SY157" s="14"/>
      <x:c r="SZ157" s="14"/>
      <x:c r="TA157" s="14"/>
      <x:c r="TB157" s="14"/>
      <x:c r="TC157" s="14"/>
      <x:c r="TD157" s="14"/>
      <x:c r="TE157" s="14"/>
      <x:c r="TF157" s="14"/>
      <x:c r="TG157" s="14"/>
      <x:c r="TH157" s="14"/>
    </x:row>
    <x:row r="158" ht="15" customHeight="1">
      <x:c r="A158" s="14"/>
      <x:c r="B158" s="14"/>
      <x:c r="C158" s="14"/>
      <x:c r="D158" s="14"/>
      <x:c r="E158" s="14"/>
      <x:c r="F158" s="14"/>
      <x:c r="G158" s="14"/>
      <x:c r="H158" s="14"/>
      <x:c r="I158" s="14"/>
      <x:c r="J158" s="14"/>
      <x:c r="K158" s="14"/>
      <x:c r="L158" s="14"/>
      <x:c r="M158" s="14"/>
      <x:c r="N158" s="14"/>
      <x:c r="O158" s="14"/>
      <x:c r="P158" s="14"/>
      <x:c r="Q158" s="14"/>
      <x:c r="R158" s="14"/>
      <x:c r="S158" s="14"/>
      <x:c r="T158" s="14"/>
      <x:c r="U158" s="14"/>
      <x:c r="V158" s="14"/>
      <x:c r="W158" s="14"/>
      <x:c r="X158" s="14"/>
      <x:c r="Y158" s="14"/>
      <x:c r="Z158" s="14"/>
      <x:c r="AA158" s="14"/>
      <x:c r="AB158" s="14"/>
      <x:c r="AC158" s="14"/>
      <x:c r="AD158" s="14"/>
      <x:c r="AE158" s="14"/>
      <x:c r="AF158" s="14"/>
      <x:c r="AG158" s="14"/>
      <x:c r="AH158" s="14"/>
      <x:c r="AI158" s="14"/>
      <x:c r="AJ158" s="14"/>
      <x:c r="AK158" s="14"/>
      <x:c r="AL158" s="14"/>
      <x:c r="AM158" s="14"/>
      <x:c r="AN158" s="14"/>
      <x:c r="AO158" s="14"/>
      <x:c r="AP158" s="14"/>
      <x:c r="AQ158" s="14"/>
      <x:c r="AR158" s="14"/>
      <x:c r="AS158" s="14"/>
      <x:c r="AT158" s="14"/>
      <x:c r="AU158" s="14"/>
      <x:c r="AV158" s="14"/>
      <x:c r="AW158" s="14"/>
      <x:c r="AX158" s="14"/>
      <x:c r="AY158" s="14"/>
      <x:c r="AZ158" s="14"/>
      <x:c r="BA158" s="14"/>
      <x:c r="BB158" s="14"/>
      <x:c r="BC158" s="14"/>
      <x:c r="BD158" s="18" t="str">
        <x:v>光術旋披Ⅳ</x:v>
      </x:c>
      <x:c r="BE158" s="18" t="str">
        <x:v>辰道玄袍Ⅳ</x:v>
      </x:c>
      <x:c r="BF158" s="18" t="str">
        <x:v>寂禪鎏裟Ⅳ</x:v>
      </x:c>
      <x:c r="BG158" s="18" t="str">
        <x:v>騰陽雄鎧Ⅳ</x:v>
      </x:c>
      <x:c r="BH158" s="14"/>
      <x:c r="BI158" s="14"/>
      <x:c r="BJ158" s="14"/>
      <x:c r="BK158" s="14"/>
      <x:c r="BL158" s="14"/>
      <x:c r="BM158" s="14"/>
      <x:c r="BN158" s="14"/>
      <x:c r="BO158" s="14"/>
      <x:c r="BP158" s="14"/>
      <x:c r="BQ158" s="14"/>
      <x:c r="BR158" s="14"/>
      <x:c r="BS158" s="14"/>
      <x:c r="BT158" s="14"/>
      <x:c r="BU158" s="14"/>
      <x:c r="BV158" s="14"/>
      <x:c r="BW158" s="14"/>
      <x:c r="BX158" s="14"/>
      <x:c r="BY158" s="14"/>
      <x:c r="BZ158" s="14"/>
      <x:c r="CA158" s="14"/>
      <x:c r="CB158" s="14"/>
      <x:c r="CC158" s="14"/>
      <x:c r="CD158" s="14"/>
      <x:c r="CE158" s="14"/>
      <x:c r="CF158" s="14"/>
      <x:c r="CG158" s="14"/>
      <x:c r="CH158" s="14"/>
      <x:c r="CI158" s="14"/>
      <x:c r="CJ158" s="14"/>
      <x:c r="CK158" s="14"/>
      <x:c r="CL158" s="14"/>
      <x:c r="CM158" s="14"/>
      <x:c r="CN158" s="14"/>
      <x:c r="CO158" s="14"/>
      <x:c r="CP158" s="14"/>
      <x:c r="CQ158" s="14"/>
      <x:c r="CR158" s="14"/>
      <x:c r="CS158" s="14"/>
      <x:c r="CT158" s="14"/>
      <x:c r="CU158" s="14"/>
      <x:c r="CV158" s="14"/>
      <x:c r="CW158" s="14"/>
      <x:c r="CX158" s="14"/>
      <x:c r="CY158" s="14"/>
      <x:c r="CZ158" s="14"/>
      <x:c r="DA158" s="14"/>
      <x:c r="DB158" s="14"/>
      <x:c r="DC158" s="14"/>
      <x:c r="DD158" s="14"/>
      <x:c r="DE158" s="14"/>
      <x:c r="DF158" s="14"/>
      <x:c r="DG158" s="14"/>
      <x:c r="DH158" s="14"/>
      <x:c r="DI158" s="14"/>
      <x:c r="DJ158" s="14"/>
      <x:c r="DK158" s="14"/>
      <x:c r="DL158" s="14"/>
      <x:c r="DM158" s="14"/>
      <x:c r="DN158" s="14"/>
      <x:c r="DO158" s="14"/>
      <x:c r="DP158" s="14"/>
      <x:c r="DQ158" s="14"/>
      <x:c r="DR158" s="14"/>
      <x:c r="DS158" s="14"/>
      <x:c r="DT158" s="14"/>
      <x:c r="DU158" s="14"/>
      <x:c r="DV158" s="14"/>
      <x:c r="DW158" s="14"/>
      <x:c r="DX158" s="14"/>
      <x:c r="DY158" s="14"/>
      <x:c r="DZ158" s="14"/>
      <x:c r="EA158" s="14"/>
      <x:c r="EB158" s="14"/>
      <x:c r="EC158" s="14"/>
      <x:c r="ED158" s="14"/>
      <x:c r="EE158" s="14"/>
      <x:c r="EF158" s="14"/>
      <x:c r="EG158" s="14"/>
      <x:c r="EH158" s="14"/>
      <x:c r="EI158" s="14"/>
      <x:c r="EJ158" s="14"/>
      <x:c r="EK158" s="14"/>
      <x:c r="EL158" s="14"/>
      <x:c r="EM158" s="14"/>
      <x:c r="EN158" s="14"/>
      <x:c r="EO158" s="14"/>
      <x:c r="EP158" s="14"/>
      <x:c r="EQ158" s="14"/>
      <x:c r="ER158" s="14"/>
      <x:c r="ES158" s="14"/>
      <x:c r="ET158" s="14"/>
      <x:c r="EU158" s="14"/>
      <x:c r="EV158" s="14"/>
      <x:c r="EW158" s="14"/>
      <x:c r="EX158" s="14"/>
      <x:c r="EY158" s="14"/>
      <x:c r="EZ158" s="14"/>
      <x:c r="FA158" s="14"/>
      <x:c r="FB158" s="14"/>
      <x:c r="FC158" s="14"/>
      <x:c r="FD158" s="14"/>
      <x:c r="FE158" s="14"/>
      <x:c r="FF158" s="14"/>
      <x:c r="FG158" s="14"/>
      <x:c r="FH158" s="14"/>
      <x:c r="FI158" s="14"/>
      <x:c r="FJ158" s="14"/>
      <x:c r="FK158" s="14"/>
      <x:c r="FL158" s="14"/>
      <x:c r="FM158" s="14"/>
      <x:c r="FN158" s="14"/>
      <x:c r="FO158" s="14"/>
      <x:c r="FP158" s="14"/>
      <x:c r="FQ158" s="14"/>
      <x:c r="FR158" s="14"/>
      <x:c r="FS158" s="14"/>
      <x:c r="FT158" s="14"/>
      <x:c r="FU158" s="14"/>
      <x:c r="FV158" s="14"/>
      <x:c r="FW158" s="14"/>
      <x:c r="FX158" s="14"/>
      <x:c r="FY158" s="14"/>
      <x:c r="FZ158" s="14"/>
      <x:c r="GA158" s="14"/>
      <x:c r="GB158" s="14"/>
      <x:c r="GC158" s="14"/>
      <x:c r="GD158" s="14"/>
      <x:c r="GE158" s="14"/>
      <x:c r="GF158" s="14"/>
      <x:c r="GG158" s="14"/>
      <x:c r="GH158" s="14"/>
      <x:c r="GI158" s="14"/>
      <x:c r="GJ158" s="14"/>
      <x:c r="GK158" s="14"/>
      <x:c r="GL158" s="14"/>
      <x:c r="GM158" s="14"/>
      <x:c r="GN158" s="14"/>
      <x:c r="GO158" s="14"/>
      <x:c r="GP158" s="14"/>
      <x:c r="GQ158" s="14"/>
      <x:c r="GR158" s="14"/>
      <x:c r="GS158" s="14"/>
      <x:c r="GT158" s="14"/>
      <x:c r="GU158" s="14"/>
      <x:c r="GV158" s="14"/>
      <x:c r="GW158" s="14"/>
      <x:c r="GX158" s="14"/>
      <x:c r="GY158" s="14"/>
      <x:c r="GZ158" s="14"/>
      <x:c r="HA158" s="14"/>
      <x:c r="HB158" s="14"/>
      <x:c r="HC158" s="14"/>
      <x:c r="HD158" s="14"/>
      <x:c r="HE158" s="14"/>
      <x:c r="HF158" s="14"/>
      <x:c r="HG158" s="14"/>
      <x:c r="HH158" s="14"/>
      <x:c r="HI158" s="14"/>
      <x:c r="HJ158" s="14"/>
      <x:c r="HK158" s="14"/>
      <x:c r="HL158" s="14"/>
      <x:c r="HM158" s="14"/>
      <x:c r="HN158" s="14"/>
      <x:c r="HO158" s="14"/>
      <x:c r="HP158" s="14"/>
      <x:c r="HQ158" s="14"/>
      <x:c r="HR158" s="14"/>
      <x:c r="HS158" s="14"/>
      <x:c r="HT158" s="14"/>
      <x:c r="HU158" s="14"/>
      <x:c r="HV158" s="14"/>
      <x:c r="HW158" s="14"/>
      <x:c r="HX158" s="14"/>
      <x:c r="HY158" s="14"/>
      <x:c r="HZ158" s="14"/>
      <x:c r="IA158" s="14"/>
      <x:c r="IB158" s="14"/>
      <x:c r="IC158" s="14"/>
      <x:c r="ID158" s="14"/>
      <x:c r="IE158" s="14"/>
      <x:c r="IF158" s="14"/>
      <x:c r="IG158" s="14"/>
      <x:c r="IH158" s="14"/>
      <x:c r="II158" s="14"/>
      <x:c r="IJ158" s="14"/>
      <x:c r="IK158" s="14"/>
      <x:c r="IL158" s="14"/>
      <x:c r="IM158" s="14"/>
      <x:c r="IN158" s="14"/>
      <x:c r="IO158" s="14"/>
      <x:c r="IP158" s="14"/>
      <x:c r="IQ158" s="14"/>
      <x:c r="IR158" s="14"/>
      <x:c r="IS158" s="14"/>
      <x:c r="IT158" s="14"/>
      <x:c r="IU158" s="14"/>
      <x:c r="IV158" s="14"/>
      <x:c r="IW158" s="14"/>
      <x:c r="IX158" s="14"/>
      <x:c r="IY158" s="14"/>
      <x:c r="IZ158" s="14"/>
      <x:c r="JA158" s="14"/>
      <x:c r="JB158" s="14"/>
      <x:c r="JC158" s="14"/>
      <x:c r="JD158" s="14"/>
      <x:c r="JE158" s="14"/>
      <x:c r="JF158" s="14"/>
      <x:c r="JG158" s="14"/>
      <x:c r="JH158" s="14"/>
      <x:c r="JI158" s="14"/>
      <x:c r="JJ158" s="14"/>
      <x:c r="JK158" s="14"/>
      <x:c r="JL158" s="14"/>
      <x:c r="JM158" s="14"/>
      <x:c r="JN158" s="14"/>
      <x:c r="JO158" s="14"/>
      <x:c r="JP158" s="14"/>
      <x:c r="JQ158" s="14"/>
      <x:c r="JR158" s="14"/>
      <x:c r="JS158" s="14"/>
      <x:c r="JT158" s="14"/>
      <x:c r="JU158" s="14"/>
      <x:c r="JV158" s="14"/>
      <x:c r="JW158" s="14"/>
      <x:c r="JX158" s="14"/>
      <x:c r="JY158" s="14"/>
      <x:c r="JZ158" s="14"/>
      <x:c r="KA158" s="14"/>
      <x:c r="KB158" s="14"/>
      <x:c r="KC158" s="14"/>
      <x:c r="KD158" s="14"/>
      <x:c r="KE158" s="14"/>
      <x:c r="KF158" s="14"/>
      <x:c r="KG158" s="14"/>
      <x:c r="KH158" s="14"/>
      <x:c r="KI158" s="14"/>
      <x:c r="KJ158" s="14"/>
      <x:c r="KK158" s="14"/>
      <x:c r="KL158" s="14"/>
      <x:c r="KM158" s="14"/>
      <x:c r="KN158" s="14"/>
      <x:c r="KO158" s="14"/>
      <x:c r="KP158" s="14"/>
      <x:c r="KQ158" s="14"/>
      <x:c r="KR158" s="14"/>
      <x:c r="KS158" s="14"/>
      <x:c r="KT158" s="14"/>
      <x:c r="KU158" s="14"/>
      <x:c r="KV158" s="14"/>
      <x:c r="KW158" s="14"/>
      <x:c r="KX158" s="14"/>
      <x:c r="KY158" s="14"/>
      <x:c r="KZ158" s="14"/>
      <x:c r="LA158" s="14"/>
      <x:c r="LB158" s="14"/>
      <x:c r="LC158" s="14"/>
      <x:c r="LD158" s="14"/>
      <x:c r="LE158" s="14"/>
      <x:c r="LF158" s="14"/>
      <x:c r="LG158" s="14"/>
      <x:c r="LH158" s="14"/>
      <x:c r="LI158" s="14"/>
      <x:c r="LJ158" s="14"/>
      <x:c r="LK158" s="14"/>
      <x:c r="LL158" s="14"/>
      <x:c r="LM158" s="14"/>
      <x:c r="LN158" s="14"/>
      <x:c r="LO158" s="14"/>
      <x:c r="LP158" s="14"/>
      <x:c r="LQ158" s="14"/>
      <x:c r="LR158" s="14"/>
      <x:c r="LS158" s="14"/>
      <x:c r="LT158" s="14"/>
      <x:c r="LU158" s="14"/>
      <x:c r="LV158" s="14"/>
      <x:c r="LW158" s="14"/>
      <x:c r="LX158" s="14"/>
      <x:c r="LY158" s="14"/>
      <x:c r="LZ158" s="14"/>
      <x:c r="MA158" s="14"/>
      <x:c r="MB158" s="14"/>
      <x:c r="MC158" s="14"/>
      <x:c r="MD158" s="14"/>
      <x:c r="ME158" s="14"/>
      <x:c r="MF158" s="14"/>
      <x:c r="MG158" s="14"/>
      <x:c r="MH158" s="14"/>
      <x:c r="MI158" s="14"/>
      <x:c r="MJ158" s="14"/>
      <x:c r="MK158" s="14"/>
      <x:c r="ML158" s="14"/>
      <x:c r="MM158" s="14"/>
      <x:c r="MN158" s="14"/>
      <x:c r="MO158" s="14"/>
      <x:c r="MP158" s="14"/>
      <x:c r="MQ158" s="14"/>
      <x:c r="MR158" s="14"/>
      <x:c r="MS158" s="14"/>
      <x:c r="MT158" s="14"/>
      <x:c r="MU158" s="14"/>
      <x:c r="MV158" s="14"/>
      <x:c r="MW158" s="14"/>
      <x:c r="MX158" s="14"/>
      <x:c r="MY158" s="14"/>
      <x:c r="MZ158" s="14"/>
      <x:c r="NA158" s="14"/>
      <x:c r="NB158" s="14"/>
      <x:c r="NC158" s="14"/>
      <x:c r="ND158" s="14"/>
      <x:c r="NE158" s="14"/>
      <x:c r="NF158" s="14"/>
      <x:c r="NG158" s="14"/>
      <x:c r="NH158" s="14"/>
      <x:c r="NI158" s="14"/>
      <x:c r="NJ158" s="14"/>
      <x:c r="NK158" s="14"/>
      <x:c r="NL158" s="14"/>
      <x:c r="NM158" s="14"/>
      <x:c r="NN158" s="14"/>
      <x:c r="NO158" s="14"/>
      <x:c r="NP158" s="14"/>
      <x:c r="NQ158" s="14"/>
      <x:c r="NR158" s="14"/>
      <x:c r="NS158" s="14"/>
      <x:c r="NT158" s="14"/>
      <x:c r="NU158" s="14"/>
      <x:c r="NV158" s="14"/>
      <x:c r="NW158" s="14"/>
      <x:c r="NX158" s="14"/>
      <x:c r="NY158" s="14" t="str">
        <x:v>31189</x:v>
      </x:c>
      <x:c r="NZ158" s="14" t="n">
        <x:v>5</x:v>
      </x:c>
      <x:c r="OA158" s="14" t="n">
        <x:v>2634</x:v>
      </x:c>
      <x:c r="OB158" s="14" t="n">
        <x:v>533</x:v>
      </x:c>
      <x:c r="OC158" s="14" t="n">
        <x:v>14</x:v>
      </x:c>
      <x:c r="OD158" s="14" t="n">
        <x:v>1</x:v>
      </x:c>
      <x:c r="OE158" s="14" t="str">
        <x:v>未收錄</x:v>
      </x:c>
      <x:c r="OF158" s="14" t="str">
        <x:v>31194</x:v>
      </x:c>
      <x:c r="OG158" s="14" t="n">
        <x:v>5</x:v>
      </x:c>
      <x:c r="OH158" s="14" t="n">
        <x:v>2635</x:v>
      </x:c>
      <x:c r="OI158" s="14" t="n">
        <x:v>534</x:v>
      </x:c>
      <x:c r="OJ158" s="14" t="n">
        <x:v>14</x:v>
      </x:c>
      <x:c r="OK158" s="14" t="n">
        <x:v>2</x:v>
      </x:c>
      <x:c r="OL158" s="14" t="str">
        <x:v>未收錄</x:v>
      </x:c>
      <x:c r="OM158" s="14" t="str">
        <x:v>31199</x:v>
      </x:c>
      <x:c r="ON158" s="14" t="n">
        <x:v>5</x:v>
      </x:c>
      <x:c r="OO158" s="14" t="n">
        <x:v>2636</x:v>
      </x:c>
      <x:c r="OP158" s="14" t="n">
        <x:v>535</x:v>
      </x:c>
      <x:c r="OQ158" s="14" t="n">
        <x:v>14</x:v>
      </x:c>
      <x:c r="OR158" s="14" t="n">
        <x:v>3</x:v>
      </x:c>
      <x:c r="OS158" s="14" t="str">
        <x:v>未收錄</x:v>
      </x:c>
      <x:c r="OT158" s="14" t="str">
        <x:v>31279</x:v>
      </x:c>
      <x:c r="OU158" s="14" t="n">
        <x:v>10</x:v>
      </x:c>
      <x:c r="OV158" s="14" t="n">
        <x:v>2637</x:v>
      </x:c>
      <x:c r="OW158" s="14" t="n">
        <x:v>536</x:v>
      </x:c>
      <x:c r="OX158" s="14" t="n">
        <x:v>14</x:v>
      </x:c>
      <x:c r="OY158" s="14" t="n">
        <x:v>4</x:v>
      </x:c>
      <x:c r="OZ158" s="14" t="str">
        <x:v>未收錄</x:v>
      </x:c>
      <x:c r="PA158" s="14"/>
      <x:c r="PB158" s="14"/>
      <x:c r="PC158" s="14"/>
      <x:c r="PD158" s="14"/>
      <x:c r="PE158" s="14"/>
      <x:c r="PF158" s="14"/>
      <x:c r="PG158" s="14"/>
      <x:c r="PH158" s="14"/>
      <x:c r="PI158" s="14"/>
      <x:c r="PJ158" s="14"/>
      <x:c r="PK158" s="14"/>
      <x:c r="PL158" s="14"/>
      <x:c r="PM158" s="14"/>
      <x:c r="PN158" s="14"/>
      <x:c r="PO158" s="14"/>
      <x:c r="PP158" s="14"/>
      <x:c r="PQ158" s="14"/>
      <x:c r="PR158" s="14"/>
      <x:c r="PS158" s="14"/>
      <x:c r="PT158" s="14"/>
      <x:c r="PU158" s="14"/>
      <x:c r="PV158" s="14"/>
      <x:c r="PW158" s="14"/>
      <x:c r="PX158" s="14"/>
      <x:c r="PY158" s="14"/>
      <x:c r="PZ158" s="14"/>
      <x:c r="QA158" s="14"/>
      <x:c r="QB158" s="14"/>
      <x:c r="QC158" s="14"/>
      <x:c r="QD158" s="14"/>
      <x:c r="QE158" s="14"/>
      <x:c r="QF158" s="14"/>
      <x:c r="QG158" s="14"/>
      <x:c r="QH158" s="14"/>
      <x:c r="QI158" s="14"/>
      <x:c r="QJ158" s="14"/>
      <x:c r="QK158" s="14"/>
      <x:c r="QL158" s="14"/>
      <x:c r="QM158" s="14"/>
      <x:c r="QN158" s="14"/>
      <x:c r="QO158" s="14"/>
      <x:c r="QP158" s="14"/>
      <x:c r="QQ158" s="14"/>
      <x:c r="QR158" s="14"/>
      <x:c r="QS158" s="14"/>
      <x:c r="QT158" s="14"/>
      <x:c r="QU158" s="14"/>
      <x:c r="QV158" s="14"/>
      <x:c r="QW158" s="14"/>
      <x:c r="QX158" s="14"/>
      <x:c r="QY158" s="14"/>
      <x:c r="QZ158" s="14"/>
      <x:c r="RA158" s="14"/>
      <x:c r="RB158" s="14"/>
      <x:c r="RC158" s="14"/>
      <x:c r="RD158" s="14"/>
      <x:c r="RE158" s="14"/>
      <x:c r="RF158" s="14"/>
      <x:c r="RG158" s="14"/>
      <x:c r="RH158" s="14"/>
      <x:c r="RI158" s="14"/>
      <x:c r="RJ158" s="14"/>
      <x:c r="RK158" s="14"/>
      <x:c r="RL158" s="14"/>
      <x:c r="RM158" s="14"/>
      <x:c r="RN158" s="14"/>
      <x:c r="RO158" s="14"/>
      <x:c r="RP158" s="14"/>
      <x:c r="RQ158" s="14"/>
      <x:c r="RR158" s="14"/>
      <x:c r="RS158" s="14"/>
      <x:c r="RT158" s="14"/>
      <x:c r="RU158" s="14"/>
      <x:c r="RV158" s="14"/>
      <x:c r="RW158" s="14"/>
      <x:c r="RX158" s="14"/>
      <x:c r="RY158" s="14"/>
      <x:c r="RZ158" s="14"/>
      <x:c r="SA158" s="14"/>
      <x:c r="SB158" s="14"/>
      <x:c r="SC158" s="14"/>
      <x:c r="SD158" s="14"/>
      <x:c r="SE158" s="14"/>
      <x:c r="SF158" s="14"/>
      <x:c r="SG158" s="14"/>
      <x:c r="SH158" s="14"/>
      <x:c r="SI158" s="14"/>
      <x:c r="SJ158" s="14"/>
      <x:c r="SK158" s="14"/>
      <x:c r="SL158" s="14"/>
      <x:c r="SM158" s="14"/>
      <x:c r="SN158" s="14"/>
      <x:c r="SO158" s="14"/>
      <x:c r="SP158" s="14"/>
      <x:c r="SQ158" s="14"/>
      <x:c r="SR158" s="14"/>
      <x:c r="SS158" s="14"/>
      <x:c r="ST158" s="14"/>
      <x:c r="SU158" s="14"/>
      <x:c r="SV158" s="14"/>
      <x:c r="SW158" s="14"/>
      <x:c r="SX158" s="14"/>
      <x:c r="SY158" s="14"/>
      <x:c r="SZ158" s="14"/>
      <x:c r="TA158" s="14"/>
      <x:c r="TB158" s="14"/>
      <x:c r="TC158" s="14"/>
      <x:c r="TD158" s="14"/>
      <x:c r="TE158" s="14"/>
      <x:c r="TF158" s="14"/>
      <x:c r="TG158" s="14"/>
      <x:c r="TH158" s="14"/>
    </x:row>
    <x:row r="159" ht="15" customHeight="1">
      <x:c r="A159" s="14"/>
      <x:c r="B159" s="14"/>
      <x:c r="C159" s="14"/>
      <x:c r="D159" s="14"/>
      <x:c r="E159" s="14"/>
      <x:c r="F159" s="14"/>
      <x:c r="G159" s="14"/>
      <x:c r="H159" s="14"/>
      <x:c r="I159" s="14"/>
      <x:c r="J159" s="14"/>
      <x:c r="K159" s="14"/>
      <x:c r="L159" s="14"/>
      <x:c r="M159" s="14"/>
      <x:c r="N159" s="14"/>
      <x:c r="O159" s="14"/>
      <x:c r="P159" s="14"/>
      <x:c r="Q159" s="14"/>
      <x:c r="R159" s="14"/>
      <x:c r="S159" s="14"/>
      <x:c r="T159" s="14"/>
      <x:c r="U159" s="14"/>
      <x:c r="V159" s="14"/>
      <x:c r="W159" s="14"/>
      <x:c r="X159" s="14"/>
      <x:c r="Y159" s="14"/>
      <x:c r="Z159" s="14"/>
      <x:c r="AA159" s="14"/>
      <x:c r="AB159" s="14"/>
      <x:c r="AC159" s="14"/>
      <x:c r="AD159" s="14"/>
      <x:c r="AE159" s="14"/>
      <x:c r="AF159" s="14"/>
      <x:c r="AG159" s="14"/>
      <x:c r="AH159" s="14"/>
      <x:c r="AI159" s="14"/>
      <x:c r="AJ159" s="14"/>
      <x:c r="AK159" s="14"/>
      <x:c r="AL159" s="14"/>
      <x:c r="AM159" s="14"/>
      <x:c r="AN159" s="14"/>
      <x:c r="AO159" s="14"/>
      <x:c r="AP159" s="14"/>
      <x:c r="AQ159" s="14"/>
      <x:c r="AR159" s="14"/>
      <x:c r="AS159" s="14"/>
      <x:c r="AT159" s="14"/>
      <x:c r="AU159" s="14"/>
      <x:c r="AV159" s="14"/>
      <x:c r="AW159" s="14"/>
      <x:c r="AX159" s="14"/>
      <x:c r="AY159" s="14"/>
      <x:c r="AZ159" s="14"/>
      <x:c r="BA159" s="14"/>
      <x:c r="BB159" s="14"/>
      <x:c r="BC159" s="14"/>
      <x:c r="BD159" s="17" t="str">
        <x:v>凜月霜襟Ⅳ</x:v>
      </x:c>
      <x:c r="BE159" s="17" t="str">
        <x:v>舞星鈦甲Ⅳ</x:v>
      </x:c>
      <x:c r="BF159" s="17" t="str">
        <x:v>宇鋒颯衣Ⅴ</x:v>
      </x:c>
      <x:c r="BG159" s="17" t="str">
        <x:v>天衛宙甲Ⅴ</x:v>
      </x:c>
      <x:c r="BH159" s="14"/>
      <x:c r="BI159" s="14"/>
      <x:c r="BJ159" s="14"/>
      <x:c r="BK159" s="14"/>
      <x:c r="BL159" s="14"/>
      <x:c r="BM159" s="14"/>
      <x:c r="BN159" s="14"/>
      <x:c r="BO159" s="14"/>
      <x:c r="BP159" s="14"/>
      <x:c r="BQ159" s="14"/>
      <x:c r="BR159" s="14"/>
      <x:c r="BS159" s="14"/>
      <x:c r="BT159" s="14"/>
      <x:c r="BU159" s="14"/>
      <x:c r="BV159" s="14"/>
      <x:c r="BW159" s="14"/>
      <x:c r="BX159" s="14"/>
      <x:c r="BY159" s="14"/>
      <x:c r="BZ159" s="14"/>
      <x:c r="CA159" s="14"/>
      <x:c r="CB159" s="14"/>
      <x:c r="CC159" s="14"/>
      <x:c r="CD159" s="14"/>
      <x:c r="CE159" s="14"/>
      <x:c r="CF159" s="14"/>
      <x:c r="CG159" s="14"/>
      <x:c r="CH159" s="14"/>
      <x:c r="CI159" s="14"/>
      <x:c r="CJ159" s="14"/>
      <x:c r="CK159" s="14"/>
      <x:c r="CL159" s="14"/>
      <x:c r="CM159" s="14"/>
      <x:c r="CN159" s="14"/>
      <x:c r="CO159" s="14"/>
      <x:c r="CP159" s="14"/>
      <x:c r="CQ159" s="14"/>
      <x:c r="CR159" s="14"/>
      <x:c r="CS159" s="14"/>
      <x:c r="CT159" s="14"/>
      <x:c r="CU159" s="14"/>
      <x:c r="CV159" s="14"/>
      <x:c r="CW159" s="14"/>
      <x:c r="CX159" s="14"/>
      <x:c r="CY159" s="14"/>
      <x:c r="CZ159" s="14"/>
      <x:c r="DA159" s="14"/>
      <x:c r="DB159" s="14"/>
      <x:c r="DC159" s="14"/>
      <x:c r="DD159" s="14"/>
      <x:c r="DE159" s="14"/>
      <x:c r="DF159" s="14"/>
      <x:c r="DG159" s="14"/>
      <x:c r="DH159" s="14"/>
      <x:c r="DI159" s="14"/>
      <x:c r="DJ159" s="14"/>
      <x:c r="DK159" s="14"/>
      <x:c r="DL159" s="14"/>
      <x:c r="DM159" s="14"/>
      <x:c r="DN159" s="14"/>
      <x:c r="DO159" s="14"/>
      <x:c r="DP159" s="14"/>
      <x:c r="DQ159" s="14"/>
      <x:c r="DR159" s="14"/>
      <x:c r="DS159" s="14"/>
      <x:c r="DT159" s="14"/>
      <x:c r="DU159" s="14"/>
      <x:c r="DV159" s="14"/>
      <x:c r="DW159" s="14"/>
      <x:c r="DX159" s="14"/>
      <x:c r="DY159" s="14"/>
      <x:c r="DZ159" s="14"/>
      <x:c r="EA159" s="14"/>
      <x:c r="EB159" s="14"/>
      <x:c r="EC159" s="14"/>
      <x:c r="ED159" s="14"/>
      <x:c r="EE159" s="14"/>
      <x:c r="EF159" s="14"/>
      <x:c r="EG159" s="14"/>
      <x:c r="EH159" s="14"/>
      <x:c r="EI159" s="14"/>
      <x:c r="EJ159" s="14"/>
      <x:c r="EK159" s="14"/>
      <x:c r="EL159" s="14"/>
      <x:c r="EM159" s="14"/>
      <x:c r="EN159" s="14"/>
      <x:c r="EO159" s="14"/>
      <x:c r="EP159" s="14"/>
      <x:c r="EQ159" s="14"/>
      <x:c r="ER159" s="14"/>
      <x:c r="ES159" s="14"/>
      <x:c r="ET159" s="14"/>
      <x:c r="EU159" s="14"/>
      <x:c r="EV159" s="14"/>
      <x:c r="EW159" s="14"/>
      <x:c r="EX159" s="14"/>
      <x:c r="EY159" s="14"/>
      <x:c r="EZ159" s="14"/>
      <x:c r="FA159" s="14"/>
      <x:c r="FB159" s="14"/>
      <x:c r="FC159" s="14"/>
      <x:c r="FD159" s="14"/>
      <x:c r="FE159" s="14"/>
      <x:c r="FF159" s="14"/>
      <x:c r="FG159" s="14"/>
      <x:c r="FH159" s="14"/>
      <x:c r="FI159" s="14"/>
      <x:c r="FJ159" s="14"/>
      <x:c r="FK159" s="14"/>
      <x:c r="FL159" s="14"/>
      <x:c r="FM159" s="14"/>
      <x:c r="FN159" s="14"/>
      <x:c r="FO159" s="14"/>
      <x:c r="FP159" s="14"/>
      <x:c r="FQ159" s="14"/>
      <x:c r="FR159" s="14"/>
      <x:c r="FS159" s="14"/>
      <x:c r="FT159" s="14"/>
      <x:c r="FU159" s="14"/>
      <x:c r="FV159" s="14"/>
      <x:c r="FW159" s="14"/>
      <x:c r="FX159" s="14"/>
      <x:c r="FY159" s="14"/>
      <x:c r="FZ159" s="14"/>
      <x:c r="GA159" s="14"/>
      <x:c r="GB159" s="14"/>
      <x:c r="GC159" s="14"/>
      <x:c r="GD159" s="14"/>
      <x:c r="GE159" s="14"/>
      <x:c r="GF159" s="14"/>
      <x:c r="GG159" s="14"/>
      <x:c r="GH159" s="14"/>
      <x:c r="GI159" s="14"/>
      <x:c r="GJ159" s="14"/>
      <x:c r="GK159" s="14"/>
      <x:c r="GL159" s="14"/>
      <x:c r="GM159" s="14"/>
      <x:c r="GN159" s="14"/>
      <x:c r="GO159" s="14"/>
      <x:c r="GP159" s="14"/>
      <x:c r="GQ159" s="14"/>
      <x:c r="GR159" s="14"/>
      <x:c r="GS159" s="14"/>
      <x:c r="GT159" s="14"/>
      <x:c r="GU159" s="14"/>
      <x:c r="GV159" s="14"/>
      <x:c r="GW159" s="14"/>
      <x:c r="GX159" s="14"/>
      <x:c r="GY159" s="14"/>
      <x:c r="GZ159" s="14"/>
      <x:c r="HA159" s="14"/>
      <x:c r="HB159" s="14"/>
      <x:c r="HC159" s="14"/>
      <x:c r="HD159" s="14"/>
      <x:c r="HE159" s="14"/>
      <x:c r="HF159" s="14"/>
      <x:c r="HG159" s="14"/>
      <x:c r="HH159" s="14"/>
      <x:c r="HI159" s="14"/>
      <x:c r="HJ159" s="14"/>
      <x:c r="HK159" s="14"/>
      <x:c r="HL159" s="14"/>
      <x:c r="HM159" s="14"/>
      <x:c r="HN159" s="14"/>
      <x:c r="HO159" s="14"/>
      <x:c r="HP159" s="14"/>
      <x:c r="HQ159" s="14"/>
      <x:c r="HR159" s="14"/>
      <x:c r="HS159" s="14"/>
      <x:c r="HT159" s="14"/>
      <x:c r="HU159" s="14"/>
      <x:c r="HV159" s="14"/>
      <x:c r="HW159" s="14"/>
      <x:c r="HX159" s="14"/>
      <x:c r="HY159" s="14"/>
      <x:c r="HZ159" s="14"/>
      <x:c r="IA159" s="14"/>
      <x:c r="IB159" s="14"/>
      <x:c r="IC159" s="14"/>
      <x:c r="ID159" s="14"/>
      <x:c r="IE159" s="14"/>
      <x:c r="IF159" s="14"/>
      <x:c r="IG159" s="14"/>
      <x:c r="IH159" s="14"/>
      <x:c r="II159" s="14"/>
      <x:c r="IJ159" s="14"/>
      <x:c r="IK159" s="14"/>
      <x:c r="IL159" s="14"/>
      <x:c r="IM159" s="14"/>
      <x:c r="IN159" s="14"/>
      <x:c r="IO159" s="14"/>
      <x:c r="IP159" s="14"/>
      <x:c r="IQ159" s="14"/>
      <x:c r="IR159" s="14"/>
      <x:c r="IS159" s="14"/>
      <x:c r="IT159" s="14"/>
      <x:c r="IU159" s="14"/>
      <x:c r="IV159" s="14"/>
      <x:c r="IW159" s="14"/>
      <x:c r="IX159" s="14"/>
      <x:c r="IY159" s="14"/>
      <x:c r="IZ159" s="14"/>
      <x:c r="JA159" s="14"/>
      <x:c r="JB159" s="14"/>
      <x:c r="JC159" s="14"/>
      <x:c r="JD159" s="14"/>
      <x:c r="JE159" s="14"/>
      <x:c r="JF159" s="14"/>
      <x:c r="JG159" s="14"/>
      <x:c r="JH159" s="14"/>
      <x:c r="JI159" s="14"/>
      <x:c r="JJ159" s="14"/>
      <x:c r="JK159" s="14"/>
      <x:c r="JL159" s="14"/>
      <x:c r="JM159" s="14"/>
      <x:c r="JN159" s="14"/>
      <x:c r="JO159" s="14"/>
      <x:c r="JP159" s="14"/>
      <x:c r="JQ159" s="14"/>
      <x:c r="JR159" s="14"/>
      <x:c r="JS159" s="14"/>
      <x:c r="JT159" s="14"/>
      <x:c r="JU159" s="14"/>
      <x:c r="JV159" s="14"/>
      <x:c r="JW159" s="14"/>
      <x:c r="JX159" s="14"/>
      <x:c r="JY159" s="14"/>
      <x:c r="JZ159" s="14"/>
      <x:c r="KA159" s="14"/>
      <x:c r="KB159" s="14"/>
      <x:c r="KC159" s="14"/>
      <x:c r="KD159" s="14"/>
      <x:c r="KE159" s="14"/>
      <x:c r="KF159" s="14"/>
      <x:c r="KG159" s="14"/>
      <x:c r="KH159" s="14"/>
      <x:c r="KI159" s="14"/>
      <x:c r="KJ159" s="14"/>
      <x:c r="KK159" s="14"/>
      <x:c r="KL159" s="14"/>
      <x:c r="KM159" s="14"/>
      <x:c r="KN159" s="14"/>
      <x:c r="KO159" s="14"/>
      <x:c r="KP159" s="14"/>
      <x:c r="KQ159" s="14"/>
      <x:c r="KR159" s="14"/>
      <x:c r="KS159" s="14"/>
      <x:c r="KT159" s="14"/>
      <x:c r="KU159" s="14"/>
      <x:c r="KV159" s="14"/>
      <x:c r="KW159" s="14"/>
      <x:c r="KX159" s="14"/>
      <x:c r="KY159" s="14"/>
      <x:c r="KZ159" s="14"/>
      <x:c r="LA159" s="14"/>
      <x:c r="LB159" s="14"/>
      <x:c r="LC159" s="14"/>
      <x:c r="LD159" s="14"/>
      <x:c r="LE159" s="14"/>
      <x:c r="LF159" s="14"/>
      <x:c r="LG159" s="14"/>
      <x:c r="LH159" s="14"/>
      <x:c r="LI159" s="14"/>
      <x:c r="LJ159" s="14"/>
      <x:c r="LK159" s="14"/>
      <x:c r="LL159" s="14"/>
      <x:c r="LM159" s="14"/>
      <x:c r="LN159" s="14"/>
      <x:c r="LO159" s="14"/>
      <x:c r="LP159" s="14"/>
      <x:c r="LQ159" s="14"/>
      <x:c r="LR159" s="14"/>
      <x:c r="LS159" s="14"/>
      <x:c r="LT159" s="14"/>
      <x:c r="LU159" s="14"/>
      <x:c r="LV159" s="14"/>
      <x:c r="LW159" s="14"/>
      <x:c r="LX159" s="14"/>
      <x:c r="LY159" s="14"/>
      <x:c r="LZ159" s="14"/>
      <x:c r="MA159" s="14"/>
      <x:c r="MB159" s="14"/>
      <x:c r="MC159" s="14"/>
      <x:c r="MD159" s="14"/>
      <x:c r="ME159" s="14"/>
      <x:c r="MF159" s="14"/>
      <x:c r="MG159" s="14"/>
      <x:c r="MH159" s="14"/>
      <x:c r="MI159" s="14"/>
      <x:c r="MJ159" s="14"/>
      <x:c r="MK159" s="14"/>
      <x:c r="ML159" s="14"/>
      <x:c r="MM159" s="14"/>
      <x:c r="MN159" s="14"/>
      <x:c r="MO159" s="14"/>
      <x:c r="MP159" s="14"/>
      <x:c r="MQ159" s="14"/>
      <x:c r="MR159" s="14"/>
      <x:c r="MS159" s="14"/>
      <x:c r="MT159" s="14"/>
      <x:c r="MU159" s="14"/>
      <x:c r="MV159" s="14"/>
      <x:c r="MW159" s="14"/>
      <x:c r="MX159" s="14"/>
      <x:c r="MY159" s="14"/>
      <x:c r="MZ159" s="14"/>
      <x:c r="NA159" s="14"/>
      <x:c r="NB159" s="14"/>
      <x:c r="NC159" s="14"/>
      <x:c r="ND159" s="14"/>
      <x:c r="NE159" s="14"/>
      <x:c r="NF159" s="14"/>
      <x:c r="NG159" s="14"/>
      <x:c r="NH159" s="14"/>
      <x:c r="NI159" s="14"/>
      <x:c r="NJ159" s="14"/>
      <x:c r="NK159" s="14"/>
      <x:c r="NL159" s="14"/>
      <x:c r="NM159" s="14"/>
      <x:c r="NN159" s="14"/>
      <x:c r="NO159" s="14"/>
      <x:c r="NP159" s="14"/>
      <x:c r="NQ159" s="14"/>
      <x:c r="NR159" s="14"/>
      <x:c r="NS159" s="14"/>
      <x:c r="NT159" s="14"/>
      <x:c r="NU159" s="14"/>
      <x:c r="NV159" s="14"/>
      <x:c r="NW159" s="14"/>
      <x:c r="NX159" s="14"/>
      <x:c r="NY159" s="14" t="str">
        <x:v>31299</x:v>
      </x:c>
      <x:c r="NZ159" s="14" t="n">
        <x:v>10</x:v>
      </x:c>
      <x:c r="OA159" s="14" t="n">
        <x:v>2638</x:v>
      </x:c>
      <x:c r="OB159" s="14" t="n">
        <x:v>537</x:v>
      </x:c>
      <x:c r="OC159" s="14" t="n">
        <x:v>15</x:v>
      </x:c>
      <x:c r="OD159" s="14" t="n">
        <x:v>1</x:v>
      </x:c>
      <x:c r="OE159" s="14" t="str">
        <x:v>未收錄</x:v>
      </x:c>
      <x:c r="OF159" s="14" t="str">
        <x:v>31319</x:v>
      </x:c>
      <x:c r="OG159" s="14" t="n">
        <x:v>10</x:v>
      </x:c>
      <x:c r="OH159" s="14" t="n">
        <x:v>2639</x:v>
      </x:c>
      <x:c r="OI159" s="14" t="n">
        <x:v>538</x:v>
      </x:c>
      <x:c r="OJ159" s="14" t="n">
        <x:v>15</x:v>
      </x:c>
      <x:c r="OK159" s="14" t="n">
        <x:v>2</x:v>
      </x:c>
      <x:c r="OL159" s="14" t="str">
        <x:v>未收錄</x:v>
      </x:c>
      <x:c r="OM159" s="14" t="str">
        <x:v>31180</x:v>
      </x:c>
      <x:c r="ON159" s="14" t="n">
        <x:v>5</x:v>
      </x:c>
      <x:c r="OO159" s="14" t="n">
        <x:v>2640</x:v>
      </x:c>
      <x:c r="OP159" s="14" t="n">
        <x:v>539</x:v>
      </x:c>
      <x:c r="OQ159" s="14" t="n">
        <x:v>15</x:v>
      </x:c>
      <x:c r="OR159" s="14" t="n">
        <x:v>3</x:v>
      </x:c>
      <x:c r="OS159" s="14" t="str">
        <x:v>未收錄</x:v>
      </x:c>
      <x:c r="OT159" s="14" t="str">
        <x:v>31185</x:v>
      </x:c>
      <x:c r="OU159" s="14" t="n">
        <x:v>5</x:v>
      </x:c>
      <x:c r="OV159" s="14" t="n">
        <x:v>2641</x:v>
      </x:c>
      <x:c r="OW159" s="14" t="n">
        <x:v>540</x:v>
      </x:c>
      <x:c r="OX159" s="14" t="n">
        <x:v>15</x:v>
      </x:c>
      <x:c r="OY159" s="14" t="n">
        <x:v>4</x:v>
      </x:c>
      <x:c r="OZ159" s="14" t="str">
        <x:v>未收錄</x:v>
      </x:c>
      <x:c r="PA159" s="14"/>
      <x:c r="PB159" s="14"/>
      <x:c r="PC159" s="14"/>
      <x:c r="PD159" s="14"/>
      <x:c r="PE159" s="14"/>
      <x:c r="PF159" s="14"/>
      <x:c r="PG159" s="14"/>
      <x:c r="PH159" s="14"/>
      <x:c r="PI159" s="14"/>
      <x:c r="PJ159" s="14"/>
      <x:c r="PK159" s="14"/>
      <x:c r="PL159" s="14"/>
      <x:c r="PM159" s="14"/>
      <x:c r="PN159" s="14"/>
      <x:c r="PO159" s="14"/>
      <x:c r="PP159" s="14"/>
      <x:c r="PQ159" s="14"/>
      <x:c r="PR159" s="14"/>
      <x:c r="PS159" s="14"/>
      <x:c r="PT159" s="14"/>
      <x:c r="PU159" s="14"/>
      <x:c r="PV159" s="14"/>
      <x:c r="PW159" s="14"/>
      <x:c r="PX159" s="14"/>
      <x:c r="PY159" s="14"/>
      <x:c r="PZ159" s="14"/>
      <x:c r="QA159" s="14"/>
      <x:c r="QB159" s="14"/>
      <x:c r="QC159" s="14"/>
      <x:c r="QD159" s="14"/>
      <x:c r="QE159" s="14"/>
      <x:c r="QF159" s="14"/>
      <x:c r="QG159" s="14"/>
      <x:c r="QH159" s="14"/>
      <x:c r="QI159" s="14"/>
      <x:c r="QJ159" s="14"/>
      <x:c r="QK159" s="14"/>
      <x:c r="QL159" s="14"/>
      <x:c r="QM159" s="14"/>
      <x:c r="QN159" s="14"/>
      <x:c r="QO159" s="14"/>
      <x:c r="QP159" s="14"/>
      <x:c r="QQ159" s="14"/>
      <x:c r="QR159" s="14"/>
      <x:c r="QS159" s="14"/>
      <x:c r="QT159" s="14"/>
      <x:c r="QU159" s="14"/>
      <x:c r="QV159" s="14"/>
      <x:c r="QW159" s="14"/>
      <x:c r="QX159" s="14"/>
      <x:c r="QY159" s="14"/>
      <x:c r="QZ159" s="14"/>
      <x:c r="RA159" s="14"/>
      <x:c r="RB159" s="14"/>
      <x:c r="RC159" s="14"/>
      <x:c r="RD159" s="14"/>
      <x:c r="RE159" s="14"/>
      <x:c r="RF159" s="14"/>
      <x:c r="RG159" s="14"/>
      <x:c r="RH159" s="14"/>
      <x:c r="RI159" s="14"/>
      <x:c r="RJ159" s="14"/>
      <x:c r="RK159" s="14"/>
      <x:c r="RL159" s="14"/>
      <x:c r="RM159" s="14"/>
      <x:c r="RN159" s="14"/>
      <x:c r="RO159" s="14"/>
      <x:c r="RP159" s="14"/>
      <x:c r="RQ159" s="14"/>
      <x:c r="RR159" s="14"/>
      <x:c r="RS159" s="14"/>
      <x:c r="RT159" s="14"/>
      <x:c r="RU159" s="14"/>
      <x:c r="RV159" s="14"/>
      <x:c r="RW159" s="14"/>
      <x:c r="RX159" s="14"/>
      <x:c r="RY159" s="14"/>
      <x:c r="RZ159" s="14"/>
      <x:c r="SA159" s="14"/>
      <x:c r="SB159" s="14"/>
      <x:c r="SC159" s="14"/>
      <x:c r="SD159" s="14"/>
      <x:c r="SE159" s="14"/>
      <x:c r="SF159" s="14"/>
      <x:c r="SG159" s="14"/>
      <x:c r="SH159" s="14"/>
      <x:c r="SI159" s="14"/>
      <x:c r="SJ159" s="14"/>
      <x:c r="SK159" s="14"/>
      <x:c r="SL159" s="14"/>
      <x:c r="SM159" s="14"/>
      <x:c r="SN159" s="14"/>
      <x:c r="SO159" s="14"/>
      <x:c r="SP159" s="14"/>
      <x:c r="SQ159" s="14"/>
      <x:c r="SR159" s="14"/>
      <x:c r="SS159" s="14"/>
      <x:c r="ST159" s="14"/>
      <x:c r="SU159" s="14"/>
      <x:c r="SV159" s="14"/>
      <x:c r="SW159" s="14"/>
      <x:c r="SX159" s="14"/>
      <x:c r="SY159" s="14"/>
      <x:c r="SZ159" s="14"/>
      <x:c r="TA159" s="14"/>
      <x:c r="TB159" s="14"/>
      <x:c r="TC159" s="14"/>
      <x:c r="TD159" s="14"/>
      <x:c r="TE159" s="14"/>
      <x:c r="TF159" s="14"/>
      <x:c r="TG159" s="14"/>
      <x:c r="TH159" s="14"/>
    </x:row>
    <x:row r="160" ht="15" customHeight="1">
      <x:c r="A160" s="14"/>
      <x:c r="B160" s="14"/>
      <x:c r="C160" s="14"/>
      <x:c r="D160" s="14"/>
      <x:c r="E160" s="14"/>
      <x:c r="F160" s="14"/>
      <x:c r="G160" s="14"/>
      <x:c r="H160" s="14"/>
      <x:c r="I160" s="14"/>
      <x:c r="J160" s="14"/>
      <x:c r="K160" s="14"/>
      <x:c r="L160" s="14"/>
      <x:c r="M160" s="14"/>
      <x:c r="N160" s="14"/>
      <x:c r="O160" s="14"/>
      <x:c r="P160" s="14"/>
      <x:c r="Q160" s="14"/>
      <x:c r="R160" s="14"/>
      <x:c r="S160" s="14"/>
      <x:c r="T160" s="14"/>
      <x:c r="U160" s="14"/>
      <x:c r="V160" s="14"/>
      <x:c r="W160" s="14"/>
      <x:c r="X160" s="14"/>
      <x:c r="Y160" s="14"/>
      <x:c r="Z160" s="14"/>
      <x:c r="AA160" s="14"/>
      <x:c r="AB160" s="14"/>
      <x:c r="AC160" s="14"/>
      <x:c r="AD160" s="14"/>
      <x:c r="AE160" s="14"/>
      <x:c r="AF160" s="14"/>
      <x:c r="AG160" s="14"/>
      <x:c r="AH160" s="14"/>
      <x:c r="AI160" s="14"/>
      <x:c r="AJ160" s="14"/>
      <x:c r="AK160" s="14"/>
      <x:c r="AL160" s="14"/>
      <x:c r="AM160" s="14"/>
      <x:c r="AN160" s="14"/>
      <x:c r="AO160" s="14"/>
      <x:c r="AP160" s="14"/>
      <x:c r="AQ160" s="14"/>
      <x:c r="AR160" s="14"/>
      <x:c r="AS160" s="14"/>
      <x:c r="AT160" s="14"/>
      <x:c r="AU160" s="14"/>
      <x:c r="AV160" s="14"/>
      <x:c r="AW160" s="14"/>
      <x:c r="AX160" s="14"/>
      <x:c r="AY160" s="14"/>
      <x:c r="AZ160" s="14"/>
      <x:c r="BA160" s="14"/>
      <x:c r="BB160" s="14"/>
      <x:c r="BC160" s="14"/>
      <x:c r="BD160" s="18" t="str">
        <x:v>光術旋披Ⅴ</x:v>
      </x:c>
      <x:c r="BE160" s="18" t="str">
        <x:v>辰道玄袍Ⅴ</x:v>
      </x:c>
      <x:c r="BF160" s="18" t="str">
        <x:v>寂禪鎏裟Ⅴ</x:v>
      </x:c>
      <x:c r="BG160" s="18" t="str">
        <x:v>騰陽雄鎧Ⅴ</x:v>
      </x:c>
      <x:c r="BH160" s="14"/>
      <x:c r="BI160" s="14"/>
      <x:c r="BJ160" s="14"/>
      <x:c r="BK160" s="14"/>
      <x:c r="BL160" s="14"/>
      <x:c r="BM160" s="14"/>
      <x:c r="BN160" s="14"/>
      <x:c r="BO160" s="14"/>
      <x:c r="BP160" s="14"/>
      <x:c r="BQ160" s="14"/>
      <x:c r="BR160" s="14"/>
      <x:c r="BS160" s="14"/>
      <x:c r="BT160" s="14"/>
      <x:c r="BU160" s="14"/>
      <x:c r="BV160" s="14"/>
      <x:c r="BW160" s="14"/>
      <x:c r="BX160" s="14"/>
      <x:c r="BY160" s="14"/>
      <x:c r="BZ160" s="14"/>
      <x:c r="CA160" s="14"/>
      <x:c r="CB160" s="14"/>
      <x:c r="CC160" s="14"/>
      <x:c r="CD160" s="14"/>
      <x:c r="CE160" s="14"/>
      <x:c r="CF160" s="14"/>
      <x:c r="CG160" s="14"/>
      <x:c r="CH160" s="14"/>
      <x:c r="CI160" s="14"/>
      <x:c r="CJ160" s="14"/>
      <x:c r="CK160" s="14"/>
      <x:c r="CL160" s="14"/>
      <x:c r="CM160" s="14"/>
      <x:c r="CN160" s="14"/>
      <x:c r="CO160" s="14"/>
      <x:c r="CP160" s="14"/>
      <x:c r="CQ160" s="14"/>
      <x:c r="CR160" s="14"/>
      <x:c r="CS160" s="14"/>
      <x:c r="CT160" s="14"/>
      <x:c r="CU160" s="14"/>
      <x:c r="CV160" s="14"/>
      <x:c r="CW160" s="14"/>
      <x:c r="CX160" s="14"/>
      <x:c r="CY160" s="14"/>
      <x:c r="CZ160" s="14"/>
      <x:c r="DA160" s="14"/>
      <x:c r="DB160" s="14"/>
      <x:c r="DC160" s="14"/>
      <x:c r="DD160" s="14"/>
      <x:c r="DE160" s="14"/>
      <x:c r="DF160" s="14"/>
      <x:c r="DG160" s="14"/>
      <x:c r="DH160" s="14"/>
      <x:c r="DI160" s="14"/>
      <x:c r="DJ160" s="14"/>
      <x:c r="DK160" s="14"/>
      <x:c r="DL160" s="14"/>
      <x:c r="DM160" s="14"/>
      <x:c r="DN160" s="14"/>
      <x:c r="DO160" s="14"/>
      <x:c r="DP160" s="14"/>
      <x:c r="DQ160" s="14"/>
      <x:c r="DR160" s="14"/>
      <x:c r="DS160" s="14"/>
      <x:c r="DT160" s="14"/>
      <x:c r="DU160" s="14"/>
      <x:c r="DV160" s="14"/>
      <x:c r="DW160" s="14"/>
      <x:c r="DX160" s="14"/>
      <x:c r="DY160" s="14"/>
      <x:c r="DZ160" s="14"/>
      <x:c r="EA160" s="14"/>
      <x:c r="EB160" s="14"/>
      <x:c r="EC160" s="14"/>
      <x:c r="ED160" s="14"/>
      <x:c r="EE160" s="14"/>
      <x:c r="EF160" s="14"/>
      <x:c r="EG160" s="14"/>
      <x:c r="EH160" s="14"/>
      <x:c r="EI160" s="14"/>
      <x:c r="EJ160" s="14"/>
      <x:c r="EK160" s="14"/>
      <x:c r="EL160" s="14"/>
      <x:c r="EM160" s="14"/>
      <x:c r="EN160" s="14"/>
      <x:c r="EO160" s="14"/>
      <x:c r="EP160" s="14"/>
      <x:c r="EQ160" s="14"/>
      <x:c r="ER160" s="14"/>
      <x:c r="ES160" s="14"/>
      <x:c r="ET160" s="14"/>
      <x:c r="EU160" s="14"/>
      <x:c r="EV160" s="14"/>
      <x:c r="EW160" s="14"/>
      <x:c r="EX160" s="14"/>
      <x:c r="EY160" s="14"/>
      <x:c r="EZ160" s="14"/>
      <x:c r="FA160" s="14"/>
      <x:c r="FB160" s="14"/>
      <x:c r="FC160" s="14"/>
      <x:c r="FD160" s="14"/>
      <x:c r="FE160" s="14"/>
      <x:c r="FF160" s="14"/>
      <x:c r="FG160" s="14"/>
      <x:c r="FH160" s="14"/>
      <x:c r="FI160" s="14"/>
      <x:c r="FJ160" s="14"/>
      <x:c r="FK160" s="14"/>
      <x:c r="FL160" s="14"/>
      <x:c r="FM160" s="14"/>
      <x:c r="FN160" s="14"/>
      <x:c r="FO160" s="14"/>
      <x:c r="FP160" s="14"/>
      <x:c r="FQ160" s="14"/>
      <x:c r="FR160" s="14"/>
      <x:c r="FS160" s="14"/>
      <x:c r="FT160" s="14"/>
      <x:c r="FU160" s="14"/>
      <x:c r="FV160" s="14"/>
      <x:c r="FW160" s="14"/>
      <x:c r="FX160" s="14"/>
      <x:c r="FY160" s="14"/>
      <x:c r="FZ160" s="14"/>
      <x:c r="GA160" s="14"/>
      <x:c r="GB160" s="14"/>
      <x:c r="GC160" s="14"/>
      <x:c r="GD160" s="14"/>
      <x:c r="GE160" s="14"/>
      <x:c r="GF160" s="14"/>
      <x:c r="GG160" s="14"/>
      <x:c r="GH160" s="14"/>
      <x:c r="GI160" s="14"/>
      <x:c r="GJ160" s="14"/>
      <x:c r="GK160" s="14"/>
      <x:c r="GL160" s="14"/>
      <x:c r="GM160" s="14"/>
      <x:c r="GN160" s="14"/>
      <x:c r="GO160" s="14"/>
      <x:c r="GP160" s="14"/>
      <x:c r="GQ160" s="14"/>
      <x:c r="GR160" s="14"/>
      <x:c r="GS160" s="14"/>
      <x:c r="GT160" s="14"/>
      <x:c r="GU160" s="14"/>
      <x:c r="GV160" s="14"/>
      <x:c r="GW160" s="14"/>
      <x:c r="GX160" s="14"/>
      <x:c r="GY160" s="14"/>
      <x:c r="GZ160" s="14"/>
      <x:c r="HA160" s="14"/>
      <x:c r="HB160" s="14"/>
      <x:c r="HC160" s="14"/>
      <x:c r="HD160" s="14"/>
      <x:c r="HE160" s="14"/>
      <x:c r="HF160" s="14"/>
      <x:c r="HG160" s="14"/>
      <x:c r="HH160" s="14"/>
      <x:c r="HI160" s="14"/>
      <x:c r="HJ160" s="14"/>
      <x:c r="HK160" s="14"/>
      <x:c r="HL160" s="14"/>
      <x:c r="HM160" s="14"/>
      <x:c r="HN160" s="14"/>
      <x:c r="HO160" s="14"/>
      <x:c r="HP160" s="14"/>
      <x:c r="HQ160" s="14"/>
      <x:c r="HR160" s="14"/>
      <x:c r="HS160" s="14"/>
      <x:c r="HT160" s="14"/>
      <x:c r="HU160" s="14"/>
      <x:c r="HV160" s="14"/>
      <x:c r="HW160" s="14"/>
      <x:c r="HX160" s="14"/>
      <x:c r="HY160" s="14"/>
      <x:c r="HZ160" s="14"/>
      <x:c r="IA160" s="14"/>
      <x:c r="IB160" s="14"/>
      <x:c r="IC160" s="14"/>
      <x:c r="ID160" s="14"/>
      <x:c r="IE160" s="14"/>
      <x:c r="IF160" s="14"/>
      <x:c r="IG160" s="14"/>
      <x:c r="IH160" s="14"/>
      <x:c r="II160" s="14"/>
      <x:c r="IJ160" s="14"/>
      <x:c r="IK160" s="14"/>
      <x:c r="IL160" s="14"/>
      <x:c r="IM160" s="14"/>
      <x:c r="IN160" s="14"/>
      <x:c r="IO160" s="14"/>
      <x:c r="IP160" s="14"/>
      <x:c r="IQ160" s="14"/>
      <x:c r="IR160" s="14"/>
      <x:c r="IS160" s="14"/>
      <x:c r="IT160" s="14"/>
      <x:c r="IU160" s="14"/>
      <x:c r="IV160" s="14"/>
      <x:c r="IW160" s="14"/>
      <x:c r="IX160" s="14"/>
      <x:c r="IY160" s="14"/>
      <x:c r="IZ160" s="14"/>
      <x:c r="JA160" s="14"/>
      <x:c r="JB160" s="14"/>
      <x:c r="JC160" s="14"/>
      <x:c r="JD160" s="14"/>
      <x:c r="JE160" s="14"/>
      <x:c r="JF160" s="14"/>
      <x:c r="JG160" s="14"/>
      <x:c r="JH160" s="14"/>
      <x:c r="JI160" s="14"/>
      <x:c r="JJ160" s="14"/>
      <x:c r="JK160" s="14"/>
      <x:c r="JL160" s="14"/>
      <x:c r="JM160" s="14"/>
      <x:c r="JN160" s="14"/>
      <x:c r="JO160" s="14"/>
      <x:c r="JP160" s="14"/>
      <x:c r="JQ160" s="14"/>
      <x:c r="JR160" s="14"/>
      <x:c r="JS160" s="14"/>
      <x:c r="JT160" s="14"/>
      <x:c r="JU160" s="14"/>
      <x:c r="JV160" s="14"/>
      <x:c r="JW160" s="14"/>
      <x:c r="JX160" s="14"/>
      <x:c r="JY160" s="14"/>
      <x:c r="JZ160" s="14"/>
      <x:c r="KA160" s="14"/>
      <x:c r="KB160" s="14"/>
      <x:c r="KC160" s="14"/>
      <x:c r="KD160" s="14"/>
      <x:c r="KE160" s="14"/>
      <x:c r="KF160" s="14"/>
      <x:c r="KG160" s="14"/>
      <x:c r="KH160" s="14"/>
      <x:c r="KI160" s="14"/>
      <x:c r="KJ160" s="14"/>
      <x:c r="KK160" s="14"/>
      <x:c r="KL160" s="14"/>
      <x:c r="KM160" s="14"/>
      <x:c r="KN160" s="14"/>
      <x:c r="KO160" s="14"/>
      <x:c r="KP160" s="14"/>
      <x:c r="KQ160" s="14"/>
      <x:c r="KR160" s="14"/>
      <x:c r="KS160" s="14"/>
      <x:c r="KT160" s="14"/>
      <x:c r="KU160" s="14"/>
      <x:c r="KV160" s="14"/>
      <x:c r="KW160" s="14"/>
      <x:c r="KX160" s="14"/>
      <x:c r="KY160" s="14"/>
      <x:c r="KZ160" s="14"/>
      <x:c r="LA160" s="14"/>
      <x:c r="LB160" s="14"/>
      <x:c r="LC160" s="14"/>
      <x:c r="LD160" s="14"/>
      <x:c r="LE160" s="14"/>
      <x:c r="LF160" s="14"/>
      <x:c r="LG160" s="14"/>
      <x:c r="LH160" s="14"/>
      <x:c r="LI160" s="14"/>
      <x:c r="LJ160" s="14"/>
      <x:c r="LK160" s="14"/>
      <x:c r="LL160" s="14"/>
      <x:c r="LM160" s="14"/>
      <x:c r="LN160" s="14"/>
      <x:c r="LO160" s="14"/>
      <x:c r="LP160" s="14"/>
      <x:c r="LQ160" s="14"/>
      <x:c r="LR160" s="14"/>
      <x:c r="LS160" s="14"/>
      <x:c r="LT160" s="14"/>
      <x:c r="LU160" s="14"/>
      <x:c r="LV160" s="14"/>
      <x:c r="LW160" s="14"/>
      <x:c r="LX160" s="14"/>
      <x:c r="LY160" s="14"/>
      <x:c r="LZ160" s="14"/>
      <x:c r="MA160" s="14"/>
      <x:c r="MB160" s="14"/>
      <x:c r="MC160" s="14"/>
      <x:c r="MD160" s="14"/>
      <x:c r="ME160" s="14"/>
      <x:c r="MF160" s="14"/>
      <x:c r="MG160" s="14"/>
      <x:c r="MH160" s="14"/>
      <x:c r="MI160" s="14"/>
      <x:c r="MJ160" s="14"/>
      <x:c r="MK160" s="14"/>
      <x:c r="ML160" s="14"/>
      <x:c r="MM160" s="14"/>
      <x:c r="MN160" s="14"/>
      <x:c r="MO160" s="14"/>
      <x:c r="MP160" s="14"/>
      <x:c r="MQ160" s="14"/>
      <x:c r="MR160" s="14"/>
      <x:c r="MS160" s="14"/>
      <x:c r="MT160" s="14"/>
      <x:c r="MU160" s="14"/>
      <x:c r="MV160" s="14"/>
      <x:c r="MW160" s="14"/>
      <x:c r="MX160" s="14"/>
      <x:c r="MY160" s="14"/>
      <x:c r="MZ160" s="14"/>
      <x:c r="NA160" s="14"/>
      <x:c r="NB160" s="14"/>
      <x:c r="NC160" s="14"/>
      <x:c r="ND160" s="14"/>
      <x:c r="NE160" s="14"/>
      <x:c r="NF160" s="14"/>
      <x:c r="NG160" s="14"/>
      <x:c r="NH160" s="14"/>
      <x:c r="NI160" s="14"/>
      <x:c r="NJ160" s="14"/>
      <x:c r="NK160" s="14"/>
      <x:c r="NL160" s="14"/>
      <x:c r="NM160" s="14"/>
      <x:c r="NN160" s="14"/>
      <x:c r="NO160" s="14"/>
      <x:c r="NP160" s="14"/>
      <x:c r="NQ160" s="14"/>
      <x:c r="NR160" s="14"/>
      <x:c r="NS160" s="14"/>
      <x:c r="NT160" s="14"/>
      <x:c r="NU160" s="14"/>
      <x:c r="NV160" s="14"/>
      <x:c r="NW160" s="14"/>
      <x:c r="NX160" s="14"/>
      <x:c r="NY160" s="14" t="str">
        <x:v>31190</x:v>
      </x:c>
      <x:c r="NZ160" s="14" t="n">
        <x:v>5</x:v>
      </x:c>
      <x:c r="OA160" s="14" t="n">
        <x:v>2642</x:v>
      </x:c>
      <x:c r="OB160" s="14" t="n">
        <x:v>541</x:v>
      </x:c>
      <x:c r="OC160" s="14" t="n">
        <x:v>16</x:v>
      </x:c>
      <x:c r="OD160" s="14" t="n">
        <x:v>1</x:v>
      </x:c>
      <x:c r="OE160" s="14" t="str">
        <x:v>未收錄</x:v>
      </x:c>
      <x:c r="OF160" s="14" t="str">
        <x:v>31195</x:v>
      </x:c>
      <x:c r="OG160" s="14" t="n">
        <x:v>5</x:v>
      </x:c>
      <x:c r="OH160" s="14" t="n">
        <x:v>2643</x:v>
      </x:c>
      <x:c r="OI160" s="14" t="n">
        <x:v>542</x:v>
      </x:c>
      <x:c r="OJ160" s="14" t="n">
        <x:v>16</x:v>
      </x:c>
      <x:c r="OK160" s="14" t="n">
        <x:v>2</x:v>
      </x:c>
      <x:c r="OL160" s="14" t="str">
        <x:v>未收錄</x:v>
      </x:c>
      <x:c r="OM160" s="14" t="str">
        <x:v>31200</x:v>
      </x:c>
      <x:c r="ON160" s="14" t="n">
        <x:v>5</x:v>
      </x:c>
      <x:c r="OO160" s="14" t="n">
        <x:v>2644</x:v>
      </x:c>
      <x:c r="OP160" s="14" t="n">
        <x:v>543</x:v>
      </x:c>
      <x:c r="OQ160" s="14" t="n">
        <x:v>16</x:v>
      </x:c>
      <x:c r="OR160" s="14" t="n">
        <x:v>3</x:v>
      </x:c>
      <x:c r="OS160" s="14" t="str">
        <x:v>未收錄</x:v>
      </x:c>
      <x:c r="OT160" s="14" t="str">
        <x:v>31280</x:v>
      </x:c>
      <x:c r="OU160" s="14" t="n">
        <x:v>10</x:v>
      </x:c>
      <x:c r="OV160" s="14" t="n">
        <x:v>2645</x:v>
      </x:c>
      <x:c r="OW160" s="14" t="n">
        <x:v>544</x:v>
      </x:c>
      <x:c r="OX160" s="14" t="n">
        <x:v>16</x:v>
      </x:c>
      <x:c r="OY160" s="14" t="n">
        <x:v>4</x:v>
      </x:c>
      <x:c r="OZ160" s="14" t="str">
        <x:v>未收錄</x:v>
      </x:c>
      <x:c r="PA160" s="14"/>
      <x:c r="PB160" s="14"/>
      <x:c r="PC160" s="14"/>
      <x:c r="PD160" s="14"/>
      <x:c r="PE160" s="14"/>
      <x:c r="PF160" s="14"/>
      <x:c r="PG160" s="14"/>
      <x:c r="PH160" s="14"/>
      <x:c r="PI160" s="14"/>
      <x:c r="PJ160" s="14"/>
      <x:c r="PK160" s="14"/>
      <x:c r="PL160" s="14"/>
      <x:c r="PM160" s="14"/>
      <x:c r="PN160" s="14"/>
      <x:c r="PO160" s="14"/>
      <x:c r="PP160" s="14"/>
      <x:c r="PQ160" s="14"/>
      <x:c r="PR160" s="14"/>
      <x:c r="PS160" s="14"/>
      <x:c r="PT160" s="14"/>
      <x:c r="PU160" s="14"/>
      <x:c r="PV160" s="14"/>
      <x:c r="PW160" s="14"/>
      <x:c r="PX160" s="14"/>
      <x:c r="PY160" s="14"/>
      <x:c r="PZ160" s="14"/>
      <x:c r="QA160" s="14"/>
      <x:c r="QB160" s="14"/>
      <x:c r="QC160" s="14"/>
      <x:c r="QD160" s="14"/>
      <x:c r="QE160" s="14"/>
      <x:c r="QF160" s="14"/>
      <x:c r="QG160" s="14"/>
      <x:c r="QH160" s="14"/>
      <x:c r="QI160" s="14"/>
      <x:c r="QJ160" s="14"/>
      <x:c r="QK160" s="14"/>
      <x:c r="QL160" s="14"/>
      <x:c r="QM160" s="14"/>
      <x:c r="QN160" s="14"/>
      <x:c r="QO160" s="14"/>
      <x:c r="QP160" s="14"/>
      <x:c r="QQ160" s="14"/>
      <x:c r="QR160" s="14"/>
      <x:c r="QS160" s="14"/>
      <x:c r="QT160" s="14"/>
      <x:c r="QU160" s="14"/>
      <x:c r="QV160" s="14"/>
      <x:c r="QW160" s="14"/>
      <x:c r="QX160" s="14"/>
      <x:c r="QY160" s="14"/>
      <x:c r="QZ160" s="14"/>
      <x:c r="RA160" s="14"/>
      <x:c r="RB160" s="14"/>
      <x:c r="RC160" s="14"/>
      <x:c r="RD160" s="14"/>
      <x:c r="RE160" s="14"/>
      <x:c r="RF160" s="14"/>
      <x:c r="RG160" s="14"/>
      <x:c r="RH160" s="14"/>
      <x:c r="RI160" s="14"/>
      <x:c r="RJ160" s="14"/>
      <x:c r="RK160" s="14"/>
      <x:c r="RL160" s="14"/>
      <x:c r="RM160" s="14"/>
      <x:c r="RN160" s="14"/>
      <x:c r="RO160" s="14"/>
      <x:c r="RP160" s="14"/>
      <x:c r="RQ160" s="14"/>
      <x:c r="RR160" s="14"/>
      <x:c r="RS160" s="14"/>
      <x:c r="RT160" s="14"/>
      <x:c r="RU160" s="14"/>
      <x:c r="RV160" s="14"/>
      <x:c r="RW160" s="14"/>
      <x:c r="RX160" s="14"/>
      <x:c r="RY160" s="14"/>
      <x:c r="RZ160" s="14"/>
      <x:c r="SA160" s="14"/>
      <x:c r="SB160" s="14"/>
      <x:c r="SC160" s="14"/>
      <x:c r="SD160" s="14"/>
      <x:c r="SE160" s="14"/>
      <x:c r="SF160" s="14"/>
      <x:c r="SG160" s="14"/>
      <x:c r="SH160" s="14"/>
      <x:c r="SI160" s="14"/>
      <x:c r="SJ160" s="14"/>
      <x:c r="SK160" s="14"/>
      <x:c r="SL160" s="14"/>
      <x:c r="SM160" s="14"/>
      <x:c r="SN160" s="14"/>
      <x:c r="SO160" s="14"/>
      <x:c r="SP160" s="14"/>
      <x:c r="SQ160" s="14"/>
      <x:c r="SR160" s="14"/>
      <x:c r="SS160" s="14"/>
      <x:c r="ST160" s="14"/>
      <x:c r="SU160" s="14"/>
      <x:c r="SV160" s="14"/>
      <x:c r="SW160" s="14"/>
      <x:c r="SX160" s="14"/>
      <x:c r="SY160" s="14"/>
      <x:c r="SZ160" s="14"/>
      <x:c r="TA160" s="14"/>
      <x:c r="TB160" s="14"/>
      <x:c r="TC160" s="14"/>
      <x:c r="TD160" s="14"/>
      <x:c r="TE160" s="14"/>
      <x:c r="TF160" s="14"/>
      <x:c r="TG160" s="14"/>
      <x:c r="TH160" s="14"/>
    </x:row>
    <x:row r="161" ht="15" customHeight="1">
      <x:c r="A161" s="14"/>
      <x:c r="B161" s="14"/>
      <x:c r="C161" s="14"/>
      <x:c r="D161" s="14"/>
      <x:c r="E161" s="14"/>
      <x:c r="F161" s="14"/>
      <x:c r="G161" s="14"/>
      <x:c r="H161" s="14"/>
      <x:c r="I161" s="14"/>
      <x:c r="J161" s="14"/>
      <x:c r="K161" s="14"/>
      <x:c r="L161" s="14"/>
      <x:c r="M161" s="14"/>
      <x:c r="N161" s="14"/>
      <x:c r="O161" s="14"/>
      <x:c r="P161" s="14"/>
      <x:c r="Q161" s="14"/>
      <x:c r="R161" s="14"/>
      <x:c r="S161" s="14"/>
      <x:c r="T161" s="14"/>
      <x:c r="U161" s="14"/>
      <x:c r="V161" s="14"/>
      <x:c r="W161" s="14"/>
      <x:c r="X161" s="14"/>
      <x:c r="Y161" s="14"/>
      <x:c r="Z161" s="14"/>
      <x:c r="AA161" s="14"/>
      <x:c r="AB161" s="14"/>
      <x:c r="AC161" s="14"/>
      <x:c r="AD161" s="14"/>
      <x:c r="AE161" s="14"/>
      <x:c r="AF161" s="14"/>
      <x:c r="AG161" s="14"/>
      <x:c r="AH161" s="14"/>
      <x:c r="AI161" s="14"/>
      <x:c r="AJ161" s="14"/>
      <x:c r="AK161" s="14"/>
      <x:c r="AL161" s="14"/>
      <x:c r="AM161" s="14"/>
      <x:c r="AN161" s="14"/>
      <x:c r="AO161" s="14"/>
      <x:c r="AP161" s="14"/>
      <x:c r="AQ161" s="14"/>
      <x:c r="AR161" s="14"/>
      <x:c r="AS161" s="14"/>
      <x:c r="AT161" s="14"/>
      <x:c r="AU161" s="14"/>
      <x:c r="AV161" s="14"/>
      <x:c r="AW161" s="14"/>
      <x:c r="AX161" s="14"/>
      <x:c r="AY161" s="14"/>
      <x:c r="AZ161" s="14"/>
      <x:c r="BA161" s="14"/>
      <x:c r="BB161" s="14"/>
      <x:c r="BC161" s="14"/>
      <x:c r="BD161" s="17" t="str">
        <x:v>凜月霜襟Ⅴ</x:v>
      </x:c>
      <x:c r="BE161" s="17" t="str">
        <x:v>舞星鈦甲Ⅴ</x:v>
      </x:c>
      <x:c r="BF161" s="17"/>
      <x:c r="BG161" s="17"/>
      <x:c r="BH161" s="14"/>
      <x:c r="BI161" s="14"/>
      <x:c r="BJ161" s="14"/>
      <x:c r="BK161" s="14"/>
      <x:c r="BL161" s="14"/>
      <x:c r="BM161" s="14"/>
      <x:c r="BN161" s="14"/>
      <x:c r="BO161" s="14"/>
      <x:c r="BP161" s="14"/>
      <x:c r="BQ161" s="14"/>
      <x:c r="BR161" s="14"/>
      <x:c r="BS161" s="14"/>
      <x:c r="BT161" s="14"/>
      <x:c r="BU161" s="14"/>
      <x:c r="BV161" s="14"/>
      <x:c r="BW161" s="14"/>
      <x:c r="BX161" s="14"/>
      <x:c r="BY161" s="14"/>
      <x:c r="BZ161" s="14"/>
      <x:c r="CA161" s="14"/>
      <x:c r="CB161" s="14"/>
      <x:c r="CC161" s="14"/>
      <x:c r="CD161" s="14"/>
      <x:c r="CE161" s="14"/>
      <x:c r="CF161" s="14"/>
      <x:c r="CG161" s="14"/>
      <x:c r="CH161" s="14"/>
      <x:c r="CI161" s="14"/>
      <x:c r="CJ161" s="14"/>
      <x:c r="CK161" s="14"/>
      <x:c r="CL161" s="14"/>
      <x:c r="CM161" s="14"/>
      <x:c r="CN161" s="14"/>
      <x:c r="CO161" s="14"/>
      <x:c r="CP161" s="14"/>
      <x:c r="CQ161" s="14"/>
      <x:c r="CR161" s="14"/>
      <x:c r="CS161" s="14"/>
      <x:c r="CT161" s="14"/>
      <x:c r="CU161" s="14"/>
      <x:c r="CV161" s="14"/>
      <x:c r="CW161" s="14"/>
      <x:c r="CX161" s="14"/>
      <x:c r="CY161" s="14"/>
      <x:c r="CZ161" s="14"/>
      <x:c r="DA161" s="14"/>
      <x:c r="DB161" s="14"/>
      <x:c r="DC161" s="14"/>
      <x:c r="DD161" s="14"/>
      <x:c r="DE161" s="14"/>
      <x:c r="DF161" s="14"/>
      <x:c r="DG161" s="14"/>
      <x:c r="DH161" s="14"/>
      <x:c r="DI161" s="14"/>
      <x:c r="DJ161" s="14"/>
      <x:c r="DK161" s="14"/>
      <x:c r="DL161" s="14"/>
      <x:c r="DM161" s="14"/>
      <x:c r="DN161" s="14"/>
      <x:c r="DO161" s="14"/>
      <x:c r="DP161" s="14"/>
      <x:c r="DQ161" s="14"/>
      <x:c r="DR161" s="14"/>
      <x:c r="DS161" s="14"/>
      <x:c r="DT161" s="14"/>
      <x:c r="DU161" s="14"/>
      <x:c r="DV161" s="14"/>
      <x:c r="DW161" s="14"/>
      <x:c r="DX161" s="14"/>
      <x:c r="DY161" s="14"/>
      <x:c r="DZ161" s="14"/>
      <x:c r="EA161" s="14"/>
      <x:c r="EB161" s="14"/>
      <x:c r="EC161" s="14"/>
      <x:c r="ED161" s="14"/>
      <x:c r="EE161" s="14"/>
      <x:c r="EF161" s="14"/>
      <x:c r="EG161" s="14"/>
      <x:c r="EH161" s="14"/>
      <x:c r="EI161" s="14"/>
      <x:c r="EJ161" s="14"/>
      <x:c r="EK161" s="14"/>
      <x:c r="EL161" s="14"/>
      <x:c r="EM161" s="14"/>
      <x:c r="EN161" s="14"/>
      <x:c r="EO161" s="14"/>
      <x:c r="EP161" s="14"/>
      <x:c r="EQ161" s="14"/>
      <x:c r="ER161" s="14"/>
      <x:c r="ES161" s="14"/>
      <x:c r="ET161" s="14"/>
      <x:c r="EU161" s="14"/>
      <x:c r="EV161" s="14"/>
      <x:c r="EW161" s="14"/>
      <x:c r="EX161" s="14"/>
      <x:c r="EY161" s="14"/>
      <x:c r="EZ161" s="14"/>
      <x:c r="FA161" s="14"/>
      <x:c r="FB161" s="14"/>
      <x:c r="FC161" s="14"/>
      <x:c r="FD161" s="14"/>
      <x:c r="FE161" s="14"/>
      <x:c r="FF161" s="14"/>
      <x:c r="FG161" s="14"/>
      <x:c r="FH161" s="14"/>
      <x:c r="FI161" s="14"/>
      <x:c r="FJ161" s="14"/>
      <x:c r="FK161" s="14"/>
      <x:c r="FL161" s="14"/>
      <x:c r="FM161" s="14"/>
      <x:c r="FN161" s="14"/>
      <x:c r="FO161" s="14"/>
      <x:c r="FP161" s="14"/>
      <x:c r="FQ161" s="14"/>
      <x:c r="FR161" s="14"/>
      <x:c r="FS161" s="14"/>
      <x:c r="FT161" s="14"/>
      <x:c r="FU161" s="14"/>
      <x:c r="FV161" s="14"/>
      <x:c r="FW161" s="14"/>
      <x:c r="FX161" s="14"/>
      <x:c r="FY161" s="14"/>
      <x:c r="FZ161" s="14"/>
      <x:c r="GA161" s="14"/>
      <x:c r="GB161" s="14"/>
      <x:c r="GC161" s="14"/>
      <x:c r="GD161" s="14"/>
      <x:c r="GE161" s="14"/>
      <x:c r="GF161" s="14"/>
      <x:c r="GG161" s="14"/>
      <x:c r="GH161" s="14"/>
      <x:c r="GI161" s="14"/>
      <x:c r="GJ161" s="14"/>
      <x:c r="GK161" s="14"/>
      <x:c r="GL161" s="14"/>
      <x:c r="GM161" s="14"/>
      <x:c r="GN161" s="14"/>
      <x:c r="GO161" s="14"/>
      <x:c r="GP161" s="14"/>
      <x:c r="GQ161" s="14"/>
      <x:c r="GR161" s="14"/>
      <x:c r="GS161" s="14"/>
      <x:c r="GT161" s="14"/>
      <x:c r="GU161" s="14"/>
      <x:c r="GV161" s="14"/>
      <x:c r="GW161" s="14"/>
      <x:c r="GX161" s="14"/>
      <x:c r="GY161" s="14"/>
      <x:c r="GZ161" s="14"/>
      <x:c r="HA161" s="14"/>
      <x:c r="HB161" s="14"/>
      <x:c r="HC161" s="14"/>
      <x:c r="HD161" s="14"/>
      <x:c r="HE161" s="14"/>
      <x:c r="HF161" s="14"/>
      <x:c r="HG161" s="14"/>
      <x:c r="HH161" s="14"/>
      <x:c r="HI161" s="14"/>
      <x:c r="HJ161" s="14"/>
      <x:c r="HK161" s="14"/>
      <x:c r="HL161" s="14"/>
      <x:c r="HM161" s="14"/>
      <x:c r="HN161" s="14"/>
      <x:c r="HO161" s="14"/>
      <x:c r="HP161" s="14"/>
      <x:c r="HQ161" s="14"/>
      <x:c r="HR161" s="14"/>
      <x:c r="HS161" s="14"/>
      <x:c r="HT161" s="14"/>
      <x:c r="HU161" s="14"/>
      <x:c r="HV161" s="14"/>
      <x:c r="HW161" s="14"/>
      <x:c r="HX161" s="14"/>
      <x:c r="HY161" s="14"/>
      <x:c r="HZ161" s="14"/>
      <x:c r="IA161" s="14"/>
      <x:c r="IB161" s="14"/>
      <x:c r="IC161" s="14"/>
      <x:c r="ID161" s="14"/>
      <x:c r="IE161" s="14"/>
      <x:c r="IF161" s="14"/>
      <x:c r="IG161" s="14"/>
      <x:c r="IH161" s="14"/>
      <x:c r="II161" s="14"/>
      <x:c r="IJ161" s="14"/>
      <x:c r="IK161" s="14"/>
      <x:c r="IL161" s="14"/>
      <x:c r="IM161" s="14"/>
      <x:c r="IN161" s="14"/>
      <x:c r="IO161" s="14"/>
      <x:c r="IP161" s="14"/>
      <x:c r="IQ161" s="14"/>
      <x:c r="IR161" s="14"/>
      <x:c r="IS161" s="14"/>
      <x:c r="IT161" s="14"/>
      <x:c r="IU161" s="14"/>
      <x:c r="IV161" s="14"/>
      <x:c r="IW161" s="14"/>
      <x:c r="IX161" s="14"/>
      <x:c r="IY161" s="14"/>
      <x:c r="IZ161" s="14"/>
      <x:c r="JA161" s="14"/>
      <x:c r="JB161" s="14"/>
      <x:c r="JC161" s="14"/>
      <x:c r="JD161" s="14"/>
      <x:c r="JE161" s="14"/>
      <x:c r="JF161" s="14"/>
      <x:c r="JG161" s="14"/>
      <x:c r="JH161" s="14"/>
      <x:c r="JI161" s="14"/>
      <x:c r="JJ161" s="14"/>
      <x:c r="JK161" s="14"/>
      <x:c r="JL161" s="14"/>
      <x:c r="JM161" s="14"/>
      <x:c r="JN161" s="14"/>
      <x:c r="JO161" s="14"/>
      <x:c r="JP161" s="14"/>
      <x:c r="JQ161" s="14"/>
      <x:c r="JR161" s="14"/>
      <x:c r="JS161" s="14"/>
      <x:c r="JT161" s="14"/>
      <x:c r="JU161" s="14"/>
      <x:c r="JV161" s="14"/>
      <x:c r="JW161" s="14"/>
      <x:c r="JX161" s="14"/>
      <x:c r="JY161" s="14"/>
      <x:c r="JZ161" s="14"/>
      <x:c r="KA161" s="14"/>
      <x:c r="KB161" s="14"/>
      <x:c r="KC161" s="14"/>
      <x:c r="KD161" s="14"/>
      <x:c r="KE161" s="14"/>
      <x:c r="KF161" s="14"/>
      <x:c r="KG161" s="14"/>
      <x:c r="KH161" s="14"/>
      <x:c r="KI161" s="14"/>
      <x:c r="KJ161" s="14"/>
      <x:c r="KK161" s="14"/>
      <x:c r="KL161" s="14"/>
      <x:c r="KM161" s="14"/>
      <x:c r="KN161" s="14"/>
      <x:c r="KO161" s="14"/>
      <x:c r="KP161" s="14"/>
      <x:c r="KQ161" s="14"/>
      <x:c r="KR161" s="14"/>
      <x:c r="KS161" s="14"/>
      <x:c r="KT161" s="14"/>
      <x:c r="KU161" s="14"/>
      <x:c r="KV161" s="14"/>
      <x:c r="KW161" s="14"/>
      <x:c r="KX161" s="14"/>
      <x:c r="KY161" s="14"/>
      <x:c r="KZ161" s="14"/>
      <x:c r="LA161" s="14"/>
      <x:c r="LB161" s="14"/>
      <x:c r="LC161" s="14"/>
      <x:c r="LD161" s="14"/>
      <x:c r="LE161" s="14"/>
      <x:c r="LF161" s="14"/>
      <x:c r="LG161" s="14"/>
      <x:c r="LH161" s="14"/>
      <x:c r="LI161" s="14"/>
      <x:c r="LJ161" s="14"/>
      <x:c r="LK161" s="14"/>
      <x:c r="LL161" s="14"/>
      <x:c r="LM161" s="14"/>
      <x:c r="LN161" s="14"/>
      <x:c r="LO161" s="14"/>
      <x:c r="LP161" s="14"/>
      <x:c r="LQ161" s="14"/>
      <x:c r="LR161" s="14"/>
      <x:c r="LS161" s="14"/>
      <x:c r="LT161" s="14"/>
      <x:c r="LU161" s="14"/>
      <x:c r="LV161" s="14"/>
      <x:c r="LW161" s="14"/>
      <x:c r="LX161" s="14"/>
      <x:c r="LY161" s="14"/>
      <x:c r="LZ161" s="14"/>
      <x:c r="MA161" s="14"/>
      <x:c r="MB161" s="14"/>
      <x:c r="MC161" s="14"/>
      <x:c r="MD161" s="14"/>
      <x:c r="ME161" s="14"/>
      <x:c r="MF161" s="14"/>
      <x:c r="MG161" s="14"/>
      <x:c r="MH161" s="14"/>
      <x:c r="MI161" s="14"/>
      <x:c r="MJ161" s="14"/>
      <x:c r="MK161" s="14"/>
      <x:c r="ML161" s="14"/>
      <x:c r="MM161" s="14"/>
      <x:c r="MN161" s="14"/>
      <x:c r="MO161" s="14"/>
      <x:c r="MP161" s="14"/>
      <x:c r="MQ161" s="14"/>
      <x:c r="MR161" s="14"/>
      <x:c r="MS161" s="14"/>
      <x:c r="MT161" s="14"/>
      <x:c r="MU161" s="14"/>
      <x:c r="MV161" s="14"/>
      <x:c r="MW161" s="14"/>
      <x:c r="MX161" s="14"/>
      <x:c r="MY161" s="14"/>
      <x:c r="MZ161" s="14"/>
      <x:c r="NA161" s="14"/>
      <x:c r="NB161" s="14"/>
      <x:c r="NC161" s="14"/>
      <x:c r="ND161" s="14"/>
      <x:c r="NE161" s="14"/>
      <x:c r="NF161" s="14"/>
      <x:c r="NG161" s="14"/>
      <x:c r="NH161" s="14"/>
      <x:c r="NI161" s="14"/>
      <x:c r="NJ161" s="14"/>
      <x:c r="NK161" s="14"/>
      <x:c r="NL161" s="14"/>
      <x:c r="NM161" s="14"/>
      <x:c r="NN161" s="14"/>
      <x:c r="NO161" s="14"/>
      <x:c r="NP161" s="14"/>
      <x:c r="NQ161" s="14"/>
      <x:c r="NR161" s="14"/>
      <x:c r="NS161" s="14"/>
      <x:c r="NT161" s="14"/>
      <x:c r="NU161" s="14"/>
      <x:c r="NV161" s="14"/>
      <x:c r="NW161" s="14"/>
      <x:c r="NX161" s="14"/>
      <x:c r="NY161" s="14" t="str">
        <x:v>31300</x:v>
      </x:c>
      <x:c r="NZ161" s="14" t="n">
        <x:v>10</x:v>
      </x:c>
      <x:c r="OA161" s="14" t="n">
        <x:v>2646</x:v>
      </x:c>
      <x:c r="OB161" s="14" t="n">
        <x:v>545</x:v>
      </x:c>
      <x:c r="OC161" s="14" t="n">
        <x:v>17</x:v>
      </x:c>
      <x:c r="OD161" s="14" t="n">
        <x:v>1</x:v>
      </x:c>
      <x:c r="OE161" s="14" t="str">
        <x:v>未收錄</x:v>
      </x:c>
      <x:c r="OF161" s="14" t="str">
        <x:v>31320</x:v>
      </x:c>
      <x:c r="OG161" s="14" t="n">
        <x:v>10</x:v>
      </x:c>
      <x:c r="OH161" s="14" t="n">
        <x:v>2647</x:v>
      </x:c>
      <x:c r="OI161" s="14" t="n">
        <x:v>546</x:v>
      </x:c>
      <x:c r="OJ161" s="14" t="n">
        <x:v>17</x:v>
      </x:c>
      <x:c r="OK161" s="14" t="n">
        <x:v>2</x:v>
      </x:c>
      <x:c r="OL161" s="14" t="str">
        <x:v>未收錄</x:v>
      </x:c>
      <x:c r="OM161" s="14"/>
      <x:c r="ON161" s="14"/>
      <x:c r="OO161" s="14"/>
      <x:c r="OP161" s="14"/>
      <x:c r="OQ161" s="14"/>
      <x:c r="OR161" s="14"/>
      <x:c r="OS161" s="14"/>
      <x:c r="OT161" s="14"/>
      <x:c r="OU161" s="14"/>
      <x:c r="OV161" s="14"/>
      <x:c r="OW161" s="14"/>
      <x:c r="OX161" s="14"/>
      <x:c r="OY161" s="14"/>
      <x:c r="OZ161" s="14"/>
      <x:c r="PA161" s="14"/>
      <x:c r="PB161" s="14"/>
      <x:c r="PC161" s="14"/>
      <x:c r="PD161" s="14"/>
      <x:c r="PE161" s="14"/>
      <x:c r="PF161" s="14"/>
      <x:c r="PG161" s="14"/>
      <x:c r="PH161" s="14"/>
      <x:c r="PI161" s="14"/>
      <x:c r="PJ161" s="14"/>
      <x:c r="PK161" s="14"/>
      <x:c r="PL161" s="14"/>
      <x:c r="PM161" s="14"/>
      <x:c r="PN161" s="14"/>
      <x:c r="PO161" s="14"/>
      <x:c r="PP161" s="14"/>
      <x:c r="PQ161" s="14"/>
      <x:c r="PR161" s="14"/>
      <x:c r="PS161" s="14"/>
      <x:c r="PT161" s="14"/>
      <x:c r="PU161" s="14"/>
      <x:c r="PV161" s="14"/>
      <x:c r="PW161" s="14"/>
      <x:c r="PX161" s="14"/>
      <x:c r="PY161" s="14"/>
      <x:c r="PZ161" s="14"/>
      <x:c r="QA161" s="14"/>
      <x:c r="QB161" s="14"/>
      <x:c r="QC161" s="14"/>
      <x:c r="QD161" s="14"/>
      <x:c r="QE161" s="14"/>
      <x:c r="QF161" s="14"/>
      <x:c r="QG161" s="14"/>
      <x:c r="QH161" s="14"/>
      <x:c r="QI161" s="14"/>
      <x:c r="QJ161" s="14"/>
      <x:c r="QK161" s="14"/>
      <x:c r="QL161" s="14"/>
      <x:c r="QM161" s="14"/>
      <x:c r="QN161" s="14"/>
      <x:c r="QO161" s="14"/>
      <x:c r="QP161" s="14"/>
      <x:c r="QQ161" s="14"/>
      <x:c r="QR161" s="14"/>
      <x:c r="QS161" s="14"/>
      <x:c r="QT161" s="14"/>
      <x:c r="QU161" s="14"/>
      <x:c r="QV161" s="14"/>
      <x:c r="QW161" s="14"/>
      <x:c r="QX161" s="14"/>
      <x:c r="QY161" s="14"/>
      <x:c r="QZ161" s="14"/>
      <x:c r="RA161" s="14"/>
      <x:c r="RB161" s="14"/>
      <x:c r="RC161" s="14"/>
      <x:c r="RD161" s="14"/>
      <x:c r="RE161" s="14"/>
      <x:c r="RF161" s="14"/>
      <x:c r="RG161" s="14"/>
      <x:c r="RH161" s="14"/>
      <x:c r="RI161" s="14"/>
      <x:c r="RJ161" s="14"/>
      <x:c r="RK161" s="14"/>
      <x:c r="RL161" s="14"/>
      <x:c r="RM161" s="14"/>
      <x:c r="RN161" s="14"/>
      <x:c r="RO161" s="14"/>
      <x:c r="RP161" s="14"/>
      <x:c r="RQ161" s="14"/>
      <x:c r="RR161" s="14"/>
      <x:c r="RS161" s="14"/>
      <x:c r="RT161" s="14"/>
      <x:c r="RU161" s="14"/>
      <x:c r="RV161" s="14"/>
      <x:c r="RW161" s="14"/>
      <x:c r="RX161" s="14"/>
      <x:c r="RY161" s="14"/>
      <x:c r="RZ161" s="14"/>
      <x:c r="SA161" s="14"/>
      <x:c r="SB161" s="14"/>
      <x:c r="SC161" s="14"/>
      <x:c r="SD161" s="14"/>
      <x:c r="SE161" s="14"/>
      <x:c r="SF161" s="14"/>
      <x:c r="SG161" s="14"/>
      <x:c r="SH161" s="14"/>
      <x:c r="SI161" s="14"/>
      <x:c r="SJ161" s="14"/>
      <x:c r="SK161" s="14"/>
      <x:c r="SL161" s="14"/>
      <x:c r="SM161" s="14"/>
      <x:c r="SN161" s="14"/>
      <x:c r="SO161" s="14"/>
      <x:c r="SP161" s="14"/>
      <x:c r="SQ161" s="14"/>
      <x:c r="SR161" s="14"/>
      <x:c r="SS161" s="14"/>
      <x:c r="ST161" s="14"/>
      <x:c r="SU161" s="14"/>
      <x:c r="SV161" s="14"/>
      <x:c r="SW161" s="14"/>
      <x:c r="SX161" s="14"/>
      <x:c r="SY161" s="14"/>
      <x:c r="SZ161" s="14"/>
      <x:c r="TA161" s="14"/>
      <x:c r="TB161" s="14"/>
      <x:c r="TC161" s="14"/>
      <x:c r="TD161" s="14"/>
      <x:c r="TE161" s="14"/>
      <x:c r="TF161" s="14"/>
      <x:c r="TG161" s="14"/>
      <x:c r="TH161" s="14"/>
    </x:row>
    <x:row r="162">
      <x:c r="A162" s="14"/>
      <x:c r="B162" s="14"/>
      <x:c r="C162" s="14"/>
      <x:c r="D162" s="14"/>
      <x:c r="E162" s="14"/>
      <x:c r="F162" s="14"/>
      <x:c r="G162" s="14"/>
      <x:c r="H162" s="14"/>
      <x:c r="I162" s="14"/>
      <x:c r="J162" s="14"/>
      <x:c r="K162" s="14"/>
      <x:c r="L162" s="14"/>
      <x:c r="M162" s="14"/>
      <x:c r="N162" s="14"/>
      <x:c r="O162" s="14"/>
      <x:c r="P162" s="14"/>
      <x:c r="Q162" s="14"/>
      <x:c r="R162" s="14"/>
      <x:c r="S162" s="14"/>
      <x:c r="T162" s="14"/>
      <x:c r="U162" s="14"/>
      <x:c r="V162" s="14"/>
      <x:c r="W162" s="14"/>
      <x:c r="X162" s="14"/>
      <x:c r="Y162" s="14"/>
      <x:c r="Z162" s="14"/>
      <x:c r="AA162" s="14"/>
      <x:c r="AB162" s="14"/>
      <x:c r="AC162" s="14"/>
      <x:c r="AD162" s="14"/>
      <x:c r="AE162" s="14"/>
      <x:c r="AF162" s="14"/>
      <x:c r="AG162" s="14"/>
      <x:c r="AH162" s="14"/>
      <x:c r="AI162" s="14"/>
      <x:c r="AJ162" s="14"/>
      <x:c r="AK162" s="14"/>
      <x:c r="AL162" s="14"/>
      <x:c r="AM162" s="14"/>
      <x:c r="AN162" s="14"/>
      <x:c r="AO162" s="14"/>
      <x:c r="AP162" s="14"/>
      <x:c r="AQ162" s="14"/>
      <x:c r="AR162" s="14"/>
      <x:c r="AS162" s="14"/>
      <x:c r="AT162" s="14"/>
      <x:c r="AU162" s="14"/>
      <x:c r="AV162" s="14"/>
      <x:c r="AW162" s="14"/>
      <x:c r="AX162" s="14"/>
      <x:c r="AY162" s="14"/>
      <x:c r="AZ162" s="14"/>
      <x:c r="BA162" s="14"/>
      <x:c r="BB162" s="14"/>
      <x:c r="BC162" s="14"/>
      <x:c r="BD162" s="14"/>
      <x:c r="BE162" s="14"/>
      <x:c r="BF162" s="14"/>
      <x:c r="BG162" s="14"/>
      <x:c r="BH162" s="14"/>
      <x:c r="BI162" s="14"/>
      <x:c r="BJ162" s="14"/>
      <x:c r="BK162" s="14"/>
      <x:c r="BL162" s="14"/>
      <x:c r="BM162" s="14"/>
      <x:c r="BN162" s="14"/>
      <x:c r="BO162" s="14"/>
      <x:c r="BP162" s="14"/>
      <x:c r="BQ162" s="14"/>
      <x:c r="BR162" s="14"/>
      <x:c r="BS162" s="14"/>
      <x:c r="BT162" s="14"/>
      <x:c r="BU162" s="14"/>
      <x:c r="BV162" s="14"/>
      <x:c r="BW162" s="14"/>
      <x:c r="BX162" s="14"/>
      <x:c r="BY162" s="14"/>
      <x:c r="BZ162" s="14"/>
      <x:c r="CA162" s="14"/>
      <x:c r="CB162" s="14"/>
      <x:c r="CC162" s="14"/>
      <x:c r="CD162" s="14"/>
      <x:c r="CE162" s="14"/>
      <x:c r="CF162" s="14"/>
      <x:c r="CG162" s="14"/>
      <x:c r="CH162" s="14"/>
      <x:c r="CI162" s="14"/>
      <x:c r="CJ162" s="14"/>
      <x:c r="CK162" s="14"/>
      <x:c r="CL162" s="14"/>
      <x:c r="CM162" s="14"/>
      <x:c r="CN162" s="14"/>
      <x:c r="CO162" s="14"/>
      <x:c r="CP162" s="14"/>
      <x:c r="CQ162" s="14"/>
      <x:c r="CR162" s="14"/>
      <x:c r="CS162" s="14"/>
      <x:c r="CT162" s="14"/>
      <x:c r="CU162" s="14"/>
      <x:c r="CV162" s="14"/>
      <x:c r="CW162" s="14"/>
      <x:c r="CX162" s="14"/>
      <x:c r="CY162" s="14"/>
      <x:c r="CZ162" s="14"/>
      <x:c r="DA162" s="14"/>
      <x:c r="DB162" s="14"/>
      <x:c r="DC162" s="14"/>
      <x:c r="DD162" s="14"/>
      <x:c r="DE162" s="14"/>
      <x:c r="DF162" s="14"/>
      <x:c r="DG162" s="14"/>
      <x:c r="DH162" s="14"/>
      <x:c r="DI162" s="14"/>
      <x:c r="DJ162" s="14"/>
      <x:c r="DK162" s="14"/>
      <x:c r="DL162" s="14"/>
      <x:c r="DM162" s="14"/>
      <x:c r="DN162" s="14"/>
      <x:c r="DO162" s="14"/>
      <x:c r="DP162" s="14"/>
      <x:c r="DQ162" s="14"/>
      <x:c r="DR162" s="14"/>
      <x:c r="DS162" s="14"/>
      <x:c r="DT162" s="14"/>
      <x:c r="DU162" s="14"/>
      <x:c r="DV162" s="14"/>
      <x:c r="DW162" s="14"/>
      <x:c r="DX162" s="14"/>
      <x:c r="DY162" s="14"/>
      <x:c r="DZ162" s="14"/>
      <x:c r="EA162" s="14"/>
      <x:c r="EB162" s="14"/>
      <x:c r="EC162" s="14"/>
      <x:c r="ED162" s="14"/>
      <x:c r="EE162" s="14"/>
      <x:c r="EF162" s="14"/>
      <x:c r="EG162" s="14"/>
      <x:c r="EH162" s="14"/>
      <x:c r="EI162" s="14"/>
      <x:c r="EJ162" s="14"/>
      <x:c r="EK162" s="14"/>
      <x:c r="EL162" s="14"/>
      <x:c r="EM162" s="14"/>
      <x:c r="EN162" s="14"/>
      <x:c r="EO162" s="14"/>
      <x:c r="EP162" s="14"/>
      <x:c r="EQ162" s="14"/>
      <x:c r="ER162" s="14"/>
      <x:c r="ES162" s="14"/>
      <x:c r="ET162" s="14"/>
      <x:c r="EU162" s="14"/>
      <x:c r="EV162" s="14"/>
      <x:c r="EW162" s="14"/>
      <x:c r="EX162" s="14"/>
      <x:c r="EY162" s="14"/>
      <x:c r="EZ162" s="14"/>
      <x:c r="FA162" s="14"/>
      <x:c r="FB162" s="14"/>
      <x:c r="FC162" s="14"/>
      <x:c r="FD162" s="14"/>
      <x:c r="FE162" s="14"/>
      <x:c r="FF162" s="14"/>
      <x:c r="FG162" s="14"/>
      <x:c r="FH162" s="14"/>
      <x:c r="FI162" s="14"/>
      <x:c r="FJ162" s="14"/>
      <x:c r="FK162" s="14"/>
      <x:c r="FL162" s="14"/>
      <x:c r="FM162" s="14"/>
      <x:c r="FN162" s="14"/>
      <x:c r="FO162" s="14"/>
      <x:c r="FP162" s="14"/>
      <x:c r="FQ162" s="14"/>
      <x:c r="FR162" s="14"/>
      <x:c r="FS162" s="14"/>
      <x:c r="FT162" s="14"/>
      <x:c r="FU162" s="14"/>
      <x:c r="FV162" s="14"/>
      <x:c r="FW162" s="14"/>
      <x:c r="FX162" s="14"/>
      <x:c r="FY162" s="14"/>
      <x:c r="FZ162" s="14"/>
      <x:c r="GA162" s="14"/>
      <x:c r="GB162" s="14"/>
      <x:c r="GC162" s="14"/>
      <x:c r="GD162" s="14"/>
      <x:c r="GE162" s="14"/>
      <x:c r="GF162" s="14"/>
      <x:c r="GG162" s="14"/>
      <x:c r="GH162" s="14"/>
      <x:c r="GI162" s="14"/>
      <x:c r="GJ162" s="14"/>
      <x:c r="GK162" s="14"/>
      <x:c r="GL162" s="14"/>
      <x:c r="GM162" s="14"/>
      <x:c r="GN162" s="14"/>
      <x:c r="GO162" s="14"/>
      <x:c r="GP162" s="14"/>
      <x:c r="GQ162" s="14"/>
      <x:c r="GR162" s="14"/>
      <x:c r="GS162" s="14"/>
      <x:c r="GT162" s="14"/>
      <x:c r="GU162" s="14"/>
      <x:c r="GV162" s="14"/>
      <x:c r="GW162" s="14"/>
      <x:c r="GX162" s="14"/>
      <x:c r="GY162" s="14"/>
      <x:c r="GZ162" s="14"/>
      <x:c r="HA162" s="14"/>
      <x:c r="HB162" s="14"/>
      <x:c r="HC162" s="14"/>
      <x:c r="HD162" s="14"/>
      <x:c r="HE162" s="14"/>
      <x:c r="HF162" s="14"/>
      <x:c r="HG162" s="14"/>
      <x:c r="HH162" s="14"/>
      <x:c r="HI162" s="14"/>
      <x:c r="HJ162" s="14"/>
      <x:c r="HK162" s="14"/>
      <x:c r="HL162" s="14"/>
      <x:c r="HM162" s="14"/>
      <x:c r="HN162" s="14"/>
      <x:c r="HO162" s="14"/>
      <x:c r="HP162" s="14"/>
      <x:c r="HQ162" s="14"/>
      <x:c r="HR162" s="14"/>
      <x:c r="HS162" s="14"/>
      <x:c r="HT162" s="14"/>
      <x:c r="HU162" s="14"/>
      <x:c r="HV162" s="14"/>
      <x:c r="HW162" s="14"/>
      <x:c r="HX162" s="14"/>
      <x:c r="HY162" s="14"/>
      <x:c r="HZ162" s="14"/>
      <x:c r="IA162" s="14"/>
      <x:c r="IB162" s="14"/>
      <x:c r="IC162" s="14"/>
      <x:c r="ID162" s="14"/>
      <x:c r="IE162" s="14"/>
      <x:c r="IF162" s="14"/>
      <x:c r="IG162" s="14"/>
      <x:c r="IH162" s="14"/>
      <x:c r="II162" s="14"/>
      <x:c r="IJ162" s="14"/>
      <x:c r="IK162" s="14"/>
      <x:c r="IL162" s="14"/>
      <x:c r="IM162" s="14"/>
      <x:c r="IN162" s="14"/>
      <x:c r="IO162" s="14"/>
      <x:c r="IP162" s="14"/>
      <x:c r="IQ162" s="14"/>
      <x:c r="IR162" s="14"/>
      <x:c r="IS162" s="14"/>
      <x:c r="IT162" s="14"/>
      <x:c r="IU162" s="14"/>
      <x:c r="IV162" s="14"/>
      <x:c r="IW162" s="14"/>
      <x:c r="IX162" s="14"/>
      <x:c r="IY162" s="14"/>
      <x:c r="IZ162" s="14"/>
      <x:c r="JA162" s="14"/>
      <x:c r="JB162" s="14"/>
      <x:c r="JC162" s="14"/>
      <x:c r="JD162" s="14"/>
      <x:c r="JE162" s="14"/>
      <x:c r="JF162" s="14"/>
      <x:c r="JG162" s="14"/>
      <x:c r="JH162" s="14"/>
      <x:c r="JI162" s="14"/>
      <x:c r="JJ162" s="14"/>
      <x:c r="JK162" s="14"/>
      <x:c r="JL162" s="14"/>
      <x:c r="JM162" s="14"/>
      <x:c r="JN162" s="14"/>
      <x:c r="JO162" s="14"/>
      <x:c r="JP162" s="14"/>
      <x:c r="JQ162" s="14"/>
      <x:c r="JR162" s="14"/>
      <x:c r="JS162" s="14"/>
      <x:c r="JT162" s="14"/>
      <x:c r="JU162" s="14"/>
      <x:c r="JV162" s="14"/>
      <x:c r="JW162" s="14"/>
      <x:c r="JX162" s="14"/>
      <x:c r="JY162" s="14"/>
      <x:c r="JZ162" s="14"/>
      <x:c r="KA162" s="14"/>
      <x:c r="KB162" s="14"/>
      <x:c r="KC162" s="14"/>
      <x:c r="KD162" s="14"/>
      <x:c r="KE162" s="14"/>
      <x:c r="KF162" s="14"/>
      <x:c r="KG162" s="14"/>
      <x:c r="KH162" s="14"/>
      <x:c r="KI162" s="14"/>
      <x:c r="KJ162" s="14"/>
      <x:c r="KK162" s="14"/>
      <x:c r="KL162" s="14"/>
      <x:c r="KM162" s="14"/>
      <x:c r="KN162" s="14"/>
      <x:c r="KO162" s="14"/>
      <x:c r="KP162" s="14"/>
      <x:c r="KQ162" s="14"/>
      <x:c r="KR162" s="14"/>
      <x:c r="KS162" s="14"/>
      <x:c r="KT162" s="14"/>
      <x:c r="KU162" s="14"/>
      <x:c r="KV162" s="14"/>
      <x:c r="KW162" s="14"/>
      <x:c r="KX162" s="14"/>
      <x:c r="KY162" s="14"/>
      <x:c r="KZ162" s="14"/>
      <x:c r="LA162" s="14"/>
      <x:c r="LB162" s="14"/>
      <x:c r="LC162" s="14"/>
      <x:c r="LD162" s="14"/>
      <x:c r="LE162" s="14"/>
      <x:c r="LF162" s="14"/>
      <x:c r="LG162" s="14"/>
      <x:c r="LH162" s="14"/>
      <x:c r="LI162" s="14"/>
      <x:c r="LJ162" s="14"/>
      <x:c r="LK162" s="14"/>
      <x:c r="LL162" s="14"/>
      <x:c r="LM162" s="14"/>
      <x:c r="LN162" s="14"/>
      <x:c r="LO162" s="14"/>
      <x:c r="LP162" s="14"/>
      <x:c r="LQ162" s="14"/>
      <x:c r="LR162" s="14"/>
      <x:c r="LS162" s="14"/>
      <x:c r="LT162" s="14"/>
      <x:c r="LU162" s="14"/>
      <x:c r="LV162" s="14"/>
      <x:c r="LW162" s="14"/>
      <x:c r="LX162" s="14"/>
      <x:c r="LY162" s="14"/>
      <x:c r="LZ162" s="14"/>
      <x:c r="MA162" s="14"/>
      <x:c r="MB162" s="14"/>
      <x:c r="MC162" s="14"/>
      <x:c r="MD162" s="14"/>
      <x:c r="ME162" s="14"/>
      <x:c r="MF162" s="14"/>
      <x:c r="MG162" s="14"/>
      <x:c r="MH162" s="14"/>
      <x:c r="MI162" s="14"/>
      <x:c r="MJ162" s="14"/>
      <x:c r="MK162" s="14"/>
      <x:c r="ML162" s="14"/>
      <x:c r="MM162" s="14"/>
      <x:c r="MN162" s="14"/>
      <x:c r="MO162" s="14"/>
      <x:c r="MP162" s="14"/>
      <x:c r="MQ162" s="14"/>
      <x:c r="MR162" s="14"/>
      <x:c r="MS162" s="14"/>
      <x:c r="MT162" s="14"/>
      <x:c r="MU162" s="14"/>
      <x:c r="MV162" s="14"/>
      <x:c r="MW162" s="14"/>
      <x:c r="MX162" s="14"/>
      <x:c r="MY162" s="14"/>
      <x:c r="MZ162" s="14"/>
      <x:c r="NA162" s="14"/>
      <x:c r="NB162" s="14"/>
      <x:c r="NC162" s="14"/>
      <x:c r="ND162" s="14"/>
      <x:c r="NE162" s="14"/>
      <x:c r="NF162" s="14"/>
      <x:c r="NG162" s="14"/>
      <x:c r="NH162" s="14"/>
      <x:c r="NI162" s="14"/>
      <x:c r="NJ162" s="14"/>
      <x:c r="NK162" s="14"/>
      <x:c r="NL162" s="14"/>
      <x:c r="NM162" s="14"/>
      <x:c r="NN162" s="14"/>
      <x:c r="NO162" s="14"/>
      <x:c r="NP162" s="14"/>
      <x:c r="NQ162" s="14"/>
      <x:c r="NR162" s="14"/>
      <x:c r="NS162" s="14"/>
      <x:c r="NT162" s="14"/>
      <x:c r="NU162" s="14"/>
      <x:c r="NV162" s="14"/>
      <x:c r="NW162" s="14"/>
      <x:c r="NX162" s="14"/>
      <x:c r="NY162" s="14"/>
      <x:c r="NZ162" s="14"/>
      <x:c r="OA162" s="14"/>
      <x:c r="OB162" s="14"/>
      <x:c r="OC162" s="14"/>
      <x:c r="OD162" s="14"/>
      <x:c r="OE162" s="14"/>
      <x:c r="OF162" s="14"/>
      <x:c r="OG162" s="14"/>
      <x:c r="OH162" s="14"/>
      <x:c r="OI162" s="14"/>
      <x:c r="OJ162" s="14"/>
      <x:c r="OK162" s="14"/>
      <x:c r="OL162" s="14"/>
      <x:c r="OM162" s="14"/>
      <x:c r="ON162" s="14"/>
      <x:c r="OO162" s="14"/>
      <x:c r="OP162" s="14"/>
      <x:c r="OQ162" s="14"/>
      <x:c r="OR162" s="14"/>
      <x:c r="OS162" s="14"/>
      <x:c r="OT162" s="14"/>
      <x:c r="OU162" s="14"/>
      <x:c r="OV162" s="14"/>
      <x:c r="OW162" s="14"/>
      <x:c r="OX162" s="14"/>
      <x:c r="OY162" s="14"/>
      <x:c r="OZ162" s="14"/>
      <x:c r="PA162" s="14"/>
      <x:c r="PB162" s="14"/>
      <x:c r="PC162" s="14"/>
      <x:c r="PD162" s="14"/>
      <x:c r="PE162" s="14"/>
      <x:c r="PF162" s="14"/>
      <x:c r="PG162" s="14"/>
      <x:c r="PH162" s="14"/>
      <x:c r="PI162" s="14"/>
      <x:c r="PJ162" s="14"/>
      <x:c r="PK162" s="14"/>
      <x:c r="PL162" s="14"/>
      <x:c r="PM162" s="14"/>
      <x:c r="PN162" s="14"/>
      <x:c r="PO162" s="14"/>
      <x:c r="PP162" s="14"/>
      <x:c r="PQ162" s="14"/>
      <x:c r="PR162" s="14"/>
      <x:c r="PS162" s="14"/>
      <x:c r="PT162" s="14"/>
      <x:c r="PU162" s="14"/>
      <x:c r="PV162" s="14"/>
      <x:c r="PW162" s="14"/>
      <x:c r="PX162" s="14"/>
      <x:c r="PY162" s="14"/>
      <x:c r="PZ162" s="14"/>
      <x:c r="QA162" s="14"/>
      <x:c r="QB162" s="14"/>
      <x:c r="QC162" s="14"/>
      <x:c r="QD162" s="14"/>
      <x:c r="QE162" s="14"/>
      <x:c r="QF162" s="14"/>
      <x:c r="QG162" s="14"/>
      <x:c r="QH162" s="14"/>
      <x:c r="QI162" s="14"/>
      <x:c r="QJ162" s="14"/>
      <x:c r="QK162" s="14"/>
      <x:c r="QL162" s="14"/>
      <x:c r="QM162" s="14"/>
      <x:c r="QN162" s="14"/>
      <x:c r="QO162" s="14"/>
      <x:c r="QP162" s="14"/>
      <x:c r="QQ162" s="14"/>
      <x:c r="QR162" s="14"/>
      <x:c r="QS162" s="14"/>
      <x:c r="QT162" s="14"/>
      <x:c r="QU162" s="14"/>
      <x:c r="QV162" s="14"/>
      <x:c r="QW162" s="14"/>
      <x:c r="QX162" s="14"/>
      <x:c r="QY162" s="14"/>
      <x:c r="QZ162" s="14"/>
      <x:c r="RA162" s="14"/>
      <x:c r="RB162" s="14"/>
      <x:c r="RC162" s="14"/>
      <x:c r="RD162" s="14"/>
      <x:c r="RE162" s="14"/>
      <x:c r="RF162" s="14"/>
      <x:c r="RG162" s="14"/>
      <x:c r="RH162" s="14"/>
      <x:c r="RI162" s="14"/>
      <x:c r="RJ162" s="14"/>
      <x:c r="RK162" s="14"/>
      <x:c r="RL162" s="14"/>
      <x:c r="RM162" s="14"/>
      <x:c r="RN162" s="14"/>
      <x:c r="RO162" s="14"/>
      <x:c r="RP162" s="14"/>
      <x:c r="RQ162" s="14"/>
      <x:c r="RR162" s="14"/>
      <x:c r="RS162" s="14"/>
      <x:c r="RT162" s="14"/>
      <x:c r="RU162" s="14"/>
      <x:c r="RV162" s="14"/>
      <x:c r="RW162" s="14"/>
      <x:c r="RX162" s="14"/>
      <x:c r="RY162" s="14"/>
      <x:c r="RZ162" s="14"/>
      <x:c r="SA162" s="14"/>
      <x:c r="SB162" s="14"/>
      <x:c r="SC162" s="14"/>
      <x:c r="SD162" s="14"/>
      <x:c r="SE162" s="14"/>
      <x:c r="SF162" s="14"/>
      <x:c r="SG162" s="14"/>
      <x:c r="SH162" s="14"/>
      <x:c r="SI162" s="14"/>
      <x:c r="SJ162" s="14"/>
      <x:c r="SK162" s="14"/>
      <x:c r="SL162" s="14"/>
      <x:c r="SM162" s="14"/>
      <x:c r="SN162" s="14"/>
      <x:c r="SO162" s="14"/>
      <x:c r="SP162" s="14"/>
      <x:c r="SQ162" s="14"/>
      <x:c r="SR162" s="14"/>
      <x:c r="SS162" s="14"/>
      <x:c r="ST162" s="14"/>
      <x:c r="SU162" s="14"/>
      <x:c r="SV162" s="14"/>
      <x:c r="SW162" s="14"/>
      <x:c r="SX162" s="14"/>
      <x:c r="SY162" s="14"/>
      <x:c r="SZ162" s="14"/>
      <x:c r="TA162" s="14"/>
      <x:c r="TB162" s="14"/>
      <x:c r="TC162" s="14"/>
      <x:c r="TD162" s="14"/>
      <x:c r="TE162" s="14"/>
      <x:c r="TF162" s="14"/>
      <x:c r="TG162" s="14"/>
      <x:c r="TH162" s="14"/>
    </x:row>
    <x:row r="165" ht="23" customHeight="1">
      <x:c r="A165" s="26" t="str">
        <x:v>劍類</x:v>
      </x:c>
      <x:c r="B165" s="26" t="str">
        <x:v>刀類</x:v>
      </x:c>
      <x:c r="C165" s="26" t="str">
        <x:v>暗器類</x:v>
      </x:c>
      <x:c r="D165" s="26" t="str">
        <x:v>拂塵類</x:v>
      </x:c>
      <x:c r="F165" s="26" t="str">
        <x:v>劍類</x:v>
      </x:c>
      <x:c r="G165" s="26" t="str">
        <x:v>刀類</x:v>
      </x:c>
      <x:c r="H165" s="26" t="str">
        <x:v>暗器類</x:v>
      </x:c>
      <x:c r="I165" s="26" t="str">
        <x:v>拂塵類</x:v>
      </x:c>
      <x:c r="K165" s="26" t="str">
        <x:v>劍類</x:v>
      </x:c>
      <x:c r="L165" s="26" t="str">
        <x:v>刀類</x:v>
      </x:c>
      <x:c r="M165" s="26" t="str">
        <x:v>暗器類</x:v>
      </x:c>
      <x:c r="N165" s="26" t="str">
        <x:v>拂塵類</x:v>
      </x:c>
      <x:c r="P165" s="26" t="str">
        <x:v>劍類</x:v>
      </x:c>
      <x:c r="Q165" s="26" t="str">
        <x:v>刀類</x:v>
      </x:c>
      <x:c r="R165" s="26" t="str">
        <x:v>暗器類</x:v>
      </x:c>
      <x:c r="S165" s="26" t="str">
        <x:v>拂塵類</x:v>
      </x:c>
      <x:c r="U165" s="26" t="str">
        <x:v>劍類</x:v>
      </x:c>
      <x:c r="V165" s="26" t="str">
        <x:v>刀類</x:v>
      </x:c>
      <x:c r="W165" s="26" t="str">
        <x:v>暗器類</x:v>
      </x:c>
      <x:c r="X165" s="26" t="str">
        <x:v>拂塵類</x:v>
      </x:c>
      <x:c r="Z165" s="26" t="str">
        <x:v>劍類</x:v>
      </x:c>
      <x:c r="AA165" s="26" t="str">
        <x:v>刀類</x:v>
      </x:c>
      <x:c r="AB165" s="26" t="str">
        <x:v>暗器類</x:v>
      </x:c>
      <x:c r="AC165" s="26" t="str">
        <x:v>拂塵類</x:v>
      </x:c>
      <x:c r="AE165" s="26" t="str">
        <x:v>劍類</x:v>
      </x:c>
      <x:c r="AF165" s="26" t="str">
        <x:v>刀類</x:v>
      </x:c>
      <x:c r="AG165" s="26" t="str">
        <x:v>暗器類</x:v>
      </x:c>
      <x:c r="AH165" s="26" t="str">
        <x:v>拂塵類</x:v>
      </x:c>
      <x:c r="AJ165" s="26" t="str">
        <x:v>劍類</x:v>
      </x:c>
      <x:c r="AK165" s="26" t="str">
        <x:v>刀類</x:v>
      </x:c>
      <x:c r="AL165" s="26" t="str">
        <x:v>暗器類</x:v>
      </x:c>
      <x:c r="AM165" s="26" t="str">
        <x:v>拂塵類</x:v>
      </x:c>
      <x:c r="AO165" s="26" t="str">
        <x:v>劍類</x:v>
      </x:c>
      <x:c r="AP165" s="26" t="str">
        <x:v>刀類</x:v>
      </x:c>
      <x:c r="AQ165" s="26" t="str">
        <x:v>暗器類</x:v>
      </x:c>
      <x:c r="AR165" s="26" t="str">
        <x:v>拂塵類</x:v>
      </x:c>
      <x:c r="AT165" s="26" t="str">
        <x:v>劍類</x:v>
      </x:c>
      <x:c r="AU165" s="26" t="str">
        <x:v>刀類</x:v>
      </x:c>
      <x:c r="AV165" s="26" t="str">
        <x:v>暗器類</x:v>
      </x:c>
      <x:c r="AW165" s="26" t="str">
        <x:v>拂塵類</x:v>
      </x:c>
      <x:c r="AY165" s="26" t="str">
        <x:v>劍類</x:v>
      </x:c>
      <x:c r="AZ165" s="26" t="str">
        <x:v>刀類</x:v>
      </x:c>
      <x:c r="BA165" s="26" t="str">
        <x:v>暗器類</x:v>
      </x:c>
      <x:c r="BB165" s="26" t="str">
        <x:v>拂塵類</x:v>
      </x:c>
      <x:c r="BD165" s="26" t="str">
        <x:v>劍類</x:v>
      </x:c>
      <x:c r="BE165" s="26" t="str">
        <x:v>刀類</x:v>
      </x:c>
      <x:c r="BF165" s="26" t="str">
        <x:v>暗器類</x:v>
      </x:c>
      <x:c r="BG165" s="26" t="str">
        <x:v>拂塵類</x:v>
      </x:c>
      <x:c r="BI165" s="26" t="str">
        <x:v>劍類</x:v>
      </x:c>
      <x:c r="BJ165" s="26" t="str">
        <x:v>刀類</x:v>
      </x:c>
      <x:c r="BK165" s="26" t="str">
        <x:v>暗器類</x:v>
      </x:c>
      <x:c r="BL165" s="26" t="str">
        <x:v>拂塵類</x:v>
      </x:c>
      <x:c r="BN165" s="26" t="str">
        <x:v>劍類</x:v>
      </x:c>
      <x:c r="BO165" s="26" t="str">
        <x:v>刀類</x:v>
      </x:c>
      <x:c r="BP165" s="26" t="str">
        <x:v>暗器類</x:v>
      </x:c>
      <x:c r="BQ165" s="26" t="str">
        <x:v>拂塵類</x:v>
      </x:c>
      <x:c r="BS165" s="26" t="str">
        <x:v>劍類</x:v>
      </x:c>
      <x:c r="BT165" s="26" t="str">
        <x:v>刀類</x:v>
      </x:c>
      <x:c r="BU165" s="26" t="str">
        <x:v>暗器類</x:v>
      </x:c>
      <x:c r="BV165" s="26" t="str">
        <x:v>拂塵類</x:v>
      </x:c>
      <x:c r="BX165" s="26" t="str">
        <x:v>劍類</x:v>
      </x:c>
      <x:c r="BY165" s="26" t="str">
        <x:v>刀類</x:v>
      </x:c>
      <x:c r="BZ165" s="26" t="str">
        <x:v>暗器類</x:v>
      </x:c>
      <x:c r="CA165" s="26" t="str">
        <x:v>拂塵類</x:v>
      </x:c>
    </x:row>
    <x:row r="166" ht="23" customHeight="1">
      <x:c r="A166" s="26" t="str">
        <x:v>杖類</x:v>
      </x:c>
      <x:c r="B166" s="26" t="str">
        <x:v>槍類</x:v>
      </x:c>
      <x:c r="C166" s="26" t="str">
        <x:v>棍類</x:v>
      </x:c>
      <x:c r="D166" s="26" t="str">
        <x:v>錘類</x:v>
      </x:c>
      <x:c r="F166" s="26" t="str">
        <x:v>杖類</x:v>
      </x:c>
      <x:c r="G166" s="26" t="str">
        <x:v>槍類</x:v>
      </x:c>
      <x:c r="H166" s="26" t="str">
        <x:v>棍類</x:v>
      </x:c>
      <x:c r="I166" s="26" t="str">
        <x:v>錘類</x:v>
      </x:c>
      <x:c r="K166" s="26" t="str">
        <x:v>杖類</x:v>
      </x:c>
      <x:c r="L166" s="26" t="str">
        <x:v>槍類</x:v>
      </x:c>
      <x:c r="M166" s="26" t="str">
        <x:v>棍類</x:v>
      </x:c>
      <x:c r="N166" s="26" t="str">
        <x:v>錘類</x:v>
      </x:c>
      <x:c r="P166" s="26" t="str">
        <x:v>杖類</x:v>
      </x:c>
      <x:c r="Q166" s="26" t="str">
        <x:v>槍類</x:v>
      </x:c>
      <x:c r="R166" s="26" t="str">
        <x:v>棍類</x:v>
      </x:c>
      <x:c r="S166" s="26" t="str">
        <x:v>錘類</x:v>
      </x:c>
      <x:c r="U166" s="26" t="str">
        <x:v>杖類</x:v>
      </x:c>
      <x:c r="V166" s="26" t="str">
        <x:v>槍類</x:v>
      </x:c>
      <x:c r="W166" s="26" t="str">
        <x:v>棍類</x:v>
      </x:c>
      <x:c r="X166" s="26" t="str">
        <x:v>錘類</x:v>
      </x:c>
      <x:c r="Z166" s="26" t="str">
        <x:v>杖類</x:v>
      </x:c>
      <x:c r="AA166" s="26" t="str">
        <x:v>槍類</x:v>
      </x:c>
      <x:c r="AB166" s="26" t="str">
        <x:v>棍類</x:v>
      </x:c>
      <x:c r="AC166" s="26" t="str">
        <x:v>錘類</x:v>
      </x:c>
      <x:c r="AE166" s="26" t="str">
        <x:v>杖類</x:v>
      </x:c>
      <x:c r="AF166" s="26" t="str">
        <x:v>槍類</x:v>
      </x:c>
      <x:c r="AG166" s="26" t="str">
        <x:v>棍類</x:v>
      </x:c>
      <x:c r="AH166" s="26" t="str">
        <x:v>錘類</x:v>
      </x:c>
      <x:c r="AJ166" s="26" t="str">
        <x:v>杖類</x:v>
      </x:c>
      <x:c r="AK166" s="26" t="str">
        <x:v>槍類</x:v>
      </x:c>
      <x:c r="AL166" s="26" t="str">
        <x:v>棍類</x:v>
      </x:c>
      <x:c r="AM166" s="26" t="str">
        <x:v>錘類</x:v>
      </x:c>
      <x:c r="AO166" s="26" t="str">
        <x:v>杖類</x:v>
      </x:c>
      <x:c r="AP166" s="26" t="str">
        <x:v>槍類</x:v>
      </x:c>
      <x:c r="AQ166" s="26" t="str">
        <x:v>棍類</x:v>
      </x:c>
      <x:c r="AR166" s="26" t="str">
        <x:v>錘類</x:v>
      </x:c>
      <x:c r="AT166" s="26" t="str">
        <x:v>杖類</x:v>
      </x:c>
      <x:c r="AU166" s="26" t="str">
        <x:v>槍類</x:v>
      </x:c>
      <x:c r="AV166" s="26" t="str">
        <x:v>棍類</x:v>
      </x:c>
      <x:c r="AW166" s="26" t="str">
        <x:v>錘類</x:v>
      </x:c>
      <x:c r="AY166" s="26" t="str">
        <x:v>杖類</x:v>
      </x:c>
      <x:c r="AZ166" s="26" t="str">
        <x:v>槍類</x:v>
      </x:c>
      <x:c r="BA166" s="26" t="str">
        <x:v>棍類</x:v>
      </x:c>
      <x:c r="BB166" s="26" t="str">
        <x:v>錘類</x:v>
      </x:c>
      <x:c r="BD166" s="26" t="str">
        <x:v>杖類</x:v>
      </x:c>
      <x:c r="BE166" s="26" t="str">
        <x:v>槍類</x:v>
      </x:c>
      <x:c r="BF166" s="26" t="str">
        <x:v>棍類</x:v>
      </x:c>
      <x:c r="BG166" s="26" t="str">
        <x:v>錘類</x:v>
      </x:c>
      <x:c r="BI166" s="26" t="str">
        <x:v>杖類</x:v>
      </x:c>
      <x:c r="BJ166" s="26" t="str">
        <x:v>槍類</x:v>
      </x:c>
      <x:c r="BK166" s="26" t="str">
        <x:v>棍類</x:v>
      </x:c>
      <x:c r="BL166" s="26" t="str">
        <x:v>錘類</x:v>
      </x:c>
      <x:c r="BN166" s="26" t="str">
        <x:v>杖類</x:v>
      </x:c>
      <x:c r="BO166" s="26" t="str">
        <x:v>槍類</x:v>
      </x:c>
      <x:c r="BP166" s="26" t="str">
        <x:v>棍類</x:v>
      </x:c>
      <x:c r="BQ166" s="26" t="str">
        <x:v>錘類</x:v>
      </x:c>
      <x:c r="BS166" s="26" t="str">
        <x:v>杖類</x:v>
      </x:c>
      <x:c r="BT166" s="26" t="str">
        <x:v>槍類</x:v>
      </x:c>
      <x:c r="BU166" s="26" t="str">
        <x:v>棍類</x:v>
      </x:c>
      <x:c r="BV166" s="26" t="str">
        <x:v>錘類</x:v>
      </x:c>
      <x:c r="BX166" s="26" t="str">
        <x:v>杖類</x:v>
      </x:c>
      <x:c r="BY166" s="26" t="str">
        <x:v>槍類</x:v>
      </x:c>
      <x:c r="BZ166" s="26" t="str">
        <x:v>棍類</x:v>
      </x:c>
      <x:c r="CA166" s="26" t="str">
        <x:v>錘類</x:v>
      </x:c>
    </x:row>
    <x:row r="167" ht="23" customHeight="1">
      <x:c r="A167" s="26" t="str">
        <x:v>斧類</x:v>
      </x:c>
      <x:c r="B167" s="26" t="str">
        <x:v>盾類</x:v>
      </x:c>
      <x:c r="C167" s="26" t="str">
        <x:v>帽子類</x:v>
      </x:c>
      <x:c r="D167" s="26" t="str">
        <x:v>衣服類</x:v>
      </x:c>
      <x:c r="F167" s="26" t="str">
        <x:v>斧類</x:v>
      </x:c>
      <x:c r="G167" s="26" t="str">
        <x:v>盾類</x:v>
      </x:c>
      <x:c r="H167" s="26" t="str">
        <x:v>帽子類</x:v>
      </x:c>
      <x:c r="I167" s="26" t="str">
        <x:v>衣服類</x:v>
      </x:c>
      <x:c r="K167" s="26" t="str">
        <x:v>斧類</x:v>
      </x:c>
      <x:c r="L167" s="26" t="str">
        <x:v>盾類</x:v>
      </x:c>
      <x:c r="M167" s="26" t="str">
        <x:v>帽子類</x:v>
      </x:c>
      <x:c r="N167" s="26" t="str">
        <x:v>衣服類</x:v>
      </x:c>
      <x:c r="P167" s="26" t="str">
        <x:v>斧類</x:v>
      </x:c>
      <x:c r="Q167" s="26" t="str">
        <x:v>盾類</x:v>
      </x:c>
      <x:c r="R167" s="26" t="str">
        <x:v>帽子類</x:v>
      </x:c>
      <x:c r="S167" s="26" t="str">
        <x:v>衣服類</x:v>
      </x:c>
      <x:c r="U167" s="26" t="str">
        <x:v>斧類</x:v>
      </x:c>
      <x:c r="V167" s="26" t="str">
        <x:v>盾類</x:v>
      </x:c>
      <x:c r="W167" s="26" t="str">
        <x:v>帽子類</x:v>
      </x:c>
      <x:c r="X167" s="26" t="str">
        <x:v>衣服類</x:v>
      </x:c>
      <x:c r="Z167" s="26" t="str">
        <x:v>斧類</x:v>
      </x:c>
      <x:c r="AA167" s="26" t="str">
        <x:v>盾類</x:v>
      </x:c>
      <x:c r="AB167" s="26" t="str">
        <x:v>帽子類</x:v>
      </x:c>
      <x:c r="AC167" s="26" t="str">
        <x:v>衣服類</x:v>
      </x:c>
      <x:c r="AE167" s="26" t="str">
        <x:v>斧類</x:v>
      </x:c>
      <x:c r="AF167" s="26" t="str">
        <x:v>盾類</x:v>
      </x:c>
      <x:c r="AG167" s="26" t="str">
        <x:v>帽子類</x:v>
      </x:c>
      <x:c r="AH167" s="26" t="str">
        <x:v>衣服類</x:v>
      </x:c>
      <x:c r="AJ167" s="26" t="str">
        <x:v>斧類</x:v>
      </x:c>
      <x:c r="AK167" s="26" t="str">
        <x:v>盾類</x:v>
      </x:c>
      <x:c r="AL167" s="26" t="str">
        <x:v>帽子類</x:v>
      </x:c>
      <x:c r="AM167" s="26" t="str">
        <x:v>衣服類</x:v>
      </x:c>
      <x:c r="AO167" s="26" t="str">
        <x:v>斧類</x:v>
      </x:c>
      <x:c r="AP167" s="26" t="str">
        <x:v>盾類</x:v>
      </x:c>
      <x:c r="AQ167" s="26" t="str">
        <x:v>帽子類</x:v>
      </x:c>
      <x:c r="AR167" s="26" t="str">
        <x:v>衣服類</x:v>
      </x:c>
      <x:c r="AT167" s="26" t="str">
        <x:v>斧類</x:v>
      </x:c>
      <x:c r="AU167" s="26" t="str">
        <x:v>盾類</x:v>
      </x:c>
      <x:c r="AV167" s="26" t="str">
        <x:v>帽子類</x:v>
      </x:c>
      <x:c r="AW167" s="26" t="str">
        <x:v>衣服類</x:v>
      </x:c>
      <x:c r="AY167" s="26" t="str">
        <x:v>斧類</x:v>
      </x:c>
      <x:c r="AZ167" s="26" t="str">
        <x:v>盾類</x:v>
      </x:c>
      <x:c r="BA167" s="26" t="str">
        <x:v>帽子類</x:v>
      </x:c>
      <x:c r="BB167" s="26" t="str">
        <x:v>衣服類</x:v>
      </x:c>
      <x:c r="BD167" s="26" t="str">
        <x:v>斧類</x:v>
      </x:c>
      <x:c r="BE167" s="26" t="str">
        <x:v>盾類</x:v>
      </x:c>
      <x:c r="BF167" s="26" t="str">
        <x:v>帽子類</x:v>
      </x:c>
      <x:c r="BG167" s="26" t="str">
        <x:v>衣服類</x:v>
      </x:c>
      <x:c r="BI167" s="26" t="str">
        <x:v>斧類</x:v>
      </x:c>
      <x:c r="BJ167" s="26" t="str">
        <x:v>盾類</x:v>
      </x:c>
      <x:c r="BK167" s="26" t="str">
        <x:v>帽子類</x:v>
      </x:c>
      <x:c r="BL167" s="26" t="str">
        <x:v>衣服類</x:v>
      </x:c>
      <x:c r="BN167" s="26" t="str">
        <x:v>斧類</x:v>
      </x:c>
      <x:c r="BO167" s="26" t="str">
        <x:v>盾類</x:v>
      </x:c>
      <x:c r="BP167" s="26" t="str">
        <x:v>帽子類</x:v>
      </x:c>
      <x:c r="BQ167" s="26" t="str">
        <x:v>衣服類</x:v>
      </x:c>
      <x:c r="BS167" s="26" t="str">
        <x:v>斧類</x:v>
      </x:c>
      <x:c r="BT167" s="26" t="str">
        <x:v>盾類</x:v>
      </x:c>
      <x:c r="BU167" s="26" t="str">
        <x:v>帽子類</x:v>
      </x:c>
      <x:c r="BV167" s="26" t="str">
        <x:v>衣服類</x:v>
      </x:c>
      <x:c r="BX167" s="26" t="str">
        <x:v>斧類</x:v>
      </x:c>
      <x:c r="BY167" s="26" t="str">
        <x:v>盾類</x:v>
      </x:c>
      <x:c r="BZ167" s="26" t="str">
        <x:v>帽子類</x:v>
      </x:c>
      <x:c r="CA167" s="26" t="str">
        <x:v>衣服類</x:v>
      </x:c>
    </x:row>
    <x:row r="168" ht="23" customHeight="1">
      <x:c r="A168" s="26" t="str">
        <x:v>護腕類</x:v>
      </x:c>
      <x:c r="B168" s="26" t="str">
        <x:v>鞋子類</x:v>
      </x:c>
      <x:c r="C168" s="26" t="str">
        <x:v>飾品類</x:v>
      </x:c>
      <x:c r="D168" s="26" t="str">
        <x:v>仙器類</x:v>
      </x:c>
      <x:c r="F168" s="26" t="str">
        <x:v>護腕類</x:v>
      </x:c>
      <x:c r="G168" s="26" t="str">
        <x:v>鞋子類</x:v>
      </x:c>
      <x:c r="H168" s="26" t="str">
        <x:v>飾品類</x:v>
      </x:c>
      <x:c r="I168" s="26" t="str">
        <x:v>仙器類</x:v>
      </x:c>
      <x:c r="K168" s="26" t="str">
        <x:v>護腕類</x:v>
      </x:c>
      <x:c r="L168" s="26" t="str">
        <x:v>鞋子類</x:v>
      </x:c>
      <x:c r="M168" s="26" t="str">
        <x:v>飾品類</x:v>
      </x:c>
      <x:c r="N168" s="26" t="str">
        <x:v>仙器類</x:v>
      </x:c>
      <x:c r="P168" s="26" t="str">
        <x:v>護腕類</x:v>
      </x:c>
      <x:c r="Q168" s="26" t="str">
        <x:v>鞋子類</x:v>
      </x:c>
      <x:c r="R168" s="26" t="str">
        <x:v>飾品類</x:v>
      </x:c>
      <x:c r="S168" s="26" t="str">
        <x:v>仙器類</x:v>
      </x:c>
      <x:c r="U168" s="26" t="str">
        <x:v>護腕類</x:v>
      </x:c>
      <x:c r="V168" s="26" t="str">
        <x:v>鞋子類</x:v>
      </x:c>
      <x:c r="W168" s="26" t="str">
        <x:v>飾品類</x:v>
      </x:c>
      <x:c r="X168" s="26" t="str">
        <x:v>仙器類</x:v>
      </x:c>
      <x:c r="Z168" s="26" t="str">
        <x:v>護腕類</x:v>
      </x:c>
      <x:c r="AA168" s="26" t="str">
        <x:v>鞋子類</x:v>
      </x:c>
      <x:c r="AB168" s="26" t="str">
        <x:v>飾品類</x:v>
      </x:c>
      <x:c r="AC168" s="26" t="str">
        <x:v>仙器類</x:v>
      </x:c>
      <x:c r="AE168" s="26" t="str">
        <x:v>護腕類</x:v>
      </x:c>
      <x:c r="AF168" s="26" t="str">
        <x:v>鞋子類</x:v>
      </x:c>
      <x:c r="AG168" s="26" t="str">
        <x:v>飾品類</x:v>
      </x:c>
      <x:c r="AH168" s="26" t="str">
        <x:v>仙器類</x:v>
      </x:c>
      <x:c r="AJ168" s="26" t="str">
        <x:v>護腕類</x:v>
      </x:c>
      <x:c r="AK168" s="26" t="str">
        <x:v>鞋子類</x:v>
      </x:c>
      <x:c r="AL168" s="26" t="str">
        <x:v>飾品類</x:v>
      </x:c>
      <x:c r="AM168" s="26" t="str">
        <x:v>仙器類</x:v>
      </x:c>
      <x:c r="AO168" s="26" t="str">
        <x:v>護腕類</x:v>
      </x:c>
      <x:c r="AP168" s="26" t="str">
        <x:v>鞋子類</x:v>
      </x:c>
      <x:c r="AQ168" s="26" t="str">
        <x:v>飾品類</x:v>
      </x:c>
      <x:c r="AR168" s="26" t="str">
        <x:v>仙器類</x:v>
      </x:c>
      <x:c r="AT168" s="26" t="str">
        <x:v>護腕類</x:v>
      </x:c>
      <x:c r="AU168" s="26" t="str">
        <x:v>鞋子類</x:v>
      </x:c>
      <x:c r="AV168" s="26" t="str">
        <x:v>飾品類</x:v>
      </x:c>
      <x:c r="AW168" s="26" t="str">
        <x:v>仙器類</x:v>
      </x:c>
      <x:c r="AY168" s="26" t="str">
        <x:v>護腕類</x:v>
      </x:c>
      <x:c r="AZ168" s="26" t="str">
        <x:v>鞋子類</x:v>
      </x:c>
      <x:c r="BA168" s="26" t="str">
        <x:v>飾品類</x:v>
      </x:c>
      <x:c r="BB168" s="26" t="str">
        <x:v>仙器類</x:v>
      </x:c>
      <x:c r="BD168" s="26" t="str">
        <x:v>護腕類</x:v>
      </x:c>
      <x:c r="BE168" s="26" t="str">
        <x:v>鞋子類</x:v>
      </x:c>
      <x:c r="BF168" s="26" t="str">
        <x:v>飾品類</x:v>
      </x:c>
      <x:c r="BG168" s="26" t="str">
        <x:v>仙器類</x:v>
      </x:c>
      <x:c r="BI168" s="26" t="str">
        <x:v>護腕類</x:v>
      </x:c>
      <x:c r="BJ168" s="26" t="str">
        <x:v>鞋子類</x:v>
      </x:c>
      <x:c r="BK168" s="26" t="str">
        <x:v>飾品類</x:v>
      </x:c>
      <x:c r="BL168" s="26" t="str">
        <x:v>仙器類</x:v>
      </x:c>
      <x:c r="BN168" s="26" t="str">
        <x:v>護腕類</x:v>
      </x:c>
      <x:c r="BO168" s="26" t="str">
        <x:v>鞋子類</x:v>
      </x:c>
      <x:c r="BP168" s="26" t="str">
        <x:v>飾品類</x:v>
      </x:c>
      <x:c r="BQ168" s="26" t="str">
        <x:v>仙器類</x:v>
      </x:c>
      <x:c r="BS168" s="26" t="str">
        <x:v>護腕類</x:v>
      </x:c>
      <x:c r="BT168" s="26" t="str">
        <x:v>鞋子類</x:v>
      </x:c>
      <x:c r="BU168" s="26" t="str">
        <x:v>飾品類</x:v>
      </x:c>
      <x:c r="BV168" s="26" t="str">
        <x:v>仙器類</x:v>
      </x:c>
      <x:c r="BX168" s="26" t="str">
        <x:v>護腕類</x:v>
      </x:c>
      <x:c r="BY168" s="26" t="str">
        <x:v>鞋子類</x:v>
      </x:c>
      <x:c r="BZ168" s="26" t="str">
        <x:v>飾品類</x:v>
      </x:c>
      <x:c r="CA168" s="26" t="str">
        <x:v>仙器類</x:v>
      </x:c>
    </x:row>
  </x:sheetData>
  <x:mergeCells>
    <x:mergeCell ref="A13:D13"/>
    <x:mergeCell ref="A14:D14"/>
    <x:mergeCell ref="A40:D40"/>
    <x:mergeCell ref="A66:D66"/>
    <x:mergeCell ref="F13:I13"/>
    <x:mergeCell ref="F14:I14"/>
    <x:mergeCell ref="F40:I40"/>
    <x:mergeCell ref="F66:I66"/>
    <x:mergeCell ref="K13:N13"/>
    <x:mergeCell ref="K14:N14"/>
    <x:mergeCell ref="K40:N40"/>
    <x:mergeCell ref="P13:S13"/>
    <x:mergeCell ref="P14:S14"/>
    <x:mergeCell ref="P40:S40"/>
    <x:mergeCell ref="U13:X13"/>
    <x:mergeCell ref="U14:X14"/>
    <x:mergeCell ref="U40:X40"/>
    <x:mergeCell ref="Z13:AC13"/>
    <x:mergeCell ref="Z14:AC14"/>
    <x:mergeCell ref="Z40:AC40"/>
    <x:mergeCell ref="AE13:AH13"/>
    <x:mergeCell ref="AE14:AH14"/>
    <x:mergeCell ref="AE40:AH40"/>
    <x:mergeCell ref="AJ13:AM13"/>
    <x:mergeCell ref="AJ14:AM14"/>
    <x:mergeCell ref="AJ40:AM40"/>
    <x:mergeCell ref="AO13:AR13"/>
    <x:mergeCell ref="AO14:AR14"/>
    <x:mergeCell ref="AO40:AR40"/>
    <x:mergeCell ref="AT13:AW13"/>
    <x:mergeCell ref="AT14:AW14"/>
    <x:mergeCell ref="AT40:AW40"/>
    <x:mergeCell ref="AY13:BB13"/>
    <x:mergeCell ref="AY14:BB14"/>
    <x:mergeCell ref="AY40:BB40"/>
    <x:mergeCell ref="AY66:BB66"/>
    <x:mergeCell ref="AY92:BB92"/>
    <x:mergeCell ref="AY118:BB118"/>
    <x:mergeCell ref="BD13:BG13"/>
    <x:mergeCell ref="BD14:BG14"/>
    <x:mergeCell ref="BD40:BG40"/>
    <x:mergeCell ref="BD66:BG66"/>
    <x:mergeCell ref="BD92:BG92"/>
    <x:mergeCell ref="BD118:BG118"/>
    <x:mergeCell ref="BD144:BG144"/>
    <x:mergeCell ref="BI13:BL13"/>
    <x:mergeCell ref="BI14:BL14"/>
    <x:mergeCell ref="BI40:BL40"/>
    <x:mergeCell ref="BI66:BL66"/>
    <x:mergeCell ref="BI92:BL92"/>
    <x:mergeCell ref="BI118:BL118"/>
    <x:mergeCell ref="BN13:BQ13"/>
    <x:mergeCell ref="BN14:BQ14"/>
    <x:mergeCell ref="BN40:BQ40"/>
    <x:mergeCell ref="BN66:BQ66"/>
    <x:mergeCell ref="BN92:BQ92"/>
    <x:mergeCell ref="BN118:BQ118"/>
    <x:mergeCell ref="BS13:BV13"/>
    <x:mergeCell ref="BS14:BV14"/>
    <x:mergeCell ref="BS40:BV40"/>
    <x:mergeCell ref="BS66:BV66"/>
    <x:mergeCell ref="BS92:BV92"/>
    <x:mergeCell ref="BS118:BV118"/>
    <x:mergeCell ref="BX13:CA13"/>
    <x:mergeCell ref="BX14:CA14"/>
    <x:mergeCell ref="A2:B2"/>
    <x:mergeCell ref="A6:D6"/>
    <x:mergeCell ref="F2:G2"/>
    <x:mergeCell ref="F6:I6"/>
    <x:mergeCell ref="K2:L2"/>
    <x:mergeCell ref="K6:N6"/>
    <x:mergeCell ref="P2:Q2"/>
    <x:mergeCell ref="P6:S6"/>
    <x:mergeCell ref="U2:V2"/>
    <x:mergeCell ref="U6:X6"/>
    <x:mergeCell ref="Z2:AA2"/>
    <x:mergeCell ref="Z6:AC6"/>
    <x:mergeCell ref="AE2:AF2"/>
    <x:mergeCell ref="AE6:AH6"/>
    <x:mergeCell ref="AJ2:AK2"/>
    <x:mergeCell ref="AJ6:AM6"/>
    <x:mergeCell ref="AO2:AP2"/>
    <x:mergeCell ref="AO6:AR6"/>
    <x:mergeCell ref="AT2:AU2"/>
    <x:mergeCell ref="AT6:AW6"/>
    <x:mergeCell ref="AY2:AZ2"/>
    <x:mergeCell ref="AY6:BB6"/>
    <x:mergeCell ref="BD2:BE2"/>
    <x:mergeCell ref="BD6:BG6"/>
    <x:mergeCell ref="BI2:BJ2"/>
    <x:mergeCell ref="BI6:BL6"/>
    <x:mergeCell ref="BN2:BO2"/>
    <x:mergeCell ref="BN6:BQ6"/>
    <x:mergeCell ref="BS2:BT2"/>
    <x:mergeCell ref="BS6:BV6"/>
    <x:mergeCell ref="BX2:BY2"/>
    <x:mergeCell ref="BX6:CA6"/>
  </x:mergeCells>
  <x:conditionalFormatting sqref="A15:A162">
    <x:cfRule type="expression" dxfId="0" priority="1">
      <x:formula>$CI15="已收錄"</x:formula>
    </x:cfRule>
  </x:conditionalFormatting>
  <x:conditionalFormatting sqref="B15:B162">
    <x:cfRule type="expression" dxfId="1" priority="2">
      <x:formula>$CP15="已收錄"</x:formula>
    </x:cfRule>
  </x:conditionalFormatting>
  <x:conditionalFormatting sqref="C15:C162">
    <x:cfRule type="expression" dxfId="2" priority="3">
      <x:formula>$CW15="已收錄"</x:formula>
    </x:cfRule>
  </x:conditionalFormatting>
  <x:conditionalFormatting sqref="D15:D162">
    <x:cfRule type="expression" dxfId="3" priority="4">
      <x:formula>$DD15="已收錄"</x:formula>
    </x:cfRule>
  </x:conditionalFormatting>
  <x:conditionalFormatting sqref="F15:F162">
    <x:cfRule type="expression" dxfId="4" priority="5">
      <x:formula>$DK15="已收錄"</x:formula>
    </x:cfRule>
  </x:conditionalFormatting>
  <x:conditionalFormatting sqref="G15:G162">
    <x:cfRule type="expression" dxfId="5" priority="6">
      <x:formula>$DR15="已收錄"</x:formula>
    </x:cfRule>
  </x:conditionalFormatting>
  <x:conditionalFormatting sqref="H15:H162">
    <x:cfRule type="expression" dxfId="6" priority="7">
      <x:formula>$DY15="已收錄"</x:formula>
    </x:cfRule>
  </x:conditionalFormatting>
  <x:conditionalFormatting sqref="I15:I162">
    <x:cfRule type="expression" dxfId="7" priority="8">
      <x:formula>$EF15="已收錄"</x:formula>
    </x:cfRule>
  </x:conditionalFormatting>
  <x:conditionalFormatting sqref="K15:K162">
    <x:cfRule type="expression" dxfId="8" priority="9">
      <x:formula>$EM15="已收錄"</x:formula>
    </x:cfRule>
  </x:conditionalFormatting>
  <x:conditionalFormatting sqref="L15:L162">
    <x:cfRule type="expression" dxfId="9" priority="10">
      <x:formula>$ET15="已收錄"</x:formula>
    </x:cfRule>
  </x:conditionalFormatting>
  <x:conditionalFormatting sqref="M15:M162">
    <x:cfRule type="expression" dxfId="10" priority="11">
      <x:formula>$FA15="已收錄"</x:formula>
    </x:cfRule>
  </x:conditionalFormatting>
  <x:conditionalFormatting sqref="N15:N162">
    <x:cfRule type="expression" dxfId="11" priority="12">
      <x:formula>$FH15="已收錄"</x:formula>
    </x:cfRule>
  </x:conditionalFormatting>
  <x:conditionalFormatting sqref="P15:P162">
    <x:cfRule type="expression" dxfId="12" priority="13">
      <x:formula>$FO15="已收錄"</x:formula>
    </x:cfRule>
  </x:conditionalFormatting>
  <x:conditionalFormatting sqref="Q15:Q162">
    <x:cfRule type="expression" dxfId="13" priority="14">
      <x:formula>$FV15="已收錄"</x:formula>
    </x:cfRule>
  </x:conditionalFormatting>
  <x:conditionalFormatting sqref="R15:R162">
    <x:cfRule type="expression" dxfId="14" priority="15">
      <x:formula>$GC15="已收錄"</x:formula>
    </x:cfRule>
  </x:conditionalFormatting>
  <x:conditionalFormatting sqref="S15:S162">
    <x:cfRule type="expression" dxfId="15" priority="16">
      <x:formula>$GJ15="已收錄"</x:formula>
    </x:cfRule>
  </x:conditionalFormatting>
  <x:conditionalFormatting sqref="U15:U162">
    <x:cfRule type="expression" dxfId="16" priority="17">
      <x:formula>$GQ15="已收錄"</x:formula>
    </x:cfRule>
  </x:conditionalFormatting>
  <x:conditionalFormatting sqref="V15:V162">
    <x:cfRule type="expression" dxfId="17" priority="18">
      <x:formula>$GX15="已收錄"</x:formula>
    </x:cfRule>
  </x:conditionalFormatting>
  <x:conditionalFormatting sqref="W15:W162">
    <x:cfRule type="expression" dxfId="18" priority="19">
      <x:formula>$HE15="已收錄"</x:formula>
    </x:cfRule>
  </x:conditionalFormatting>
  <x:conditionalFormatting sqref="X15:X162">
    <x:cfRule type="expression" dxfId="19" priority="20">
      <x:formula>$HL15="已收錄"</x:formula>
    </x:cfRule>
  </x:conditionalFormatting>
  <x:conditionalFormatting sqref="Z15:Z162">
    <x:cfRule type="expression" dxfId="20" priority="21">
      <x:formula>$HS15="已收錄"</x:formula>
    </x:cfRule>
  </x:conditionalFormatting>
  <x:conditionalFormatting sqref="AA15:AA162">
    <x:cfRule type="expression" dxfId="21" priority="22">
      <x:formula>$HZ15="已收錄"</x:formula>
    </x:cfRule>
  </x:conditionalFormatting>
  <x:conditionalFormatting sqref="AB15:AB162">
    <x:cfRule type="expression" dxfId="22" priority="23">
      <x:formula>$IG15="已收錄"</x:formula>
    </x:cfRule>
  </x:conditionalFormatting>
  <x:conditionalFormatting sqref="AC15:AC162">
    <x:cfRule type="expression" dxfId="23" priority="24">
      <x:formula>$IN15="已收錄"</x:formula>
    </x:cfRule>
  </x:conditionalFormatting>
  <x:conditionalFormatting sqref="AE15:AE162">
    <x:cfRule type="expression" dxfId="24" priority="25">
      <x:formula>$IU15="已收錄"</x:formula>
    </x:cfRule>
  </x:conditionalFormatting>
  <x:conditionalFormatting sqref="AF15:AF162">
    <x:cfRule type="expression" dxfId="25" priority="26">
      <x:formula>$JB15="已收錄"</x:formula>
    </x:cfRule>
  </x:conditionalFormatting>
  <x:conditionalFormatting sqref="AG15:AG162">
    <x:cfRule type="expression" dxfId="26" priority="27">
      <x:formula>$JI15="已收錄"</x:formula>
    </x:cfRule>
  </x:conditionalFormatting>
  <x:conditionalFormatting sqref="AH15:AH162">
    <x:cfRule type="expression" dxfId="27" priority="28">
      <x:formula>$JP15="已收錄"</x:formula>
    </x:cfRule>
  </x:conditionalFormatting>
  <x:conditionalFormatting sqref="AJ15:AJ162">
    <x:cfRule type="expression" dxfId="28" priority="29">
      <x:formula>$JW15="已收錄"</x:formula>
    </x:cfRule>
  </x:conditionalFormatting>
  <x:conditionalFormatting sqref="AK15:AK162">
    <x:cfRule type="expression" dxfId="29" priority="30">
      <x:formula>$KD15="已收錄"</x:formula>
    </x:cfRule>
  </x:conditionalFormatting>
  <x:conditionalFormatting sqref="AL15:AL162">
    <x:cfRule type="expression" dxfId="30" priority="31">
      <x:formula>$KK15="已收錄"</x:formula>
    </x:cfRule>
  </x:conditionalFormatting>
  <x:conditionalFormatting sqref="AM15:AM162">
    <x:cfRule type="expression" dxfId="31" priority="32">
      <x:formula>$KR15="已收錄"</x:formula>
    </x:cfRule>
  </x:conditionalFormatting>
  <x:conditionalFormatting sqref="AO15:AO162">
    <x:cfRule type="expression" dxfId="32" priority="33">
      <x:formula>$KY15="已收錄"</x:formula>
    </x:cfRule>
  </x:conditionalFormatting>
  <x:conditionalFormatting sqref="AP15:AP162">
    <x:cfRule type="expression" dxfId="33" priority="34">
      <x:formula>$LF15="已收錄"</x:formula>
    </x:cfRule>
  </x:conditionalFormatting>
  <x:conditionalFormatting sqref="AQ15:AQ162">
    <x:cfRule type="expression" dxfId="34" priority="35">
      <x:formula>$LM15="已收錄"</x:formula>
    </x:cfRule>
  </x:conditionalFormatting>
  <x:conditionalFormatting sqref="AR15:AR162">
    <x:cfRule type="expression" dxfId="35" priority="36">
      <x:formula>$LT15="已收錄"</x:formula>
    </x:cfRule>
  </x:conditionalFormatting>
  <x:conditionalFormatting sqref="AT15:AT162">
    <x:cfRule type="expression" dxfId="36" priority="37">
      <x:formula>$MA15="已收錄"</x:formula>
    </x:cfRule>
  </x:conditionalFormatting>
  <x:conditionalFormatting sqref="AU15:AU162">
    <x:cfRule type="expression" dxfId="37" priority="38">
      <x:formula>$MH15="已收錄"</x:formula>
    </x:cfRule>
  </x:conditionalFormatting>
  <x:conditionalFormatting sqref="AV15:AV162">
    <x:cfRule type="expression" dxfId="38" priority="39">
      <x:formula>$MO15="已收錄"</x:formula>
    </x:cfRule>
  </x:conditionalFormatting>
  <x:conditionalFormatting sqref="AW15:AW162">
    <x:cfRule type="expression" dxfId="39" priority="40">
      <x:formula>$MV15="已收錄"</x:formula>
    </x:cfRule>
  </x:conditionalFormatting>
  <x:conditionalFormatting sqref="AY15:AY162">
    <x:cfRule type="expression" dxfId="40" priority="41">
      <x:formula>$NC15="已收錄"</x:formula>
    </x:cfRule>
  </x:conditionalFormatting>
  <x:conditionalFormatting sqref="AZ15:AZ162">
    <x:cfRule type="expression" dxfId="41" priority="42">
      <x:formula>$NJ15="已收錄"</x:formula>
    </x:cfRule>
  </x:conditionalFormatting>
  <x:conditionalFormatting sqref="BA15:BA162">
    <x:cfRule type="expression" dxfId="42" priority="43">
      <x:formula>$NQ15="已收錄"</x:formula>
    </x:cfRule>
  </x:conditionalFormatting>
  <x:conditionalFormatting sqref="BB15:BB162">
    <x:cfRule type="expression" dxfId="43" priority="44">
      <x:formula>$NX15="已收錄"</x:formula>
    </x:cfRule>
  </x:conditionalFormatting>
  <x:conditionalFormatting sqref="BD15:BD162">
    <x:cfRule type="expression" dxfId="44" priority="45">
      <x:formula>$OE15="已收錄"</x:formula>
    </x:cfRule>
  </x:conditionalFormatting>
  <x:conditionalFormatting sqref="BE15:BE162">
    <x:cfRule type="expression" dxfId="45" priority="46">
      <x:formula>$OL15="已收錄"</x:formula>
    </x:cfRule>
  </x:conditionalFormatting>
  <x:conditionalFormatting sqref="BF15:BF162">
    <x:cfRule type="expression" dxfId="46" priority="47">
      <x:formula>$OS15="已收錄"</x:formula>
    </x:cfRule>
  </x:conditionalFormatting>
  <x:conditionalFormatting sqref="BG15:BG162">
    <x:cfRule type="expression" dxfId="47" priority="48">
      <x:formula>$OZ15="已收錄"</x:formula>
    </x:cfRule>
  </x:conditionalFormatting>
  <x:conditionalFormatting sqref="BI15:BI162">
    <x:cfRule type="expression" dxfId="48" priority="49">
      <x:formula>$PG15="已收錄"</x:formula>
    </x:cfRule>
  </x:conditionalFormatting>
  <x:conditionalFormatting sqref="BJ15:BJ162">
    <x:cfRule type="expression" dxfId="49" priority="50">
      <x:formula>$PN15="已收錄"</x:formula>
    </x:cfRule>
  </x:conditionalFormatting>
  <x:conditionalFormatting sqref="BK15:BK162">
    <x:cfRule type="expression" dxfId="50" priority="51">
      <x:formula>$PU15="已收錄"</x:formula>
    </x:cfRule>
  </x:conditionalFormatting>
  <x:conditionalFormatting sqref="BL15:BL162">
    <x:cfRule type="expression" dxfId="51" priority="52">
      <x:formula>$QB15="已收錄"</x:formula>
    </x:cfRule>
  </x:conditionalFormatting>
  <x:conditionalFormatting sqref="BN15:BN162">
    <x:cfRule type="expression" dxfId="52" priority="53">
      <x:formula>$QI15="已收錄"</x:formula>
    </x:cfRule>
  </x:conditionalFormatting>
  <x:conditionalFormatting sqref="BO15:BO162">
    <x:cfRule type="expression" dxfId="53" priority="54">
      <x:formula>$QP15="已收錄"</x:formula>
    </x:cfRule>
  </x:conditionalFormatting>
  <x:conditionalFormatting sqref="BP15:BP162">
    <x:cfRule type="expression" dxfId="54" priority="55">
      <x:formula>$QW15="已收錄"</x:formula>
    </x:cfRule>
  </x:conditionalFormatting>
  <x:conditionalFormatting sqref="BQ15:BQ162">
    <x:cfRule type="expression" dxfId="55" priority="56">
      <x:formula>$RD15="已收錄"</x:formula>
    </x:cfRule>
  </x:conditionalFormatting>
  <x:conditionalFormatting sqref="BS15:BS162">
    <x:cfRule type="expression" dxfId="56" priority="57">
      <x:formula>$RK15="已收錄"</x:formula>
    </x:cfRule>
  </x:conditionalFormatting>
  <x:conditionalFormatting sqref="BT15:BT162">
    <x:cfRule type="expression" dxfId="57" priority="58">
      <x:formula>$RR15="已收錄"</x:formula>
    </x:cfRule>
  </x:conditionalFormatting>
  <x:conditionalFormatting sqref="BU15:BU162">
    <x:cfRule type="expression" dxfId="58" priority="59">
      <x:formula>$RY15="已收錄"</x:formula>
    </x:cfRule>
  </x:conditionalFormatting>
  <x:conditionalFormatting sqref="BV15:BV162">
    <x:cfRule type="expression" dxfId="59" priority="60">
      <x:formula>$SF15="已收錄"</x:formula>
    </x:cfRule>
  </x:conditionalFormatting>
  <x:conditionalFormatting sqref="BX15:BX162">
    <x:cfRule type="expression" dxfId="60" priority="61">
      <x:formula>$SM15="已收錄"</x:formula>
    </x:cfRule>
  </x:conditionalFormatting>
  <x:conditionalFormatting sqref="BY15:BY162">
    <x:cfRule type="expression" dxfId="61" priority="62">
      <x:formula>$ST15="已收錄"</x:formula>
    </x:cfRule>
  </x:conditionalFormatting>
  <x:conditionalFormatting sqref="BZ15:BZ162">
    <x:cfRule type="expression" dxfId="62" priority="63">
      <x:formula>$TA15="已收錄"</x:formula>
    </x:cfRule>
  </x:conditionalFormatting>
  <x:conditionalFormatting sqref="CA15:CA162">
    <x:cfRule type="expression" dxfId="63" priority="64">
      <x:formula>$TH15="已收錄"</x:formula>
    </x:cfRule>
  </x:conditionalFormatting>
  <x:hyperlinks>
    <x:hyperlink ref="A165" location="'武防'!A13"/>
    <x:hyperlink ref="B165" location="'武防'!F13"/>
    <x:hyperlink ref="C165" location="'武防'!K13"/>
    <x:hyperlink ref="D165" location="'武防'!P13"/>
    <x:hyperlink ref="A166" location="'武防'!U13"/>
    <x:hyperlink ref="B166" location="'武防'!Z13"/>
    <x:hyperlink ref="C166" location="'武防'!AE13"/>
    <x:hyperlink ref="D166" location="'武防'!AJ13"/>
    <x:hyperlink ref="A167" location="'武防'!AO13"/>
    <x:hyperlink ref="B167" location="'武防'!AT13"/>
    <x:hyperlink ref="C167" location="'武防'!AY13"/>
    <x:hyperlink ref="D167" location="'武防'!BD13"/>
    <x:hyperlink ref="A168" location="'武防'!BI13"/>
    <x:hyperlink ref="B168" location="'武防'!BN13"/>
    <x:hyperlink ref="C168" location="'武防'!BS13"/>
    <x:hyperlink ref="D168" location="'武防'!BX13"/>
    <x:hyperlink ref="A3" location="'武防'!BX13"/>
    <x:hyperlink ref="B3" location="'武防'!F13"/>
    <x:hyperlink ref="A2" location="'武防'!A165"/>
    <x:hyperlink ref="F165" location="'武防'!A13"/>
    <x:hyperlink ref="G165" location="'武防'!F13"/>
    <x:hyperlink ref="H165" location="'武防'!K13"/>
    <x:hyperlink ref="I165" location="'武防'!P13"/>
    <x:hyperlink ref="F166" location="'武防'!U13"/>
    <x:hyperlink ref="G166" location="'武防'!Z13"/>
    <x:hyperlink ref="H166" location="'武防'!AE13"/>
    <x:hyperlink ref="I166" location="'武防'!AJ13"/>
    <x:hyperlink ref="F167" location="'武防'!AO13"/>
    <x:hyperlink ref="G167" location="'武防'!AT13"/>
    <x:hyperlink ref="H167" location="'武防'!AY13"/>
    <x:hyperlink ref="I167" location="'武防'!BD13"/>
    <x:hyperlink ref="F168" location="'武防'!BI13"/>
    <x:hyperlink ref="G168" location="'武防'!BN13"/>
    <x:hyperlink ref="H168" location="'武防'!BS13"/>
    <x:hyperlink ref="I168" location="'武防'!BX13"/>
    <x:hyperlink ref="F3" location="'武防'!A13"/>
    <x:hyperlink ref="G3" location="'武防'!K13"/>
    <x:hyperlink ref="F2" location="'武防'!F165"/>
    <x:hyperlink ref="K165" location="'武防'!A13"/>
    <x:hyperlink ref="L165" location="'武防'!F13"/>
    <x:hyperlink ref="M165" location="'武防'!K13"/>
    <x:hyperlink ref="N165" location="'武防'!P13"/>
    <x:hyperlink ref="K166" location="'武防'!U13"/>
    <x:hyperlink ref="L166" location="'武防'!Z13"/>
    <x:hyperlink ref="M166" location="'武防'!AE13"/>
    <x:hyperlink ref="N166" location="'武防'!AJ13"/>
    <x:hyperlink ref="K167" location="'武防'!AO13"/>
    <x:hyperlink ref="L167" location="'武防'!AT13"/>
    <x:hyperlink ref="M167" location="'武防'!AY13"/>
    <x:hyperlink ref="N167" location="'武防'!BD13"/>
    <x:hyperlink ref="K168" location="'武防'!BI13"/>
    <x:hyperlink ref="L168" location="'武防'!BN13"/>
    <x:hyperlink ref="M168" location="'武防'!BS13"/>
    <x:hyperlink ref="N168" location="'武防'!BX13"/>
    <x:hyperlink ref="K3" location="'武防'!F13"/>
    <x:hyperlink ref="L3" location="'武防'!P13"/>
    <x:hyperlink ref="K2" location="'武防'!K165"/>
    <x:hyperlink ref="P165" location="'武防'!A13"/>
    <x:hyperlink ref="Q165" location="'武防'!F13"/>
    <x:hyperlink ref="R165" location="'武防'!K13"/>
    <x:hyperlink ref="S165" location="'武防'!P13"/>
    <x:hyperlink ref="P166" location="'武防'!U13"/>
    <x:hyperlink ref="Q166" location="'武防'!Z13"/>
    <x:hyperlink ref="R166" location="'武防'!AE13"/>
    <x:hyperlink ref="S166" location="'武防'!AJ13"/>
    <x:hyperlink ref="P167" location="'武防'!AO13"/>
    <x:hyperlink ref="Q167" location="'武防'!AT13"/>
    <x:hyperlink ref="R167" location="'武防'!AY13"/>
    <x:hyperlink ref="S167" location="'武防'!BD13"/>
    <x:hyperlink ref="P168" location="'武防'!BI13"/>
    <x:hyperlink ref="Q168" location="'武防'!BN13"/>
    <x:hyperlink ref="R168" location="'武防'!BS13"/>
    <x:hyperlink ref="S168" location="'武防'!BX13"/>
    <x:hyperlink ref="P3" location="'武防'!K13"/>
    <x:hyperlink ref="Q3" location="'武防'!U13"/>
    <x:hyperlink ref="P2" location="'武防'!P165"/>
    <x:hyperlink ref="U165" location="'武防'!A13"/>
    <x:hyperlink ref="V165" location="'武防'!F13"/>
    <x:hyperlink ref="W165" location="'武防'!K13"/>
    <x:hyperlink ref="X165" location="'武防'!P13"/>
    <x:hyperlink ref="U166" location="'武防'!U13"/>
    <x:hyperlink ref="V166" location="'武防'!Z13"/>
    <x:hyperlink ref="W166" location="'武防'!AE13"/>
    <x:hyperlink ref="X166" location="'武防'!AJ13"/>
    <x:hyperlink ref="U167" location="'武防'!AO13"/>
    <x:hyperlink ref="V167" location="'武防'!AT13"/>
    <x:hyperlink ref="W167" location="'武防'!AY13"/>
    <x:hyperlink ref="X167" location="'武防'!BD13"/>
    <x:hyperlink ref="U168" location="'武防'!BI13"/>
    <x:hyperlink ref="V168" location="'武防'!BN13"/>
    <x:hyperlink ref="W168" location="'武防'!BS13"/>
    <x:hyperlink ref="X168" location="'武防'!BX13"/>
    <x:hyperlink ref="U3" location="'武防'!P13"/>
    <x:hyperlink ref="V3" location="'武防'!Z13"/>
    <x:hyperlink ref="U2" location="'武防'!U165"/>
    <x:hyperlink ref="Z165" location="'武防'!A13"/>
    <x:hyperlink ref="AA165" location="'武防'!F13"/>
    <x:hyperlink ref="AB165" location="'武防'!K13"/>
    <x:hyperlink ref="AC165" location="'武防'!P13"/>
    <x:hyperlink ref="Z166" location="'武防'!U13"/>
    <x:hyperlink ref="AA166" location="'武防'!Z13"/>
    <x:hyperlink ref="AB166" location="'武防'!AE13"/>
    <x:hyperlink ref="AC166" location="'武防'!AJ13"/>
    <x:hyperlink ref="Z167" location="'武防'!AO13"/>
    <x:hyperlink ref="AA167" location="'武防'!AT13"/>
    <x:hyperlink ref="AB167" location="'武防'!AY13"/>
    <x:hyperlink ref="AC167" location="'武防'!BD13"/>
    <x:hyperlink ref="Z168" location="'武防'!BI13"/>
    <x:hyperlink ref="AA168" location="'武防'!BN13"/>
    <x:hyperlink ref="AB168" location="'武防'!BS13"/>
    <x:hyperlink ref="AC168" location="'武防'!BX13"/>
    <x:hyperlink ref="Z3" location="'武防'!U13"/>
    <x:hyperlink ref="AA3" location="'武防'!AE13"/>
    <x:hyperlink ref="Z2" location="'武防'!Z165"/>
    <x:hyperlink ref="AE165" location="'武防'!A13"/>
    <x:hyperlink ref="AF165" location="'武防'!F13"/>
    <x:hyperlink ref="AG165" location="'武防'!K13"/>
    <x:hyperlink ref="AH165" location="'武防'!P13"/>
    <x:hyperlink ref="AE166" location="'武防'!U13"/>
    <x:hyperlink ref="AF166" location="'武防'!Z13"/>
    <x:hyperlink ref="AG166" location="'武防'!AE13"/>
    <x:hyperlink ref="AH166" location="'武防'!AJ13"/>
    <x:hyperlink ref="AE167" location="'武防'!AO13"/>
    <x:hyperlink ref="AF167" location="'武防'!AT13"/>
    <x:hyperlink ref="AG167" location="'武防'!AY13"/>
    <x:hyperlink ref="AH167" location="'武防'!BD13"/>
    <x:hyperlink ref="AE168" location="'武防'!BI13"/>
    <x:hyperlink ref="AF168" location="'武防'!BN13"/>
    <x:hyperlink ref="AG168" location="'武防'!BS13"/>
    <x:hyperlink ref="AH168" location="'武防'!BX13"/>
    <x:hyperlink ref="AE3" location="'武防'!Z13"/>
    <x:hyperlink ref="AF3" location="'武防'!AJ13"/>
    <x:hyperlink ref="AE2" location="'武防'!AE165"/>
    <x:hyperlink ref="AJ165" location="'武防'!A13"/>
    <x:hyperlink ref="AK165" location="'武防'!F13"/>
    <x:hyperlink ref="AL165" location="'武防'!K13"/>
    <x:hyperlink ref="AM165" location="'武防'!P13"/>
    <x:hyperlink ref="AJ166" location="'武防'!U13"/>
    <x:hyperlink ref="AK166" location="'武防'!Z13"/>
    <x:hyperlink ref="AL166" location="'武防'!AE13"/>
    <x:hyperlink ref="AM166" location="'武防'!AJ13"/>
    <x:hyperlink ref="AJ167" location="'武防'!AO13"/>
    <x:hyperlink ref="AK167" location="'武防'!AT13"/>
    <x:hyperlink ref="AL167" location="'武防'!AY13"/>
    <x:hyperlink ref="AM167" location="'武防'!BD13"/>
    <x:hyperlink ref="AJ168" location="'武防'!BI13"/>
    <x:hyperlink ref="AK168" location="'武防'!BN13"/>
    <x:hyperlink ref="AL168" location="'武防'!BS13"/>
    <x:hyperlink ref="AM168" location="'武防'!BX13"/>
    <x:hyperlink ref="AJ3" location="'武防'!AE13"/>
    <x:hyperlink ref="AK3" location="'武防'!AO13"/>
    <x:hyperlink ref="AJ2" location="'武防'!AJ165"/>
    <x:hyperlink ref="AO165" location="'武防'!A13"/>
    <x:hyperlink ref="AP165" location="'武防'!F13"/>
    <x:hyperlink ref="AQ165" location="'武防'!K13"/>
    <x:hyperlink ref="AR165" location="'武防'!P13"/>
    <x:hyperlink ref="AO166" location="'武防'!U13"/>
    <x:hyperlink ref="AP166" location="'武防'!Z13"/>
    <x:hyperlink ref="AQ166" location="'武防'!AE13"/>
    <x:hyperlink ref="AR166" location="'武防'!AJ13"/>
    <x:hyperlink ref="AO167" location="'武防'!AO13"/>
    <x:hyperlink ref="AP167" location="'武防'!AT13"/>
    <x:hyperlink ref="AQ167" location="'武防'!AY13"/>
    <x:hyperlink ref="AR167" location="'武防'!BD13"/>
    <x:hyperlink ref="AO168" location="'武防'!BI13"/>
    <x:hyperlink ref="AP168" location="'武防'!BN13"/>
    <x:hyperlink ref="AQ168" location="'武防'!BS13"/>
    <x:hyperlink ref="AR168" location="'武防'!BX13"/>
    <x:hyperlink ref="AO3" location="'武防'!AJ13"/>
    <x:hyperlink ref="AP3" location="'武防'!AT13"/>
    <x:hyperlink ref="AO2" location="'武防'!AO165"/>
    <x:hyperlink ref="AT165" location="'武防'!A13"/>
    <x:hyperlink ref="AU165" location="'武防'!F13"/>
    <x:hyperlink ref="AV165" location="'武防'!K13"/>
    <x:hyperlink ref="AW165" location="'武防'!P13"/>
    <x:hyperlink ref="AT166" location="'武防'!U13"/>
    <x:hyperlink ref="AU166" location="'武防'!Z13"/>
    <x:hyperlink ref="AV166" location="'武防'!AE13"/>
    <x:hyperlink ref="AW166" location="'武防'!AJ13"/>
    <x:hyperlink ref="AT167" location="'武防'!AO13"/>
    <x:hyperlink ref="AU167" location="'武防'!AT13"/>
    <x:hyperlink ref="AV167" location="'武防'!AY13"/>
    <x:hyperlink ref="AW167" location="'武防'!BD13"/>
    <x:hyperlink ref="AT168" location="'武防'!BI13"/>
    <x:hyperlink ref="AU168" location="'武防'!BN13"/>
    <x:hyperlink ref="AV168" location="'武防'!BS13"/>
    <x:hyperlink ref="AW168" location="'武防'!BX13"/>
    <x:hyperlink ref="AT3" location="'武防'!AO13"/>
    <x:hyperlink ref="AU3" location="'武防'!AY13"/>
    <x:hyperlink ref="AT2" location="'武防'!AT165"/>
    <x:hyperlink ref="AY165" location="'武防'!A13"/>
    <x:hyperlink ref="AZ165" location="'武防'!F13"/>
    <x:hyperlink ref="BA165" location="'武防'!K13"/>
    <x:hyperlink ref="BB165" location="'武防'!P13"/>
    <x:hyperlink ref="AY166" location="'武防'!U13"/>
    <x:hyperlink ref="AZ166" location="'武防'!Z13"/>
    <x:hyperlink ref="BA166" location="'武防'!AE13"/>
    <x:hyperlink ref="BB166" location="'武防'!AJ13"/>
    <x:hyperlink ref="AY167" location="'武防'!AO13"/>
    <x:hyperlink ref="AZ167" location="'武防'!AT13"/>
    <x:hyperlink ref="BA167" location="'武防'!AY13"/>
    <x:hyperlink ref="BB167" location="'武防'!BD13"/>
    <x:hyperlink ref="AY168" location="'武防'!BI13"/>
    <x:hyperlink ref="AZ168" location="'武防'!BN13"/>
    <x:hyperlink ref="BA168" location="'武防'!BS13"/>
    <x:hyperlink ref="BB168" location="'武防'!BX13"/>
    <x:hyperlink ref="AY3" location="'武防'!AT13"/>
    <x:hyperlink ref="AZ3" location="'武防'!BD13"/>
    <x:hyperlink ref="AY2" location="'武防'!AY165"/>
    <x:hyperlink ref="BD165" location="'武防'!A13"/>
    <x:hyperlink ref="BE165" location="'武防'!F13"/>
    <x:hyperlink ref="BF165" location="'武防'!K13"/>
    <x:hyperlink ref="BG165" location="'武防'!P13"/>
    <x:hyperlink ref="BD166" location="'武防'!U13"/>
    <x:hyperlink ref="BE166" location="'武防'!Z13"/>
    <x:hyperlink ref="BF166" location="'武防'!AE13"/>
    <x:hyperlink ref="BG166" location="'武防'!AJ13"/>
    <x:hyperlink ref="BD167" location="'武防'!AO13"/>
    <x:hyperlink ref="BE167" location="'武防'!AT13"/>
    <x:hyperlink ref="BF167" location="'武防'!AY13"/>
    <x:hyperlink ref="BG167" location="'武防'!BD13"/>
    <x:hyperlink ref="BD168" location="'武防'!BI13"/>
    <x:hyperlink ref="BE168" location="'武防'!BN13"/>
    <x:hyperlink ref="BF168" location="'武防'!BS13"/>
    <x:hyperlink ref="BG168" location="'武防'!BX13"/>
    <x:hyperlink ref="BD3" location="'武防'!AY13"/>
    <x:hyperlink ref="BE3" location="'武防'!BI13"/>
    <x:hyperlink ref="BD2" location="'武防'!BD165"/>
    <x:hyperlink ref="BI165" location="'武防'!A13"/>
    <x:hyperlink ref="BJ165" location="'武防'!F13"/>
    <x:hyperlink ref="BK165" location="'武防'!K13"/>
    <x:hyperlink ref="BL165" location="'武防'!P13"/>
    <x:hyperlink ref="BI166" location="'武防'!U13"/>
    <x:hyperlink ref="BJ166" location="'武防'!Z13"/>
    <x:hyperlink ref="BK166" location="'武防'!AE13"/>
    <x:hyperlink ref="BL166" location="'武防'!AJ13"/>
    <x:hyperlink ref="BI167" location="'武防'!AO13"/>
    <x:hyperlink ref="BJ167" location="'武防'!AT13"/>
    <x:hyperlink ref="BK167" location="'武防'!AY13"/>
    <x:hyperlink ref="BL167" location="'武防'!BD13"/>
    <x:hyperlink ref="BI168" location="'武防'!BI13"/>
    <x:hyperlink ref="BJ168" location="'武防'!BN13"/>
    <x:hyperlink ref="BK168" location="'武防'!BS13"/>
    <x:hyperlink ref="BL168" location="'武防'!BX13"/>
    <x:hyperlink ref="BI3" location="'武防'!BD13"/>
    <x:hyperlink ref="BJ3" location="'武防'!BN13"/>
    <x:hyperlink ref="BI2" location="'武防'!BI165"/>
    <x:hyperlink ref="BN165" location="'武防'!A13"/>
    <x:hyperlink ref="BO165" location="'武防'!F13"/>
    <x:hyperlink ref="BP165" location="'武防'!K13"/>
    <x:hyperlink ref="BQ165" location="'武防'!P13"/>
    <x:hyperlink ref="BN166" location="'武防'!U13"/>
    <x:hyperlink ref="BO166" location="'武防'!Z13"/>
    <x:hyperlink ref="BP166" location="'武防'!AE13"/>
    <x:hyperlink ref="BQ166" location="'武防'!AJ13"/>
    <x:hyperlink ref="BN167" location="'武防'!AO13"/>
    <x:hyperlink ref="BO167" location="'武防'!AT13"/>
    <x:hyperlink ref="BP167" location="'武防'!AY13"/>
    <x:hyperlink ref="BQ167" location="'武防'!BD13"/>
    <x:hyperlink ref="BN168" location="'武防'!BI13"/>
    <x:hyperlink ref="BO168" location="'武防'!BN13"/>
    <x:hyperlink ref="BP168" location="'武防'!BS13"/>
    <x:hyperlink ref="BQ168" location="'武防'!BX13"/>
    <x:hyperlink ref="BN3" location="'武防'!BI13"/>
    <x:hyperlink ref="BO3" location="'武防'!BS13"/>
    <x:hyperlink ref="BN2" location="'武防'!BN165"/>
    <x:hyperlink ref="BS165" location="'武防'!A13"/>
    <x:hyperlink ref="BT165" location="'武防'!F13"/>
    <x:hyperlink ref="BU165" location="'武防'!K13"/>
    <x:hyperlink ref="BV165" location="'武防'!P13"/>
    <x:hyperlink ref="BS166" location="'武防'!U13"/>
    <x:hyperlink ref="BT166" location="'武防'!Z13"/>
    <x:hyperlink ref="BU166" location="'武防'!AE13"/>
    <x:hyperlink ref="BV166" location="'武防'!AJ13"/>
    <x:hyperlink ref="BS167" location="'武防'!AO13"/>
    <x:hyperlink ref="BT167" location="'武防'!AT13"/>
    <x:hyperlink ref="BU167" location="'武防'!AY13"/>
    <x:hyperlink ref="BV167" location="'武防'!BD13"/>
    <x:hyperlink ref="BS168" location="'武防'!BI13"/>
    <x:hyperlink ref="BT168" location="'武防'!BN13"/>
    <x:hyperlink ref="BU168" location="'武防'!BS13"/>
    <x:hyperlink ref="BV168" location="'武防'!BX13"/>
    <x:hyperlink ref="BS3" location="'武防'!BN13"/>
    <x:hyperlink ref="BT3" location="'武防'!BX13"/>
    <x:hyperlink ref="BS2" location="'武防'!BS165"/>
    <x:hyperlink ref="BX165" location="'武防'!A13"/>
    <x:hyperlink ref="BY165" location="'武防'!F13"/>
    <x:hyperlink ref="BZ165" location="'武防'!K13"/>
    <x:hyperlink ref="CA165" location="'武防'!P13"/>
    <x:hyperlink ref="BX166" location="'武防'!U13"/>
    <x:hyperlink ref="BY166" location="'武防'!Z13"/>
    <x:hyperlink ref="BZ166" location="'武防'!AE13"/>
    <x:hyperlink ref="CA166" location="'武防'!AJ13"/>
    <x:hyperlink ref="BX167" location="'武防'!AO13"/>
    <x:hyperlink ref="BY167" location="'武防'!AT13"/>
    <x:hyperlink ref="BZ167" location="'武防'!AY13"/>
    <x:hyperlink ref="CA167" location="'武防'!BD13"/>
    <x:hyperlink ref="BX168" location="'武防'!BI13"/>
    <x:hyperlink ref="BY168" location="'武防'!BN13"/>
    <x:hyperlink ref="BZ168" location="'武防'!BS13"/>
    <x:hyperlink ref="CA168" location="'武防'!BX13"/>
    <x:hyperlink ref="BX3" location="'武防'!BS13"/>
    <x:hyperlink ref="BY3" location="'武防'!A13"/>
    <x:hyperlink ref="BX2" location="'武防'!BX165"/>
  </x:hyperlinks>
  <x:pageMargins left="0.7" right="0.7" top="0.75" bottom="0.75" header="0.3" footer="0.3"/>
</x:worksheet>
</file>

<file path=xl/worksheets/sheet2.xml><?xml version="1.0" encoding="utf-8"?>
<x:worksheet xmlns:x="http://schemas.openxmlformats.org/spreadsheetml/2006/main">
  <x:sheetPr>
    <x:tabColor rgb="FF526B45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6" max="33" hidden="1" width="12" customWidth="1"/>
  </x:cols>
  <x:sheetData>
    <x:row r="1" hidden="1">
      <x:c r="A1" s="14" t="n">
        <x:v>6</x:v>
      </x:c>
      <x:c r="B1" s="14" t="n">
        <x:v>13</x:v>
      </x:c>
      <x:c r="C1" s="14" t="n">
        <x:v>20</x:v>
      </x:c>
      <x:c r="D1" s="14" t="n">
        <x:v>27</x:v>
      </x:c>
      <x:c r="E1" s="14"/>
      <x:c r="F1" s="14"/>
      <x:c r="G1" s="14"/>
      <x:c r="H1" s="14"/>
      <x:c r="I1" s="14"/>
      <x:c r="J1" s="14"/>
      <x:c r="K1" s="14"/>
      <x:c r="L1" s="14"/>
      <x:c r="M1" s="14"/>
      <x:c r="N1" s="14"/>
      <x:c r="O1" s="14"/>
      <x:c r="P1" s="14"/>
      <x:c r="Q1" s="14"/>
      <x:c r="R1" s="14"/>
      <x:c r="S1" s="14"/>
      <x:c r="T1" s="14"/>
      <x:c r="U1" s="14"/>
      <x:c r="V1" s="14"/>
      <x:c r="W1" s="14"/>
      <x:c r="X1" s="14"/>
      <x:c r="Y1" s="14"/>
      <x:c r="Z1" s="14"/>
      <x:c r="AA1" s="14"/>
      <x:c r="AB1" s="14"/>
      <x:c r="AC1" s="14"/>
      <x:c r="AD1" s="14"/>
      <x:c r="AE1" s="14"/>
      <x:c r="AF1" s="14"/>
      <x:c r="AG1" s="14"/>
    </x:row>
    <x:row r="2" ht="24" customHeight="1">
      <x:c r="A2" s="37" t="str">
        <x:v>配方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14"/>
      <x:c r="G2" s="14"/>
      <x:c r="H2" s="14"/>
      <x:c r="I2" s="14"/>
      <x:c r="J2" s="14"/>
      <x:c r="K2" s="14"/>
      <x:c r="L2" s="14"/>
      <x:c r="M2" s="14"/>
      <x:c r="N2" s="14"/>
      <x:c r="O2" s="14"/>
      <x:c r="P2" s="14"/>
      <x:c r="Q2" s="14"/>
      <x:c r="R2" s="14"/>
      <x:c r="S2" s="14"/>
      <x:c r="T2" s="14"/>
      <x:c r="U2" s="14"/>
      <x:c r="V2" s="14"/>
      <x:c r="W2" s="14"/>
      <x:c r="X2" s="14"/>
      <x:c r="Y2" s="14"/>
      <x:c r="Z2" s="14"/>
      <x:c r="AA2" s="14"/>
      <x:c r="AB2" s="14"/>
      <x:c r="AC2" s="14"/>
      <x:c r="AD2" s="14"/>
      <x:c r="AE2" s="14"/>
      <x:c r="AF2" s="14"/>
      <x:c r="AG2" s="14"/>
    </x:row>
    <x:row r="3" ht="19" customHeight="1" hidden="1">
      <x:c r="A3" s="14" t="str">
        <x:v>2026/09/17　武冠收納清冊</x:v>
      </x:c>
      <x:c r="B3" s="14"/>
      <x:c r="C3" s="14" t="str">
        <x:v>四類總分</x:v>
      </x:c>
      <x:c r="D3" s="14" t="n">
        <x:f>SUM('武防'!C5,'配方'!C5,'法器'!C5,'封獸'!C5)</x:f>
        <x:v>35704</x:v>
      </x:c>
      <x:c r="E3" s="14"/>
      <x:c r="F3" s="14"/>
      <x:c r="G3" s="14"/>
      <x:c r="H3" s="14"/>
      <x:c r="I3" s="14"/>
      <x:c r="J3" s="14"/>
      <x:c r="K3" s="14"/>
      <x:c r="L3" s="14"/>
      <x:c r="M3" s="14"/>
      <x:c r="N3" s="14"/>
      <x:c r="O3" s="14"/>
      <x:c r="P3" s="14"/>
      <x:c r="Q3" s="14"/>
      <x:c r="R3" s="14"/>
      <x:c r="S3" s="14"/>
      <x:c r="T3" s="14"/>
      <x:c r="U3" s="14"/>
      <x:c r="V3" s="14"/>
      <x:c r="W3" s="14"/>
      <x:c r="X3" s="14"/>
      <x:c r="Y3" s="14"/>
      <x:c r="Z3" s="14"/>
      <x:c r="AA3" s="14"/>
      <x:c r="AB3" s="14"/>
      <x:c r="AC3" s="14"/>
      <x:c r="AD3" s="14"/>
      <x:c r="AE3" s="14"/>
      <x:c r="AF3" s="14"/>
      <x:c r="AG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配方總分</x:t>
        </x:is>
      </x:c>
      <x:c r="D4" s="22" t="str">
        <x:v>本頁收藏率</x:v>
      </x:c>
      <x:c r="E4" s="14"/>
      <x:c r="F4" s="14"/>
      <x:c r="G4" s="14"/>
      <x:c r="H4" s="14"/>
      <x:c r="I4" s="14"/>
      <x:c r="J4" s="14"/>
      <x:c r="K4" s="14"/>
      <x:c r="L4" s="14"/>
      <x:c r="M4" s="14"/>
      <x:c r="N4" s="14"/>
      <x:c r="O4" s="14"/>
      <x:c r="P4" s="14"/>
      <x:c r="Q4" s="14"/>
      <x:c r="R4" s="14"/>
      <x:c r="S4" s="14"/>
      <x:c r="T4" s="14"/>
      <x:c r="U4" s="14"/>
      <x:c r="V4" s="14"/>
      <x:c r="W4" s="14"/>
      <x:c r="X4" s="14"/>
      <x:c r="Y4" s="14"/>
      <x:c r="Z4" s="14"/>
      <x:c r="AA4" s="14"/>
      <x:c r="AB4" s="14"/>
      <x:c r="AC4" s="14"/>
      <x:c r="AD4" s="14"/>
      <x:c r="AE4" s="14"/>
      <x:c r="AF4" s="14"/>
      <x:c r="AG4" s="14"/>
    </x:row>
    <x:row r="5" ht="21" customHeight="1">
      <x:c r="A5" s="28" t="n">
        <x:f>COUNTIF(L9:L149,"已收錄")+COUNTIF(S9:S149,"已收錄")+COUNTIF(Z9:Z149,"已收錄")+COUNTIF(AG9:AG149,"已收錄")</x:f>
        <x:v>0</x:v>
      </x:c>
      <x:c r="B5" s="29" t="n">
        <x:f>SUMIF(L9:L149,"已收錄",G9:G149)+SUMIF(S9:S149,"已收錄",N9:N149)+SUMIF(Z9:Z149,"已收錄",U9:U149)+SUMIF(AG9:AG149,"已收錄",AB9:AB149)</x:f>
        <x:v>0</x:v>
      </x:c>
      <x:c r="C5" s="72" t="n">
        <x:f>SUM(G9:G149)+SUM(N9:N149)+SUM(U9:U149)+SUM(AB9:AB149)</x:f>
        <x:v>1507</x:v>
      </x:c>
      <x:c r="D5" s="31" t="n">
        <x:f>A5/510</x:f>
        <x:v>0</x:v>
      </x:c>
      <x:c r="E5" s="14"/>
      <x:c r="F5" s="14"/>
      <x:c r="G5" s="14"/>
      <x:c r="H5" s="14"/>
      <x:c r="I5" s="14"/>
      <x:c r="J5" s="14"/>
      <x:c r="K5" s="14"/>
      <x:c r="L5" s="14"/>
      <x:c r="M5" s="14"/>
      <x:c r="N5" s="14"/>
      <x:c r="O5" s="14"/>
      <x:c r="P5" s="14"/>
      <x:c r="Q5" s="14"/>
      <x:c r="R5" s="14"/>
      <x:c r="S5" s="14"/>
      <x:c r="T5" s="14"/>
      <x:c r="U5" s="14"/>
      <x:c r="V5" s="14"/>
      <x:c r="W5" s="14"/>
      <x:c r="X5" s="14"/>
      <x:c r="Y5" s="14"/>
      <x:c r="Z5" s="14"/>
      <x:c r="AA5" s="14"/>
      <x:c r="AB5" s="14"/>
      <x:c r="AC5" s="14"/>
      <x:c r="AD5" s="14"/>
      <x:c r="AE5" s="14"/>
      <x:c r="AF5" s="14"/>
      <x:c r="AG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14"/>
      <x:c r="G6" s="14"/>
      <x:c r="H6" s="14"/>
      <x:c r="I6" s="14"/>
      <x:c r="J6" s="14"/>
      <x:c r="K6" s="14"/>
      <x:c r="L6" s="14"/>
      <x:c r="M6" s="14"/>
      <x:c r="N6" s="14"/>
      <x:c r="O6" s="14"/>
      <x:c r="P6" s="14"/>
      <x:c r="Q6" s="14"/>
      <x:c r="R6" s="14"/>
      <x:c r="S6" s="14"/>
      <x:c r="T6" s="14"/>
      <x:c r="U6" s="14"/>
      <x:c r="V6" s="14"/>
      <x:c r="W6" s="14"/>
      <x:c r="X6" s="14"/>
      <x:c r="Y6" s="14"/>
      <x:c r="Z6" s="14"/>
      <x:c r="AA6" s="14"/>
      <x:c r="AB6" s="14"/>
      <x:c r="AC6" s="14"/>
      <x:c r="AD6" s="14"/>
      <x:c r="AE6" s="14"/>
      <x:c r="AF6" s="14"/>
      <x:c r="AG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</x:row>
    <x:row r="9" ht="25" customHeight="1">
      <x:c r="A9" s="36" t="str">
        <x:v>配方</x:v>
      </x:c>
      <x:c r="B9" s="36"/>
      <x:c r="C9" s="36"/>
      <x:c r="D9" s="36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</x:row>
    <x:row r="10" ht="25" customHeight="1">
      <x:c r="A10" s="16" t="str">
        <x:v>配方1　／　96 筆</x:v>
      </x:c>
      <x:c r="B10" s="16"/>
      <x:c r="C10" s="16"/>
      <x:c r="D10" s="16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</x:row>
    <x:row r="11" ht="15" customHeight="1">
      <x:c r="A11" s="17" t="str">
        <x:v>熔鑄金礦配方</x:v>
      </x:c>
      <x:c r="B11" s="17" t="str">
        <x:v>熔鑄銀礦配方</x:v>
      </x:c>
      <x:c r="C11" s="17" t="str">
        <x:v>熔鑄銅礦配方</x:v>
      </x:c>
      <x:c r="D11" s="17" t="str">
        <x:v>熔鑄鐵礦配方</x:v>
      </x:c>
      <x:c r="E11" s="14"/>
      <x:c r="F11" s="14" t="str">
        <x:v>25122</x:v>
      </x:c>
      <x:c r="G11" s="14" t="n">
        <x:v>1</x:v>
      </x:c>
      <x:c r="H11" s="14" t="n">
        <x:v>4225</x:v>
      </x:c>
      <x:c r="I11" s="14" t="n">
        <x:v>1</x:v>
      </x:c>
      <x:c r="J11" s="14" t="n">
        <x:v>1</x:v>
      </x:c>
      <x:c r="K11" s="14" t="n">
        <x:v>1</x:v>
      </x:c>
      <x:c r="L11" s="14" t="str">
        <x:v>未收錄</x:v>
      </x:c>
      <x:c r="M11" s="14" t="str">
        <x:v>25123</x:v>
      </x:c>
      <x:c r="N11" s="14" t="n">
        <x:v>1</x:v>
      </x:c>
      <x:c r="O11" s="14" t="n">
        <x:v>4226</x:v>
      </x:c>
      <x:c r="P11" s="14" t="n">
        <x:v>2</x:v>
      </x:c>
      <x:c r="Q11" s="14" t="n">
        <x:v>1</x:v>
      </x:c>
      <x:c r="R11" s="14" t="n">
        <x:v>2</x:v>
      </x:c>
      <x:c r="S11" s="14" t="str">
        <x:v>未收錄</x:v>
      </x:c>
      <x:c r="T11" s="14" t="str">
        <x:v>25124</x:v>
      </x:c>
      <x:c r="U11" s="14" t="n">
        <x:v>1</x:v>
      </x:c>
      <x:c r="V11" s="14" t="n">
        <x:v>4227</x:v>
      </x:c>
      <x:c r="W11" s="14" t="n">
        <x:v>3</x:v>
      </x:c>
      <x:c r="X11" s="14" t="n">
        <x:v>1</x:v>
      </x:c>
      <x:c r="Y11" s="14" t="n">
        <x:v>3</x:v>
      </x:c>
      <x:c r="Z11" s="14" t="str">
        <x:v>未收錄</x:v>
      </x:c>
      <x:c r="AA11" s="14" t="str">
        <x:v>25125</x:v>
      </x:c>
      <x:c r="AB11" s="14" t="n">
        <x:v>1</x:v>
      </x:c>
      <x:c r="AC11" s="14" t="n">
        <x:v>4228</x:v>
      </x:c>
      <x:c r="AD11" s="14" t="n">
        <x:v>4</x:v>
      </x:c>
      <x:c r="AE11" s="14" t="n">
        <x:v>1</x:v>
      </x:c>
      <x:c r="AF11" s="14" t="n">
        <x:v>4</x:v>
      </x:c>
      <x:c r="AG11" s="14" t="str">
        <x:v>未收錄</x:v>
      </x:c>
    </x:row>
    <x:row r="12" ht="15" customHeight="1">
      <x:c r="A12" s="18" t="str">
        <x:v>熔鑄錫礦配方</x:v>
      </x:c>
      <x:c r="B12" s="18" t="str">
        <x:v>鑄煉金塊配方</x:v>
      </x:c>
      <x:c r="C12" s="18" t="str">
        <x:v>鑄煉銀塊配方</x:v>
      </x:c>
      <x:c r="D12" s="18" t="str">
        <x:v>鑄煉銅塊配方</x:v>
      </x:c>
      <x:c r="E12" s="14"/>
      <x:c r="F12" s="14" t="str">
        <x:v>25126</x:v>
      </x:c>
      <x:c r="G12" s="14" t="n">
        <x:v>1</x:v>
      </x:c>
      <x:c r="H12" s="14" t="n">
        <x:v>4229</x:v>
      </x:c>
      <x:c r="I12" s="14" t="n">
        <x:v>5</x:v>
      </x:c>
      <x:c r="J12" s="14" t="n">
        <x:v>2</x:v>
      </x:c>
      <x:c r="K12" s="14" t="n">
        <x:v>1</x:v>
      </x:c>
      <x:c r="L12" s="14" t="str">
        <x:v>未收錄</x:v>
      </x:c>
      <x:c r="M12" s="14" t="str">
        <x:v>25046</x:v>
      </x:c>
      <x:c r="N12" s="14" t="n">
        <x:v>1</x:v>
      </x:c>
      <x:c r="O12" s="14" t="n">
        <x:v>4230</x:v>
      </x:c>
      <x:c r="P12" s="14" t="n">
        <x:v>6</x:v>
      </x:c>
      <x:c r="Q12" s="14" t="n">
        <x:v>2</x:v>
      </x:c>
      <x:c r="R12" s="14" t="n">
        <x:v>2</x:v>
      </x:c>
      <x:c r="S12" s="14" t="str">
        <x:v>未收錄</x:v>
      </x:c>
      <x:c r="T12" s="14" t="str">
        <x:v>25047</x:v>
      </x:c>
      <x:c r="U12" s="14" t="n">
        <x:v>1</x:v>
      </x:c>
      <x:c r="V12" s="14" t="n">
        <x:v>4231</x:v>
      </x:c>
      <x:c r="W12" s="14" t="n">
        <x:v>7</x:v>
      </x:c>
      <x:c r="X12" s="14" t="n">
        <x:v>2</x:v>
      </x:c>
      <x:c r="Y12" s="14" t="n">
        <x:v>3</x:v>
      </x:c>
      <x:c r="Z12" s="14" t="str">
        <x:v>未收錄</x:v>
      </x:c>
      <x:c r="AA12" s="14" t="str">
        <x:v>25048</x:v>
      </x:c>
      <x:c r="AB12" s="14" t="n">
        <x:v>1</x:v>
      </x:c>
      <x:c r="AC12" s="14" t="n">
        <x:v>4232</x:v>
      </x:c>
      <x:c r="AD12" s="14" t="n">
        <x:v>8</x:v>
      </x:c>
      <x:c r="AE12" s="14" t="n">
        <x:v>2</x:v>
      </x:c>
      <x:c r="AF12" s="14" t="n">
        <x:v>4</x:v>
      </x:c>
      <x:c r="AG12" s="14" t="str">
        <x:v>未收錄</x:v>
      </x:c>
    </x:row>
    <x:row r="13" ht="15" customHeight="1">
      <x:c r="A13" s="17" t="str">
        <x:v>鑄煉鐵塊配方</x:v>
      </x:c>
      <x:c r="B13" s="17" t="str">
        <x:v>鑄煉錫塊配方</x:v>
      </x:c>
      <x:c r="C13" s="17" t="str">
        <x:v>天神符石配方</x:v>
      </x:c>
      <x:c r="D13" s="17" t="str">
        <x:v>七曜符石配方</x:v>
      </x:c>
      <x:c r="E13" s="14"/>
      <x:c r="F13" s="14" t="str">
        <x:v>25049</x:v>
      </x:c>
      <x:c r="G13" s="14" t="n">
        <x:v>1</x:v>
      </x:c>
      <x:c r="H13" s="14" t="n">
        <x:v>4233</x:v>
      </x:c>
      <x:c r="I13" s="14" t="n">
        <x:v>9</x:v>
      </x:c>
      <x:c r="J13" s="14" t="n">
        <x:v>3</x:v>
      </x:c>
      <x:c r="K13" s="14" t="n">
        <x:v>1</x:v>
      </x:c>
      <x:c r="L13" s="14" t="str">
        <x:v>未收錄</x:v>
      </x:c>
      <x:c r="M13" s="14" t="str">
        <x:v>25050</x:v>
      </x:c>
      <x:c r="N13" s="14" t="n">
        <x:v>1</x:v>
      </x:c>
      <x:c r="O13" s="14" t="n">
        <x:v>4234</x:v>
      </x:c>
      <x:c r="P13" s="14" t="n">
        <x:v>10</x:v>
      </x:c>
      <x:c r="Q13" s="14" t="n">
        <x:v>3</x:v>
      </x:c>
      <x:c r="R13" s="14" t="n">
        <x:v>2</x:v>
      </x:c>
      <x:c r="S13" s="14" t="str">
        <x:v>未收錄</x:v>
      </x:c>
      <x:c r="T13" s="14" t="str">
        <x:v>25391</x:v>
      </x:c>
      <x:c r="U13" s="14" t="n">
        <x:v>2</x:v>
      </x:c>
      <x:c r="V13" s="14" t="n">
        <x:v>4235</x:v>
      </x:c>
      <x:c r="W13" s="14" t="n">
        <x:v>11</x:v>
      </x:c>
      <x:c r="X13" s="14" t="n">
        <x:v>3</x:v>
      </x:c>
      <x:c r="Y13" s="14" t="n">
        <x:v>3</x:v>
      </x:c>
      <x:c r="Z13" s="14" t="str">
        <x:v>未收錄</x:v>
      </x:c>
      <x:c r="AA13" s="14" t="str">
        <x:v>25392</x:v>
      </x:c>
      <x:c r="AB13" s="14" t="n">
        <x:v>2</x:v>
      </x:c>
      <x:c r="AC13" s="14" t="n">
        <x:v>4236</x:v>
      </x:c>
      <x:c r="AD13" s="14" t="n">
        <x:v>12</x:v>
      </x:c>
      <x:c r="AE13" s="14" t="n">
        <x:v>3</x:v>
      </x:c>
      <x:c r="AF13" s="14" t="n">
        <x:v>4</x:v>
      </x:c>
      <x:c r="AG13" s="14" t="str">
        <x:v>未收錄</x:v>
      </x:c>
    </x:row>
    <x:row r="14" ht="15" customHeight="1">
      <x:c r="A14" s="18" t="str">
        <x:v>聖獸血魄配方</x:v>
      </x:c>
      <x:c r="B14" s="18" t="str">
        <x:v>天鋼之心配方</x:v>
      </x:c>
      <x:c r="C14" s="18" t="str">
        <x:v>鋼粹還原配方</x:v>
      </x:c>
      <x:c r="D14" s="18" t="str">
        <x:v>天藥之菁配方</x:v>
      </x:c>
      <x:c r="E14" s="14"/>
      <x:c r="F14" s="14" t="str">
        <x:v>25393</x:v>
      </x:c>
      <x:c r="G14" s="14" t="n">
        <x:v>2</x:v>
      </x:c>
      <x:c r="H14" s="14" t="n">
        <x:v>4237</x:v>
      </x:c>
      <x:c r="I14" s="14" t="n">
        <x:v>13</x:v>
      </x:c>
      <x:c r="J14" s="14" t="n">
        <x:v>4</x:v>
      </x:c>
      <x:c r="K14" s="14" t="n">
        <x:v>1</x:v>
      </x:c>
      <x:c r="L14" s="14" t="str">
        <x:v>未收錄</x:v>
      </x:c>
      <x:c r="M14" s="14" t="str">
        <x:v>25382</x:v>
      </x:c>
      <x:c r="N14" s="14" t="n">
        <x:v>2</x:v>
      </x:c>
      <x:c r="O14" s="14" t="n">
        <x:v>4238</x:v>
      </x:c>
      <x:c r="P14" s="14" t="n">
        <x:v>14</x:v>
      </x:c>
      <x:c r="Q14" s="14" t="n">
        <x:v>4</x:v>
      </x:c>
      <x:c r="R14" s="14" t="n">
        <x:v>2</x:v>
      </x:c>
      <x:c r="S14" s="14" t="str">
        <x:v>未收錄</x:v>
      </x:c>
      <x:c r="T14" s="14" t="str">
        <x:v>25414</x:v>
      </x:c>
      <x:c r="U14" s="14" t="n">
        <x:v>2</x:v>
      </x:c>
      <x:c r="V14" s="14" t="n">
        <x:v>4239</x:v>
      </x:c>
      <x:c r="W14" s="14" t="n">
        <x:v>15</x:v>
      </x:c>
      <x:c r="X14" s="14" t="n">
        <x:v>4</x:v>
      </x:c>
      <x:c r="Y14" s="14" t="n">
        <x:v>3</x:v>
      </x:c>
      <x:c r="Z14" s="14" t="str">
        <x:v>未收錄</x:v>
      </x:c>
      <x:c r="AA14" s="14" t="str">
        <x:v>25432</x:v>
      </x:c>
      <x:c r="AB14" s="14" t="n">
        <x:v>2</x:v>
      </x:c>
      <x:c r="AC14" s="14" t="n">
        <x:v>4240</x:v>
      </x:c>
      <x:c r="AD14" s="14" t="n">
        <x:v>16</x:v>
      </x:c>
      <x:c r="AE14" s="14" t="n">
        <x:v>4</x:v>
      </x:c>
      <x:c r="AF14" s="14" t="n">
        <x:v>4</x:v>
      </x:c>
      <x:c r="AG14" s="14" t="str">
        <x:v>未收錄</x:v>
      </x:c>
    </x:row>
    <x:row r="15" ht="15" customHeight="1">
      <x:c r="A15" s="17" t="str">
        <x:v>藥煉還原配方</x:v>
      </x:c>
      <x:c r="B15" s="17" t="str">
        <x:v>阿薩真金配方</x:v>
      </x:c>
      <x:c r="C15" s="17" t="str">
        <x:v>創星源質配方</x:v>
      </x:c>
      <x:c r="D15" s="17" t="str">
        <x:v>造星煌碧配方</x:v>
      </x:c>
      <x:c r="E15" s="14"/>
      <x:c r="F15" s="14" t="str">
        <x:v>25433</x:v>
      </x:c>
      <x:c r="G15" s="14" t="n">
        <x:v>2</x:v>
      </x:c>
      <x:c r="H15" s="14" t="n">
        <x:v>4241</x:v>
      </x:c>
      <x:c r="I15" s="14" t="n">
        <x:v>17</x:v>
      </x:c>
      <x:c r="J15" s="14" t="n">
        <x:v>5</x:v>
      </x:c>
      <x:c r="K15" s="14" t="n">
        <x:v>1</x:v>
      </x:c>
      <x:c r="L15" s="14" t="str">
        <x:v>未收錄</x:v>
      </x:c>
      <x:c r="M15" s="14" t="str">
        <x:v>25502</x:v>
      </x:c>
      <x:c r="N15" s="14" t="n">
        <x:v>2</x:v>
      </x:c>
      <x:c r="O15" s="14" t="n">
        <x:v>4242</x:v>
      </x:c>
      <x:c r="P15" s="14" t="n">
        <x:v>18</x:v>
      </x:c>
      <x:c r="Q15" s="14" t="n">
        <x:v>5</x:v>
      </x:c>
      <x:c r="R15" s="14" t="n">
        <x:v>2</x:v>
      </x:c>
      <x:c r="S15" s="14" t="str">
        <x:v>未收錄</x:v>
      </x:c>
      <x:c r="T15" s="14" t="str">
        <x:v>25552</x:v>
      </x:c>
      <x:c r="U15" s="14" t="n">
        <x:v>2</x:v>
      </x:c>
      <x:c r="V15" s="14" t="n">
        <x:v>4243</x:v>
      </x:c>
      <x:c r="W15" s="14" t="n">
        <x:v>19</x:v>
      </x:c>
      <x:c r="X15" s="14" t="n">
        <x:v>5</x:v>
      </x:c>
      <x:c r="Y15" s="14" t="n">
        <x:v>3</x:v>
      </x:c>
      <x:c r="Z15" s="14" t="str">
        <x:v>未收錄</x:v>
      </x:c>
      <x:c r="AA15" s="14" t="str">
        <x:v>25558</x:v>
      </x:c>
      <x:c r="AB15" s="14" t="n">
        <x:v>2</x:v>
      </x:c>
      <x:c r="AC15" s="14" t="n">
        <x:v>4244</x:v>
      </x:c>
      <x:c r="AD15" s="14" t="n">
        <x:v>20</x:v>
      </x:c>
      <x:c r="AE15" s="14" t="n">
        <x:v>5</x:v>
      </x:c>
      <x:c r="AF15" s="14" t="n">
        <x:v>4</x:v>
      </x:c>
      <x:c r="AG15" s="14" t="str">
        <x:v>未收錄</x:v>
      </x:c>
    </x:row>
    <x:row r="16" ht="15" customHeight="1">
      <x:c r="A16" s="18" t="str">
        <x:v>皇龍純金配方</x:v>
      </x:c>
      <x:c r="B16" s="18" t="str">
        <x:v>皇龍星銀配方</x:v>
      </x:c>
      <x:c r="C16" s="18" t="str">
        <x:v>皇龍至鋼配方</x:v>
      </x:c>
      <x:c r="D16" s="18" t="str">
        <x:v>七星封甕配方</x:v>
      </x:c>
      <x:c r="E16" s="14"/>
      <x:c r="F16" s="14" t="str">
        <x:v>25549</x:v>
      </x:c>
      <x:c r="G16" s="14" t="n">
        <x:v>5</x:v>
      </x:c>
      <x:c r="H16" s="14" t="n">
        <x:v>4245</x:v>
      </x:c>
      <x:c r="I16" s="14" t="n">
        <x:v>21</x:v>
      </x:c>
      <x:c r="J16" s="14" t="n">
        <x:v>6</x:v>
      </x:c>
      <x:c r="K16" s="14" t="n">
        <x:v>1</x:v>
      </x:c>
      <x:c r="L16" s="14" t="str">
        <x:v>未收錄</x:v>
      </x:c>
      <x:c r="M16" s="14" t="str">
        <x:v>25550</x:v>
      </x:c>
      <x:c r="N16" s="14" t="n">
        <x:v>5</x:v>
      </x:c>
      <x:c r="O16" s="14" t="n">
        <x:v>4246</x:v>
      </x:c>
      <x:c r="P16" s="14" t="n">
        <x:v>22</x:v>
      </x:c>
      <x:c r="Q16" s="14" t="n">
        <x:v>6</x:v>
      </x:c>
      <x:c r="R16" s="14" t="n">
        <x:v>2</x:v>
      </x:c>
      <x:c r="S16" s="14" t="str">
        <x:v>未收錄</x:v>
      </x:c>
      <x:c r="T16" s="14" t="str">
        <x:v>25551</x:v>
      </x:c>
      <x:c r="U16" s="14" t="n">
        <x:v>5</x:v>
      </x:c>
      <x:c r="V16" s="14" t="n">
        <x:v>4247</x:v>
      </x:c>
      <x:c r="W16" s="14" t="n">
        <x:v>23</x:v>
      </x:c>
      <x:c r="X16" s="14" t="n">
        <x:v>6</x:v>
      </x:c>
      <x:c r="Y16" s="14" t="n">
        <x:v>3</x:v>
      </x:c>
      <x:c r="Z16" s="14" t="str">
        <x:v>未收錄</x:v>
      </x:c>
      <x:c r="AA16" s="14" t="str">
        <x:v>25258</x:v>
      </x:c>
      <x:c r="AB16" s="14" t="n">
        <x:v>7</x:v>
      </x:c>
      <x:c r="AC16" s="14" t="n">
        <x:v>4248</x:v>
      </x:c>
      <x:c r="AD16" s="14" t="n">
        <x:v>24</x:v>
      </x:c>
      <x:c r="AE16" s="14" t="n">
        <x:v>6</x:v>
      </x:c>
      <x:c r="AF16" s="14" t="n">
        <x:v>4</x:v>
      </x:c>
      <x:c r="AG16" s="14" t="str">
        <x:v>未收錄</x:v>
      </x:c>
    </x:row>
    <x:row r="17" ht="15" customHeight="1">
      <x:c r="A17" s="17" t="str">
        <x:v>八卦封甕配方</x:v>
      </x:c>
      <x:c r="B17" s="17" t="str">
        <x:v>九如封甕配方</x:v>
      </x:c>
      <x:c r="C17" s="17" t="str">
        <x:v>十錦封甕配方</x:v>
      </x:c>
      <x:c r="D17" s="17" t="str">
        <x:v>抗毒符配方</x:v>
      </x:c>
      <x:c r="E17" s="14"/>
      <x:c r="F17" s="14" t="str">
        <x:v>25289</x:v>
      </x:c>
      <x:c r="G17" s="14" t="n">
        <x:v>8</x:v>
      </x:c>
      <x:c r="H17" s="14" t="n">
        <x:v>4249</x:v>
      </x:c>
      <x:c r="I17" s="14" t="n">
        <x:v>25</x:v>
      </x:c>
      <x:c r="J17" s="14" t="n">
        <x:v>7</x:v>
      </x:c>
      <x:c r="K17" s="14" t="n">
        <x:v>1</x:v>
      </x:c>
      <x:c r="L17" s="14" t="str">
        <x:v>未收錄</x:v>
      </x:c>
      <x:c r="M17" s="14" t="str">
        <x:v>25410</x:v>
      </x:c>
      <x:c r="N17" s="14" t="n">
        <x:v>9</x:v>
      </x:c>
      <x:c r="O17" s="14" t="n">
        <x:v>4250</x:v>
      </x:c>
      <x:c r="P17" s="14" t="n">
        <x:v>26</x:v>
      </x:c>
      <x:c r="Q17" s="14" t="n">
        <x:v>7</x:v>
      </x:c>
      <x:c r="R17" s="14" t="n">
        <x:v>2</x:v>
      </x:c>
      <x:c r="S17" s="14" t="str">
        <x:v>未收錄</x:v>
      </x:c>
      <x:c r="T17" s="14" t="str">
        <x:v>25451</x:v>
      </x:c>
      <x:c r="U17" s="14" t="n">
        <x:v>10</x:v>
      </x:c>
      <x:c r="V17" s="14" t="n">
        <x:v>4251</x:v>
      </x:c>
      <x:c r="W17" s="14" t="n">
        <x:v>27</x:v>
      </x:c>
      <x:c r="X17" s="14" t="n">
        <x:v>7</x:v>
      </x:c>
      <x:c r="Y17" s="14" t="n">
        <x:v>3</x:v>
      </x:c>
      <x:c r="Z17" s="14" t="str">
        <x:v>未收錄</x:v>
      </x:c>
      <x:c r="AA17" s="14" t="str">
        <x:v>25083</x:v>
      </x:c>
      <x:c r="AB17" s="14" t="n">
        <x:v>2</x:v>
      </x:c>
      <x:c r="AC17" s="14" t="n">
        <x:v>4252</x:v>
      </x:c>
      <x:c r="AD17" s="14" t="n">
        <x:v>28</x:v>
      </x:c>
      <x:c r="AE17" s="14" t="n">
        <x:v>7</x:v>
      </x:c>
      <x:c r="AF17" s="14" t="n">
        <x:v>4</x:v>
      </x:c>
      <x:c r="AG17" s="14" t="str">
        <x:v>未收錄</x:v>
      </x:c>
    </x:row>
    <x:row r="18" ht="15" customHeight="1">
      <x:c r="A18" s="18" t="str">
        <x:v>抗盲符配方</x:v>
      </x:c>
      <x:c r="B18" s="18" t="str">
        <x:v>解定符配方</x:v>
      </x:c>
      <x:c r="C18" s="18" t="str">
        <x:v>解咒符配方</x:v>
      </x:c>
      <x:c r="D18" s="18" t="str">
        <x:v>強效金創配方</x:v>
      </x:c>
      <x:c r="E18" s="14"/>
      <x:c r="F18" s="14" t="str">
        <x:v>25084</x:v>
      </x:c>
      <x:c r="G18" s="14" t="n">
        <x:v>2</x:v>
      </x:c>
      <x:c r="H18" s="14" t="n">
        <x:v>4253</x:v>
      </x:c>
      <x:c r="I18" s="14" t="n">
        <x:v>29</x:v>
      </x:c>
      <x:c r="J18" s="14" t="n">
        <x:v>8</x:v>
      </x:c>
      <x:c r="K18" s="14" t="n">
        <x:v>1</x:v>
      </x:c>
      <x:c r="L18" s="14" t="str">
        <x:v>未收錄</x:v>
      </x:c>
      <x:c r="M18" s="14" t="str">
        <x:v>25085</x:v>
      </x:c>
      <x:c r="N18" s="14" t="n">
        <x:v>2</x:v>
      </x:c>
      <x:c r="O18" s="14" t="n">
        <x:v>4254</x:v>
      </x:c>
      <x:c r="P18" s="14" t="n">
        <x:v>30</x:v>
      </x:c>
      <x:c r="Q18" s="14" t="n">
        <x:v>8</x:v>
      </x:c>
      <x:c r="R18" s="14" t="n">
        <x:v>2</x:v>
      </x:c>
      <x:c r="S18" s="14" t="str">
        <x:v>未收錄</x:v>
      </x:c>
      <x:c r="T18" s="14" t="str">
        <x:v>25090</x:v>
      </x:c>
      <x:c r="U18" s="14" t="n">
        <x:v>2</x:v>
      </x:c>
      <x:c r="V18" s="14" t="n">
        <x:v>4255</x:v>
      </x:c>
      <x:c r="W18" s="14" t="n">
        <x:v>31</x:v>
      </x:c>
      <x:c r="X18" s="14" t="n">
        <x:v>8</x:v>
      </x:c>
      <x:c r="Y18" s="14" t="n">
        <x:v>3</x:v>
      </x:c>
      <x:c r="Z18" s="14" t="str">
        <x:v>未收錄</x:v>
      </x:c>
      <x:c r="AA18" s="14" t="str">
        <x:v>25170</x:v>
      </x:c>
      <x:c r="AB18" s="14" t="n">
        <x:v>3</x:v>
      </x:c>
      <x:c r="AC18" s="14" t="n">
        <x:v>4256</x:v>
      </x:c>
      <x:c r="AD18" s="14" t="n">
        <x:v>32</x:v>
      </x:c>
      <x:c r="AE18" s="14" t="n">
        <x:v>8</x:v>
      </x:c>
      <x:c r="AF18" s="14" t="n">
        <x:v>4</x:v>
      </x:c>
      <x:c r="AG18" s="14" t="str">
        <x:v>未收錄</x:v>
      </x:c>
    </x:row>
    <x:row r="19" ht="15" customHeight="1">
      <x:c r="A19" s="17" t="str">
        <x:v>強效行氣配方</x:v>
      </x:c>
      <x:c r="B19" s="17" t="str">
        <x:v>強效聚力配方</x:v>
      </x:c>
      <x:c r="C19" s="17" t="str">
        <x:v>強效健骨配方</x:v>
      </x:c>
      <x:c r="D19" s="17" t="str">
        <x:v>強效醒腦配方</x:v>
      </x:c>
      <x:c r="E19" s="14"/>
      <x:c r="F19" s="14" t="str">
        <x:v>25171</x:v>
      </x:c>
      <x:c r="G19" s="14" t="n">
        <x:v>3</x:v>
      </x:c>
      <x:c r="H19" s="14" t="n">
        <x:v>4257</x:v>
      </x:c>
      <x:c r="I19" s="14" t="n">
        <x:v>33</x:v>
      </x:c>
      <x:c r="J19" s="14" t="n">
        <x:v>9</x:v>
      </x:c>
      <x:c r="K19" s="14" t="n">
        <x:v>1</x:v>
      </x:c>
      <x:c r="L19" s="14" t="str">
        <x:v>未收錄</x:v>
      </x:c>
      <x:c r="M19" s="14" t="str">
        <x:v>25172</x:v>
      </x:c>
      <x:c r="N19" s="14" t="n">
        <x:v>2</x:v>
      </x:c>
      <x:c r="O19" s="14" t="n">
        <x:v>4258</x:v>
      </x:c>
      <x:c r="P19" s="14" t="n">
        <x:v>34</x:v>
      </x:c>
      <x:c r="Q19" s="14" t="n">
        <x:v>9</x:v>
      </x:c>
      <x:c r="R19" s="14" t="n">
        <x:v>2</x:v>
      </x:c>
      <x:c r="S19" s="14" t="str">
        <x:v>未收錄</x:v>
      </x:c>
      <x:c r="T19" s="14" t="str">
        <x:v>25173</x:v>
      </x:c>
      <x:c r="U19" s="14" t="n">
        <x:v>2</x:v>
      </x:c>
      <x:c r="V19" s="14" t="n">
        <x:v>4259</x:v>
      </x:c>
      <x:c r="W19" s="14" t="n">
        <x:v>35</x:v>
      </x:c>
      <x:c r="X19" s="14" t="n">
        <x:v>9</x:v>
      </x:c>
      <x:c r="Y19" s="14" t="n">
        <x:v>3</x:v>
      </x:c>
      <x:c r="Z19" s="14" t="str">
        <x:v>未收錄</x:v>
      </x:c>
      <x:c r="AA19" s="14" t="str">
        <x:v>25174</x:v>
      </x:c>
      <x:c r="AB19" s="14" t="n">
        <x:v>2</x:v>
      </x:c>
      <x:c r="AC19" s="14" t="n">
        <x:v>4260</x:v>
      </x:c>
      <x:c r="AD19" s="14" t="n">
        <x:v>36</x:v>
      </x:c>
      <x:c r="AE19" s="14" t="n">
        <x:v>9</x:v>
      </x:c>
      <x:c r="AF19" s="14" t="n">
        <x:v>4</x:v>
      </x:c>
      <x:c r="AG19" s="14" t="str">
        <x:v>未收錄</x:v>
      </x:c>
    </x:row>
    <x:row r="20" ht="15" customHeight="1">
      <x:c r="A20" s="18" t="str">
        <x:v>強效輕身配方</x:v>
      </x:c>
      <x:c r="B20" s="18" t="str">
        <x:v>小還丹配方</x:v>
      </x:c>
      <x:c r="C20" s="18" t="str">
        <x:v>大還丹配方</x:v>
      </x:c>
      <x:c r="D20" s="18" t="str">
        <x:v>神效聚力配方</x:v>
      </x:c>
      <x:c r="E20" s="14"/>
      <x:c r="F20" s="14" t="str">
        <x:v>25175</x:v>
      </x:c>
      <x:c r="G20" s="14" t="n">
        <x:v>2</x:v>
      </x:c>
      <x:c r="H20" s="14" t="n">
        <x:v>4261</x:v>
      </x:c>
      <x:c r="I20" s="14" t="n">
        <x:v>37</x:v>
      </x:c>
      <x:c r="J20" s="14" t="n">
        <x:v>10</x:v>
      </x:c>
      <x:c r="K20" s="14" t="n">
        <x:v>1</x:v>
      </x:c>
      <x:c r="L20" s="14" t="str">
        <x:v>未收錄</x:v>
      </x:c>
      <x:c r="M20" s="14" t="str">
        <x:v>25044</x:v>
      </x:c>
      <x:c r="N20" s="14" t="n">
        <x:v>2</x:v>
      </x:c>
      <x:c r="O20" s="14" t="n">
        <x:v>4262</x:v>
      </x:c>
      <x:c r="P20" s="14" t="n">
        <x:v>38</x:v>
      </x:c>
      <x:c r="Q20" s="14" t="n">
        <x:v>10</x:v>
      </x:c>
      <x:c r="R20" s="14" t="n">
        <x:v>2</x:v>
      </x:c>
      <x:c r="S20" s="14" t="str">
        <x:v>未收錄</x:v>
      </x:c>
      <x:c r="T20" s="14" t="str">
        <x:v>25045</x:v>
      </x:c>
      <x:c r="U20" s="14" t="n">
        <x:v>2</x:v>
      </x:c>
      <x:c r="V20" s="14" t="n">
        <x:v>4263</x:v>
      </x:c>
      <x:c r="W20" s="14" t="n">
        <x:v>39</x:v>
      </x:c>
      <x:c r="X20" s="14" t="n">
        <x:v>10</x:v>
      </x:c>
      <x:c r="Y20" s="14" t="n">
        <x:v>3</x:v>
      </x:c>
      <x:c r="Z20" s="14" t="str">
        <x:v>未收錄</x:v>
      </x:c>
      <x:c r="AA20" s="14" t="str">
        <x:v>25281</x:v>
      </x:c>
      <x:c r="AB20" s="14" t="n">
        <x:v>2</x:v>
      </x:c>
      <x:c r="AC20" s="14" t="n">
        <x:v>4264</x:v>
      </x:c>
      <x:c r="AD20" s="14" t="n">
        <x:v>40</x:v>
      </x:c>
      <x:c r="AE20" s="14" t="n">
        <x:v>10</x:v>
      </x:c>
      <x:c r="AF20" s="14" t="n">
        <x:v>4</x:v>
      </x:c>
      <x:c r="AG20" s="14" t="str">
        <x:v>未收錄</x:v>
      </x:c>
    </x:row>
    <x:row r="21" ht="15" customHeight="1">
      <x:c r="A21" s="17" t="str">
        <x:v>神效健骨配方</x:v>
      </x:c>
      <x:c r="B21" s="17" t="str">
        <x:v>神效醒腦配方</x:v>
      </x:c>
      <x:c r="C21" s="17" t="str">
        <x:v>神效輕身配方</x:v>
      </x:c>
      <x:c r="D21" s="17" t="str">
        <x:v>全創解毒配方</x:v>
      </x:c>
      <x:c r="E21" s="14"/>
      <x:c r="F21" s="14" t="str">
        <x:v>25282</x:v>
      </x:c>
      <x:c r="G21" s="14" t="n">
        <x:v>2</x:v>
      </x:c>
      <x:c r="H21" s="14" t="n">
        <x:v>4265</x:v>
      </x:c>
      <x:c r="I21" s="14" t="n">
        <x:v>41</x:v>
      </x:c>
      <x:c r="J21" s="14" t="n">
        <x:v>11</x:v>
      </x:c>
      <x:c r="K21" s="14" t="n">
        <x:v>1</x:v>
      </x:c>
      <x:c r="L21" s="14" t="str">
        <x:v>未收錄</x:v>
      </x:c>
      <x:c r="M21" s="14" t="str">
        <x:v>25283</x:v>
      </x:c>
      <x:c r="N21" s="14" t="n">
        <x:v>2</x:v>
      </x:c>
      <x:c r="O21" s="14" t="n">
        <x:v>4266</x:v>
      </x:c>
      <x:c r="P21" s="14" t="n">
        <x:v>42</x:v>
      </x:c>
      <x:c r="Q21" s="14" t="n">
        <x:v>11</x:v>
      </x:c>
      <x:c r="R21" s="14" t="n">
        <x:v>2</x:v>
      </x:c>
      <x:c r="S21" s="14" t="str">
        <x:v>未收錄</x:v>
      </x:c>
      <x:c r="T21" s="14" t="str">
        <x:v>25284</x:v>
      </x:c>
      <x:c r="U21" s="14" t="n">
        <x:v>2</x:v>
      </x:c>
      <x:c r="V21" s="14" t="n">
        <x:v>4267</x:v>
      </x:c>
      <x:c r="W21" s="14" t="n">
        <x:v>43</x:v>
      </x:c>
      <x:c r="X21" s="14" t="n">
        <x:v>11</x:v>
      </x:c>
      <x:c r="Y21" s="14" t="n">
        <x:v>3</x:v>
      </x:c>
      <x:c r="Z21" s="14" t="str">
        <x:v>未收錄</x:v>
      </x:c>
      <x:c r="AA21" s="14" t="str">
        <x:v>25113</x:v>
      </x:c>
      <x:c r="AB21" s="14" t="n">
        <x:v>2</x:v>
      </x:c>
      <x:c r="AC21" s="14" t="n">
        <x:v>4268</x:v>
      </x:c>
      <x:c r="AD21" s="14" t="n">
        <x:v>44</x:v>
      </x:c>
      <x:c r="AE21" s="14" t="n">
        <x:v>11</x:v>
      </x:c>
      <x:c r="AF21" s="14" t="n">
        <x:v>4</x:v>
      </x:c>
      <x:c r="AG21" s="14" t="str">
        <x:v>未收錄</x:v>
      </x:c>
    </x:row>
    <x:row r="22" ht="15" customHeight="1">
      <x:c r="A22" s="18" t="str">
        <x:v>狗皮燈籠配方</x:v>
      </x:c>
      <x:c r="B22" s="18" t="str">
        <x:v>火藥配方</x:v>
      </x:c>
      <x:c r="C22" s="18" t="str">
        <x:v>劇毒配方</x:v>
      </x:c>
      <x:c r="D22" s="18" t="str">
        <x:v>蠱毒配方</x:v>
      </x:c>
      <x:c r="E22" s="14"/>
      <x:c r="F22" s="14" t="str">
        <x:v>25111</x:v>
      </x:c>
      <x:c r="G22" s="14" t="n">
        <x:v>1</x:v>
      </x:c>
      <x:c r="H22" s="14" t="n">
        <x:v>4269</x:v>
      </x:c>
      <x:c r="I22" s="14" t="n">
        <x:v>45</x:v>
      </x:c>
      <x:c r="J22" s="14" t="n">
        <x:v>12</x:v>
      </x:c>
      <x:c r="K22" s="14" t="n">
        <x:v>1</x:v>
      </x:c>
      <x:c r="L22" s="14" t="str">
        <x:v>未收錄</x:v>
      </x:c>
      <x:c r="M22" s="14" t="str">
        <x:v>25051</x:v>
      </x:c>
      <x:c r="N22" s="14" t="n">
        <x:v>2</x:v>
      </x:c>
      <x:c r="O22" s="14" t="n">
        <x:v>4270</x:v>
      </x:c>
      <x:c r="P22" s="14" t="n">
        <x:v>46</x:v>
      </x:c>
      <x:c r="Q22" s="14" t="n">
        <x:v>12</x:v>
      </x:c>
      <x:c r="R22" s="14" t="n">
        <x:v>2</x:v>
      </x:c>
      <x:c r="S22" s="14" t="str">
        <x:v>未收錄</x:v>
      </x:c>
      <x:c r="T22" s="14" t="str">
        <x:v>25186</x:v>
      </x:c>
      <x:c r="U22" s="14" t="n">
        <x:v>2</x:v>
      </x:c>
      <x:c r="V22" s="14" t="n">
        <x:v>4271</x:v>
      </x:c>
      <x:c r="W22" s="14" t="n">
        <x:v>47</x:v>
      </x:c>
      <x:c r="X22" s="14" t="n">
        <x:v>12</x:v>
      </x:c>
      <x:c r="Y22" s="14" t="n">
        <x:v>3</x:v>
      </x:c>
      <x:c r="Z22" s="14" t="str">
        <x:v>未收錄</x:v>
      </x:c>
      <x:c r="AA22" s="14" t="str">
        <x:v>25187</x:v>
      </x:c>
      <x:c r="AB22" s="14" t="n">
        <x:v>2</x:v>
      </x:c>
      <x:c r="AC22" s="14" t="n">
        <x:v>4272</x:v>
      </x:c>
      <x:c r="AD22" s="14" t="n">
        <x:v>48</x:v>
      </x:c>
      <x:c r="AE22" s="14" t="n">
        <x:v>12</x:v>
      </x:c>
      <x:c r="AF22" s="14" t="n">
        <x:v>4</x:v>
      </x:c>
      <x:c r="AG22" s="14" t="str">
        <x:v>未收錄</x:v>
      </x:c>
    </x:row>
    <x:row r="23" ht="15" customHeight="1">
      <x:c r="A23" s="17" t="str">
        <x:v>萬蠱毒配方</x:v>
      </x:c>
      <x:c r="B23" s="17" t="str">
        <x:v>玄武真元配方</x:v>
      </x:c>
      <x:c r="C23" s="17" t="str">
        <x:v>白虎真元配方</x:v>
      </x:c>
      <x:c r="D23" s="17" t="str">
        <x:v>青龍真元配方</x:v>
      </x:c>
      <x:c r="E23" s="14"/>
      <x:c r="F23" s="14" t="str">
        <x:v>25188</x:v>
      </x:c>
      <x:c r="G23" s="14" t="n">
        <x:v>2</x:v>
      </x:c>
      <x:c r="H23" s="14" t="n">
        <x:v>4273</x:v>
      </x:c>
      <x:c r="I23" s="14" t="n">
        <x:v>49</x:v>
      </x:c>
      <x:c r="J23" s="14" t="n">
        <x:v>13</x:v>
      </x:c>
      <x:c r="K23" s="14" t="n">
        <x:v>1</x:v>
      </x:c>
      <x:c r="L23" s="14" t="str">
        <x:v>未收錄</x:v>
      </x:c>
      <x:c r="M23" s="14" t="str">
        <x:v>25456</x:v>
      </x:c>
      <x:c r="N23" s="14" t="n">
        <x:v>2</x:v>
      </x:c>
      <x:c r="O23" s="14" t="n">
        <x:v>4274</x:v>
      </x:c>
      <x:c r="P23" s="14" t="n">
        <x:v>50</x:v>
      </x:c>
      <x:c r="Q23" s="14" t="n">
        <x:v>13</x:v>
      </x:c>
      <x:c r="R23" s="14" t="n">
        <x:v>2</x:v>
      </x:c>
      <x:c r="S23" s="14" t="str">
        <x:v>未收錄</x:v>
      </x:c>
      <x:c r="T23" s="14" t="str">
        <x:v>25457</x:v>
      </x:c>
      <x:c r="U23" s="14" t="n">
        <x:v>2</x:v>
      </x:c>
      <x:c r="V23" s="14" t="n">
        <x:v>4275</x:v>
      </x:c>
      <x:c r="W23" s="14" t="n">
        <x:v>51</x:v>
      </x:c>
      <x:c r="X23" s="14" t="n">
        <x:v>13</x:v>
      </x:c>
      <x:c r="Y23" s="14" t="n">
        <x:v>3</x:v>
      </x:c>
      <x:c r="Z23" s="14" t="str">
        <x:v>未收錄</x:v>
      </x:c>
      <x:c r="AA23" s="14" t="str">
        <x:v>25458</x:v>
      </x:c>
      <x:c r="AB23" s="14" t="n">
        <x:v>2</x:v>
      </x:c>
      <x:c r="AC23" s="14" t="n">
        <x:v>4276</x:v>
      </x:c>
      <x:c r="AD23" s="14" t="n">
        <x:v>52</x:v>
      </x:c>
      <x:c r="AE23" s="14" t="n">
        <x:v>13</x:v>
      </x:c>
      <x:c r="AF23" s="14" t="n">
        <x:v>4</x:v>
      </x:c>
      <x:c r="AG23" s="14" t="str">
        <x:v>未收錄</x:v>
      </x:c>
    </x:row>
    <x:row r="24" ht="15" customHeight="1">
      <x:c r="A24" s="18" t="str">
        <x:v>朱雀真元配方</x:v>
      </x:c>
      <x:c r="B24" s="18" t="str">
        <x:v>麒麟真元配方</x:v>
      </x:c>
      <x:c r="C24" s="18" t="str">
        <x:v>螣蛇真元配方</x:v>
      </x:c>
      <x:c r="D24" s="18" t="str">
        <x:v>同花聖鑽配方</x:v>
      </x:c>
      <x:c r="E24" s="14"/>
      <x:c r="F24" s="14" t="str">
        <x:v>25459</x:v>
      </x:c>
      <x:c r="G24" s="14" t="n">
        <x:v>2</x:v>
      </x:c>
      <x:c r="H24" s="14" t="n">
        <x:v>4277</x:v>
      </x:c>
      <x:c r="I24" s="14" t="n">
        <x:v>53</x:v>
      </x:c>
      <x:c r="J24" s="14" t="n">
        <x:v>14</x:v>
      </x:c>
      <x:c r="K24" s="14" t="n">
        <x:v>1</x:v>
      </x:c>
      <x:c r="L24" s="14" t="str">
        <x:v>未收錄</x:v>
      </x:c>
      <x:c r="M24" s="14" t="str">
        <x:v>25460</x:v>
      </x:c>
      <x:c r="N24" s="14" t="n">
        <x:v>2</x:v>
      </x:c>
      <x:c r="O24" s="14" t="n">
        <x:v>4278</x:v>
      </x:c>
      <x:c r="P24" s="14" t="n">
        <x:v>54</x:v>
      </x:c>
      <x:c r="Q24" s="14" t="n">
        <x:v>14</x:v>
      </x:c>
      <x:c r="R24" s="14" t="n">
        <x:v>2</x:v>
      </x:c>
      <x:c r="S24" s="14" t="str">
        <x:v>未收錄</x:v>
      </x:c>
      <x:c r="T24" s="14" t="str">
        <x:v>25461</x:v>
      </x:c>
      <x:c r="U24" s="14" t="n">
        <x:v>2</x:v>
      </x:c>
      <x:c r="V24" s="14" t="n">
        <x:v>4279</x:v>
      </x:c>
      <x:c r="W24" s="14" t="n">
        <x:v>55</x:v>
      </x:c>
      <x:c r="X24" s="14" t="n">
        <x:v>14</x:v>
      </x:c>
      <x:c r="Y24" s="14" t="n">
        <x:v>3</x:v>
      </x:c>
      <x:c r="Z24" s="14" t="str">
        <x:v>未收錄</x:v>
      </x:c>
      <x:c r="AA24" s="14" t="str">
        <x:v>25557</x:v>
      </x:c>
      <x:c r="AB24" s="14" t="n">
        <x:v>3</x:v>
      </x:c>
      <x:c r="AC24" s="14" t="n">
        <x:v>4280</x:v>
      </x:c>
      <x:c r="AD24" s="14" t="n">
        <x:v>56</x:v>
      </x:c>
      <x:c r="AE24" s="14" t="n">
        <x:v>14</x:v>
      </x:c>
      <x:c r="AF24" s="14" t="n">
        <x:v>4</x:v>
      </x:c>
      <x:c r="AG24" s="14" t="str">
        <x:v>未收錄</x:v>
      </x:c>
    </x:row>
    <x:row r="25" ht="15" customHeight="1">
      <x:c r="A25" s="17" t="str">
        <x:v>梅冠聖鑽配方</x:v>
      </x:c>
      <x:c r="B25" s="17" t="str">
        <x:v>菱冠聖鑽配方</x:v>
      </x:c>
      <x:c r="C25" s="17" t="str">
        <x:v>心冠聖鑽配方</x:v>
      </x:c>
      <x:c r="D25" s="17" t="str">
        <x:v>桃冠聖鑽配方</x:v>
      </x:c>
      <x:c r="E25" s="14"/>
      <x:c r="F25" s="14" t="str">
        <x:v>25553</x:v>
      </x:c>
      <x:c r="G25" s="14" t="n">
        <x:v>3</x:v>
      </x:c>
      <x:c r="H25" s="14" t="n">
        <x:v>4281</x:v>
      </x:c>
      <x:c r="I25" s="14" t="n">
        <x:v>57</x:v>
      </x:c>
      <x:c r="J25" s="14" t="n">
        <x:v>15</x:v>
      </x:c>
      <x:c r="K25" s="14" t="n">
        <x:v>1</x:v>
      </x:c>
      <x:c r="L25" s="14" t="str">
        <x:v>未收錄</x:v>
      </x:c>
      <x:c r="M25" s="14" t="str">
        <x:v>25554</x:v>
      </x:c>
      <x:c r="N25" s="14" t="n">
        <x:v>3</x:v>
      </x:c>
      <x:c r="O25" s="14" t="n">
        <x:v>4282</x:v>
      </x:c>
      <x:c r="P25" s="14" t="n">
        <x:v>58</x:v>
      </x:c>
      <x:c r="Q25" s="14" t="n">
        <x:v>15</x:v>
      </x:c>
      <x:c r="R25" s="14" t="n">
        <x:v>2</x:v>
      </x:c>
      <x:c r="S25" s="14" t="str">
        <x:v>未收錄</x:v>
      </x:c>
      <x:c r="T25" s="14" t="str">
        <x:v>25555</x:v>
      </x:c>
      <x:c r="U25" s="14" t="n">
        <x:v>3</x:v>
      </x:c>
      <x:c r="V25" s="14" t="n">
        <x:v>4283</x:v>
      </x:c>
      <x:c r="W25" s="14" t="n">
        <x:v>59</x:v>
      </x:c>
      <x:c r="X25" s="14" t="n">
        <x:v>15</x:v>
      </x:c>
      <x:c r="Y25" s="14" t="n">
        <x:v>3</x:v>
      </x:c>
      <x:c r="Z25" s="14" t="str">
        <x:v>未收錄</x:v>
      </x:c>
      <x:c r="AA25" s="14" t="str">
        <x:v>25556</x:v>
      </x:c>
      <x:c r="AB25" s="14" t="n">
        <x:v>3</x:v>
      </x:c>
      <x:c r="AC25" s="14" t="n">
        <x:v>4284</x:v>
      </x:c>
      <x:c r="AD25" s="14" t="n">
        <x:v>60</x:v>
      </x:c>
      <x:c r="AE25" s="14" t="n">
        <x:v>15</x:v>
      </x:c>
      <x:c r="AF25" s="14" t="n">
        <x:v>4</x:v>
      </x:c>
      <x:c r="AG25" s="14" t="str">
        <x:v>未收錄</x:v>
      </x:c>
    </x:row>
    <x:row r="26" ht="15" customHeight="1">
      <x:c r="A26" s="18" t="str">
        <x:v>冰靈鋼劍配方</x:v>
      </x:c>
      <x:c r="B26" s="18" t="str">
        <x:v>火靈鋼劍配方</x:v>
      </x:c>
      <x:c r="C26" s="18" t="str">
        <x:v>雷靈鋼劍配方</x:v>
      </x:c>
      <x:c r="D26" s="18" t="str">
        <x:v>惡靈鋼劍配方</x:v>
      </x:c>
      <x:c r="E26" s="14"/>
      <x:c r="F26" s="14" t="str">
        <x:v>25137</x:v>
      </x:c>
      <x:c r="G26" s="14" t="n">
        <x:v>1</x:v>
      </x:c>
      <x:c r="H26" s="14" t="n">
        <x:v>4285</x:v>
      </x:c>
      <x:c r="I26" s="14" t="n">
        <x:v>61</x:v>
      </x:c>
      <x:c r="J26" s="14" t="n">
        <x:v>16</x:v>
      </x:c>
      <x:c r="K26" s="14" t="n">
        <x:v>1</x:v>
      </x:c>
      <x:c r="L26" s="14" t="str">
        <x:v>未收錄</x:v>
      </x:c>
      <x:c r="M26" s="14" t="str">
        <x:v>25138</x:v>
      </x:c>
      <x:c r="N26" s="14" t="n">
        <x:v>1</x:v>
      </x:c>
      <x:c r="O26" s="14" t="n">
        <x:v>4286</x:v>
      </x:c>
      <x:c r="P26" s="14" t="n">
        <x:v>62</x:v>
      </x:c>
      <x:c r="Q26" s="14" t="n">
        <x:v>16</x:v>
      </x:c>
      <x:c r="R26" s="14" t="n">
        <x:v>2</x:v>
      </x:c>
      <x:c r="S26" s="14" t="str">
        <x:v>未收錄</x:v>
      </x:c>
      <x:c r="T26" s="14" t="str">
        <x:v>25139</x:v>
      </x:c>
      <x:c r="U26" s="14" t="n">
        <x:v>1</x:v>
      </x:c>
      <x:c r="V26" s="14" t="n">
        <x:v>4287</x:v>
      </x:c>
      <x:c r="W26" s="14" t="n">
        <x:v>63</x:v>
      </x:c>
      <x:c r="X26" s="14" t="n">
        <x:v>16</x:v>
      </x:c>
      <x:c r="Y26" s="14" t="n">
        <x:v>3</x:v>
      </x:c>
      <x:c r="Z26" s="14" t="str">
        <x:v>未收錄</x:v>
      </x:c>
      <x:c r="AA26" s="14" t="str">
        <x:v>25140</x:v>
      </x:c>
      <x:c r="AB26" s="14" t="n">
        <x:v>1</x:v>
      </x:c>
      <x:c r="AC26" s="14" t="n">
        <x:v>4288</x:v>
      </x:c>
      <x:c r="AD26" s="14" t="n">
        <x:v>64</x:v>
      </x:c>
      <x:c r="AE26" s="14" t="n">
        <x:v>16</x:v>
      </x:c>
      <x:c r="AF26" s="14" t="n">
        <x:v>4</x:v>
      </x:c>
      <x:c r="AG26" s="14" t="str">
        <x:v>未收錄</x:v>
      </x:c>
    </x:row>
    <x:row r="27" ht="15" customHeight="1">
      <x:c r="A27" s="17" t="str">
        <x:v>御雷劍配方</x:v>
      </x:c>
      <x:c r="B27" s="17" t="str">
        <x:v>冰鏡劍配方</x:v>
      </x:c>
      <x:c r="C27" s="17" t="str">
        <x:v>火雲劍配方</x:v>
      </x:c>
      <x:c r="D27" s="17" t="str">
        <x:v>辟鬼劍配方</x:v>
      </x:c>
      <x:c r="E27" s="14"/>
      <x:c r="F27" s="14" t="str">
        <x:v>25205</x:v>
      </x:c>
      <x:c r="G27" s="14" t="n">
        <x:v>2</x:v>
      </x:c>
      <x:c r="H27" s="14" t="n">
        <x:v>4289</x:v>
      </x:c>
      <x:c r="I27" s="14" t="n">
        <x:v>65</x:v>
      </x:c>
      <x:c r="J27" s="14" t="n">
        <x:v>17</x:v>
      </x:c>
      <x:c r="K27" s="14" t="n">
        <x:v>1</x:v>
      </x:c>
      <x:c r="L27" s="14" t="str">
        <x:v>未收錄</x:v>
      </x:c>
      <x:c r="M27" s="14" t="str">
        <x:v>25206</x:v>
      </x:c>
      <x:c r="N27" s="14" t="n">
        <x:v>2</x:v>
      </x:c>
      <x:c r="O27" s="14" t="n">
        <x:v>4290</x:v>
      </x:c>
      <x:c r="P27" s="14" t="n">
        <x:v>66</x:v>
      </x:c>
      <x:c r="Q27" s="14" t="n">
        <x:v>17</x:v>
      </x:c>
      <x:c r="R27" s="14" t="n">
        <x:v>2</x:v>
      </x:c>
      <x:c r="S27" s="14" t="str">
        <x:v>未收錄</x:v>
      </x:c>
      <x:c r="T27" s="14" t="str">
        <x:v>25207</x:v>
      </x:c>
      <x:c r="U27" s="14" t="n">
        <x:v>2</x:v>
      </x:c>
      <x:c r="V27" s="14" t="n">
        <x:v>4291</x:v>
      </x:c>
      <x:c r="W27" s="14" t="n">
        <x:v>67</x:v>
      </x:c>
      <x:c r="X27" s="14" t="n">
        <x:v>17</x:v>
      </x:c>
      <x:c r="Y27" s="14" t="n">
        <x:v>3</x:v>
      </x:c>
      <x:c r="Z27" s="14" t="str">
        <x:v>未收錄</x:v>
      </x:c>
      <x:c r="AA27" s="14" t="str">
        <x:v>25208</x:v>
      </x:c>
      <x:c r="AB27" s="14" t="n">
        <x:v>2</x:v>
      </x:c>
      <x:c r="AC27" s="14" t="n">
        <x:v>4292</x:v>
      </x:c>
      <x:c r="AD27" s="14" t="n">
        <x:v>68</x:v>
      </x:c>
      <x:c r="AE27" s="14" t="n">
        <x:v>17</x:v>
      </x:c>
      <x:c r="AF27" s="14" t="n">
        <x:v>4</x:v>
      </x:c>
      <x:c r="AG27" s="14" t="str">
        <x:v>未收錄</x:v>
      </x:c>
    </x:row>
    <x:row r="28" ht="15" customHeight="1">
      <x:c r="A28" s="18" t="str">
        <x:v>弒神劍配方</x:v>
      </x:c>
      <x:c r="B28" s="18" t="str">
        <x:v>誅仙劍配方</x:v>
      </x:c>
      <x:c r="C28" s="18" t="str">
        <x:v>滅佛劍配方</x:v>
      </x:c>
      <x:c r="D28" s="18" t="str">
        <x:v>鬼煞劍配方</x:v>
      </x:c>
      <x:c r="E28" s="14"/>
      <x:c r="F28" s="14" t="str">
        <x:v>25242</x:v>
      </x:c>
      <x:c r="G28" s="14" t="n">
        <x:v>2</x:v>
      </x:c>
      <x:c r="H28" s="14" t="n">
        <x:v>4293</x:v>
      </x:c>
      <x:c r="I28" s="14" t="n">
        <x:v>69</x:v>
      </x:c>
      <x:c r="J28" s="14" t="n">
        <x:v>18</x:v>
      </x:c>
      <x:c r="K28" s="14" t="n">
        <x:v>1</x:v>
      </x:c>
      <x:c r="L28" s="14" t="str">
        <x:v>未收錄</x:v>
      </x:c>
      <x:c r="M28" s="14" t="str">
        <x:v>25243</x:v>
      </x:c>
      <x:c r="N28" s="14" t="n">
        <x:v>2</x:v>
      </x:c>
      <x:c r="O28" s="14" t="n">
        <x:v>4294</x:v>
      </x:c>
      <x:c r="P28" s="14" t="n">
        <x:v>70</x:v>
      </x:c>
      <x:c r="Q28" s="14" t="n">
        <x:v>18</x:v>
      </x:c>
      <x:c r="R28" s="14" t="n">
        <x:v>2</x:v>
      </x:c>
      <x:c r="S28" s="14" t="str">
        <x:v>未收錄</x:v>
      </x:c>
      <x:c r="T28" s="14" t="str">
        <x:v>25244</x:v>
      </x:c>
      <x:c r="U28" s="14" t="n">
        <x:v>2</x:v>
      </x:c>
      <x:c r="V28" s="14" t="n">
        <x:v>4295</x:v>
      </x:c>
      <x:c r="W28" s="14" t="n">
        <x:v>71</x:v>
      </x:c>
      <x:c r="X28" s="14" t="n">
        <x:v>18</x:v>
      </x:c>
      <x:c r="Y28" s="14" t="n">
        <x:v>3</x:v>
      </x:c>
      <x:c r="Z28" s="14" t="str">
        <x:v>未收錄</x:v>
      </x:c>
      <x:c r="AA28" s="14" t="str">
        <x:v>25245</x:v>
      </x:c>
      <x:c r="AB28" s="14" t="n">
        <x:v>2</x:v>
      </x:c>
      <x:c r="AC28" s="14" t="n">
        <x:v>4296</x:v>
      </x:c>
      <x:c r="AD28" s="14" t="n">
        <x:v>72</x:v>
      </x:c>
      <x:c r="AE28" s="14" t="n">
        <x:v>18</x:v>
      </x:c>
      <x:c r="AF28" s="14" t="n">
        <x:v>4</x:v>
      </x:c>
      <x:c r="AG28" s="14" t="str">
        <x:v>未收錄</x:v>
      </x:c>
    </x:row>
    <x:row r="29" ht="15" customHeight="1">
      <x:c r="A29" s="17" t="str">
        <x:v>青冥劍配方</x:v>
      </x:c>
      <x:c r="B29" s="17" t="str">
        <x:v>洛神劍配方</x:v>
      </x:c>
      <x:c r="C29" s="17" t="str">
        <x:v>龍泉劍配方</x:v>
      </x:c>
      <x:c r="D29" s="17" t="str">
        <x:v>湛盧劍配方</x:v>
      </x:c>
      <x:c r="E29" s="14"/>
      <x:c r="F29" s="14" t="str">
        <x:v>25246</x:v>
      </x:c>
      <x:c r="G29" s="14" t="n">
        <x:v>2</x:v>
      </x:c>
      <x:c r="H29" s="14" t="n">
        <x:v>4297</x:v>
      </x:c>
      <x:c r="I29" s="14" t="n">
        <x:v>73</x:v>
      </x:c>
      <x:c r="J29" s="14" t="n">
        <x:v>19</x:v>
      </x:c>
      <x:c r="K29" s="14" t="n">
        <x:v>1</x:v>
      </x:c>
      <x:c r="L29" s="14" t="str">
        <x:v>未收錄</x:v>
      </x:c>
      <x:c r="M29" s="14" t="str">
        <x:v>25301</x:v>
      </x:c>
      <x:c r="N29" s="14" t="n">
        <x:v>2</x:v>
      </x:c>
      <x:c r="O29" s="14" t="n">
        <x:v>4298</x:v>
      </x:c>
      <x:c r="P29" s="14" t="n">
        <x:v>74</x:v>
      </x:c>
      <x:c r="Q29" s="14" t="n">
        <x:v>19</x:v>
      </x:c>
      <x:c r="R29" s="14" t="n">
        <x:v>2</x:v>
      </x:c>
      <x:c r="S29" s="14" t="str">
        <x:v>未收錄</x:v>
      </x:c>
      <x:c r="T29" s="14" t="str">
        <x:v>25302</x:v>
      </x:c>
      <x:c r="U29" s="14" t="n">
        <x:v>2</x:v>
      </x:c>
      <x:c r="V29" s="14" t="n">
        <x:v>4299</x:v>
      </x:c>
      <x:c r="W29" s="14" t="n">
        <x:v>75</x:v>
      </x:c>
      <x:c r="X29" s="14" t="n">
        <x:v>19</x:v>
      </x:c>
      <x:c r="Y29" s="14" t="n">
        <x:v>3</x:v>
      </x:c>
      <x:c r="Z29" s="14" t="str">
        <x:v>未收錄</x:v>
      </x:c>
      <x:c r="AA29" s="14" t="str">
        <x:v>25303</x:v>
      </x:c>
      <x:c r="AB29" s="14" t="n">
        <x:v>2</x:v>
      </x:c>
      <x:c r="AC29" s="14" t="n">
        <x:v>4300</x:v>
      </x:c>
      <x:c r="AD29" s="14" t="n">
        <x:v>76</x:v>
      </x:c>
      <x:c r="AE29" s="14" t="n">
        <x:v>19</x:v>
      </x:c>
      <x:c r="AF29" s="14" t="n">
        <x:v>4</x:v>
      </x:c>
      <x:c r="AG29" s="14" t="str">
        <x:v>未收錄</x:v>
      </x:c>
    </x:row>
    <x:row r="30" ht="15" customHeight="1">
      <x:c r="A30" s="18" t="str">
        <x:v>湛盧神劍配方</x:v>
      </x:c>
      <x:c r="B30" s="18" t="str">
        <x:v>樓蘭劍配方</x:v>
      </x:c>
      <x:c r="C30" s="18" t="str">
        <x:v>樓蘭神劍配方</x:v>
      </x:c>
      <x:c r="D30" s="18" t="str">
        <x:v>泉戶劍配方</x:v>
      </x:c>
      <x:c r="E30" s="14"/>
      <x:c r="F30" s="14" t="str">
        <x:v>25304</x:v>
      </x:c>
      <x:c r="G30" s="14" t="n">
        <x:v>2</x:v>
      </x:c>
      <x:c r="H30" s="14" t="n">
        <x:v>4301</x:v>
      </x:c>
      <x:c r="I30" s="14" t="n">
        <x:v>77</x:v>
      </x:c>
      <x:c r="J30" s="14" t="n">
        <x:v>20</x:v>
      </x:c>
      <x:c r="K30" s="14" t="n">
        <x:v>1</x:v>
      </x:c>
      <x:c r="L30" s="14" t="str">
        <x:v>未收錄</x:v>
      </x:c>
      <x:c r="M30" s="14" t="str">
        <x:v>25305</x:v>
      </x:c>
      <x:c r="N30" s="14" t="n">
        <x:v>2</x:v>
      </x:c>
      <x:c r="O30" s="14" t="n">
        <x:v>4302</x:v>
      </x:c>
      <x:c r="P30" s="14" t="n">
        <x:v>78</x:v>
      </x:c>
      <x:c r="Q30" s="14" t="n">
        <x:v>20</x:v>
      </x:c>
      <x:c r="R30" s="14" t="n">
        <x:v>2</x:v>
      </x:c>
      <x:c r="S30" s="14" t="str">
        <x:v>未收錄</x:v>
      </x:c>
      <x:c r="T30" s="14" t="str">
        <x:v>25306</x:v>
      </x:c>
      <x:c r="U30" s="14" t="n">
        <x:v>2</x:v>
      </x:c>
      <x:c r="V30" s="14" t="n">
        <x:v>4303</x:v>
      </x:c>
      <x:c r="W30" s="14" t="n">
        <x:v>79</x:v>
      </x:c>
      <x:c r="X30" s="14" t="n">
        <x:v>20</x:v>
      </x:c>
      <x:c r="Y30" s="14" t="n">
        <x:v>3</x:v>
      </x:c>
      <x:c r="Z30" s="14" t="str">
        <x:v>未收錄</x:v>
      </x:c>
      <x:c r="AA30" s="14" t="str">
        <x:v>25307</x:v>
      </x:c>
      <x:c r="AB30" s="14" t="n">
        <x:v>2</x:v>
      </x:c>
      <x:c r="AC30" s="14" t="n">
        <x:v>4304</x:v>
      </x:c>
      <x:c r="AD30" s="14" t="n">
        <x:v>80</x:v>
      </x:c>
      <x:c r="AE30" s="14" t="n">
        <x:v>20</x:v>
      </x:c>
      <x:c r="AF30" s="14" t="n">
        <x:v>4</x:v>
      </x:c>
      <x:c r="AG30" s="14" t="str">
        <x:v>未收錄</x:v>
      </x:c>
    </x:row>
    <x:row r="31" ht="15" customHeight="1">
      <x:c r="A31" s="17" t="str">
        <x:v>神隱劍配方</x:v>
      </x:c>
      <x:c r="B31" s="17" t="str">
        <x:v>村正劍配方</x:v>
      </x:c>
      <x:c r="C31" s="17" t="str">
        <x:v>赤霄劍配方</x:v>
      </x:c>
      <x:c r="D31" s="17" t="str">
        <x:v>誡罪劍配方</x:v>
      </x:c>
      <x:c r="E31" s="14"/>
      <x:c r="F31" s="14" t="str">
        <x:v>25308</x:v>
      </x:c>
      <x:c r="G31" s="14" t="n">
        <x:v>2</x:v>
      </x:c>
      <x:c r="H31" s="14" t="n">
        <x:v>4305</x:v>
      </x:c>
      <x:c r="I31" s="14" t="n">
        <x:v>81</x:v>
      </x:c>
      <x:c r="J31" s="14" t="n">
        <x:v>21</x:v>
      </x:c>
      <x:c r="K31" s="14" t="n">
        <x:v>1</x:v>
      </x:c>
      <x:c r="L31" s="14" t="str">
        <x:v>未收錄</x:v>
      </x:c>
      <x:c r="M31" s="14" t="str">
        <x:v>25309</x:v>
      </x:c>
      <x:c r="N31" s="14" t="n">
        <x:v>2</x:v>
      </x:c>
      <x:c r="O31" s="14" t="n">
        <x:v>4306</x:v>
      </x:c>
      <x:c r="P31" s="14" t="n">
        <x:v>82</x:v>
      </x:c>
      <x:c r="Q31" s="14" t="n">
        <x:v>21</x:v>
      </x:c>
      <x:c r="R31" s="14" t="n">
        <x:v>2</x:v>
      </x:c>
      <x:c r="S31" s="14" t="str">
        <x:v>未收錄</x:v>
      </x:c>
      <x:c r="T31" s="14" t="str">
        <x:v>25310</x:v>
      </x:c>
      <x:c r="U31" s="14" t="n">
        <x:v>2</x:v>
      </x:c>
      <x:c r="V31" s="14" t="n">
        <x:v>4307</x:v>
      </x:c>
      <x:c r="W31" s="14" t="n">
        <x:v>83</x:v>
      </x:c>
      <x:c r="X31" s="14" t="n">
        <x:v>21</x:v>
      </x:c>
      <x:c r="Y31" s="14" t="n">
        <x:v>3</x:v>
      </x:c>
      <x:c r="Z31" s="14" t="str">
        <x:v>未收錄</x:v>
      </x:c>
      <x:c r="AA31" s="14" t="str">
        <x:v>25311</x:v>
      </x:c>
      <x:c r="AB31" s="14" t="n">
        <x:v>2</x:v>
      </x:c>
      <x:c r="AC31" s="14" t="n">
        <x:v>4308</x:v>
      </x:c>
      <x:c r="AD31" s="14" t="n">
        <x:v>84</x:v>
      </x:c>
      <x:c r="AE31" s="14" t="n">
        <x:v>21</x:v>
      </x:c>
      <x:c r="AF31" s="14" t="n">
        <x:v>4</x:v>
      </x:c>
      <x:c r="AG31" s="14" t="str">
        <x:v>未收錄</x:v>
      </x:c>
    </x:row>
    <x:row r="32" ht="15" customHeight="1">
      <x:c r="A32" s="18" t="str">
        <x:v>動靜觀劍配方</x:v>
      </x:c>
      <x:c r="B32" s="18" t="str">
        <x:v>蓮燁劍配方</x:v>
      </x:c>
      <x:c r="C32" s="18" t="str">
        <x:v>法界皇劍配方</x:v>
      </x:c>
      <x:c r="D32" s="18" t="str">
        <x:v>水紋鋼刀配方</x:v>
      </x:c>
      <x:c r="E32" s="14"/>
      <x:c r="F32" s="14" t="str">
        <x:v>25312</x:v>
      </x:c>
      <x:c r="G32" s="14" t="n">
        <x:v>2</x:v>
      </x:c>
      <x:c r="H32" s="14" t="n">
        <x:v>4309</x:v>
      </x:c>
      <x:c r="I32" s="14" t="n">
        <x:v>85</x:v>
      </x:c>
      <x:c r="J32" s="14" t="n">
        <x:v>22</x:v>
      </x:c>
      <x:c r="K32" s="14" t="n">
        <x:v>1</x:v>
      </x:c>
      <x:c r="L32" s="14" t="str">
        <x:v>未收錄</x:v>
      </x:c>
      <x:c r="M32" s="14" t="str">
        <x:v>25313</x:v>
      </x:c>
      <x:c r="N32" s="14" t="n">
        <x:v>2</x:v>
      </x:c>
      <x:c r="O32" s="14" t="n">
        <x:v>4310</x:v>
      </x:c>
      <x:c r="P32" s="14" t="n">
        <x:v>86</x:v>
      </x:c>
      <x:c r="Q32" s="14" t="n">
        <x:v>22</x:v>
      </x:c>
      <x:c r="R32" s="14" t="n">
        <x:v>2</x:v>
      </x:c>
      <x:c r="S32" s="14" t="str">
        <x:v>未收錄</x:v>
      </x:c>
      <x:c r="T32" s="14" t="str">
        <x:v>25314</x:v>
      </x:c>
      <x:c r="U32" s="14" t="n">
        <x:v>2</x:v>
      </x:c>
      <x:c r="V32" s="14" t="n">
        <x:v>4311</x:v>
      </x:c>
      <x:c r="W32" s="14" t="n">
        <x:v>87</x:v>
      </x:c>
      <x:c r="X32" s="14" t="n">
        <x:v>22</x:v>
      </x:c>
      <x:c r="Y32" s="14" t="n">
        <x:v>3</x:v>
      </x:c>
      <x:c r="Z32" s="14" t="str">
        <x:v>未收錄</x:v>
      </x:c>
      <x:c r="AA32" s="14" t="str">
        <x:v>25141</x:v>
      </x:c>
      <x:c r="AB32" s="14" t="n">
        <x:v>1</x:v>
      </x:c>
      <x:c r="AC32" s="14" t="n">
        <x:v>4312</x:v>
      </x:c>
      <x:c r="AD32" s="14" t="n">
        <x:v>88</x:v>
      </x:c>
      <x:c r="AE32" s="14" t="n">
        <x:v>22</x:v>
      </x:c>
      <x:c r="AF32" s="14" t="n">
        <x:v>4</x:v>
      </x:c>
      <x:c r="AG32" s="14" t="str">
        <x:v>未收錄</x:v>
      </x:c>
    </x:row>
    <x:row r="33" ht="15" customHeight="1">
      <x:c r="A33" s="17" t="str">
        <x:v>火紋鋼刀配方</x:v>
      </x:c>
      <x:c r="B33" s="17" t="str">
        <x:v>雷紋鋼刀配方</x:v>
      </x:c>
      <x:c r="C33" s="17" t="str">
        <x:v>鬼紋鋼刀配方</x:v>
      </x:c>
      <x:c r="D33" s="17" t="str">
        <x:v>雷獸刀配方</x:v>
      </x:c>
      <x:c r="E33" s="14"/>
      <x:c r="F33" s="14" t="str">
        <x:v>25142</x:v>
      </x:c>
      <x:c r="G33" s="14" t="n">
        <x:v>1</x:v>
      </x:c>
      <x:c r="H33" s="14" t="n">
        <x:v>4313</x:v>
      </x:c>
      <x:c r="I33" s="14" t="n">
        <x:v>89</x:v>
      </x:c>
      <x:c r="J33" s="14" t="n">
        <x:v>23</x:v>
      </x:c>
      <x:c r="K33" s="14" t="n">
        <x:v>1</x:v>
      </x:c>
      <x:c r="L33" s="14" t="str">
        <x:v>未收錄</x:v>
      </x:c>
      <x:c r="M33" s="14" t="str">
        <x:v>25143</x:v>
      </x:c>
      <x:c r="N33" s="14" t="n">
        <x:v>1</x:v>
      </x:c>
      <x:c r="O33" s="14" t="n">
        <x:v>4314</x:v>
      </x:c>
      <x:c r="P33" s="14" t="n">
        <x:v>90</x:v>
      </x:c>
      <x:c r="Q33" s="14" t="n">
        <x:v>23</x:v>
      </x:c>
      <x:c r="R33" s="14" t="n">
        <x:v>2</x:v>
      </x:c>
      <x:c r="S33" s="14" t="str">
        <x:v>未收錄</x:v>
      </x:c>
      <x:c r="T33" s="14" t="str">
        <x:v>25144</x:v>
      </x:c>
      <x:c r="U33" s="14" t="n">
        <x:v>1</x:v>
      </x:c>
      <x:c r="V33" s="14" t="n">
        <x:v>4315</x:v>
      </x:c>
      <x:c r="W33" s="14" t="n">
        <x:v>91</x:v>
      </x:c>
      <x:c r="X33" s="14" t="n">
        <x:v>23</x:v>
      </x:c>
      <x:c r="Y33" s="14" t="n">
        <x:v>3</x:v>
      </x:c>
      <x:c r="Z33" s="14" t="str">
        <x:v>未收錄</x:v>
      </x:c>
      <x:c r="AA33" s="14" t="str">
        <x:v>25209</x:v>
      </x:c>
      <x:c r="AB33" s="14" t="n">
        <x:v>2</x:v>
      </x:c>
      <x:c r="AC33" s="14" t="n">
        <x:v>4316</x:v>
      </x:c>
      <x:c r="AD33" s="14" t="n">
        <x:v>92</x:v>
      </x:c>
      <x:c r="AE33" s="14" t="n">
        <x:v>23</x:v>
      </x:c>
      <x:c r="AF33" s="14" t="n">
        <x:v>4</x:v>
      </x:c>
      <x:c r="AG33" s="14" t="str">
        <x:v>未收錄</x:v>
      </x:c>
    </x:row>
    <x:row r="34" ht="15" customHeight="1">
      <x:c r="A34" s="18" t="str">
        <x:v>冰蠶刀配方</x:v>
      </x:c>
      <x:c r="B34" s="18" t="str">
        <x:v>炎精刀配方</x:v>
      </x:c>
      <x:c r="C34" s="18" t="str">
        <x:v>紫河刀配方</x:v>
      </x:c>
      <x:c r="D34" s="18" t="str">
        <x:v>血飲刀配方</x:v>
      </x:c>
      <x:c r="E34" s="14"/>
      <x:c r="F34" s="14" t="str">
        <x:v>25210</x:v>
      </x:c>
      <x:c r="G34" s="14" t="n">
        <x:v>2</x:v>
      </x:c>
      <x:c r="H34" s="14" t="n">
        <x:v>4317</x:v>
      </x:c>
      <x:c r="I34" s="14" t="n">
        <x:v>93</x:v>
      </x:c>
      <x:c r="J34" s="14" t="n">
        <x:v>24</x:v>
      </x:c>
      <x:c r="K34" s="14" t="n">
        <x:v>1</x:v>
      </x:c>
      <x:c r="L34" s="14" t="str">
        <x:v>未收錄</x:v>
      </x:c>
      <x:c r="M34" s="14" t="str">
        <x:v>25211</x:v>
      </x:c>
      <x:c r="N34" s="14" t="n">
        <x:v>2</x:v>
      </x:c>
      <x:c r="O34" s="14" t="n">
        <x:v>4318</x:v>
      </x:c>
      <x:c r="P34" s="14" t="n">
        <x:v>94</x:v>
      </x:c>
      <x:c r="Q34" s="14" t="n">
        <x:v>24</x:v>
      </x:c>
      <x:c r="R34" s="14" t="n">
        <x:v>2</x:v>
      </x:c>
      <x:c r="S34" s="14" t="str">
        <x:v>未收錄</x:v>
      </x:c>
      <x:c r="T34" s="14" t="str">
        <x:v>25212</x:v>
      </x:c>
      <x:c r="U34" s="14" t="n">
        <x:v>2</x:v>
      </x:c>
      <x:c r="V34" s="14" t="n">
        <x:v>4319</x:v>
      </x:c>
      <x:c r="W34" s="14" t="n">
        <x:v>95</x:v>
      </x:c>
      <x:c r="X34" s="14" t="n">
        <x:v>24</x:v>
      </x:c>
      <x:c r="Y34" s="14" t="n">
        <x:v>3</x:v>
      </x:c>
      <x:c r="Z34" s="14" t="str">
        <x:v>未收錄</x:v>
      </x:c>
      <x:c r="AA34" s="14" t="str">
        <x:v>25237</x:v>
      </x:c>
      <x:c r="AB34" s="14" t="n">
        <x:v>2</x:v>
      </x:c>
      <x:c r="AC34" s="14" t="n">
        <x:v>4320</x:v>
      </x:c>
      <x:c r="AD34" s="14" t="n">
        <x:v>96</x:v>
      </x:c>
      <x:c r="AE34" s="14" t="n">
        <x:v>24</x:v>
      </x:c>
      <x:c r="AF34" s="14" t="n">
        <x:v>4</x:v>
      </x:c>
      <x:c r="AG34" s="14" t="str">
        <x:v>未收錄</x:v>
      </x:c>
    </x:row>
    <x:row r="35">
      <x:c r="A35" s="14"/>
      <x:c r="B35" s="14"/>
      <x:c r="C35" s="14"/>
      <x:c r="D35" s="14"/>
      <x:c r="E35" s="14"/>
      <x:c r="F35" s="14"/>
      <x:c r="G35" s="14"/>
      <x:c r="H35" s="14"/>
      <x:c r="I35" s="14"/>
      <x:c r="J35" s="14"/>
      <x:c r="K35" s="14"/>
      <x:c r="L35" s="14"/>
      <x:c r="M35" s="14"/>
      <x:c r="N35" s="14"/>
      <x:c r="O35" s="14"/>
      <x:c r="P35" s="14"/>
      <x:c r="Q35" s="14"/>
      <x:c r="R35" s="14"/>
      <x:c r="S35" s="14"/>
      <x:c r="T35" s="14"/>
      <x:c r="U35" s="14"/>
      <x:c r="V35" s="14"/>
      <x:c r="W35" s="14"/>
      <x:c r="X35" s="14"/>
      <x:c r="Y35" s="14"/>
      <x:c r="Z35" s="14"/>
      <x:c r="AA35" s="14"/>
      <x:c r="AB35" s="14"/>
      <x:c r="AC35" s="14"/>
      <x:c r="AD35" s="14"/>
      <x:c r="AE35" s="14"/>
      <x:c r="AF35" s="14"/>
      <x:c r="AG35" s="14"/>
    </x:row>
    <x:row r="36" ht="25" customHeight="1">
      <x:c r="A36" s="16" t="str">
        <x:v>配方2　／　96 筆</x:v>
      </x:c>
      <x:c r="B36" s="16"/>
      <x:c r="C36" s="16"/>
      <x:c r="D36" s="16"/>
      <x:c r="E36" s="14"/>
      <x:c r="F36" s="14"/>
      <x:c r="G36" s="14"/>
      <x:c r="H36" s="14"/>
      <x:c r="I36" s="14"/>
      <x:c r="J36" s="14"/>
      <x:c r="K36" s="14"/>
      <x:c r="L36" s="14"/>
      <x:c r="M36" s="14"/>
      <x:c r="N36" s="14"/>
      <x:c r="O36" s="14"/>
      <x:c r="P36" s="14"/>
      <x:c r="Q36" s="14"/>
      <x:c r="R36" s="14"/>
      <x:c r="S36" s="14"/>
      <x:c r="T36" s="14"/>
      <x:c r="U36" s="14"/>
      <x:c r="V36" s="14"/>
      <x:c r="W36" s="14"/>
      <x:c r="X36" s="14"/>
      <x:c r="Y36" s="14"/>
      <x:c r="Z36" s="14"/>
      <x:c r="AA36" s="14"/>
      <x:c r="AB36" s="14"/>
      <x:c r="AC36" s="14"/>
      <x:c r="AD36" s="14"/>
      <x:c r="AE36" s="14"/>
      <x:c r="AF36" s="14"/>
      <x:c r="AG36" s="14"/>
    </x:row>
    <x:row r="37" ht="15" customHeight="1">
      <x:c r="A37" s="17" t="str">
        <x:v>黃泉刀配方</x:v>
      </x:c>
      <x:c r="B37" s="17" t="str">
        <x:v>鬼咬刀配方</x:v>
      </x:c>
      <x:c r="C37" s="17" t="str">
        <x:v>蒼龍刀配方</x:v>
      </x:c>
      <x:c r="D37" s="17" t="str">
        <x:v>赤火刃配方</x:v>
      </x:c>
      <x:c r="E37" s="14"/>
      <x:c r="F37" s="14" t="str">
        <x:v>25238</x:v>
      </x:c>
      <x:c r="G37" s="14" t="n">
        <x:v>2</x:v>
      </x:c>
      <x:c r="H37" s="14" t="n">
        <x:v>4321</x:v>
      </x:c>
      <x:c r="I37" s="14" t="n">
        <x:v>97</x:v>
      </x:c>
      <x:c r="J37" s="14" t="n">
        <x:v>1</x:v>
      </x:c>
      <x:c r="K37" s="14" t="n">
        <x:v>1</x:v>
      </x:c>
      <x:c r="L37" s="14" t="str">
        <x:v>未收錄</x:v>
      </x:c>
      <x:c r="M37" s="14" t="str">
        <x:v>25239</x:v>
      </x:c>
      <x:c r="N37" s="14" t="n">
        <x:v>2</x:v>
      </x:c>
      <x:c r="O37" s="14" t="n">
        <x:v>4322</x:v>
      </x:c>
      <x:c r="P37" s="14" t="n">
        <x:v>98</x:v>
      </x:c>
      <x:c r="Q37" s="14" t="n">
        <x:v>1</x:v>
      </x:c>
      <x:c r="R37" s="14" t="n">
        <x:v>2</x:v>
      </x:c>
      <x:c r="S37" s="14" t="str">
        <x:v>未收錄</x:v>
      </x:c>
      <x:c r="T37" s="14" t="str">
        <x:v>25240</x:v>
      </x:c>
      <x:c r="U37" s="14" t="n">
        <x:v>2</x:v>
      </x:c>
      <x:c r="V37" s="14" t="n">
        <x:v>4323</x:v>
      </x:c>
      <x:c r="W37" s="14" t="n">
        <x:v>99</x:v>
      </x:c>
      <x:c r="X37" s="14" t="n">
        <x:v>1</x:v>
      </x:c>
      <x:c r="Y37" s="14" t="n">
        <x:v>3</x:v>
      </x:c>
      <x:c r="Z37" s="14" t="str">
        <x:v>未收錄</x:v>
      </x:c>
      <x:c r="AA37" s="14" t="str">
        <x:v>25241</x:v>
      </x:c>
      <x:c r="AB37" s="14" t="n">
        <x:v>2</x:v>
      </x:c>
      <x:c r="AC37" s="14" t="n">
        <x:v>4324</x:v>
      </x:c>
      <x:c r="AD37" s="14" t="n">
        <x:v>100</x:v>
      </x:c>
      <x:c r="AE37" s="14" t="n">
        <x:v>1</x:v>
      </x:c>
      <x:c r="AF37" s="14" t="n">
        <x:v>4</x:v>
      </x:c>
      <x:c r="AG37" s="14" t="str">
        <x:v>未收錄</x:v>
      </x:c>
    </x:row>
    <x:row r="38" ht="15" customHeight="1">
      <x:c r="A38" s="18" t="str">
        <x:v>畫影刀配方</x:v>
      </x:c>
      <x:c r="B38" s="18" t="str">
        <x:v>蟠龍刀配方</x:v>
      </x:c>
      <x:c r="C38" s="18" t="str">
        <x:v>天晶刀配方</x:v>
      </x:c>
      <x:c r="D38" s="18" t="str">
        <x:v>天晶雷刀配方</x:v>
      </x:c>
      <x:c r="E38" s="14"/>
      <x:c r="F38" s="14" t="str">
        <x:v>25315</x:v>
      </x:c>
      <x:c r="G38" s="14" t="n">
        <x:v>2</x:v>
      </x:c>
      <x:c r="H38" s="14" t="n">
        <x:v>4325</x:v>
      </x:c>
      <x:c r="I38" s="14" t="n">
        <x:v>101</x:v>
      </x:c>
      <x:c r="J38" s="14" t="n">
        <x:v>2</x:v>
      </x:c>
      <x:c r="K38" s="14" t="n">
        <x:v>1</x:v>
      </x:c>
      <x:c r="L38" s="14" t="str">
        <x:v>未收錄</x:v>
      </x:c>
      <x:c r="M38" s="14" t="str">
        <x:v>25316</x:v>
      </x:c>
      <x:c r="N38" s="14" t="n">
        <x:v>2</x:v>
      </x:c>
      <x:c r="O38" s="14" t="n">
        <x:v>4326</x:v>
      </x:c>
      <x:c r="P38" s="14" t="n">
        <x:v>102</x:v>
      </x:c>
      <x:c r="Q38" s="14" t="n">
        <x:v>2</x:v>
      </x:c>
      <x:c r="R38" s="14" t="n">
        <x:v>2</x:v>
      </x:c>
      <x:c r="S38" s="14" t="str">
        <x:v>未收錄</x:v>
      </x:c>
      <x:c r="T38" s="14" t="str">
        <x:v>25317</x:v>
      </x:c>
      <x:c r="U38" s="14" t="n">
        <x:v>2</x:v>
      </x:c>
      <x:c r="V38" s="14" t="n">
        <x:v>4327</x:v>
      </x:c>
      <x:c r="W38" s="14" t="n">
        <x:v>103</x:v>
      </x:c>
      <x:c r="X38" s="14" t="n">
        <x:v>2</x:v>
      </x:c>
      <x:c r="Y38" s="14" t="n">
        <x:v>3</x:v>
      </x:c>
      <x:c r="Z38" s="14" t="str">
        <x:v>未收錄</x:v>
      </x:c>
      <x:c r="AA38" s="14" t="str">
        <x:v>25318</x:v>
      </x:c>
      <x:c r="AB38" s="14" t="n">
        <x:v>2</x:v>
      </x:c>
      <x:c r="AC38" s="14" t="n">
        <x:v>4328</x:v>
      </x:c>
      <x:c r="AD38" s="14" t="n">
        <x:v>104</x:v>
      </x:c>
      <x:c r="AE38" s="14" t="n">
        <x:v>2</x:v>
      </x:c>
      <x:c r="AF38" s="14" t="n">
        <x:v>4</x:v>
      </x:c>
      <x:c r="AG38" s="14" t="str">
        <x:v>未收錄</x:v>
      </x:c>
    </x:row>
    <x:row r="39" ht="15" customHeight="1">
      <x:c r="A39" s="17" t="str">
        <x:v>羅剎刀配方</x:v>
      </x:c>
      <x:c r="B39" s="17" t="str">
        <x:v>羅剎怒刀配方</x:v>
      </x:c>
      <x:c r="C39" s="17" t="str">
        <x:v>鬼渡刀配方</x:v>
      </x:c>
      <x:c r="D39" s="17" t="str">
        <x:v>虎徹刀配方</x:v>
      </x:c>
      <x:c r="E39" s="14"/>
      <x:c r="F39" s="14" t="str">
        <x:v>25319</x:v>
      </x:c>
      <x:c r="G39" s="14" t="n">
        <x:v>2</x:v>
      </x:c>
      <x:c r="H39" s="14" t="n">
        <x:v>4329</x:v>
      </x:c>
      <x:c r="I39" s="14" t="n">
        <x:v>105</x:v>
      </x:c>
      <x:c r="J39" s="14" t="n">
        <x:v>3</x:v>
      </x:c>
      <x:c r="K39" s="14" t="n">
        <x:v>1</x:v>
      </x:c>
      <x:c r="L39" s="14" t="str">
        <x:v>未收錄</x:v>
      </x:c>
      <x:c r="M39" s="14" t="str">
        <x:v>25320</x:v>
      </x:c>
      <x:c r="N39" s="14" t="n">
        <x:v>2</x:v>
      </x:c>
      <x:c r="O39" s="14" t="n">
        <x:v>4330</x:v>
      </x:c>
      <x:c r="P39" s="14" t="n">
        <x:v>106</x:v>
      </x:c>
      <x:c r="Q39" s="14" t="n">
        <x:v>3</x:v>
      </x:c>
      <x:c r="R39" s="14" t="n">
        <x:v>2</x:v>
      </x:c>
      <x:c r="S39" s="14" t="str">
        <x:v>未收錄</x:v>
      </x:c>
      <x:c r="T39" s="14" t="str">
        <x:v>25321</x:v>
      </x:c>
      <x:c r="U39" s="14" t="n">
        <x:v>2</x:v>
      </x:c>
      <x:c r="V39" s="14" t="n">
        <x:v>4331</x:v>
      </x:c>
      <x:c r="W39" s="14" t="n">
        <x:v>107</x:v>
      </x:c>
      <x:c r="X39" s="14" t="n">
        <x:v>3</x:v>
      </x:c>
      <x:c r="Y39" s="14" t="n">
        <x:v>3</x:v>
      </x:c>
      <x:c r="Z39" s="14" t="str">
        <x:v>未收錄</x:v>
      </x:c>
      <x:c r="AA39" s="14" t="str">
        <x:v>25322</x:v>
      </x:c>
      <x:c r="AB39" s="14" t="n">
        <x:v>2</x:v>
      </x:c>
      <x:c r="AC39" s="14" t="n">
        <x:v>4332</x:v>
      </x:c>
      <x:c r="AD39" s="14" t="n">
        <x:v>108</x:v>
      </x:c>
      <x:c r="AE39" s="14" t="n">
        <x:v>3</x:v>
      </x:c>
      <x:c r="AF39" s="14" t="n">
        <x:v>4</x:v>
      </x:c>
      <x:c r="AG39" s="14" t="str">
        <x:v>未收錄</x:v>
      </x:c>
    </x:row>
    <x:row r="40" ht="15" customHeight="1">
      <x:c r="A40" s="18" t="str">
        <x:v>村雨刀配方</x:v>
      </x:c>
      <x:c r="B40" s="18" t="str">
        <x:v>昆吾刀配方</x:v>
      </x:c>
      <x:c r="C40" s="18" t="str">
        <x:v>斬業刀配方</x:v>
      </x:c>
      <x:c r="D40" s="18" t="str">
        <x:v>計都烈刀配方</x:v>
      </x:c>
      <x:c r="E40" s="14"/>
      <x:c r="F40" s="14" t="str">
        <x:v>25323</x:v>
      </x:c>
      <x:c r="G40" s="14" t="n">
        <x:v>2</x:v>
      </x:c>
      <x:c r="H40" s="14" t="n">
        <x:v>4333</x:v>
      </x:c>
      <x:c r="I40" s="14" t="n">
        <x:v>109</x:v>
      </x:c>
      <x:c r="J40" s="14" t="n">
        <x:v>4</x:v>
      </x:c>
      <x:c r="K40" s="14" t="n">
        <x:v>1</x:v>
      </x:c>
      <x:c r="L40" s="14" t="str">
        <x:v>未收錄</x:v>
      </x:c>
      <x:c r="M40" s="14" t="str">
        <x:v>25324</x:v>
      </x:c>
      <x:c r="N40" s="14" t="n">
        <x:v>2</x:v>
      </x:c>
      <x:c r="O40" s="14" t="n">
        <x:v>4334</x:v>
      </x:c>
      <x:c r="P40" s="14" t="n">
        <x:v>110</x:v>
      </x:c>
      <x:c r="Q40" s="14" t="n">
        <x:v>4</x:v>
      </x:c>
      <x:c r="R40" s="14" t="n">
        <x:v>2</x:v>
      </x:c>
      <x:c r="S40" s="14" t="str">
        <x:v>未收錄</x:v>
      </x:c>
      <x:c r="T40" s="14" t="str">
        <x:v>25325</x:v>
      </x:c>
      <x:c r="U40" s="14" t="n">
        <x:v>2</x:v>
      </x:c>
      <x:c r="V40" s="14" t="n">
        <x:v>4335</x:v>
      </x:c>
      <x:c r="W40" s="14" t="n">
        <x:v>111</x:v>
      </x:c>
      <x:c r="X40" s="14" t="n">
        <x:v>4</x:v>
      </x:c>
      <x:c r="Y40" s="14" t="n">
        <x:v>3</x:v>
      </x:c>
      <x:c r="Z40" s="14" t="str">
        <x:v>未收錄</x:v>
      </x:c>
      <x:c r="AA40" s="14" t="str">
        <x:v>25326</x:v>
      </x:c>
      <x:c r="AB40" s="14" t="n">
        <x:v>2</x:v>
      </x:c>
      <x:c r="AC40" s="14" t="n">
        <x:v>4336</x:v>
      </x:c>
      <x:c r="AD40" s="14" t="n">
        <x:v>112</x:v>
      </x:c>
      <x:c r="AE40" s="14" t="n">
        <x:v>4</x:v>
      </x:c>
      <x:c r="AF40" s="14" t="n">
        <x:v>4</x:v>
      </x:c>
      <x:c r="AG40" s="14" t="str">
        <x:v>未收錄</x:v>
      </x:c>
    </x:row>
    <x:row r="41" ht="15" customHeight="1">
      <x:c r="A41" s="17" t="str">
        <x:v>修羅刀配方</x:v>
      </x:c>
      <x:c r="B41" s="17" t="str">
        <x:v>黑天魔刀配方</x:v>
      </x:c>
      <x:c r="C41" s="17" t="str">
        <x:v>海龍鬚配方</x:v>
      </x:c>
      <x:c r="D41" s="17" t="str">
        <x:v>火龍鬚配方</x:v>
      </x:c>
      <x:c r="E41" s="14"/>
      <x:c r="F41" s="14" t="str">
        <x:v>25327</x:v>
      </x:c>
      <x:c r="G41" s="14" t="n">
        <x:v>2</x:v>
      </x:c>
      <x:c r="H41" s="14" t="n">
        <x:v>4337</x:v>
      </x:c>
      <x:c r="I41" s="14" t="n">
        <x:v>113</x:v>
      </x:c>
      <x:c r="J41" s="14" t="n">
        <x:v>5</x:v>
      </x:c>
      <x:c r="K41" s="14" t="n">
        <x:v>1</x:v>
      </x:c>
      <x:c r="L41" s="14" t="str">
        <x:v>未收錄</x:v>
      </x:c>
      <x:c r="M41" s="14" t="str">
        <x:v>25328</x:v>
      </x:c>
      <x:c r="N41" s="14" t="n">
        <x:v>2</x:v>
      </x:c>
      <x:c r="O41" s="14" t="n">
        <x:v>4338</x:v>
      </x:c>
      <x:c r="P41" s="14" t="n">
        <x:v>114</x:v>
      </x:c>
      <x:c r="Q41" s="14" t="n">
        <x:v>5</x:v>
      </x:c>
      <x:c r="R41" s="14" t="n">
        <x:v>2</x:v>
      </x:c>
      <x:c r="S41" s="14" t="str">
        <x:v>未收錄</x:v>
      </x:c>
      <x:c r="T41" s="14" t="str">
        <x:v>25161</x:v>
      </x:c>
      <x:c r="U41" s="14" t="n">
        <x:v>1</x:v>
      </x:c>
      <x:c r="V41" s="14" t="n">
        <x:v>4339</x:v>
      </x:c>
      <x:c r="W41" s="14" t="n">
        <x:v>115</x:v>
      </x:c>
      <x:c r="X41" s="14" t="n">
        <x:v>5</x:v>
      </x:c>
      <x:c r="Y41" s="14" t="n">
        <x:v>3</x:v>
      </x:c>
      <x:c r="Z41" s="14" t="str">
        <x:v>未收錄</x:v>
      </x:c>
      <x:c r="AA41" s="14" t="str">
        <x:v>25162</x:v>
      </x:c>
      <x:c r="AB41" s="14" t="n">
        <x:v>1</x:v>
      </x:c>
      <x:c r="AC41" s="14" t="n">
        <x:v>4340</x:v>
      </x:c>
      <x:c r="AD41" s="14" t="n">
        <x:v>116</x:v>
      </x:c>
      <x:c r="AE41" s="14" t="n">
        <x:v>5</x:v>
      </x:c>
      <x:c r="AF41" s="14" t="n">
        <x:v>4</x:v>
      </x:c>
      <x:c r="AG41" s="14" t="str">
        <x:v>未收錄</x:v>
      </x:c>
    </x:row>
    <x:row r="42" ht="15" customHeight="1">
      <x:c r="A42" s="18" t="str">
        <x:v>雲龍鬚配方</x:v>
      </x:c>
      <x:c r="B42" s="18" t="str">
        <x:v>地龍鬚配方</x:v>
      </x:c>
      <x:c r="C42" s="18" t="str">
        <x:v>凌虛拂塵配方</x:v>
      </x:c>
      <x:c r="D42" s="18" t="str">
        <x:v>玄陰拂塵配方</x:v>
      </x:c>
      <x:c r="E42" s="14"/>
      <x:c r="F42" s="14" t="str">
        <x:v>25163</x:v>
      </x:c>
      <x:c r="G42" s="14" t="n">
        <x:v>1</x:v>
      </x:c>
      <x:c r="H42" s="14" t="n">
        <x:v>4341</x:v>
      </x:c>
      <x:c r="I42" s="14" t="n">
        <x:v>117</x:v>
      </x:c>
      <x:c r="J42" s="14" t="n">
        <x:v>6</x:v>
      </x:c>
      <x:c r="K42" s="14" t="n">
        <x:v>1</x:v>
      </x:c>
      <x:c r="L42" s="14" t="str">
        <x:v>未收錄</x:v>
      </x:c>
      <x:c r="M42" s="14" t="str">
        <x:v>25164</x:v>
      </x:c>
      <x:c r="N42" s="14" t="n">
        <x:v>1</x:v>
      </x:c>
      <x:c r="O42" s="14" t="n">
        <x:v>4342</x:v>
      </x:c>
      <x:c r="P42" s="14" t="n">
        <x:v>118</x:v>
      </x:c>
      <x:c r="Q42" s="14" t="n">
        <x:v>6</x:v>
      </x:c>
      <x:c r="R42" s="14" t="n">
        <x:v>2</x:v>
      </x:c>
      <x:c r="S42" s="14" t="str">
        <x:v>未收錄</x:v>
      </x:c>
      <x:c r="T42" s="14" t="str">
        <x:v>25214</x:v>
      </x:c>
      <x:c r="U42" s="14" t="n">
        <x:v>2</x:v>
      </x:c>
      <x:c r="V42" s="14" t="n">
        <x:v>4343</x:v>
      </x:c>
      <x:c r="W42" s="14" t="n">
        <x:v>119</x:v>
      </x:c>
      <x:c r="X42" s="14" t="n">
        <x:v>6</x:v>
      </x:c>
      <x:c r="Y42" s="14" t="n">
        <x:v>3</x:v>
      </x:c>
      <x:c r="Z42" s="14" t="str">
        <x:v>未收錄</x:v>
      </x:c>
      <x:c r="AA42" s="14" t="str">
        <x:v>25247</x:v>
      </x:c>
      <x:c r="AB42" s="14" t="n">
        <x:v>2</x:v>
      </x:c>
      <x:c r="AC42" s="14" t="n">
        <x:v>4344</x:v>
      </x:c>
      <x:c r="AD42" s="14" t="n">
        <x:v>120</x:v>
      </x:c>
      <x:c r="AE42" s="14" t="n">
        <x:v>6</x:v>
      </x:c>
      <x:c r="AF42" s="14" t="n">
        <x:v>4</x:v>
      </x:c>
      <x:c r="AG42" s="14" t="str">
        <x:v>未收錄</x:v>
      </x:c>
    </x:row>
    <x:row r="43" ht="15" customHeight="1">
      <x:c r="A43" s="17" t="str">
        <x:v>清虛骨杖配方</x:v>
      </x:c>
      <x:c r="B43" s="17" t="str">
        <x:v>搖光拂塵配方</x:v>
      </x:c>
      <x:c r="C43" s="17" t="str">
        <x:v>銀羽扇配方</x:v>
      </x:c>
      <x:c r="D43" s="17" t="str">
        <x:v>玉翎扇配方</x:v>
      </x:c>
      <x:c r="E43" s="14"/>
      <x:c r="F43" s="14" t="str">
        <x:v>25342</x:v>
      </x:c>
      <x:c r="G43" s="14" t="n">
        <x:v>2</x:v>
      </x:c>
      <x:c r="H43" s="14" t="n">
        <x:v>4345</x:v>
      </x:c>
      <x:c r="I43" s="14" t="n">
        <x:v>121</x:v>
      </x:c>
      <x:c r="J43" s="14" t="n">
        <x:v>7</x:v>
      </x:c>
      <x:c r="K43" s="14" t="n">
        <x:v>1</x:v>
      </x:c>
      <x:c r="L43" s="14" t="str">
        <x:v>未收錄</x:v>
      </x:c>
      <x:c r="M43" s="14" t="str">
        <x:v>25343</x:v>
      </x:c>
      <x:c r="N43" s="14" t="n">
        <x:v>2</x:v>
      </x:c>
      <x:c r="O43" s="14" t="n">
        <x:v>4346</x:v>
      </x:c>
      <x:c r="P43" s="14" t="n">
        <x:v>122</x:v>
      </x:c>
      <x:c r="Q43" s="14" t="n">
        <x:v>7</x:v>
      </x:c>
      <x:c r="R43" s="14" t="n">
        <x:v>2</x:v>
      </x:c>
      <x:c r="S43" s="14" t="str">
        <x:v>未收錄</x:v>
      </x:c>
      <x:c r="T43" s="14" t="str">
        <x:v>25344</x:v>
      </x:c>
      <x:c r="U43" s="14" t="n">
        <x:v>2</x:v>
      </x:c>
      <x:c r="V43" s="14" t="n">
        <x:v>4347</x:v>
      </x:c>
      <x:c r="W43" s="14" t="n">
        <x:v>123</x:v>
      </x:c>
      <x:c r="X43" s="14" t="n">
        <x:v>7</x:v>
      </x:c>
      <x:c r="Y43" s="14" t="n">
        <x:v>3</x:v>
      </x:c>
      <x:c r="Z43" s="14" t="str">
        <x:v>未收錄</x:v>
      </x:c>
      <x:c r="AA43" s="14" t="str">
        <x:v>25345</x:v>
      </x:c>
      <x:c r="AB43" s="14" t="n">
        <x:v>2</x:v>
      </x:c>
      <x:c r="AC43" s="14" t="n">
        <x:v>4348</x:v>
      </x:c>
      <x:c r="AD43" s="14" t="n">
        <x:v>124</x:v>
      </x:c>
      <x:c r="AE43" s="14" t="n">
        <x:v>7</x:v>
      </x:c>
      <x:c r="AF43" s="14" t="n">
        <x:v>4</x:v>
      </x:c>
      <x:c r="AG43" s="14" t="str">
        <x:v>未收錄</x:v>
      </x:c>
    </x:row>
    <x:row r="44" ht="15" customHeight="1">
      <x:c r="A44" s="18" t="str">
        <x:v>青羅蛇杖配方</x:v>
      </x:c>
      <x:c r="B44" s="18" t="str">
        <x:v>翡翠神杖配方</x:v>
      </x:c>
      <x:c r="C44" s="18" t="str">
        <x:v>裂戒御祓配方</x:v>
      </x:c>
      <x:c r="D44" s="18" t="str">
        <x:v>平魔御祓配方</x:v>
      </x:c>
      <x:c r="E44" s="14"/>
      <x:c r="F44" s="14" t="str">
        <x:v>25346</x:v>
      </x:c>
      <x:c r="G44" s="14" t="n">
        <x:v>2</x:v>
      </x:c>
      <x:c r="H44" s="14" t="n">
        <x:v>4349</x:v>
      </x:c>
      <x:c r="I44" s="14" t="n">
        <x:v>125</x:v>
      </x:c>
      <x:c r="J44" s="14" t="n">
        <x:v>8</x:v>
      </x:c>
      <x:c r="K44" s="14" t="n">
        <x:v>1</x:v>
      </x:c>
      <x:c r="L44" s="14" t="str">
        <x:v>未收錄</x:v>
      </x:c>
      <x:c r="M44" s="14" t="str">
        <x:v>25347</x:v>
      </x:c>
      <x:c r="N44" s="14" t="n">
        <x:v>2</x:v>
      </x:c>
      <x:c r="O44" s="14" t="n">
        <x:v>4350</x:v>
      </x:c>
      <x:c r="P44" s="14" t="n">
        <x:v>126</x:v>
      </x:c>
      <x:c r="Q44" s="14" t="n">
        <x:v>8</x:v>
      </x:c>
      <x:c r="R44" s="14" t="n">
        <x:v>2</x:v>
      </x:c>
      <x:c r="S44" s="14" t="str">
        <x:v>未收錄</x:v>
      </x:c>
      <x:c r="T44" s="14" t="str">
        <x:v>25348</x:v>
      </x:c>
      <x:c r="U44" s="14" t="n">
        <x:v>2</x:v>
      </x:c>
      <x:c r="V44" s="14" t="n">
        <x:v>4351</x:v>
      </x:c>
      <x:c r="W44" s="14" t="n">
        <x:v>127</x:v>
      </x:c>
      <x:c r="X44" s="14" t="n">
        <x:v>8</x:v>
      </x:c>
      <x:c r="Y44" s="14" t="n">
        <x:v>3</x:v>
      </x:c>
      <x:c r="Z44" s="14" t="str">
        <x:v>未收錄</x:v>
      </x:c>
      <x:c r="AA44" s="14" t="str">
        <x:v>25349</x:v>
      </x:c>
      <x:c r="AB44" s="14" t="n">
        <x:v>2</x:v>
      </x:c>
      <x:c r="AC44" s="14" t="n">
        <x:v>4352</x:v>
      </x:c>
      <x:c r="AD44" s="14" t="n">
        <x:v>128</x:v>
      </x:c>
      <x:c r="AE44" s="14" t="n">
        <x:v>8</x:v>
      </x:c>
      <x:c r="AF44" s="14" t="n">
        <x:v>4</x:v>
      </x:c>
      <x:c r="AG44" s="14" t="str">
        <x:v>未收錄</x:v>
      </x:c>
    </x:row>
    <x:row r="45" ht="15" customHeight="1">
      <x:c r="A45" s="17" t="str">
        <x:v>瀧取如意配方</x:v>
      </x:c>
      <x:c r="B45" s="17" t="str">
        <x:v>御敷如意配方</x:v>
      </x:c>
      <x:c r="C45" s="17" t="str">
        <x:v>星暉拂塵配方</x:v>
      </x:c>
      <x:c r="D45" s="17" t="str">
        <x:v>昊陽拂塵配方</x:v>
      </x:c>
      <x:c r="E45" s="14"/>
      <x:c r="F45" s="14" t="str">
        <x:v>25350</x:v>
      </x:c>
      <x:c r="G45" s="14" t="n">
        <x:v>2</x:v>
      </x:c>
      <x:c r="H45" s="14" t="n">
        <x:v>4353</x:v>
      </x:c>
      <x:c r="I45" s="14" t="n">
        <x:v>129</x:v>
      </x:c>
      <x:c r="J45" s="14" t="n">
        <x:v>9</x:v>
      </x:c>
      <x:c r="K45" s="14" t="n">
        <x:v>1</x:v>
      </x:c>
      <x:c r="L45" s="14" t="str">
        <x:v>未收錄</x:v>
      </x:c>
      <x:c r="M45" s="14" t="str">
        <x:v>25351</x:v>
      </x:c>
      <x:c r="N45" s="14" t="n">
        <x:v>2</x:v>
      </x:c>
      <x:c r="O45" s="14" t="n">
        <x:v>4354</x:v>
      </x:c>
      <x:c r="P45" s="14" t="n">
        <x:v>130</x:v>
      </x:c>
      <x:c r="Q45" s="14" t="n">
        <x:v>9</x:v>
      </x:c>
      <x:c r="R45" s="14" t="n">
        <x:v>2</x:v>
      </x:c>
      <x:c r="S45" s="14" t="str">
        <x:v>未收錄</x:v>
      </x:c>
      <x:c r="T45" s="14" t="str">
        <x:v>25352</x:v>
      </x:c>
      <x:c r="U45" s="14" t="n">
        <x:v>2</x:v>
      </x:c>
      <x:c r="V45" s="14" t="n">
        <x:v>4355</x:v>
      </x:c>
      <x:c r="W45" s="14" t="n">
        <x:v>131</x:v>
      </x:c>
      <x:c r="X45" s="14" t="n">
        <x:v>9</x:v>
      </x:c>
      <x:c r="Y45" s="14" t="n">
        <x:v>3</x:v>
      </x:c>
      <x:c r="Z45" s="14" t="str">
        <x:v>未收錄</x:v>
      </x:c>
      <x:c r="AA45" s="14" t="str">
        <x:v>25353</x:v>
      </x:c>
      <x:c r="AB45" s="14" t="n">
        <x:v>2</x:v>
      </x:c>
      <x:c r="AC45" s="14" t="n">
        <x:v>4356</x:v>
      </x:c>
      <x:c r="AD45" s="14" t="n">
        <x:v>132</x:v>
      </x:c>
      <x:c r="AE45" s="14" t="n">
        <x:v>9</x:v>
      </x:c>
      <x:c r="AF45" s="14" t="n">
        <x:v>4</x:v>
      </x:c>
      <x:c r="AG45" s="14" t="str">
        <x:v>未收錄</x:v>
      </x:c>
    </x:row>
    <x:row r="46" ht="15" customHeight="1">
      <x:c r="A46" s="18" t="str">
        <x:v>淨律羽拂配方</x:v>
      </x:c>
      <x:c r="B46" s="18" t="str">
        <x:v>婆羅羽拂配方</x:v>
      </x:c>
      <x:c r="C46" s="18" t="str">
        <x:v>水輪法杖配方</x:v>
      </x:c>
      <x:c r="D46" s="18" t="str">
        <x:v>火輪法杖配方</x:v>
      </x:c>
      <x:c r="E46" s="14"/>
      <x:c r="F46" s="14" t="str">
        <x:v>25354</x:v>
      </x:c>
      <x:c r="G46" s="14" t="n">
        <x:v>2</x:v>
      </x:c>
      <x:c r="H46" s="14" t="n">
        <x:v>4357</x:v>
      </x:c>
      <x:c r="I46" s="14" t="n">
        <x:v>133</x:v>
      </x:c>
      <x:c r="J46" s="14" t="n">
        <x:v>10</x:v>
      </x:c>
      <x:c r="K46" s="14" t="n">
        <x:v>1</x:v>
      </x:c>
      <x:c r="L46" s="14" t="str">
        <x:v>未收錄</x:v>
      </x:c>
      <x:c r="M46" s="14" t="str">
        <x:v>25355</x:v>
      </x:c>
      <x:c r="N46" s="14" t="n">
        <x:v>2</x:v>
      </x:c>
      <x:c r="O46" s="14" t="n">
        <x:v>4358</x:v>
      </x:c>
      <x:c r="P46" s="14" t="n">
        <x:v>134</x:v>
      </x:c>
      <x:c r="Q46" s="14" t="n">
        <x:v>10</x:v>
      </x:c>
      <x:c r="R46" s="14" t="n">
        <x:v>2</x:v>
      </x:c>
      <x:c r="S46" s="14" t="str">
        <x:v>未收錄</x:v>
      </x:c>
      <x:c r="T46" s="14" t="str">
        <x:v>25165</x:v>
      </x:c>
      <x:c r="U46" s="14" t="n">
        <x:v>1</x:v>
      </x:c>
      <x:c r="V46" s="14" t="n">
        <x:v>4359</x:v>
      </x:c>
      <x:c r="W46" s="14" t="n">
        <x:v>135</x:v>
      </x:c>
      <x:c r="X46" s="14" t="n">
        <x:v>10</x:v>
      </x:c>
      <x:c r="Y46" s="14" t="n">
        <x:v>3</x:v>
      </x:c>
      <x:c r="Z46" s="14" t="str">
        <x:v>未收錄</x:v>
      </x:c>
      <x:c r="AA46" s="14" t="str">
        <x:v>25166</x:v>
      </x:c>
      <x:c r="AB46" s="14" t="n">
        <x:v>1</x:v>
      </x:c>
      <x:c r="AC46" s="14" t="n">
        <x:v>4360</x:v>
      </x:c>
      <x:c r="AD46" s="14" t="n">
        <x:v>136</x:v>
      </x:c>
      <x:c r="AE46" s="14" t="n">
        <x:v>10</x:v>
      </x:c>
      <x:c r="AF46" s="14" t="n">
        <x:v>4</x:v>
      </x:c>
      <x:c r="AG46" s="14" t="str">
        <x:v>未收錄</x:v>
      </x:c>
    </x:row>
    <x:row r="47" ht="15" customHeight="1">
      <x:c r="A47" s="17" t="str">
        <x:v>風輪法杖配方</x:v>
      </x:c>
      <x:c r="B47" s="17" t="str">
        <x:v>地輪法杖配方</x:v>
      </x:c>
      <x:c r="C47" s="17" t="str">
        <x:v>明王法杖配方</x:v>
      </x:c>
      <x:c r="D47" s="17" t="str">
        <x:v>金鋼法杖配方</x:v>
      </x:c>
      <x:c r="E47" s="14"/>
      <x:c r="F47" s="14" t="str">
        <x:v>25167</x:v>
      </x:c>
      <x:c r="G47" s="14" t="n">
        <x:v>1</x:v>
      </x:c>
      <x:c r="H47" s="14" t="n">
        <x:v>4361</x:v>
      </x:c>
      <x:c r="I47" s="14" t="n">
        <x:v>137</x:v>
      </x:c>
      <x:c r="J47" s="14" t="n">
        <x:v>11</x:v>
      </x:c>
      <x:c r="K47" s="14" t="n">
        <x:v>1</x:v>
      </x:c>
      <x:c r="L47" s="14" t="str">
        <x:v>未收錄</x:v>
      </x:c>
      <x:c r="M47" s="14" t="str">
        <x:v>25168</x:v>
      </x:c>
      <x:c r="N47" s="14" t="n">
        <x:v>1</x:v>
      </x:c>
      <x:c r="O47" s="14" t="n">
        <x:v>4362</x:v>
      </x:c>
      <x:c r="P47" s="14" t="n">
        <x:v>138</x:v>
      </x:c>
      <x:c r="Q47" s="14" t="n">
        <x:v>11</x:v>
      </x:c>
      <x:c r="R47" s="14" t="n">
        <x:v>2</x:v>
      </x:c>
      <x:c r="S47" s="14" t="str">
        <x:v>未收錄</x:v>
      </x:c>
      <x:c r="T47" s="14" t="str">
        <x:v>25213</x:v>
      </x:c>
      <x:c r="U47" s="14" t="n">
        <x:v>2</x:v>
      </x:c>
      <x:c r="V47" s="14" t="n">
        <x:v>4363</x:v>
      </x:c>
      <x:c r="W47" s="14" t="n">
        <x:v>139</x:v>
      </x:c>
      <x:c r="X47" s="14" t="n">
        <x:v>11</x:v>
      </x:c>
      <x:c r="Y47" s="14" t="n">
        <x:v>3</x:v>
      </x:c>
      <x:c r="Z47" s="14" t="str">
        <x:v>未收錄</x:v>
      </x:c>
      <x:c r="AA47" s="14" t="str">
        <x:v>25248</x:v>
      </x:c>
      <x:c r="AB47" s="14" t="n">
        <x:v>2</x:v>
      </x:c>
      <x:c r="AC47" s="14" t="n">
        <x:v>4364</x:v>
      </x:c>
      <x:c r="AD47" s="14" t="n">
        <x:v>140</x:v>
      </x:c>
      <x:c r="AE47" s="14" t="n">
        <x:v>11</x:v>
      </x:c>
      <x:c r="AF47" s="14" t="n">
        <x:v>4</x:v>
      </x:c>
      <x:c r="AG47" s="14" t="str">
        <x:v>未收錄</x:v>
      </x:c>
    </x:row>
    <x:row r="48" ht="15" customHeight="1">
      <x:c r="A48" s="18" t="str">
        <x:v>菩提法杖配方</x:v>
      </x:c>
      <x:c r="B48" s="18" t="str">
        <x:v>達摩法杖配方</x:v>
      </x:c>
      <x:c r="C48" s="18" t="str">
        <x:v>光焰寶杖配方</x:v>
      </x:c>
      <x:c r="D48" s="18" t="str">
        <x:v>光焰聖杖配方</x:v>
      </x:c>
      <x:c r="E48" s="14"/>
      <x:c r="F48" s="14" t="str">
        <x:v>25356</x:v>
      </x:c>
      <x:c r="G48" s="14" t="n">
        <x:v>2</x:v>
      </x:c>
      <x:c r="H48" s="14" t="n">
        <x:v>4365</x:v>
      </x:c>
      <x:c r="I48" s="14" t="n">
        <x:v>141</x:v>
      </x:c>
      <x:c r="J48" s="14" t="n">
        <x:v>12</x:v>
      </x:c>
      <x:c r="K48" s="14" t="n">
        <x:v>1</x:v>
      </x:c>
      <x:c r="L48" s="14" t="str">
        <x:v>未收錄</x:v>
      </x:c>
      <x:c r="M48" s="14" t="str">
        <x:v>25357</x:v>
      </x:c>
      <x:c r="N48" s="14" t="n">
        <x:v>2</x:v>
      </x:c>
      <x:c r="O48" s="14" t="n">
        <x:v>4366</x:v>
      </x:c>
      <x:c r="P48" s="14" t="n">
        <x:v>142</x:v>
      </x:c>
      <x:c r="Q48" s="14" t="n">
        <x:v>12</x:v>
      </x:c>
      <x:c r="R48" s="14" t="n">
        <x:v>2</x:v>
      </x:c>
      <x:c r="S48" s="14" t="str">
        <x:v>未收錄</x:v>
      </x:c>
      <x:c r="T48" s="14" t="str">
        <x:v>25358</x:v>
      </x:c>
      <x:c r="U48" s="14" t="n">
        <x:v>2</x:v>
      </x:c>
      <x:c r="V48" s="14" t="n">
        <x:v>4367</x:v>
      </x:c>
      <x:c r="W48" s="14" t="n">
        <x:v>143</x:v>
      </x:c>
      <x:c r="X48" s="14" t="n">
        <x:v>12</x:v>
      </x:c>
      <x:c r="Y48" s="14" t="n">
        <x:v>3</x:v>
      </x:c>
      <x:c r="Z48" s="14" t="str">
        <x:v>未收錄</x:v>
      </x:c>
      <x:c r="AA48" s="14" t="str">
        <x:v>25359</x:v>
      </x:c>
      <x:c r="AB48" s="14" t="n">
        <x:v>2</x:v>
      </x:c>
      <x:c r="AC48" s="14" t="n">
        <x:v>4368</x:v>
      </x:c>
      <x:c r="AD48" s="14" t="n">
        <x:v>144</x:v>
      </x:c>
      <x:c r="AE48" s="14" t="n">
        <x:v>12</x:v>
      </x:c>
      <x:c r="AF48" s="14" t="n">
        <x:v>4</x:v>
      </x:c>
      <x:c r="AG48" s="14" t="str">
        <x:v>未收錄</x:v>
      </x:c>
    </x:row>
    <x:row r="49" ht="15" customHeight="1">
      <x:c r="A49" s="17" t="str">
        <x:v>羅剎禪杖配方</x:v>
      </x:c>
      <x:c r="B49" s="17" t="str">
        <x:v>大羅剎杖配方</x:v>
      </x:c>
      <x:c r="C49" s="17" t="str">
        <x:v>安佐禪杖配方</x:v>
      </x:c>
      <x:c r="D49" s="17" t="str">
        <x:v>堀路禪杖配方</x:v>
      </x:c>
      <x:c r="E49" s="14"/>
      <x:c r="F49" s="14" t="str">
        <x:v>25360</x:v>
      </x:c>
      <x:c r="G49" s="14" t="n">
        <x:v>2</x:v>
      </x:c>
      <x:c r="H49" s="14" t="n">
        <x:v>4369</x:v>
      </x:c>
      <x:c r="I49" s="14" t="n">
        <x:v>145</x:v>
      </x:c>
      <x:c r="J49" s="14" t="n">
        <x:v>13</x:v>
      </x:c>
      <x:c r="K49" s="14" t="n">
        <x:v>1</x:v>
      </x:c>
      <x:c r="L49" s="14" t="str">
        <x:v>未收錄</x:v>
      </x:c>
      <x:c r="M49" s="14" t="str">
        <x:v>25361</x:v>
      </x:c>
      <x:c r="N49" s="14" t="n">
        <x:v>2</x:v>
      </x:c>
      <x:c r="O49" s="14" t="n">
        <x:v>4370</x:v>
      </x:c>
      <x:c r="P49" s="14" t="n">
        <x:v>146</x:v>
      </x:c>
      <x:c r="Q49" s="14" t="n">
        <x:v>13</x:v>
      </x:c>
      <x:c r="R49" s="14" t="n">
        <x:v>2</x:v>
      </x:c>
      <x:c r="S49" s="14" t="str">
        <x:v>未收錄</x:v>
      </x:c>
      <x:c r="T49" s="14" t="str">
        <x:v>25362</x:v>
      </x:c>
      <x:c r="U49" s="14" t="n">
        <x:v>2</x:v>
      </x:c>
      <x:c r="V49" s="14" t="n">
        <x:v>4371</x:v>
      </x:c>
      <x:c r="W49" s="14" t="n">
        <x:v>147</x:v>
      </x:c>
      <x:c r="X49" s="14" t="n">
        <x:v>13</x:v>
      </x:c>
      <x:c r="Y49" s="14" t="n">
        <x:v>3</x:v>
      </x:c>
      <x:c r="Z49" s="14" t="str">
        <x:v>未收錄</x:v>
      </x:c>
      <x:c r="AA49" s="14" t="str">
        <x:v>25363</x:v>
      </x:c>
      <x:c r="AB49" s="14" t="n">
        <x:v>2</x:v>
      </x:c>
      <x:c r="AC49" s="14" t="n">
        <x:v>4372</x:v>
      </x:c>
      <x:c r="AD49" s="14" t="n">
        <x:v>148</x:v>
      </x:c>
      <x:c r="AE49" s="14" t="n">
        <x:v>13</x:v>
      </x:c>
      <x:c r="AF49" s="14" t="n">
        <x:v>4</x:v>
      </x:c>
      <x:c r="AG49" s="14" t="str">
        <x:v>未收錄</x:v>
      </x:c>
    </x:row>
    <x:row r="50" ht="15" customHeight="1">
      <x:c r="A50" s="18" t="str">
        <x:v>尊能禪杖配方</x:v>
      </x:c>
      <x:c r="B50" s="18" t="str">
        <x:v>彌方禪杖配方</x:v>
      </x:c>
      <x:c r="C50" s="18" t="str">
        <x:v>彌勒禪杖配方</x:v>
      </x:c>
      <x:c r="D50" s="18" t="str">
        <x:v>諸法禪杖配方</x:v>
      </x:c>
      <x:c r="E50" s="14"/>
      <x:c r="F50" s="14" t="str">
        <x:v>25364</x:v>
      </x:c>
      <x:c r="G50" s="14" t="n">
        <x:v>2</x:v>
      </x:c>
      <x:c r="H50" s="14" t="n">
        <x:v>4373</x:v>
      </x:c>
      <x:c r="I50" s="14" t="n">
        <x:v>149</x:v>
      </x:c>
      <x:c r="J50" s="14" t="n">
        <x:v>14</x:v>
      </x:c>
      <x:c r="K50" s="14" t="n">
        <x:v>1</x:v>
      </x:c>
      <x:c r="L50" s="14" t="str">
        <x:v>未收錄</x:v>
      </x:c>
      <x:c r="M50" s="14" t="str">
        <x:v>25365</x:v>
      </x:c>
      <x:c r="N50" s="14" t="n">
        <x:v>2</x:v>
      </x:c>
      <x:c r="O50" s="14" t="n">
        <x:v>4374</x:v>
      </x:c>
      <x:c r="P50" s="14" t="n">
        <x:v>150</x:v>
      </x:c>
      <x:c r="Q50" s="14" t="n">
        <x:v>14</x:v>
      </x:c>
      <x:c r="R50" s="14" t="n">
        <x:v>2</x:v>
      </x:c>
      <x:c r="S50" s="14" t="str">
        <x:v>未收錄</x:v>
      </x:c>
      <x:c r="T50" s="14" t="str">
        <x:v>25366</x:v>
      </x:c>
      <x:c r="U50" s="14" t="n">
        <x:v>2</x:v>
      </x:c>
      <x:c r="V50" s="14" t="n">
        <x:v>4375</x:v>
      </x:c>
      <x:c r="W50" s="14" t="n">
        <x:v>151</x:v>
      </x:c>
      <x:c r="X50" s="14" t="n">
        <x:v>14</x:v>
      </x:c>
      <x:c r="Y50" s="14" t="n">
        <x:v>3</x:v>
      </x:c>
      <x:c r="Z50" s="14" t="str">
        <x:v>未收錄</x:v>
      </x:c>
      <x:c r="AA50" s="14" t="str">
        <x:v>25367</x:v>
      </x:c>
      <x:c r="AB50" s="14" t="n">
        <x:v>2</x:v>
      </x:c>
      <x:c r="AC50" s="14" t="n">
        <x:v>4376</x:v>
      </x:c>
      <x:c r="AD50" s="14" t="n">
        <x:v>152</x:v>
      </x:c>
      <x:c r="AE50" s="14" t="n">
        <x:v>14</x:v>
      </x:c>
      <x:c r="AF50" s="14" t="n">
        <x:v>4</x:v>
      </x:c>
      <x:c r="AG50" s="14" t="str">
        <x:v>未收錄</x:v>
      </x:c>
    </x:row>
    <x:row r="51" ht="15" customHeight="1">
      <x:c r="A51" s="17" t="str">
        <x:v>如來聖杖配方</x:v>
      </x:c>
      <x:c r="B51" s="17" t="str">
        <x:v>涅槃禪杖配方</x:v>
      </x:c>
      <x:c r="C51" s="17" t="str">
        <x:v>冰牙戰戟配方</x:v>
      </x:c>
      <x:c r="D51" s="17" t="str">
        <x:v>火牙戰戟配方</x:v>
      </x:c>
      <x:c r="E51" s="14"/>
      <x:c r="F51" s="14" t="str">
        <x:v>25368</x:v>
      </x:c>
      <x:c r="G51" s="14" t="n">
        <x:v>2</x:v>
      </x:c>
      <x:c r="H51" s="14" t="n">
        <x:v>4377</x:v>
      </x:c>
      <x:c r="I51" s="14" t="n">
        <x:v>153</x:v>
      </x:c>
      <x:c r="J51" s="14" t="n">
        <x:v>15</x:v>
      </x:c>
      <x:c r="K51" s="14" t="n">
        <x:v>1</x:v>
      </x:c>
      <x:c r="L51" s="14" t="str">
        <x:v>未收錄</x:v>
      </x:c>
      <x:c r="M51" s="14" t="str">
        <x:v>25369</x:v>
      </x:c>
      <x:c r="N51" s="14" t="n">
        <x:v>2</x:v>
      </x:c>
      <x:c r="O51" s="14" t="n">
        <x:v>4378</x:v>
      </x:c>
      <x:c r="P51" s="14" t="n">
        <x:v>154</x:v>
      </x:c>
      <x:c r="Q51" s="14" t="n">
        <x:v>15</x:v>
      </x:c>
      <x:c r="R51" s="14" t="n">
        <x:v>2</x:v>
      </x:c>
      <x:c r="S51" s="14" t="str">
        <x:v>未收錄</x:v>
      </x:c>
      <x:c r="T51" s="14" t="str">
        <x:v>25149</x:v>
      </x:c>
      <x:c r="U51" s="14" t="n">
        <x:v>1</x:v>
      </x:c>
      <x:c r="V51" s="14" t="n">
        <x:v>4379</x:v>
      </x:c>
      <x:c r="W51" s="14" t="n">
        <x:v>155</x:v>
      </x:c>
      <x:c r="X51" s="14" t="n">
        <x:v>15</x:v>
      </x:c>
      <x:c r="Y51" s="14" t="n">
        <x:v>3</x:v>
      </x:c>
      <x:c r="Z51" s="14" t="str">
        <x:v>未收錄</x:v>
      </x:c>
      <x:c r="AA51" s="14" t="str">
        <x:v>25150</x:v>
      </x:c>
      <x:c r="AB51" s="14" t="n">
        <x:v>1</x:v>
      </x:c>
      <x:c r="AC51" s="14" t="n">
        <x:v>4380</x:v>
      </x:c>
      <x:c r="AD51" s="14" t="n">
        <x:v>156</x:v>
      </x:c>
      <x:c r="AE51" s="14" t="n">
        <x:v>15</x:v>
      </x:c>
      <x:c r="AF51" s="14" t="n">
        <x:v>4</x:v>
      </x:c>
      <x:c r="AG51" s="14" t="str">
        <x:v>未收錄</x:v>
      </x:c>
    </x:row>
    <x:row r="52" ht="15" customHeight="1">
      <x:c r="A52" s="18" t="str">
        <x:v>雷牙戰戟配方</x:v>
      </x:c>
      <x:c r="B52" s="18" t="str">
        <x:v>惡牙戰戟配方</x:v>
      </x:c>
      <x:c r="C52" s="18" t="str">
        <x:v>斷魂槍配方</x:v>
      </x:c>
      <x:c r="D52" s="18" t="str">
        <x:v>霸王槍配方</x:v>
      </x:c>
      <x:c r="E52" s="14"/>
      <x:c r="F52" s="14" t="str">
        <x:v>25151</x:v>
      </x:c>
      <x:c r="G52" s="14" t="n">
        <x:v>1</x:v>
      </x:c>
      <x:c r="H52" s="14" t="n">
        <x:v>4381</x:v>
      </x:c>
      <x:c r="I52" s="14" t="n">
        <x:v>157</x:v>
      </x:c>
      <x:c r="J52" s="14" t="n">
        <x:v>16</x:v>
      </x:c>
      <x:c r="K52" s="14" t="n">
        <x:v>1</x:v>
      </x:c>
      <x:c r="L52" s="14" t="str">
        <x:v>未收錄</x:v>
      </x:c>
      <x:c r="M52" s="14" t="str">
        <x:v>25152</x:v>
      </x:c>
      <x:c r="N52" s="14" t="n">
        <x:v>1</x:v>
      </x:c>
      <x:c r="O52" s="14" t="n">
        <x:v>4382</x:v>
      </x:c>
      <x:c r="P52" s="14" t="n">
        <x:v>158</x:v>
      </x:c>
      <x:c r="Q52" s="14" t="n">
        <x:v>16</x:v>
      </x:c>
      <x:c r="R52" s="14" t="n">
        <x:v>2</x:v>
      </x:c>
      <x:c r="S52" s="14" t="str">
        <x:v>未收錄</x:v>
      </x:c>
      <x:c r="T52" s="14" t="str">
        <x:v>25370</x:v>
      </x:c>
      <x:c r="U52" s="14" t="n">
        <x:v>2</x:v>
      </x:c>
      <x:c r="V52" s="14" t="n">
        <x:v>4383</x:v>
      </x:c>
      <x:c r="W52" s="14" t="n">
        <x:v>159</x:v>
      </x:c>
      <x:c r="X52" s="14" t="n">
        <x:v>16</x:v>
      </x:c>
      <x:c r="Y52" s="14" t="n">
        <x:v>3</x:v>
      </x:c>
      <x:c r="Z52" s="14" t="str">
        <x:v>未收錄</x:v>
      </x:c>
      <x:c r="AA52" s="14" t="str">
        <x:v>25371</x:v>
      </x:c>
      <x:c r="AB52" s="14" t="n">
        <x:v>2</x:v>
      </x:c>
      <x:c r="AC52" s="14" t="n">
        <x:v>4384</x:v>
      </x:c>
      <x:c r="AD52" s="14" t="n">
        <x:v>160</x:v>
      </x:c>
      <x:c r="AE52" s="14" t="n">
        <x:v>16</x:v>
      </x:c>
      <x:c r="AF52" s="14" t="n">
        <x:v>4</x:v>
      </x:c>
      <x:c r="AG52" s="14" t="str">
        <x:v>未收錄</x:v>
      </x:c>
    </x:row>
    <x:row r="53" ht="15" customHeight="1">
      <x:c r="A53" s="17" t="str">
        <x:v>離火槍配方</x:v>
      </x:c>
      <x:c r="B53" s="17" t="str">
        <x:v>蛇脊矛配方</x:v>
      </x:c>
      <x:c r="C53" s="17" t="str">
        <x:v>天晶火槍配方</x:v>
      </x:c>
      <x:c r="D53" s="17" t="str">
        <x:v>地靈蛇矛配方</x:v>
      </x:c>
      <x:c r="E53" s="14"/>
      <x:c r="F53" s="14" t="str">
        <x:v>25372</x:v>
      </x:c>
      <x:c r="G53" s="14" t="n">
        <x:v>2</x:v>
      </x:c>
      <x:c r="H53" s="14" t="n">
        <x:v>4385</x:v>
      </x:c>
      <x:c r="I53" s="14" t="n">
        <x:v>161</x:v>
      </x:c>
      <x:c r="J53" s="14" t="n">
        <x:v>17</x:v>
      </x:c>
      <x:c r="K53" s="14" t="n">
        <x:v>1</x:v>
      </x:c>
      <x:c r="L53" s="14" t="str">
        <x:v>未收錄</x:v>
      </x:c>
      <x:c r="M53" s="14" t="str">
        <x:v>25373</x:v>
      </x:c>
      <x:c r="N53" s="14" t="n">
        <x:v>2</x:v>
      </x:c>
      <x:c r="O53" s="14" t="n">
        <x:v>4386</x:v>
      </x:c>
      <x:c r="P53" s="14" t="n">
        <x:v>162</x:v>
      </x:c>
      <x:c r="Q53" s="14" t="n">
        <x:v>17</x:v>
      </x:c>
      <x:c r="R53" s="14" t="n">
        <x:v>2</x:v>
      </x:c>
      <x:c r="S53" s="14" t="str">
        <x:v>未收錄</x:v>
      </x:c>
      <x:c r="T53" s="14" t="str">
        <x:v>25374</x:v>
      </x:c>
      <x:c r="U53" s="14" t="n">
        <x:v>2</x:v>
      </x:c>
      <x:c r="V53" s="14" t="n">
        <x:v>4387</x:v>
      </x:c>
      <x:c r="W53" s="14" t="n">
        <x:v>163</x:v>
      </x:c>
      <x:c r="X53" s="14" t="n">
        <x:v>17</x:v>
      </x:c>
      <x:c r="Y53" s="14" t="n">
        <x:v>3</x:v>
      </x:c>
      <x:c r="Z53" s="14" t="str">
        <x:v>未收錄</x:v>
      </x:c>
      <x:c r="AA53" s="14" t="str">
        <x:v>25375</x:v>
      </x:c>
      <x:c r="AB53" s="14" t="n">
        <x:v>2</x:v>
      </x:c>
      <x:c r="AC53" s="14" t="n">
        <x:v>4388</x:v>
      </x:c>
      <x:c r="AD53" s="14" t="n">
        <x:v>164</x:v>
      </x:c>
      <x:c r="AE53" s="14" t="n">
        <x:v>17</x:v>
      </x:c>
      <x:c r="AF53" s="14" t="n">
        <x:v>4</x:v>
      </x:c>
      <x:c r="AG53" s="14" t="str">
        <x:v>未收錄</x:v>
      </x:c>
    </x:row>
    <x:row r="54" ht="15" customHeight="1">
      <x:c r="A54" s="18" t="str">
        <x:v>噬魂槍配方</x:v>
      </x:c>
      <x:c r="B54" s="18" t="str">
        <x:v>驚邪槍配方</x:v>
      </x:c>
      <x:c r="C54" s="18" t="str">
        <x:v>十文字槍配方</x:v>
      </x:c>
      <x:c r="D54" s="18" t="str">
        <x:v>菊宗紋槍配方</x:v>
      </x:c>
      <x:c r="E54" s="14"/>
      <x:c r="F54" s="14" t="str">
        <x:v>25376</x:v>
      </x:c>
      <x:c r="G54" s="14" t="n">
        <x:v>2</x:v>
      </x:c>
      <x:c r="H54" s="14" t="n">
        <x:v>4389</x:v>
      </x:c>
      <x:c r="I54" s="14" t="n">
        <x:v>165</x:v>
      </x:c>
      <x:c r="J54" s="14" t="n">
        <x:v>18</x:v>
      </x:c>
      <x:c r="K54" s="14" t="n">
        <x:v>1</x:v>
      </x:c>
      <x:c r="L54" s="14" t="str">
        <x:v>未收錄</x:v>
      </x:c>
      <x:c r="M54" s="14" t="str">
        <x:v>25377</x:v>
      </x:c>
      <x:c r="N54" s="14" t="n">
        <x:v>2</x:v>
      </x:c>
      <x:c r="O54" s="14" t="n">
        <x:v>4390</x:v>
      </x:c>
      <x:c r="P54" s="14" t="n">
        <x:v>166</x:v>
      </x:c>
      <x:c r="Q54" s="14" t="n">
        <x:v>18</x:v>
      </x:c>
      <x:c r="R54" s="14" t="n">
        <x:v>2</x:v>
      </x:c>
      <x:c r="S54" s="14" t="str">
        <x:v>未收錄</x:v>
      </x:c>
      <x:c r="T54" s="14" t="str">
        <x:v>25378</x:v>
      </x:c>
      <x:c r="U54" s="14" t="n">
        <x:v>2</x:v>
      </x:c>
      <x:c r="V54" s="14" t="n">
        <x:v>4391</x:v>
      </x:c>
      <x:c r="W54" s="14" t="n">
        <x:v>167</x:v>
      </x:c>
      <x:c r="X54" s="14" t="n">
        <x:v>18</x:v>
      </x:c>
      <x:c r="Y54" s="14" t="n">
        <x:v>3</x:v>
      </x:c>
      <x:c r="Z54" s="14" t="str">
        <x:v>未收錄</x:v>
      </x:c>
      <x:c r="AA54" s="14" t="str">
        <x:v>25379</x:v>
      </x:c>
      <x:c r="AB54" s="14" t="n">
        <x:v>2</x:v>
      </x:c>
      <x:c r="AC54" s="14" t="n">
        <x:v>4392</x:v>
      </x:c>
      <x:c r="AD54" s="14" t="n">
        <x:v>168</x:v>
      </x:c>
      <x:c r="AE54" s="14" t="n">
        <x:v>18</x:v>
      </x:c>
      <x:c r="AF54" s="14" t="n">
        <x:v>4</x:v>
      </x:c>
      <x:c r="AG54" s="14" t="str">
        <x:v>未收錄</x:v>
      </x:c>
    </x:row>
    <x:row r="55" ht="15" customHeight="1">
      <x:c r="A55" s="17" t="str">
        <x:v>海皇槍配方</x:v>
      </x:c>
      <x:c r="B55" s="17" t="str">
        <x:v>金龍神槍配方</x:v>
      </x:c>
      <x:c r="C55" s="17" t="str">
        <x:v>伐樓拿戟配方</x:v>
      </x:c>
      <x:c r="D55" s="17" t="str">
        <x:v>冰環鋼棍配方</x:v>
      </x:c>
      <x:c r="E55" s="14"/>
      <x:c r="F55" s="14" t="str">
        <x:v>25271</x:v>
      </x:c>
      <x:c r="G55" s="14" t="n">
        <x:v>10</x:v>
      </x:c>
      <x:c r="H55" s="14" t="n">
        <x:v>4393</x:v>
      </x:c>
      <x:c r="I55" s="14" t="n">
        <x:v>169</x:v>
      </x:c>
      <x:c r="J55" s="14" t="n">
        <x:v>19</x:v>
      </x:c>
      <x:c r="K55" s="14" t="n">
        <x:v>1</x:v>
      </x:c>
      <x:c r="L55" s="14" t="str">
        <x:v>未收錄</x:v>
      </x:c>
      <x:c r="M55" s="14" t="str">
        <x:v>25380</x:v>
      </x:c>
      <x:c r="N55" s="14" t="n">
        <x:v>2</x:v>
      </x:c>
      <x:c r="O55" s="14" t="n">
        <x:v>4394</x:v>
      </x:c>
      <x:c r="P55" s="14" t="n">
        <x:v>170</x:v>
      </x:c>
      <x:c r="Q55" s="14" t="n">
        <x:v>19</x:v>
      </x:c>
      <x:c r="R55" s="14" t="n">
        <x:v>2</x:v>
      </x:c>
      <x:c r="S55" s="14" t="str">
        <x:v>未收錄</x:v>
      </x:c>
      <x:c r="T55" s="14" t="str">
        <x:v>25381</x:v>
      </x:c>
      <x:c r="U55" s="14" t="n">
        <x:v>2</x:v>
      </x:c>
      <x:c r="V55" s="14" t="n">
        <x:v>4395</x:v>
      </x:c>
      <x:c r="W55" s="14" t="n">
        <x:v>171</x:v>
      </x:c>
      <x:c r="X55" s="14" t="n">
        <x:v>19</x:v>
      </x:c>
      <x:c r="Y55" s="14" t="n">
        <x:v>3</x:v>
      </x:c>
      <x:c r="Z55" s="14" t="str">
        <x:v>未收錄</x:v>
      </x:c>
      <x:c r="AA55" s="14" t="str">
        <x:v>25145</x:v>
      </x:c>
      <x:c r="AB55" s="14" t="n">
        <x:v>1</x:v>
      </x:c>
      <x:c r="AC55" s="14" t="n">
        <x:v>4396</x:v>
      </x:c>
      <x:c r="AD55" s="14" t="n">
        <x:v>172</x:v>
      </x:c>
      <x:c r="AE55" s="14" t="n">
        <x:v>19</x:v>
      </x:c>
      <x:c r="AF55" s="14" t="n">
        <x:v>4</x:v>
      </x:c>
      <x:c r="AG55" s="14" t="str">
        <x:v>未收錄</x:v>
      </x:c>
    </x:row>
    <x:row r="56" ht="15" customHeight="1">
      <x:c r="A56" s="18" t="str">
        <x:v>火環鋼棍配方</x:v>
      </x:c>
      <x:c r="B56" s="18" t="str">
        <x:v>雷環鋼棍配方</x:v>
      </x:c>
      <x:c r="C56" s="18" t="str">
        <x:v>紫環鋼棍配方</x:v>
      </x:c>
      <x:c r="D56" s="18" t="str">
        <x:v>冰刃鋼斧配方</x:v>
      </x:c>
      <x:c r="E56" s="14"/>
      <x:c r="F56" s="14" t="str">
        <x:v>25146</x:v>
      </x:c>
      <x:c r="G56" s="14" t="n">
        <x:v>1</x:v>
      </x:c>
      <x:c r="H56" s="14" t="n">
        <x:v>4397</x:v>
      </x:c>
      <x:c r="I56" s="14" t="n">
        <x:v>173</x:v>
      </x:c>
      <x:c r="J56" s="14" t="n">
        <x:v>20</x:v>
      </x:c>
      <x:c r="K56" s="14" t="n">
        <x:v>1</x:v>
      </x:c>
      <x:c r="L56" s="14" t="str">
        <x:v>未收錄</x:v>
      </x:c>
      <x:c r="M56" s="14" t="str">
        <x:v>25147</x:v>
      </x:c>
      <x:c r="N56" s="14" t="n">
        <x:v>1</x:v>
      </x:c>
      <x:c r="O56" s="14" t="n">
        <x:v>4398</x:v>
      </x:c>
      <x:c r="P56" s="14" t="n">
        <x:v>174</x:v>
      </x:c>
      <x:c r="Q56" s="14" t="n">
        <x:v>20</x:v>
      </x:c>
      <x:c r="R56" s="14" t="n">
        <x:v>2</x:v>
      </x:c>
      <x:c r="S56" s="14" t="str">
        <x:v>未收錄</x:v>
      </x:c>
      <x:c r="T56" s="14" t="str">
        <x:v>25148</x:v>
      </x:c>
      <x:c r="U56" s="14" t="n">
        <x:v>1</x:v>
      </x:c>
      <x:c r="V56" s="14" t="n">
        <x:v>4399</x:v>
      </x:c>
      <x:c r="W56" s="14" t="n">
        <x:v>175</x:v>
      </x:c>
      <x:c r="X56" s="14" t="n">
        <x:v>20</x:v>
      </x:c>
      <x:c r="Y56" s="14" t="n">
        <x:v>3</x:v>
      </x:c>
      <x:c r="Z56" s="14" t="str">
        <x:v>未收錄</x:v>
      </x:c>
      <x:c r="AA56" s="14" t="str">
        <x:v>25153</x:v>
      </x:c>
      <x:c r="AB56" s="14" t="n">
        <x:v>1</x:v>
      </x:c>
      <x:c r="AC56" s="14" t="n">
        <x:v>4400</x:v>
      </x:c>
      <x:c r="AD56" s="14" t="n">
        <x:v>176</x:v>
      </x:c>
      <x:c r="AE56" s="14" t="n">
        <x:v>20</x:v>
      </x:c>
      <x:c r="AF56" s="14" t="n">
        <x:v>4</x:v>
      </x:c>
      <x:c r="AG56" s="14" t="str">
        <x:v>未收錄</x:v>
      </x:c>
    </x:row>
    <x:row r="57" ht="15" customHeight="1">
      <x:c r="A57" s="17" t="str">
        <x:v>火刃鋼斧配方</x:v>
      </x:c>
      <x:c r="B57" s="17" t="str">
        <x:v>雷刃鋼斧配方</x:v>
      </x:c>
      <x:c r="C57" s="17" t="str">
        <x:v>鬼刃鋼斧配方</x:v>
      </x:c>
      <x:c r="D57" s="17" t="str">
        <x:v>冰石釘錘配方</x:v>
      </x:c>
      <x:c r="E57" s="14"/>
      <x:c r="F57" s="14" t="str">
        <x:v>25154</x:v>
      </x:c>
      <x:c r="G57" s="14" t="n">
        <x:v>1</x:v>
      </x:c>
      <x:c r="H57" s="14" t="n">
        <x:v>4401</x:v>
      </x:c>
      <x:c r="I57" s="14" t="n">
        <x:v>177</x:v>
      </x:c>
      <x:c r="J57" s="14" t="n">
        <x:v>21</x:v>
      </x:c>
      <x:c r="K57" s="14" t="n">
        <x:v>1</x:v>
      </x:c>
      <x:c r="L57" s="14" t="str">
        <x:v>未收錄</x:v>
      </x:c>
      <x:c r="M57" s="14" t="str">
        <x:v>25155</x:v>
      </x:c>
      <x:c r="N57" s="14" t="n">
        <x:v>1</x:v>
      </x:c>
      <x:c r="O57" s="14" t="n">
        <x:v>4402</x:v>
      </x:c>
      <x:c r="P57" s="14" t="n">
        <x:v>178</x:v>
      </x:c>
      <x:c r="Q57" s="14" t="n">
        <x:v>21</x:v>
      </x:c>
      <x:c r="R57" s="14" t="n">
        <x:v>2</x:v>
      </x:c>
      <x:c r="S57" s="14" t="str">
        <x:v>未收錄</x:v>
      </x:c>
      <x:c r="T57" s="14" t="str">
        <x:v>25156</x:v>
      </x:c>
      <x:c r="U57" s="14" t="n">
        <x:v>1</x:v>
      </x:c>
      <x:c r="V57" s="14" t="n">
        <x:v>4403</x:v>
      </x:c>
      <x:c r="W57" s="14" t="n">
        <x:v>179</x:v>
      </x:c>
      <x:c r="X57" s="14" t="n">
        <x:v>21</x:v>
      </x:c>
      <x:c r="Y57" s="14" t="n">
        <x:v>3</x:v>
      </x:c>
      <x:c r="Z57" s="14" t="str">
        <x:v>未收錄</x:v>
      </x:c>
      <x:c r="AA57" s="14" t="str">
        <x:v>25157</x:v>
      </x:c>
      <x:c r="AB57" s="14" t="n">
        <x:v>1</x:v>
      </x:c>
      <x:c r="AC57" s="14" t="n">
        <x:v>4404</x:v>
      </x:c>
      <x:c r="AD57" s="14" t="n">
        <x:v>180</x:v>
      </x:c>
      <x:c r="AE57" s="14" t="n">
        <x:v>21</x:v>
      </x:c>
      <x:c r="AF57" s="14" t="n">
        <x:v>4</x:v>
      </x:c>
      <x:c r="AG57" s="14" t="str">
        <x:v>未收錄</x:v>
      </x:c>
    </x:row>
    <x:row r="58" ht="15" customHeight="1">
      <x:c r="A58" s="18" t="str">
        <x:v>火石釘錘配方</x:v>
      </x:c>
      <x:c r="B58" s="18" t="str">
        <x:v>雷石釘錘配方</x:v>
      </x:c>
      <x:c r="C58" s="18" t="str">
        <x:v>墓石釘錘配方</x:v>
      </x:c>
      <x:c r="D58" s="18" t="str">
        <x:v>穿心釘配方</x:v>
      </x:c>
      <x:c r="E58" s="14"/>
      <x:c r="F58" s="14" t="str">
        <x:v>25158</x:v>
      </x:c>
      <x:c r="G58" s="14" t="n">
        <x:v>1</x:v>
      </x:c>
      <x:c r="H58" s="14" t="n">
        <x:v>4405</x:v>
      </x:c>
      <x:c r="I58" s="14" t="n">
        <x:v>181</x:v>
      </x:c>
      <x:c r="J58" s="14" t="n">
        <x:v>22</x:v>
      </x:c>
      <x:c r="K58" s="14" t="n">
        <x:v>1</x:v>
      </x:c>
      <x:c r="L58" s="14" t="str">
        <x:v>未收錄</x:v>
      </x:c>
      <x:c r="M58" s="14" t="str">
        <x:v>25159</x:v>
      </x:c>
      <x:c r="N58" s="14" t="n">
        <x:v>1</x:v>
      </x:c>
      <x:c r="O58" s="14" t="n">
        <x:v>4406</x:v>
      </x:c>
      <x:c r="P58" s="14" t="n">
        <x:v>182</x:v>
      </x:c>
      <x:c r="Q58" s="14" t="n">
        <x:v>22</x:v>
      </x:c>
      <x:c r="R58" s="14" t="n">
        <x:v>2</x:v>
      </x:c>
      <x:c r="S58" s="14" t="str">
        <x:v>未收錄</x:v>
      </x:c>
      <x:c r="T58" s="14" t="str">
        <x:v>25160</x:v>
      </x:c>
      <x:c r="U58" s="14" t="n">
        <x:v>1</x:v>
      </x:c>
      <x:c r="V58" s="14" t="n">
        <x:v>4407</x:v>
      </x:c>
      <x:c r="W58" s="14" t="n">
        <x:v>183</x:v>
      </x:c>
      <x:c r="X58" s="14" t="n">
        <x:v>22</x:v>
      </x:c>
      <x:c r="Y58" s="14" t="n">
        <x:v>3</x:v>
      </x:c>
      <x:c r="Z58" s="14" t="str">
        <x:v>未收錄</x:v>
      </x:c>
      <x:c r="AA58" s="14" t="str">
        <x:v>25031</x:v>
      </x:c>
      <x:c r="AB58" s="14" t="n">
        <x:v>1</x:v>
      </x:c>
      <x:c r="AC58" s="14" t="n">
        <x:v>4408</x:v>
      </x:c>
      <x:c r="AD58" s="14" t="n">
        <x:v>184</x:v>
      </x:c>
      <x:c r="AE58" s="14" t="n">
        <x:v>22</x:v>
      </x:c>
      <x:c r="AF58" s="14" t="n">
        <x:v>4</x:v>
      </x:c>
      <x:c r="AG58" s="14" t="str">
        <x:v>未收錄</x:v>
      </x:c>
    </x:row>
    <x:row r="59" ht="15" customHeight="1">
      <x:c r="A59" s="17" t="str">
        <x:v>掌心雷配方</x:v>
      </x:c>
      <x:c r="B59" s="17" t="str">
        <x:v>烈火彈配方</x:v>
      </x:c>
      <x:c r="C59" s="17" t="str">
        <x:v>喪屍牙配方</x:v>
      </x:c>
      <x:c r="D59" s="17" t="str">
        <x:v>震天雷配方</x:v>
      </x:c>
      <x:c r="E59" s="14"/>
      <x:c r="F59" s="14" t="str">
        <x:v>25032</x:v>
      </x:c>
      <x:c r="G59" s="14" t="n">
        <x:v>1</x:v>
      </x:c>
      <x:c r="H59" s="14" t="n">
        <x:v>4409</x:v>
      </x:c>
      <x:c r="I59" s="14" t="n">
        <x:v>185</x:v>
      </x:c>
      <x:c r="J59" s="14" t="n">
        <x:v>23</x:v>
      </x:c>
      <x:c r="K59" s="14" t="n">
        <x:v>1</x:v>
      </x:c>
      <x:c r="L59" s="14" t="str">
        <x:v>未收錄</x:v>
      </x:c>
      <x:c r="M59" s="14" t="str">
        <x:v>25033</x:v>
      </x:c>
      <x:c r="N59" s="14" t="n">
        <x:v>1</x:v>
      </x:c>
      <x:c r="O59" s="14" t="n">
        <x:v>4410</x:v>
      </x:c>
      <x:c r="P59" s="14" t="n">
        <x:v>186</x:v>
      </x:c>
      <x:c r="Q59" s="14" t="n">
        <x:v>23</x:v>
      </x:c>
      <x:c r="R59" s="14" t="n">
        <x:v>2</x:v>
      </x:c>
      <x:c r="S59" s="14" t="str">
        <x:v>未收錄</x:v>
      </x:c>
      <x:c r="T59" s="14" t="str">
        <x:v>25169</x:v>
      </x:c>
      <x:c r="U59" s="14" t="n">
        <x:v>1</x:v>
      </x:c>
      <x:c r="V59" s="14" t="n">
        <x:v>4411</x:v>
      </x:c>
      <x:c r="W59" s="14" t="n">
        <x:v>187</x:v>
      </x:c>
      <x:c r="X59" s="14" t="n">
        <x:v>23</x:v>
      </x:c>
      <x:c r="Y59" s="14" t="n">
        <x:v>3</x:v>
      </x:c>
      <x:c r="Z59" s="14" t="str">
        <x:v>未收錄</x:v>
      </x:c>
      <x:c r="AA59" s="14" t="str">
        <x:v>25034</x:v>
      </x:c>
      <x:c r="AB59" s="14" t="n">
        <x:v>2</x:v>
      </x:c>
      <x:c r="AC59" s="14" t="n">
        <x:v>4412</x:v>
      </x:c>
      <x:c r="AD59" s="14" t="n">
        <x:v>188</x:v>
      </x:c>
      <x:c r="AE59" s="14" t="n">
        <x:v>23</x:v>
      </x:c>
      <x:c r="AF59" s="14" t="n">
        <x:v>4</x:v>
      </x:c>
      <x:c r="AG59" s="14" t="str">
        <x:v>未收錄</x:v>
      </x:c>
    </x:row>
    <x:row r="60" ht="15" customHeight="1">
      <x:c r="A60" s="18" t="str">
        <x:v>寒冰箭配方</x:v>
      </x:c>
      <x:c r="B60" s="18" t="str">
        <x:v>巨雷石配方</x:v>
      </x:c>
      <x:c r="C60" s="18" t="str">
        <x:v>鬼屍牙配方</x:v>
      </x:c>
      <x:c r="D60" s="18" t="str">
        <x:v>冰石錐配方</x:v>
      </x:c>
      <x:c r="E60" s="14"/>
      <x:c r="F60" s="14" t="str">
        <x:v>25078</x:v>
      </x:c>
      <x:c r="G60" s="14" t="n">
        <x:v>2</x:v>
      </x:c>
      <x:c r="H60" s="14" t="n">
        <x:v>4413</x:v>
      </x:c>
      <x:c r="I60" s="14" t="n">
        <x:v>189</x:v>
      </x:c>
      <x:c r="J60" s="14" t="n">
        <x:v>24</x:v>
      </x:c>
      <x:c r="K60" s="14" t="n">
        <x:v>1</x:v>
      </x:c>
      <x:c r="L60" s="14" t="str">
        <x:v>未收錄</x:v>
      </x:c>
      <x:c r="M60" s="14" t="str">
        <x:v>25112</x:v>
      </x:c>
      <x:c r="N60" s="14" t="n">
        <x:v>2</x:v>
      </x:c>
      <x:c r="O60" s="14" t="n">
        <x:v>4414</x:v>
      </x:c>
      <x:c r="P60" s="14" t="n">
        <x:v>190</x:v>
      </x:c>
      <x:c r="Q60" s="14" t="n">
        <x:v>24</x:v>
      </x:c>
      <x:c r="R60" s="14" t="n">
        <x:v>2</x:v>
      </x:c>
      <x:c r="S60" s="14" t="str">
        <x:v>未收錄</x:v>
      </x:c>
      <x:c r="T60" s="14" t="str">
        <x:v>25178</x:v>
      </x:c>
      <x:c r="U60" s="14" t="n">
        <x:v>2</x:v>
      </x:c>
      <x:c r="V60" s="14" t="n">
        <x:v>4415</x:v>
      </x:c>
      <x:c r="W60" s="14" t="n">
        <x:v>191</x:v>
      </x:c>
      <x:c r="X60" s="14" t="n">
        <x:v>24</x:v>
      </x:c>
      <x:c r="Y60" s="14" t="n">
        <x:v>3</x:v>
      </x:c>
      <x:c r="Z60" s="14" t="str">
        <x:v>未收錄</x:v>
      </x:c>
      <x:c r="AA60" s="14" t="str">
        <x:v>25181</x:v>
      </x:c>
      <x:c r="AB60" s="14" t="n">
        <x:v>2</x:v>
      </x:c>
      <x:c r="AC60" s="14" t="n">
        <x:v>4416</x:v>
      </x:c>
      <x:c r="AD60" s="14" t="n">
        <x:v>192</x:v>
      </x:c>
      <x:c r="AE60" s="14" t="n">
        <x:v>24</x:v>
      </x:c>
      <x:c r="AF60" s="14" t="n">
        <x:v>4</x:v>
      </x:c>
      <x:c r="AG60" s="14" t="str">
        <x:v>未收錄</x:v>
      </x:c>
    </x:row>
    <x:row r="61">
      <x:c r="A61" s="14"/>
      <x:c r="B61" s="14"/>
      <x:c r="C61" s="14"/>
      <x:c r="D61" s="14"/>
      <x:c r="E61" s="14"/>
      <x:c r="F61" s="14"/>
      <x:c r="G61" s="14"/>
      <x:c r="H61" s="14"/>
      <x:c r="I61" s="14"/>
      <x:c r="J61" s="14"/>
      <x:c r="K61" s="14"/>
      <x:c r="L61" s="14"/>
      <x:c r="M61" s="14"/>
      <x:c r="N61" s="14"/>
      <x:c r="O61" s="14"/>
      <x:c r="P61" s="14"/>
      <x:c r="Q61" s="14"/>
      <x:c r="R61" s="14"/>
      <x:c r="S61" s="14"/>
      <x:c r="T61" s="14"/>
      <x:c r="U61" s="14"/>
      <x:c r="V61" s="14"/>
      <x:c r="W61" s="14"/>
      <x:c r="X61" s="14"/>
      <x:c r="Y61" s="14"/>
      <x:c r="Z61" s="14"/>
      <x:c r="AA61" s="14"/>
      <x:c r="AB61" s="14"/>
      <x:c r="AC61" s="14"/>
      <x:c r="AD61" s="14"/>
      <x:c r="AE61" s="14"/>
      <x:c r="AF61" s="14"/>
      <x:c r="AG61" s="14"/>
    </x:row>
    <x:row r="62" ht="25" customHeight="1">
      <x:c r="A62" s="16" t="str">
        <x:v>配方3　／　96 筆</x:v>
      </x:c>
      <x:c r="B62" s="16"/>
      <x:c r="C62" s="16"/>
      <x:c r="D62" s="16"/>
      <x:c r="E62" s="14"/>
      <x:c r="F62" s="14"/>
      <x:c r="G62" s="14"/>
      <x:c r="H62" s="14"/>
      <x:c r="I62" s="14"/>
      <x:c r="J62" s="14"/>
      <x:c r="K62" s="14"/>
      <x:c r="L62" s="14"/>
      <x:c r="M62" s="14"/>
      <x:c r="N62" s="14"/>
      <x:c r="O62" s="14"/>
      <x:c r="P62" s="14"/>
      <x:c r="Q62" s="14"/>
      <x:c r="R62" s="14"/>
      <x:c r="S62" s="14"/>
      <x:c r="T62" s="14"/>
      <x:c r="U62" s="14"/>
      <x:c r="V62" s="14"/>
      <x:c r="W62" s="14"/>
      <x:c r="X62" s="14"/>
      <x:c r="Y62" s="14"/>
      <x:c r="Z62" s="14"/>
      <x:c r="AA62" s="14"/>
      <x:c r="AB62" s="14"/>
      <x:c r="AC62" s="14"/>
      <x:c r="AD62" s="14"/>
      <x:c r="AE62" s="14"/>
      <x:c r="AF62" s="14"/>
      <x:c r="AG62" s="14"/>
    </x:row>
    <x:row r="63" ht="15" customHeight="1">
      <x:c r="A63" s="17" t="str">
        <x:v>晶殼鏢配方</x:v>
      </x:c>
      <x:c r="B63" s="17" t="str">
        <x:v>火龍彈配方</x:v>
      </x:c>
      <x:c r="C63" s="17" t="str">
        <x:v>迷霧彈配方</x:v>
      </x:c>
      <x:c r="D63" s="17" t="str">
        <x:v>如意袖圈配方</x:v>
      </x:c>
      <x:c r="E63" s="14"/>
      <x:c r="F63" s="14" t="str">
        <x:v>25189</x:v>
      </x:c>
      <x:c r="G63" s="14" t="n">
        <x:v>2</x:v>
      </x:c>
      <x:c r="H63" s="14" t="n">
        <x:v>4417</x:v>
      </x:c>
      <x:c r="I63" s="14" t="n">
        <x:v>193</x:v>
      </x:c>
      <x:c r="J63" s="14" t="n">
        <x:v>1</x:v>
      </x:c>
      <x:c r="K63" s="14" t="n">
        <x:v>1</x:v>
      </x:c>
      <x:c r="L63" s="14" t="str">
        <x:v>未收錄</x:v>
      </x:c>
      <x:c r="M63" s="14" t="str">
        <x:v>25190</x:v>
      </x:c>
      <x:c r="N63" s="14" t="n">
        <x:v>2</x:v>
      </x:c>
      <x:c r="O63" s="14" t="n">
        <x:v>4418</x:v>
      </x:c>
      <x:c r="P63" s="14" t="n">
        <x:v>194</x:v>
      </x:c>
      <x:c r="Q63" s="14" t="n">
        <x:v>1</x:v>
      </x:c>
      <x:c r="R63" s="14" t="n">
        <x:v>2</x:v>
      </x:c>
      <x:c r="S63" s="14" t="str">
        <x:v>未收錄</x:v>
      </x:c>
      <x:c r="T63" s="14" t="str">
        <x:v>25225</x:v>
      </x:c>
      <x:c r="U63" s="14" t="n">
        <x:v>3</x:v>
      </x:c>
      <x:c r="V63" s="14" t="n">
        <x:v>4419</x:v>
      </x:c>
      <x:c r="W63" s="14" t="n">
        <x:v>195</x:v>
      </x:c>
      <x:c r="X63" s="14" t="n">
        <x:v>1</x:v>
      </x:c>
      <x:c r="Y63" s="14" t="n">
        <x:v>3</x:v>
      </x:c>
      <x:c r="Z63" s="14" t="str">
        <x:v>未收錄</x:v>
      </x:c>
      <x:c r="AA63" s="14" t="str">
        <x:v>25215</x:v>
      </x:c>
      <x:c r="AB63" s="14" t="n">
        <x:v>2</x:v>
      </x:c>
      <x:c r="AC63" s="14" t="n">
        <x:v>4420</x:v>
      </x:c>
      <x:c r="AD63" s="14" t="n">
        <x:v>196</x:v>
      </x:c>
      <x:c r="AE63" s="14" t="n">
        <x:v>1</x:v>
      </x:c>
      <x:c r="AF63" s="14" t="n">
        <x:v>4</x:v>
      </x:c>
      <x:c r="AG63" s="14" t="str">
        <x:v>未收錄</x:v>
      </x:c>
    </x:row>
    <x:row r="64" ht="15" customHeight="1">
      <x:c r="A64" s="18" t="str">
        <x:v>彈指神通配方</x:v>
      </x:c>
      <x:c r="B64" s="18" t="str">
        <x:v>七煞天羅配方</x:v>
      </x:c>
      <x:c r="C64" s="18" t="str">
        <x:v>封神針配方</x:v>
      </x:c>
      <x:c r="D64" s="18" t="str">
        <x:v>含沙射影配方</x:v>
      </x:c>
      <x:c r="E64" s="14"/>
      <x:c r="F64" s="14" t="str">
        <x:v>25249</x:v>
      </x:c>
      <x:c r="G64" s="14" t="n">
        <x:v>2</x:v>
      </x:c>
      <x:c r="H64" s="14" t="n">
        <x:v>4421</x:v>
      </x:c>
      <x:c r="I64" s="14" t="n">
        <x:v>197</x:v>
      </x:c>
      <x:c r="J64" s="14" t="n">
        <x:v>2</x:v>
      </x:c>
      <x:c r="K64" s="14" t="n">
        <x:v>1</x:v>
      </x:c>
      <x:c r="L64" s="14" t="str">
        <x:v>未收錄</x:v>
      </x:c>
      <x:c r="M64" s="14" t="str">
        <x:v>25329</x:v>
      </x:c>
      <x:c r="N64" s="14" t="n">
        <x:v>2</x:v>
      </x:c>
      <x:c r="O64" s="14" t="n">
        <x:v>4422</x:v>
      </x:c>
      <x:c r="P64" s="14" t="n">
        <x:v>198</x:v>
      </x:c>
      <x:c r="Q64" s="14" t="n">
        <x:v>2</x:v>
      </x:c>
      <x:c r="R64" s="14" t="n">
        <x:v>2</x:v>
      </x:c>
      <x:c r="S64" s="14" t="str">
        <x:v>未收錄</x:v>
      </x:c>
      <x:c r="T64" s="14" t="str">
        <x:v>25330</x:v>
      </x:c>
      <x:c r="U64" s="14" t="n">
        <x:v>2</x:v>
      </x:c>
      <x:c r="V64" s="14" t="n">
        <x:v>4423</x:v>
      </x:c>
      <x:c r="W64" s="14" t="n">
        <x:v>199</x:v>
      </x:c>
      <x:c r="X64" s="14" t="n">
        <x:v>2</x:v>
      </x:c>
      <x:c r="Y64" s="14" t="n">
        <x:v>3</x:v>
      </x:c>
      <x:c r="Z64" s="14" t="str">
        <x:v>未收錄</x:v>
      </x:c>
      <x:c r="AA64" s="14" t="str">
        <x:v>25331</x:v>
      </x:c>
      <x:c r="AB64" s="14" t="n">
        <x:v>2</x:v>
      </x:c>
      <x:c r="AC64" s="14" t="n">
        <x:v>4424</x:v>
      </x:c>
      <x:c r="AD64" s="14" t="n">
        <x:v>200</x:v>
      </x:c>
      <x:c r="AE64" s="14" t="n">
        <x:v>2</x:v>
      </x:c>
      <x:c r="AF64" s="14" t="n">
        <x:v>4</x:v>
      </x:c>
      <x:c r="AG64" s="14" t="str">
        <x:v>未收錄</x:v>
      </x:c>
    </x:row>
    <x:row r="65" ht="15" customHeight="1">
      <x:c r="A65" s="17" t="str">
        <x:v>暴雨梨花配方</x:v>
      </x:c>
      <x:c r="B65" s="17" t="str">
        <x:v>九轉金蓮配方</x:v>
      </x:c>
      <x:c r="C65" s="17" t="str">
        <x:v>津雪刺配方</x:v>
      </x:c>
      <x:c r="D65" s="17" t="str">
        <x:v>絃葦飛刺配方</x:v>
      </x:c>
      <x:c r="E65" s="14"/>
      <x:c r="F65" s="14" t="str">
        <x:v>25332</x:v>
      </x:c>
      <x:c r="G65" s="14" t="n">
        <x:v>2</x:v>
      </x:c>
      <x:c r="H65" s="14" t="n">
        <x:v>4425</x:v>
      </x:c>
      <x:c r="I65" s="14" t="n">
        <x:v>201</x:v>
      </x:c>
      <x:c r="J65" s="14" t="n">
        <x:v>3</x:v>
      </x:c>
      <x:c r="K65" s="14" t="n">
        <x:v>1</x:v>
      </x:c>
      <x:c r="L65" s="14" t="str">
        <x:v>未收錄</x:v>
      </x:c>
      <x:c r="M65" s="14" t="str">
        <x:v>25333</x:v>
      </x:c>
      <x:c r="N65" s="14" t="n">
        <x:v>2</x:v>
      </x:c>
      <x:c r="O65" s="14" t="n">
        <x:v>4426</x:v>
      </x:c>
      <x:c r="P65" s="14" t="n">
        <x:v>202</x:v>
      </x:c>
      <x:c r="Q65" s="14" t="n">
        <x:v>3</x:v>
      </x:c>
      <x:c r="R65" s="14" t="n">
        <x:v>2</x:v>
      </x:c>
      <x:c r="S65" s="14" t="str">
        <x:v>未收錄</x:v>
      </x:c>
      <x:c r="T65" s="14" t="str">
        <x:v>25334</x:v>
      </x:c>
      <x:c r="U65" s="14" t="n">
        <x:v>2</x:v>
      </x:c>
      <x:c r="V65" s="14" t="n">
        <x:v>4427</x:v>
      </x:c>
      <x:c r="W65" s="14" t="n">
        <x:v>203</x:v>
      </x:c>
      <x:c r="X65" s="14" t="n">
        <x:v>3</x:v>
      </x:c>
      <x:c r="Y65" s="14" t="n">
        <x:v>3</x:v>
      </x:c>
      <x:c r="Z65" s="14" t="str">
        <x:v>未收錄</x:v>
      </x:c>
      <x:c r="AA65" s="14" t="str">
        <x:v>25335</x:v>
      </x:c>
      <x:c r="AB65" s="14" t="n">
        <x:v>2</x:v>
      </x:c>
      <x:c r="AC65" s="14" t="n">
        <x:v>4428</x:v>
      </x:c>
      <x:c r="AD65" s="14" t="n">
        <x:v>204</x:v>
      </x:c>
      <x:c r="AE65" s="14" t="n">
        <x:v>3</x:v>
      </x:c>
      <x:c r="AF65" s="14" t="n">
        <x:v>4</x:v>
      </x:c>
      <x:c r="AG65" s="14" t="str">
        <x:v>未收錄</x:v>
      </x:c>
    </x:row>
    <x:row r="66" ht="15" customHeight="1">
      <x:c r="A66" s="18" t="str">
        <x:v>若越旋配方</x:v>
      </x:c>
      <x:c r="B66" s="18" t="str">
        <x:v>筑刃旋配方</x:v>
      </x:c>
      <x:c r="C66" s="18" t="str">
        <x:v>雀屏針配方</x:v>
      </x:c>
      <x:c r="D66" s="18" t="str">
        <x:v>金瞳雀釵配方</x:v>
      </x:c>
      <x:c r="E66" s="14"/>
      <x:c r="F66" s="14" t="str">
        <x:v>25336</x:v>
      </x:c>
      <x:c r="G66" s="14" t="n">
        <x:v>2</x:v>
      </x:c>
      <x:c r="H66" s="14" t="n">
        <x:v>4429</x:v>
      </x:c>
      <x:c r="I66" s="14" t="n">
        <x:v>205</x:v>
      </x:c>
      <x:c r="J66" s="14" t="n">
        <x:v>4</x:v>
      </x:c>
      <x:c r="K66" s="14" t="n">
        <x:v>1</x:v>
      </x:c>
      <x:c r="L66" s="14" t="str">
        <x:v>未收錄</x:v>
      </x:c>
      <x:c r="M66" s="14" t="str">
        <x:v>25337</x:v>
      </x:c>
      <x:c r="N66" s="14" t="n">
        <x:v>2</x:v>
      </x:c>
      <x:c r="O66" s="14" t="n">
        <x:v>4430</x:v>
      </x:c>
      <x:c r="P66" s="14" t="n">
        <x:v>206</x:v>
      </x:c>
      <x:c r="Q66" s="14" t="n">
        <x:v>4</x:v>
      </x:c>
      <x:c r="R66" s="14" t="n">
        <x:v>2</x:v>
      </x:c>
      <x:c r="S66" s="14" t="str">
        <x:v>未收錄</x:v>
      </x:c>
      <x:c r="T66" s="14" t="str">
        <x:v>25338</x:v>
      </x:c>
      <x:c r="U66" s="14" t="n">
        <x:v>2</x:v>
      </x:c>
      <x:c r="V66" s="14" t="n">
        <x:v>4431</x:v>
      </x:c>
      <x:c r="W66" s="14" t="n">
        <x:v>207</x:v>
      </x:c>
      <x:c r="X66" s="14" t="n">
        <x:v>4</x:v>
      </x:c>
      <x:c r="Y66" s="14" t="n">
        <x:v>3</x:v>
      </x:c>
      <x:c r="Z66" s="14" t="str">
        <x:v>未收錄</x:v>
      </x:c>
      <x:c r="AA66" s="14" t="str">
        <x:v>25339</x:v>
      </x:c>
      <x:c r="AB66" s="14" t="n">
        <x:v>2</x:v>
      </x:c>
      <x:c r="AC66" s="14" t="n">
        <x:v>4432</x:v>
      </x:c>
      <x:c r="AD66" s="14" t="n">
        <x:v>208</x:v>
      </x:c>
      <x:c r="AE66" s="14" t="n">
        <x:v>4</x:v>
      </x:c>
      <x:c r="AF66" s="14" t="n">
        <x:v>4</x:v>
      </x:c>
      <x:c r="AG66" s="14" t="str">
        <x:v>未收錄</x:v>
      </x:c>
    </x:row>
    <x:row r="67" ht="15" customHeight="1">
      <x:c r="A67" s="17" t="str">
        <x:v>飛獨鈷配方</x:v>
      </x:c>
      <x:c r="B67" s="17" t="str">
        <x:v>滅神金杵配方</x:v>
      </x:c>
      <x:c r="C67" s="17" t="str">
        <x:v>山犬帽配方</x:v>
      </x:c>
      <x:c r="D67" s="17" t="str">
        <x:v>惡狼皮帽配方</x:v>
      </x:c>
      <x:c r="E67" s="14"/>
      <x:c r="F67" s="14" t="str">
        <x:v>25340</x:v>
      </x:c>
      <x:c r="G67" s="14" t="n">
        <x:v>2</x:v>
      </x:c>
      <x:c r="H67" s="14" t="n">
        <x:v>4433</x:v>
      </x:c>
      <x:c r="I67" s="14" t="n">
        <x:v>209</x:v>
      </x:c>
      <x:c r="J67" s="14" t="n">
        <x:v>5</x:v>
      </x:c>
      <x:c r="K67" s="14" t="n">
        <x:v>1</x:v>
      </x:c>
      <x:c r="L67" s="14" t="str">
        <x:v>未收錄</x:v>
      </x:c>
      <x:c r="M67" s="14" t="str">
        <x:v>25341</x:v>
      </x:c>
      <x:c r="N67" s="14" t="n">
        <x:v>2</x:v>
      </x:c>
      <x:c r="O67" s="14" t="n">
        <x:v>4434</x:v>
      </x:c>
      <x:c r="P67" s="14" t="n">
        <x:v>210</x:v>
      </x:c>
      <x:c r="Q67" s="14" t="n">
        <x:v>5</x:v>
      </x:c>
      <x:c r="R67" s="14" t="n">
        <x:v>2</x:v>
      </x:c>
      <x:c r="S67" s="14" t="str">
        <x:v>未收錄</x:v>
      </x:c>
      <x:c r="T67" s="14" t="str">
        <x:v>25115</x:v>
      </x:c>
      <x:c r="U67" s="14" t="n">
        <x:v>1</x:v>
      </x:c>
      <x:c r="V67" s="14" t="n">
        <x:v>4435</x:v>
      </x:c>
      <x:c r="W67" s="14" t="n">
        <x:v>211</x:v>
      </x:c>
      <x:c r="X67" s="14" t="n">
        <x:v>5</x:v>
      </x:c>
      <x:c r="Y67" s="14" t="n">
        <x:v>3</x:v>
      </x:c>
      <x:c r="Z67" s="14" t="str">
        <x:v>未收錄</x:v>
      </x:c>
      <x:c r="AA67" s="14" t="str">
        <x:v>25119</x:v>
      </x:c>
      <x:c r="AB67" s="14" t="n">
        <x:v>1</x:v>
      </x:c>
      <x:c r="AC67" s="14" t="n">
        <x:v>4436</x:v>
      </x:c>
      <x:c r="AD67" s="14" t="n">
        <x:v>212</x:v>
      </x:c>
      <x:c r="AE67" s="14" t="n">
        <x:v>5</x:v>
      </x:c>
      <x:c r="AF67" s="14" t="n">
        <x:v>4</x:v>
      </x:c>
      <x:c r="AG67" s="14" t="str">
        <x:v>未收錄</x:v>
      </x:c>
    </x:row>
    <x:row r="68" ht="15" customHeight="1">
      <x:c r="A68" s="18" t="str">
        <x:v>蛛絲僧帽配方</x:v>
      </x:c>
      <x:c r="B68" s="18" t="str">
        <x:v>蛛絲道冠配方</x:v>
      </x:c>
      <x:c r="C68" s="18" t="str">
        <x:v>合金頭箍配方</x:v>
      </x:c>
      <x:c r="D68" s="18" t="str">
        <x:v>靈絲僧帽配方</x:v>
      </x:c>
      <x:c r="E68" s="14"/>
      <x:c r="F68" s="14" t="str">
        <x:v>25022</x:v>
      </x:c>
      <x:c r="G68" s="14" t="n">
        <x:v>1</x:v>
      </x:c>
      <x:c r="H68" s="14" t="n">
        <x:v>4437</x:v>
      </x:c>
      <x:c r="I68" s="14" t="n">
        <x:v>213</x:v>
      </x:c>
      <x:c r="J68" s="14" t="n">
        <x:v>6</x:v>
      </x:c>
      <x:c r="K68" s="14" t="n">
        <x:v>1</x:v>
      </x:c>
      <x:c r="L68" s="14" t="str">
        <x:v>未收錄</x:v>
      </x:c>
      <x:c r="M68" s="14" t="str">
        <x:v>25023</x:v>
      </x:c>
      <x:c r="N68" s="14" t="n">
        <x:v>1</x:v>
      </x:c>
      <x:c r="O68" s="14" t="n">
        <x:v>4438</x:v>
      </x:c>
      <x:c r="P68" s="14" t="n">
        <x:v>214</x:v>
      </x:c>
      <x:c r="Q68" s="14" t="n">
        <x:v>6</x:v>
      </x:c>
      <x:c r="R68" s="14" t="n">
        <x:v>2</x:v>
      </x:c>
      <x:c r="S68" s="14" t="str">
        <x:v>未收錄</x:v>
      </x:c>
      <x:c r="T68" s="14" t="str">
        <x:v>25024</x:v>
      </x:c>
      <x:c r="U68" s="14" t="n">
        <x:v>1</x:v>
      </x:c>
      <x:c r="V68" s="14" t="n">
        <x:v>4439</x:v>
      </x:c>
      <x:c r="W68" s="14" t="n">
        <x:v>215</x:v>
      </x:c>
      <x:c r="X68" s="14" t="n">
        <x:v>6</x:v>
      </x:c>
      <x:c r="Y68" s="14" t="n">
        <x:v>3</x:v>
      </x:c>
      <x:c r="Z68" s="14" t="str">
        <x:v>未收錄</x:v>
      </x:c>
      <x:c r="AA68" s="14" t="str">
        <x:v>25025</x:v>
      </x:c>
      <x:c r="AB68" s="14" t="n">
        <x:v>1</x:v>
      </x:c>
      <x:c r="AC68" s="14" t="n">
        <x:v>4440</x:v>
      </x:c>
      <x:c r="AD68" s="14" t="n">
        <x:v>216</x:v>
      </x:c>
      <x:c r="AE68" s="14" t="n">
        <x:v>6</x:v>
      </x:c>
      <x:c r="AF68" s="14" t="n">
        <x:v>4</x:v>
      </x:c>
      <x:c r="AG68" s="14" t="str">
        <x:v>未收錄</x:v>
      </x:c>
    </x:row>
    <x:row r="69" ht="15" customHeight="1">
      <x:c r="A69" s="17" t="str">
        <x:v>靈絲道冠配方</x:v>
      </x:c>
      <x:c r="B69" s="17" t="str">
        <x:v>天鐵頭箍配方</x:v>
      </x:c>
      <x:c r="C69" s="17" t="str">
        <x:v>銀縷僧帽配方</x:v>
      </x:c>
      <x:c r="D69" s="17" t="str">
        <x:v>銀縷道冠配方</x:v>
      </x:c>
      <x:c r="E69" s="14"/>
      <x:c r="F69" s="14" t="str">
        <x:v>25026</x:v>
      </x:c>
      <x:c r="G69" s="14" t="n">
        <x:v>1</x:v>
      </x:c>
      <x:c r="H69" s="14" t="n">
        <x:v>4441</x:v>
      </x:c>
      <x:c r="I69" s="14" t="n">
        <x:v>217</x:v>
      </x:c>
      <x:c r="J69" s="14" t="n">
        <x:v>7</x:v>
      </x:c>
      <x:c r="K69" s="14" t="n">
        <x:v>1</x:v>
      </x:c>
      <x:c r="L69" s="14" t="str">
        <x:v>未收錄</x:v>
      </x:c>
      <x:c r="M69" s="14" t="str">
        <x:v>25027</x:v>
      </x:c>
      <x:c r="N69" s="14" t="n">
        <x:v>2</x:v>
      </x:c>
      <x:c r="O69" s="14" t="n">
        <x:v>4442</x:v>
      </x:c>
      <x:c r="P69" s="14" t="n">
        <x:v>218</x:v>
      </x:c>
      <x:c r="Q69" s="14" t="n">
        <x:v>7</x:v>
      </x:c>
      <x:c r="R69" s="14" t="n">
        <x:v>2</x:v>
      </x:c>
      <x:c r="S69" s="14" t="str">
        <x:v>未收錄</x:v>
      </x:c>
      <x:c r="T69" s="14" t="str">
        <x:v>25028</x:v>
      </x:c>
      <x:c r="U69" s="14" t="n">
        <x:v>2</x:v>
      </x:c>
      <x:c r="V69" s="14" t="n">
        <x:v>4443</x:v>
      </x:c>
      <x:c r="W69" s="14" t="n">
        <x:v>219</x:v>
      </x:c>
      <x:c r="X69" s="14" t="n">
        <x:v>7</x:v>
      </x:c>
      <x:c r="Y69" s="14" t="n">
        <x:v>3</x:v>
      </x:c>
      <x:c r="Z69" s="14" t="str">
        <x:v>未收錄</x:v>
      </x:c>
      <x:c r="AA69" s="14" t="str">
        <x:v>25029</x:v>
      </x:c>
      <x:c r="AB69" s="14" t="n">
        <x:v>2</x:v>
      </x:c>
      <x:c r="AC69" s="14" t="n">
        <x:v>4444</x:v>
      </x:c>
      <x:c r="AD69" s="14" t="n">
        <x:v>220</x:v>
      </x:c>
      <x:c r="AE69" s="14" t="n">
        <x:v>7</x:v>
      </x:c>
      <x:c r="AF69" s="14" t="n">
        <x:v>4</x:v>
      </x:c>
      <x:c r="AG69" s="14" t="str">
        <x:v>未收錄</x:v>
      </x:c>
    </x:row>
    <x:row r="70" ht="15" customHeight="1">
      <x:c r="A70" s="18" t="str">
        <x:v>怨靈頭箍配方</x:v>
      </x:c>
      <x:c r="B70" s="18" t="str">
        <x:v>怨靈骨盔配方</x:v>
      </x:c>
      <x:c r="C70" s="18" t="str">
        <x:v>天極戰盔配方</x:v>
      </x:c>
      <x:c r="D70" s="18" t="str">
        <x:v>蒼天戰盔配方</x:v>
      </x:c>
      <x:c r="E70" s="14"/>
      <x:c r="F70" s="14" t="str">
        <x:v>25030</x:v>
      </x:c>
      <x:c r="G70" s="14" t="n">
        <x:v>2</x:v>
      </x:c>
      <x:c r="H70" s="14" t="n">
        <x:v>4445</x:v>
      </x:c>
      <x:c r="I70" s="14" t="n">
        <x:v>221</x:v>
      </x:c>
      <x:c r="J70" s="14" t="n">
        <x:v>8</x:v>
      </x:c>
      <x:c r="K70" s="14" t="n">
        <x:v>1</x:v>
      </x:c>
      <x:c r="L70" s="14" t="str">
        <x:v>未收錄</x:v>
      </x:c>
      <x:c r="M70" s="14" t="str">
        <x:v>25003</x:v>
      </x:c>
      <x:c r="N70" s="14" t="n">
        <x:v>2</x:v>
      </x:c>
      <x:c r="O70" s="14" t="n">
        <x:v>4446</x:v>
      </x:c>
      <x:c r="P70" s="14" t="n">
        <x:v>222</x:v>
      </x:c>
      <x:c r="Q70" s="14" t="n">
        <x:v>8</x:v>
      </x:c>
      <x:c r="R70" s="14" t="n">
        <x:v>2</x:v>
      </x:c>
      <x:c r="S70" s="14" t="str">
        <x:v>未收錄</x:v>
      </x:c>
      <x:c r="T70" s="14" t="str">
        <x:v>25272</x:v>
      </x:c>
      <x:c r="U70" s="14" t="n">
        <x:v>3</x:v>
      </x:c>
      <x:c r="V70" s="14" t="n">
        <x:v>4447</x:v>
      </x:c>
      <x:c r="W70" s="14" t="n">
        <x:v>223</x:v>
      </x:c>
      <x:c r="X70" s="14" t="n">
        <x:v>8</x:v>
      </x:c>
      <x:c r="Y70" s="14" t="n">
        <x:v>3</x:v>
      </x:c>
      <x:c r="Z70" s="14" t="str">
        <x:v>未收錄</x:v>
      </x:c>
      <x:c r="AA70" s="14" t="str">
        <x:v>25405</x:v>
      </x:c>
      <x:c r="AB70" s="14" t="n">
        <x:v>3</x:v>
      </x:c>
      <x:c r="AC70" s="14" t="n">
        <x:v>4448</x:v>
      </x:c>
      <x:c r="AD70" s="14" t="n">
        <x:v>224</x:v>
      </x:c>
      <x:c r="AE70" s="14" t="n">
        <x:v>8</x:v>
      </x:c>
      <x:c r="AF70" s="14" t="n">
        <x:v>4</x:v>
      </x:c>
      <x:c r="AG70" s="14" t="str">
        <x:v>未收錄</x:v>
      </x:c>
    </x:row>
    <x:row r="71" ht="15" customHeight="1">
      <x:c r="A71" s="17" t="str">
        <x:v>天宇戰盔配方</x:v>
      </x:c>
      <x:c r="B71" s="17" t="str">
        <x:v>山犬背心配方</x:v>
      </x:c>
      <x:c r="C71" s="17" t="str">
        <x:v>惡狼皮襖配方</x:v>
      </x:c>
      <x:c r="D71" s="17" t="str">
        <x:v>骨甲配方</x:v>
      </x:c>
      <x:c r="E71" s="14"/>
      <x:c r="F71" s="14" t="str">
        <x:v>25434</x:v>
      </x:c>
      <x:c r="G71" s="14" t="n">
        <x:v>3</x:v>
      </x:c>
      <x:c r="H71" s="14" t="n">
        <x:v>4449</x:v>
      </x:c>
      <x:c r="I71" s="14" t="n">
        <x:v>225</x:v>
      </x:c>
      <x:c r="J71" s="14" t="n">
        <x:v>9</x:v>
      </x:c>
      <x:c r="K71" s="14" t="n">
        <x:v>1</x:v>
      </x:c>
      <x:c r="L71" s="14" t="str">
        <x:v>未收錄</x:v>
      </x:c>
      <x:c r="M71" s="14" t="str">
        <x:v>25114</x:v>
      </x:c>
      <x:c r="N71" s="14" t="n">
        <x:v>1</x:v>
      </x:c>
      <x:c r="O71" s="14" t="n">
        <x:v>4450</x:v>
      </x:c>
      <x:c r="P71" s="14" t="n">
        <x:v>226</x:v>
      </x:c>
      <x:c r="Q71" s="14" t="n">
        <x:v>9</x:v>
      </x:c>
      <x:c r="R71" s="14" t="n">
        <x:v>2</x:v>
      </x:c>
      <x:c r="S71" s="14" t="str">
        <x:v>未收錄</x:v>
      </x:c>
      <x:c r="T71" s="14" t="str">
        <x:v>25118</x:v>
      </x:c>
      <x:c r="U71" s="14" t="n">
        <x:v>1</x:v>
      </x:c>
      <x:c r="V71" s="14" t="n">
        <x:v>4451</x:v>
      </x:c>
      <x:c r="W71" s="14" t="n">
        <x:v>227</x:v>
      </x:c>
      <x:c r="X71" s="14" t="n">
        <x:v>9</x:v>
      </x:c>
      <x:c r="Y71" s="14" t="n">
        <x:v>3</x:v>
      </x:c>
      <x:c r="Z71" s="14" t="str">
        <x:v>未收錄</x:v>
      </x:c>
      <x:c r="AA71" s="14" t="str">
        <x:v>25004</x:v>
      </x:c>
      <x:c r="AB71" s="14" t="n">
        <x:v>1</x:v>
      </x:c>
      <x:c r="AC71" s="14" t="n">
        <x:v>4452</x:v>
      </x:c>
      <x:c r="AD71" s="14" t="n">
        <x:v>228</x:v>
      </x:c>
      <x:c r="AE71" s="14" t="n">
        <x:v>9</x:v>
      </x:c>
      <x:c r="AF71" s="14" t="n">
        <x:v>4</x:v>
      </x:c>
      <x:c r="AG71" s="14" t="str">
        <x:v>未收錄</x:v>
      </x:c>
    </x:row>
    <x:row r="72" ht="15" customHeight="1">
      <x:c r="A72" s="18" t="str">
        <x:v>重骨甲配方</x:v>
      </x:c>
      <x:c r="B72" s="18" t="str">
        <x:v>附靈骨甲配方</x:v>
      </x:c>
      <x:c r="C72" s="18" t="str">
        <x:v>蛛絲僧衣配方</x:v>
      </x:c>
      <x:c r="D72" s="18" t="str">
        <x:v>蛛絲道袍配方</x:v>
      </x:c>
      <x:c r="E72" s="14"/>
      <x:c r="F72" s="14" t="str">
        <x:v>25005</x:v>
      </x:c>
      <x:c r="G72" s="14" t="n">
        <x:v>1</x:v>
      </x:c>
      <x:c r="H72" s="14" t="n">
        <x:v>4453</x:v>
      </x:c>
      <x:c r="I72" s="14" t="n">
        <x:v>229</x:v>
      </x:c>
      <x:c r="J72" s="14" t="n">
        <x:v>10</x:v>
      </x:c>
      <x:c r="K72" s="14" t="n">
        <x:v>1</x:v>
      </x:c>
      <x:c r="L72" s="14" t="str">
        <x:v>未收錄</x:v>
      </x:c>
      <x:c r="M72" s="14" t="str">
        <x:v>25006</x:v>
      </x:c>
      <x:c r="N72" s="14" t="n">
        <x:v>1</x:v>
      </x:c>
      <x:c r="O72" s="14" t="n">
        <x:v>4454</x:v>
      </x:c>
      <x:c r="P72" s="14" t="n">
        <x:v>230</x:v>
      </x:c>
      <x:c r="Q72" s="14" t="n">
        <x:v>10</x:v>
      </x:c>
      <x:c r="R72" s="14" t="n">
        <x:v>2</x:v>
      </x:c>
      <x:c r="S72" s="14" t="str">
        <x:v>未收錄</x:v>
      </x:c>
      <x:c r="T72" s="14" t="str">
        <x:v>25016</x:v>
      </x:c>
      <x:c r="U72" s="14" t="n">
        <x:v>1</x:v>
      </x:c>
      <x:c r="V72" s="14" t="n">
        <x:v>4455</x:v>
      </x:c>
      <x:c r="W72" s="14" t="n">
        <x:v>231</x:v>
      </x:c>
      <x:c r="X72" s="14" t="n">
        <x:v>10</x:v>
      </x:c>
      <x:c r="Y72" s="14" t="n">
        <x:v>3</x:v>
      </x:c>
      <x:c r="Z72" s="14" t="str">
        <x:v>未收錄</x:v>
      </x:c>
      <x:c r="AA72" s="14" t="str">
        <x:v>25017</x:v>
      </x:c>
      <x:c r="AB72" s="14" t="n">
        <x:v>1</x:v>
      </x:c>
      <x:c r="AC72" s="14" t="n">
        <x:v>4456</x:v>
      </x:c>
      <x:c r="AD72" s="14" t="n">
        <x:v>232</x:v>
      </x:c>
      <x:c r="AE72" s="14" t="n">
        <x:v>10</x:v>
      </x:c>
      <x:c r="AF72" s="14" t="n">
        <x:v>4</x:v>
      </x:c>
      <x:c r="AG72" s="14" t="str">
        <x:v>未收錄</x:v>
      </x:c>
    </x:row>
    <x:row r="73" ht="15" customHeight="1">
      <x:c r="A73" s="17" t="str">
        <x:v>靈絲禪衣配方</x:v>
      </x:c>
      <x:c r="B73" s="17" t="str">
        <x:v>靈絲道袍配方</x:v>
      </x:c>
      <x:c r="C73" s="17" t="str">
        <x:v>銀縷禪衣配方</x:v>
      </x:c>
      <x:c r="D73" s="17" t="str">
        <x:v>銀縷道袍配方</x:v>
      </x:c>
      <x:c r="E73" s="14"/>
      <x:c r="F73" s="14" t="str">
        <x:v>25018</x:v>
      </x:c>
      <x:c r="G73" s="14" t="n">
        <x:v>1</x:v>
      </x:c>
      <x:c r="H73" s="14" t="n">
        <x:v>4457</x:v>
      </x:c>
      <x:c r="I73" s="14" t="n">
        <x:v>233</x:v>
      </x:c>
      <x:c r="J73" s="14" t="n">
        <x:v>11</x:v>
      </x:c>
      <x:c r="K73" s="14" t="n">
        <x:v>1</x:v>
      </x:c>
      <x:c r="L73" s="14" t="str">
        <x:v>未收錄</x:v>
      </x:c>
      <x:c r="M73" s="14" t="str">
        <x:v>25019</x:v>
      </x:c>
      <x:c r="N73" s="14" t="n">
        <x:v>1</x:v>
      </x:c>
      <x:c r="O73" s="14" t="n">
        <x:v>4458</x:v>
      </x:c>
      <x:c r="P73" s="14" t="n">
        <x:v>234</x:v>
      </x:c>
      <x:c r="Q73" s="14" t="n">
        <x:v>11</x:v>
      </x:c>
      <x:c r="R73" s="14" t="n">
        <x:v>2</x:v>
      </x:c>
      <x:c r="S73" s="14" t="str">
        <x:v>未收錄</x:v>
      </x:c>
      <x:c r="T73" s="14" t="str">
        <x:v>25020</x:v>
      </x:c>
      <x:c r="U73" s="14" t="n">
        <x:v>2</x:v>
      </x:c>
      <x:c r="V73" s="14" t="n">
        <x:v>4459</x:v>
      </x:c>
      <x:c r="W73" s="14" t="n">
        <x:v>235</x:v>
      </x:c>
      <x:c r="X73" s="14" t="n">
        <x:v>11</x:v>
      </x:c>
      <x:c r="Y73" s="14" t="n">
        <x:v>3</x:v>
      </x:c>
      <x:c r="Z73" s="14" t="str">
        <x:v>未收錄</x:v>
      </x:c>
      <x:c r="AA73" s="14" t="str">
        <x:v>25021</x:v>
      </x:c>
      <x:c r="AB73" s="14" t="n">
        <x:v>2</x:v>
      </x:c>
      <x:c r="AC73" s="14" t="n">
        <x:v>4460</x:v>
      </x:c>
      <x:c r="AD73" s="14" t="n">
        <x:v>236</x:v>
      </x:c>
      <x:c r="AE73" s="14" t="n">
        <x:v>11</x:v>
      </x:c>
      <x:c r="AF73" s="14" t="n">
        <x:v>4</x:v>
      </x:c>
      <x:c r="AG73" s="14" t="str">
        <x:v>未收錄</x:v>
      </x:c>
    </x:row>
    <x:row r="74" ht="15" customHeight="1">
      <x:c r="A74" s="18" t="str">
        <x:v>怨靈骨甲配方</x:v>
      </x:c>
      <x:c r="B74" s="18" t="str">
        <x:v>天極羽鎧配方</x:v>
      </x:c>
      <x:c r="C74" s="18" t="str">
        <x:v>蒼天聖衣配方</x:v>
      </x:c>
      <x:c r="D74" s="18" t="str">
        <x:v>天宇聖衣配方</x:v>
      </x:c>
      <x:c r="E74" s="14"/>
      <x:c r="F74" s="14" t="str">
        <x:v>25007</x:v>
      </x:c>
      <x:c r="G74" s="14" t="n">
        <x:v>2</x:v>
      </x:c>
      <x:c r="H74" s="14" t="n">
        <x:v>4461</x:v>
      </x:c>
      <x:c r="I74" s="14" t="n">
        <x:v>237</x:v>
      </x:c>
      <x:c r="J74" s="14" t="n">
        <x:v>12</x:v>
      </x:c>
      <x:c r="K74" s="14" t="n">
        <x:v>1</x:v>
      </x:c>
      <x:c r="L74" s="14" t="str">
        <x:v>未收錄</x:v>
      </x:c>
      <x:c r="M74" s="14" t="str">
        <x:v>25273</x:v>
      </x:c>
      <x:c r="N74" s="14" t="n">
        <x:v>3</x:v>
      </x:c>
      <x:c r="O74" s="14" t="n">
        <x:v>4462</x:v>
      </x:c>
      <x:c r="P74" s="14" t="n">
        <x:v>238</x:v>
      </x:c>
      <x:c r="Q74" s="14" t="n">
        <x:v>12</x:v>
      </x:c>
      <x:c r="R74" s="14" t="n">
        <x:v>2</x:v>
      </x:c>
      <x:c r="S74" s="14" t="str">
        <x:v>未收錄</x:v>
      </x:c>
      <x:c r="T74" s="14" t="str">
        <x:v>25406</x:v>
      </x:c>
      <x:c r="U74" s="14" t="n">
        <x:v>3</x:v>
      </x:c>
      <x:c r="V74" s="14" t="n">
        <x:v>4463</x:v>
      </x:c>
      <x:c r="W74" s="14" t="n">
        <x:v>239</x:v>
      </x:c>
      <x:c r="X74" s="14" t="n">
        <x:v>12</x:v>
      </x:c>
      <x:c r="Y74" s="14" t="n">
        <x:v>3</x:v>
      </x:c>
      <x:c r="Z74" s="14" t="str">
        <x:v>未收錄</x:v>
      </x:c>
      <x:c r="AA74" s="14" t="str">
        <x:v>25435</x:v>
      </x:c>
      <x:c r="AB74" s="14" t="n">
        <x:v>3</x:v>
      </x:c>
      <x:c r="AC74" s="14" t="n">
        <x:v>4464</x:v>
      </x:c>
      <x:c r="AD74" s="14" t="n">
        <x:v>240</x:v>
      </x:c>
      <x:c r="AE74" s="14" t="n">
        <x:v>12</x:v>
      </x:c>
      <x:c r="AF74" s="14" t="n">
        <x:v>4</x:v>
      </x:c>
      <x:c r="AG74" s="14" t="str">
        <x:v>未收錄</x:v>
      </x:c>
    </x:row>
    <x:row r="75" ht="15" customHeight="1">
      <x:c r="A75" s="17" t="str">
        <x:v>山犬綁手配方</x:v>
      </x:c>
      <x:c r="B75" s="17" t="str">
        <x:v>惡狼綁手配方</x:v>
      </x:c>
      <x:c r="C75" s="17" t="str">
        <x:v>骨護腕配方</x:v>
      </x:c>
      <x:c r="D75" s="17" t="str">
        <x:v>重型護腕配方</x:v>
      </x:c>
      <x:c r="E75" s="14"/>
      <x:c r="F75" s="14" t="str">
        <x:v>25116</x:v>
      </x:c>
      <x:c r="G75" s="14" t="n">
        <x:v>1</x:v>
      </x:c>
      <x:c r="H75" s="14" t="n">
        <x:v>4465</x:v>
      </x:c>
      <x:c r="I75" s="14" t="n">
        <x:v>241</x:v>
      </x:c>
      <x:c r="J75" s="14" t="n">
        <x:v>13</x:v>
      </x:c>
      <x:c r="K75" s="14" t="n">
        <x:v>1</x:v>
      </x:c>
      <x:c r="L75" s="14" t="str">
        <x:v>未收錄</x:v>
      </x:c>
      <x:c r="M75" s="14" t="str">
        <x:v>25120</x:v>
      </x:c>
      <x:c r="N75" s="14" t="n">
        <x:v>1</x:v>
      </x:c>
      <x:c r="O75" s="14" t="n">
        <x:v>4466</x:v>
      </x:c>
      <x:c r="P75" s="14" t="n">
        <x:v>242</x:v>
      </x:c>
      <x:c r="Q75" s="14" t="n">
        <x:v>13</x:v>
      </x:c>
      <x:c r="R75" s="14" t="n">
        <x:v>2</x:v>
      </x:c>
      <x:c r="S75" s="14" t="str">
        <x:v>未收錄</x:v>
      </x:c>
      <x:c r="T75" s="14" t="str">
        <x:v>25008</x:v>
      </x:c>
      <x:c r="U75" s="14" t="n">
        <x:v>1</x:v>
      </x:c>
      <x:c r="V75" s="14" t="n">
        <x:v>4467</x:v>
      </x:c>
      <x:c r="W75" s="14" t="n">
        <x:v>243</x:v>
      </x:c>
      <x:c r="X75" s="14" t="n">
        <x:v>13</x:v>
      </x:c>
      <x:c r="Y75" s="14" t="n">
        <x:v>3</x:v>
      </x:c>
      <x:c r="Z75" s="14" t="str">
        <x:v>未收錄</x:v>
      </x:c>
      <x:c r="AA75" s="14" t="str">
        <x:v>25009</x:v>
      </x:c>
      <x:c r="AB75" s="14" t="n">
        <x:v>1</x:v>
      </x:c>
      <x:c r="AC75" s="14" t="n">
        <x:v>4468</x:v>
      </x:c>
      <x:c r="AD75" s="14" t="n">
        <x:v>244</x:v>
      </x:c>
      <x:c r="AE75" s="14" t="n">
        <x:v>13</x:v>
      </x:c>
      <x:c r="AF75" s="14" t="n">
        <x:v>4</x:v>
      </x:c>
      <x:c r="AG75" s="14" t="str">
        <x:v>未收錄</x:v>
      </x:c>
    </x:row>
    <x:row r="76" ht="15" customHeight="1">
      <x:c r="A76" s="18" t="str">
        <x:v>附靈護腕配方</x:v>
      </x:c>
      <x:c r="B76" s="18" t="str">
        <x:v>怨靈護腕配方</x:v>
      </x:c>
      <x:c r="C76" s="18" t="str">
        <x:v>天極護腕配方</x:v>
      </x:c>
      <x:c r="D76" s="18" t="str">
        <x:v>蒼天護腕配方</x:v>
      </x:c>
      <x:c r="E76" s="14"/>
      <x:c r="F76" s="14" t="str">
        <x:v>25010</x:v>
      </x:c>
      <x:c r="G76" s="14" t="n">
        <x:v>1</x:v>
      </x:c>
      <x:c r="H76" s="14" t="n">
        <x:v>4469</x:v>
      </x:c>
      <x:c r="I76" s="14" t="n">
        <x:v>245</x:v>
      </x:c>
      <x:c r="J76" s="14" t="n">
        <x:v>14</x:v>
      </x:c>
      <x:c r="K76" s="14" t="n">
        <x:v>1</x:v>
      </x:c>
      <x:c r="L76" s="14" t="str">
        <x:v>未收錄</x:v>
      </x:c>
      <x:c r="M76" s="14" t="str">
        <x:v>25011</x:v>
      </x:c>
      <x:c r="N76" s="14" t="n">
        <x:v>3</x:v>
      </x:c>
      <x:c r="O76" s="14" t="n">
        <x:v>4470</x:v>
      </x:c>
      <x:c r="P76" s="14" t="n">
        <x:v>246</x:v>
      </x:c>
      <x:c r="Q76" s="14" t="n">
        <x:v>14</x:v>
      </x:c>
      <x:c r="R76" s="14" t="n">
        <x:v>2</x:v>
      </x:c>
      <x:c r="S76" s="14" t="str">
        <x:v>未收錄</x:v>
      </x:c>
      <x:c r="T76" s="14" t="str">
        <x:v>25274</x:v>
      </x:c>
      <x:c r="U76" s="14" t="n">
        <x:v>3</x:v>
      </x:c>
      <x:c r="V76" s="14" t="n">
        <x:v>4471</x:v>
      </x:c>
      <x:c r="W76" s="14" t="n">
        <x:v>247</x:v>
      </x:c>
      <x:c r="X76" s="14" t="n">
        <x:v>14</x:v>
      </x:c>
      <x:c r="Y76" s="14" t="n">
        <x:v>3</x:v>
      </x:c>
      <x:c r="Z76" s="14" t="str">
        <x:v>未收錄</x:v>
      </x:c>
      <x:c r="AA76" s="14" t="str">
        <x:v>25407</x:v>
      </x:c>
      <x:c r="AB76" s="14" t="n">
        <x:v>3</x:v>
      </x:c>
      <x:c r="AC76" s="14" t="n">
        <x:v>4472</x:v>
      </x:c>
      <x:c r="AD76" s="14" t="n">
        <x:v>248</x:v>
      </x:c>
      <x:c r="AE76" s="14" t="n">
        <x:v>14</x:v>
      </x:c>
      <x:c r="AF76" s="14" t="n">
        <x:v>4</x:v>
      </x:c>
      <x:c r="AG76" s="14" t="str">
        <x:v>未收錄</x:v>
      </x:c>
    </x:row>
    <x:row r="77" ht="15" customHeight="1">
      <x:c r="A77" s="17" t="str">
        <x:v>天宇護腕配方</x:v>
      </x:c>
      <x:c r="B77" s="17" t="str">
        <x:v>山犬靴配方</x:v>
      </x:c>
      <x:c r="C77" s="17" t="str">
        <x:v>惡狼皮靴配方</x:v>
      </x:c>
      <x:c r="D77" s="17" t="str">
        <x:v>骨靴配方</x:v>
      </x:c>
      <x:c r="E77" s="14"/>
      <x:c r="F77" s="14" t="str">
        <x:v>25436</x:v>
      </x:c>
      <x:c r="G77" s="14" t="n">
        <x:v>3</x:v>
      </x:c>
      <x:c r="H77" s="14" t="n">
        <x:v>4473</x:v>
      </x:c>
      <x:c r="I77" s="14" t="n">
        <x:v>249</x:v>
      </x:c>
      <x:c r="J77" s="14" t="n">
        <x:v>15</x:v>
      </x:c>
      <x:c r="K77" s="14" t="n">
        <x:v>1</x:v>
      </x:c>
      <x:c r="L77" s="14" t="str">
        <x:v>未收錄</x:v>
      </x:c>
      <x:c r="M77" s="14" t="str">
        <x:v>25117</x:v>
      </x:c>
      <x:c r="N77" s="14" t="n">
        <x:v>1</x:v>
      </x:c>
      <x:c r="O77" s="14" t="n">
        <x:v>4474</x:v>
      </x:c>
      <x:c r="P77" s="14" t="n">
        <x:v>250</x:v>
      </x:c>
      <x:c r="Q77" s="14" t="n">
        <x:v>15</x:v>
      </x:c>
      <x:c r="R77" s="14" t="n">
        <x:v>2</x:v>
      </x:c>
      <x:c r="S77" s="14" t="str">
        <x:v>未收錄</x:v>
      </x:c>
      <x:c r="T77" s="14" t="str">
        <x:v>25121</x:v>
      </x:c>
      <x:c r="U77" s="14" t="n">
        <x:v>1</x:v>
      </x:c>
      <x:c r="V77" s="14" t="n">
        <x:v>4475</x:v>
      </x:c>
      <x:c r="W77" s="14" t="n">
        <x:v>251</x:v>
      </x:c>
      <x:c r="X77" s="14" t="n">
        <x:v>15</x:v>
      </x:c>
      <x:c r="Y77" s="14" t="n">
        <x:v>3</x:v>
      </x:c>
      <x:c r="Z77" s="14" t="str">
        <x:v>未收錄</x:v>
      </x:c>
      <x:c r="AA77" s="14" t="str">
        <x:v>25012</x:v>
      </x:c>
      <x:c r="AB77" s="14" t="n">
        <x:v>1</x:v>
      </x:c>
      <x:c r="AC77" s="14" t="n">
        <x:v>4476</x:v>
      </x:c>
      <x:c r="AD77" s="14" t="n">
        <x:v>252</x:v>
      </x:c>
      <x:c r="AE77" s="14" t="n">
        <x:v>15</x:v>
      </x:c>
      <x:c r="AF77" s="14" t="n">
        <x:v>4</x:v>
      </x:c>
      <x:c r="AG77" s="14" t="str">
        <x:v>未收錄</x:v>
      </x:c>
    </x:row>
    <x:row r="78" ht="15" customHeight="1">
      <x:c r="A78" s="18" t="str">
        <x:v>重骨靴配方</x:v>
      </x:c>
      <x:c r="B78" s="18" t="str">
        <x:v>附靈骨靴配方</x:v>
      </x:c>
      <x:c r="C78" s="18" t="str">
        <x:v>怨靈骨靴配方</x:v>
      </x:c>
      <x:c r="D78" s="18" t="str">
        <x:v>浮雲靴配方</x:v>
      </x:c>
      <x:c r="E78" s="14"/>
      <x:c r="F78" s="14" t="str">
        <x:v>25013</x:v>
      </x:c>
      <x:c r="G78" s="14" t="n">
        <x:v>1</x:v>
      </x:c>
      <x:c r="H78" s="14" t="n">
        <x:v>4477</x:v>
      </x:c>
      <x:c r="I78" s="14" t="n">
        <x:v>253</x:v>
      </x:c>
      <x:c r="J78" s="14" t="n">
        <x:v>16</x:v>
      </x:c>
      <x:c r="K78" s="14" t="n">
        <x:v>1</x:v>
      </x:c>
      <x:c r="L78" s="14" t="str">
        <x:v>未收錄</x:v>
      </x:c>
      <x:c r="M78" s="14" t="str">
        <x:v>25014</x:v>
      </x:c>
      <x:c r="N78" s="14" t="n">
        <x:v>1</x:v>
      </x:c>
      <x:c r="O78" s="14" t="n">
        <x:v>4478</x:v>
      </x:c>
      <x:c r="P78" s="14" t="n">
        <x:v>254</x:v>
      </x:c>
      <x:c r="Q78" s="14" t="n">
        <x:v>16</x:v>
      </x:c>
      <x:c r="R78" s="14" t="n">
        <x:v>2</x:v>
      </x:c>
      <x:c r="S78" s="14" t="str">
        <x:v>未收錄</x:v>
      </x:c>
      <x:c r="T78" s="14" t="str">
        <x:v>25015</x:v>
      </x:c>
      <x:c r="U78" s="14" t="n">
        <x:v>3</x:v>
      </x:c>
      <x:c r="V78" s="14" t="n">
        <x:v>4479</x:v>
      </x:c>
      <x:c r="W78" s="14" t="n">
        <x:v>255</x:v>
      </x:c>
      <x:c r="X78" s="14" t="n">
        <x:v>16</x:v>
      </x:c>
      <x:c r="Y78" s="14" t="n">
        <x:v>3</x:v>
      </x:c>
      <x:c r="Z78" s="14" t="str">
        <x:v>未收錄</x:v>
      </x:c>
      <x:c r="AA78" s="14" t="str">
        <x:v>25079</x:v>
      </x:c>
      <x:c r="AB78" s="14" t="n">
        <x:v>1</x:v>
      </x:c>
      <x:c r="AC78" s="14" t="n">
        <x:v>4480</x:v>
      </x:c>
      <x:c r="AD78" s="14" t="n">
        <x:v>256</x:v>
      </x:c>
      <x:c r="AE78" s="14" t="n">
        <x:v>16</x:v>
      </x:c>
      <x:c r="AF78" s="14" t="n">
        <x:v>4</x:v>
      </x:c>
      <x:c r="AG78" s="14" t="str">
        <x:v>未收錄</x:v>
      </x:c>
    </x:row>
    <x:row r="79" ht="15" customHeight="1">
      <x:c r="A79" s="17" t="str">
        <x:v>力士鞋配方</x:v>
      </x:c>
      <x:c r="B79" s="17" t="str">
        <x:v>乘波鞋配方</x:v>
      </x:c>
      <x:c r="C79" s="17" t="str">
        <x:v>避火鞋配方</x:v>
      </x:c>
      <x:c r="D79" s="17" t="str">
        <x:v>天極戰靴配方</x:v>
      </x:c>
      <x:c r="E79" s="14"/>
      <x:c r="F79" s="14" t="str">
        <x:v>25080</x:v>
      </x:c>
      <x:c r="G79" s="14" t="n">
        <x:v>1</x:v>
      </x:c>
      <x:c r="H79" s="14" t="n">
        <x:v>4481</x:v>
      </x:c>
      <x:c r="I79" s="14" t="n">
        <x:v>257</x:v>
      </x:c>
      <x:c r="J79" s="14" t="n">
        <x:v>17</x:v>
      </x:c>
      <x:c r="K79" s="14" t="n">
        <x:v>1</x:v>
      </x:c>
      <x:c r="L79" s="14" t="str">
        <x:v>未收錄</x:v>
      </x:c>
      <x:c r="M79" s="14" t="str">
        <x:v>25081</x:v>
      </x:c>
      <x:c r="N79" s="14" t="n">
        <x:v>1</x:v>
      </x:c>
      <x:c r="O79" s="14" t="n">
        <x:v>4482</x:v>
      </x:c>
      <x:c r="P79" s="14" t="n">
        <x:v>258</x:v>
      </x:c>
      <x:c r="Q79" s="14" t="n">
        <x:v>17</x:v>
      </x:c>
      <x:c r="R79" s="14" t="n">
        <x:v>2</x:v>
      </x:c>
      <x:c r="S79" s="14" t="str">
        <x:v>未收錄</x:v>
      </x:c>
      <x:c r="T79" s="14" t="str">
        <x:v>25082</x:v>
      </x:c>
      <x:c r="U79" s="14" t="n">
        <x:v>1</x:v>
      </x:c>
      <x:c r="V79" s="14" t="n">
        <x:v>4483</x:v>
      </x:c>
      <x:c r="W79" s="14" t="n">
        <x:v>259</x:v>
      </x:c>
      <x:c r="X79" s="14" t="n">
        <x:v>17</x:v>
      </x:c>
      <x:c r="Y79" s="14" t="n">
        <x:v>3</x:v>
      </x:c>
      <x:c r="Z79" s="14" t="str">
        <x:v>未收錄</x:v>
      </x:c>
      <x:c r="AA79" s="14" t="str">
        <x:v>25275</x:v>
      </x:c>
      <x:c r="AB79" s="14" t="n">
        <x:v>3</x:v>
      </x:c>
      <x:c r="AC79" s="14" t="n">
        <x:v>4484</x:v>
      </x:c>
      <x:c r="AD79" s="14" t="n">
        <x:v>260</x:v>
      </x:c>
      <x:c r="AE79" s="14" t="n">
        <x:v>17</x:v>
      </x:c>
      <x:c r="AF79" s="14" t="n">
        <x:v>4</x:v>
      </x:c>
      <x:c r="AG79" s="14" t="str">
        <x:v>未收錄</x:v>
      </x:c>
    </x:row>
    <x:row r="80" ht="15" customHeight="1">
      <x:c r="A80" s="18" t="str">
        <x:v>蒼天戰靴配方</x:v>
      </x:c>
      <x:c r="B80" s="18" t="str">
        <x:v>天宇戰靴配方</x:v>
      </x:c>
      <x:c r="C80" s="18" t="str">
        <x:v>鐵骨佛珠配方</x:v>
      </x:c>
      <x:c r="D80" s="18" t="str">
        <x:v>大智佛珠配方</x:v>
      </x:c>
      <x:c r="E80" s="14"/>
      <x:c r="F80" s="14" t="str">
        <x:v>25408</x:v>
      </x:c>
      <x:c r="G80" s="14" t="n">
        <x:v>3</x:v>
      </x:c>
      <x:c r="H80" s="14" t="n">
        <x:v>4485</x:v>
      </x:c>
      <x:c r="I80" s="14" t="n">
        <x:v>261</x:v>
      </x:c>
      <x:c r="J80" s="14" t="n">
        <x:v>18</x:v>
      </x:c>
      <x:c r="K80" s="14" t="n">
        <x:v>1</x:v>
      </x:c>
      <x:c r="L80" s="14" t="str">
        <x:v>未收錄</x:v>
      </x:c>
      <x:c r="M80" s="14" t="str">
        <x:v>25437</x:v>
      </x:c>
      <x:c r="N80" s="14" t="n">
        <x:v>3</x:v>
      </x:c>
      <x:c r="O80" s="14" t="n">
        <x:v>4486</x:v>
      </x:c>
      <x:c r="P80" s="14" t="n">
        <x:v>262</x:v>
      </x:c>
      <x:c r="Q80" s="14" t="n">
        <x:v>18</x:v>
      </x:c>
      <x:c r="R80" s="14" t="n">
        <x:v>2</x:v>
      </x:c>
      <x:c r="S80" s="14" t="str">
        <x:v>未收錄</x:v>
      </x:c>
      <x:c r="T80" s="14" t="str">
        <x:v>25091</x:v>
      </x:c>
      <x:c r="U80" s="14" t="n">
        <x:v>1</x:v>
      </x:c>
      <x:c r="V80" s="14" t="n">
        <x:v>4487</x:v>
      </x:c>
      <x:c r="W80" s="14" t="n">
        <x:v>263</x:v>
      </x:c>
      <x:c r="X80" s="14" t="n">
        <x:v>18</x:v>
      </x:c>
      <x:c r="Y80" s="14" t="n">
        <x:v>3</x:v>
      </x:c>
      <x:c r="Z80" s="14" t="str">
        <x:v>未收錄</x:v>
      </x:c>
      <x:c r="AA80" s="14" t="str">
        <x:v>25092</x:v>
      </x:c>
      <x:c r="AB80" s="14" t="n">
        <x:v>1</x:v>
      </x:c>
      <x:c r="AC80" s="14" t="n">
        <x:v>4488</x:v>
      </x:c>
      <x:c r="AD80" s="14" t="n">
        <x:v>264</x:v>
      </x:c>
      <x:c r="AE80" s="14" t="n">
        <x:v>18</x:v>
      </x:c>
      <x:c r="AF80" s="14" t="n">
        <x:v>4</x:v>
      </x:c>
      <x:c r="AG80" s="14" t="str">
        <x:v>未收錄</x:v>
      </x:c>
    </x:row>
    <x:row r="81" ht="15" customHeight="1">
      <x:c r="A81" s="17" t="str">
        <x:v>踩雲佛珠配方</x:v>
      </x:c>
      <x:c r="B81" s="17" t="str">
        <x:v>大力佛珠配方</x:v>
      </x:c>
      <x:c r="C81" s="17" t="str">
        <x:v>避雷護符配方</x:v>
      </x:c>
      <x:c r="D81" s="17" t="str">
        <x:v>融冰護符配方</x:v>
      </x:c>
      <x:c r="E81" s="14"/>
      <x:c r="F81" s="14" t="str">
        <x:v>25093</x:v>
      </x:c>
      <x:c r="G81" s="14" t="n">
        <x:v>1</x:v>
      </x:c>
      <x:c r="H81" s="14" t="n">
        <x:v>4489</x:v>
      </x:c>
      <x:c r="I81" s="14" t="n">
        <x:v>265</x:v>
      </x:c>
      <x:c r="J81" s="14" t="n">
        <x:v>19</x:v>
      </x:c>
      <x:c r="K81" s="14" t="n">
        <x:v>1</x:v>
      </x:c>
      <x:c r="L81" s="14" t="str">
        <x:v>未收錄</x:v>
      </x:c>
      <x:c r="M81" s="14" t="str">
        <x:v>25094</x:v>
      </x:c>
      <x:c r="N81" s="14" t="n">
        <x:v>1</x:v>
      </x:c>
      <x:c r="O81" s="14" t="n">
        <x:v>4490</x:v>
      </x:c>
      <x:c r="P81" s="14" t="n">
        <x:v>266</x:v>
      </x:c>
      <x:c r="Q81" s="14" t="n">
        <x:v>19</x:v>
      </x:c>
      <x:c r="R81" s="14" t="n">
        <x:v>2</x:v>
      </x:c>
      <x:c r="S81" s="14" t="str">
        <x:v>未收錄</x:v>
      </x:c>
      <x:c r="T81" s="14" t="str">
        <x:v>25086</x:v>
      </x:c>
      <x:c r="U81" s="14" t="n">
        <x:v>2</x:v>
      </x:c>
      <x:c r="V81" s="14" t="n">
        <x:v>4491</x:v>
      </x:c>
      <x:c r="W81" s="14" t="n">
        <x:v>267</x:v>
      </x:c>
      <x:c r="X81" s="14" t="n">
        <x:v>19</x:v>
      </x:c>
      <x:c r="Y81" s="14" t="n">
        <x:v>3</x:v>
      </x:c>
      <x:c r="Z81" s="14" t="str">
        <x:v>未收錄</x:v>
      </x:c>
      <x:c r="AA81" s="14" t="str">
        <x:v>25087</x:v>
      </x:c>
      <x:c r="AB81" s="14" t="n">
        <x:v>2</x:v>
      </x:c>
      <x:c r="AC81" s="14" t="n">
        <x:v>4492</x:v>
      </x:c>
      <x:c r="AD81" s="14" t="n">
        <x:v>268</x:v>
      </x:c>
      <x:c r="AE81" s="14" t="n">
        <x:v>19</x:v>
      </x:c>
      <x:c r="AF81" s="14" t="n">
        <x:v>4</x:v>
      </x:c>
      <x:c r="AG81" s="14" t="str">
        <x:v>未收錄</x:v>
      </x:c>
    </x:row>
    <x:row r="82" ht="15" customHeight="1">
      <x:c r="A82" s="18" t="str">
        <x:v>驅魔護符配方</x:v>
      </x:c>
      <x:c r="B82" s="18" t="str">
        <x:v>滅炎護符配方</x:v>
      </x:c>
      <x:c r="C82" s="18" t="str">
        <x:v>四象護符配方</x:v>
      </x:c>
      <x:c r="D82" s="18" t="str">
        <x:v>四王佛珠配方</x:v>
      </x:c>
      <x:c r="E82" s="14"/>
      <x:c r="F82" s="14" t="str">
        <x:v>25089</x:v>
      </x:c>
      <x:c r="G82" s="14" t="n">
        <x:v>2</x:v>
      </x:c>
      <x:c r="H82" s="14" t="n">
        <x:v>4493</x:v>
      </x:c>
      <x:c r="I82" s="14" t="n">
        <x:v>269</x:v>
      </x:c>
      <x:c r="J82" s="14" t="n">
        <x:v>20</x:v>
      </x:c>
      <x:c r="K82" s="14" t="n">
        <x:v>1</x:v>
      </x:c>
      <x:c r="L82" s="14" t="str">
        <x:v>未收錄</x:v>
      </x:c>
      <x:c r="M82" s="14" t="str">
        <x:v>25088</x:v>
      </x:c>
      <x:c r="N82" s="14" t="n">
        <x:v>2</x:v>
      </x:c>
      <x:c r="O82" s="14" t="n">
        <x:v>4494</x:v>
      </x:c>
      <x:c r="P82" s="14" t="n">
        <x:v>270</x:v>
      </x:c>
      <x:c r="Q82" s="14" t="n">
        <x:v>20</x:v>
      </x:c>
      <x:c r="R82" s="14" t="n">
        <x:v>2</x:v>
      </x:c>
      <x:c r="S82" s="14" t="str">
        <x:v>未收錄</x:v>
      </x:c>
      <x:c r="T82" s="14" t="str">
        <x:v>25184</x:v>
      </x:c>
      <x:c r="U82" s="14" t="n">
        <x:v>2</x:v>
      </x:c>
      <x:c r="V82" s="14" t="n">
        <x:v>4495</x:v>
      </x:c>
      <x:c r="W82" s="14" t="n">
        <x:v>271</x:v>
      </x:c>
      <x:c r="X82" s="14" t="n">
        <x:v>20</x:v>
      </x:c>
      <x:c r="Y82" s="14" t="n">
        <x:v>3</x:v>
      </x:c>
      <x:c r="Z82" s="14" t="str">
        <x:v>未收錄</x:v>
      </x:c>
      <x:c r="AA82" s="14" t="str">
        <x:v>25185</x:v>
      </x:c>
      <x:c r="AB82" s="14" t="n">
        <x:v>2</x:v>
      </x:c>
      <x:c r="AC82" s="14" t="n">
        <x:v>4496</x:v>
      </x:c>
      <x:c r="AD82" s="14" t="n">
        <x:v>272</x:v>
      </x:c>
      <x:c r="AE82" s="14" t="n">
        <x:v>20</x:v>
      </x:c>
      <x:c r="AF82" s="14" t="n">
        <x:v>4</x:v>
      </x:c>
      <x:c r="AG82" s="14" t="str">
        <x:v>未收錄</x:v>
      </x:c>
    </x:row>
    <x:row r="83" ht="15" customHeight="1">
      <x:c r="A83" s="17" t="str">
        <x:v>鐵骨加持配方</x:v>
      </x:c>
      <x:c r="B83" s="17" t="str">
        <x:v>大力加持配方</x:v>
      </x:c>
      <x:c r="C83" s="17" t="str">
        <x:v>大智加持配方</x:v>
      </x:c>
      <x:c r="D83" s="17" t="str">
        <x:v>踩雲加持配方</x:v>
      </x:c>
      <x:c r="E83" s="14"/>
      <x:c r="F83" s="14" t="str">
        <x:v>25192</x:v>
      </x:c>
      <x:c r="G83" s="14" t="n">
        <x:v>2</x:v>
      </x:c>
      <x:c r="H83" s="14" t="n">
        <x:v>4497</x:v>
      </x:c>
      <x:c r="I83" s="14" t="n">
        <x:v>273</x:v>
      </x:c>
      <x:c r="J83" s="14" t="n">
        <x:v>21</x:v>
      </x:c>
      <x:c r="K83" s="14" t="n">
        <x:v>1</x:v>
      </x:c>
      <x:c r="L83" s="14" t="str">
        <x:v>未收錄</x:v>
      </x:c>
      <x:c r="M83" s="14" t="str">
        <x:v>25193</x:v>
      </x:c>
      <x:c r="N83" s="14" t="n">
        <x:v>2</x:v>
      </x:c>
      <x:c r="O83" s="14" t="n">
        <x:v>4498</x:v>
      </x:c>
      <x:c r="P83" s="14" t="n">
        <x:v>274</x:v>
      </x:c>
      <x:c r="Q83" s="14" t="n">
        <x:v>21</x:v>
      </x:c>
      <x:c r="R83" s="14" t="n">
        <x:v>2</x:v>
      </x:c>
      <x:c r="S83" s="14" t="str">
        <x:v>未收錄</x:v>
      </x:c>
      <x:c r="T83" s="14" t="str">
        <x:v>25194</x:v>
      </x:c>
      <x:c r="U83" s="14" t="n">
        <x:v>2</x:v>
      </x:c>
      <x:c r="V83" s="14" t="n">
        <x:v>4499</x:v>
      </x:c>
      <x:c r="W83" s="14" t="n">
        <x:v>275</x:v>
      </x:c>
      <x:c r="X83" s="14" t="n">
        <x:v>21</x:v>
      </x:c>
      <x:c r="Y83" s="14" t="n">
        <x:v>3</x:v>
      </x:c>
      <x:c r="Z83" s="14" t="str">
        <x:v>未收錄</x:v>
      </x:c>
      <x:c r="AA83" s="14" t="str">
        <x:v>25195</x:v>
      </x:c>
      <x:c r="AB83" s="14" t="n">
        <x:v>2</x:v>
      </x:c>
      <x:c r="AC83" s="14" t="n">
        <x:v>4500</x:v>
      </x:c>
      <x:c r="AD83" s="14" t="n">
        <x:v>276</x:v>
      </x:c>
      <x:c r="AE83" s="14" t="n">
        <x:v>21</x:v>
      </x:c>
      <x:c r="AF83" s="14" t="n">
        <x:v>4</x:v>
      </x:c>
      <x:c r="AG83" s="14" t="str">
        <x:v>未收錄</x:v>
      </x:c>
    </x:row>
    <x:row r="84" ht="15" customHeight="1">
      <x:c r="A84" s="18" t="str">
        <x:v>八卦護符配方</x:v>
      </x:c>
      <x:c r="B84" s="18" t="str">
        <x:v>八方佛珠配方</x:v>
      </x:c>
      <x:c r="C84" s="18" t="str">
        <x:v>水晶掛鍊配方</x:v>
      </x:c>
      <x:c r="D84" s="18" t="str">
        <x:v>粗製項圈配方</x:v>
      </x:c>
      <x:c r="E84" s="14"/>
      <x:c r="F84" s="14" t="str">
        <x:v>25200</x:v>
      </x:c>
      <x:c r="G84" s="14" t="n">
        <x:v>2</x:v>
      </x:c>
      <x:c r="H84" s="14" t="n">
        <x:v>4501</x:v>
      </x:c>
      <x:c r="I84" s="14" t="n">
        <x:v>277</x:v>
      </x:c>
      <x:c r="J84" s="14" t="n">
        <x:v>22</x:v>
      </x:c>
      <x:c r="K84" s="14" t="n">
        <x:v>1</x:v>
      </x:c>
      <x:c r="L84" s="14" t="str">
        <x:v>未收錄</x:v>
      </x:c>
      <x:c r="M84" s="14" t="str">
        <x:v>25201</x:v>
      </x:c>
      <x:c r="N84" s="14" t="n">
        <x:v>2</x:v>
      </x:c>
      <x:c r="O84" s="14" t="n">
        <x:v>4502</x:v>
      </x:c>
      <x:c r="P84" s="14" t="n">
        <x:v>278</x:v>
      </x:c>
      <x:c r="Q84" s="14" t="n">
        <x:v>22</x:v>
      </x:c>
      <x:c r="R84" s="14" t="n">
        <x:v>2</x:v>
      </x:c>
      <x:c r="S84" s="14" t="str">
        <x:v>未收錄</x:v>
      </x:c>
      <x:c r="T84" s="14" t="str">
        <x:v>25250</x:v>
      </x:c>
      <x:c r="U84" s="14" t="n">
        <x:v>3</x:v>
      </x:c>
      <x:c r="V84" s="14" t="n">
        <x:v>4503</x:v>
      </x:c>
      <x:c r="W84" s="14" t="n">
        <x:v>279</x:v>
      </x:c>
      <x:c r="X84" s="14" t="n">
        <x:v>22</x:v>
      </x:c>
      <x:c r="Y84" s="14" t="n">
        <x:v>3</x:v>
      </x:c>
      <x:c r="Z84" s="14" t="str">
        <x:v>未收錄</x:v>
      </x:c>
      <x:c r="AA84" s="14" t="str">
        <x:v>25251</x:v>
      </x:c>
      <x:c r="AB84" s="14" t="n">
        <x:v>3</x:v>
      </x:c>
      <x:c r="AC84" s="14" t="n">
        <x:v>4504</x:v>
      </x:c>
      <x:c r="AD84" s="14" t="n">
        <x:v>280</x:v>
      </x:c>
      <x:c r="AE84" s="14" t="n">
        <x:v>22</x:v>
      </x:c>
      <x:c r="AF84" s="14" t="n">
        <x:v>4</x:v>
      </x:c>
      <x:c r="AG84" s="14" t="str">
        <x:v>未收錄</x:v>
      </x:c>
    </x:row>
    <x:row r="85" ht="15" customHeight="1">
      <x:c r="A85" s="17" t="str">
        <x:v>普通項圈配方</x:v>
      </x:c>
      <x:c r="B85" s="17" t="str">
        <x:v>加工項圈配方</x:v>
      </x:c>
      <x:c r="C85" s="17" t="str">
        <x:v>精緻項圈配方</x:v>
      </x:c>
      <x:c r="D85" s="17" t="str">
        <x:v>高級項圈配方</x:v>
      </x:c>
      <x:c r="E85" s="14"/>
      <x:c r="F85" s="14" t="str">
        <x:v>25252</x:v>
      </x:c>
      <x:c r="G85" s="14" t="n">
        <x:v>3</x:v>
      </x:c>
      <x:c r="H85" s="14" t="n">
        <x:v>4505</x:v>
      </x:c>
      <x:c r="I85" s="14" t="n">
        <x:v>281</x:v>
      </x:c>
      <x:c r="J85" s="14" t="n">
        <x:v>23</x:v>
      </x:c>
      <x:c r="K85" s="14" t="n">
        <x:v>1</x:v>
      </x:c>
      <x:c r="L85" s="14" t="str">
        <x:v>未收錄</x:v>
      </x:c>
      <x:c r="M85" s="14" t="str">
        <x:v>25253</x:v>
      </x:c>
      <x:c r="N85" s="14" t="n">
        <x:v>3</x:v>
      </x:c>
      <x:c r="O85" s="14" t="n">
        <x:v>4506</x:v>
      </x:c>
      <x:c r="P85" s="14" t="n">
        <x:v>282</x:v>
      </x:c>
      <x:c r="Q85" s="14" t="n">
        <x:v>23</x:v>
      </x:c>
      <x:c r="R85" s="14" t="n">
        <x:v>2</x:v>
      </x:c>
      <x:c r="S85" s="14" t="str">
        <x:v>未收錄</x:v>
      </x:c>
      <x:c r="T85" s="14" t="str">
        <x:v>25254</x:v>
      </x:c>
      <x:c r="U85" s="14" t="n">
        <x:v>3</x:v>
      </x:c>
      <x:c r="V85" s="14" t="n">
        <x:v>4507</x:v>
      </x:c>
      <x:c r="W85" s="14" t="n">
        <x:v>283</x:v>
      </x:c>
      <x:c r="X85" s="14" t="n">
        <x:v>23</x:v>
      </x:c>
      <x:c r="Y85" s="14" t="n">
        <x:v>3</x:v>
      </x:c>
      <x:c r="Z85" s="14" t="str">
        <x:v>未收錄</x:v>
      </x:c>
      <x:c r="AA85" s="14" t="str">
        <x:v>25255</x:v>
      </x:c>
      <x:c r="AB85" s="14" t="n">
        <x:v>3</x:v>
      </x:c>
      <x:c r="AC85" s="14" t="n">
        <x:v>4508</x:v>
      </x:c>
      <x:c r="AD85" s="14" t="n">
        <x:v>284</x:v>
      </x:c>
      <x:c r="AE85" s="14" t="n">
        <x:v>23</x:v>
      </x:c>
      <x:c r="AF85" s="14" t="n">
        <x:v>4</x:v>
      </x:c>
      <x:c r="AG85" s="14" t="str">
        <x:v>未收錄</x:v>
      </x:c>
    </x:row>
    <x:row r="86" ht="15" customHeight="1">
      <x:c r="A86" s="18" t="str">
        <x:v>特級項圈配方</x:v>
      </x:c>
      <x:c r="B86" s="18" t="str">
        <x:v>金剛項圈配方</x:v>
      </x:c>
      <x:c r="C86" s="18" t="str">
        <x:v>智者聖甲配方</x:v>
      </x:c>
      <x:c r="D86" s="18" t="str">
        <x:v>仁者聖甲配方</x:v>
      </x:c>
      <x:c r="E86" s="14"/>
      <x:c r="F86" s="14" t="str">
        <x:v>25256</x:v>
      </x:c>
      <x:c r="G86" s="14" t="n">
        <x:v>3</x:v>
      </x:c>
      <x:c r="H86" s="14" t="n">
        <x:v>4509</x:v>
      </x:c>
      <x:c r="I86" s="14" t="n">
        <x:v>285</x:v>
      </x:c>
      <x:c r="J86" s="14" t="n">
        <x:v>24</x:v>
      </x:c>
      <x:c r="K86" s="14" t="n">
        <x:v>1</x:v>
      </x:c>
      <x:c r="L86" s="14" t="str">
        <x:v>未收錄</x:v>
      </x:c>
      <x:c r="M86" s="14" t="str">
        <x:v>25268</x:v>
      </x:c>
      <x:c r="N86" s="14" t="n">
        <x:v>5</x:v>
      </x:c>
      <x:c r="O86" s="14" t="n">
        <x:v>4510</x:v>
      </x:c>
      <x:c r="P86" s="14" t="n">
        <x:v>286</x:v>
      </x:c>
      <x:c r="Q86" s="14" t="n">
        <x:v>24</x:v>
      </x:c>
      <x:c r="R86" s="14" t="n">
        <x:v>2</x:v>
      </x:c>
      <x:c r="S86" s="14" t="str">
        <x:v>未收錄</x:v>
      </x:c>
      <x:c r="T86" s="14" t="str">
        <x:v>25388</x:v>
      </x:c>
      <x:c r="U86" s="14" t="n">
        <x:v>3</x:v>
      </x:c>
      <x:c r="V86" s="14" t="n">
        <x:v>4511</x:v>
      </x:c>
      <x:c r="W86" s="14" t="n">
        <x:v>287</x:v>
      </x:c>
      <x:c r="X86" s="14" t="n">
        <x:v>24</x:v>
      </x:c>
      <x:c r="Y86" s="14" t="n">
        <x:v>3</x:v>
      </x:c>
      <x:c r="Z86" s="14" t="str">
        <x:v>未收錄</x:v>
      </x:c>
      <x:c r="AA86" s="14" t="str">
        <x:v>25389</x:v>
      </x:c>
      <x:c r="AB86" s="14" t="n">
        <x:v>3</x:v>
      </x:c>
      <x:c r="AC86" s="14" t="n">
        <x:v>4512</x:v>
      </x:c>
      <x:c r="AD86" s="14" t="n">
        <x:v>288</x:v>
      </x:c>
      <x:c r="AE86" s="14" t="n">
        <x:v>24</x:v>
      </x:c>
      <x:c r="AF86" s="14" t="n">
        <x:v>4</x:v>
      </x:c>
      <x:c r="AG86" s="14" t="str">
        <x:v>未收錄</x:v>
      </x:c>
    </x:row>
    <x:row r="87">
      <x:c r="A87" s="14"/>
      <x:c r="B87" s="14"/>
      <x:c r="C87" s="14"/>
      <x:c r="D87" s="14"/>
      <x:c r="E87" s="14"/>
      <x:c r="F87" s="14"/>
      <x:c r="G87" s="14"/>
      <x:c r="H87" s="14"/>
      <x:c r="I87" s="14"/>
      <x:c r="J87" s="14"/>
      <x:c r="K87" s="14"/>
      <x:c r="L87" s="14"/>
      <x:c r="M87" s="14"/>
      <x:c r="N87" s="14"/>
      <x:c r="O87" s="14"/>
      <x:c r="P87" s="14"/>
      <x:c r="Q87" s="14"/>
      <x:c r="R87" s="14"/>
      <x:c r="S87" s="14"/>
      <x:c r="T87" s="14"/>
      <x:c r="U87" s="14"/>
      <x:c r="V87" s="14"/>
      <x:c r="W87" s="14"/>
      <x:c r="X87" s="14"/>
      <x:c r="Y87" s="14"/>
      <x:c r="Z87" s="14"/>
      <x:c r="AA87" s="14"/>
      <x:c r="AB87" s="14"/>
      <x:c r="AC87" s="14"/>
      <x:c r="AD87" s="14"/>
      <x:c r="AE87" s="14"/>
      <x:c r="AF87" s="14"/>
      <x:c r="AG87" s="14"/>
    </x:row>
    <x:row r="88" ht="25" customHeight="1">
      <x:c r="A88" s="16" t="str">
        <x:v>配方4　／　96 筆</x:v>
      </x:c>
      <x:c r="B88" s="16"/>
      <x:c r="C88" s="16"/>
      <x:c r="D88" s="16"/>
      <x:c r="E88" s="14"/>
      <x:c r="F88" s="14"/>
      <x:c r="G88" s="14"/>
      <x:c r="H88" s="14"/>
      <x:c r="I88" s="14"/>
      <x:c r="J88" s="14"/>
      <x:c r="K88" s="14"/>
      <x:c r="L88" s="14"/>
      <x:c r="M88" s="14"/>
      <x:c r="N88" s="14"/>
      <x:c r="O88" s="14"/>
      <x:c r="P88" s="14"/>
      <x:c r="Q88" s="14"/>
      <x:c r="R88" s="14"/>
      <x:c r="S88" s="14"/>
      <x:c r="T88" s="14"/>
      <x:c r="U88" s="14"/>
      <x:c r="V88" s="14"/>
      <x:c r="W88" s="14"/>
      <x:c r="X88" s="14"/>
      <x:c r="Y88" s="14"/>
      <x:c r="Z88" s="14"/>
      <x:c r="AA88" s="14"/>
      <x:c r="AB88" s="14"/>
      <x:c r="AC88" s="14"/>
      <x:c r="AD88" s="14"/>
      <x:c r="AE88" s="14"/>
      <x:c r="AF88" s="14"/>
      <x:c r="AG88" s="14"/>
    </x:row>
    <x:row r="89" ht="15" customHeight="1">
      <x:c r="A89" s="17" t="str">
        <x:v>勇者聖甲配方</x:v>
      </x:c>
      <x:c r="B89" s="17" t="str">
        <x:v>真智聖甲配方</x:v>
      </x:c>
      <x:c r="C89" s="17" t="str">
        <x:v>真仁聖甲配方</x:v>
      </x:c>
      <x:c r="D89" s="17" t="str">
        <x:v>真勇聖甲配方</x:v>
      </x:c>
      <x:c r="E89" s="14"/>
      <x:c r="F89" s="14" t="str">
        <x:v>25390</x:v>
      </x:c>
      <x:c r="G89" s="14" t="n">
        <x:v>3</x:v>
      </x:c>
      <x:c r="H89" s="14" t="n">
        <x:v>4513</x:v>
      </x:c>
      <x:c r="I89" s="14" t="n">
        <x:v>289</x:v>
      </x:c>
      <x:c r="J89" s="14" t="n">
        <x:v>1</x:v>
      </x:c>
      <x:c r="K89" s="14" t="n">
        <x:v>1</x:v>
      </x:c>
      <x:c r="L89" s="14" t="str">
        <x:v>未收錄</x:v>
      </x:c>
      <x:c r="M89" s="14" t="str">
        <x:v>25290</x:v>
      </x:c>
      <x:c r="N89" s="14" t="n">
        <x:v>3</x:v>
      </x:c>
      <x:c r="O89" s="14" t="n">
        <x:v>4514</x:v>
      </x:c>
      <x:c r="P89" s="14" t="n">
        <x:v>290</x:v>
      </x:c>
      <x:c r="Q89" s="14" t="n">
        <x:v>1</x:v>
      </x:c>
      <x:c r="R89" s="14" t="n">
        <x:v>2</x:v>
      </x:c>
      <x:c r="S89" s="14" t="str">
        <x:v>未收錄</x:v>
      </x:c>
      <x:c r="T89" s="14" t="str">
        <x:v>25291</x:v>
      </x:c>
      <x:c r="U89" s="14" t="n">
        <x:v>3</x:v>
      </x:c>
      <x:c r="V89" s="14" t="n">
        <x:v>4515</x:v>
      </x:c>
      <x:c r="W89" s="14" t="n">
        <x:v>291</x:v>
      </x:c>
      <x:c r="X89" s="14" t="n">
        <x:v>1</x:v>
      </x:c>
      <x:c r="Y89" s="14" t="n">
        <x:v>3</x:v>
      </x:c>
      <x:c r="Z89" s="14" t="str">
        <x:v>未收錄</x:v>
      </x:c>
      <x:c r="AA89" s="14" t="str">
        <x:v>25292</x:v>
      </x:c>
      <x:c r="AB89" s="14" t="n">
        <x:v>3</x:v>
      </x:c>
      <x:c r="AC89" s="14" t="n">
        <x:v>4516</x:v>
      </x:c>
      <x:c r="AD89" s="14" t="n">
        <x:v>292</x:v>
      </x:c>
      <x:c r="AE89" s="14" t="n">
        <x:v>1</x:v>
      </x:c>
      <x:c r="AF89" s="14" t="n">
        <x:v>4</x:v>
      </x:c>
      <x:c r="AG89" s="14" t="str">
        <x:v>未收錄</x:v>
      </x:c>
    </x:row>
    <x:row r="90" ht="15" customHeight="1">
      <x:c r="A90" s="18" t="str">
        <x:v>超智聖甲配方</x:v>
      </x:c>
      <x:c r="B90" s="18" t="str">
        <x:v>超仁聖甲配方</x:v>
      </x:c>
      <x:c r="C90" s="18" t="str">
        <x:v>超勇聖甲配方</x:v>
      </x:c>
      <x:c r="D90" s="18" t="str">
        <x:v>極智聖甲配方</x:v>
      </x:c>
      <x:c r="E90" s="14"/>
      <x:c r="F90" s="14" t="str">
        <x:v>25411</x:v>
      </x:c>
      <x:c r="G90" s="14" t="n">
        <x:v>3</x:v>
      </x:c>
      <x:c r="H90" s="14" t="n">
        <x:v>4517</x:v>
      </x:c>
      <x:c r="I90" s="14" t="n">
        <x:v>293</x:v>
      </x:c>
      <x:c r="J90" s="14" t="n">
        <x:v>2</x:v>
      </x:c>
      <x:c r="K90" s="14" t="n">
        <x:v>1</x:v>
      </x:c>
      <x:c r="L90" s="14" t="str">
        <x:v>未收錄</x:v>
      </x:c>
      <x:c r="M90" s="14" t="str">
        <x:v>25412</x:v>
      </x:c>
      <x:c r="N90" s="14" t="n">
        <x:v>3</x:v>
      </x:c>
      <x:c r="O90" s="14" t="n">
        <x:v>4518</x:v>
      </x:c>
      <x:c r="P90" s="14" t="n">
        <x:v>294</x:v>
      </x:c>
      <x:c r="Q90" s="14" t="n">
        <x:v>2</x:v>
      </x:c>
      <x:c r="R90" s="14" t="n">
        <x:v>2</x:v>
      </x:c>
      <x:c r="S90" s="14" t="str">
        <x:v>未收錄</x:v>
      </x:c>
      <x:c r="T90" s="14" t="str">
        <x:v>25413</x:v>
      </x:c>
      <x:c r="U90" s="14" t="n">
        <x:v>3</x:v>
      </x:c>
      <x:c r="V90" s="14" t="n">
        <x:v>4519</x:v>
      </x:c>
      <x:c r="W90" s="14" t="n">
        <x:v>295</x:v>
      </x:c>
      <x:c r="X90" s="14" t="n">
        <x:v>2</x:v>
      </x:c>
      <x:c r="Y90" s="14" t="n">
        <x:v>3</x:v>
      </x:c>
      <x:c r="Z90" s="14" t="str">
        <x:v>未收錄</x:v>
      </x:c>
      <x:c r="AA90" s="14" t="str">
        <x:v>25452</x:v>
      </x:c>
      <x:c r="AB90" s="14" t="n">
        <x:v>3</x:v>
      </x:c>
      <x:c r="AC90" s="14" t="n">
        <x:v>4520</x:v>
      </x:c>
      <x:c r="AD90" s="14" t="n">
        <x:v>296</x:v>
      </x:c>
      <x:c r="AE90" s="14" t="n">
        <x:v>2</x:v>
      </x:c>
      <x:c r="AF90" s="14" t="n">
        <x:v>4</x:v>
      </x:c>
      <x:c r="AG90" s="14" t="str">
        <x:v>未收錄</x:v>
      </x:c>
    </x:row>
    <x:row r="91" ht="15" customHeight="1">
      <x:c r="A91" s="17" t="str">
        <x:v>極仁聖甲配方</x:v>
      </x:c>
      <x:c r="B91" s="17" t="str">
        <x:v>極勇聖甲配方</x:v>
      </x:c>
      <x:c r="C91" s="17" t="str">
        <x:v>絕智聖甲配方</x:v>
      </x:c>
      <x:c r="D91" s="17" t="str">
        <x:v>絕仁聖甲配方</x:v>
      </x:c>
      <x:c r="E91" s="14"/>
      <x:c r="F91" s="14" t="str">
        <x:v>25453</x:v>
      </x:c>
      <x:c r="G91" s="14" t="n">
        <x:v>3</x:v>
      </x:c>
      <x:c r="H91" s="14" t="n">
        <x:v>4521</x:v>
      </x:c>
      <x:c r="I91" s="14" t="n">
        <x:v>297</x:v>
      </x:c>
      <x:c r="J91" s="14" t="n">
        <x:v>3</x:v>
      </x:c>
      <x:c r="K91" s="14" t="n">
        <x:v>1</x:v>
      </x:c>
      <x:c r="L91" s="14" t="str">
        <x:v>未收錄</x:v>
      </x:c>
      <x:c r="M91" s="14" t="str">
        <x:v>25454</x:v>
      </x:c>
      <x:c r="N91" s="14" t="n">
        <x:v>3</x:v>
      </x:c>
      <x:c r="O91" s="14" t="n">
        <x:v>4522</x:v>
      </x:c>
      <x:c r="P91" s="14" t="n">
        <x:v>298</x:v>
      </x:c>
      <x:c r="Q91" s="14" t="n">
        <x:v>3</x:v>
      </x:c>
      <x:c r="R91" s="14" t="n">
        <x:v>2</x:v>
      </x:c>
      <x:c r="S91" s="14" t="str">
        <x:v>未收錄</x:v>
      </x:c>
      <x:c r="T91" s="14" t="str">
        <x:v>25470</x:v>
      </x:c>
      <x:c r="U91" s="14" t="n">
        <x:v>3</x:v>
      </x:c>
      <x:c r="V91" s="14" t="n">
        <x:v>4523</x:v>
      </x:c>
      <x:c r="W91" s="14" t="n">
        <x:v>299</x:v>
      </x:c>
      <x:c r="X91" s="14" t="n">
        <x:v>3</x:v>
      </x:c>
      <x:c r="Y91" s="14" t="n">
        <x:v>3</x:v>
      </x:c>
      <x:c r="Z91" s="14" t="str">
        <x:v>未收錄</x:v>
      </x:c>
      <x:c r="AA91" s="14" t="str">
        <x:v>25471</x:v>
      </x:c>
      <x:c r="AB91" s="14" t="n">
        <x:v>3</x:v>
      </x:c>
      <x:c r="AC91" s="14" t="n">
        <x:v>4524</x:v>
      </x:c>
      <x:c r="AD91" s="14" t="n">
        <x:v>300</x:v>
      </x:c>
      <x:c r="AE91" s="14" t="n">
        <x:v>3</x:v>
      </x:c>
      <x:c r="AF91" s="14" t="n">
        <x:v>4</x:v>
      </x:c>
      <x:c r="AG91" s="14" t="str">
        <x:v>未收錄</x:v>
      </x:c>
    </x:row>
    <x:row r="92" ht="15" customHeight="1">
      <x:c r="A92" s="18" t="str">
        <x:v>絕勇聖甲配方</x:v>
      </x:c>
      <x:c r="B92" s="18" t="str">
        <x:v>兵器還元配方</x:v>
      </x:c>
      <x:c r="C92" s="18" t="str">
        <x:v>護甲還元配方</x:v>
      </x:c>
      <x:c r="D92" s="18" t="str">
        <x:v>兵器歸元配方</x:v>
      </x:c>
      <x:c r="E92" s="14"/>
      <x:c r="F92" s="14" t="str">
        <x:v>25472</x:v>
      </x:c>
      <x:c r="G92" s="14" t="n">
        <x:v>3</x:v>
      </x:c>
      <x:c r="H92" s="14" t="n">
        <x:v>4525</x:v>
      </x:c>
      <x:c r="I92" s="14" t="n">
        <x:v>301</x:v>
      </x:c>
      <x:c r="J92" s="14" t="n">
        <x:v>4</x:v>
      </x:c>
      <x:c r="K92" s="14" t="n">
        <x:v>1</x:v>
      </x:c>
      <x:c r="L92" s="14" t="str">
        <x:v>未收錄</x:v>
      </x:c>
      <x:c r="M92" s="14" t="str">
        <x:v>25293</x:v>
      </x:c>
      <x:c r="N92" s="14" t="n">
        <x:v>2</x:v>
      </x:c>
      <x:c r="O92" s="14" t="n">
        <x:v>4526</x:v>
      </x:c>
      <x:c r="P92" s="14" t="n">
        <x:v>302</x:v>
      </x:c>
      <x:c r="Q92" s="14" t="n">
        <x:v>4</x:v>
      </x:c>
      <x:c r="R92" s="14" t="n">
        <x:v>2</x:v>
      </x:c>
      <x:c r="S92" s="14" t="str">
        <x:v>未收錄</x:v>
      </x:c>
      <x:c r="T92" s="14" t="str">
        <x:v>25294</x:v>
      </x:c>
      <x:c r="U92" s="14" t="n">
        <x:v>2</x:v>
      </x:c>
      <x:c r="V92" s="14" t="n">
        <x:v>4527</x:v>
      </x:c>
      <x:c r="W92" s="14" t="n">
        <x:v>303</x:v>
      </x:c>
      <x:c r="X92" s="14" t="n">
        <x:v>4</x:v>
      </x:c>
      <x:c r="Y92" s="14" t="n">
        <x:v>3</x:v>
      </x:c>
      <x:c r="Z92" s="14" t="str">
        <x:v>未收錄</x:v>
      </x:c>
      <x:c r="AA92" s="14" t="str">
        <x:v>25295</x:v>
      </x:c>
      <x:c r="AB92" s="14" t="n">
        <x:v>3</x:v>
      </x:c>
      <x:c r="AC92" s="14" t="n">
        <x:v>4528</x:v>
      </x:c>
      <x:c r="AD92" s="14" t="n">
        <x:v>304</x:v>
      </x:c>
      <x:c r="AE92" s="14" t="n">
        <x:v>4</x:v>
      </x:c>
      <x:c r="AF92" s="14" t="n">
        <x:v>4</x:v>
      </x:c>
      <x:c r="AG92" s="14" t="str">
        <x:v>未收錄</x:v>
      </x:c>
    </x:row>
    <x:row r="93" ht="15" customHeight="1">
      <x:c r="A93" s="17" t="str">
        <x:v>護甲歸元配方</x:v>
      </x:c>
      <x:c r="B93" s="17" t="str">
        <x:v>加持鎧甲配方</x:v>
      </x:c>
      <x:c r="C93" s="17" t="str">
        <x:v>加持頭盔配方</x:v>
      </x:c>
      <x:c r="D93" s="17" t="str">
        <x:v>加持護腕配方</x:v>
      </x:c>
      <x:c r="E93" s="14"/>
      <x:c r="F93" s="14" t="str">
        <x:v>25296</x:v>
      </x:c>
      <x:c r="G93" s="14" t="n">
        <x:v>3</x:v>
      </x:c>
      <x:c r="H93" s="14" t="n">
        <x:v>4529</x:v>
      </x:c>
      <x:c r="I93" s="14" t="n">
        <x:v>305</x:v>
      </x:c>
      <x:c r="J93" s="14" t="n">
        <x:v>5</x:v>
      </x:c>
      <x:c r="K93" s="14" t="n">
        <x:v>1</x:v>
      </x:c>
      <x:c r="L93" s="14" t="str">
        <x:v>未收錄</x:v>
      </x:c>
      <x:c r="M93" s="14" t="str">
        <x:v>25038</x:v>
      </x:c>
      <x:c r="N93" s="14" t="n">
        <x:v>2</x:v>
      </x:c>
      <x:c r="O93" s="14" t="n">
        <x:v>4530</x:v>
      </x:c>
      <x:c r="P93" s="14" t="n">
        <x:v>306</x:v>
      </x:c>
      <x:c r="Q93" s="14" t="n">
        <x:v>5</x:v>
      </x:c>
      <x:c r="R93" s="14" t="n">
        <x:v>2</x:v>
      </x:c>
      <x:c r="S93" s="14" t="str">
        <x:v>未收錄</x:v>
      </x:c>
      <x:c r="T93" s="14" t="str">
        <x:v>25039</x:v>
      </x:c>
      <x:c r="U93" s="14" t="n">
        <x:v>2</x:v>
      </x:c>
      <x:c r="V93" s="14" t="n">
        <x:v>4531</x:v>
      </x:c>
      <x:c r="W93" s="14" t="n">
        <x:v>307</x:v>
      </x:c>
      <x:c r="X93" s="14" t="n">
        <x:v>5</x:v>
      </x:c>
      <x:c r="Y93" s="14" t="n">
        <x:v>3</x:v>
      </x:c>
      <x:c r="Z93" s="14" t="str">
        <x:v>未收錄</x:v>
      </x:c>
      <x:c r="AA93" s="14" t="str">
        <x:v>25040</x:v>
      </x:c>
      <x:c r="AB93" s="14" t="n">
        <x:v>2</x:v>
      </x:c>
      <x:c r="AC93" s="14" t="n">
        <x:v>4532</x:v>
      </x:c>
      <x:c r="AD93" s="14" t="n">
        <x:v>308</x:v>
      </x:c>
      <x:c r="AE93" s="14" t="n">
        <x:v>5</x:v>
      </x:c>
      <x:c r="AF93" s="14" t="n">
        <x:v>4</x:v>
      </x:c>
      <x:c r="AG93" s="14" t="str">
        <x:v>未收錄</x:v>
      </x:c>
    </x:row>
    <x:row r="94" ht="15" customHeight="1">
      <x:c r="A94" s="18" t="str">
        <x:v>加持之鞋配方</x:v>
      </x:c>
      <x:c r="B94" s="18" t="str">
        <x:v>冰霜之劍配方</x:v>
      </x:c>
      <x:c r="C94" s="18" t="str">
        <x:v>冰霜之刀配方</x:v>
      </x:c>
      <x:c r="D94" s="18" t="str">
        <x:v>冰霜之槍配方</x:v>
      </x:c>
      <x:c r="E94" s="14"/>
      <x:c r="F94" s="14" t="str">
        <x:v>25041</x:v>
      </x:c>
      <x:c r="G94" s="14" t="n">
        <x:v>2</x:v>
      </x:c>
      <x:c r="H94" s="14" t="n">
        <x:v>4533</x:v>
      </x:c>
      <x:c r="I94" s="14" t="n">
        <x:v>309</x:v>
      </x:c>
      <x:c r="J94" s="14" t="n">
        <x:v>6</x:v>
      </x:c>
      <x:c r="K94" s="14" t="n">
        <x:v>1</x:v>
      </x:c>
      <x:c r="L94" s="14" t="str">
        <x:v>未收錄</x:v>
      </x:c>
      <x:c r="M94" s="14" t="str">
        <x:v>25052</x:v>
      </x:c>
      <x:c r="N94" s="14" t="n">
        <x:v>1</x:v>
      </x:c>
      <x:c r="O94" s="14" t="n">
        <x:v>4534</x:v>
      </x:c>
      <x:c r="P94" s="14" t="n">
        <x:v>310</x:v>
      </x:c>
      <x:c r="Q94" s="14" t="n">
        <x:v>6</x:v>
      </x:c>
      <x:c r="R94" s="14" t="n">
        <x:v>2</x:v>
      </x:c>
      <x:c r="S94" s="14" t="str">
        <x:v>未收錄</x:v>
      </x:c>
      <x:c r="T94" s="14" t="str">
        <x:v>25053</x:v>
      </x:c>
      <x:c r="U94" s="14" t="n">
        <x:v>1</x:v>
      </x:c>
      <x:c r="V94" s="14" t="n">
        <x:v>4535</x:v>
      </x:c>
      <x:c r="W94" s="14" t="n">
        <x:v>311</x:v>
      </x:c>
      <x:c r="X94" s="14" t="n">
        <x:v>6</x:v>
      </x:c>
      <x:c r="Y94" s="14" t="n">
        <x:v>3</x:v>
      </x:c>
      <x:c r="Z94" s="14" t="str">
        <x:v>未收錄</x:v>
      </x:c>
      <x:c r="AA94" s="14" t="str">
        <x:v>25054</x:v>
      </x:c>
      <x:c r="AB94" s="14" t="n">
        <x:v>1</x:v>
      </x:c>
      <x:c r="AC94" s="14" t="n">
        <x:v>4536</x:v>
      </x:c>
      <x:c r="AD94" s="14" t="n">
        <x:v>312</x:v>
      </x:c>
      <x:c r="AE94" s="14" t="n">
        <x:v>6</x:v>
      </x:c>
      <x:c r="AF94" s="14" t="n">
        <x:v>4</x:v>
      </x:c>
      <x:c r="AG94" s="14" t="str">
        <x:v>未收錄</x:v>
      </x:c>
    </x:row>
    <x:row r="95" ht="15" customHeight="1">
      <x:c r="A95" s="17" t="str">
        <x:v>冰霜之斧配方</x:v>
      </x:c>
      <x:c r="B95" s="17" t="str">
        <x:v>冰霜之錘配方</x:v>
      </x:c>
      <x:c r="C95" s="17" t="str">
        <x:v>冰霜之棍配方</x:v>
      </x:c>
      <x:c r="D95" s="17" t="str">
        <x:v>火焰之劍配方</x:v>
      </x:c>
      <x:c r="E95" s="14"/>
      <x:c r="F95" s="14" t="str">
        <x:v>25055</x:v>
      </x:c>
      <x:c r="G95" s="14" t="n">
        <x:v>1</x:v>
      </x:c>
      <x:c r="H95" s="14" t="n">
        <x:v>4537</x:v>
      </x:c>
      <x:c r="I95" s="14" t="n">
        <x:v>313</x:v>
      </x:c>
      <x:c r="J95" s="14" t="n">
        <x:v>7</x:v>
      </x:c>
      <x:c r="K95" s="14" t="n">
        <x:v>1</x:v>
      </x:c>
      <x:c r="L95" s="14" t="str">
        <x:v>未收錄</x:v>
      </x:c>
      <x:c r="M95" s="14" t="str">
        <x:v>25056</x:v>
      </x:c>
      <x:c r="N95" s="14" t="n">
        <x:v>1</x:v>
      </x:c>
      <x:c r="O95" s="14" t="n">
        <x:v>4538</x:v>
      </x:c>
      <x:c r="P95" s="14" t="n">
        <x:v>314</x:v>
      </x:c>
      <x:c r="Q95" s="14" t="n">
        <x:v>7</x:v>
      </x:c>
      <x:c r="R95" s="14" t="n">
        <x:v>2</x:v>
      </x:c>
      <x:c r="S95" s="14" t="str">
        <x:v>未收錄</x:v>
      </x:c>
      <x:c r="T95" s="14" t="str">
        <x:v>25057</x:v>
      </x:c>
      <x:c r="U95" s="14" t="n">
        <x:v>1</x:v>
      </x:c>
      <x:c r="V95" s="14" t="n">
        <x:v>4539</x:v>
      </x:c>
      <x:c r="W95" s="14" t="n">
        <x:v>315</x:v>
      </x:c>
      <x:c r="X95" s="14" t="n">
        <x:v>7</x:v>
      </x:c>
      <x:c r="Y95" s="14" t="n">
        <x:v>3</x:v>
      </x:c>
      <x:c r="Z95" s="14" t="str">
        <x:v>未收錄</x:v>
      </x:c>
      <x:c r="AA95" s="14" t="str">
        <x:v>25058</x:v>
      </x:c>
      <x:c r="AB95" s="14" t="n">
        <x:v>1</x:v>
      </x:c>
      <x:c r="AC95" s="14" t="n">
        <x:v>4540</x:v>
      </x:c>
      <x:c r="AD95" s="14" t="n">
        <x:v>316</x:v>
      </x:c>
      <x:c r="AE95" s="14" t="n">
        <x:v>7</x:v>
      </x:c>
      <x:c r="AF95" s="14" t="n">
        <x:v>4</x:v>
      </x:c>
      <x:c r="AG95" s="14" t="str">
        <x:v>未收錄</x:v>
      </x:c>
    </x:row>
    <x:row r="96" ht="15" customHeight="1">
      <x:c r="A96" s="18" t="str">
        <x:v>火焰之刀配方</x:v>
      </x:c>
      <x:c r="B96" s="18" t="str">
        <x:v>火焰之槍配方</x:v>
      </x:c>
      <x:c r="C96" s="18" t="str">
        <x:v>火焰之斧配方</x:v>
      </x:c>
      <x:c r="D96" s="18" t="str">
        <x:v>火焰之錘配方</x:v>
      </x:c>
      <x:c r="E96" s="14"/>
      <x:c r="F96" s="14" t="str">
        <x:v>25059</x:v>
      </x:c>
      <x:c r="G96" s="14" t="n">
        <x:v>1</x:v>
      </x:c>
      <x:c r="H96" s="14" t="n">
        <x:v>4541</x:v>
      </x:c>
      <x:c r="I96" s="14" t="n">
        <x:v>317</x:v>
      </x:c>
      <x:c r="J96" s="14" t="n">
        <x:v>8</x:v>
      </x:c>
      <x:c r="K96" s="14" t="n">
        <x:v>1</x:v>
      </x:c>
      <x:c r="L96" s="14" t="str">
        <x:v>未收錄</x:v>
      </x:c>
      <x:c r="M96" s="14" t="str">
        <x:v>25060</x:v>
      </x:c>
      <x:c r="N96" s="14" t="n">
        <x:v>1</x:v>
      </x:c>
      <x:c r="O96" s="14" t="n">
        <x:v>4542</x:v>
      </x:c>
      <x:c r="P96" s="14" t="n">
        <x:v>318</x:v>
      </x:c>
      <x:c r="Q96" s="14" t="n">
        <x:v>8</x:v>
      </x:c>
      <x:c r="R96" s="14" t="n">
        <x:v>2</x:v>
      </x:c>
      <x:c r="S96" s="14" t="str">
        <x:v>未收錄</x:v>
      </x:c>
      <x:c r="T96" s="14" t="str">
        <x:v>25061</x:v>
      </x:c>
      <x:c r="U96" s="14" t="n">
        <x:v>1</x:v>
      </x:c>
      <x:c r="V96" s="14" t="n">
        <x:v>4543</x:v>
      </x:c>
      <x:c r="W96" s="14" t="n">
        <x:v>319</x:v>
      </x:c>
      <x:c r="X96" s="14" t="n">
        <x:v>8</x:v>
      </x:c>
      <x:c r="Y96" s="14" t="n">
        <x:v>3</x:v>
      </x:c>
      <x:c r="Z96" s="14" t="str">
        <x:v>未收錄</x:v>
      </x:c>
      <x:c r="AA96" s="14" t="str">
        <x:v>25062</x:v>
      </x:c>
      <x:c r="AB96" s="14" t="n">
        <x:v>1</x:v>
      </x:c>
      <x:c r="AC96" s="14" t="n">
        <x:v>4544</x:v>
      </x:c>
      <x:c r="AD96" s="14" t="n">
        <x:v>320</x:v>
      </x:c>
      <x:c r="AE96" s="14" t="n">
        <x:v>8</x:v>
      </x:c>
      <x:c r="AF96" s="14" t="n">
        <x:v>4</x:v>
      </x:c>
      <x:c r="AG96" s="14" t="str">
        <x:v>未收錄</x:v>
      </x:c>
    </x:row>
    <x:row r="97" ht="15" customHeight="1">
      <x:c r="A97" s="17" t="str">
        <x:v>火焰之棍配方</x:v>
      </x:c>
      <x:c r="B97" s="17" t="str">
        <x:v>雷電之劍配方</x:v>
      </x:c>
      <x:c r="C97" s="17" t="str">
        <x:v>雷電之刀配方</x:v>
      </x:c>
      <x:c r="D97" s="17" t="str">
        <x:v>雷電之槍配方</x:v>
      </x:c>
      <x:c r="E97" s="14"/>
      <x:c r="F97" s="14" t="str">
        <x:v>25063</x:v>
      </x:c>
      <x:c r="G97" s="14" t="n">
        <x:v>1</x:v>
      </x:c>
      <x:c r="H97" s="14" t="n">
        <x:v>4545</x:v>
      </x:c>
      <x:c r="I97" s="14" t="n">
        <x:v>321</x:v>
      </x:c>
      <x:c r="J97" s="14" t="n">
        <x:v>9</x:v>
      </x:c>
      <x:c r="K97" s="14" t="n">
        <x:v>1</x:v>
      </x:c>
      <x:c r="L97" s="14" t="str">
        <x:v>未收錄</x:v>
      </x:c>
      <x:c r="M97" s="14" t="str">
        <x:v>25064</x:v>
      </x:c>
      <x:c r="N97" s="14" t="n">
        <x:v>1</x:v>
      </x:c>
      <x:c r="O97" s="14" t="n">
        <x:v>4546</x:v>
      </x:c>
      <x:c r="P97" s="14" t="n">
        <x:v>322</x:v>
      </x:c>
      <x:c r="Q97" s="14" t="n">
        <x:v>9</x:v>
      </x:c>
      <x:c r="R97" s="14" t="n">
        <x:v>2</x:v>
      </x:c>
      <x:c r="S97" s="14" t="str">
        <x:v>未收錄</x:v>
      </x:c>
      <x:c r="T97" s="14" t="str">
        <x:v>25065</x:v>
      </x:c>
      <x:c r="U97" s="14" t="n">
        <x:v>1</x:v>
      </x:c>
      <x:c r="V97" s="14" t="n">
        <x:v>4547</x:v>
      </x:c>
      <x:c r="W97" s="14" t="n">
        <x:v>323</x:v>
      </x:c>
      <x:c r="X97" s="14" t="n">
        <x:v>9</x:v>
      </x:c>
      <x:c r="Y97" s="14" t="n">
        <x:v>3</x:v>
      </x:c>
      <x:c r="Z97" s="14" t="str">
        <x:v>未收錄</x:v>
      </x:c>
      <x:c r="AA97" s="14" t="str">
        <x:v>25066</x:v>
      </x:c>
      <x:c r="AB97" s="14" t="n">
        <x:v>1</x:v>
      </x:c>
      <x:c r="AC97" s="14" t="n">
        <x:v>4548</x:v>
      </x:c>
      <x:c r="AD97" s="14" t="n">
        <x:v>324</x:v>
      </x:c>
      <x:c r="AE97" s="14" t="n">
        <x:v>9</x:v>
      </x:c>
      <x:c r="AF97" s="14" t="n">
        <x:v>4</x:v>
      </x:c>
      <x:c r="AG97" s="14" t="str">
        <x:v>未收錄</x:v>
      </x:c>
    </x:row>
    <x:row r="98" ht="15" customHeight="1">
      <x:c r="A98" s="18" t="str">
        <x:v>雷電之斧配方</x:v>
      </x:c>
      <x:c r="B98" s="18" t="str">
        <x:v>雷電之錘配方</x:v>
      </x:c>
      <x:c r="C98" s="18" t="str">
        <x:v>雷電之棍配方</x:v>
      </x:c>
      <x:c r="D98" s="18" t="str">
        <x:v>鬼哭之劍配方</x:v>
      </x:c>
      <x:c r="E98" s="14"/>
      <x:c r="F98" s="14" t="str">
        <x:v>25067</x:v>
      </x:c>
      <x:c r="G98" s="14" t="n">
        <x:v>1</x:v>
      </x:c>
      <x:c r="H98" s="14" t="n">
        <x:v>4549</x:v>
      </x:c>
      <x:c r="I98" s="14" t="n">
        <x:v>325</x:v>
      </x:c>
      <x:c r="J98" s="14" t="n">
        <x:v>10</x:v>
      </x:c>
      <x:c r="K98" s="14" t="n">
        <x:v>1</x:v>
      </x:c>
      <x:c r="L98" s="14" t="str">
        <x:v>未收錄</x:v>
      </x:c>
      <x:c r="M98" s="14" t="str">
        <x:v>25068</x:v>
      </x:c>
      <x:c r="N98" s="14" t="n">
        <x:v>1</x:v>
      </x:c>
      <x:c r="O98" s="14" t="n">
        <x:v>4550</x:v>
      </x:c>
      <x:c r="P98" s="14" t="n">
        <x:v>326</x:v>
      </x:c>
      <x:c r="Q98" s="14" t="n">
        <x:v>10</x:v>
      </x:c>
      <x:c r="R98" s="14" t="n">
        <x:v>2</x:v>
      </x:c>
      <x:c r="S98" s="14" t="str">
        <x:v>未收錄</x:v>
      </x:c>
      <x:c r="T98" s="14" t="str">
        <x:v>25069</x:v>
      </x:c>
      <x:c r="U98" s="14" t="n">
        <x:v>1</x:v>
      </x:c>
      <x:c r="V98" s="14" t="n">
        <x:v>4551</x:v>
      </x:c>
      <x:c r="W98" s="14" t="n">
        <x:v>327</x:v>
      </x:c>
      <x:c r="X98" s="14" t="n">
        <x:v>10</x:v>
      </x:c>
      <x:c r="Y98" s="14" t="n">
        <x:v>3</x:v>
      </x:c>
      <x:c r="Z98" s="14" t="str">
        <x:v>未收錄</x:v>
      </x:c>
      <x:c r="AA98" s="14" t="str">
        <x:v>25070</x:v>
      </x:c>
      <x:c r="AB98" s="14" t="n">
        <x:v>1</x:v>
      </x:c>
      <x:c r="AC98" s="14" t="n">
        <x:v>4552</x:v>
      </x:c>
      <x:c r="AD98" s="14" t="n">
        <x:v>328</x:v>
      </x:c>
      <x:c r="AE98" s="14" t="n">
        <x:v>10</x:v>
      </x:c>
      <x:c r="AF98" s="14" t="n">
        <x:v>4</x:v>
      </x:c>
      <x:c r="AG98" s="14" t="str">
        <x:v>未收錄</x:v>
      </x:c>
    </x:row>
    <x:row r="99" ht="15" customHeight="1">
      <x:c r="A99" s="17" t="str">
        <x:v>鬼哭之刀配方</x:v>
      </x:c>
      <x:c r="B99" s="17" t="str">
        <x:v>鬼哭之槍配方</x:v>
      </x:c>
      <x:c r="C99" s="17" t="str">
        <x:v>鬼哭之斧配方</x:v>
      </x:c>
      <x:c r="D99" s="17" t="str">
        <x:v>鬼哭之錘配方</x:v>
      </x:c>
      <x:c r="E99" s="14"/>
      <x:c r="F99" s="14" t="str">
        <x:v>25071</x:v>
      </x:c>
      <x:c r="G99" s="14" t="n">
        <x:v>1</x:v>
      </x:c>
      <x:c r="H99" s="14" t="n">
        <x:v>4553</x:v>
      </x:c>
      <x:c r="I99" s="14" t="n">
        <x:v>329</x:v>
      </x:c>
      <x:c r="J99" s="14" t="n">
        <x:v>11</x:v>
      </x:c>
      <x:c r="K99" s="14" t="n">
        <x:v>1</x:v>
      </x:c>
      <x:c r="L99" s="14" t="str">
        <x:v>未收錄</x:v>
      </x:c>
      <x:c r="M99" s="14" t="str">
        <x:v>25072</x:v>
      </x:c>
      <x:c r="N99" s="14" t="n">
        <x:v>1</x:v>
      </x:c>
      <x:c r="O99" s="14" t="n">
        <x:v>4554</x:v>
      </x:c>
      <x:c r="P99" s="14" t="n">
        <x:v>330</x:v>
      </x:c>
      <x:c r="Q99" s="14" t="n">
        <x:v>11</x:v>
      </x:c>
      <x:c r="R99" s="14" t="n">
        <x:v>2</x:v>
      </x:c>
      <x:c r="S99" s="14" t="str">
        <x:v>未收錄</x:v>
      </x:c>
      <x:c r="T99" s="14" t="str">
        <x:v>25073</x:v>
      </x:c>
      <x:c r="U99" s="14" t="n">
        <x:v>1</x:v>
      </x:c>
      <x:c r="V99" s="14" t="n">
        <x:v>4555</x:v>
      </x:c>
      <x:c r="W99" s="14" t="n">
        <x:v>331</x:v>
      </x:c>
      <x:c r="X99" s="14" t="n">
        <x:v>11</x:v>
      </x:c>
      <x:c r="Y99" s="14" t="n">
        <x:v>3</x:v>
      </x:c>
      <x:c r="Z99" s="14" t="str">
        <x:v>未收錄</x:v>
      </x:c>
      <x:c r="AA99" s="14" t="str">
        <x:v>25074</x:v>
      </x:c>
      <x:c r="AB99" s="14" t="n">
        <x:v>1</x:v>
      </x:c>
      <x:c r="AC99" s="14" t="n">
        <x:v>4556</x:v>
      </x:c>
      <x:c r="AD99" s="14" t="n">
        <x:v>332</x:v>
      </x:c>
      <x:c r="AE99" s="14" t="n">
        <x:v>11</x:v>
      </x:c>
      <x:c r="AF99" s="14" t="n">
        <x:v>4</x:v>
      </x:c>
      <x:c r="AG99" s="14" t="str">
        <x:v>未收錄</x:v>
      </x:c>
    </x:row>
    <x:row r="100" ht="15" customHeight="1">
      <x:c r="A100" s="18" t="str">
        <x:v>鬼哭之棍配方</x:v>
      </x:c>
      <x:c r="B100" s="18" t="str">
        <x:v>波紋之劍配方</x:v>
      </x:c>
      <x:c r="C100" s="18" t="str">
        <x:v>波紋之刀配方</x:v>
      </x:c>
      <x:c r="D100" s="18" t="str">
        <x:v>波紋之槍配方</x:v>
      </x:c>
      <x:c r="E100" s="14"/>
      <x:c r="F100" s="14" t="str">
        <x:v>25075</x:v>
      </x:c>
      <x:c r="G100" s="14" t="n">
        <x:v>1</x:v>
      </x:c>
      <x:c r="H100" s="14" t="n">
        <x:v>4557</x:v>
      </x:c>
      <x:c r="I100" s="14" t="n">
        <x:v>333</x:v>
      </x:c>
      <x:c r="J100" s="14" t="n">
        <x:v>12</x:v>
      </x:c>
      <x:c r="K100" s="14" t="n">
        <x:v>1</x:v>
      </x:c>
      <x:c r="L100" s="14" t="str">
        <x:v>未收錄</x:v>
      </x:c>
      <x:c r="M100" s="14" t="str">
        <x:v>25095</x:v>
      </x:c>
      <x:c r="N100" s="14" t="n">
        <x:v>1</x:v>
      </x:c>
      <x:c r="O100" s="14" t="n">
        <x:v>4558</x:v>
      </x:c>
      <x:c r="P100" s="14" t="n">
        <x:v>334</x:v>
      </x:c>
      <x:c r="Q100" s="14" t="n">
        <x:v>12</x:v>
      </x:c>
      <x:c r="R100" s="14" t="n">
        <x:v>2</x:v>
      </x:c>
      <x:c r="S100" s="14" t="str">
        <x:v>未收錄</x:v>
      </x:c>
      <x:c r="T100" s="14" t="str">
        <x:v>25096</x:v>
      </x:c>
      <x:c r="U100" s="14" t="n">
        <x:v>1</x:v>
      </x:c>
      <x:c r="V100" s="14" t="n">
        <x:v>4559</x:v>
      </x:c>
      <x:c r="W100" s="14" t="n">
        <x:v>335</x:v>
      </x:c>
      <x:c r="X100" s="14" t="n">
        <x:v>12</x:v>
      </x:c>
      <x:c r="Y100" s="14" t="n">
        <x:v>3</x:v>
      </x:c>
      <x:c r="Z100" s="14" t="str">
        <x:v>未收錄</x:v>
      </x:c>
      <x:c r="AA100" s="14" t="str">
        <x:v>25097</x:v>
      </x:c>
      <x:c r="AB100" s="14" t="n">
        <x:v>1</x:v>
      </x:c>
      <x:c r="AC100" s="14" t="n">
        <x:v>4560</x:v>
      </x:c>
      <x:c r="AD100" s="14" t="n">
        <x:v>336</x:v>
      </x:c>
      <x:c r="AE100" s="14" t="n">
        <x:v>12</x:v>
      </x:c>
      <x:c r="AF100" s="14" t="n">
        <x:v>4</x:v>
      </x:c>
      <x:c r="AG100" s="14" t="str">
        <x:v>未收錄</x:v>
      </x:c>
    </x:row>
    <x:row r="101" ht="15" customHeight="1">
      <x:c r="A101" s="17" t="str">
        <x:v>波紋之斧配方</x:v>
      </x:c>
      <x:c r="B101" s="17" t="str">
        <x:v>波紋之錘配方</x:v>
      </x:c>
      <x:c r="C101" s="17" t="str">
        <x:v>波紋之棍配方</x:v>
      </x:c>
      <x:c r="D101" s="17" t="str">
        <x:v>百煉之劍配方</x:v>
      </x:c>
      <x:c r="E101" s="14"/>
      <x:c r="F101" s="14" t="str">
        <x:v>25098</x:v>
      </x:c>
      <x:c r="G101" s="14" t="n">
        <x:v>1</x:v>
      </x:c>
      <x:c r="H101" s="14" t="n">
        <x:v>4561</x:v>
      </x:c>
      <x:c r="I101" s="14" t="n">
        <x:v>337</x:v>
      </x:c>
      <x:c r="J101" s="14" t="n">
        <x:v>13</x:v>
      </x:c>
      <x:c r="K101" s="14" t="n">
        <x:v>1</x:v>
      </x:c>
      <x:c r="L101" s="14" t="str">
        <x:v>未收錄</x:v>
      </x:c>
      <x:c r="M101" s="14" t="str">
        <x:v>25099</x:v>
      </x:c>
      <x:c r="N101" s="14" t="n">
        <x:v>1</x:v>
      </x:c>
      <x:c r="O101" s="14" t="n">
        <x:v>4562</x:v>
      </x:c>
      <x:c r="P101" s="14" t="n">
        <x:v>338</x:v>
      </x:c>
      <x:c r="Q101" s="14" t="n">
        <x:v>13</x:v>
      </x:c>
      <x:c r="R101" s="14" t="n">
        <x:v>2</x:v>
      </x:c>
      <x:c r="S101" s="14" t="str">
        <x:v>未收錄</x:v>
      </x:c>
      <x:c r="T101" s="14" t="str">
        <x:v>25100</x:v>
      </x:c>
      <x:c r="U101" s="14" t="n">
        <x:v>1</x:v>
      </x:c>
      <x:c r="V101" s="14" t="n">
        <x:v>4563</x:v>
      </x:c>
      <x:c r="W101" s="14" t="n">
        <x:v>339</x:v>
      </x:c>
      <x:c r="X101" s="14" t="n">
        <x:v>13</x:v>
      </x:c>
      <x:c r="Y101" s="14" t="n">
        <x:v>3</x:v>
      </x:c>
      <x:c r="Z101" s="14" t="str">
        <x:v>未收錄</x:v>
      </x:c>
      <x:c r="AA101" s="14" t="str">
        <x:v>25101</x:v>
      </x:c>
      <x:c r="AB101" s="14" t="n">
        <x:v>1</x:v>
      </x:c>
      <x:c r="AC101" s="14" t="n">
        <x:v>4564</x:v>
      </x:c>
      <x:c r="AD101" s="14" t="n">
        <x:v>340</x:v>
      </x:c>
      <x:c r="AE101" s="14" t="n">
        <x:v>13</x:v>
      </x:c>
      <x:c r="AF101" s="14" t="n">
        <x:v>4</x:v>
      </x:c>
      <x:c r="AG101" s="14" t="str">
        <x:v>未收錄</x:v>
      </x:c>
    </x:row>
    <x:row r="102" ht="15" customHeight="1">
      <x:c r="A102" s="18" t="str">
        <x:v>百煉之刀配方</x:v>
      </x:c>
      <x:c r="B102" s="18" t="str">
        <x:v>百煉之槍配方</x:v>
      </x:c>
      <x:c r="C102" s="18" t="str">
        <x:v>百煉之斧配方</x:v>
      </x:c>
      <x:c r="D102" s="18" t="str">
        <x:v>百煉之錘配方</x:v>
      </x:c>
      <x:c r="E102" s="14"/>
      <x:c r="F102" s="14" t="str">
        <x:v>25102</x:v>
      </x:c>
      <x:c r="G102" s="14" t="n">
        <x:v>1</x:v>
      </x:c>
      <x:c r="H102" s="14" t="n">
        <x:v>4565</x:v>
      </x:c>
      <x:c r="I102" s="14" t="n">
        <x:v>341</x:v>
      </x:c>
      <x:c r="J102" s="14" t="n">
        <x:v>14</x:v>
      </x:c>
      <x:c r="K102" s="14" t="n">
        <x:v>1</x:v>
      </x:c>
      <x:c r="L102" s="14" t="str">
        <x:v>未收錄</x:v>
      </x:c>
      <x:c r="M102" s="14" t="str">
        <x:v>25103</x:v>
      </x:c>
      <x:c r="N102" s="14" t="n">
        <x:v>1</x:v>
      </x:c>
      <x:c r="O102" s="14" t="n">
        <x:v>4566</x:v>
      </x:c>
      <x:c r="P102" s="14" t="n">
        <x:v>342</x:v>
      </x:c>
      <x:c r="Q102" s="14" t="n">
        <x:v>14</x:v>
      </x:c>
      <x:c r="R102" s="14" t="n">
        <x:v>2</x:v>
      </x:c>
      <x:c r="S102" s="14" t="str">
        <x:v>未收錄</x:v>
      </x:c>
      <x:c r="T102" s="14" t="str">
        <x:v>25104</x:v>
      </x:c>
      <x:c r="U102" s="14" t="n">
        <x:v>1</x:v>
      </x:c>
      <x:c r="V102" s="14" t="n">
        <x:v>4567</x:v>
      </x:c>
      <x:c r="W102" s="14" t="n">
        <x:v>343</x:v>
      </x:c>
      <x:c r="X102" s="14" t="n">
        <x:v>14</x:v>
      </x:c>
      <x:c r="Y102" s="14" t="n">
        <x:v>3</x:v>
      </x:c>
      <x:c r="Z102" s="14" t="str">
        <x:v>未收錄</x:v>
      </x:c>
      <x:c r="AA102" s="14" t="str">
        <x:v>25105</x:v>
      </x:c>
      <x:c r="AB102" s="14" t="n">
        <x:v>1</x:v>
      </x:c>
      <x:c r="AC102" s="14" t="n">
        <x:v>4568</x:v>
      </x:c>
      <x:c r="AD102" s="14" t="n">
        <x:v>344</x:v>
      </x:c>
      <x:c r="AE102" s="14" t="n">
        <x:v>14</x:v>
      </x:c>
      <x:c r="AF102" s="14" t="n">
        <x:v>4</x:v>
      </x:c>
      <x:c r="AG102" s="14" t="str">
        <x:v>未收錄</x:v>
      </x:c>
    </x:row>
    <x:row r="103" ht="15" customHeight="1">
      <x:c r="A103" s="17" t="str">
        <x:v>百煉之棍配方</x:v>
      </x:c>
      <x:c r="B103" s="17" t="str">
        <x:v>開光拂塵配方</x:v>
      </x:c>
      <x:c r="C103" s="17" t="str">
        <x:v>降妖拂塵配方</x:v>
      </x:c>
      <x:c r="D103" s="17" t="str">
        <x:v>屠妖拂塵配方</x:v>
      </x:c>
      <x:c r="E103" s="14"/>
      <x:c r="F103" s="14" t="str">
        <x:v>25106</x:v>
      </x:c>
      <x:c r="G103" s="14" t="n">
        <x:v>1</x:v>
      </x:c>
      <x:c r="H103" s="14" t="n">
        <x:v>4569</x:v>
      </x:c>
      <x:c r="I103" s="14" t="n">
        <x:v>345</x:v>
      </x:c>
      <x:c r="J103" s="14" t="n">
        <x:v>15</x:v>
      </x:c>
      <x:c r="K103" s="14" t="n">
        <x:v>1</x:v>
      </x:c>
      <x:c r="L103" s="14" t="str">
        <x:v>未收錄</x:v>
      </x:c>
      <x:c r="M103" s="14" t="str">
        <x:v>25076</x:v>
      </x:c>
      <x:c r="N103" s="14" t="n">
        <x:v>2</x:v>
      </x:c>
      <x:c r="O103" s="14" t="n">
        <x:v>4570</x:v>
      </x:c>
      <x:c r="P103" s="14" t="n">
        <x:v>346</x:v>
      </x:c>
      <x:c r="Q103" s="14" t="n">
        <x:v>15</x:v>
      </x:c>
      <x:c r="R103" s="14" t="n">
        <x:v>2</x:v>
      </x:c>
      <x:c r="S103" s="14" t="str">
        <x:v>未收錄</x:v>
      </x:c>
      <x:c r="T103" s="14" t="str">
        <x:v>25182</x:v>
      </x:c>
      <x:c r="U103" s="14" t="n">
        <x:v>1</x:v>
      </x:c>
      <x:c r="V103" s="14" t="n">
        <x:v>4571</x:v>
      </x:c>
      <x:c r="W103" s="14" t="n">
        <x:v>347</x:v>
      </x:c>
      <x:c r="X103" s="14" t="n">
        <x:v>15</x:v>
      </x:c>
      <x:c r="Y103" s="14" t="n">
        <x:v>3</x:v>
      </x:c>
      <x:c r="Z103" s="14" t="str">
        <x:v>未收錄</x:v>
      </x:c>
      <x:c r="AA103" s="14" t="str">
        <x:v>25183</x:v>
      </x:c>
      <x:c r="AB103" s="14" t="n">
        <x:v>2</x:v>
      </x:c>
      <x:c r="AC103" s="14" t="n">
        <x:v>4572</x:v>
      </x:c>
      <x:c r="AD103" s="14" t="n">
        <x:v>348</x:v>
      </x:c>
      <x:c r="AE103" s="14" t="n">
        <x:v>15</x:v>
      </x:c>
      <x:c r="AF103" s="14" t="n">
        <x:v>4</x:v>
      </x:c>
      <x:c r="AG103" s="14" t="str">
        <x:v>未收錄</x:v>
      </x:c>
    </x:row>
    <x:row r="104" ht="15" customHeight="1">
      <x:c r="A104" s="18" t="str">
        <x:v>開光禪杖配方</x:v>
      </x:c>
      <x:c r="B104" s="18" t="str">
        <x:v>波紋禪杖配方</x:v>
      </x:c>
      <x:c r="C104" s="18" t="str">
        <x:v>百煉禪杖配方</x:v>
      </x:c>
      <x:c r="D104" s="18" t="str">
        <x:v>伏魔禪杖配方</x:v>
      </x:c>
      <x:c r="E104" s="14"/>
      <x:c r="F104" s="14" t="str">
        <x:v>25077</x:v>
      </x:c>
      <x:c r="G104" s="14" t="n">
        <x:v>2</x:v>
      </x:c>
      <x:c r="H104" s="14" t="n">
        <x:v>4573</x:v>
      </x:c>
      <x:c r="I104" s="14" t="n">
        <x:v>349</x:v>
      </x:c>
      <x:c r="J104" s="14" t="n">
        <x:v>16</x:v>
      </x:c>
      <x:c r="K104" s="14" t="n">
        <x:v>1</x:v>
      </x:c>
      <x:c r="L104" s="14" t="str">
        <x:v>未收錄</x:v>
      </x:c>
      <x:c r="M104" s="14" t="str">
        <x:v>25127</x:v>
      </x:c>
      <x:c r="N104" s="14" t="n">
        <x:v>1</x:v>
      </x:c>
      <x:c r="O104" s="14" t="n">
        <x:v>4574</x:v>
      </x:c>
      <x:c r="P104" s="14" t="n">
        <x:v>350</x:v>
      </x:c>
      <x:c r="Q104" s="14" t="n">
        <x:v>16</x:v>
      </x:c>
      <x:c r="R104" s="14" t="n">
        <x:v>2</x:v>
      </x:c>
      <x:c r="S104" s="14" t="str">
        <x:v>未收錄</x:v>
      </x:c>
      <x:c r="T104" s="14" t="str">
        <x:v>25128</x:v>
      </x:c>
      <x:c r="U104" s="14" t="n">
        <x:v>1</x:v>
      </x:c>
      <x:c r="V104" s="14" t="n">
        <x:v>4575</x:v>
      </x:c>
      <x:c r="W104" s="14" t="n">
        <x:v>351</x:v>
      </x:c>
      <x:c r="X104" s="14" t="n">
        <x:v>16</x:v>
      </x:c>
      <x:c r="Y104" s="14" t="n">
        <x:v>3</x:v>
      </x:c>
      <x:c r="Z104" s="14" t="str">
        <x:v>未收錄</x:v>
      </x:c>
      <x:c r="AA104" s="14" t="str">
        <x:v>25179</x:v>
      </x:c>
      <x:c r="AB104" s="14" t="n">
        <x:v>1</x:v>
      </x:c>
      <x:c r="AC104" s="14" t="n">
        <x:v>4576</x:v>
      </x:c>
      <x:c r="AD104" s="14" t="n">
        <x:v>352</x:v>
      </x:c>
      <x:c r="AE104" s="14" t="n">
        <x:v>16</x:v>
      </x:c>
      <x:c r="AF104" s="14" t="n">
        <x:v>4</x:v>
      </x:c>
      <x:c r="AG104" s="14" t="str">
        <x:v>未收錄</x:v>
      </x:c>
    </x:row>
    <x:row r="105" ht="15" customHeight="1">
      <x:c r="A105" s="17" t="str">
        <x:v>滅魔禪杖配方</x:v>
      </x:c>
      <x:c r="B105" s="17" t="str">
        <x:v>毒暗器配方</x:v>
      </x:c>
      <x:c r="C105" s="17" t="str">
        <x:v>烈毒暗器配方</x:v>
      </x:c>
      <x:c r="D105" s="17" t="str">
        <x:v>劇毒暗器配方</x:v>
      </x:c>
      <x:c r="E105" s="14"/>
      <x:c r="F105" s="14" t="str">
        <x:v>25180</x:v>
      </x:c>
      <x:c r="G105" s="14" t="n">
        <x:v>2</x:v>
      </x:c>
      <x:c r="H105" s="14" t="n">
        <x:v>4577</x:v>
      </x:c>
      <x:c r="I105" s="14" t="n">
        <x:v>353</x:v>
      </x:c>
      <x:c r="J105" s="14" t="n">
        <x:v>17</x:v>
      </x:c>
      <x:c r="K105" s="14" t="n">
        <x:v>1</x:v>
      </x:c>
      <x:c r="L105" s="14" t="str">
        <x:v>未收錄</x:v>
      </x:c>
      <x:c r="M105" s="14" t="str">
        <x:v>25000</x:v>
      </x:c>
      <x:c r="N105" s="14" t="n">
        <x:v>1</x:v>
      </x:c>
      <x:c r="O105" s="14" t="n">
        <x:v>4578</x:v>
      </x:c>
      <x:c r="P105" s="14" t="n">
        <x:v>354</x:v>
      </x:c>
      <x:c r="Q105" s="14" t="n">
        <x:v>17</x:v>
      </x:c>
      <x:c r="R105" s="14" t="n">
        <x:v>2</x:v>
      </x:c>
      <x:c r="S105" s="14" t="str">
        <x:v>未收錄</x:v>
      </x:c>
      <x:c r="T105" s="14" t="str">
        <x:v>25001</x:v>
      </x:c>
      <x:c r="U105" s="14" t="n">
        <x:v>1</x:v>
      </x:c>
      <x:c r="V105" s="14" t="n">
        <x:v>4579</x:v>
      </x:c>
      <x:c r="W105" s="14" t="n">
        <x:v>355</x:v>
      </x:c>
      <x:c r="X105" s="14" t="n">
        <x:v>17</x:v>
      </x:c>
      <x:c r="Y105" s="14" t="n">
        <x:v>3</x:v>
      </x:c>
      <x:c r="Z105" s="14" t="str">
        <x:v>未收錄</x:v>
      </x:c>
      <x:c r="AA105" s="14" t="str">
        <x:v>25002</x:v>
      </x:c>
      <x:c r="AB105" s="14" t="n">
        <x:v>2</x:v>
      </x:c>
      <x:c r="AC105" s="14" t="n">
        <x:v>4580</x:v>
      </x:c>
      <x:c r="AD105" s="14" t="n">
        <x:v>356</x:v>
      </x:c>
      <x:c r="AE105" s="14" t="n">
        <x:v>17</x:v>
      </x:c>
      <x:c r="AF105" s="14" t="n">
        <x:v>4</x:v>
      </x:c>
      <x:c r="AG105" s="14" t="str">
        <x:v>未收錄</x:v>
      </x:c>
    </x:row>
    <x:row r="106" ht="15" customHeight="1">
      <x:c r="A106" s="18" t="str">
        <x:v>蠱毒暗器配方</x:v>
      </x:c>
      <x:c r="B106" s="18" t="str">
        <x:v>抗火之盾配方</x:v>
      </x:c>
      <x:c r="C106" s="18" t="str">
        <x:v>抗冰之盾配方</x:v>
      </x:c>
      <x:c r="D106" s="18" t="str">
        <x:v>抗雷之盾配方</x:v>
      </x:c>
      <x:c r="E106" s="14"/>
      <x:c r="F106" s="14" t="str">
        <x:v>25191</x:v>
      </x:c>
      <x:c r="G106" s="14" t="n">
        <x:v>3</x:v>
      </x:c>
      <x:c r="H106" s="14" t="n">
        <x:v>4581</x:v>
      </x:c>
      <x:c r="I106" s="14" t="n">
        <x:v>357</x:v>
      </x:c>
      <x:c r="J106" s="14" t="n">
        <x:v>18</x:v>
      </x:c>
      <x:c r="K106" s="14" t="n">
        <x:v>1</x:v>
      </x:c>
      <x:c r="L106" s="14" t="str">
        <x:v>未收錄</x:v>
      </x:c>
      <x:c r="M106" s="14" t="str">
        <x:v>25107</x:v>
      </x:c>
      <x:c r="N106" s="14" t="n">
        <x:v>1</x:v>
      </x:c>
      <x:c r="O106" s="14" t="n">
        <x:v>4582</x:v>
      </x:c>
      <x:c r="P106" s="14" t="n">
        <x:v>358</x:v>
      </x:c>
      <x:c r="Q106" s="14" t="n">
        <x:v>18</x:v>
      </x:c>
      <x:c r="R106" s="14" t="n">
        <x:v>2</x:v>
      </x:c>
      <x:c r="S106" s="14" t="str">
        <x:v>未收錄</x:v>
      </x:c>
      <x:c r="T106" s="14" t="str">
        <x:v>25108</x:v>
      </x:c>
      <x:c r="U106" s="14" t="n">
        <x:v>1</x:v>
      </x:c>
      <x:c r="V106" s="14" t="n">
        <x:v>4583</x:v>
      </x:c>
      <x:c r="W106" s="14" t="n">
        <x:v>359</x:v>
      </x:c>
      <x:c r="X106" s="14" t="n">
        <x:v>18</x:v>
      </x:c>
      <x:c r="Y106" s="14" t="n">
        <x:v>3</x:v>
      </x:c>
      <x:c r="Z106" s="14" t="str">
        <x:v>未收錄</x:v>
      </x:c>
      <x:c r="AA106" s="14" t="str">
        <x:v>25109</x:v>
      </x:c>
      <x:c r="AB106" s="14" t="n">
        <x:v>1</x:v>
      </x:c>
      <x:c r="AC106" s="14" t="n">
        <x:v>4584</x:v>
      </x:c>
      <x:c r="AD106" s="14" t="n">
        <x:v>360</x:v>
      </x:c>
      <x:c r="AE106" s="14" t="n">
        <x:v>18</x:v>
      </x:c>
      <x:c r="AF106" s="14" t="n">
        <x:v>4</x:v>
      </x:c>
      <x:c r="AG106" s="14" t="str">
        <x:v>未收錄</x:v>
      </x:c>
    </x:row>
    <x:row r="107" ht="15" customHeight="1">
      <x:c r="A107" s="17" t="str">
        <x:v>抗冥之盾配方</x:v>
      </x:c>
      <x:c r="B107" s="17" t="str">
        <x:v>避魔護甲配方</x:v>
      </x:c>
      <x:c r="C107" s="17" t="str">
        <x:v>驅魔護甲配方</x:v>
      </x:c>
      <x:c r="D107" s="17" t="str">
        <x:v>抗火鎧甲配方</x:v>
      </x:c>
      <x:c r="E107" s="14"/>
      <x:c r="F107" s="14" t="str">
        <x:v>25110</x:v>
      </x:c>
      <x:c r="G107" s="14" t="n">
        <x:v>1</x:v>
      </x:c>
      <x:c r="H107" s="14" t="n">
        <x:v>4585</x:v>
      </x:c>
      <x:c r="I107" s="14" t="n">
        <x:v>361</x:v>
      </x:c>
      <x:c r="J107" s="14" t="n">
        <x:v>19</x:v>
      </x:c>
      <x:c r="K107" s="14" t="n">
        <x:v>1</x:v>
      </x:c>
      <x:c r="L107" s="14" t="str">
        <x:v>未收錄</x:v>
      </x:c>
      <x:c r="M107" s="14" t="str">
        <x:v>25176</x:v>
      </x:c>
      <x:c r="N107" s="14" t="n">
        <x:v>1</x:v>
      </x:c>
      <x:c r="O107" s="14" t="n">
        <x:v>4586</x:v>
      </x:c>
      <x:c r="P107" s="14" t="n">
        <x:v>362</x:v>
      </x:c>
      <x:c r="Q107" s="14" t="n">
        <x:v>19</x:v>
      </x:c>
      <x:c r="R107" s="14" t="n">
        <x:v>2</x:v>
      </x:c>
      <x:c r="S107" s="14" t="str">
        <x:v>未收錄</x:v>
      </x:c>
      <x:c r="T107" s="14" t="str">
        <x:v>25177</x:v>
      </x:c>
      <x:c r="U107" s="14" t="n">
        <x:v>2</x:v>
      </x:c>
      <x:c r="V107" s="14" t="n">
        <x:v>4587</x:v>
      </x:c>
      <x:c r="W107" s="14" t="n">
        <x:v>363</x:v>
      </x:c>
      <x:c r="X107" s="14" t="n">
        <x:v>19</x:v>
      </x:c>
      <x:c r="Y107" s="14" t="n">
        <x:v>3</x:v>
      </x:c>
      <x:c r="Z107" s="14" t="str">
        <x:v>未收錄</x:v>
      </x:c>
      <x:c r="AA107" s="14" t="str">
        <x:v>25196</x:v>
      </x:c>
      <x:c r="AB107" s="14" t="n">
        <x:v>2</x:v>
      </x:c>
      <x:c r="AC107" s="14" t="n">
        <x:v>4588</x:v>
      </x:c>
      <x:c r="AD107" s="14" t="n">
        <x:v>364</x:v>
      </x:c>
      <x:c r="AE107" s="14" t="n">
        <x:v>19</x:v>
      </x:c>
      <x:c r="AF107" s="14" t="n">
        <x:v>4</x:v>
      </x:c>
      <x:c r="AG107" s="14" t="str">
        <x:v>未收錄</x:v>
      </x:c>
    </x:row>
    <x:row r="108" ht="15" customHeight="1">
      <x:c r="A108" s="18" t="str">
        <x:v>抗冰鎧甲配方</x:v>
      </x:c>
      <x:c r="B108" s="18" t="str">
        <x:v>抗雷鎧甲配方</x:v>
      </x:c>
      <x:c r="C108" s="18" t="str">
        <x:v>抗冥鎧甲配方</x:v>
      </x:c>
      <x:c r="D108" s="18" t="str">
        <x:v>初陽飾品配方</x:v>
      </x:c>
      <x:c r="E108" s="14"/>
      <x:c r="F108" s="14" t="str">
        <x:v>25197</x:v>
      </x:c>
      <x:c r="G108" s="14" t="n">
        <x:v>2</x:v>
      </x:c>
      <x:c r="H108" s="14" t="n">
        <x:v>4589</x:v>
      </x:c>
      <x:c r="I108" s="14" t="n">
        <x:v>365</x:v>
      </x:c>
      <x:c r="J108" s="14" t="n">
        <x:v>20</x:v>
      </x:c>
      <x:c r="K108" s="14" t="n">
        <x:v>1</x:v>
      </x:c>
      <x:c r="L108" s="14" t="str">
        <x:v>未收錄</x:v>
      </x:c>
      <x:c r="M108" s="14" t="str">
        <x:v>25198</x:v>
      </x:c>
      <x:c r="N108" s="14" t="n">
        <x:v>2</x:v>
      </x:c>
      <x:c r="O108" s="14" t="n">
        <x:v>4590</x:v>
      </x:c>
      <x:c r="P108" s="14" t="n">
        <x:v>366</x:v>
      </x:c>
      <x:c r="Q108" s="14" t="n">
        <x:v>20</x:v>
      </x:c>
      <x:c r="R108" s="14" t="n">
        <x:v>2</x:v>
      </x:c>
      <x:c r="S108" s="14" t="str">
        <x:v>未收錄</x:v>
      </x:c>
      <x:c r="T108" s="14" t="str">
        <x:v>25199</x:v>
      </x:c>
      <x:c r="U108" s="14" t="n">
        <x:v>2</x:v>
      </x:c>
      <x:c r="V108" s="14" t="n">
        <x:v>4591</x:v>
      </x:c>
      <x:c r="W108" s="14" t="n">
        <x:v>367</x:v>
      </x:c>
      <x:c r="X108" s="14" t="n">
        <x:v>20</x:v>
      </x:c>
      <x:c r="Y108" s="14" t="n">
        <x:v>3</x:v>
      </x:c>
      <x:c r="Z108" s="14" t="str">
        <x:v>未收錄</x:v>
      </x:c>
      <x:c r="AA108" s="14" t="str">
        <x:v>25129</x:v>
      </x:c>
      <x:c r="AB108" s="14" t="n">
        <x:v>1</x:v>
      </x:c>
      <x:c r="AC108" s="14" t="n">
        <x:v>4592</x:v>
      </x:c>
      <x:c r="AD108" s="14" t="n">
        <x:v>368</x:v>
      </x:c>
      <x:c r="AE108" s="14" t="n">
        <x:v>20</x:v>
      </x:c>
      <x:c r="AF108" s="14" t="n">
        <x:v>4</x:v>
      </x:c>
      <x:c r="AG108" s="14" t="str">
        <x:v>未收錄</x:v>
      </x:c>
    </x:row>
    <x:row r="109" ht="15" customHeight="1">
      <x:c r="A109" s="17" t="str">
        <x:v>少陽飾品配方</x:v>
      </x:c>
      <x:c r="B109" s="17" t="str">
        <x:v>太陽飾品配方</x:v>
      </x:c>
      <x:c r="C109" s="17" t="str">
        <x:v>純陽飾品配方</x:v>
      </x:c>
      <x:c r="D109" s="17" t="str">
        <x:v>初陰飾品配方</x:v>
      </x:c>
      <x:c r="E109" s="14"/>
      <x:c r="F109" s="14" t="str">
        <x:v>25130</x:v>
      </x:c>
      <x:c r="G109" s="14" t="n">
        <x:v>1</x:v>
      </x:c>
      <x:c r="H109" s="14" t="n">
        <x:v>4593</x:v>
      </x:c>
      <x:c r="I109" s="14" t="n">
        <x:v>369</x:v>
      </x:c>
      <x:c r="J109" s="14" t="n">
        <x:v>21</x:v>
      </x:c>
      <x:c r="K109" s="14" t="n">
        <x:v>1</x:v>
      </x:c>
      <x:c r="L109" s="14" t="str">
        <x:v>未收錄</x:v>
      </x:c>
      <x:c r="M109" s="14" t="str">
        <x:v>25131</x:v>
      </x:c>
      <x:c r="N109" s="14" t="n">
        <x:v>2</x:v>
      </x:c>
      <x:c r="O109" s="14" t="n">
        <x:v>4594</x:v>
      </x:c>
      <x:c r="P109" s="14" t="n">
        <x:v>370</x:v>
      </x:c>
      <x:c r="Q109" s="14" t="n">
        <x:v>21</x:v>
      </x:c>
      <x:c r="R109" s="14" t="n">
        <x:v>2</x:v>
      </x:c>
      <x:c r="S109" s="14" t="str">
        <x:v>未收錄</x:v>
      </x:c>
      <x:c r="T109" s="14" t="str">
        <x:v>25132</x:v>
      </x:c>
      <x:c r="U109" s="14" t="n">
        <x:v>2</x:v>
      </x:c>
      <x:c r="V109" s="14" t="n">
        <x:v>4595</x:v>
      </x:c>
      <x:c r="W109" s="14" t="n">
        <x:v>371</x:v>
      </x:c>
      <x:c r="X109" s="14" t="n">
        <x:v>21</x:v>
      </x:c>
      <x:c r="Y109" s="14" t="n">
        <x:v>3</x:v>
      </x:c>
      <x:c r="Z109" s="14" t="str">
        <x:v>未收錄</x:v>
      </x:c>
      <x:c r="AA109" s="14" t="str">
        <x:v>25133</x:v>
      </x:c>
      <x:c r="AB109" s="14" t="n">
        <x:v>1</x:v>
      </x:c>
      <x:c r="AC109" s="14" t="n">
        <x:v>4596</x:v>
      </x:c>
      <x:c r="AD109" s="14" t="n">
        <x:v>372</x:v>
      </x:c>
      <x:c r="AE109" s="14" t="n">
        <x:v>21</x:v>
      </x:c>
      <x:c r="AF109" s="14" t="n">
        <x:v>4</x:v>
      </x:c>
      <x:c r="AG109" s="14" t="str">
        <x:v>未收錄</x:v>
      </x:c>
    </x:row>
    <x:row r="110" ht="15" customHeight="1">
      <x:c r="A110" s="18" t="str">
        <x:v>少陰飾品配方</x:v>
      </x:c>
      <x:c r="B110" s="18" t="str">
        <x:v>太陰飾品配方</x:v>
      </x:c>
      <x:c r="C110" s="18" t="str">
        <x:v>純陰飾品配方</x:v>
      </x:c>
      <x:c r="D110" s="18" t="str">
        <x:v>龍鳳加持配方</x:v>
      </x:c>
      <x:c r="E110" s="14"/>
      <x:c r="F110" s="14" t="str">
        <x:v>25134</x:v>
      </x:c>
      <x:c r="G110" s="14" t="n">
        <x:v>1</x:v>
      </x:c>
      <x:c r="H110" s="14" t="n">
        <x:v>4597</x:v>
      </x:c>
      <x:c r="I110" s="14" t="n">
        <x:v>373</x:v>
      </x:c>
      <x:c r="J110" s="14" t="n">
        <x:v>22</x:v>
      </x:c>
      <x:c r="K110" s="14" t="n">
        <x:v>1</x:v>
      </x:c>
      <x:c r="L110" s="14" t="str">
        <x:v>未收錄</x:v>
      </x:c>
      <x:c r="M110" s="14" t="str">
        <x:v>25135</x:v>
      </x:c>
      <x:c r="N110" s="14" t="n">
        <x:v>2</x:v>
      </x:c>
      <x:c r="O110" s="14" t="n">
        <x:v>4598</x:v>
      </x:c>
      <x:c r="P110" s="14" t="n">
        <x:v>374</x:v>
      </x:c>
      <x:c r="Q110" s="14" t="n">
        <x:v>22</x:v>
      </x:c>
      <x:c r="R110" s="14" t="n">
        <x:v>2</x:v>
      </x:c>
      <x:c r="S110" s="14" t="str">
        <x:v>未收錄</x:v>
      </x:c>
      <x:c r="T110" s="14" t="str">
        <x:v>25136</x:v>
      </x:c>
      <x:c r="U110" s="14" t="n">
        <x:v>2</x:v>
      </x:c>
      <x:c r="V110" s="14" t="n">
        <x:v>4599</x:v>
      </x:c>
      <x:c r="W110" s="14" t="n">
        <x:v>375</x:v>
      </x:c>
      <x:c r="X110" s="14" t="n">
        <x:v>22</x:v>
      </x:c>
      <x:c r="Y110" s="14" t="n">
        <x:v>3</x:v>
      </x:c>
      <x:c r="Z110" s="14" t="str">
        <x:v>未收錄</x:v>
      </x:c>
      <x:c r="AA110" s="14" t="str">
        <x:v>25202</x:v>
      </x:c>
      <x:c r="AB110" s="14" t="n">
        <x:v>2</x:v>
      </x:c>
      <x:c r="AC110" s="14" t="n">
        <x:v>4600</x:v>
      </x:c>
      <x:c r="AD110" s="14" t="n">
        <x:v>376</x:v>
      </x:c>
      <x:c r="AE110" s="14" t="n">
        <x:v>22</x:v>
      </x:c>
      <x:c r="AF110" s="14" t="n">
        <x:v>4</x:v>
      </x:c>
      <x:c r="AG110" s="14" t="str">
        <x:v>未收錄</x:v>
      </x:c>
    </x:row>
    <x:row r="111" ht="15" customHeight="1">
      <x:c r="A111" s="17" t="str">
        <x:v>藏鋒配方</x:v>
      </x:c>
      <x:c r="B111" s="17" t="str">
        <x:v>凝氣配方</x:v>
      </x:c>
      <x:c r="C111" s="17" t="str">
        <x:v>煉骨配方</x:v>
      </x:c>
      <x:c r="D111" s="17" t="str">
        <x:v>御力配方</x:v>
      </x:c>
      <x:c r="E111" s="14"/>
      <x:c r="F111" s="14" t="str">
        <x:v>25203</x:v>
      </x:c>
      <x:c r="G111" s="14" t="n">
        <x:v>2</x:v>
      </x:c>
      <x:c r="H111" s="14" t="n">
        <x:v>4601</x:v>
      </x:c>
      <x:c r="I111" s="14" t="n">
        <x:v>377</x:v>
      </x:c>
      <x:c r="J111" s="14" t="n">
        <x:v>23</x:v>
      </x:c>
      <x:c r="K111" s="14" t="n">
        <x:v>1</x:v>
      </x:c>
      <x:c r="L111" s="14" t="str">
        <x:v>未收錄</x:v>
      </x:c>
      <x:c r="M111" s="14" t="str">
        <x:v>25204</x:v>
      </x:c>
      <x:c r="N111" s="14" t="n">
        <x:v>2</x:v>
      </x:c>
      <x:c r="O111" s="14" t="n">
        <x:v>4602</x:v>
      </x:c>
      <x:c r="P111" s="14" t="n">
        <x:v>378</x:v>
      </x:c>
      <x:c r="Q111" s="14" t="n">
        <x:v>23</x:v>
      </x:c>
      <x:c r="R111" s="14" t="n">
        <x:v>2</x:v>
      </x:c>
      <x:c r="S111" s="14" t="str">
        <x:v>未收錄</x:v>
      </x:c>
      <x:c r="T111" s="14" t="str">
        <x:v>25216</x:v>
      </x:c>
      <x:c r="U111" s="14" t="n">
        <x:v>2</x:v>
      </x:c>
      <x:c r="V111" s="14" t="n">
        <x:v>4603</x:v>
      </x:c>
      <x:c r="W111" s="14" t="n">
        <x:v>379</x:v>
      </x:c>
      <x:c r="X111" s="14" t="n">
        <x:v>23</x:v>
      </x:c>
      <x:c r="Y111" s="14" t="n">
        <x:v>3</x:v>
      </x:c>
      <x:c r="Z111" s="14" t="str">
        <x:v>未收錄</x:v>
      </x:c>
      <x:c r="AA111" s="14" t="str">
        <x:v>25217</x:v>
      </x:c>
      <x:c r="AB111" s="14" t="n">
        <x:v>2</x:v>
      </x:c>
      <x:c r="AC111" s="14" t="n">
        <x:v>4604</x:v>
      </x:c>
      <x:c r="AD111" s="14" t="n">
        <x:v>380</x:v>
      </x:c>
      <x:c r="AE111" s="14" t="n">
        <x:v>23</x:v>
      </x:c>
      <x:c r="AF111" s="14" t="n">
        <x:v>4</x:v>
      </x:c>
      <x:c r="AG111" s="14" t="str">
        <x:v>未收錄</x:v>
      </x:c>
    </x:row>
    <x:row r="112" ht="15" customHeight="1">
      <x:c r="A112" s="18" t="str">
        <x:v>釋慧配方</x:v>
      </x:c>
      <x:c r="B112" s="18" t="str">
        <x:v>踏雲配方</x:v>
      </x:c>
      <x:c r="C112" s="18" t="str">
        <x:v>活氣配方</x:v>
      </x:c>
      <x:c r="D112" s="18" t="str">
        <x:v>天罡配方</x:v>
      </x:c>
      <x:c r="E112" s="14"/>
      <x:c r="F112" s="14" t="str">
        <x:v>25218</x:v>
      </x:c>
      <x:c r="G112" s="14" t="n">
        <x:v>2</x:v>
      </x:c>
      <x:c r="H112" s="14" t="n">
        <x:v>4605</x:v>
      </x:c>
      <x:c r="I112" s="14" t="n">
        <x:v>381</x:v>
      </x:c>
      <x:c r="J112" s="14" t="n">
        <x:v>24</x:v>
      </x:c>
      <x:c r="K112" s="14" t="n">
        <x:v>1</x:v>
      </x:c>
      <x:c r="L112" s="14" t="str">
        <x:v>未收錄</x:v>
      </x:c>
      <x:c r="M112" s="14" t="str">
        <x:v>25219</x:v>
      </x:c>
      <x:c r="N112" s="14" t="n">
        <x:v>2</x:v>
      </x:c>
      <x:c r="O112" s="14" t="n">
        <x:v>4606</x:v>
      </x:c>
      <x:c r="P112" s="14" t="n">
        <x:v>382</x:v>
      </x:c>
      <x:c r="Q112" s="14" t="n">
        <x:v>24</x:v>
      </x:c>
      <x:c r="R112" s="14" t="n">
        <x:v>2</x:v>
      </x:c>
      <x:c r="S112" s="14" t="str">
        <x:v>未收錄</x:v>
      </x:c>
      <x:c r="T112" s="14" t="str">
        <x:v>25220</x:v>
      </x:c>
      <x:c r="U112" s="14" t="n">
        <x:v>2</x:v>
      </x:c>
      <x:c r="V112" s="14" t="n">
        <x:v>4607</x:v>
      </x:c>
      <x:c r="W112" s="14" t="n">
        <x:v>383</x:v>
      </x:c>
      <x:c r="X112" s="14" t="n">
        <x:v>24</x:v>
      </x:c>
      <x:c r="Y112" s="14" t="n">
        <x:v>3</x:v>
      </x:c>
      <x:c r="Z112" s="14" t="str">
        <x:v>未收錄</x:v>
      </x:c>
      <x:c r="AA112" s="14" t="str">
        <x:v>25223</x:v>
      </x:c>
      <x:c r="AB112" s="14" t="n">
        <x:v>2</x:v>
      </x:c>
      <x:c r="AC112" s="14" t="n">
        <x:v>4608</x:v>
      </x:c>
      <x:c r="AD112" s="14" t="n">
        <x:v>384</x:v>
      </x:c>
      <x:c r="AE112" s="14" t="n">
        <x:v>24</x:v>
      </x:c>
      <x:c r="AF112" s="14" t="n">
        <x:v>4</x:v>
      </x:c>
      <x:c r="AG112" s="14" t="str">
        <x:v>未收錄</x:v>
      </x:c>
    </x:row>
    <x:row r="113">
      <x:c r="A113" s="14"/>
      <x:c r="B113" s="14"/>
      <x:c r="C113" s="14"/>
      <x:c r="D113" s="14"/>
      <x:c r="E113" s="14"/>
      <x:c r="F113" s="14"/>
      <x:c r="G113" s="14"/>
      <x:c r="H113" s="14"/>
      <x:c r="I113" s="14"/>
      <x:c r="J113" s="14"/>
      <x:c r="K113" s="14"/>
      <x:c r="L113" s="14"/>
      <x:c r="M113" s="14"/>
      <x:c r="N113" s="14"/>
      <x:c r="O113" s="14"/>
      <x:c r="P113" s="14"/>
      <x:c r="Q113" s="14"/>
      <x:c r="R113" s="14"/>
      <x:c r="S113" s="14"/>
      <x:c r="T113" s="14"/>
      <x:c r="U113" s="14"/>
      <x:c r="V113" s="14"/>
      <x:c r="W113" s="14"/>
      <x:c r="X113" s="14"/>
      <x:c r="Y113" s="14"/>
      <x:c r="Z113" s="14"/>
      <x:c r="AA113" s="14"/>
      <x:c r="AB113" s="14"/>
      <x:c r="AC113" s="14"/>
      <x:c r="AD113" s="14"/>
      <x:c r="AE113" s="14"/>
      <x:c r="AF113" s="14"/>
      <x:c r="AG113" s="14"/>
    </x:row>
    <x:row r="114" ht="25" customHeight="1">
      <x:c r="A114" s="16" t="str">
        <x:v>配方5　／　96 筆</x:v>
      </x:c>
      <x:c r="B114" s="16"/>
      <x:c r="C114" s="16"/>
      <x:c r="D114" s="16"/>
      <x:c r="E114" s="14"/>
      <x:c r="F114" s="14"/>
      <x:c r="G114" s="14"/>
      <x:c r="H114" s="14"/>
      <x:c r="I114" s="14"/>
      <x:c r="J114" s="14"/>
      <x:c r="K114" s="14"/>
      <x:c r="L114" s="14"/>
      <x:c r="M114" s="14"/>
      <x:c r="N114" s="14"/>
      <x:c r="O114" s="14"/>
      <x:c r="P114" s="14"/>
      <x:c r="Q114" s="14"/>
      <x:c r="R114" s="14"/>
      <x:c r="S114" s="14"/>
      <x:c r="T114" s="14"/>
      <x:c r="U114" s="14"/>
      <x:c r="V114" s="14"/>
      <x:c r="W114" s="14"/>
      <x:c r="X114" s="14"/>
      <x:c r="Y114" s="14"/>
      <x:c r="Z114" s="14"/>
      <x:c r="AA114" s="14"/>
      <x:c r="AB114" s="14"/>
      <x:c r="AC114" s="14"/>
      <x:c r="AD114" s="14"/>
      <x:c r="AE114" s="14"/>
      <x:c r="AF114" s="14"/>
      <x:c r="AG114" s="14"/>
    </x:row>
    <x:row r="115" ht="15" customHeight="1">
      <x:c r="A115" s="17" t="str">
        <x:v>玄真配方</x:v>
      </x:c>
      <x:c r="B115" s="17" t="str">
        <x:v>靈珠加持配方</x:v>
      </x:c>
      <x:c r="C115" s="17" t="str">
        <x:v>負重煉製配方</x:v>
      </x:c>
      <x:c r="D115" s="17" t="str">
        <x:v>尊宮飾品配方</x:v>
      </x:c>
      <x:c r="E115" s="14"/>
      <x:c r="F115" s="14" t="str">
        <x:v>25224</x:v>
      </x:c>
      <x:c r="G115" s="14" t="n">
        <x:v>2</x:v>
      </x:c>
      <x:c r="H115" s="14" t="n">
        <x:v>4609</x:v>
      </x:c>
      <x:c r="I115" s="14" t="n">
        <x:v>385</x:v>
      </x:c>
      <x:c r="J115" s="14" t="n">
        <x:v>1</x:v>
      </x:c>
      <x:c r="K115" s="14" t="n">
        <x:v>1</x:v>
      </x:c>
      <x:c r="L115" s="14" t="str">
        <x:v>未收錄</x:v>
      </x:c>
      <x:c r="M115" s="14" t="str">
        <x:v>25257</x:v>
      </x:c>
      <x:c r="N115" s="14" t="n">
        <x:v>3</x:v>
      </x:c>
      <x:c r="O115" s="14" t="n">
        <x:v>4610</x:v>
      </x:c>
      <x:c r="P115" s="14" t="n">
        <x:v>386</x:v>
      </x:c>
      <x:c r="Q115" s="14" t="n">
        <x:v>1</x:v>
      </x:c>
      <x:c r="R115" s="14" t="n">
        <x:v>2</x:v>
      </x:c>
      <x:c r="S115" s="14" t="str">
        <x:v>未收錄</x:v>
      </x:c>
      <x:c r="T115" s="14" t="str">
        <x:v>25259</x:v>
      </x:c>
      <x:c r="U115" s="14" t="n">
        <x:v>5</x:v>
      </x:c>
      <x:c r="V115" s="14" t="n">
        <x:v>4611</x:v>
      </x:c>
      <x:c r="W115" s="14" t="n">
        <x:v>387</x:v>
      </x:c>
      <x:c r="X115" s="14" t="n">
        <x:v>1</x:v>
      </x:c>
      <x:c r="Y115" s="14" t="n">
        <x:v>3</x:v>
      </x:c>
      <x:c r="Z115" s="14" t="str">
        <x:v>未收錄</x:v>
      </x:c>
      <x:c r="AA115" s="14" t="str">
        <x:v>25261</x:v>
      </x:c>
      <x:c r="AB115" s="14" t="n">
        <x:v>2</x:v>
      </x:c>
      <x:c r="AC115" s="14" t="n">
        <x:v>4612</x:v>
      </x:c>
      <x:c r="AD115" s="14" t="n">
        <x:v>388</x:v>
      </x:c>
      <x:c r="AE115" s="14" t="n">
        <x:v>1</x:v>
      </x:c>
      <x:c r="AF115" s="14" t="n">
        <x:v>4</x:v>
      </x:c>
      <x:c r="AG115" s="14" t="str">
        <x:v>未收錄</x:v>
      </x:c>
    </x:row>
    <x:row r="116" ht="15" customHeight="1">
      <x:c r="A116" s="18" t="str">
        <x:v>御護飾品配方</x:v>
      </x:c>
      <x:c r="B116" s="18" t="str">
        <x:v>閻王加持配方</x:v>
      </x:c>
      <x:c r="C116" s="18" t="str">
        <x:v>赤邪加持配方</x:v>
      </x:c>
      <x:c r="D116" s="18" t="str">
        <x:v>大閻王加持配方</x:v>
      </x:c>
      <x:c r="E116" s="14"/>
      <x:c r="F116" s="14" t="str">
        <x:v>25262</x:v>
      </x:c>
      <x:c r="G116" s="14" t="n">
        <x:v>2</x:v>
      </x:c>
      <x:c r="H116" s="14" t="n">
        <x:v>4613</x:v>
      </x:c>
      <x:c r="I116" s="14" t="n">
        <x:v>389</x:v>
      </x:c>
      <x:c r="J116" s="14" t="n">
        <x:v>2</x:v>
      </x:c>
      <x:c r="K116" s="14" t="n">
        <x:v>1</x:v>
      </x:c>
      <x:c r="L116" s="14" t="str">
        <x:v>未收錄</x:v>
      </x:c>
      <x:c r="M116" s="14" t="str">
        <x:v>25299</x:v>
      </x:c>
      <x:c r="N116" s="14" t="n">
        <x:v>2</x:v>
      </x:c>
      <x:c r="O116" s="14" t="n">
        <x:v>4614</x:v>
      </x:c>
      <x:c r="P116" s="14" t="n">
        <x:v>390</x:v>
      </x:c>
      <x:c r="Q116" s="14" t="n">
        <x:v>2</x:v>
      </x:c>
      <x:c r="R116" s="14" t="n">
        <x:v>2</x:v>
      </x:c>
      <x:c r="S116" s="14" t="str">
        <x:v>未收錄</x:v>
      </x:c>
      <x:c r="T116" s="14" t="str">
        <x:v>25300</x:v>
      </x:c>
      <x:c r="U116" s="14" t="n">
        <x:v>2</x:v>
      </x:c>
      <x:c r="V116" s="14" t="n">
        <x:v>4615</x:v>
      </x:c>
      <x:c r="W116" s="14" t="n">
        <x:v>391</x:v>
      </x:c>
      <x:c r="X116" s="14" t="n">
        <x:v>2</x:v>
      </x:c>
      <x:c r="Y116" s="14" t="n">
        <x:v>3</x:v>
      </x:c>
      <x:c r="Z116" s="14" t="str">
        <x:v>未收錄</x:v>
      </x:c>
      <x:c r="AA116" s="14" t="str">
        <x:v>25383</x:v>
      </x:c>
      <x:c r="AB116" s="14" t="n">
        <x:v>3</x:v>
      </x:c>
      <x:c r="AC116" s="14" t="n">
        <x:v>4616</x:v>
      </x:c>
      <x:c r="AD116" s="14" t="n">
        <x:v>392</x:v>
      </x:c>
      <x:c r="AE116" s="14" t="n">
        <x:v>2</x:v>
      </x:c>
      <x:c r="AF116" s="14" t="n">
        <x:v>4</x:v>
      </x:c>
      <x:c r="AG116" s="14" t="str">
        <x:v>未收錄</x:v>
      </x:c>
    </x:row>
    <x:row r="117" ht="15" customHeight="1">
      <x:c r="A117" s="17" t="str">
        <x:v>業火武器配方</x:v>
      </x:c>
      <x:c r="B117" s="17" t="str">
        <x:v>冰獄武器配方</x:v>
      </x:c>
      <x:c r="C117" s="17" t="str">
        <x:v>雷光武器配方</x:v>
      </x:c>
      <x:c r="D117" s="17" t="str">
        <x:v>冥府武器配方</x:v>
      </x:c>
      <x:c r="E117" s="14"/>
      <x:c r="F117" s="14" t="str">
        <x:v>25263</x:v>
      </x:c>
      <x:c r="G117" s="14" t="n">
        <x:v>5</x:v>
      </x:c>
      <x:c r="H117" s="14" t="n">
        <x:v>4617</x:v>
      </x:c>
      <x:c r="I117" s="14" t="n">
        <x:v>393</x:v>
      </x:c>
      <x:c r="J117" s="14" t="n">
        <x:v>3</x:v>
      </x:c>
      <x:c r="K117" s="14" t="n">
        <x:v>1</x:v>
      </x:c>
      <x:c r="L117" s="14" t="str">
        <x:v>未收錄</x:v>
      </x:c>
      <x:c r="M117" s="14" t="str">
        <x:v>25264</x:v>
      </x:c>
      <x:c r="N117" s="14" t="n">
        <x:v>5</x:v>
      </x:c>
      <x:c r="O117" s="14" t="n">
        <x:v>4618</x:v>
      </x:c>
      <x:c r="P117" s="14" t="n">
        <x:v>394</x:v>
      </x:c>
      <x:c r="Q117" s="14" t="n">
        <x:v>3</x:v>
      </x:c>
      <x:c r="R117" s="14" t="n">
        <x:v>2</x:v>
      </x:c>
      <x:c r="S117" s="14" t="str">
        <x:v>未收錄</x:v>
      </x:c>
      <x:c r="T117" s="14" t="str">
        <x:v>25265</x:v>
      </x:c>
      <x:c r="U117" s="14" t="n">
        <x:v>5</x:v>
      </x:c>
      <x:c r="V117" s="14" t="n">
        <x:v>4619</x:v>
      </x:c>
      <x:c r="W117" s="14" t="n">
        <x:v>395</x:v>
      </x:c>
      <x:c r="X117" s="14" t="n">
        <x:v>3</x:v>
      </x:c>
      <x:c r="Y117" s="14" t="n">
        <x:v>3</x:v>
      </x:c>
      <x:c r="Z117" s="14" t="str">
        <x:v>未收錄</x:v>
      </x:c>
      <x:c r="AA117" s="14" t="str">
        <x:v>25266</x:v>
      </x:c>
      <x:c r="AB117" s="14" t="n">
        <x:v>5</x:v>
      </x:c>
      <x:c r="AC117" s="14" t="n">
        <x:v>4620</x:v>
      </x:c>
      <x:c r="AD117" s="14" t="n">
        <x:v>396</x:v>
      </x:c>
      <x:c r="AE117" s="14" t="n">
        <x:v>3</x:v>
      </x:c>
      <x:c r="AF117" s="14" t="n">
        <x:v>4</x:v>
      </x:c>
      <x:c r="AG117" s="14" t="str">
        <x:v>未收錄</x:v>
      </x:c>
    </x:row>
    <x:row r="118" ht="15" customHeight="1">
      <x:c r="A118" s="18" t="str">
        <x:v>妙覺賦法配方</x:v>
      </x:c>
      <x:c r="B118" s="18" t="str">
        <x:v>嶄鋒配方</x:v>
      </x:c>
      <x:c r="C118" s="18" t="str">
        <x:v>凝識配方</x:v>
      </x:c>
      <x:c r="D118" s="18" t="str">
        <x:v>玄魄配方</x:v>
      </x:c>
      <x:c r="E118" s="14"/>
      <x:c r="F118" s="14" t="str">
        <x:v>25267</x:v>
      </x:c>
      <x:c r="G118" s="14" t="n">
        <x:v>5</x:v>
      </x:c>
      <x:c r="H118" s="14" t="n">
        <x:v>4621</x:v>
      </x:c>
      <x:c r="I118" s="14" t="n">
        <x:v>397</x:v>
      </x:c>
      <x:c r="J118" s="14" t="n">
        <x:v>4</x:v>
      </x:c>
      <x:c r="K118" s="14" t="n">
        <x:v>1</x:v>
      </x:c>
      <x:c r="L118" s="14" t="str">
        <x:v>未收錄</x:v>
      </x:c>
      <x:c r="M118" s="14" t="str">
        <x:v>25269</x:v>
      </x:c>
      <x:c r="N118" s="14" t="n">
        <x:v>3</x:v>
      </x:c>
      <x:c r="O118" s="14" t="n">
        <x:v>4622</x:v>
      </x:c>
      <x:c r="P118" s="14" t="n">
        <x:v>398</x:v>
      </x:c>
      <x:c r="Q118" s="14" t="n">
        <x:v>4</x:v>
      </x:c>
      <x:c r="R118" s="14" t="n">
        <x:v>2</x:v>
      </x:c>
      <x:c r="S118" s="14" t="str">
        <x:v>未收錄</x:v>
      </x:c>
      <x:c r="T118" s="14" t="str">
        <x:v>25270</x:v>
      </x:c>
      <x:c r="U118" s="14" t="n">
        <x:v>3</x:v>
      </x:c>
      <x:c r="V118" s="14" t="n">
        <x:v>4623</x:v>
      </x:c>
      <x:c r="W118" s="14" t="n">
        <x:v>399</x:v>
      </x:c>
      <x:c r="X118" s="14" t="n">
        <x:v>4</x:v>
      </x:c>
      <x:c r="Y118" s="14" t="n">
        <x:v>3</x:v>
      </x:c>
      <x:c r="Z118" s="14" t="str">
        <x:v>未收錄</x:v>
      </x:c>
      <x:c r="AA118" s="14" t="str">
        <x:v>25276</x:v>
      </x:c>
      <x:c r="AB118" s="14" t="n">
        <x:v>3</x:v>
      </x:c>
      <x:c r="AC118" s="14" t="n">
        <x:v>4624</x:v>
      </x:c>
      <x:c r="AD118" s="14" t="n">
        <x:v>400</x:v>
      </x:c>
      <x:c r="AE118" s="14" t="n">
        <x:v>4</x:v>
      </x:c>
      <x:c r="AF118" s="14" t="n">
        <x:v>4</x:v>
      </x:c>
      <x:c r="AG118" s="14" t="str">
        <x:v>未收錄</x:v>
      </x:c>
    </x:row>
    <x:row r="119" ht="15" customHeight="1">
      <x:c r="A119" s="17" t="str">
        <x:v>虎魂配方</x:v>
      </x:c>
      <x:c r="B119" s="17" t="str">
        <x:v>龍思配方</x:v>
      </x:c>
      <x:c r="C119" s="17" t="str">
        <x:v>鳳凌配方</x:v>
      </x:c>
      <x:c r="D119" s="17" t="str">
        <x:v>麟鋼配方</x:v>
      </x:c>
      <x:c r="E119" s="14"/>
      <x:c r="F119" s="14" t="str">
        <x:v>25277</x:v>
      </x:c>
      <x:c r="G119" s="14" t="n">
        <x:v>3</x:v>
      </x:c>
      <x:c r="H119" s="14" t="n">
        <x:v>4625</x:v>
      </x:c>
      <x:c r="I119" s="14" t="n">
        <x:v>401</x:v>
      </x:c>
      <x:c r="J119" s="14" t="n">
        <x:v>5</x:v>
      </x:c>
      <x:c r="K119" s="14" t="n">
        <x:v>1</x:v>
      </x:c>
      <x:c r="L119" s="14" t="str">
        <x:v>未收錄</x:v>
      </x:c>
      <x:c r="M119" s="14" t="str">
        <x:v>25278</x:v>
      </x:c>
      <x:c r="N119" s="14" t="n">
        <x:v>3</x:v>
      </x:c>
      <x:c r="O119" s="14" t="n">
        <x:v>4626</x:v>
      </x:c>
      <x:c r="P119" s="14" t="n">
        <x:v>402</x:v>
      </x:c>
      <x:c r="Q119" s="14" t="n">
        <x:v>5</x:v>
      </x:c>
      <x:c r="R119" s="14" t="n">
        <x:v>2</x:v>
      </x:c>
      <x:c r="S119" s="14" t="str">
        <x:v>未收錄</x:v>
      </x:c>
      <x:c r="T119" s="14" t="str">
        <x:v>25279</x:v>
      </x:c>
      <x:c r="U119" s="14" t="n">
        <x:v>3</x:v>
      </x:c>
      <x:c r="V119" s="14" t="n">
        <x:v>4627</x:v>
      </x:c>
      <x:c r="W119" s="14" t="n">
        <x:v>403</x:v>
      </x:c>
      <x:c r="X119" s="14" t="n">
        <x:v>5</x:v>
      </x:c>
      <x:c r="Y119" s="14" t="n">
        <x:v>3</x:v>
      </x:c>
      <x:c r="Z119" s="14" t="str">
        <x:v>未收錄</x:v>
      </x:c>
      <x:c r="AA119" s="14" t="str">
        <x:v>25280</x:v>
      </x:c>
      <x:c r="AB119" s="14" t="n">
        <x:v>3</x:v>
      </x:c>
      <x:c r="AC119" s="14" t="n">
        <x:v>4628</x:v>
      </x:c>
      <x:c r="AD119" s="14" t="n">
        <x:v>404</x:v>
      </x:c>
      <x:c r="AE119" s="14" t="n">
        <x:v>5</x:v>
      </x:c>
      <x:c r="AF119" s="14" t="n">
        <x:v>4</x:v>
      </x:c>
      <x:c r="AG119" s="14" t="str">
        <x:v>未收錄</x:v>
      </x:c>
    </x:row>
    <x:row r="120" ht="15" customHeight="1">
      <x:c r="A120" s="18" t="str">
        <x:v>乾天武器配方</x:v>
      </x:c>
      <x:c r="B120" s="18" t="str">
        <x:v>坤元武器配方</x:v>
      </x:c>
      <x:c r="C120" s="18" t="str">
        <x:v>兌澤武器配方</x:v>
      </x:c>
      <x:c r="D120" s="18" t="str">
        <x:v>巽風武器配方</x:v>
      </x:c>
      <x:c r="E120" s="14"/>
      <x:c r="F120" s="14" t="str">
        <x:v>25285</x:v>
      </x:c>
      <x:c r="G120" s="14" t="n">
        <x:v>3</x:v>
      </x:c>
      <x:c r="H120" s="14" t="n">
        <x:v>4629</x:v>
      </x:c>
      <x:c r="I120" s="14" t="n">
        <x:v>405</x:v>
      </x:c>
      <x:c r="J120" s="14" t="n">
        <x:v>6</x:v>
      </x:c>
      <x:c r="K120" s="14" t="n">
        <x:v>1</x:v>
      </x:c>
      <x:c r="L120" s="14" t="str">
        <x:v>未收錄</x:v>
      </x:c>
      <x:c r="M120" s="14" t="str">
        <x:v>25286</x:v>
      </x:c>
      <x:c r="N120" s="14" t="n">
        <x:v>3</x:v>
      </x:c>
      <x:c r="O120" s="14" t="n">
        <x:v>4630</x:v>
      </x:c>
      <x:c r="P120" s="14" t="n">
        <x:v>406</x:v>
      </x:c>
      <x:c r="Q120" s="14" t="n">
        <x:v>6</x:v>
      </x:c>
      <x:c r="R120" s="14" t="n">
        <x:v>2</x:v>
      </x:c>
      <x:c r="S120" s="14" t="str">
        <x:v>未收錄</x:v>
      </x:c>
      <x:c r="T120" s="14" t="str">
        <x:v>25287</x:v>
      </x:c>
      <x:c r="U120" s="14" t="n">
        <x:v>3</x:v>
      </x:c>
      <x:c r="V120" s="14" t="n">
        <x:v>4631</x:v>
      </x:c>
      <x:c r="W120" s="14" t="n">
        <x:v>407</x:v>
      </x:c>
      <x:c r="X120" s="14" t="n">
        <x:v>6</x:v>
      </x:c>
      <x:c r="Y120" s="14" t="n">
        <x:v>3</x:v>
      </x:c>
      <x:c r="Z120" s="14" t="str">
        <x:v>未收錄</x:v>
      </x:c>
      <x:c r="AA120" s="14" t="str">
        <x:v>25288</x:v>
      </x:c>
      <x:c r="AB120" s="14" t="n">
        <x:v>3</x:v>
      </x:c>
      <x:c r="AC120" s="14" t="n">
        <x:v>4632</x:v>
      </x:c>
      <x:c r="AD120" s="14" t="n">
        <x:v>408</x:v>
      </x:c>
      <x:c r="AE120" s="14" t="n">
        <x:v>6</x:v>
      </x:c>
      <x:c r="AF120" s="14" t="n">
        <x:v>4</x:v>
      </x:c>
      <x:c r="AG120" s="14" t="str">
        <x:v>未收錄</x:v>
      </x:c>
    </x:row>
    <x:row r="121" ht="15" customHeight="1">
      <x:c r="A121" s="17" t="str">
        <x:v>聖禦配方</x:v>
      </x:c>
      <x:c r="B121" s="17" t="str">
        <x:v>天守配方</x:v>
      </x:c>
      <x:c r="C121" s="17" t="str">
        <x:v>神鋒配方</x:v>
      </x:c>
      <x:c r="D121" s="17" t="str">
        <x:v>仙識配方</x:v>
      </x:c>
      <x:c r="E121" s="14"/>
      <x:c r="F121" s="14" t="str">
        <x:v>25394</x:v>
      </x:c>
      <x:c r="G121" s="14" t="n">
        <x:v>3</x:v>
      </x:c>
      <x:c r="H121" s="14" t="n">
        <x:v>4633</x:v>
      </x:c>
      <x:c r="I121" s="14" t="n">
        <x:v>409</x:v>
      </x:c>
      <x:c r="J121" s="14" t="n">
        <x:v>7</x:v>
      </x:c>
      <x:c r="K121" s="14" t="n">
        <x:v>1</x:v>
      </x:c>
      <x:c r="L121" s="14" t="str">
        <x:v>未收錄</x:v>
      </x:c>
      <x:c r="M121" s="14" t="str">
        <x:v>25395</x:v>
      </x:c>
      <x:c r="N121" s="14" t="n">
        <x:v>3</x:v>
      </x:c>
      <x:c r="O121" s="14" t="n">
        <x:v>4634</x:v>
      </x:c>
      <x:c r="P121" s="14" t="n">
        <x:v>410</x:v>
      </x:c>
      <x:c r="Q121" s="14" t="n">
        <x:v>7</x:v>
      </x:c>
      <x:c r="R121" s="14" t="n">
        <x:v>2</x:v>
      </x:c>
      <x:c r="S121" s="14" t="str">
        <x:v>未收錄</x:v>
      </x:c>
      <x:c r="T121" s="14" t="str">
        <x:v>25396</x:v>
      </x:c>
      <x:c r="U121" s="14" t="n">
        <x:v>3</x:v>
      </x:c>
      <x:c r="V121" s="14" t="n">
        <x:v>4635</x:v>
      </x:c>
      <x:c r="W121" s="14" t="n">
        <x:v>411</x:v>
      </x:c>
      <x:c r="X121" s="14" t="n">
        <x:v>7</x:v>
      </x:c>
      <x:c r="Y121" s="14" t="n">
        <x:v>3</x:v>
      </x:c>
      <x:c r="Z121" s="14" t="str">
        <x:v>未收錄</x:v>
      </x:c>
      <x:c r="AA121" s="14" t="str">
        <x:v>25397</x:v>
      </x:c>
      <x:c r="AB121" s="14" t="n">
        <x:v>3</x:v>
      </x:c>
      <x:c r="AC121" s="14" t="n">
        <x:v>4636</x:v>
      </x:c>
      <x:c r="AD121" s="14" t="n">
        <x:v>412</x:v>
      </x:c>
      <x:c r="AE121" s="14" t="n">
        <x:v>7</x:v>
      </x:c>
      <x:c r="AF121" s="14" t="n">
        <x:v>4</x:v>
      </x:c>
      <x:c r="AG121" s="14" t="str">
        <x:v>未收錄</x:v>
      </x:c>
    </x:row>
    <x:row r="122" ht="15" customHeight="1">
      <x:c r="A122" s="18" t="str">
        <x:v>凰炎武器配方</x:v>
      </x:c>
      <x:c r="B122" s="18" t="str">
        <x:v>絕冰武器配方</x:v>
      </x:c>
      <x:c r="C122" s="18" t="str">
        <x:v>神雷武器配方</x:v>
      </x:c>
      <x:c r="D122" s="18" t="str">
        <x:v>閻尊武器配方</x:v>
      </x:c>
      <x:c r="E122" s="14"/>
      <x:c r="F122" s="14" t="str">
        <x:v>25398</x:v>
      </x:c>
      <x:c r="G122" s="14" t="n">
        <x:v>5</x:v>
      </x:c>
      <x:c r="H122" s="14" t="n">
        <x:v>4637</x:v>
      </x:c>
      <x:c r="I122" s="14" t="n">
        <x:v>413</x:v>
      </x:c>
      <x:c r="J122" s="14" t="n">
        <x:v>8</x:v>
      </x:c>
      <x:c r="K122" s="14" t="n">
        <x:v>1</x:v>
      </x:c>
      <x:c r="L122" s="14" t="str">
        <x:v>未收錄</x:v>
      </x:c>
      <x:c r="M122" s="14" t="str">
        <x:v>25399</x:v>
      </x:c>
      <x:c r="N122" s="14" t="n">
        <x:v>5</x:v>
      </x:c>
      <x:c r="O122" s="14" t="n">
        <x:v>4638</x:v>
      </x:c>
      <x:c r="P122" s="14" t="n">
        <x:v>414</x:v>
      </x:c>
      <x:c r="Q122" s="14" t="n">
        <x:v>8</x:v>
      </x:c>
      <x:c r="R122" s="14" t="n">
        <x:v>2</x:v>
      </x:c>
      <x:c r="S122" s="14" t="str">
        <x:v>未收錄</x:v>
      </x:c>
      <x:c r="T122" s="14" t="str">
        <x:v>25400</x:v>
      </x:c>
      <x:c r="U122" s="14" t="n">
        <x:v>5</x:v>
      </x:c>
      <x:c r="V122" s="14" t="n">
        <x:v>4639</x:v>
      </x:c>
      <x:c r="W122" s="14" t="n">
        <x:v>415</x:v>
      </x:c>
      <x:c r="X122" s="14" t="n">
        <x:v>8</x:v>
      </x:c>
      <x:c r="Y122" s="14" t="n">
        <x:v>3</x:v>
      </x:c>
      <x:c r="Z122" s="14" t="str">
        <x:v>未收錄</x:v>
      </x:c>
      <x:c r="AA122" s="14" t="str">
        <x:v>25401</x:v>
      </x:c>
      <x:c r="AB122" s="14" t="n">
        <x:v>5</x:v>
      </x:c>
      <x:c r="AC122" s="14" t="n">
        <x:v>4640</x:v>
      </x:c>
      <x:c r="AD122" s="14" t="n">
        <x:v>416</x:v>
      </x:c>
      <x:c r="AE122" s="14" t="n">
        <x:v>8</x:v>
      </x:c>
      <x:c r="AF122" s="14" t="n">
        <x:v>4</x:v>
      </x:c>
      <x:c r="AG122" s="14" t="str">
        <x:v>未收錄</x:v>
      </x:c>
    </x:row>
    <x:row r="123" ht="15" customHeight="1">
      <x:c r="A123" s="17" t="str">
        <x:v>玄空賦法配方</x:v>
      </x:c>
      <x:c r="B123" s="17" t="str">
        <x:v>萬岳煉製配方</x:v>
      </x:c>
      <x:c r="C123" s="17" t="str">
        <x:v>聖峰煉製配方</x:v>
      </x:c>
      <x:c r="D123" s="17" t="str">
        <x:v>乾翰武器配方</x:v>
      </x:c>
      <x:c r="E123" s="14"/>
      <x:c r="F123" s="14" t="str">
        <x:v>25402</x:v>
      </x:c>
      <x:c r="G123" s="14" t="n">
        <x:v>5</x:v>
      </x:c>
      <x:c r="H123" s="14" t="n">
        <x:v>4641</x:v>
      </x:c>
      <x:c r="I123" s="14" t="n">
        <x:v>417</x:v>
      </x:c>
      <x:c r="J123" s="14" t="n">
        <x:v>9</x:v>
      </x:c>
      <x:c r="K123" s="14" t="n">
        <x:v>1</x:v>
      </x:c>
      <x:c r="L123" s="14" t="str">
        <x:v>未收錄</x:v>
      </x:c>
      <x:c r="M123" s="14" t="str">
        <x:v>25403</x:v>
      </x:c>
      <x:c r="N123" s="14" t="n">
        <x:v>3</x:v>
      </x:c>
      <x:c r="O123" s="14" t="n">
        <x:v>4642</x:v>
      </x:c>
      <x:c r="P123" s="14" t="n">
        <x:v>418</x:v>
      </x:c>
      <x:c r="Q123" s="14" t="n">
        <x:v>9</x:v>
      </x:c>
      <x:c r="R123" s="14" t="n">
        <x:v>2</x:v>
      </x:c>
      <x:c r="S123" s="14" t="str">
        <x:v>未收錄</x:v>
      </x:c>
      <x:c r="T123" s="14" t="str">
        <x:v>25404</x:v>
      </x:c>
      <x:c r="U123" s="14" t="n">
        <x:v>3</x:v>
      </x:c>
      <x:c r="V123" s="14" t="n">
        <x:v>4643</x:v>
      </x:c>
      <x:c r="W123" s="14" t="n">
        <x:v>419</x:v>
      </x:c>
      <x:c r="X123" s="14" t="n">
        <x:v>9</x:v>
      </x:c>
      <x:c r="Y123" s="14" t="n">
        <x:v>3</x:v>
      </x:c>
      <x:c r="Z123" s="14" t="str">
        <x:v>未收錄</x:v>
      </x:c>
      <x:c r="AA123" s="14" t="str">
        <x:v>25419</x:v>
      </x:c>
      <x:c r="AB123" s="14" t="n">
        <x:v>3</x:v>
      </x:c>
      <x:c r="AC123" s="14" t="n">
        <x:v>4644</x:v>
      </x:c>
      <x:c r="AD123" s="14" t="n">
        <x:v>420</x:v>
      </x:c>
      <x:c r="AE123" s="14" t="n">
        <x:v>9</x:v>
      </x:c>
      <x:c r="AF123" s="14" t="n">
        <x:v>4</x:v>
      </x:c>
      <x:c r="AG123" s="14" t="str">
        <x:v>未收錄</x:v>
      </x:c>
    </x:row>
    <x:row r="124" ht="15" customHeight="1">
      <x:c r="A124" s="18" t="str">
        <x:v>坤界武器配方</x:v>
      </x:c>
      <x:c r="B124" s="18" t="str">
        <x:v>兌濤武器配方</x:v>
      </x:c>
      <x:c r="C124" s="18" t="str">
        <x:v>巽閃武器配方</x:v>
      </x:c>
      <x:c r="D124" s="18" t="str">
        <x:v>皇鋒配方</x:v>
      </x:c>
      <x:c r="E124" s="14"/>
      <x:c r="F124" s="14" t="str">
        <x:v>25420</x:v>
      </x:c>
      <x:c r="G124" s="14" t="n">
        <x:v>3</x:v>
      </x:c>
      <x:c r="H124" s="14" t="n">
        <x:v>4645</x:v>
      </x:c>
      <x:c r="I124" s="14" t="n">
        <x:v>421</x:v>
      </x:c>
      <x:c r="J124" s="14" t="n">
        <x:v>10</x:v>
      </x:c>
      <x:c r="K124" s="14" t="n">
        <x:v>1</x:v>
      </x:c>
      <x:c r="L124" s="14" t="str">
        <x:v>未收錄</x:v>
      </x:c>
      <x:c r="M124" s="14" t="str">
        <x:v>25421</x:v>
      </x:c>
      <x:c r="N124" s="14" t="n">
        <x:v>3</x:v>
      </x:c>
      <x:c r="O124" s="14" t="n">
        <x:v>4646</x:v>
      </x:c>
      <x:c r="P124" s="14" t="n">
        <x:v>422</x:v>
      </x:c>
      <x:c r="Q124" s="14" t="n">
        <x:v>10</x:v>
      </x:c>
      <x:c r="R124" s="14" t="n">
        <x:v>2</x:v>
      </x:c>
      <x:c r="S124" s="14" t="str">
        <x:v>未收錄</x:v>
      </x:c>
      <x:c r="T124" s="14" t="str">
        <x:v>25422</x:v>
      </x:c>
      <x:c r="U124" s="14" t="n">
        <x:v>3</x:v>
      </x:c>
      <x:c r="V124" s="14" t="n">
        <x:v>4647</x:v>
      </x:c>
      <x:c r="W124" s="14" t="n">
        <x:v>423</x:v>
      </x:c>
      <x:c r="X124" s="14" t="n">
        <x:v>10</x:v>
      </x:c>
      <x:c r="Y124" s="14" t="n">
        <x:v>3</x:v>
      </x:c>
      <x:c r="Z124" s="14" t="str">
        <x:v>未收錄</x:v>
      </x:c>
      <x:c r="AA124" s="14" t="str">
        <x:v>25415</x:v>
      </x:c>
      <x:c r="AB124" s="14" t="n">
        <x:v>3</x:v>
      </x:c>
      <x:c r="AC124" s="14" t="n">
        <x:v>4648</x:v>
      </x:c>
      <x:c r="AD124" s="14" t="n">
        <x:v>424</x:v>
      </x:c>
      <x:c r="AE124" s="14" t="n">
        <x:v>10</x:v>
      </x:c>
      <x:c r="AF124" s="14" t="n">
        <x:v>4</x:v>
      </x:c>
      <x:c r="AG124" s="14" t="str">
        <x:v>未收錄</x:v>
      </x:c>
    </x:row>
    <x:row r="125" ht="15" customHeight="1">
      <x:c r="A125" s="17" t="str">
        <x:v>帝氣配方</x:v>
      </x:c>
      <x:c r="B125" s="17" t="str">
        <x:v>神禦配方</x:v>
      </x:c>
      <x:c r="C125" s="17" t="str">
        <x:v>尊守配方</x:v>
      </x:c>
      <x:c r="D125" s="17" t="str">
        <x:v>玄燦配方</x:v>
      </x:c>
      <x:c r="E125" s="14"/>
      <x:c r="F125" s="14" t="str">
        <x:v>25416</x:v>
      </x:c>
      <x:c r="G125" s="14" t="n">
        <x:v>3</x:v>
      </x:c>
      <x:c r="H125" s="14" t="n">
        <x:v>4649</x:v>
      </x:c>
      <x:c r="I125" s="14" t="n">
        <x:v>425</x:v>
      </x:c>
      <x:c r="J125" s="14" t="n">
        <x:v>11</x:v>
      </x:c>
      <x:c r="K125" s="14" t="n">
        <x:v>1</x:v>
      </x:c>
      <x:c r="L125" s="14" t="str">
        <x:v>未收錄</x:v>
      </x:c>
      <x:c r="M125" s="14" t="str">
        <x:v>25417</x:v>
      </x:c>
      <x:c r="N125" s="14" t="n">
        <x:v>3</x:v>
      </x:c>
      <x:c r="O125" s="14" t="n">
        <x:v>4650</x:v>
      </x:c>
      <x:c r="P125" s="14" t="n">
        <x:v>426</x:v>
      </x:c>
      <x:c r="Q125" s="14" t="n">
        <x:v>11</x:v>
      </x:c>
      <x:c r="R125" s="14" t="n">
        <x:v>2</x:v>
      </x:c>
      <x:c r="S125" s="14" t="str">
        <x:v>未收錄</x:v>
      </x:c>
      <x:c r="T125" s="14" t="str">
        <x:v>25418</x:v>
      </x:c>
      <x:c r="U125" s="14" t="n">
        <x:v>3</x:v>
      </x:c>
      <x:c r="V125" s="14" t="n">
        <x:v>4651</x:v>
      </x:c>
      <x:c r="W125" s="14" t="n">
        <x:v>427</x:v>
      </x:c>
      <x:c r="X125" s="14" t="n">
        <x:v>11</x:v>
      </x:c>
      <x:c r="Y125" s="14" t="n">
        <x:v>3</x:v>
      </x:c>
      <x:c r="Z125" s="14" t="str">
        <x:v>未收錄</x:v>
      </x:c>
      <x:c r="AA125" s="14" t="str">
        <x:v>25423</x:v>
      </x:c>
      <x:c r="AB125" s="14" t="n">
        <x:v>3</x:v>
      </x:c>
      <x:c r="AC125" s="14" t="n">
        <x:v>4652</x:v>
      </x:c>
      <x:c r="AD125" s="14" t="n">
        <x:v>428</x:v>
      </x:c>
      <x:c r="AE125" s="14" t="n">
        <x:v>11</x:v>
      </x:c>
      <x:c r="AF125" s="14" t="n">
        <x:v>4</x:v>
      </x:c>
      <x:c r="AG125" s="14" t="str">
        <x:v>未收錄</x:v>
      </x:c>
    </x:row>
    <x:row r="126" ht="15" customHeight="1">
      <x:c r="A126" s="18" t="str">
        <x:v>虎爍配方</x:v>
      </x:c>
      <x:c r="B126" s="18" t="str">
        <x:v>龍煌配方</x:v>
      </x:c>
      <x:c r="C126" s="18" t="str">
        <x:v>鳳燁配方</x:v>
      </x:c>
      <x:c r="D126" s="18" t="str">
        <x:v>麟燿配方</x:v>
      </x:c>
      <x:c r="E126" s="14"/>
      <x:c r="F126" s="14" t="str">
        <x:v>25424</x:v>
      </x:c>
      <x:c r="G126" s="14" t="n">
        <x:v>3</x:v>
      </x:c>
      <x:c r="H126" s="14" t="n">
        <x:v>4653</x:v>
      </x:c>
      <x:c r="I126" s="14" t="n">
        <x:v>429</x:v>
      </x:c>
      <x:c r="J126" s="14" t="n">
        <x:v>12</x:v>
      </x:c>
      <x:c r="K126" s="14" t="n">
        <x:v>1</x:v>
      </x:c>
      <x:c r="L126" s="14" t="str">
        <x:v>未收錄</x:v>
      </x:c>
      <x:c r="M126" s="14" t="str">
        <x:v>25425</x:v>
      </x:c>
      <x:c r="N126" s="14" t="n">
        <x:v>3</x:v>
      </x:c>
      <x:c r="O126" s="14" t="n">
        <x:v>4654</x:v>
      </x:c>
      <x:c r="P126" s="14" t="n">
        <x:v>430</x:v>
      </x:c>
      <x:c r="Q126" s="14" t="n">
        <x:v>12</x:v>
      </x:c>
      <x:c r="R126" s="14" t="n">
        <x:v>2</x:v>
      </x:c>
      <x:c r="S126" s="14" t="str">
        <x:v>未收錄</x:v>
      </x:c>
      <x:c r="T126" s="14" t="str">
        <x:v>25426</x:v>
      </x:c>
      <x:c r="U126" s="14" t="n">
        <x:v>3</x:v>
      </x:c>
      <x:c r="V126" s="14" t="n">
        <x:v>4655</x:v>
      </x:c>
      <x:c r="W126" s="14" t="n">
        <x:v>431</x:v>
      </x:c>
      <x:c r="X126" s="14" t="n">
        <x:v>12</x:v>
      </x:c>
      <x:c r="Y126" s="14" t="n">
        <x:v>3</x:v>
      </x:c>
      <x:c r="Z126" s="14" t="str">
        <x:v>未收錄</x:v>
      </x:c>
      <x:c r="AA126" s="14" t="str">
        <x:v>25427</x:v>
      </x:c>
      <x:c r="AB126" s="14" t="n">
        <x:v>3</x:v>
      </x:c>
      <x:c r="AC126" s="14" t="n">
        <x:v>4656</x:v>
      </x:c>
      <x:c r="AD126" s="14" t="n">
        <x:v>432</x:v>
      </x:c>
      <x:c r="AE126" s="14" t="n">
        <x:v>12</x:v>
      </x:c>
      <x:c r="AF126" s="14" t="n">
        <x:v>4</x:v>
      </x:c>
      <x:c r="AG126" s="14" t="str">
        <x:v>未收錄</x:v>
      </x:c>
    </x:row>
    <x:row r="127" ht="15" customHeight="1">
      <x:c r="A127" s="17" t="str">
        <x:v>乾極武器配方</x:v>
      </x:c>
      <x:c r="B127" s="17" t="str">
        <x:v>坤宇武器配方</x:v>
      </x:c>
      <x:c r="C127" s="17" t="str">
        <x:v>兌洋武器配方</x:v>
      </x:c>
      <x:c r="D127" s="17" t="str">
        <x:v>巽宙武器配方</x:v>
      </x:c>
      <x:c r="E127" s="14"/>
      <x:c r="F127" s="14" t="str">
        <x:v>25442</x:v>
      </x:c>
      <x:c r="G127" s="14" t="n">
        <x:v>3</x:v>
      </x:c>
      <x:c r="H127" s="14" t="n">
        <x:v>4657</x:v>
      </x:c>
      <x:c r="I127" s="14" t="n">
        <x:v>433</x:v>
      </x:c>
      <x:c r="J127" s="14" t="n">
        <x:v>13</x:v>
      </x:c>
      <x:c r="K127" s="14" t="n">
        <x:v>1</x:v>
      </x:c>
      <x:c r="L127" s="14" t="str">
        <x:v>未收錄</x:v>
      </x:c>
      <x:c r="M127" s="14" t="str">
        <x:v>25443</x:v>
      </x:c>
      <x:c r="N127" s="14" t="n">
        <x:v>3</x:v>
      </x:c>
      <x:c r="O127" s="14" t="n">
        <x:v>4658</x:v>
      </x:c>
      <x:c r="P127" s="14" t="n">
        <x:v>434</x:v>
      </x:c>
      <x:c r="Q127" s="14" t="n">
        <x:v>13</x:v>
      </x:c>
      <x:c r="R127" s="14" t="n">
        <x:v>2</x:v>
      </x:c>
      <x:c r="S127" s="14" t="str">
        <x:v>未收錄</x:v>
      </x:c>
      <x:c r="T127" s="14" t="str">
        <x:v>25444</x:v>
      </x:c>
      <x:c r="U127" s="14" t="n">
        <x:v>3</x:v>
      </x:c>
      <x:c r="V127" s="14" t="n">
        <x:v>4659</x:v>
      </x:c>
      <x:c r="W127" s="14" t="n">
        <x:v>435</x:v>
      </x:c>
      <x:c r="X127" s="14" t="n">
        <x:v>13</x:v>
      </x:c>
      <x:c r="Y127" s="14" t="n">
        <x:v>3</x:v>
      </x:c>
      <x:c r="Z127" s="14" t="str">
        <x:v>未收錄</x:v>
      </x:c>
      <x:c r="AA127" s="14" t="str">
        <x:v>25445</x:v>
      </x:c>
      <x:c r="AB127" s="14" t="n">
        <x:v>3</x:v>
      </x:c>
      <x:c r="AC127" s="14" t="n">
        <x:v>4660</x:v>
      </x:c>
      <x:c r="AD127" s="14" t="n">
        <x:v>436</x:v>
      </x:c>
      <x:c r="AE127" s="14" t="n">
        <x:v>13</x:v>
      </x:c>
      <x:c r="AF127" s="14" t="n">
        <x:v>4</x:v>
      </x:c>
      <x:c r="AG127" s="14" t="str">
        <x:v>未收錄</x:v>
      </x:c>
    </x:row>
    <x:row r="128" ht="15" customHeight="1">
      <x:c r="A128" s="18" t="str">
        <x:v>究鋒配方</x:v>
      </x:c>
      <x:c r="B128" s="18" t="str">
        <x:v>浩氣配方</x:v>
      </x:c>
      <x:c r="C128" s="18" t="str">
        <x:v>奇禦配方</x:v>
      </x:c>
      <x:c r="D128" s="18" t="str">
        <x:v>幻守配方</x:v>
      </x:c>
      <x:c r="E128" s="14"/>
      <x:c r="F128" s="14" t="str">
        <x:v>25438</x:v>
      </x:c>
      <x:c r="G128" s="14" t="n">
        <x:v>3</x:v>
      </x:c>
      <x:c r="H128" s="14" t="n">
        <x:v>4661</x:v>
      </x:c>
      <x:c r="I128" s="14" t="n">
        <x:v>437</x:v>
      </x:c>
      <x:c r="J128" s="14" t="n">
        <x:v>14</x:v>
      </x:c>
      <x:c r="K128" s="14" t="n">
        <x:v>1</x:v>
      </x:c>
      <x:c r="L128" s="14" t="str">
        <x:v>未收錄</x:v>
      </x:c>
      <x:c r="M128" s="14" t="str">
        <x:v>25439</x:v>
      </x:c>
      <x:c r="N128" s="14" t="n">
        <x:v>3</x:v>
      </x:c>
      <x:c r="O128" s="14" t="n">
        <x:v>4662</x:v>
      </x:c>
      <x:c r="P128" s="14" t="n">
        <x:v>438</x:v>
      </x:c>
      <x:c r="Q128" s="14" t="n">
        <x:v>14</x:v>
      </x:c>
      <x:c r="R128" s="14" t="n">
        <x:v>2</x:v>
      </x:c>
      <x:c r="S128" s="14" t="str">
        <x:v>未收錄</x:v>
      </x:c>
      <x:c r="T128" s="14" t="str">
        <x:v>25440</x:v>
      </x:c>
      <x:c r="U128" s="14" t="n">
        <x:v>3</x:v>
      </x:c>
      <x:c r="V128" s="14" t="n">
        <x:v>4663</x:v>
      </x:c>
      <x:c r="W128" s="14" t="n">
        <x:v>439</x:v>
      </x:c>
      <x:c r="X128" s="14" t="n">
        <x:v>14</x:v>
      </x:c>
      <x:c r="Y128" s="14" t="n">
        <x:v>3</x:v>
      </x:c>
      <x:c r="Z128" s="14" t="str">
        <x:v>未收錄</x:v>
      </x:c>
      <x:c r="AA128" s="14" t="str">
        <x:v>25441</x:v>
      </x:c>
      <x:c r="AB128" s="14" t="n">
        <x:v>3</x:v>
      </x:c>
      <x:c r="AC128" s="14" t="n">
        <x:v>4664</x:v>
      </x:c>
      <x:c r="AD128" s="14" t="n">
        <x:v>440</x:v>
      </x:c>
      <x:c r="AE128" s="14" t="n">
        <x:v>14</x:v>
      </x:c>
      <x:c r="AF128" s="14" t="n">
        <x:v>4</x:v>
      </x:c>
      <x:c r="AG128" s="14" t="str">
        <x:v>未收錄</x:v>
      </x:c>
    </x:row>
    <x:row r="129" ht="15" customHeight="1">
      <x:c r="A129" s="17" t="str">
        <x:v>玄聖配方</x:v>
      </x:c>
      <x:c r="B129" s="17" t="str">
        <x:v>虎聖配方</x:v>
      </x:c>
      <x:c r="C129" s="17" t="str">
        <x:v>龍聖配方</x:v>
      </x:c>
      <x:c r="D129" s="17" t="str">
        <x:v>鳳聖配方</x:v>
      </x:c>
      <x:c r="E129" s="14"/>
      <x:c r="F129" s="14" t="str">
        <x:v>25446</x:v>
      </x:c>
      <x:c r="G129" s="14" t="n">
        <x:v>3</x:v>
      </x:c>
      <x:c r="H129" s="14" t="n">
        <x:v>4665</x:v>
      </x:c>
      <x:c r="I129" s="14" t="n">
        <x:v>441</x:v>
      </x:c>
      <x:c r="J129" s="14" t="n">
        <x:v>15</x:v>
      </x:c>
      <x:c r="K129" s="14" t="n">
        <x:v>1</x:v>
      </x:c>
      <x:c r="L129" s="14" t="str">
        <x:v>未收錄</x:v>
      </x:c>
      <x:c r="M129" s="14" t="str">
        <x:v>25447</x:v>
      </x:c>
      <x:c r="N129" s="14" t="n">
        <x:v>3</x:v>
      </x:c>
      <x:c r="O129" s="14" t="n">
        <x:v>4666</x:v>
      </x:c>
      <x:c r="P129" s="14" t="n">
        <x:v>442</x:v>
      </x:c>
      <x:c r="Q129" s="14" t="n">
        <x:v>15</x:v>
      </x:c>
      <x:c r="R129" s="14" t="n">
        <x:v>2</x:v>
      </x:c>
      <x:c r="S129" s="14" t="str">
        <x:v>未收錄</x:v>
      </x:c>
      <x:c r="T129" s="14" t="str">
        <x:v>25448</x:v>
      </x:c>
      <x:c r="U129" s="14" t="n">
        <x:v>3</x:v>
      </x:c>
      <x:c r="V129" s="14" t="n">
        <x:v>4667</x:v>
      </x:c>
      <x:c r="W129" s="14" t="n">
        <x:v>443</x:v>
      </x:c>
      <x:c r="X129" s="14" t="n">
        <x:v>15</x:v>
      </x:c>
      <x:c r="Y129" s="14" t="n">
        <x:v>3</x:v>
      </x:c>
      <x:c r="Z129" s="14" t="str">
        <x:v>未收錄</x:v>
      </x:c>
      <x:c r="AA129" s="14" t="str">
        <x:v>25449</x:v>
      </x:c>
      <x:c r="AB129" s="14" t="n">
        <x:v>3</x:v>
      </x:c>
      <x:c r="AC129" s="14" t="n">
        <x:v>4668</x:v>
      </x:c>
      <x:c r="AD129" s="14" t="n">
        <x:v>444</x:v>
      </x:c>
      <x:c r="AE129" s="14" t="n">
        <x:v>15</x:v>
      </x:c>
      <x:c r="AF129" s="14" t="n">
        <x:v>4</x:v>
      </x:c>
      <x:c r="AG129" s="14" t="str">
        <x:v>未收錄</x:v>
      </x:c>
    </x:row>
    <x:row r="130" ht="15" customHeight="1">
      <x:c r="A130" s="18" t="str">
        <x:v>麟聖配方</x:v>
      </x:c>
      <x:c r="B130" s="18" t="str">
        <x:v>俠鋒配方</x:v>
      </x:c>
      <x:c r="C130" s="18" t="str">
        <x:v>俠凝配方</x:v>
      </x:c>
      <x:c r="D130" s="18" t="str">
        <x:v>俠禦配方</x:v>
      </x:c>
      <x:c r="E130" s="14"/>
      <x:c r="F130" s="14" t="str">
        <x:v>25450</x:v>
      </x:c>
      <x:c r="G130" s="14" t="n">
        <x:v>3</x:v>
      </x:c>
      <x:c r="H130" s="14" t="n">
        <x:v>4669</x:v>
      </x:c>
      <x:c r="I130" s="14" t="n">
        <x:v>445</x:v>
      </x:c>
      <x:c r="J130" s="14" t="n">
        <x:v>16</x:v>
      </x:c>
      <x:c r="K130" s="14" t="n">
        <x:v>1</x:v>
      </x:c>
      <x:c r="L130" s="14" t="str">
        <x:v>未收錄</x:v>
      </x:c>
      <x:c r="M130" s="14" t="str">
        <x:v>25466</x:v>
      </x:c>
      <x:c r="N130" s="14" t="n">
        <x:v>3</x:v>
      </x:c>
      <x:c r="O130" s="14" t="n">
        <x:v>4670</x:v>
      </x:c>
      <x:c r="P130" s="14" t="n">
        <x:v>446</x:v>
      </x:c>
      <x:c r="Q130" s="14" t="n">
        <x:v>16</x:v>
      </x:c>
      <x:c r="R130" s="14" t="n">
        <x:v>2</x:v>
      </x:c>
      <x:c r="S130" s="14" t="str">
        <x:v>未收錄</x:v>
      </x:c>
      <x:c r="T130" s="14" t="str">
        <x:v>25467</x:v>
      </x:c>
      <x:c r="U130" s="14" t="n">
        <x:v>3</x:v>
      </x:c>
      <x:c r="V130" s="14" t="n">
        <x:v>4671</x:v>
      </x:c>
      <x:c r="W130" s="14" t="n">
        <x:v>447</x:v>
      </x:c>
      <x:c r="X130" s="14" t="n">
        <x:v>16</x:v>
      </x:c>
      <x:c r="Y130" s="14" t="n">
        <x:v>3</x:v>
      </x:c>
      <x:c r="Z130" s="14" t="str">
        <x:v>未收錄</x:v>
      </x:c>
      <x:c r="AA130" s="14" t="str">
        <x:v>25468</x:v>
      </x:c>
      <x:c r="AB130" s="14" t="n">
        <x:v>3</x:v>
      </x:c>
      <x:c r="AC130" s="14" t="n">
        <x:v>4672</x:v>
      </x:c>
      <x:c r="AD130" s="14" t="n">
        <x:v>448</x:v>
      </x:c>
      <x:c r="AE130" s="14" t="n">
        <x:v>16</x:v>
      </x:c>
      <x:c r="AF130" s="14" t="n">
        <x:v>4</x:v>
      </x:c>
      <x:c r="AG130" s="14" t="str">
        <x:v>未收錄</x:v>
      </x:c>
    </x:row>
    <x:row r="131" ht="15" customHeight="1">
      <x:c r="A131" s="17" t="str">
        <x:v>俠守配方</x:v>
      </x:c>
      <x:c r="B131" s="17" t="str">
        <x:v>仙鋒配方</x:v>
      </x:c>
      <x:c r="C131" s="17" t="str">
        <x:v>仙凝配方</x:v>
      </x:c>
      <x:c r="D131" s="17" t="str">
        <x:v>仙禦配方</x:v>
      </x:c>
      <x:c r="E131" s="14"/>
      <x:c r="F131" s="14" t="str">
        <x:v>25469</x:v>
      </x:c>
      <x:c r="G131" s="14" t="n">
        <x:v>3</x:v>
      </x:c>
      <x:c r="H131" s="14" t="n">
        <x:v>4673</x:v>
      </x:c>
      <x:c r="I131" s="14" t="n">
        <x:v>449</x:v>
      </x:c>
      <x:c r="J131" s="14" t="n">
        <x:v>17</x:v>
      </x:c>
      <x:c r="K131" s="14" t="n">
        <x:v>1</x:v>
      </x:c>
      <x:c r="L131" s="14" t="str">
        <x:v>未收錄</x:v>
      </x:c>
      <x:c r="M131" s="14" t="str">
        <x:v>25462</x:v>
      </x:c>
      <x:c r="N131" s="14" t="n">
        <x:v>5</x:v>
      </x:c>
      <x:c r="O131" s="14" t="n">
        <x:v>4674</x:v>
      </x:c>
      <x:c r="P131" s="14" t="n">
        <x:v>450</x:v>
      </x:c>
      <x:c r="Q131" s="14" t="n">
        <x:v>17</x:v>
      </x:c>
      <x:c r="R131" s="14" t="n">
        <x:v>2</x:v>
      </x:c>
      <x:c r="S131" s="14" t="str">
        <x:v>未收錄</x:v>
      </x:c>
      <x:c r="T131" s="14" t="str">
        <x:v>25463</x:v>
      </x:c>
      <x:c r="U131" s="14" t="n">
        <x:v>5</x:v>
      </x:c>
      <x:c r="V131" s="14" t="n">
        <x:v>4675</x:v>
      </x:c>
      <x:c r="W131" s="14" t="n">
        <x:v>451</x:v>
      </x:c>
      <x:c r="X131" s="14" t="n">
        <x:v>17</x:v>
      </x:c>
      <x:c r="Y131" s="14" t="n">
        <x:v>3</x:v>
      </x:c>
      <x:c r="Z131" s="14" t="str">
        <x:v>未收錄</x:v>
      </x:c>
      <x:c r="AA131" s="14" t="str">
        <x:v>25464</x:v>
      </x:c>
      <x:c r="AB131" s="14" t="n">
        <x:v>5</x:v>
      </x:c>
      <x:c r="AC131" s="14" t="n">
        <x:v>4676</x:v>
      </x:c>
      <x:c r="AD131" s="14" t="n">
        <x:v>452</x:v>
      </x:c>
      <x:c r="AE131" s="14" t="n">
        <x:v>17</x:v>
      </x:c>
      <x:c r="AF131" s="14" t="n">
        <x:v>4</x:v>
      </x:c>
      <x:c r="AG131" s="14" t="str">
        <x:v>未收錄</x:v>
      </x:c>
    </x:row>
    <x:row r="132" ht="15" customHeight="1">
      <x:c r="A132" s="18" t="str">
        <x:v>仙守配方</x:v>
      </x:c>
      <x:c r="B132" s="18" t="str">
        <x:v>燼滅武器配方</x:v>
      </x:c>
      <x:c r="C132" s="18" t="str">
        <x:v>凜荒武器配方</x:v>
      </x:c>
      <x:c r="D132" s="18" t="str">
        <x:v>殛閃武器配方</x:v>
      </x:c>
      <x:c r="E132" s="14"/>
      <x:c r="F132" s="14" t="str">
        <x:v>25465</x:v>
      </x:c>
      <x:c r="G132" s="14" t="n">
        <x:v>5</x:v>
      </x:c>
      <x:c r="H132" s="14" t="n">
        <x:v>4677</x:v>
      </x:c>
      <x:c r="I132" s="14" t="n">
        <x:v>453</x:v>
      </x:c>
      <x:c r="J132" s="14" t="n">
        <x:v>18</x:v>
      </x:c>
      <x:c r="K132" s="14" t="n">
        <x:v>1</x:v>
      </x:c>
      <x:c r="L132" s="14" t="str">
        <x:v>未收錄</x:v>
      </x:c>
      <x:c r="M132" s="14" t="str">
        <x:v>25503</x:v>
      </x:c>
      <x:c r="N132" s="14" t="n">
        <x:v>8</x:v>
      </x:c>
      <x:c r="O132" s="14" t="n">
        <x:v>4678</x:v>
      </x:c>
      <x:c r="P132" s="14" t="n">
        <x:v>454</x:v>
      </x:c>
      <x:c r="Q132" s="14" t="n">
        <x:v>18</x:v>
      </x:c>
      <x:c r="R132" s="14" t="n">
        <x:v>2</x:v>
      </x:c>
      <x:c r="S132" s="14" t="str">
        <x:v>未收錄</x:v>
      </x:c>
      <x:c r="T132" s="14" t="str">
        <x:v>25504</x:v>
      </x:c>
      <x:c r="U132" s="14" t="n">
        <x:v>8</x:v>
      </x:c>
      <x:c r="V132" s="14" t="n">
        <x:v>4679</x:v>
      </x:c>
      <x:c r="W132" s="14" t="n">
        <x:v>455</x:v>
      </x:c>
      <x:c r="X132" s="14" t="n">
        <x:v>18</x:v>
      </x:c>
      <x:c r="Y132" s="14" t="n">
        <x:v>3</x:v>
      </x:c>
      <x:c r="Z132" s="14" t="str">
        <x:v>未收錄</x:v>
      </x:c>
      <x:c r="AA132" s="14" t="str">
        <x:v>25505</x:v>
      </x:c>
      <x:c r="AB132" s="14" t="n">
        <x:v>8</x:v>
      </x:c>
      <x:c r="AC132" s="14" t="n">
        <x:v>4680</x:v>
      </x:c>
      <x:c r="AD132" s="14" t="n">
        <x:v>456</x:v>
      </x:c>
      <x:c r="AE132" s="14" t="n">
        <x:v>18</x:v>
      </x:c>
      <x:c r="AF132" s="14" t="n">
        <x:v>4</x:v>
      </x:c>
      <x:c r="AG132" s="14" t="str">
        <x:v>未收錄</x:v>
      </x:c>
    </x:row>
    <x:row r="133" ht="15" customHeight="1">
      <x:c r="A133" s="17" t="str">
        <x:v>闇淵武器配方</x:v>
      </x:c>
      <x:c r="B133" s="17" t="str">
        <x:v>光世賦法配方</x:v>
      </x:c>
      <x:c r="C133" s="17" t="str">
        <x:v>瑆痕配方</x:v>
      </x:c>
      <x:c r="D133" s="17" t="str">
        <x:v>瑆馳配方</x:v>
      </x:c>
      <x:c r="E133" s="14"/>
      <x:c r="F133" s="14" t="str">
        <x:v>25506</x:v>
      </x:c>
      <x:c r="G133" s="14" t="n">
        <x:v>8</x:v>
      </x:c>
      <x:c r="H133" s="14" t="n">
        <x:v>4681</x:v>
      </x:c>
      <x:c r="I133" s="14" t="n">
        <x:v>457</x:v>
      </x:c>
      <x:c r="J133" s="14" t="n">
        <x:v>19</x:v>
      </x:c>
      <x:c r="K133" s="14" t="n">
        <x:v>1</x:v>
      </x:c>
      <x:c r="L133" s="14" t="str">
        <x:v>未收錄</x:v>
      </x:c>
      <x:c r="M133" s="14" t="str">
        <x:v>25507</x:v>
      </x:c>
      <x:c r="N133" s="14" t="n">
        <x:v>8</x:v>
      </x:c>
      <x:c r="O133" s="14" t="n">
        <x:v>4682</x:v>
      </x:c>
      <x:c r="P133" s="14" t="n">
        <x:v>458</x:v>
      </x:c>
      <x:c r="Q133" s="14" t="n">
        <x:v>19</x:v>
      </x:c>
      <x:c r="R133" s="14" t="n">
        <x:v>2</x:v>
      </x:c>
      <x:c r="S133" s="14" t="str">
        <x:v>未收錄</x:v>
      </x:c>
      <x:c r="T133" s="14" t="str">
        <x:v>25489</x:v>
      </x:c>
      <x:c r="U133" s="14" t="n">
        <x:v>8</x:v>
      </x:c>
      <x:c r="V133" s="14" t="n">
        <x:v>4683</x:v>
      </x:c>
      <x:c r="W133" s="14" t="n">
        <x:v>459</x:v>
      </x:c>
      <x:c r="X133" s="14" t="n">
        <x:v>19</x:v>
      </x:c>
      <x:c r="Y133" s="14" t="n">
        <x:v>3</x:v>
      </x:c>
      <x:c r="Z133" s="14" t="str">
        <x:v>未收錄</x:v>
      </x:c>
      <x:c r="AA133" s="14" t="str">
        <x:v>25490</x:v>
      </x:c>
      <x:c r="AB133" s="14" t="n">
        <x:v>8</x:v>
      </x:c>
      <x:c r="AC133" s="14" t="n">
        <x:v>4684</x:v>
      </x:c>
      <x:c r="AD133" s="14" t="n">
        <x:v>460</x:v>
      </x:c>
      <x:c r="AE133" s="14" t="n">
        <x:v>19</x:v>
      </x:c>
      <x:c r="AF133" s="14" t="n">
        <x:v>4</x:v>
      </x:c>
      <x:c r="AG133" s="14" t="str">
        <x:v>未收錄</x:v>
      </x:c>
    </x:row>
    <x:row r="134" ht="15" customHeight="1">
      <x:c r="A134" s="18" t="str">
        <x:v>瑆蘊配方</x:v>
      </x:c>
      <x:c r="B134" s="18" t="str">
        <x:v>昴鎮配方</x:v>
      </x:c>
      <x:c r="C134" s="18" t="str">
        <x:v>昴諭配方</x:v>
      </x:c>
      <x:c r="D134" s="18" t="str">
        <x:v>熒鎮配方</x:v>
      </x:c>
      <x:c r="E134" s="14"/>
      <x:c r="F134" s="14" t="str">
        <x:v>25491</x:v>
      </x:c>
      <x:c r="G134" s="14" t="n">
        <x:v>8</x:v>
      </x:c>
      <x:c r="H134" s="14" t="n">
        <x:v>4685</x:v>
      </x:c>
      <x:c r="I134" s="14" t="n">
        <x:v>461</x:v>
      </x:c>
      <x:c r="J134" s="14" t="n">
        <x:v>20</x:v>
      </x:c>
      <x:c r="K134" s="14" t="n">
        <x:v>1</x:v>
      </x:c>
      <x:c r="L134" s="14" t="str">
        <x:v>未收錄</x:v>
      </x:c>
      <x:c r="M134" s="14" t="str">
        <x:v>25492</x:v>
      </x:c>
      <x:c r="N134" s="14" t="n">
        <x:v>8</x:v>
      </x:c>
      <x:c r="O134" s="14" t="n">
        <x:v>4686</x:v>
      </x:c>
      <x:c r="P134" s="14" t="n">
        <x:v>462</x:v>
      </x:c>
      <x:c r="Q134" s="14" t="n">
        <x:v>20</x:v>
      </x:c>
      <x:c r="R134" s="14" t="n">
        <x:v>2</x:v>
      </x:c>
      <x:c r="S134" s="14" t="str">
        <x:v>未收錄</x:v>
      </x:c>
      <x:c r="T134" s="14" t="str">
        <x:v>25493</x:v>
      </x:c>
      <x:c r="U134" s="14" t="n">
        <x:v>8</x:v>
      </x:c>
      <x:c r="V134" s="14" t="n">
        <x:v>4687</x:v>
      </x:c>
      <x:c r="W134" s="14" t="n">
        <x:v>463</x:v>
      </x:c>
      <x:c r="X134" s="14" t="n">
        <x:v>20</x:v>
      </x:c>
      <x:c r="Y134" s="14" t="n">
        <x:v>3</x:v>
      </x:c>
      <x:c r="Z134" s="14" t="str">
        <x:v>未收錄</x:v>
      </x:c>
      <x:c r="AA134" s="14" t="str">
        <x:v>25494</x:v>
      </x:c>
      <x:c r="AB134" s="14" t="n">
        <x:v>8</x:v>
      </x:c>
      <x:c r="AC134" s="14" t="n">
        <x:v>4688</x:v>
      </x:c>
      <x:c r="AD134" s="14" t="n">
        <x:v>464</x:v>
      </x:c>
      <x:c r="AE134" s="14" t="n">
        <x:v>20</x:v>
      </x:c>
      <x:c r="AF134" s="14" t="n">
        <x:v>4</x:v>
      </x:c>
      <x:c r="AG134" s="14" t="str">
        <x:v>未收錄</x:v>
      </x:c>
    </x:row>
    <x:row r="135" ht="15" customHeight="1">
      <x:c r="A135" s="17" t="str">
        <x:v>熒諭配方</x:v>
      </x:c>
      <x:c r="B135" s="17" t="str">
        <x:v>顥鎮配方</x:v>
      </x:c>
      <x:c r="C135" s="17" t="str">
        <x:v>顥諭配方</x:v>
      </x:c>
      <x:c r="D135" s="17" t="str">
        <x:v>璇鎮配方</x:v>
      </x:c>
      <x:c r="E135" s="14"/>
      <x:c r="F135" s="14" t="str">
        <x:v>25495</x:v>
      </x:c>
      <x:c r="G135" s="14" t="n">
        <x:v>8</x:v>
      </x:c>
      <x:c r="H135" s="14" t="n">
        <x:v>4689</x:v>
      </x:c>
      <x:c r="I135" s="14" t="n">
        <x:v>465</x:v>
      </x:c>
      <x:c r="J135" s="14" t="n">
        <x:v>21</x:v>
      </x:c>
      <x:c r="K135" s="14" t="n">
        <x:v>1</x:v>
      </x:c>
      <x:c r="L135" s="14" t="str">
        <x:v>未收錄</x:v>
      </x:c>
      <x:c r="M135" s="14" t="str">
        <x:v>25496</x:v>
      </x:c>
      <x:c r="N135" s="14" t="n">
        <x:v>8</x:v>
      </x:c>
      <x:c r="O135" s="14" t="n">
        <x:v>4690</x:v>
      </x:c>
      <x:c r="P135" s="14" t="n">
        <x:v>466</x:v>
      </x:c>
      <x:c r="Q135" s="14" t="n">
        <x:v>21</x:v>
      </x:c>
      <x:c r="R135" s="14" t="n">
        <x:v>2</x:v>
      </x:c>
      <x:c r="S135" s="14" t="str">
        <x:v>未收錄</x:v>
      </x:c>
      <x:c r="T135" s="14" t="str">
        <x:v>25497</x:v>
      </x:c>
      <x:c r="U135" s="14" t="n">
        <x:v>8</x:v>
      </x:c>
      <x:c r="V135" s="14" t="n">
        <x:v>4691</x:v>
      </x:c>
      <x:c r="W135" s="14" t="n">
        <x:v>467</x:v>
      </x:c>
      <x:c r="X135" s="14" t="n">
        <x:v>21</x:v>
      </x:c>
      <x:c r="Y135" s="14" t="n">
        <x:v>3</x:v>
      </x:c>
      <x:c r="Z135" s="14" t="str">
        <x:v>未收錄</x:v>
      </x:c>
      <x:c r="AA135" s="14" t="str">
        <x:v>25498</x:v>
      </x:c>
      <x:c r="AB135" s="14" t="n">
        <x:v>8</x:v>
      </x:c>
      <x:c r="AC135" s="14" t="n">
        <x:v>4692</x:v>
      </x:c>
      <x:c r="AD135" s="14" t="n">
        <x:v>468</x:v>
      </x:c>
      <x:c r="AE135" s="14" t="n">
        <x:v>21</x:v>
      </x:c>
      <x:c r="AF135" s="14" t="n">
        <x:v>4</x:v>
      </x:c>
      <x:c r="AG135" s="14" t="str">
        <x:v>未收錄</x:v>
      </x:c>
    </x:row>
    <x:row r="136" ht="15" customHeight="1">
      <x:c r="A136" s="18" t="str">
        <x:v>璇諭配方</x:v>
      </x:c>
      <x:c r="B136" s="18" t="str">
        <x:v>剛朕配方</x:v>
      </x:c>
      <x:c r="C136" s="18" t="str">
        <x:v>武朕配方</x:v>
      </x:c>
      <x:c r="D136" s="18" t="str">
        <x:v>慧朕配方</x:v>
      </x:c>
      <x:c r="E136" s="14"/>
      <x:c r="F136" s="14" t="str">
        <x:v>25499</x:v>
      </x:c>
      <x:c r="G136" s="14" t="n">
        <x:v>8</x:v>
      </x:c>
      <x:c r="H136" s="14" t="n">
        <x:v>4693</x:v>
      </x:c>
      <x:c r="I136" s="14" t="n">
        <x:v>469</x:v>
      </x:c>
      <x:c r="J136" s="14" t="n">
        <x:v>22</x:v>
      </x:c>
      <x:c r="K136" s="14" t="n">
        <x:v>1</x:v>
      </x:c>
      <x:c r="L136" s="14" t="str">
        <x:v>未收錄</x:v>
      </x:c>
      <x:c r="M136" s="14" t="str">
        <x:v>25508</x:v>
      </x:c>
      <x:c r="N136" s="14" t="n">
        <x:v>10</x:v>
      </x:c>
      <x:c r="O136" s="14" t="n">
        <x:v>4694</x:v>
      </x:c>
      <x:c r="P136" s="14" t="n">
        <x:v>470</x:v>
      </x:c>
      <x:c r="Q136" s="14" t="n">
        <x:v>22</x:v>
      </x:c>
      <x:c r="R136" s="14" t="n">
        <x:v>2</x:v>
      </x:c>
      <x:c r="S136" s="14" t="str">
        <x:v>未收錄</x:v>
      </x:c>
      <x:c r="T136" s="14" t="str">
        <x:v>25509</x:v>
      </x:c>
      <x:c r="U136" s="14" t="n">
        <x:v>10</x:v>
      </x:c>
      <x:c r="V136" s="14" t="n">
        <x:v>4695</x:v>
      </x:c>
      <x:c r="W136" s="14" t="n">
        <x:v>471</x:v>
      </x:c>
      <x:c r="X136" s="14" t="n">
        <x:v>22</x:v>
      </x:c>
      <x:c r="Y136" s="14" t="n">
        <x:v>3</x:v>
      </x:c>
      <x:c r="Z136" s="14" t="str">
        <x:v>未收錄</x:v>
      </x:c>
      <x:c r="AA136" s="14" t="str">
        <x:v>25510</x:v>
      </x:c>
      <x:c r="AB136" s="14" t="n">
        <x:v>10</x:v>
      </x:c>
      <x:c r="AC136" s="14" t="n">
        <x:v>4696</x:v>
      </x:c>
      <x:c r="AD136" s="14" t="n">
        <x:v>472</x:v>
      </x:c>
      <x:c r="AE136" s="14" t="n">
        <x:v>22</x:v>
      </x:c>
      <x:c r="AF136" s="14" t="n">
        <x:v>4</x:v>
      </x:c>
      <x:c r="AG136" s="14" t="str">
        <x:v>未收錄</x:v>
      </x:c>
    </x:row>
    <x:row r="137" ht="15" customHeight="1">
      <x:c r="A137" s="17" t="str">
        <x:v>明朕配方</x:v>
      </x:c>
      <x:c r="B137" s="17" t="str">
        <x:v>剛龑配方</x:v>
      </x:c>
      <x:c r="C137" s="17" t="str">
        <x:v>武龑配方</x:v>
      </x:c>
      <x:c r="D137" s="17" t="str">
        <x:v>慧龑配方</x:v>
      </x:c>
      <x:c r="E137" s="14"/>
      <x:c r="F137" s="14" t="str">
        <x:v>25511</x:v>
      </x:c>
      <x:c r="G137" s="14" t="n">
        <x:v>10</x:v>
      </x:c>
      <x:c r="H137" s="14" t="n">
        <x:v>4697</x:v>
      </x:c>
      <x:c r="I137" s="14" t="n">
        <x:v>473</x:v>
      </x:c>
      <x:c r="J137" s="14" t="n">
        <x:v>23</x:v>
      </x:c>
      <x:c r="K137" s="14" t="n">
        <x:v>1</x:v>
      </x:c>
      <x:c r="L137" s="14" t="str">
        <x:v>未收錄</x:v>
      </x:c>
      <x:c r="M137" s="14" t="str">
        <x:v>25512</x:v>
      </x:c>
      <x:c r="N137" s="14" t="n">
        <x:v>10</x:v>
      </x:c>
      <x:c r="O137" s="14" t="n">
        <x:v>4698</x:v>
      </x:c>
      <x:c r="P137" s="14" t="n">
        <x:v>474</x:v>
      </x:c>
      <x:c r="Q137" s="14" t="n">
        <x:v>23</x:v>
      </x:c>
      <x:c r="R137" s="14" t="n">
        <x:v>2</x:v>
      </x:c>
      <x:c r="S137" s="14" t="str">
        <x:v>未收錄</x:v>
      </x:c>
      <x:c r="T137" s="14" t="str">
        <x:v>25513</x:v>
      </x:c>
      <x:c r="U137" s="14" t="n">
        <x:v>10</x:v>
      </x:c>
      <x:c r="V137" s="14" t="n">
        <x:v>4699</x:v>
      </x:c>
      <x:c r="W137" s="14" t="n">
        <x:v>475</x:v>
      </x:c>
      <x:c r="X137" s="14" t="n">
        <x:v>23</x:v>
      </x:c>
      <x:c r="Y137" s="14" t="n">
        <x:v>3</x:v>
      </x:c>
      <x:c r="Z137" s="14" t="str">
        <x:v>未收錄</x:v>
      </x:c>
      <x:c r="AA137" s="14" t="str">
        <x:v>25514</x:v>
      </x:c>
      <x:c r="AB137" s="14" t="n">
        <x:v>10</x:v>
      </x:c>
      <x:c r="AC137" s="14" t="n">
        <x:v>4700</x:v>
      </x:c>
      <x:c r="AD137" s="14" t="n">
        <x:v>476</x:v>
      </x:c>
      <x:c r="AE137" s="14" t="n">
        <x:v>23</x:v>
      </x:c>
      <x:c r="AF137" s="14" t="n">
        <x:v>4</x:v>
      </x:c>
      <x:c r="AG137" s="14" t="str">
        <x:v>未收錄</x:v>
      </x:c>
    </x:row>
    <x:row r="138" ht="15" customHeight="1">
      <x:c r="A138" s="18" t="str">
        <x:v>明龑配方</x:v>
      </x:c>
      <x:c r="B138" s="18" t="str">
        <x:v>皇龍虹鉻配方</x:v>
      </x:c>
      <x:c r="C138" s="18" t="str">
        <x:v>體質宇核配方</x:v>
      </x:c>
      <x:c r="D138" s="18" t="str">
        <x:v>力度宇核配方</x:v>
      </x:c>
      <x:c r="E138" s="14"/>
      <x:c r="F138" s="14" t="str">
        <x:v>25515</x:v>
      </x:c>
      <x:c r="G138" s="14" t="n">
        <x:v>10</x:v>
      </x:c>
      <x:c r="H138" s="14" t="n">
        <x:v>4701</x:v>
      </x:c>
      <x:c r="I138" s="14" t="n">
        <x:v>477</x:v>
      </x:c>
      <x:c r="J138" s="14" t="n">
        <x:v>24</x:v>
      </x:c>
      <x:c r="K138" s="14" t="n">
        <x:v>1</x:v>
      </x:c>
      <x:c r="L138" s="14" t="str">
        <x:v>未收錄</x:v>
      </x:c>
      <x:c r="M138" s="14" t="str">
        <x:v>25559</x:v>
      </x:c>
      <x:c r="N138" s="14" t="n">
        <x:v>10</x:v>
      </x:c>
      <x:c r="O138" s="14" t="n">
        <x:v>4702</x:v>
      </x:c>
      <x:c r="P138" s="14" t="n">
        <x:v>478</x:v>
      </x:c>
      <x:c r="Q138" s="14" t="n">
        <x:v>24</x:v>
      </x:c>
      <x:c r="R138" s="14" t="n">
        <x:v>2</x:v>
      </x:c>
      <x:c r="S138" s="14" t="str">
        <x:v>未收錄</x:v>
      </x:c>
      <x:c r="T138" s="14" t="str">
        <x:v>25560</x:v>
      </x:c>
      <x:c r="U138" s="14" t="n">
        <x:v>4</x:v>
      </x:c>
      <x:c r="V138" s="14" t="n">
        <x:v>4703</x:v>
      </x:c>
      <x:c r="W138" s="14" t="n">
        <x:v>479</x:v>
      </x:c>
      <x:c r="X138" s="14" t="n">
        <x:v>24</x:v>
      </x:c>
      <x:c r="Y138" s="14" t="n">
        <x:v>3</x:v>
      </x:c>
      <x:c r="Z138" s="14" t="str">
        <x:v>未收錄</x:v>
      </x:c>
      <x:c r="AA138" s="14" t="str">
        <x:v>25561</x:v>
      </x:c>
      <x:c r="AB138" s="14" t="n">
        <x:v>4</x:v>
      </x:c>
      <x:c r="AC138" s="14" t="n">
        <x:v>4704</x:v>
      </x:c>
      <x:c r="AD138" s="14" t="n">
        <x:v>480</x:v>
      </x:c>
      <x:c r="AE138" s="14" t="n">
        <x:v>24</x:v>
      </x:c>
      <x:c r="AF138" s="14" t="n">
        <x:v>4</x:v>
      </x:c>
      <x:c r="AG138" s="14" t="str">
        <x:v>未收錄</x:v>
      </x:c>
    </x:row>
    <x:row r="139">
      <x:c r="A139" s="14"/>
      <x:c r="B139" s="14"/>
      <x:c r="C139" s="14"/>
      <x:c r="D139" s="14"/>
      <x:c r="E139" s="14"/>
      <x:c r="F139" s="14"/>
      <x:c r="G139" s="14"/>
      <x:c r="H139" s="14"/>
      <x:c r="I139" s="14"/>
      <x:c r="J139" s="14"/>
      <x:c r="K139" s="14"/>
      <x:c r="L139" s="14"/>
      <x:c r="M139" s="14"/>
      <x:c r="N139" s="14"/>
      <x:c r="O139" s="14"/>
      <x:c r="P139" s="14"/>
      <x:c r="Q139" s="14"/>
      <x:c r="R139" s="14"/>
      <x:c r="S139" s="14"/>
      <x:c r="T139" s="14"/>
      <x:c r="U139" s="14"/>
      <x:c r="V139" s="14"/>
      <x:c r="W139" s="14"/>
      <x:c r="X139" s="14"/>
      <x:c r="Y139" s="14"/>
      <x:c r="Z139" s="14"/>
      <x:c r="AA139" s="14"/>
      <x:c r="AB139" s="14"/>
      <x:c r="AC139" s="14"/>
      <x:c r="AD139" s="14"/>
      <x:c r="AE139" s="14"/>
      <x:c r="AF139" s="14"/>
      <x:c r="AG139" s="14"/>
    </x:row>
    <x:row r="140" ht="25" customHeight="1">
      <x:c r="A140" s="16" t="str">
        <x:v>配方6　／　30 筆</x:v>
      </x:c>
      <x:c r="B140" s="16"/>
      <x:c r="C140" s="16"/>
      <x:c r="D140" s="16"/>
      <x:c r="E140" s="14"/>
      <x:c r="F140" s="14"/>
      <x:c r="G140" s="14"/>
      <x:c r="H140" s="14"/>
      <x:c r="I140" s="14"/>
      <x:c r="J140" s="14"/>
      <x:c r="K140" s="14"/>
      <x:c r="L140" s="14"/>
      <x:c r="M140" s="14"/>
      <x:c r="N140" s="14"/>
      <x:c r="O140" s="14"/>
      <x:c r="P140" s="14"/>
      <x:c r="Q140" s="14"/>
      <x:c r="R140" s="14"/>
      <x:c r="S140" s="14"/>
      <x:c r="T140" s="14"/>
      <x:c r="U140" s="14"/>
      <x:c r="V140" s="14"/>
      <x:c r="W140" s="14"/>
      <x:c r="X140" s="14"/>
      <x:c r="Y140" s="14"/>
      <x:c r="Z140" s="14"/>
      <x:c r="AA140" s="14"/>
      <x:c r="AB140" s="14"/>
      <x:c r="AC140" s="14"/>
      <x:c r="AD140" s="14"/>
      <x:c r="AE140" s="14"/>
      <x:c r="AF140" s="14"/>
      <x:c r="AG140" s="14"/>
    </x:row>
    <x:row r="141" ht="15" customHeight="1">
      <x:c r="A141" s="17" t="str">
        <x:v>智能宇核配方</x:v>
      </x:c>
      <x:c r="B141" s="17" t="str">
        <x:v>敏迅宇核配方</x:v>
      </x:c>
      <x:c r="C141" s="17" t="str">
        <x:v>血源宇核配方</x:v>
      </x:c>
      <x:c r="D141" s="17" t="str">
        <x:v>精元宇核配方</x:v>
      </x:c>
      <x:c r="E141" s="14"/>
      <x:c r="F141" s="14" t="str">
        <x:v>25562</x:v>
      </x:c>
      <x:c r="G141" s="14" t="n">
        <x:v>4</x:v>
      </x:c>
      <x:c r="H141" s="14" t="n">
        <x:v>4705</x:v>
      </x:c>
      <x:c r="I141" s="14" t="n">
        <x:v>481</x:v>
      </x:c>
      <x:c r="J141" s="14" t="n">
        <x:v>1</x:v>
      </x:c>
      <x:c r="K141" s="14" t="n">
        <x:v>1</x:v>
      </x:c>
      <x:c r="L141" s="14" t="str">
        <x:v>未收錄</x:v>
      </x:c>
      <x:c r="M141" s="14" t="str">
        <x:v>25563</x:v>
      </x:c>
      <x:c r="N141" s="14" t="n">
        <x:v>4</x:v>
      </x:c>
      <x:c r="O141" s="14" t="n">
        <x:v>4706</x:v>
      </x:c>
      <x:c r="P141" s="14" t="n">
        <x:v>482</x:v>
      </x:c>
      <x:c r="Q141" s="14" t="n">
        <x:v>1</x:v>
      </x:c>
      <x:c r="R141" s="14" t="n">
        <x:v>2</x:v>
      </x:c>
      <x:c r="S141" s="14" t="str">
        <x:v>未收錄</x:v>
      </x:c>
      <x:c r="T141" s="14" t="str">
        <x:v>25564</x:v>
      </x:c>
      <x:c r="U141" s="14" t="n">
        <x:v>4</x:v>
      </x:c>
      <x:c r="V141" s="14" t="n">
        <x:v>4707</x:v>
      </x:c>
      <x:c r="W141" s="14" t="n">
        <x:v>483</x:v>
      </x:c>
      <x:c r="X141" s="14" t="n">
        <x:v>1</x:v>
      </x:c>
      <x:c r="Y141" s="14" t="n">
        <x:v>3</x:v>
      </x:c>
      <x:c r="Z141" s="14" t="str">
        <x:v>未收錄</x:v>
      </x:c>
      <x:c r="AA141" s="14" t="str">
        <x:v>25565</x:v>
      </x:c>
      <x:c r="AB141" s="14" t="n">
        <x:v>4</x:v>
      </x:c>
      <x:c r="AC141" s="14" t="n">
        <x:v>4708</x:v>
      </x:c>
      <x:c r="AD141" s="14" t="n">
        <x:v>484</x:v>
      </x:c>
      <x:c r="AE141" s="14" t="n">
        <x:v>1</x:v>
      </x:c>
      <x:c r="AF141" s="14" t="n">
        <x:v>4</x:v>
      </x:c>
      <x:c r="AG141" s="14" t="str">
        <x:v>未收錄</x:v>
      </x:c>
    </x:row>
    <x:row r="142" ht="15" customHeight="1">
      <x:c r="A142" s="18" t="str">
        <x:v>六宇聚核配方</x:v>
      </x:c>
      <x:c r="B142" s="18" t="str">
        <x:v>土星仙器配方</x:v>
      </x:c>
      <x:c r="C142" s="18" t="str">
        <x:v>海星仙器配方</x:v>
      </x:c>
      <x:c r="D142" s="18" t="str">
        <x:v>木星仙器配方</x:v>
      </x:c>
      <x:c r="E142" s="14"/>
      <x:c r="F142" s="14" t="str">
        <x:v>25566</x:v>
      </x:c>
      <x:c r="G142" s="14" t="n">
        <x:v>4</x:v>
      </x:c>
      <x:c r="H142" s="14" t="n">
        <x:v>4709</x:v>
      </x:c>
      <x:c r="I142" s="14" t="n">
        <x:v>485</x:v>
      </x:c>
      <x:c r="J142" s="14" t="n">
        <x:v>2</x:v>
      </x:c>
      <x:c r="K142" s="14" t="n">
        <x:v>1</x:v>
      </x:c>
      <x:c r="L142" s="14" t="str">
        <x:v>未收錄</x:v>
      </x:c>
      <x:c r="M142" s="14" t="str">
        <x:v>25567</x:v>
      </x:c>
      <x:c r="N142" s="14" t="n">
        <x:v>12</x:v>
      </x:c>
      <x:c r="O142" s="14" t="n">
        <x:v>4710</x:v>
      </x:c>
      <x:c r="P142" s="14" t="n">
        <x:v>486</x:v>
      </x:c>
      <x:c r="Q142" s="14" t="n">
        <x:v>2</x:v>
      </x:c>
      <x:c r="R142" s="14" t="n">
        <x:v>2</x:v>
      </x:c>
      <x:c r="S142" s="14" t="str">
        <x:v>未收錄</x:v>
      </x:c>
      <x:c r="T142" s="14" t="str">
        <x:v>25568</x:v>
      </x:c>
      <x:c r="U142" s="14" t="n">
        <x:v>12</x:v>
      </x:c>
      <x:c r="V142" s="14" t="n">
        <x:v>4711</x:v>
      </x:c>
      <x:c r="W142" s="14" t="n">
        <x:v>487</x:v>
      </x:c>
      <x:c r="X142" s="14" t="n">
        <x:v>2</x:v>
      </x:c>
      <x:c r="Y142" s="14" t="n">
        <x:v>3</x:v>
      </x:c>
      <x:c r="Z142" s="14" t="str">
        <x:v>未收錄</x:v>
      </x:c>
      <x:c r="AA142" s="14" t="str">
        <x:v>25569</x:v>
      </x:c>
      <x:c r="AB142" s="14" t="n">
        <x:v>12</x:v>
      </x:c>
      <x:c r="AC142" s="14" t="n">
        <x:v>4712</x:v>
      </x:c>
      <x:c r="AD142" s="14" t="n">
        <x:v>488</x:v>
      </x:c>
      <x:c r="AE142" s="14" t="n">
        <x:v>2</x:v>
      </x:c>
      <x:c r="AF142" s="14" t="n">
        <x:v>4</x:v>
      </x:c>
      <x:c r="AG142" s="14" t="str">
        <x:v>未收錄</x:v>
      </x:c>
    </x:row>
    <x:row r="143" ht="15" customHeight="1">
      <x:c r="A143" s="17" t="str">
        <x:v>冥星仙器配方</x:v>
      </x:c>
      <x:c r="B143" s="17" t="str">
        <x:v>畢命配方</x:v>
      </x:c>
      <x:c r="C143" s="17" t="str">
        <x:v>武成配方</x:v>
      </x:c>
      <x:c r="D143" s="17" t="str">
        <x:v>伊訓配方</x:v>
      </x:c>
      <x:c r="E143" s="14"/>
      <x:c r="F143" s="14" t="str">
        <x:v>25570</x:v>
      </x:c>
      <x:c r="G143" s="14" t="n">
        <x:v>12</x:v>
      </x:c>
      <x:c r="H143" s="14" t="n">
        <x:v>4713</x:v>
      </x:c>
      <x:c r="I143" s="14" t="n">
        <x:v>489</x:v>
      </x:c>
      <x:c r="J143" s="14" t="n">
        <x:v>3</x:v>
      </x:c>
      <x:c r="K143" s="14" t="n">
        <x:v>1</x:v>
      </x:c>
      <x:c r="L143" s="14" t="str">
        <x:v>未收錄</x:v>
      </x:c>
      <x:c r="M143" s="14" t="str">
        <x:v>25571</x:v>
      </x:c>
      <x:c r="N143" s="14" t="n">
        <x:v>12</x:v>
      </x:c>
      <x:c r="O143" s="14" t="n">
        <x:v>4714</x:v>
      </x:c>
      <x:c r="P143" s="14" t="n">
        <x:v>490</x:v>
      </x:c>
      <x:c r="Q143" s="14" t="n">
        <x:v>3</x:v>
      </x:c>
      <x:c r="R143" s="14" t="n">
        <x:v>2</x:v>
      </x:c>
      <x:c r="S143" s="14" t="str">
        <x:v>未收錄</x:v>
      </x:c>
      <x:c r="T143" s="14" t="str">
        <x:v>25572</x:v>
      </x:c>
      <x:c r="U143" s="14" t="n">
        <x:v>12</x:v>
      </x:c>
      <x:c r="V143" s="14" t="n">
        <x:v>4715</x:v>
      </x:c>
      <x:c r="W143" s="14" t="n">
        <x:v>491</x:v>
      </x:c>
      <x:c r="X143" s="14" t="n">
        <x:v>3</x:v>
      </x:c>
      <x:c r="Y143" s="14" t="n">
        <x:v>3</x:v>
      </x:c>
      <x:c r="Z143" s="14" t="str">
        <x:v>未收錄</x:v>
      </x:c>
      <x:c r="AA143" s="14" t="str">
        <x:v>25573</x:v>
      </x:c>
      <x:c r="AB143" s="14" t="n">
        <x:v>12</x:v>
      </x:c>
      <x:c r="AC143" s="14" t="n">
        <x:v>4716</x:v>
      </x:c>
      <x:c r="AD143" s="14" t="n">
        <x:v>492</x:v>
      </x:c>
      <x:c r="AE143" s="14" t="n">
        <x:v>3</x:v>
      </x:c>
      <x:c r="AF143" s="14" t="n">
        <x:v>4</x:v>
      </x:c>
      <x:c r="AG143" s="14" t="str">
        <x:v>未收錄</x:v>
      </x:c>
    </x:row>
    <x:row r="144" ht="15" customHeight="1">
      <x:c r="A144" s="18" t="str">
        <x:v>胤征配方</x:v>
      </x:c>
      <x:c r="B144" s="18" t="str">
        <x:v>輝炎武器配方</x:v>
      </x:c>
      <x:c r="C144" s="18" t="str">
        <x:v>冽冰武器配方</x:v>
      </x:c>
      <x:c r="D144" s="18" t="str">
        <x:v>靂霆武器配方</x:v>
      </x:c>
      <x:c r="E144" s="14"/>
      <x:c r="F144" s="14" t="str">
        <x:v>25574</x:v>
      </x:c>
      <x:c r="G144" s="14" t="n">
        <x:v>12</x:v>
      </x:c>
      <x:c r="H144" s="14" t="n">
        <x:v>4717</x:v>
      </x:c>
      <x:c r="I144" s="14" t="n">
        <x:v>493</x:v>
      </x:c>
      <x:c r="J144" s="14" t="n">
        <x:v>4</x:v>
      </x:c>
      <x:c r="K144" s="14" t="n">
        <x:v>1</x:v>
      </x:c>
      <x:c r="L144" s="14" t="str">
        <x:v>未收錄</x:v>
      </x:c>
      <x:c r="M144" s="14" t="str">
        <x:v>25575</x:v>
      </x:c>
      <x:c r="N144" s="14" t="n">
        <x:v>12</x:v>
      </x:c>
      <x:c r="O144" s="14" t="n">
        <x:v>4718</x:v>
      </x:c>
      <x:c r="P144" s="14" t="n">
        <x:v>494</x:v>
      </x:c>
      <x:c r="Q144" s="14" t="n">
        <x:v>4</x:v>
      </x:c>
      <x:c r="R144" s="14" t="n">
        <x:v>2</x:v>
      </x:c>
      <x:c r="S144" s="14" t="str">
        <x:v>未收錄</x:v>
      </x:c>
      <x:c r="T144" s="14" t="str">
        <x:v>25576</x:v>
      </x:c>
      <x:c r="U144" s="14" t="n">
        <x:v>12</x:v>
      </x:c>
      <x:c r="V144" s="14" t="n">
        <x:v>4719</x:v>
      </x:c>
      <x:c r="W144" s="14" t="n">
        <x:v>495</x:v>
      </x:c>
      <x:c r="X144" s="14" t="n">
        <x:v>4</x:v>
      </x:c>
      <x:c r="Y144" s="14" t="n">
        <x:v>3</x:v>
      </x:c>
      <x:c r="Z144" s="14" t="str">
        <x:v>未收錄</x:v>
      </x:c>
      <x:c r="AA144" s="14" t="str">
        <x:v>25577</x:v>
      </x:c>
      <x:c r="AB144" s="14" t="n">
        <x:v>12</x:v>
      </x:c>
      <x:c r="AC144" s="14" t="n">
        <x:v>4720</x:v>
      </x:c>
      <x:c r="AD144" s="14" t="n">
        <x:v>496</x:v>
      </x:c>
      <x:c r="AE144" s="14" t="n">
        <x:v>4</x:v>
      </x:c>
      <x:c r="AF144" s="14" t="n">
        <x:v>4</x:v>
      </x:c>
      <x:c r="AG144" s="14" t="str">
        <x:v>未收錄</x:v>
      </x:c>
    </x:row>
    <x:row r="145" ht="15" customHeight="1">
      <x:c r="A145" s="17" t="str">
        <x:v>赫冥武器配方</x:v>
      </x:c>
      <x:c r="B145" s="17" t="str">
        <x:v>星軌賦法配方</x:v>
      </x:c>
      <x:c r="C145" s="17" t="str">
        <x:v>耀巍配方</x:v>
      </x:c>
      <x:c r="D145" s="17" t="str">
        <x:v>耀武配方</x:v>
      </x:c>
      <x:c r="E145" s="14"/>
      <x:c r="F145" s="14" t="str">
        <x:v>25578</x:v>
      </x:c>
      <x:c r="G145" s="14" t="n">
        <x:v>12</x:v>
      </x:c>
      <x:c r="H145" s="14" t="n">
        <x:v>4721</x:v>
      </x:c>
      <x:c r="I145" s="14" t="n">
        <x:v>497</x:v>
      </x:c>
      <x:c r="J145" s="14" t="n">
        <x:v>5</x:v>
      </x:c>
      <x:c r="K145" s="14" t="n">
        <x:v>1</x:v>
      </x:c>
      <x:c r="L145" s="14" t="str">
        <x:v>未收錄</x:v>
      </x:c>
      <x:c r="M145" s="14" t="str">
        <x:v>25579</x:v>
      </x:c>
      <x:c r="N145" s="14" t="n">
        <x:v>12</x:v>
      </x:c>
      <x:c r="O145" s="14" t="n">
        <x:v>4722</x:v>
      </x:c>
      <x:c r="P145" s="14" t="n">
        <x:v>498</x:v>
      </x:c>
      <x:c r="Q145" s="14" t="n">
        <x:v>5</x:v>
      </x:c>
      <x:c r="R145" s="14" t="n">
        <x:v>2</x:v>
      </x:c>
      <x:c r="S145" s="14" t="str">
        <x:v>未收錄</x:v>
      </x:c>
      <x:c r="T145" s="14" t="str">
        <x:v>25580</x:v>
      </x:c>
      <x:c r="U145" s="14" t="n">
        <x:v>12</x:v>
      </x:c>
      <x:c r="V145" s="14" t="n">
        <x:v>4723</x:v>
      </x:c>
      <x:c r="W145" s="14" t="n">
        <x:v>499</x:v>
      </x:c>
      <x:c r="X145" s="14" t="n">
        <x:v>5</x:v>
      </x:c>
      <x:c r="Y145" s="14" t="n">
        <x:v>3</x:v>
      </x:c>
      <x:c r="Z145" s="14" t="str">
        <x:v>未收錄</x:v>
      </x:c>
      <x:c r="AA145" s="14" t="str">
        <x:v>25581</x:v>
      </x:c>
      <x:c r="AB145" s="14" t="n">
        <x:v>12</x:v>
      </x:c>
      <x:c r="AC145" s="14" t="n">
        <x:v>4724</x:v>
      </x:c>
      <x:c r="AD145" s="14" t="n">
        <x:v>500</x:v>
      </x:c>
      <x:c r="AE145" s="14" t="n">
        <x:v>5</x:v>
      </x:c>
      <x:c r="AF145" s="14" t="n">
        <x:v>4</x:v>
      </x:c>
      <x:c r="AG145" s="14" t="str">
        <x:v>未收錄</x:v>
      </x:c>
    </x:row>
    <x:row r="146" ht="15" customHeight="1">
      <x:c r="A146" s="18" t="str">
        <x:v>耀思配方</x:v>
      </x:c>
      <x:c r="B146" s="18" t="str">
        <x:v>耀迅配方</x:v>
      </x:c>
      <x:c r="C146" s="18" t="str">
        <x:v>恆彌配方</x:v>
      </x:c>
      <x:c r="D146" s="18" t="str">
        <x:v>恆闊配方</x:v>
      </x:c>
      <x:c r="E146" s="14"/>
      <x:c r="F146" s="14" t="str">
        <x:v>25582</x:v>
      </x:c>
      <x:c r="G146" s="14" t="n">
        <x:v>12</x:v>
      </x:c>
      <x:c r="H146" s="14" t="n">
        <x:v>4725</x:v>
      </x:c>
      <x:c r="I146" s="14" t="n">
        <x:v>501</x:v>
      </x:c>
      <x:c r="J146" s="14" t="n">
        <x:v>6</x:v>
      </x:c>
      <x:c r="K146" s="14" t="n">
        <x:v>1</x:v>
      </x:c>
      <x:c r="L146" s="14" t="str">
        <x:v>未收錄</x:v>
      </x:c>
      <x:c r="M146" s="14" t="str">
        <x:v>25583</x:v>
      </x:c>
      <x:c r="N146" s="14" t="n">
        <x:v>12</x:v>
      </x:c>
      <x:c r="O146" s="14" t="n">
        <x:v>4726</x:v>
      </x:c>
      <x:c r="P146" s="14" t="n">
        <x:v>502</x:v>
      </x:c>
      <x:c r="Q146" s="14" t="n">
        <x:v>6</x:v>
      </x:c>
      <x:c r="R146" s="14" t="n">
        <x:v>2</x:v>
      </x:c>
      <x:c r="S146" s="14" t="str">
        <x:v>未收錄</x:v>
      </x:c>
      <x:c r="T146" s="14" t="str">
        <x:v>25584</x:v>
      </x:c>
      <x:c r="U146" s="14" t="n">
        <x:v>12</x:v>
      </x:c>
      <x:c r="V146" s="14" t="n">
        <x:v>4727</x:v>
      </x:c>
      <x:c r="W146" s="14" t="n">
        <x:v>503</x:v>
      </x:c>
      <x:c r="X146" s="14" t="n">
        <x:v>6</x:v>
      </x:c>
      <x:c r="Y146" s="14" t="n">
        <x:v>3</x:v>
      </x:c>
      <x:c r="Z146" s="14" t="str">
        <x:v>未收錄</x:v>
      </x:c>
      <x:c r="AA146" s="14" t="str">
        <x:v>25585</x:v>
      </x:c>
      <x:c r="AB146" s="14" t="n">
        <x:v>12</x:v>
      </x:c>
      <x:c r="AC146" s="14" t="n">
        <x:v>4728</x:v>
      </x:c>
      <x:c r="AD146" s="14" t="n">
        <x:v>504</x:v>
      </x:c>
      <x:c r="AE146" s="14" t="n">
        <x:v>6</x:v>
      </x:c>
      <x:c r="AF146" s="14" t="n">
        <x:v>4</x:v>
      </x:c>
      <x:c r="AG146" s="14" t="str">
        <x:v>未收錄</x:v>
      </x:c>
    </x:row>
    <x:row r="147" ht="15" customHeight="1">
      <x:c r="A147" s="17" t="str">
        <x:v>宇彌配方</x:v>
      </x:c>
      <x:c r="B147" s="17" t="str">
        <x:v>宇闊配方</x:v>
      </x:c>
      <x:c r="C147" s="17" t="str">
        <x:v>靈彌配方</x:v>
      </x:c>
      <x:c r="D147" s="17" t="str">
        <x:v>靈闊配方</x:v>
      </x:c>
      <x:c r="E147" s="14"/>
      <x:c r="F147" s="14" t="str">
        <x:v>25586</x:v>
      </x:c>
      <x:c r="G147" s="14" t="n">
        <x:v>12</x:v>
      </x:c>
      <x:c r="H147" s="14" t="n">
        <x:v>4729</x:v>
      </x:c>
      <x:c r="I147" s="14" t="n">
        <x:v>505</x:v>
      </x:c>
      <x:c r="J147" s="14" t="n">
        <x:v>7</x:v>
      </x:c>
      <x:c r="K147" s="14" t="n">
        <x:v>1</x:v>
      </x:c>
      <x:c r="L147" s="14" t="str">
        <x:v>未收錄</x:v>
      </x:c>
      <x:c r="M147" s="14" t="str">
        <x:v>25587</x:v>
      </x:c>
      <x:c r="N147" s="14" t="n">
        <x:v>12</x:v>
      </x:c>
      <x:c r="O147" s="14" t="n">
        <x:v>4730</x:v>
      </x:c>
      <x:c r="P147" s="14" t="n">
        <x:v>506</x:v>
      </x:c>
      <x:c r="Q147" s="14" t="n">
        <x:v>7</x:v>
      </x:c>
      <x:c r="R147" s="14" t="n">
        <x:v>2</x:v>
      </x:c>
      <x:c r="S147" s="14" t="str">
        <x:v>未收錄</x:v>
      </x:c>
      <x:c r="T147" s="14" t="str">
        <x:v>25588</x:v>
      </x:c>
      <x:c r="U147" s="14" t="n">
        <x:v>12</x:v>
      </x:c>
      <x:c r="V147" s="14" t="n">
        <x:v>4731</x:v>
      </x:c>
      <x:c r="W147" s="14" t="n">
        <x:v>507</x:v>
      </x:c>
      <x:c r="X147" s="14" t="n">
        <x:v>7</x:v>
      </x:c>
      <x:c r="Y147" s="14" t="n">
        <x:v>3</x:v>
      </x:c>
      <x:c r="Z147" s="14" t="str">
        <x:v>未收錄</x:v>
      </x:c>
      <x:c r="AA147" s="14" t="str">
        <x:v>25589</x:v>
      </x:c>
      <x:c r="AB147" s="14" t="n">
        <x:v>12</x:v>
      </x:c>
      <x:c r="AC147" s="14" t="n">
        <x:v>4732</x:v>
      </x:c>
      <x:c r="AD147" s="14" t="n">
        <x:v>508</x:v>
      </x:c>
      <x:c r="AE147" s="14" t="n">
        <x:v>7</x:v>
      </x:c>
      <x:c r="AF147" s="14" t="n">
        <x:v>4</x:v>
      </x:c>
      <x:c r="AG147" s="14" t="str">
        <x:v>未收錄</x:v>
      </x:c>
    </x:row>
    <x:row r="148" ht="15" customHeight="1">
      <x:c r="A148" s="18" t="str">
        <x:v>玄彌配方</x:v>
      </x:c>
      <x:c r="B148" s="18" t="str">
        <x:v>玄闊配方</x:v>
      </x:c>
      <x:c r="C148" s="18"/>
      <x:c r="D148" s="18"/>
      <x:c r="E148" s="14"/>
      <x:c r="F148" s="14" t="str">
        <x:v>25590</x:v>
      </x:c>
      <x:c r="G148" s="14" t="n">
        <x:v>12</x:v>
      </x:c>
      <x:c r="H148" s="14" t="n">
        <x:v>4733</x:v>
      </x:c>
      <x:c r="I148" s="14" t="n">
        <x:v>509</x:v>
      </x:c>
      <x:c r="J148" s="14" t="n">
        <x:v>8</x:v>
      </x:c>
      <x:c r="K148" s="14" t="n">
        <x:v>1</x:v>
      </x:c>
      <x:c r="L148" s="14" t="str">
        <x:v>未收錄</x:v>
      </x:c>
      <x:c r="M148" s="14" t="str">
        <x:v>25591</x:v>
      </x:c>
      <x:c r="N148" s="14" t="n">
        <x:v>12</x:v>
      </x:c>
      <x:c r="O148" s="14" t="n">
        <x:v>4734</x:v>
      </x:c>
      <x:c r="P148" s="14" t="n">
        <x:v>510</x:v>
      </x:c>
      <x:c r="Q148" s="14" t="n">
        <x:v>8</x:v>
      </x:c>
      <x:c r="R148" s="14" t="n">
        <x:v>2</x:v>
      </x:c>
      <x:c r="S148" s="14" t="str">
        <x:v>未收錄</x:v>
      </x:c>
      <x:c r="T148" s="14"/>
      <x:c r="U148" s="14"/>
      <x:c r="V148" s="14"/>
      <x:c r="W148" s="14"/>
      <x:c r="X148" s="14"/>
      <x:c r="Y148" s="14"/>
      <x:c r="Z148" s="14"/>
      <x:c r="AA148" s="14"/>
      <x:c r="AB148" s="14"/>
      <x:c r="AC148" s="14"/>
      <x:c r="AD148" s="14"/>
      <x:c r="AE148" s="14"/>
      <x:c r="AF148" s="14"/>
      <x:c r="AG148" s="14"/>
    </x:row>
    <x:row r="149">
      <x:c r="A149" s="14"/>
      <x:c r="B149" s="14"/>
      <x:c r="C149" s="14"/>
      <x:c r="D149" s="14"/>
      <x:c r="E149" s="14"/>
      <x:c r="F149" s="14"/>
      <x:c r="G149" s="14"/>
      <x:c r="H149" s="14"/>
      <x:c r="I149" s="14"/>
      <x:c r="J149" s="14"/>
      <x:c r="K149" s="14"/>
      <x:c r="L149" s="14"/>
      <x:c r="M149" s="14"/>
      <x:c r="N149" s="14"/>
      <x:c r="O149" s="14"/>
      <x:c r="P149" s="14"/>
      <x:c r="Q149" s="14"/>
      <x:c r="R149" s="14"/>
      <x:c r="S149" s="14"/>
      <x:c r="T149" s="14"/>
      <x:c r="U149" s="14"/>
      <x:c r="V149" s="14"/>
      <x:c r="W149" s="14"/>
      <x:c r="X149" s="14"/>
      <x:c r="Y149" s="14"/>
      <x:c r="Z149" s="14"/>
      <x:c r="AA149" s="14"/>
      <x:c r="AB149" s="14"/>
      <x:c r="AC149" s="14"/>
      <x:c r="AD149" s="14"/>
      <x:c r="AE149" s="14"/>
      <x:c r="AF149" s="14"/>
      <x:c r="AG149" s="14"/>
    </x:row>
  </x:sheetData>
  <x:mergeCells>
    <x:mergeCell ref="A9:D9"/>
    <x:mergeCell ref="A10:D10"/>
    <x:mergeCell ref="A36:D36"/>
    <x:mergeCell ref="A62:D62"/>
    <x:mergeCell ref="A88:D88"/>
    <x:mergeCell ref="A114:D114"/>
    <x:mergeCell ref="A140:D140"/>
    <x:mergeCell ref="A2:B2"/>
    <x:mergeCell ref="A3:B3"/>
    <x:mergeCell ref="A6:D6"/>
  </x:mergeCells>
  <x:conditionalFormatting sqref="A11:A149">
    <x:cfRule type="expression" dxfId="64" priority="1">
      <x:formula>$L11="已收錄"</x:formula>
    </x:cfRule>
  </x:conditionalFormatting>
  <x:conditionalFormatting sqref="B11:B149">
    <x:cfRule type="expression" dxfId="65" priority="2">
      <x:formula>$S11="已收錄"</x:formula>
    </x:cfRule>
  </x:conditionalFormatting>
  <x:conditionalFormatting sqref="C11:C149">
    <x:cfRule type="expression" dxfId="66" priority="3">
      <x:formula>$Z11="已收錄"</x:formula>
    </x:cfRule>
  </x:conditionalFormatting>
  <x:conditionalFormatting sqref="D11:D149">
    <x:cfRule type="expression" dxfId="67" priority="4">
      <x:formula>$AG11="已收錄"</x:formula>
    </x:cfRule>
  </x:conditionalFormatting>
  <x:pageMargins left="0.7" right="0.7" top="0.75" bottom="0.75" header="0.3" footer="0.3"/>
</x:worksheet>
</file>

<file path=xl/worksheets/sheet3.xml><?xml version="1.0" encoding="utf-8"?>
<x:worksheet xmlns:x="http://schemas.openxmlformats.org/spreadsheetml/2006/main">
  <x:sheetPr>
    <x:tabColor rgb="FF795E43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6" max="33" hidden="1" width="12" customWidth="1"/>
  </x:cols>
  <x:sheetData>
    <x:row r="1" hidden="1">
      <x:c r="A1" s="14" t="n">
        <x:v>6</x:v>
      </x:c>
      <x:c r="B1" s="14" t="n">
        <x:v>13</x:v>
      </x:c>
      <x:c r="C1" s="14" t="n">
        <x:v>20</x:v>
      </x:c>
      <x:c r="D1" s="14" t="n">
        <x:v>27</x:v>
      </x:c>
      <x:c r="E1" s="14"/>
      <x:c r="F1" s="14"/>
      <x:c r="G1" s="14"/>
      <x:c r="H1" s="14"/>
      <x:c r="I1" s="14"/>
      <x:c r="J1" s="14"/>
      <x:c r="K1" s="14"/>
      <x:c r="L1" s="14"/>
      <x:c r="M1" s="14"/>
      <x:c r="N1" s="14"/>
      <x:c r="O1" s="14"/>
      <x:c r="P1" s="14"/>
      <x:c r="Q1" s="14"/>
      <x:c r="R1" s="14"/>
      <x:c r="S1" s="14"/>
      <x:c r="T1" s="14"/>
      <x:c r="U1" s="14"/>
      <x:c r="V1" s="14"/>
      <x:c r="W1" s="14"/>
      <x:c r="X1" s="14"/>
      <x:c r="Y1" s="14"/>
      <x:c r="Z1" s="14"/>
      <x:c r="AA1" s="14"/>
      <x:c r="AB1" s="14"/>
      <x:c r="AC1" s="14"/>
      <x:c r="AD1" s="14"/>
      <x:c r="AE1" s="14"/>
      <x:c r="AF1" s="14"/>
      <x:c r="AG1" s="14"/>
    </x:row>
    <x:row r="2" ht="24" customHeight="1">
      <x:c r="A2" s="43" t="str">
        <x:v>法器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14"/>
      <x:c r="G2" s="14"/>
      <x:c r="H2" s="14"/>
      <x:c r="I2" s="14"/>
      <x:c r="J2" s="14"/>
      <x:c r="K2" s="14"/>
      <x:c r="L2" s="14"/>
      <x:c r="M2" s="14"/>
      <x:c r="N2" s="14"/>
      <x:c r="O2" s="14"/>
      <x:c r="P2" s="14"/>
      <x:c r="Q2" s="14"/>
      <x:c r="R2" s="14"/>
      <x:c r="S2" s="14"/>
      <x:c r="T2" s="14"/>
      <x:c r="U2" s="14"/>
      <x:c r="V2" s="14"/>
      <x:c r="W2" s="14"/>
      <x:c r="X2" s="14"/>
      <x:c r="Y2" s="14"/>
      <x:c r="Z2" s="14"/>
      <x:c r="AA2" s="14"/>
      <x:c r="AB2" s="14"/>
      <x:c r="AC2" s="14"/>
      <x:c r="AD2" s="14"/>
      <x:c r="AE2" s="14"/>
      <x:c r="AF2" s="14"/>
      <x:c r="AG2" s="14"/>
    </x:row>
    <x:row r="3" ht="19" customHeight="1" hidden="1">
      <x:c r="A3" s="14" t="str">
        <x:v>2026/09/17　武冠收納清冊</x:v>
      </x:c>
      <x:c r="B3" s="14"/>
      <x:c r="C3" s="14" t="str">
        <x:v>四類總分</x:v>
      </x:c>
      <x:c r="D3" s="14" t="n">
        <x:f>SUM('武防'!C5,'配方'!C5,'法器'!C5,'封獸'!C5)</x:f>
        <x:v>35704</x:v>
      </x:c>
      <x:c r="E3" s="14"/>
      <x:c r="F3" s="14"/>
      <x:c r="G3" s="14"/>
      <x:c r="H3" s="14"/>
      <x:c r="I3" s="14"/>
      <x:c r="J3" s="14"/>
      <x:c r="K3" s="14"/>
      <x:c r="L3" s="14"/>
      <x:c r="M3" s="14"/>
      <x:c r="N3" s="14"/>
      <x:c r="O3" s="14"/>
      <x:c r="P3" s="14"/>
      <x:c r="Q3" s="14"/>
      <x:c r="R3" s="14"/>
      <x:c r="S3" s="14"/>
      <x:c r="T3" s="14"/>
      <x:c r="U3" s="14"/>
      <x:c r="V3" s="14"/>
      <x:c r="W3" s="14"/>
      <x:c r="X3" s="14"/>
      <x:c r="Y3" s="14"/>
      <x:c r="Z3" s="14"/>
      <x:c r="AA3" s="14"/>
      <x:c r="AB3" s="14"/>
      <x:c r="AC3" s="14"/>
      <x:c r="AD3" s="14"/>
      <x:c r="AE3" s="14"/>
      <x:c r="AF3" s="14"/>
      <x:c r="AG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法器總分</x:t>
        </x:is>
      </x:c>
      <x:c r="D4" s="22" t="str">
        <x:v>本頁收藏率</x:v>
      </x:c>
      <x:c r="E4" s="14"/>
      <x:c r="F4" s="14"/>
      <x:c r="G4" s="14"/>
      <x:c r="H4" s="14"/>
      <x:c r="I4" s="14"/>
      <x:c r="J4" s="14"/>
      <x:c r="K4" s="14"/>
      <x:c r="L4" s="14"/>
      <x:c r="M4" s="14"/>
      <x:c r="N4" s="14"/>
      <x:c r="O4" s="14"/>
      <x:c r="P4" s="14"/>
      <x:c r="Q4" s="14"/>
      <x:c r="R4" s="14"/>
      <x:c r="S4" s="14"/>
      <x:c r="T4" s="14"/>
      <x:c r="U4" s="14"/>
      <x:c r="V4" s="14"/>
      <x:c r="W4" s="14"/>
      <x:c r="X4" s="14"/>
      <x:c r="Y4" s="14"/>
      <x:c r="Z4" s="14"/>
      <x:c r="AA4" s="14"/>
      <x:c r="AB4" s="14"/>
      <x:c r="AC4" s="14"/>
      <x:c r="AD4" s="14"/>
      <x:c r="AE4" s="14"/>
      <x:c r="AF4" s="14"/>
      <x:c r="AG4" s="14"/>
    </x:row>
    <x:row r="5" ht="21" customHeight="1">
      <x:c r="A5" s="28" t="n">
        <x:f>COUNTIF(L9:L56,"已收錄")+COUNTIF(S9:S56,"已收錄")+COUNTIF(Z9:Z56,"已收錄")+COUNTIF(AG9:AG56,"已收錄")</x:f>
        <x:v>0</x:v>
      </x:c>
      <x:c r="B5" s="29" t="n">
        <x:f>SUMIF(L9:L56,"已收錄",G9:G56)+SUMIF(S9:S56,"已收錄",N9:N56)+SUMIF(Z9:Z56,"已收錄",U9:U56)+SUMIF(AG9:AG56,"已收錄",AB9:AB56)</x:f>
        <x:v>0</x:v>
      </x:c>
      <x:c r="C5" s="73" t="n">
        <x:f>SUM(G9:G56)+SUM(N9:N56)+SUM(U9:U56)+SUM(AB9:AB56)</x:f>
        <x:v>1020</x:v>
      </x:c>
      <x:c r="D5" s="31" t="n">
        <x:f>A5/169</x:f>
        <x:v>0</x:v>
      </x:c>
      <x:c r="E5" s="14"/>
      <x:c r="F5" s="14"/>
      <x:c r="G5" s="14"/>
      <x:c r="H5" s="14"/>
      <x:c r="I5" s="14"/>
      <x:c r="J5" s="14"/>
      <x:c r="K5" s="14"/>
      <x:c r="L5" s="14"/>
      <x:c r="M5" s="14"/>
      <x:c r="N5" s="14"/>
      <x:c r="O5" s="14"/>
      <x:c r="P5" s="14"/>
      <x:c r="Q5" s="14"/>
      <x:c r="R5" s="14"/>
      <x:c r="S5" s="14"/>
      <x:c r="T5" s="14"/>
      <x:c r="U5" s="14"/>
      <x:c r="V5" s="14"/>
      <x:c r="W5" s="14"/>
      <x:c r="X5" s="14"/>
      <x:c r="Y5" s="14"/>
      <x:c r="Z5" s="14"/>
      <x:c r="AA5" s="14"/>
      <x:c r="AB5" s="14"/>
      <x:c r="AC5" s="14"/>
      <x:c r="AD5" s="14"/>
      <x:c r="AE5" s="14"/>
      <x:c r="AF5" s="14"/>
      <x:c r="AG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14"/>
      <x:c r="G6" s="14"/>
      <x:c r="H6" s="14"/>
      <x:c r="I6" s="14"/>
      <x:c r="J6" s="14"/>
      <x:c r="K6" s="14"/>
      <x:c r="L6" s="14"/>
      <x:c r="M6" s="14"/>
      <x:c r="N6" s="14"/>
      <x:c r="O6" s="14"/>
      <x:c r="P6" s="14"/>
      <x:c r="Q6" s="14"/>
      <x:c r="R6" s="14"/>
      <x:c r="S6" s="14"/>
      <x:c r="T6" s="14"/>
      <x:c r="U6" s="14"/>
      <x:c r="V6" s="14"/>
      <x:c r="W6" s="14"/>
      <x:c r="X6" s="14"/>
      <x:c r="Y6" s="14"/>
      <x:c r="Z6" s="14"/>
      <x:c r="AA6" s="14"/>
      <x:c r="AB6" s="14"/>
      <x:c r="AC6" s="14"/>
      <x:c r="AD6" s="14"/>
      <x:c r="AE6" s="14"/>
      <x:c r="AF6" s="14"/>
      <x:c r="AG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</x:row>
    <x:row r="9" ht="25" customHeight="1">
      <x:c r="A9" s="42" t="str">
        <x:v>法器</x:v>
      </x:c>
      <x:c r="B9" s="42"/>
      <x:c r="C9" s="42"/>
      <x:c r="D9" s="42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</x:row>
    <x:row r="10" ht="25" customHeight="1">
      <x:c r="A10" s="16" t="str">
        <x:v>法器1　／　96 筆</x:v>
      </x:c>
      <x:c r="B10" s="16"/>
      <x:c r="C10" s="16"/>
      <x:c r="D10" s="16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</x:row>
    <x:row r="11" ht="15" customHeight="1">
      <x:c r="A11" s="17" t="str">
        <x:v>紅燈籠</x:v>
      </x:c>
      <x:c r="B11" s="17" t="str">
        <x:v>乾坤剪</x:v>
      </x:c>
      <x:c r="C11" s="17" t="str">
        <x:v>聚煙鼎</x:v>
      </x:c>
      <x:c r="D11" s="17" t="str">
        <x:v>寶玉葫蘆</x:v>
      </x:c>
      <x:c r="E11" s="14"/>
      <x:c r="F11" s="14" t="str">
        <x:v>20134</x:v>
      </x:c>
      <x:c r="G11" s="14" t="n">
        <x:v>3</x:v>
      </x:c>
      <x:c r="H11" s="14" t="n">
        <x:v>4056</x:v>
      </x:c>
      <x:c r="I11" s="14" t="n">
        <x:v>1</x:v>
      </x:c>
      <x:c r="J11" s="14" t="n">
        <x:v>1</x:v>
      </x:c>
      <x:c r="K11" s="14" t="n">
        <x:v>1</x:v>
      </x:c>
      <x:c r="L11" s="14" t="str">
        <x:v>未收錄</x:v>
      </x:c>
      <x:c r="M11" s="14" t="str">
        <x:v>20135</x:v>
      </x:c>
      <x:c r="N11" s="14" t="n">
        <x:v>3</x:v>
      </x:c>
      <x:c r="O11" s="14" t="n">
        <x:v>4057</x:v>
      </x:c>
      <x:c r="P11" s="14" t="n">
        <x:v>2</x:v>
      </x:c>
      <x:c r="Q11" s="14" t="n">
        <x:v>1</x:v>
      </x:c>
      <x:c r="R11" s="14" t="n">
        <x:v>2</x:v>
      </x:c>
      <x:c r="S11" s="14" t="str">
        <x:v>未收錄</x:v>
      </x:c>
      <x:c r="T11" s="14" t="str">
        <x:v>20136</x:v>
      </x:c>
      <x:c r="U11" s="14" t="n">
        <x:v>3</x:v>
      </x:c>
      <x:c r="V11" s="14" t="n">
        <x:v>4058</x:v>
      </x:c>
      <x:c r="W11" s="14" t="n">
        <x:v>3</x:v>
      </x:c>
      <x:c r="X11" s="14" t="n">
        <x:v>1</x:v>
      </x:c>
      <x:c r="Y11" s="14" t="n">
        <x:v>3</x:v>
      </x:c>
      <x:c r="Z11" s="14" t="str">
        <x:v>未收錄</x:v>
      </x:c>
      <x:c r="AA11" s="14" t="str">
        <x:v>20291</x:v>
      </x:c>
      <x:c r="AB11" s="14" t="n">
        <x:v>3</x:v>
      </x:c>
      <x:c r="AC11" s="14" t="n">
        <x:v>4059</x:v>
      </x:c>
      <x:c r="AD11" s="14" t="n">
        <x:v>4</x:v>
      </x:c>
      <x:c r="AE11" s="14" t="n">
        <x:v>1</x:v>
      </x:c>
      <x:c r="AF11" s="14" t="n">
        <x:v>4</x:v>
      </x:c>
      <x:c r="AG11" s="14" t="str">
        <x:v>未收錄</x:v>
      </x:c>
    </x:row>
    <x:row r="12" ht="15" customHeight="1">
      <x:c r="A12" s="18" t="str">
        <x:v>捆仙索</x:v>
      </x:c>
      <x:c r="B12" s="18" t="str">
        <x:v>仙靈扇</x:v>
      </x:c>
      <x:c r="C12" s="18" t="str">
        <x:v>金錢劍</x:v>
      </x:c>
      <x:c r="D12" s="18" t="str">
        <x:v>仙玉瓶</x:v>
      </x:c>
      <x:c r="E12" s="14"/>
      <x:c r="F12" s="14" t="str">
        <x:v>20137</x:v>
      </x:c>
      <x:c r="G12" s="14" t="n">
        <x:v>3</x:v>
      </x:c>
      <x:c r="H12" s="14" t="n">
        <x:v>4060</x:v>
      </x:c>
      <x:c r="I12" s="14" t="n">
        <x:v>5</x:v>
      </x:c>
      <x:c r="J12" s="14" t="n">
        <x:v>2</x:v>
      </x:c>
      <x:c r="K12" s="14" t="n">
        <x:v>1</x:v>
      </x:c>
      <x:c r="L12" s="14" t="str">
        <x:v>未收錄</x:v>
      </x:c>
      <x:c r="M12" s="14" t="str">
        <x:v>20289</x:v>
      </x:c>
      <x:c r="N12" s="14" t="n">
        <x:v>3</x:v>
      </x:c>
      <x:c r="O12" s="14" t="n">
        <x:v>4061</x:v>
      </x:c>
      <x:c r="P12" s="14" t="n">
        <x:v>6</x:v>
      </x:c>
      <x:c r="Q12" s="14" t="n">
        <x:v>2</x:v>
      </x:c>
      <x:c r="R12" s="14" t="n">
        <x:v>2</x:v>
      </x:c>
      <x:c r="S12" s="14" t="str">
        <x:v>未收錄</x:v>
      </x:c>
      <x:c r="T12" s="14" t="str">
        <x:v>20138</x:v>
      </x:c>
      <x:c r="U12" s="14" t="n">
        <x:v>3</x:v>
      </x:c>
      <x:c r="V12" s="14" t="n">
        <x:v>4062</x:v>
      </x:c>
      <x:c r="W12" s="14" t="n">
        <x:v>7</x:v>
      </x:c>
      <x:c r="X12" s="14" t="n">
        <x:v>2</x:v>
      </x:c>
      <x:c r="Y12" s="14" t="n">
        <x:v>3</x:v>
      </x:c>
      <x:c r="Z12" s="14" t="str">
        <x:v>未收錄</x:v>
      </x:c>
      <x:c r="AA12" s="14" t="str">
        <x:v>20146</x:v>
      </x:c>
      <x:c r="AB12" s="14" t="n">
        <x:v>3</x:v>
      </x:c>
      <x:c r="AC12" s="14" t="n">
        <x:v>4063</x:v>
      </x:c>
      <x:c r="AD12" s="14" t="n">
        <x:v>8</x:v>
      </x:c>
      <x:c r="AE12" s="14" t="n">
        <x:v>2</x:v>
      </x:c>
      <x:c r="AF12" s="14" t="n">
        <x:v>4</x:v>
      </x:c>
      <x:c r="AG12" s="14" t="str">
        <x:v>未收錄</x:v>
      </x:c>
    </x:row>
    <x:row r="13" ht="15" customHeight="1">
      <x:c r="A13" s="17" t="str">
        <x:v>照妖鏡</x:v>
      </x:c>
      <x:c r="B13" s="17" t="str">
        <x:v>乾坤圈</x:v>
      </x:c>
      <x:c r="C13" s="17" t="str">
        <x:v>神行令</x:v>
      </x:c>
      <x:c r="D13" s="17" t="str">
        <x:v>玄冰旗</x:v>
      </x:c>
      <x:c r="E13" s="14"/>
      <x:c r="F13" s="14" t="str">
        <x:v>20149</x:v>
      </x:c>
      <x:c r="G13" s="14" t="n">
        <x:v>3</x:v>
      </x:c>
      <x:c r="H13" s="14" t="n">
        <x:v>4064</x:v>
      </x:c>
      <x:c r="I13" s="14" t="n">
        <x:v>9</x:v>
      </x:c>
      <x:c r="J13" s="14" t="n">
        <x:v>3</x:v>
      </x:c>
      <x:c r="K13" s="14" t="n">
        <x:v>1</x:v>
      </x:c>
      <x:c r="L13" s="14" t="str">
        <x:v>未收錄</x:v>
      </x:c>
      <x:c r="M13" s="14" t="str">
        <x:v>20145</x:v>
      </x:c>
      <x:c r="N13" s="14" t="n">
        <x:v>3</x:v>
      </x:c>
      <x:c r="O13" s="14" t="n">
        <x:v>4065</x:v>
      </x:c>
      <x:c r="P13" s="14" t="n">
        <x:v>10</x:v>
      </x:c>
      <x:c r="Q13" s="14" t="n">
        <x:v>3</x:v>
      </x:c>
      <x:c r="R13" s="14" t="n">
        <x:v>2</x:v>
      </x:c>
      <x:c r="S13" s="14" t="str">
        <x:v>未收錄</x:v>
      </x:c>
      <x:c r="T13" s="14" t="str">
        <x:v>20147</x:v>
      </x:c>
      <x:c r="U13" s="14" t="n">
        <x:v>3</x:v>
      </x:c>
      <x:c r="V13" s="14" t="n">
        <x:v>4066</x:v>
      </x:c>
      <x:c r="W13" s="14" t="n">
        <x:v>11</x:v>
      </x:c>
      <x:c r="X13" s="14" t="n">
        <x:v>3</x:v>
      </x:c>
      <x:c r="Y13" s="14" t="n">
        <x:v>3</x:v>
      </x:c>
      <x:c r="Z13" s="14" t="str">
        <x:v>未收錄</x:v>
      </x:c>
      <x:c r="AA13" s="14" t="str">
        <x:v>20140</x:v>
      </x:c>
      <x:c r="AB13" s="14" t="n">
        <x:v>3</x:v>
      </x:c>
      <x:c r="AC13" s="14" t="n">
        <x:v>4067</x:v>
      </x:c>
      <x:c r="AD13" s="14" t="n">
        <x:v>12</x:v>
      </x:c>
      <x:c r="AE13" s="14" t="n">
        <x:v>3</x:v>
      </x:c>
      <x:c r="AF13" s="14" t="n">
        <x:v>4</x:v>
      </x:c>
      <x:c r="AG13" s="14" t="str">
        <x:v>未收錄</x:v>
      </x:c>
    </x:row>
    <x:row r="14" ht="15" customHeight="1">
      <x:c r="A14" s="18" t="str">
        <x:v>真火旗</x:v>
      </x:c>
      <x:c r="B14" s="18" t="str">
        <x:v>雷電旗</x:v>
      </x:c>
      <x:c r="C14" s="18" t="str">
        <x:v>紫晶易盤</x:v>
      </x:c>
      <x:c r="D14" s="18" t="str">
        <x:v>金霞扇</x:v>
      </x:c>
      <x:c r="E14" s="14"/>
      <x:c r="F14" s="14" t="str">
        <x:v>20141</x:v>
      </x:c>
      <x:c r="G14" s="14" t="n">
        <x:v>3</x:v>
      </x:c>
      <x:c r="H14" s="14" t="n">
        <x:v>4068</x:v>
      </x:c>
      <x:c r="I14" s="14" t="n">
        <x:v>13</x:v>
      </x:c>
      <x:c r="J14" s="14" t="n">
        <x:v>4</x:v>
      </x:c>
      <x:c r="K14" s="14" t="n">
        <x:v>1</x:v>
      </x:c>
      <x:c r="L14" s="14" t="str">
        <x:v>未收錄</x:v>
      </x:c>
      <x:c r="M14" s="14" t="str">
        <x:v>20142</x:v>
      </x:c>
      <x:c r="N14" s="14" t="n">
        <x:v>3</x:v>
      </x:c>
      <x:c r="O14" s="14" t="n">
        <x:v>4069</x:v>
      </x:c>
      <x:c r="P14" s="14" t="n">
        <x:v>14</x:v>
      </x:c>
      <x:c r="Q14" s="14" t="n">
        <x:v>4</x:v>
      </x:c>
      <x:c r="R14" s="14" t="n">
        <x:v>2</x:v>
      </x:c>
      <x:c r="S14" s="14" t="str">
        <x:v>未收錄</x:v>
      </x:c>
      <x:c r="T14" s="14" t="str">
        <x:v>20153</x:v>
      </x:c>
      <x:c r="U14" s="14" t="n">
        <x:v>3</x:v>
      </x:c>
      <x:c r="V14" s="14" t="n">
        <x:v>4070</x:v>
      </x:c>
      <x:c r="W14" s="14" t="n">
        <x:v>15</x:v>
      </x:c>
      <x:c r="X14" s="14" t="n">
        <x:v>4</x:v>
      </x:c>
      <x:c r="Y14" s="14" t="n">
        <x:v>3</x:v>
      </x:c>
      <x:c r="Z14" s="14" t="str">
        <x:v>未收錄</x:v>
      </x:c>
      <x:c r="AA14" s="14" t="str">
        <x:v>20139</x:v>
      </x:c>
      <x:c r="AB14" s="14" t="n">
        <x:v>3</x:v>
      </x:c>
      <x:c r="AC14" s="14" t="n">
        <x:v>4071</x:v>
      </x:c>
      <x:c r="AD14" s="14" t="n">
        <x:v>16</x:v>
      </x:c>
      <x:c r="AE14" s="14" t="n">
        <x:v>4</x:v>
      </x:c>
      <x:c r="AF14" s="14" t="n">
        <x:v>4</x:v>
      </x:c>
      <x:c r="AG14" s="14" t="str">
        <x:v>未收錄</x:v>
      </x:c>
    </x:row>
    <x:row r="15" ht="15" customHeight="1">
      <x:c r="A15" s="17" t="str">
        <x:v>八卦鏡</x:v>
      </x:c>
      <x:c r="B15" s="17" t="str">
        <x:v>八卦印</x:v>
      </x:c>
      <x:c r="C15" s="17" t="str">
        <x:v>七星劍匣</x:v>
      </x:c>
      <x:c r="D15" s="17" t="str">
        <x:v>六合寶鏡</x:v>
      </x:c>
      <x:c r="E15" s="14"/>
      <x:c r="F15" s="14" t="str">
        <x:v>20143</x:v>
      </x:c>
      <x:c r="G15" s="14" t="n">
        <x:v>3</x:v>
      </x:c>
      <x:c r="H15" s="14" t="n">
        <x:v>4072</x:v>
      </x:c>
      <x:c r="I15" s="14" t="n">
        <x:v>17</x:v>
      </x:c>
      <x:c r="J15" s="14" t="n">
        <x:v>5</x:v>
      </x:c>
      <x:c r="K15" s="14" t="n">
        <x:v>1</x:v>
      </x:c>
      <x:c r="L15" s="14" t="str">
        <x:v>未收錄</x:v>
      </x:c>
      <x:c r="M15" s="14" t="str">
        <x:v>20148</x:v>
      </x:c>
      <x:c r="N15" s="14" t="n">
        <x:v>3</x:v>
      </x:c>
      <x:c r="O15" s="14" t="n">
        <x:v>4073</x:v>
      </x:c>
      <x:c r="P15" s="14" t="n">
        <x:v>18</x:v>
      </x:c>
      <x:c r="Q15" s="14" t="n">
        <x:v>5</x:v>
      </x:c>
      <x:c r="R15" s="14" t="n">
        <x:v>2</x:v>
      </x:c>
      <x:c r="S15" s="14" t="str">
        <x:v>未收錄</x:v>
      </x:c>
      <x:c r="T15" s="14" t="str">
        <x:v>20144</x:v>
      </x:c>
      <x:c r="U15" s="14" t="n">
        <x:v>3</x:v>
      </x:c>
      <x:c r="V15" s="14" t="n">
        <x:v>4074</x:v>
      </x:c>
      <x:c r="W15" s="14" t="n">
        <x:v>19</x:v>
      </x:c>
      <x:c r="X15" s="14" t="n">
        <x:v>5</x:v>
      </x:c>
      <x:c r="Y15" s="14" t="n">
        <x:v>3</x:v>
      </x:c>
      <x:c r="Z15" s="14" t="str">
        <x:v>未收錄</x:v>
      </x:c>
      <x:c r="AA15" s="14" t="str">
        <x:v>20921</x:v>
      </x:c>
      <x:c r="AB15" s="14" t="n">
        <x:v>3</x:v>
      </x:c>
      <x:c r="AC15" s="14" t="n">
        <x:v>4075</x:v>
      </x:c>
      <x:c r="AD15" s="14" t="n">
        <x:v>20</x:v>
      </x:c>
      <x:c r="AE15" s="14" t="n">
        <x:v>5</x:v>
      </x:c>
      <x:c r="AF15" s="14" t="n">
        <x:v>4</x:v>
      </x:c>
      <x:c r="AG15" s="14" t="str">
        <x:v>未收錄</x:v>
      </x:c>
    </x:row>
    <x:row r="16" ht="15" customHeight="1">
      <x:c r="A16" s="18" t="str">
        <x:v>太極劍匣</x:v>
      </x:c>
      <x:c r="B16" s="18" t="str">
        <x:v>玄冰令</x:v>
      </x:c>
      <x:c r="C16" s="18" t="str">
        <x:v>真火令</x:v>
      </x:c>
      <x:c r="D16" s="18" t="str">
        <x:v>雷電令</x:v>
      </x:c>
      <x:c r="E16" s="14"/>
      <x:c r="F16" s="14" t="str">
        <x:v>20150</x:v>
      </x:c>
      <x:c r="G16" s="14" t="n">
        <x:v>3</x:v>
      </x:c>
      <x:c r="H16" s="14" t="n">
        <x:v>4076</x:v>
      </x:c>
      <x:c r="I16" s="14" t="n">
        <x:v>21</x:v>
      </x:c>
      <x:c r="J16" s="14" t="n">
        <x:v>6</x:v>
      </x:c>
      <x:c r="K16" s="14" t="n">
        <x:v>1</x:v>
      </x:c>
      <x:c r="L16" s="14" t="str">
        <x:v>未收錄</x:v>
      </x:c>
      <x:c r="M16" s="14" t="str">
        <x:v>20154</x:v>
      </x:c>
      <x:c r="N16" s="14" t="n">
        <x:v>3</x:v>
      </x:c>
      <x:c r="O16" s="14" t="n">
        <x:v>4077</x:v>
      </x:c>
      <x:c r="P16" s="14" t="n">
        <x:v>22</x:v>
      </x:c>
      <x:c r="Q16" s="14" t="n">
        <x:v>6</x:v>
      </x:c>
      <x:c r="R16" s="14" t="n">
        <x:v>2</x:v>
      </x:c>
      <x:c r="S16" s="14" t="str">
        <x:v>未收錄</x:v>
      </x:c>
      <x:c r="T16" s="14" t="str">
        <x:v>20155</x:v>
      </x:c>
      <x:c r="U16" s="14" t="n">
        <x:v>3</x:v>
      </x:c>
      <x:c r="V16" s="14" t="n">
        <x:v>4078</x:v>
      </x:c>
      <x:c r="W16" s="14" t="n">
        <x:v>23</x:v>
      </x:c>
      <x:c r="X16" s="14" t="n">
        <x:v>6</x:v>
      </x:c>
      <x:c r="Y16" s="14" t="n">
        <x:v>3</x:v>
      </x:c>
      <x:c r="Z16" s="14" t="str">
        <x:v>未收錄</x:v>
      </x:c>
      <x:c r="AA16" s="14" t="str">
        <x:v>20156</x:v>
      </x:c>
      <x:c r="AB16" s="14" t="n">
        <x:v>3</x:v>
      </x:c>
      <x:c r="AC16" s="14" t="n">
        <x:v>4079</x:v>
      </x:c>
      <x:c r="AD16" s="14" t="n">
        <x:v>24</x:v>
      </x:c>
      <x:c r="AE16" s="14" t="n">
        <x:v>6</x:v>
      </x:c>
      <x:c r="AF16" s="14" t="n">
        <x:v>4</x:v>
      </x:c>
      <x:c r="AG16" s="14" t="str">
        <x:v>未收錄</x:v>
      </x:c>
    </x:row>
    <x:row r="17" ht="15" customHeight="1">
      <x:c r="A17" s="17" t="str">
        <x:v>翻天印</x:v>
      </x:c>
      <x:c r="B17" s="17" t="str">
        <x:v>白玉戒指</x:v>
      </x:c>
      <x:c r="C17" s="17" t="str">
        <x:v>血玉蓮花</x:v>
      </x:c>
      <x:c r="D17" s="17" t="str">
        <x:v>血繩網</x:v>
      </x:c>
      <x:c r="E17" s="14"/>
      <x:c r="F17" s="14" t="str">
        <x:v>20157</x:v>
      </x:c>
      <x:c r="G17" s="14" t="n">
        <x:v>3</x:v>
      </x:c>
      <x:c r="H17" s="14" t="n">
        <x:v>4080</x:v>
      </x:c>
      <x:c r="I17" s="14" t="n">
        <x:v>25</x:v>
      </x:c>
      <x:c r="J17" s="14" t="n">
        <x:v>7</x:v>
      </x:c>
      <x:c r="K17" s="14" t="n">
        <x:v>1</x:v>
      </x:c>
      <x:c r="L17" s="14" t="str">
        <x:v>未收錄</x:v>
      </x:c>
      <x:c r="M17" s="14" t="str">
        <x:v>20651</x:v>
      </x:c>
      <x:c r="N17" s="14" t="n">
        <x:v>3</x:v>
      </x:c>
      <x:c r="O17" s="14" t="n">
        <x:v>4081</x:v>
      </x:c>
      <x:c r="P17" s="14" t="n">
        <x:v>26</x:v>
      </x:c>
      <x:c r="Q17" s="14" t="n">
        <x:v>7</x:v>
      </x:c>
      <x:c r="R17" s="14" t="n">
        <x:v>2</x:v>
      </x:c>
      <x:c r="S17" s="14" t="str">
        <x:v>未收錄</x:v>
      </x:c>
      <x:c r="T17" s="14" t="str">
        <x:v>20920</x:v>
      </x:c>
      <x:c r="U17" s="14" t="n">
        <x:v>3</x:v>
      </x:c>
      <x:c r="V17" s="14" t="n">
        <x:v>4082</x:v>
      </x:c>
      <x:c r="W17" s="14" t="n">
        <x:v>27</x:v>
      </x:c>
      <x:c r="X17" s="14" t="n">
        <x:v>7</x:v>
      </x:c>
      <x:c r="Y17" s="14" t="n">
        <x:v>3</x:v>
      </x:c>
      <x:c r="Z17" s="14" t="str">
        <x:v>未收錄</x:v>
      </x:c>
      <x:c r="AA17" s="14" t="str">
        <x:v>20152</x:v>
      </x:c>
      <x:c r="AB17" s="14" t="n">
        <x:v>3</x:v>
      </x:c>
      <x:c r="AC17" s="14" t="n">
        <x:v>4083</x:v>
      </x:c>
      <x:c r="AD17" s="14" t="n">
        <x:v>28</x:v>
      </x:c>
      <x:c r="AE17" s="14" t="n">
        <x:v>7</x:v>
      </x:c>
      <x:c r="AF17" s="14" t="n">
        <x:v>4</x:v>
      </x:c>
      <x:c r="AG17" s="14" t="str">
        <x:v>未收錄</x:v>
      </x:c>
    </x:row>
    <x:row r="18" ht="15" customHeight="1">
      <x:c r="A18" s="18" t="str">
        <x:v>兩儀寶鏡</x:v>
      </x:c>
      <x:c r="B18" s="18" t="str">
        <x:v>修羅鬼輪</x:v>
      </x:c>
      <x:c r="C18" s="18" t="str">
        <x:v>乾坤一氣剪</x:v>
      </x:c>
      <x:c r="D18" s="18" t="str">
        <x:v>九陰玄冰令</x:v>
      </x:c>
      <x:c r="E18" s="14"/>
      <x:c r="F18" s="14" t="str">
        <x:v>20922</x:v>
      </x:c>
      <x:c r="G18" s="14" t="n">
        <x:v>3</x:v>
      </x:c>
      <x:c r="H18" s="14" t="n">
        <x:v>4084</x:v>
      </x:c>
      <x:c r="I18" s="14" t="n">
        <x:v>29</x:v>
      </x:c>
      <x:c r="J18" s="14" t="n">
        <x:v>8</x:v>
      </x:c>
      <x:c r="K18" s="14" t="n">
        <x:v>1</x:v>
      </x:c>
      <x:c r="L18" s="14" t="str">
        <x:v>未收錄</x:v>
      </x:c>
      <x:c r="M18" s="14" t="str">
        <x:v>20979</x:v>
      </x:c>
      <x:c r="N18" s="14" t="n">
        <x:v>15</x:v>
      </x:c>
      <x:c r="O18" s="14" t="n">
        <x:v>4085</x:v>
      </x:c>
      <x:c r="P18" s="14" t="n">
        <x:v>30</x:v>
      </x:c>
      <x:c r="Q18" s="14" t="n">
        <x:v>8</x:v>
      </x:c>
      <x:c r="R18" s="14" t="n">
        <x:v>2</x:v>
      </x:c>
      <x:c r="S18" s="14" t="str">
        <x:v>未收錄</x:v>
      </x:c>
      <x:c r="T18" s="14" t="str">
        <x:v>22299</x:v>
      </x:c>
      <x:c r="U18" s="14" t="n">
        <x:v>5</x:v>
      </x:c>
      <x:c r="V18" s="14" t="n">
        <x:v>4086</x:v>
      </x:c>
      <x:c r="W18" s="14" t="n">
        <x:v>31</x:v>
      </x:c>
      <x:c r="X18" s="14" t="n">
        <x:v>8</x:v>
      </x:c>
      <x:c r="Y18" s="14" t="n">
        <x:v>3</x:v>
      </x:c>
      <x:c r="Z18" s="14" t="str">
        <x:v>未收錄</x:v>
      </x:c>
      <x:c r="AA18" s="14" t="str">
        <x:v>22301</x:v>
      </x:c>
      <x:c r="AB18" s="14" t="n">
        <x:v>5</x:v>
      </x:c>
      <x:c r="AC18" s="14" t="n">
        <x:v>4087</x:v>
      </x:c>
      <x:c r="AD18" s="14" t="n">
        <x:v>32</x:v>
      </x:c>
      <x:c r="AE18" s="14" t="n">
        <x:v>8</x:v>
      </x:c>
      <x:c r="AF18" s="14" t="n">
        <x:v>4</x:v>
      </x:c>
      <x:c r="AG18" s="14" t="str">
        <x:v>未收錄</x:v>
      </x:c>
    </x:row>
    <x:row r="19" ht="15" customHeight="1">
      <x:c r="A19" s="17" t="str">
        <x:v>六陽真火令</x:v>
      </x:c>
      <x:c r="B19" s="17" t="str">
        <x:v>九天雷電令</x:v>
      </x:c>
      <x:c r="C19" s="17" t="str">
        <x:v>蝶夢金霞扇</x:v>
      </x:c>
      <x:c r="D19" s="17" t="str">
        <x:v>不動明王像</x:v>
      </x:c>
      <x:c r="E19" s="14"/>
      <x:c r="F19" s="14" t="str">
        <x:v>22302</x:v>
      </x:c>
      <x:c r="G19" s="14" t="n">
        <x:v>5</x:v>
      </x:c>
      <x:c r="H19" s="14" t="n">
        <x:v>4088</x:v>
      </x:c>
      <x:c r="I19" s="14" t="n">
        <x:v>33</x:v>
      </x:c>
      <x:c r="J19" s="14" t="n">
        <x:v>9</x:v>
      </x:c>
      <x:c r="K19" s="14" t="n">
        <x:v>1</x:v>
      </x:c>
      <x:c r="L19" s="14" t="str">
        <x:v>未收錄</x:v>
      </x:c>
      <x:c r="M19" s="14" t="str">
        <x:v>22300</x:v>
      </x:c>
      <x:c r="N19" s="14" t="n">
        <x:v>5</x:v>
      </x:c>
      <x:c r="O19" s="14" t="n">
        <x:v>4089</x:v>
      </x:c>
      <x:c r="P19" s="14" t="n">
        <x:v>34</x:v>
      </x:c>
      <x:c r="Q19" s="14" t="n">
        <x:v>9</x:v>
      </x:c>
      <x:c r="R19" s="14" t="n">
        <x:v>2</x:v>
      </x:c>
      <x:c r="S19" s="14" t="str">
        <x:v>未收錄</x:v>
      </x:c>
      <x:c r="T19" s="14" t="str">
        <x:v>22303</x:v>
      </x:c>
      <x:c r="U19" s="14" t="n">
        <x:v>5</x:v>
      </x:c>
      <x:c r="V19" s="14" t="n">
        <x:v>4090</x:v>
      </x:c>
      <x:c r="W19" s="14" t="n">
        <x:v>35</x:v>
      </x:c>
      <x:c r="X19" s="14" t="n">
        <x:v>9</x:v>
      </x:c>
      <x:c r="Y19" s="14" t="n">
        <x:v>3</x:v>
      </x:c>
      <x:c r="Z19" s="14" t="str">
        <x:v>未收錄</x:v>
      </x:c>
      <x:c r="AA19" s="14" t="str">
        <x:v>23669</x:v>
      </x:c>
      <x:c r="AB19" s="14" t="n">
        <x:v>8</x:v>
      </x:c>
      <x:c r="AC19" s="14" t="n">
        <x:v>4091</x:v>
      </x:c>
      <x:c r="AD19" s="14" t="n">
        <x:v>36</x:v>
      </x:c>
      <x:c r="AE19" s="14" t="n">
        <x:v>9</x:v>
      </x:c>
      <x:c r="AF19" s="14" t="n">
        <x:v>4</x:v>
      </x:c>
      <x:c r="AG19" s="14" t="str">
        <x:v>未收錄</x:v>
      </x:c>
    </x:row>
    <x:row r="20" ht="15" customHeight="1">
      <x:c r="A20" s="18" t="str">
        <x:v>月讀勾玉</x:v>
      </x:c>
      <x:c r="B20" s="18" t="str">
        <x:v>天照雲錦</x:v>
      </x:c>
      <x:c r="C20" s="18" t="str">
        <x:v>天地玄冰令</x:v>
      </x:c>
      <x:c r="D20" s="18" t="str">
        <x:v>天地真火令</x:v>
      </x:c>
      <x:c r="E20" s="14"/>
      <x:c r="F20" s="14" t="str">
        <x:v>23670</x:v>
      </x:c>
      <x:c r="G20" s="14" t="n">
        <x:v>8</x:v>
      </x:c>
      <x:c r="H20" s="14" t="n">
        <x:v>4092</x:v>
      </x:c>
      <x:c r="I20" s="14" t="n">
        <x:v>37</x:v>
      </x:c>
      <x:c r="J20" s="14" t="n">
        <x:v>10</x:v>
      </x:c>
      <x:c r="K20" s="14" t="n">
        <x:v>1</x:v>
      </x:c>
      <x:c r="L20" s="14" t="str">
        <x:v>未收錄</x:v>
      </x:c>
      <x:c r="M20" s="14" t="str">
        <x:v>23671</x:v>
      </x:c>
      <x:c r="N20" s="14" t="n">
        <x:v>8</x:v>
      </x:c>
      <x:c r="O20" s="14" t="n">
        <x:v>4093</x:v>
      </x:c>
      <x:c r="P20" s="14" t="n">
        <x:v>38</x:v>
      </x:c>
      <x:c r="Q20" s="14" t="n">
        <x:v>10</x:v>
      </x:c>
      <x:c r="R20" s="14" t="n">
        <x:v>2</x:v>
      </x:c>
      <x:c r="S20" s="14" t="str">
        <x:v>未收錄</x:v>
      </x:c>
      <x:c r="T20" s="14" t="str">
        <x:v>23674</x:v>
      </x:c>
      <x:c r="U20" s="14" t="n">
        <x:v>10</x:v>
      </x:c>
      <x:c r="V20" s="14" t="n">
        <x:v>4094</x:v>
      </x:c>
      <x:c r="W20" s="14" t="n">
        <x:v>39</x:v>
      </x:c>
      <x:c r="X20" s="14" t="n">
        <x:v>10</x:v>
      </x:c>
      <x:c r="Y20" s="14" t="n">
        <x:v>3</x:v>
      </x:c>
      <x:c r="Z20" s="14" t="str">
        <x:v>未收錄</x:v>
      </x:c>
      <x:c r="AA20" s="14" t="str">
        <x:v>24172</x:v>
      </x:c>
      <x:c r="AB20" s="14" t="n">
        <x:v>10</x:v>
      </x:c>
      <x:c r="AC20" s="14" t="n">
        <x:v>4095</x:v>
      </x:c>
      <x:c r="AD20" s="14" t="n">
        <x:v>40</x:v>
      </x:c>
      <x:c r="AE20" s="14" t="n">
        <x:v>10</x:v>
      </x:c>
      <x:c r="AF20" s="14" t="n">
        <x:v>4</x:v>
      </x:c>
      <x:c r="AG20" s="14" t="str">
        <x:v>未收錄</x:v>
      </x:c>
    </x:row>
    <x:row r="21" ht="15" customHeight="1">
      <x:c r="A21" s="17" t="str">
        <x:v>天地雷電令</x:v>
      </x:c>
      <x:c r="B21" s="17" t="str">
        <x:v>焚心真火鈴</x:v>
      </x:c>
      <x:c r="C21" s="17" t="str">
        <x:v>召妖大法螺</x:v>
      </x:c>
      <x:c r="D21" s="17" t="str">
        <x:v>五行劍匣</x:v>
      </x:c>
      <x:c r="E21" s="14"/>
      <x:c r="F21" s="14" t="str">
        <x:v>23665</x:v>
      </x:c>
      <x:c r="G21" s="14" t="n">
        <x:v>10</x:v>
      </x:c>
      <x:c r="H21" s="14" t="n">
        <x:v>4096</x:v>
      </x:c>
      <x:c r="I21" s="14" t="n">
        <x:v>41</x:v>
      </x:c>
      <x:c r="J21" s="14" t="n">
        <x:v>11</x:v>
      </x:c>
      <x:c r="K21" s="14" t="n">
        <x:v>1</x:v>
      </x:c>
      <x:c r="L21" s="14" t="str">
        <x:v>未收錄</x:v>
      </x:c>
      <x:c r="M21" s="14" t="str">
        <x:v>24167</x:v>
      </x:c>
      <x:c r="N21" s="14" t="n">
        <x:v>10</x:v>
      </x:c>
      <x:c r="O21" s="14" t="n">
        <x:v>4097</x:v>
      </x:c>
      <x:c r="P21" s="14" t="n">
        <x:v>42</x:v>
      </x:c>
      <x:c r="Q21" s="14" t="n">
        <x:v>11</x:v>
      </x:c>
      <x:c r="R21" s="14" t="n">
        <x:v>2</x:v>
      </x:c>
      <x:c r="S21" s="14" t="str">
        <x:v>未收錄</x:v>
      </x:c>
      <x:c r="T21" s="14" t="str">
        <x:v>24168</x:v>
      </x:c>
      <x:c r="U21" s="14" t="n">
        <x:v>10</x:v>
      </x:c>
      <x:c r="V21" s="14" t="n">
        <x:v>4098</x:v>
      </x:c>
      <x:c r="W21" s="14" t="n">
        <x:v>43</x:v>
      </x:c>
      <x:c r="X21" s="14" t="n">
        <x:v>11</x:v>
      </x:c>
      <x:c r="Y21" s="14" t="n">
        <x:v>3</x:v>
      </x:c>
      <x:c r="Z21" s="14" t="str">
        <x:v>未收錄</x:v>
      </x:c>
      <x:c r="AA21" s="14" t="str">
        <x:v>24169</x:v>
      </x:c>
      <x:c r="AB21" s="14" t="n">
        <x:v>10</x:v>
      </x:c>
      <x:c r="AC21" s="14" t="n">
        <x:v>4099</x:v>
      </x:c>
      <x:c r="AD21" s="14" t="n">
        <x:v>44</x:v>
      </x:c>
      <x:c r="AE21" s="14" t="n">
        <x:v>11</x:v>
      </x:c>
      <x:c r="AF21" s="14" t="n">
        <x:v>4</x:v>
      </x:c>
      <x:c r="AG21" s="14" t="str">
        <x:v>未收錄</x:v>
      </x:c>
    </x:row>
    <x:row r="22" ht="15" customHeight="1">
      <x:c r="A22" s="18" t="str">
        <x:v>梵法唐卡毯</x:v>
      </x:c>
      <x:c r="B22" s="18" t="str">
        <x:v>護法金獅像</x:v>
      </x:c>
      <x:c r="C22" s="18" t="str">
        <x:v>千淵凝冰盒</x:v>
      </x:c>
      <x:c r="D22" s="18" t="str">
        <x:v>明祈聖火令</x:v>
      </x:c>
      <x:c r="E22" s="14"/>
      <x:c r="F22" s="14" t="str">
        <x:v>24170</x:v>
      </x:c>
      <x:c r="G22" s="14" t="n">
        <x:v>10</x:v>
      </x:c>
      <x:c r="H22" s="14" t="n">
        <x:v>4100</x:v>
      </x:c>
      <x:c r="I22" s="14" t="n">
        <x:v>45</x:v>
      </x:c>
      <x:c r="J22" s="14" t="n">
        <x:v>12</x:v>
      </x:c>
      <x:c r="K22" s="14" t="n">
        <x:v>1</x:v>
      </x:c>
      <x:c r="L22" s="14" t="str">
        <x:v>未收錄</x:v>
      </x:c>
      <x:c r="M22" s="14" t="str">
        <x:v>24171</x:v>
      </x:c>
      <x:c r="N22" s="14" t="n">
        <x:v>15</x:v>
      </x:c>
      <x:c r="O22" s="14" t="n">
        <x:v>4101</x:v>
      </x:c>
      <x:c r="P22" s="14" t="n">
        <x:v>46</x:v>
      </x:c>
      <x:c r="Q22" s="14" t="n">
        <x:v>12</x:v>
      </x:c>
      <x:c r="R22" s="14" t="n">
        <x:v>2</x:v>
      </x:c>
      <x:c r="S22" s="14" t="str">
        <x:v>未收錄</x:v>
      </x:c>
      <x:c r="T22" s="14" t="str">
        <x:v>24677</x:v>
      </x:c>
      <x:c r="U22" s="14" t="n">
        <x:v>10</x:v>
      </x:c>
      <x:c r="V22" s="14" t="n">
        <x:v>4102</x:v>
      </x:c>
      <x:c r="W22" s="14" t="n">
        <x:v>47</x:v>
      </x:c>
      <x:c r="X22" s="14" t="n">
        <x:v>12</x:v>
      </x:c>
      <x:c r="Y22" s="14" t="n">
        <x:v>3</x:v>
      </x:c>
      <x:c r="Z22" s="14" t="str">
        <x:v>未收錄</x:v>
      </x:c>
      <x:c r="AA22" s="14" t="str">
        <x:v>24679</x:v>
      </x:c>
      <x:c r="AB22" s="14" t="n">
        <x:v>10</x:v>
      </x:c>
      <x:c r="AC22" s="14" t="n">
        <x:v>4103</x:v>
      </x:c>
      <x:c r="AD22" s="14" t="n">
        <x:v>48</x:v>
      </x:c>
      <x:c r="AE22" s="14" t="n">
        <x:v>12</x:v>
      </x:c>
      <x:c r="AF22" s="14" t="n">
        <x:v>4</x:v>
      </x:c>
      <x:c r="AG22" s="14" t="str">
        <x:v>未收錄</x:v>
      </x:c>
    </x:row>
    <x:row r="23" ht="15" customHeight="1">
      <x:c r="A23" s="17" t="str">
        <x:v>奔雷金龍玉</x:v>
      </x:c>
      <x:c r="B23" s="17" t="str">
        <x:v>受難神子像</x:v>
      </x:c>
      <x:c r="C23" s="17" t="str">
        <x:v>慈恩聖母像</x:v>
      </x:c>
      <x:c r="D23" s="17" t="str">
        <x:v>歸真道卷</x:v>
      </x:c>
      <x:c r="E23" s="14"/>
      <x:c r="F23" s="14" t="str">
        <x:v>24678</x:v>
      </x:c>
      <x:c r="G23" s="14" t="n">
        <x:v>10</x:v>
      </x:c>
      <x:c r="H23" s="14" t="n">
        <x:v>4104</x:v>
      </x:c>
      <x:c r="I23" s="14" t="n">
        <x:v>49</x:v>
      </x:c>
      <x:c r="J23" s="14" t="n">
        <x:v>13</x:v>
      </x:c>
      <x:c r="K23" s="14" t="n">
        <x:v>1</x:v>
      </x:c>
      <x:c r="L23" s="14" t="str">
        <x:v>未收錄</x:v>
      </x:c>
      <x:c r="M23" s="14" t="str">
        <x:v>26216</x:v>
      </x:c>
      <x:c r="N23" s="14" t="n">
        <x:v>10</x:v>
      </x:c>
      <x:c r="O23" s="14" t="n">
        <x:v>4105</x:v>
      </x:c>
      <x:c r="P23" s="14" t="n">
        <x:v>50</x:v>
      </x:c>
      <x:c r="Q23" s="14" t="n">
        <x:v>13</x:v>
      </x:c>
      <x:c r="R23" s="14" t="n">
        <x:v>2</x:v>
      </x:c>
      <x:c r="S23" s="14" t="str">
        <x:v>未收錄</x:v>
      </x:c>
      <x:c r="T23" s="14" t="str">
        <x:v>26217</x:v>
      </x:c>
      <x:c r="U23" s="14" t="n">
        <x:v>10</x:v>
      </x:c>
      <x:c r="V23" s="14" t="n">
        <x:v>4106</x:v>
      </x:c>
      <x:c r="W23" s="14" t="n">
        <x:v>51</x:v>
      </x:c>
      <x:c r="X23" s="14" t="n">
        <x:v>13</x:v>
      </x:c>
      <x:c r="Y23" s="14" t="n">
        <x:v>3</x:v>
      </x:c>
      <x:c r="Z23" s="14" t="str">
        <x:v>未收錄</x:v>
      </x:c>
      <x:c r="AA23" s="14" t="str">
        <x:v>26703</x:v>
      </x:c>
      <x:c r="AB23" s="14" t="n">
        <x:v>10</x:v>
      </x:c>
      <x:c r="AC23" s="14" t="n">
        <x:v>4107</x:v>
      </x:c>
      <x:c r="AD23" s="14" t="n">
        <x:v>52</x:v>
      </x:c>
      <x:c r="AE23" s="14" t="n">
        <x:v>13</x:v>
      </x:c>
      <x:c r="AF23" s="14" t="n">
        <x:v>4</x:v>
      </x:c>
      <x:c r="AG23" s="14" t="str">
        <x:v>未收錄</x:v>
      </x:c>
    </x:row>
    <x:row r="24" ht="15" customHeight="1">
      <x:c r="A24" s="18" t="str">
        <x:v>心火長燈</x:v>
      </x:c>
      <x:c r="B24" s="18" t="str">
        <x:v>蓮花燈</x:v>
      </x:c>
      <x:c r="C24" s="18" t="str">
        <x:v>黃銅鈴杵</x:v>
      </x:c>
      <x:c r="D24" s="18" t="str">
        <x:v>光明轉經輪</x:v>
      </x:c>
      <x:c r="E24" s="14"/>
      <x:c r="F24" s="14" t="str">
        <x:v>26704</x:v>
      </x:c>
      <x:c r="G24" s="14" t="n">
        <x:v>10</x:v>
      </x:c>
      <x:c r="H24" s="14" t="n">
        <x:v>4108</x:v>
      </x:c>
      <x:c r="I24" s="14" t="n">
        <x:v>53</x:v>
      </x:c>
      <x:c r="J24" s="14" t="n">
        <x:v>14</x:v>
      </x:c>
      <x:c r="K24" s="14" t="n">
        <x:v>1</x:v>
      </x:c>
      <x:c r="L24" s="14" t="str">
        <x:v>未收錄</x:v>
      </x:c>
      <x:c r="M24" s="14" t="str">
        <x:v>20159</x:v>
      </x:c>
      <x:c r="N24" s="14" t="n">
        <x:v>3</x:v>
      </x:c>
      <x:c r="O24" s="14" t="n">
        <x:v>4109</x:v>
      </x:c>
      <x:c r="P24" s="14" t="n">
        <x:v>54</x:v>
      </x:c>
      <x:c r="Q24" s="14" t="n">
        <x:v>14</x:v>
      </x:c>
      <x:c r="R24" s="14" t="n">
        <x:v>2</x:v>
      </x:c>
      <x:c r="S24" s="14" t="str">
        <x:v>未收錄</x:v>
      </x:c>
      <x:c r="T24" s="14" t="str">
        <x:v>20164</x:v>
      </x:c>
      <x:c r="U24" s="14" t="n">
        <x:v>3</x:v>
      </x:c>
      <x:c r="V24" s="14" t="n">
        <x:v>4110</x:v>
      </x:c>
      <x:c r="W24" s="14" t="n">
        <x:v>55</x:v>
      </x:c>
      <x:c r="X24" s="14" t="n">
        <x:v>14</x:v>
      </x:c>
      <x:c r="Y24" s="14" t="n">
        <x:v>3</x:v>
      </x:c>
      <x:c r="Z24" s="14" t="str">
        <x:v>未收錄</x:v>
      </x:c>
      <x:c r="AA24" s="14" t="str">
        <x:v>20180</x:v>
      </x:c>
      <x:c r="AB24" s="14" t="n">
        <x:v>3</x:v>
      </x:c>
      <x:c r="AC24" s="14" t="n">
        <x:v>4111</x:v>
      </x:c>
      <x:c r="AD24" s="14" t="n">
        <x:v>56</x:v>
      </x:c>
      <x:c r="AE24" s="14" t="n">
        <x:v>14</x:v>
      </x:c>
      <x:c r="AF24" s="14" t="n">
        <x:v>4</x:v>
      </x:c>
      <x:c r="AG24" s="14" t="str">
        <x:v>未收錄</x:v>
      </x:c>
    </x:row>
    <x:row r="25" ht="15" customHeight="1">
      <x:c r="A25" s="17" t="str">
        <x:v>淨水寶瓶</x:v>
      </x:c>
      <x:c r="B25" s="17" t="str">
        <x:v>如意轉經輪</x:v>
      </x:c>
      <x:c r="C25" s="17" t="str">
        <x:v>銀月法螺</x:v>
      </x:c>
      <x:c r="D25" s="17" t="str">
        <x:v>金玉佛盒</x:v>
      </x:c>
      <x:c r="E25" s="14"/>
      <x:c r="F25" s="14" t="str">
        <x:v>20161</x:v>
      </x:c>
      <x:c r="G25" s="14" t="n">
        <x:v>3</x:v>
      </x:c>
      <x:c r="H25" s="14" t="n">
        <x:v>4112</x:v>
      </x:c>
      <x:c r="I25" s="14" t="n">
        <x:v>57</x:v>
      </x:c>
      <x:c r="J25" s="14" t="n">
        <x:v>15</x:v>
      </x:c>
      <x:c r="K25" s="14" t="n">
        <x:v>1</x:v>
      </x:c>
      <x:c r="L25" s="14" t="str">
        <x:v>未收錄</x:v>
      </x:c>
      <x:c r="M25" s="14" t="str">
        <x:v>20160</x:v>
      </x:c>
      <x:c r="N25" s="14" t="n">
        <x:v>3</x:v>
      </x:c>
      <x:c r="O25" s="14" t="n">
        <x:v>4113</x:v>
      </x:c>
      <x:c r="P25" s="14" t="n">
        <x:v>58</x:v>
      </x:c>
      <x:c r="Q25" s="14" t="n">
        <x:v>15</x:v>
      </x:c>
      <x:c r="R25" s="14" t="n">
        <x:v>2</x:v>
      </x:c>
      <x:c r="S25" s="14" t="str">
        <x:v>未收錄</x:v>
      </x:c>
      <x:c r="T25" s="14" t="str">
        <x:v>20162</x:v>
      </x:c>
      <x:c r="U25" s="14" t="n">
        <x:v>3</x:v>
      </x:c>
      <x:c r="V25" s="14" t="n">
        <x:v>4114</x:v>
      </x:c>
      <x:c r="W25" s="14" t="n">
        <x:v>59</x:v>
      </x:c>
      <x:c r="X25" s="14" t="n">
        <x:v>15</x:v>
      </x:c>
      <x:c r="Y25" s="14" t="n">
        <x:v>3</x:v>
      </x:c>
      <x:c r="Z25" s="14" t="str">
        <x:v>未收錄</x:v>
      </x:c>
      <x:c r="AA25" s="14" t="str">
        <x:v>20177</x:v>
      </x:c>
      <x:c r="AB25" s="14" t="n">
        <x:v>3</x:v>
      </x:c>
      <x:c r="AC25" s="14" t="n">
        <x:v>4115</x:v>
      </x:c>
      <x:c r="AD25" s="14" t="n">
        <x:v>60</x:v>
      </x:c>
      <x:c r="AE25" s="14" t="n">
        <x:v>15</x:v>
      </x:c>
      <x:c r="AF25" s="14" t="n">
        <x:v>4</x:v>
      </x:c>
      <x:c r="AG25" s="14" t="str">
        <x:v>未收錄</x:v>
      </x:c>
    </x:row>
    <x:row r="26" ht="15" customHeight="1">
      <x:c r="A26" s="18" t="str">
        <x:v>降魔杵</x:v>
      </x:c>
      <x:c r="B26" s="18" t="str">
        <x:v>天禪寶鏡</x:v>
      </x:c>
      <x:c r="C26" s="18" t="str">
        <x:v>地藏金印</x:v>
      </x:c>
      <x:c r="D26" s="18" t="str">
        <x:v>日月寶塔</x:v>
      </x:c>
      <x:c r="E26" s="14"/>
      <x:c r="F26" s="14" t="str">
        <x:v>20163</x:v>
      </x:c>
      <x:c r="G26" s="14" t="n">
        <x:v>3</x:v>
      </x:c>
      <x:c r="H26" s="14" t="n">
        <x:v>4116</x:v>
      </x:c>
      <x:c r="I26" s="14" t="n">
        <x:v>61</x:v>
      </x:c>
      <x:c r="J26" s="14" t="n">
        <x:v>16</x:v>
      </x:c>
      <x:c r="K26" s="14" t="n">
        <x:v>1</x:v>
      </x:c>
      <x:c r="L26" s="14" t="str">
        <x:v>未收錄</x:v>
      </x:c>
      <x:c r="M26" s="14" t="str">
        <x:v>20167</x:v>
      </x:c>
      <x:c r="N26" s="14" t="n">
        <x:v>3</x:v>
      </x:c>
      <x:c r="O26" s="14" t="n">
        <x:v>4117</x:v>
      </x:c>
      <x:c r="P26" s="14" t="n">
        <x:v>62</x:v>
      </x:c>
      <x:c r="Q26" s="14" t="n">
        <x:v>16</x:v>
      </x:c>
      <x:c r="R26" s="14" t="n">
        <x:v>2</x:v>
      </x:c>
      <x:c r="S26" s="14" t="str">
        <x:v>未收錄</x:v>
      </x:c>
      <x:c r="T26" s="14" t="str">
        <x:v>20175</x:v>
      </x:c>
      <x:c r="U26" s="14" t="n">
        <x:v>3</x:v>
      </x:c>
      <x:c r="V26" s="14" t="n">
        <x:v>4118</x:v>
      </x:c>
      <x:c r="W26" s="14" t="n">
        <x:v>63</x:v>
      </x:c>
      <x:c r="X26" s="14" t="n">
        <x:v>16</x:v>
      </x:c>
      <x:c r="Y26" s="14" t="n">
        <x:v>3</x:v>
      </x:c>
      <x:c r="Z26" s="14" t="str">
        <x:v>未收錄</x:v>
      </x:c>
      <x:c r="AA26" s="14" t="str">
        <x:v>20179</x:v>
      </x:c>
      <x:c r="AB26" s="14" t="n">
        <x:v>3</x:v>
      </x:c>
      <x:c r="AC26" s="14" t="n">
        <x:v>4119</x:v>
      </x:c>
      <x:c r="AD26" s="14" t="n">
        <x:v>64</x:v>
      </x:c>
      <x:c r="AE26" s="14" t="n">
        <x:v>16</x:v>
      </x:c>
      <x:c r="AF26" s="14" t="n">
        <x:v>4</x:v>
      </x:c>
      <x:c r="AG26" s="14" t="str">
        <x:v>未收錄</x:v>
      </x:c>
    </x:row>
    <x:row r="27" ht="15" customHeight="1">
      <x:c r="A27" s="17" t="str">
        <x:v>降魔寶塔</x:v>
      </x:c>
      <x:c r="B27" s="17" t="str">
        <x:v>淨心轉經輪</x:v>
      </x:c>
      <x:c r="C27" s="17" t="str">
        <x:v>四方法輪</x:v>
      </x:c>
      <x:c r="D27" s="17" t="str">
        <x:v>聖火法輪</x:v>
      </x:c>
      <x:c r="E27" s="14"/>
      <x:c r="F27" s="14" t="str">
        <x:v>20169</x:v>
      </x:c>
      <x:c r="G27" s="14" t="n">
        <x:v>3</x:v>
      </x:c>
      <x:c r="H27" s="14" t="n">
        <x:v>4120</x:v>
      </x:c>
      <x:c r="I27" s="14" t="n">
        <x:v>65</x:v>
      </x:c>
      <x:c r="J27" s="14" t="n">
        <x:v>17</x:v>
      </x:c>
      <x:c r="K27" s="14" t="n">
        <x:v>1</x:v>
      </x:c>
      <x:c r="L27" s="14" t="str">
        <x:v>未收錄</x:v>
      </x:c>
      <x:c r="M27" s="14" t="str">
        <x:v>20166</x:v>
      </x:c>
      <x:c r="N27" s="14" t="n">
        <x:v>3</x:v>
      </x:c>
      <x:c r="O27" s="14" t="n">
        <x:v>4121</x:v>
      </x:c>
      <x:c r="P27" s="14" t="n">
        <x:v>66</x:v>
      </x:c>
      <x:c r="Q27" s="14" t="n">
        <x:v>17</x:v>
      </x:c>
      <x:c r="R27" s="14" t="n">
        <x:v>2</x:v>
      </x:c>
      <x:c r="S27" s="14" t="str">
        <x:v>未收錄</x:v>
      </x:c>
      <x:c r="T27" s="14" t="str">
        <x:v>20165</x:v>
      </x:c>
      <x:c r="U27" s="14" t="n">
        <x:v>3</x:v>
      </x:c>
      <x:c r="V27" s="14" t="n">
        <x:v>4122</x:v>
      </x:c>
      <x:c r="W27" s="14" t="n">
        <x:v>67</x:v>
      </x:c>
      <x:c r="X27" s="14" t="n">
        <x:v>17</x:v>
      </x:c>
      <x:c r="Y27" s="14" t="n">
        <x:v>3</x:v>
      </x:c>
      <x:c r="Z27" s="14" t="str">
        <x:v>未收錄</x:v>
      </x:c>
      <x:c r="AA27" s="14" t="str">
        <x:v>20168</x:v>
      </x:c>
      <x:c r="AB27" s="14" t="n">
        <x:v>3</x:v>
      </x:c>
      <x:c r="AC27" s="14" t="n">
        <x:v>4123</x:v>
      </x:c>
      <x:c r="AD27" s="14" t="n">
        <x:v>68</x:v>
      </x:c>
      <x:c r="AE27" s="14" t="n">
        <x:v>17</x:v>
      </x:c>
      <x:c r="AF27" s="14" t="n">
        <x:v>4</x:v>
      </x:c>
      <x:c r="AG27" s="14" t="str">
        <x:v>未收錄</x:v>
      </x:c>
    </x:row>
    <x:row r="28" ht="15" customHeight="1">
      <x:c r="A28" s="18" t="str">
        <x:v>佛陀咒幔</x:v>
      </x:c>
      <x:c r="B28" s="18" t="str">
        <x:v>天鐵鈴杵</x:v>
      </x:c>
      <x:c r="C28" s="18" t="str">
        <x:v>四方聖光杵</x:v>
      </x:c>
      <x:c r="D28" s="18" t="str">
        <x:v>如意金缽</x:v>
      </x:c>
      <x:c r="E28" s="14"/>
      <x:c r="F28" s="14" t="str">
        <x:v>20176</x:v>
      </x:c>
      <x:c r="G28" s="14" t="n">
        <x:v>3</x:v>
      </x:c>
      <x:c r="H28" s="14" t="n">
        <x:v>4124</x:v>
      </x:c>
      <x:c r="I28" s="14" t="n">
        <x:v>69</x:v>
      </x:c>
      <x:c r="J28" s="14" t="n">
        <x:v>18</x:v>
      </x:c>
      <x:c r="K28" s="14" t="n">
        <x:v>1</x:v>
      </x:c>
      <x:c r="L28" s="14" t="str">
        <x:v>未收錄</x:v>
      </x:c>
      <x:c r="M28" s="14" t="str">
        <x:v>20174</x:v>
      </x:c>
      <x:c r="N28" s="14" t="n">
        <x:v>3</x:v>
      </x:c>
      <x:c r="O28" s="14" t="n">
        <x:v>4125</x:v>
      </x:c>
      <x:c r="P28" s="14" t="n">
        <x:v>70</x:v>
      </x:c>
      <x:c r="Q28" s="14" t="n">
        <x:v>18</x:v>
      </x:c>
      <x:c r="R28" s="14" t="n">
        <x:v>2</x:v>
      </x:c>
      <x:c r="S28" s="14" t="str">
        <x:v>未收錄</x:v>
      </x:c>
      <x:c r="T28" s="14" t="str">
        <x:v>20173</x:v>
      </x:c>
      <x:c r="U28" s="14" t="n">
        <x:v>3</x:v>
      </x:c>
      <x:c r="V28" s="14" t="n">
        <x:v>4126</x:v>
      </x:c>
      <x:c r="W28" s="14" t="n">
        <x:v>71</x:v>
      </x:c>
      <x:c r="X28" s="14" t="n">
        <x:v>18</x:v>
      </x:c>
      <x:c r="Y28" s="14" t="n">
        <x:v>3</x:v>
      </x:c>
      <x:c r="Z28" s="14" t="str">
        <x:v>未收錄</x:v>
      </x:c>
      <x:c r="AA28" s="14" t="str">
        <x:v>20181</x:v>
      </x:c>
      <x:c r="AB28" s="14" t="n">
        <x:v>3</x:v>
      </x:c>
      <x:c r="AC28" s="14" t="n">
        <x:v>4127</x:v>
      </x:c>
      <x:c r="AD28" s="14" t="n">
        <x:v>72</x:v>
      </x:c>
      <x:c r="AE28" s="14" t="n">
        <x:v>18</x:v>
      </x:c>
      <x:c r="AF28" s="14" t="n">
        <x:v>4</x:v>
      </x:c>
      <x:c r="AG28" s="14" t="str">
        <x:v>未收錄</x:v>
      </x:c>
    </x:row>
    <x:row r="29" ht="15" customHeight="1">
      <x:c r="A29" s="17" t="str">
        <x:v>梵天法輪</x:v>
      </x:c>
      <x:c r="B29" s="17" t="str">
        <x:v>甘露寶瓶</x:v>
      </x:c>
      <x:c r="C29" s="17" t="str">
        <x:v>金日法螺</x:v>
      </x:c>
      <x:c r="D29" s="17" t="str">
        <x:v>梵天法環</x:v>
      </x:c>
      <x:c r="E29" s="14"/>
      <x:c r="F29" s="14" t="str">
        <x:v>20182</x:v>
      </x:c>
      <x:c r="G29" s="14" t="n">
        <x:v>3</x:v>
      </x:c>
      <x:c r="H29" s="14" t="n">
        <x:v>4128</x:v>
      </x:c>
      <x:c r="I29" s="14" t="n">
        <x:v>73</x:v>
      </x:c>
      <x:c r="J29" s="14" t="n">
        <x:v>19</x:v>
      </x:c>
      <x:c r="K29" s="14" t="n">
        <x:v>1</x:v>
      </x:c>
      <x:c r="L29" s="14" t="str">
        <x:v>未收錄</x:v>
      </x:c>
      <x:c r="M29" s="14" t="str">
        <x:v>20171</x:v>
      </x:c>
      <x:c r="N29" s="14" t="n">
        <x:v>3</x:v>
      </x:c>
      <x:c r="O29" s="14" t="n">
        <x:v>4129</x:v>
      </x:c>
      <x:c r="P29" s="14" t="n">
        <x:v>74</x:v>
      </x:c>
      <x:c r="Q29" s="14" t="n">
        <x:v>19</x:v>
      </x:c>
      <x:c r="R29" s="14" t="n">
        <x:v>2</x:v>
      </x:c>
      <x:c r="S29" s="14" t="str">
        <x:v>未收錄</x:v>
      </x:c>
      <x:c r="T29" s="14" t="str">
        <x:v>20172</x:v>
      </x:c>
      <x:c r="U29" s="14" t="n">
        <x:v>3</x:v>
      </x:c>
      <x:c r="V29" s="14" t="n">
        <x:v>4130</x:v>
      </x:c>
      <x:c r="W29" s="14" t="n">
        <x:v>75</x:v>
      </x:c>
      <x:c r="X29" s="14" t="n">
        <x:v>19</x:v>
      </x:c>
      <x:c r="Y29" s="14" t="n">
        <x:v>3</x:v>
      </x:c>
      <x:c r="Z29" s="14" t="str">
        <x:v>未收錄</x:v>
      </x:c>
      <x:c r="AA29" s="14" t="str">
        <x:v>20170</x:v>
      </x:c>
      <x:c r="AB29" s="14" t="n">
        <x:v>3</x:v>
      </x:c>
      <x:c r="AC29" s="14" t="n">
        <x:v>4131</x:v>
      </x:c>
      <x:c r="AD29" s="14" t="n">
        <x:v>76</x:v>
      </x:c>
      <x:c r="AE29" s="14" t="n">
        <x:v>19</x:v>
      </x:c>
      <x:c r="AF29" s="14" t="n">
        <x:v>4</x:v>
      </x:c>
      <x:c r="AG29" s="14" t="str">
        <x:v>未收錄</x:v>
      </x:c>
    </x:row>
    <x:row r="30" ht="15" customHeight="1">
      <x:c r="A30" s="18" t="str">
        <x:v>風火輪</x:v>
      </x:c>
      <x:c r="B30" s="18" t="str">
        <x:v>無量佛印</x:v>
      </x:c>
      <x:c r="C30" s="18" t="str">
        <x:v>萬佛寶塔</x:v>
      </x:c>
      <x:c r="D30" s="18" t="str">
        <x:v>舍利寶塔</x:v>
      </x:c>
      <x:c r="E30" s="14"/>
      <x:c r="F30" s="14" t="str">
        <x:v>20178</x:v>
      </x:c>
      <x:c r="G30" s="14" t="n">
        <x:v>3</x:v>
      </x:c>
      <x:c r="H30" s="14" t="n">
        <x:v>4132</x:v>
      </x:c>
      <x:c r="I30" s="14" t="n">
        <x:v>77</x:v>
      </x:c>
      <x:c r="J30" s="14" t="n">
        <x:v>20</x:v>
      </x:c>
      <x:c r="K30" s="14" t="n">
        <x:v>1</x:v>
      </x:c>
      <x:c r="L30" s="14" t="str">
        <x:v>未收錄</x:v>
      </x:c>
      <x:c r="M30" s="14" t="str">
        <x:v>20183</x:v>
      </x:c>
      <x:c r="N30" s="14" t="n">
        <x:v>3</x:v>
      </x:c>
      <x:c r="O30" s="14" t="n">
        <x:v>4133</x:v>
      </x:c>
      <x:c r="P30" s="14" t="n">
        <x:v>78</x:v>
      </x:c>
      <x:c r="Q30" s="14" t="n">
        <x:v>20</x:v>
      </x:c>
      <x:c r="R30" s="14" t="n">
        <x:v>2</x:v>
      </x:c>
      <x:c r="S30" s="14" t="str">
        <x:v>未收錄</x:v>
      </x:c>
      <x:c r="T30" s="14" t="str">
        <x:v>20923</x:v>
      </x:c>
      <x:c r="U30" s="14" t="n">
        <x:v>3</x:v>
      </x:c>
      <x:c r="V30" s="14" t="n">
        <x:v>4134</x:v>
      </x:c>
      <x:c r="W30" s="14" t="n">
        <x:v>79</x:v>
      </x:c>
      <x:c r="X30" s="14" t="n">
        <x:v>20</x:v>
      </x:c>
      <x:c r="Y30" s="14" t="n">
        <x:v>3</x:v>
      </x:c>
      <x:c r="Z30" s="14" t="str">
        <x:v>未收錄</x:v>
      </x:c>
      <x:c r="AA30" s="14" t="str">
        <x:v>20924</x:v>
      </x:c>
      <x:c r="AB30" s="14" t="n">
        <x:v>3</x:v>
      </x:c>
      <x:c r="AC30" s="14" t="n">
        <x:v>4135</x:v>
      </x:c>
      <x:c r="AD30" s="14" t="n">
        <x:v>80</x:v>
      </x:c>
      <x:c r="AE30" s="14" t="n">
        <x:v>20</x:v>
      </x:c>
      <x:c r="AF30" s="14" t="n">
        <x:v>4</x:v>
      </x:c>
      <x:c r="AG30" s="14" t="str">
        <x:v>未收錄</x:v>
      </x:c>
    </x:row>
    <x:row r="31" ht="15" customHeight="1">
      <x:c r="A31" s="17" t="str">
        <x:v>玉漿寶瓶</x:v>
      </x:c>
      <x:c r="B31" s="17" t="str">
        <x:v>如來法螺</x:v>
      </x:c>
      <x:c r="C31" s="17" t="str">
        <x:v>無相佛印</x:v>
      </x:c>
      <x:c r="D31" s="17" t="str">
        <x:v>萬羅地藏印</x:v>
      </x:c>
      <x:c r="E31" s="14"/>
      <x:c r="F31" s="14" t="str">
        <x:v>20925</x:v>
      </x:c>
      <x:c r="G31" s="14" t="n">
        <x:v>3</x:v>
      </x:c>
      <x:c r="H31" s="14" t="n">
        <x:v>4136</x:v>
      </x:c>
      <x:c r="I31" s="14" t="n">
        <x:v>81</x:v>
      </x:c>
      <x:c r="J31" s="14" t="n">
        <x:v>21</x:v>
      </x:c>
      <x:c r="K31" s="14" t="n">
        <x:v>1</x:v>
      </x:c>
      <x:c r="L31" s="14" t="str">
        <x:v>未收錄</x:v>
      </x:c>
      <x:c r="M31" s="14" t="str">
        <x:v>21597</x:v>
      </x:c>
      <x:c r="N31" s="14" t="n">
        <x:v>15</x:v>
      </x:c>
      <x:c r="O31" s="14" t="n">
        <x:v>4137</x:v>
      </x:c>
      <x:c r="P31" s="14" t="n">
        <x:v>82</x:v>
      </x:c>
      <x:c r="Q31" s="14" t="n">
        <x:v>21</x:v>
      </x:c>
      <x:c r="R31" s="14" t="n">
        <x:v>2</x:v>
      </x:c>
      <x:c r="S31" s="14" t="str">
        <x:v>未收錄</x:v>
      </x:c>
      <x:c r="T31" s="14" t="str">
        <x:v>22295</x:v>
      </x:c>
      <x:c r="U31" s="14" t="n">
        <x:v>5</x:v>
      </x:c>
      <x:c r="V31" s="14" t="n">
        <x:v>4138</x:v>
      </x:c>
      <x:c r="W31" s="14" t="n">
        <x:v>83</x:v>
      </x:c>
      <x:c r="X31" s="14" t="n">
        <x:v>21</x:v>
      </x:c>
      <x:c r="Y31" s="14" t="n">
        <x:v>3</x:v>
      </x:c>
      <x:c r="Z31" s="14" t="str">
        <x:v>未收錄</x:v>
      </x:c>
      <x:c r="AA31" s="14" t="str">
        <x:v>22296</x:v>
      </x:c>
      <x:c r="AB31" s="14" t="n">
        <x:v>5</x:v>
      </x:c>
      <x:c r="AC31" s="14" t="n">
        <x:v>4139</x:v>
      </x:c>
      <x:c r="AD31" s="14" t="n">
        <x:v>84</x:v>
      </x:c>
      <x:c r="AE31" s="14" t="n">
        <x:v>21</x:v>
      </x:c>
      <x:c r="AF31" s="14" t="n">
        <x:v>4</x:v>
      </x:c>
      <x:c r="AG31" s="14" t="str">
        <x:v>未收錄</x:v>
      </x:c>
    </x:row>
    <x:row r="32" ht="15" customHeight="1">
      <x:c r="A32" s="18" t="str">
        <x:v>日月金剛塔</x:v>
      </x:c>
      <x:c r="B32" s="18" t="str">
        <x:v>般若降魔塔</x:v>
      </x:c>
      <x:c r="C32" s="18" t="str">
        <x:v>如來五指印</x:v>
      </x:c>
      <x:c r="D32" s="18" t="str">
        <x:v>七寶金佛尊</x:v>
      </x:c>
      <x:c r="E32" s="14"/>
      <x:c r="F32" s="14" t="str">
        <x:v>22297</x:v>
      </x:c>
      <x:c r="G32" s="14" t="n">
        <x:v>5</x:v>
      </x:c>
      <x:c r="H32" s="14" t="n">
        <x:v>4140</x:v>
      </x:c>
      <x:c r="I32" s="14" t="n">
        <x:v>85</x:v>
      </x:c>
      <x:c r="J32" s="14" t="n">
        <x:v>22</x:v>
      </x:c>
      <x:c r="K32" s="14" t="n">
        <x:v>1</x:v>
      </x:c>
      <x:c r="L32" s="14" t="str">
        <x:v>未收錄</x:v>
      </x:c>
      <x:c r="M32" s="14" t="str">
        <x:v>22298</x:v>
      </x:c>
      <x:c r="N32" s="14" t="n">
        <x:v>5</x:v>
      </x:c>
      <x:c r="O32" s="14" t="n">
        <x:v>4141</x:v>
      </x:c>
      <x:c r="P32" s="14" t="n">
        <x:v>86</x:v>
      </x:c>
      <x:c r="Q32" s="14" t="n">
        <x:v>22</x:v>
      </x:c>
      <x:c r="R32" s="14" t="n">
        <x:v>2</x:v>
      </x:c>
      <x:c r="S32" s="14" t="str">
        <x:v>未收錄</x:v>
      </x:c>
      <x:c r="T32" s="14" t="str">
        <x:v>23672</x:v>
      </x:c>
      <x:c r="U32" s="14" t="n">
        <x:v>8</x:v>
      </x:c>
      <x:c r="V32" s="14" t="n">
        <x:v>4142</x:v>
      </x:c>
      <x:c r="W32" s="14" t="n">
        <x:v>87</x:v>
      </x:c>
      <x:c r="X32" s="14" t="n">
        <x:v>22</x:v>
      </x:c>
      <x:c r="Y32" s="14" t="n">
        <x:v>3</x:v>
      </x:c>
      <x:c r="Z32" s="14" t="str">
        <x:v>未收錄</x:v>
      </x:c>
      <x:c r="AA32" s="14" t="str">
        <x:v>23673</x:v>
      </x:c>
      <x:c r="AB32" s="14" t="n">
        <x:v>8</x:v>
      </x:c>
      <x:c r="AC32" s="14" t="n">
        <x:v>4143</x:v>
      </x:c>
      <x:c r="AD32" s="14" t="n">
        <x:v>88</x:v>
      </x:c>
      <x:c r="AE32" s="14" t="n">
        <x:v>22</x:v>
      </x:c>
      <x:c r="AF32" s="14" t="n">
        <x:v>4</x:v>
      </x:c>
      <x:c r="AG32" s="14" t="str">
        <x:v>未收錄</x:v>
      </x:c>
    </x:row>
    <x:row r="33" ht="15" customHeight="1">
      <x:c r="A33" s="17" t="str">
        <x:v>天晶真火杵</x:v>
      </x:c>
      <x:c r="B33" s="17" t="str">
        <x:v>甘霖寶塔</x:v>
      </x:c>
      <x:c r="C33" s="17" t="str">
        <x:v>金身梵蓮印</x:v>
      </x:c>
      <x:c r="D33" s="17" t="str">
        <x:v>十誡聖像</x:v>
      </x:c>
      <x:c r="E33" s="14"/>
      <x:c r="F33" s="14" t="str">
        <x:v>24161</x:v>
      </x:c>
      <x:c r="G33" s="14" t="n">
        <x:v>10</x:v>
      </x:c>
      <x:c r="H33" s="14" t="n">
        <x:v>4144</x:v>
      </x:c>
      <x:c r="I33" s="14" t="n">
        <x:v>89</x:v>
      </x:c>
      <x:c r="J33" s="14" t="n">
        <x:v>23</x:v>
      </x:c>
      <x:c r="K33" s="14" t="n">
        <x:v>1</x:v>
      </x:c>
      <x:c r="L33" s="14" t="str">
        <x:v>未收錄</x:v>
      </x:c>
      <x:c r="M33" s="14" t="str">
        <x:v>24162</x:v>
      </x:c>
      <x:c r="N33" s="14" t="n">
        <x:v>10</x:v>
      </x:c>
      <x:c r="O33" s="14" t="n">
        <x:v>4145</x:v>
      </x:c>
      <x:c r="P33" s="14" t="n">
        <x:v>90</x:v>
      </x:c>
      <x:c r="Q33" s="14" t="n">
        <x:v>23</x:v>
      </x:c>
      <x:c r="R33" s="14" t="n">
        <x:v>2</x:v>
      </x:c>
      <x:c r="S33" s="14" t="str">
        <x:v>未收錄</x:v>
      </x:c>
      <x:c r="T33" s="14" t="str">
        <x:v>24163</x:v>
      </x:c>
      <x:c r="U33" s="14" t="n">
        <x:v>10</x:v>
      </x:c>
      <x:c r="V33" s="14" t="n">
        <x:v>4146</x:v>
      </x:c>
      <x:c r="W33" s="14" t="n">
        <x:v>91</x:v>
      </x:c>
      <x:c r="X33" s="14" t="n">
        <x:v>23</x:v>
      </x:c>
      <x:c r="Y33" s="14" t="n">
        <x:v>3</x:v>
      </x:c>
      <x:c r="Z33" s="14" t="str">
        <x:v>未收錄</x:v>
      </x:c>
      <x:c r="AA33" s="14" t="str">
        <x:v>24164</x:v>
      </x:c>
      <x:c r="AB33" s="14" t="n">
        <x:v>10</x:v>
      </x:c>
      <x:c r="AC33" s="14" t="n">
        <x:v>4147</x:v>
      </x:c>
      <x:c r="AD33" s="14" t="n">
        <x:v>92</x:v>
      </x:c>
      <x:c r="AE33" s="14" t="n">
        <x:v>23</x:v>
      </x:c>
      <x:c r="AF33" s="14" t="n">
        <x:v>4</x:v>
      </x:c>
      <x:c r="AG33" s="14" t="str">
        <x:v>未收錄</x:v>
      </x:c>
    </x:row>
    <x:row r="34" ht="15" customHeight="1">
      <x:c r="A34" s="18" t="str">
        <x:v>淨邪聖像</x:v>
      </x:c>
      <x:c r="B34" s="18" t="str">
        <x:v>蓮華聖像</x:v>
      </x:c>
      <x:c r="C34" s="18" t="str">
        <x:v>如來天掌印</x:v>
      </x:c>
      <x:c r="D34" s="18" t="str">
        <x:v>天鬼血懺卷</x:v>
      </x:c>
      <x:c r="E34" s="14"/>
      <x:c r="F34" s="14" t="str">
        <x:v>24165</x:v>
      </x:c>
      <x:c r="G34" s="14" t="n">
        <x:v>10</x:v>
      </x:c>
      <x:c r="H34" s="14" t="n">
        <x:v>4148</x:v>
      </x:c>
      <x:c r="I34" s="14" t="n">
        <x:v>93</x:v>
      </x:c>
      <x:c r="J34" s="14" t="n">
        <x:v>24</x:v>
      </x:c>
      <x:c r="K34" s="14" t="n">
        <x:v>1</x:v>
      </x:c>
      <x:c r="L34" s="14" t="str">
        <x:v>未收錄</x:v>
      </x:c>
      <x:c r="M34" s="14" t="str">
        <x:v>24166</x:v>
      </x:c>
      <x:c r="N34" s="14" t="n">
        <x:v>15</x:v>
      </x:c>
      <x:c r="O34" s="14" t="n">
        <x:v>4149</x:v>
      </x:c>
      <x:c r="P34" s="14" t="n">
        <x:v>94</x:v>
      </x:c>
      <x:c r="Q34" s="14" t="n">
        <x:v>24</x:v>
      </x:c>
      <x:c r="R34" s="14" t="n">
        <x:v>2</x:v>
      </x:c>
      <x:c r="S34" s="14" t="str">
        <x:v>未收錄</x:v>
      </x:c>
      <x:c r="T34" s="14" t="str">
        <x:v>24674</x:v>
      </x:c>
      <x:c r="U34" s="14" t="n">
        <x:v>10</x:v>
      </x:c>
      <x:c r="V34" s="14" t="n">
        <x:v>4150</x:v>
      </x:c>
      <x:c r="W34" s="14" t="n">
        <x:v>95</x:v>
      </x:c>
      <x:c r="X34" s="14" t="n">
        <x:v>24</x:v>
      </x:c>
      <x:c r="Y34" s="14" t="n">
        <x:v>3</x:v>
      </x:c>
      <x:c r="Z34" s="14" t="str">
        <x:v>未收錄</x:v>
      </x:c>
      <x:c r="AA34" s="14" t="str">
        <x:v>24675</x:v>
      </x:c>
      <x:c r="AB34" s="14" t="n">
        <x:v>10</x:v>
      </x:c>
      <x:c r="AC34" s="14" t="n">
        <x:v>4151</x:v>
      </x:c>
      <x:c r="AD34" s="14" t="n">
        <x:v>96</x:v>
      </x:c>
      <x:c r="AE34" s="14" t="n">
        <x:v>24</x:v>
      </x:c>
      <x:c r="AF34" s="14" t="n">
        <x:v>4</x:v>
      </x:c>
      <x:c r="AG34" s="14" t="str">
        <x:v>未收錄</x:v>
      </x:c>
    </x:row>
    <x:row r="35">
      <x:c r="A35" s="14"/>
      <x:c r="B35" s="14"/>
      <x:c r="C35" s="14"/>
      <x:c r="D35" s="14"/>
      <x:c r="E35" s="14"/>
      <x:c r="F35" s="14"/>
      <x:c r="G35" s="14"/>
      <x:c r="H35" s="14"/>
      <x:c r="I35" s="14"/>
      <x:c r="J35" s="14"/>
      <x:c r="K35" s="14"/>
      <x:c r="L35" s="14"/>
      <x:c r="M35" s="14"/>
      <x:c r="N35" s="14"/>
      <x:c r="O35" s="14"/>
      <x:c r="P35" s="14"/>
      <x:c r="Q35" s="14"/>
      <x:c r="R35" s="14"/>
      <x:c r="S35" s="14"/>
      <x:c r="T35" s="14"/>
      <x:c r="U35" s="14"/>
      <x:c r="V35" s="14"/>
      <x:c r="W35" s="14"/>
      <x:c r="X35" s="14"/>
      <x:c r="Y35" s="14"/>
      <x:c r="Z35" s="14"/>
      <x:c r="AA35" s="14"/>
      <x:c r="AB35" s="14"/>
      <x:c r="AC35" s="14"/>
      <x:c r="AD35" s="14"/>
      <x:c r="AE35" s="14"/>
      <x:c r="AF35" s="14"/>
      <x:c r="AG35" s="14"/>
    </x:row>
    <x:row r="36" ht="25" customHeight="1">
      <x:c r="A36" s="16" t="str">
        <x:v>法器2　／　73 筆</x:v>
      </x:c>
      <x:c r="B36" s="16"/>
      <x:c r="C36" s="16"/>
      <x:c r="D36" s="16"/>
      <x:c r="E36" s="14"/>
      <x:c r="F36" s="14"/>
      <x:c r="G36" s="14"/>
      <x:c r="H36" s="14"/>
      <x:c r="I36" s="14"/>
      <x:c r="J36" s="14"/>
      <x:c r="K36" s="14"/>
      <x:c r="L36" s="14"/>
      <x:c r="M36" s="14"/>
      <x:c r="N36" s="14"/>
      <x:c r="O36" s="14"/>
      <x:c r="P36" s="14"/>
      <x:c r="Q36" s="14"/>
      <x:c r="R36" s="14"/>
      <x:c r="S36" s="14"/>
      <x:c r="T36" s="14"/>
      <x:c r="U36" s="14"/>
      <x:c r="V36" s="14"/>
      <x:c r="W36" s="14"/>
      <x:c r="X36" s="14"/>
      <x:c r="Y36" s="14"/>
      <x:c r="Z36" s="14"/>
      <x:c r="AA36" s="14"/>
      <x:c r="AB36" s="14"/>
      <x:c r="AC36" s="14"/>
      <x:c r="AD36" s="14"/>
      <x:c r="AE36" s="14"/>
      <x:c r="AF36" s="14"/>
      <x:c r="AG36" s="14"/>
    </x:row>
    <x:row r="37" ht="15" customHeight="1">
      <x:c r="A37" s="17" t="str">
        <x:v>山海寶塔</x:v>
      </x:c>
      <x:c r="B37" s="17" t="str">
        <x:v>聖言石典</x:v>
      </x:c>
      <x:c r="C37" s="17" t="str">
        <x:v>花崗天使像</x:v>
      </x:c>
      <x:c r="D37" s="17" t="str">
        <x:v>大千凡剎</x:v>
      </x:c>
      <x:c r="E37" s="14"/>
      <x:c r="F37" s="14" t="str">
        <x:v>24676</x:v>
      </x:c>
      <x:c r="G37" s="14" t="n">
        <x:v>10</x:v>
      </x:c>
      <x:c r="H37" s="14" t="n">
        <x:v>4152</x:v>
      </x:c>
      <x:c r="I37" s="14" t="n">
        <x:v>97</x:v>
      </x:c>
      <x:c r="J37" s="14" t="n">
        <x:v>1</x:v>
      </x:c>
      <x:c r="K37" s="14" t="n">
        <x:v>1</x:v>
      </x:c>
      <x:c r="L37" s="14" t="str">
        <x:v>未收錄</x:v>
      </x:c>
      <x:c r="M37" s="14" t="str">
        <x:v>26218</x:v>
      </x:c>
      <x:c r="N37" s="14" t="n">
        <x:v>10</x:v>
      </x:c>
      <x:c r="O37" s="14" t="n">
        <x:v>4153</x:v>
      </x:c>
      <x:c r="P37" s="14" t="n">
        <x:v>98</x:v>
      </x:c>
      <x:c r="Q37" s="14" t="n">
        <x:v>1</x:v>
      </x:c>
      <x:c r="R37" s="14" t="n">
        <x:v>2</x:v>
      </x:c>
      <x:c r="S37" s="14" t="str">
        <x:v>未收錄</x:v>
      </x:c>
      <x:c r="T37" s="14" t="str">
        <x:v>26219</x:v>
      </x:c>
      <x:c r="U37" s="14" t="n">
        <x:v>10</x:v>
      </x:c>
      <x:c r="V37" s="14" t="n">
        <x:v>4154</x:v>
      </x:c>
      <x:c r="W37" s="14" t="n">
        <x:v>99</x:v>
      </x:c>
      <x:c r="X37" s="14" t="n">
        <x:v>1</x:v>
      </x:c>
      <x:c r="Y37" s="14" t="n">
        <x:v>3</x:v>
      </x:c>
      <x:c r="Z37" s="14" t="str">
        <x:v>未收錄</x:v>
      </x:c>
      <x:c r="AA37" s="14" t="str">
        <x:v>26706</x:v>
      </x:c>
      <x:c r="AB37" s="14" t="n">
        <x:v>10</x:v>
      </x:c>
      <x:c r="AC37" s="14" t="n">
        <x:v>4155</x:v>
      </x:c>
      <x:c r="AD37" s="14" t="n">
        <x:v>100</x:v>
      </x:c>
      <x:c r="AE37" s="14" t="n">
        <x:v>1</x:v>
      </x:c>
      <x:c r="AF37" s="14" t="n">
        <x:v>4</x:v>
      </x:c>
      <x:c r="AG37" s="14" t="str">
        <x:v>未收錄</x:v>
      </x:c>
    </x:row>
    <x:row r="38" ht="15" customHeight="1">
      <x:c r="A38" s="18" t="str">
        <x:v>降龍羅漢像</x:v>
      </x:c>
      <x:c r="B38" s="18" t="str">
        <x:v>夜明珠</x:v>
      </x:c>
      <x:c r="C38" s="18" t="str">
        <x:v>黑雲扇</x:v>
      </x:c>
      <x:c r="D38" s="18" t="str">
        <x:v>惡鬼傘</x:v>
      </x:c>
      <x:c r="E38" s="14"/>
      <x:c r="F38" s="14" t="str">
        <x:v>26707</x:v>
      </x:c>
      <x:c r="G38" s="14" t="n">
        <x:v>10</x:v>
      </x:c>
      <x:c r="H38" s="14" t="n">
        <x:v>4156</x:v>
      </x:c>
      <x:c r="I38" s="14" t="n">
        <x:v>101</x:v>
      </x:c>
      <x:c r="J38" s="14" t="n">
        <x:v>2</x:v>
      </x:c>
      <x:c r="K38" s="14" t="n">
        <x:v>1</x:v>
      </x:c>
      <x:c r="L38" s="14" t="str">
        <x:v>未收錄</x:v>
      </x:c>
      <x:c r="M38" s="14" t="str">
        <x:v>20202</x:v>
      </x:c>
      <x:c r="N38" s="14" t="n">
        <x:v>3</x:v>
      </x:c>
      <x:c r="O38" s="14" t="n">
        <x:v>4157</x:v>
      </x:c>
      <x:c r="P38" s="14" t="n">
        <x:v>102</x:v>
      </x:c>
      <x:c r="Q38" s="14" t="n">
        <x:v>2</x:v>
      </x:c>
      <x:c r="R38" s="14" t="n">
        <x:v>2</x:v>
      </x:c>
      <x:c r="S38" s="14" t="str">
        <x:v>未收錄</x:v>
      </x:c>
      <x:c r="T38" s="14" t="str">
        <x:v>20203</x:v>
      </x:c>
      <x:c r="U38" s="14" t="n">
        <x:v>3</x:v>
      </x:c>
      <x:c r="V38" s="14" t="n">
        <x:v>4158</x:v>
      </x:c>
      <x:c r="W38" s="14" t="n">
        <x:v>103</x:v>
      </x:c>
      <x:c r="X38" s="14" t="n">
        <x:v>2</x:v>
      </x:c>
      <x:c r="Y38" s="14" t="n">
        <x:v>3</x:v>
      </x:c>
      <x:c r="Z38" s="14" t="str">
        <x:v>未收錄</x:v>
      </x:c>
      <x:c r="AA38" s="14" t="str">
        <x:v>20193</x:v>
      </x:c>
      <x:c r="AB38" s="14" t="n">
        <x:v>3</x:v>
      </x:c>
      <x:c r="AC38" s="14" t="n">
        <x:v>4159</x:v>
      </x:c>
      <x:c r="AD38" s="14" t="n">
        <x:v>104</x:v>
      </x:c>
      <x:c r="AE38" s="14" t="n">
        <x:v>2</x:v>
      </x:c>
      <x:c r="AF38" s="14" t="n">
        <x:v>4</x:v>
      </x:c>
      <x:c r="AG38" s="14" t="str">
        <x:v>未收錄</x:v>
      </x:c>
    </x:row>
    <x:row r="39" ht="15" customHeight="1">
      <x:c r="A39" s="17" t="str">
        <x:v>震靈鼓</x:v>
      </x:c>
      <x:c r="B39" s="17" t="str">
        <x:v>毒龍爐</x:v>
      </x:c>
      <x:c r="C39" s="17" t="str">
        <x:v>定影針</x:v>
      </x:c>
      <x:c r="D39" s="17" t="str">
        <x:v>千幻鏡</x:v>
      </x:c>
      <x:c r="E39" s="14"/>
      <x:c r="F39" s="14" t="str">
        <x:v>20158</x:v>
      </x:c>
      <x:c r="G39" s="14" t="n">
        <x:v>3</x:v>
      </x:c>
      <x:c r="H39" s="14" t="n">
        <x:v>4160</x:v>
      </x:c>
      <x:c r="I39" s="14" t="n">
        <x:v>105</x:v>
      </x:c>
      <x:c r="J39" s="14" t="n">
        <x:v>3</x:v>
      </x:c>
      <x:c r="K39" s="14" t="n">
        <x:v>1</x:v>
      </x:c>
      <x:c r="L39" s="14" t="str">
        <x:v>未收錄</x:v>
      </x:c>
      <x:c r="M39" s="14" t="str">
        <x:v>20185</x:v>
      </x:c>
      <x:c r="N39" s="14" t="n">
        <x:v>3</x:v>
      </x:c>
      <x:c r="O39" s="14" t="n">
        <x:v>4161</x:v>
      </x:c>
      <x:c r="P39" s="14" t="n">
        <x:v>106</x:v>
      </x:c>
      <x:c r="Q39" s="14" t="n">
        <x:v>3</x:v>
      </x:c>
      <x:c r="R39" s="14" t="n">
        <x:v>2</x:v>
      </x:c>
      <x:c r="S39" s="14" t="str">
        <x:v>未收錄</x:v>
      </x:c>
      <x:c r="T39" s="14" t="str">
        <x:v>20184</x:v>
      </x:c>
      <x:c r="U39" s="14" t="n">
        <x:v>3</x:v>
      </x:c>
      <x:c r="V39" s="14" t="n">
        <x:v>4162</x:v>
      </x:c>
      <x:c r="W39" s="14" t="n">
        <x:v>107</x:v>
      </x:c>
      <x:c r="X39" s="14" t="n">
        <x:v>3</x:v>
      </x:c>
      <x:c r="Y39" s="14" t="n">
        <x:v>3</x:v>
      </x:c>
      <x:c r="Z39" s="14" t="str">
        <x:v>未收錄</x:v>
      </x:c>
      <x:c r="AA39" s="14" t="str">
        <x:v>20186</x:v>
      </x:c>
      <x:c r="AB39" s="14" t="n">
        <x:v>3</x:v>
      </x:c>
      <x:c r="AC39" s="14" t="n">
        <x:v>4163</x:v>
      </x:c>
      <x:c r="AD39" s="14" t="n">
        <x:v>108</x:v>
      </x:c>
      <x:c r="AE39" s="14" t="n">
        <x:v>3</x:v>
      </x:c>
      <x:c r="AF39" s="14" t="n">
        <x:v>4</x:v>
      </x:c>
      <x:c r="AG39" s="14" t="str">
        <x:v>未收錄</x:v>
      </x:c>
    </x:row>
    <x:row r="40" ht="15" customHeight="1">
      <x:c r="A40" s="18" t="str">
        <x:v>百毒鼎</x:v>
      </x:c>
      <x:c r="B40" s="18" t="str">
        <x:v>小鬼罈</x:v>
      </x:c>
      <x:c r="C40" s="18" t="str">
        <x:v>裂地鑽</x:v>
      </x:c>
      <x:c r="D40" s="18" t="str">
        <x:v>順風傘</x:v>
      </x:c>
      <x:c r="E40" s="14"/>
      <x:c r="F40" s="14" t="str">
        <x:v>20188</x:v>
      </x:c>
      <x:c r="G40" s="14" t="n">
        <x:v>3</x:v>
      </x:c>
      <x:c r="H40" s="14" t="n">
        <x:v>4164</x:v>
      </x:c>
      <x:c r="I40" s="14" t="n">
        <x:v>109</x:v>
      </x:c>
      <x:c r="J40" s="14" t="n">
        <x:v>4</x:v>
      </x:c>
      <x:c r="K40" s="14" t="n">
        <x:v>1</x:v>
      </x:c>
      <x:c r="L40" s="14" t="str">
        <x:v>未收錄</x:v>
      </x:c>
      <x:c r="M40" s="14" t="str">
        <x:v>20290</x:v>
      </x:c>
      <x:c r="N40" s="14" t="n">
        <x:v>3</x:v>
      </x:c>
      <x:c r="O40" s="14" t="n">
        <x:v>4165</x:v>
      </x:c>
      <x:c r="P40" s="14" t="n">
        <x:v>110</x:v>
      </x:c>
      <x:c r="Q40" s="14" t="n">
        <x:v>4</x:v>
      </x:c>
      <x:c r="R40" s="14" t="n">
        <x:v>2</x:v>
      </x:c>
      <x:c r="S40" s="14" t="str">
        <x:v>未收錄</x:v>
      </x:c>
      <x:c r="T40" s="14" t="str">
        <x:v>20189</x:v>
      </x:c>
      <x:c r="U40" s="14" t="n">
        <x:v>3</x:v>
      </x:c>
      <x:c r="V40" s="14" t="n">
        <x:v>4166</x:v>
      </x:c>
      <x:c r="W40" s="14" t="n">
        <x:v>111</x:v>
      </x:c>
      <x:c r="X40" s="14" t="n">
        <x:v>4</x:v>
      </x:c>
      <x:c r="Y40" s="14" t="n">
        <x:v>3</x:v>
      </x:c>
      <x:c r="Z40" s="14" t="str">
        <x:v>未收錄</x:v>
      </x:c>
      <x:c r="AA40" s="14" t="str">
        <x:v>20652</x:v>
      </x:c>
      <x:c r="AB40" s="14" t="n">
        <x:v>3</x:v>
      </x:c>
      <x:c r="AC40" s="14" t="n">
        <x:v>4167</x:v>
      </x:c>
      <x:c r="AD40" s="14" t="n">
        <x:v>112</x:v>
      </x:c>
      <x:c r="AE40" s="14" t="n">
        <x:v>4</x:v>
      </x:c>
      <x:c r="AF40" s="14" t="n">
        <x:v>4</x:v>
      </x:c>
      <x:c r="AG40" s="14" t="str">
        <x:v>未收錄</x:v>
      </x:c>
    </x:row>
    <x:row r="41" ht="15" customHeight="1">
      <x:c r="A41" s="17" t="str">
        <x:v>妖靈稻草人</x:v>
      </x:c>
      <x:c r="B41" s="17" t="str">
        <x:v>蔽影傘</x:v>
      </x:c>
      <x:c r="C41" s="17" t="str">
        <x:v>攝魂鈴</x:v>
      </x:c>
      <x:c r="D41" s="17" t="str">
        <x:v>人骨手環</x:v>
      </x:c>
      <x:c r="E41" s="14"/>
      <x:c r="F41" s="14" t="str">
        <x:v>20190</x:v>
      </x:c>
      <x:c r="G41" s="14" t="n">
        <x:v>3</x:v>
      </x:c>
      <x:c r="H41" s="14" t="n">
        <x:v>4168</x:v>
      </x:c>
      <x:c r="I41" s="14" t="n">
        <x:v>113</x:v>
      </x:c>
      <x:c r="J41" s="14" t="n">
        <x:v>5</x:v>
      </x:c>
      <x:c r="K41" s="14" t="n">
        <x:v>1</x:v>
      </x:c>
      <x:c r="L41" s="14" t="str">
        <x:v>未收錄</x:v>
      </x:c>
      <x:c r="M41" s="14" t="str">
        <x:v>20187</x:v>
      </x:c>
      <x:c r="N41" s="14" t="n">
        <x:v>3</x:v>
      </x:c>
      <x:c r="O41" s="14" t="n">
        <x:v>4169</x:v>
      </x:c>
      <x:c r="P41" s="14" t="n">
        <x:v>114</x:v>
      </x:c>
      <x:c r="Q41" s="14" t="n">
        <x:v>5</x:v>
      </x:c>
      <x:c r="R41" s="14" t="n">
        <x:v>2</x:v>
      </x:c>
      <x:c r="S41" s="14" t="str">
        <x:v>未收錄</x:v>
      </x:c>
      <x:c r="T41" s="14" t="str">
        <x:v>20192</x:v>
      </x:c>
      <x:c r="U41" s="14" t="n">
        <x:v>3</x:v>
      </x:c>
      <x:c r="V41" s="14" t="n">
        <x:v>4170</x:v>
      </x:c>
      <x:c r="W41" s="14" t="n">
        <x:v>115</x:v>
      </x:c>
      <x:c r="X41" s="14" t="n">
        <x:v>5</x:v>
      </x:c>
      <x:c r="Y41" s="14" t="n">
        <x:v>3</x:v>
      </x:c>
      <x:c r="Z41" s="14" t="str">
        <x:v>未收錄</x:v>
      </x:c>
      <x:c r="AA41" s="14" t="str">
        <x:v>20650</x:v>
      </x:c>
      <x:c r="AB41" s="14" t="n">
        <x:v>3</x:v>
      </x:c>
      <x:c r="AC41" s="14" t="n">
        <x:v>4171</x:v>
      </x:c>
      <x:c r="AD41" s="14" t="n">
        <x:v>116</x:v>
      </x:c>
      <x:c r="AE41" s="14" t="n">
        <x:v>5</x:v>
      </x:c>
      <x:c r="AF41" s="14" t="n">
        <x:v>4</x:v>
      </x:c>
      <x:c r="AG41" s="14" t="str">
        <x:v>未收錄</x:v>
      </x:c>
    </x:row>
    <x:row r="42" ht="15" customHeight="1">
      <x:c r="A42" s="18" t="str">
        <x:v>迷魂幡</x:v>
      </x:c>
      <x:c r="B42" s="18" t="str">
        <x:v>奪魄幡</x:v>
      </x:c>
      <x:c r="C42" s="18" t="str">
        <x:v>縛靈幡</x:v>
      </x:c>
      <x:c r="D42" s="18" t="str">
        <x:v>聚雲袋</x:v>
      </x:c>
      <x:c r="E42" s="14"/>
      <x:c r="F42" s="14" t="str">
        <x:v>20151</x:v>
      </x:c>
      <x:c r="G42" s="14" t="n">
        <x:v>3</x:v>
      </x:c>
      <x:c r="H42" s="14" t="n">
        <x:v>4172</x:v>
      </x:c>
      <x:c r="I42" s="14" t="n">
        <x:v>117</x:v>
      </x:c>
      <x:c r="J42" s="14" t="n">
        <x:v>6</x:v>
      </x:c>
      <x:c r="K42" s="14" t="n">
        <x:v>1</x:v>
      </x:c>
      <x:c r="L42" s="14" t="str">
        <x:v>未收錄</x:v>
      </x:c>
      <x:c r="M42" s="14" t="str">
        <x:v>20653</x:v>
      </x:c>
      <x:c r="N42" s="14" t="n">
        <x:v>3</x:v>
      </x:c>
      <x:c r="O42" s="14" t="n">
        <x:v>4173</x:v>
      </x:c>
      <x:c r="P42" s="14" t="n">
        <x:v>118</x:v>
      </x:c>
      <x:c r="Q42" s="14" t="n">
        <x:v>6</x:v>
      </x:c>
      <x:c r="R42" s="14" t="n">
        <x:v>2</x:v>
      </x:c>
      <x:c r="S42" s="14" t="str">
        <x:v>未收錄</x:v>
      </x:c>
      <x:c r="T42" s="14" t="str">
        <x:v>20654</x:v>
      </x:c>
      <x:c r="U42" s="14" t="n">
        <x:v>3</x:v>
      </x:c>
      <x:c r="V42" s="14" t="n">
        <x:v>4174</x:v>
      </x:c>
      <x:c r="W42" s="14" t="n">
        <x:v>119</x:v>
      </x:c>
      <x:c r="X42" s="14" t="n">
        <x:v>6</x:v>
      </x:c>
      <x:c r="Y42" s="14" t="n">
        <x:v>3</x:v>
      </x:c>
      <x:c r="Z42" s="14" t="str">
        <x:v>未收錄</x:v>
      </x:c>
      <x:c r="AA42" s="14" t="str">
        <x:v>20191</x:v>
      </x:c>
      <x:c r="AB42" s="14" t="n">
        <x:v>3</x:v>
      </x:c>
      <x:c r="AC42" s="14" t="n">
        <x:v>4175</x:v>
      </x:c>
      <x:c r="AD42" s="14" t="n">
        <x:v>120</x:v>
      </x:c>
      <x:c r="AE42" s="14" t="n">
        <x:v>6</x:v>
      </x:c>
      <x:c r="AF42" s="14" t="n">
        <x:v>4</x:v>
      </x:c>
      <x:c r="AG42" s="14" t="str">
        <x:v>未收錄</x:v>
      </x:c>
    </x:row>
    <x:row r="43" ht="15" customHeight="1">
      <x:c r="A43" s="17" t="str">
        <x:v>遮天扇</x:v>
      </x:c>
      <x:c r="B43" s="17" t="str">
        <x:v>惡鬼鼎</x:v>
      </x:c>
      <x:c r="C43" s="17" t="str">
        <x:v>小惡鬼傘</x:v>
      </x:c>
      <x:c r="D43" s="17" t="str">
        <x:v>鎮魂鼓</x:v>
      </x:c>
      <x:c r="E43" s="14"/>
      <x:c r="F43" s="14" t="str">
        <x:v>20919</x:v>
      </x:c>
      <x:c r="G43" s="14" t="n">
        <x:v>3</x:v>
      </x:c>
      <x:c r="H43" s="14" t="n">
        <x:v>4176</x:v>
      </x:c>
      <x:c r="I43" s="14" t="n">
        <x:v>121</x:v>
      </x:c>
      <x:c r="J43" s="14" t="n">
        <x:v>7</x:v>
      </x:c>
      <x:c r="K43" s="14" t="n">
        <x:v>1</x:v>
      </x:c>
      <x:c r="L43" s="14" t="str">
        <x:v>未收錄</x:v>
      </x:c>
      <x:c r="M43" s="14" t="str">
        <x:v>21596</x:v>
      </x:c>
      <x:c r="N43" s="14" t="n">
        <x:v>15</x:v>
      </x:c>
      <x:c r="O43" s="14" t="n">
        <x:v>4177</x:v>
      </x:c>
      <x:c r="P43" s="14" t="n">
        <x:v>122</x:v>
      </x:c>
      <x:c r="Q43" s="14" t="n">
        <x:v>7</x:v>
      </x:c>
      <x:c r="R43" s="14" t="n">
        <x:v>2</x:v>
      </x:c>
      <x:c r="S43" s="14" t="str">
        <x:v>未收錄</x:v>
      </x:c>
      <x:c r="T43" s="14" t="str">
        <x:v>22308</x:v>
      </x:c>
      <x:c r="U43" s="14" t="n">
        <x:v>5</x:v>
      </x:c>
      <x:c r="V43" s="14" t="n">
        <x:v>4178</x:v>
      </x:c>
      <x:c r="W43" s="14" t="n">
        <x:v>123</x:v>
      </x:c>
      <x:c r="X43" s="14" t="n">
        <x:v>7</x:v>
      </x:c>
      <x:c r="Y43" s="14" t="n">
        <x:v>3</x:v>
      </x:c>
      <x:c r="Z43" s="14" t="str">
        <x:v>未收錄</x:v>
      </x:c>
      <x:c r="AA43" s="14" t="str">
        <x:v>22305</x:v>
      </x:c>
      <x:c r="AB43" s="14" t="n">
        <x:v>5</x:v>
      </x:c>
      <x:c r="AC43" s="14" t="n">
        <x:v>4179</x:v>
      </x:c>
      <x:c r="AD43" s="14" t="n">
        <x:v>124</x:v>
      </x:c>
      <x:c r="AE43" s="14" t="n">
        <x:v>7</x:v>
      </x:c>
      <x:c r="AF43" s="14" t="n">
        <x:v>4</x:v>
      </x:c>
      <x:c r="AG43" s="14" t="str">
        <x:v>未收錄</x:v>
      </x:c>
    </x:row>
    <x:row r="44" ht="15" customHeight="1">
      <x:c r="A44" s="18" t="str">
        <x:v>冥雲扇</x:v>
      </x:c>
      <x:c r="B44" s="18" t="str">
        <x:v>刑天秘環</x:v>
      </x:c>
      <x:c r="C44" s="18" t="str">
        <x:v>波動珠</x:v>
      </x:c>
      <x:c r="D44" s="18" t="str">
        <x:v>萬蠱珠</x:v>
      </x:c>
      <x:c r="E44" s="14"/>
      <x:c r="F44" s="14" t="str">
        <x:v>22307</x:v>
      </x:c>
      <x:c r="G44" s="14" t="n">
        <x:v>5</x:v>
      </x:c>
      <x:c r="H44" s="14" t="n">
        <x:v>4180</x:v>
      </x:c>
      <x:c r="I44" s="14" t="n">
        <x:v>125</x:v>
      </x:c>
      <x:c r="J44" s="14" t="n">
        <x:v>8</x:v>
      </x:c>
      <x:c r="K44" s="14" t="n">
        <x:v>1</x:v>
      </x:c>
      <x:c r="L44" s="14" t="str">
        <x:v>未收錄</x:v>
      </x:c>
      <x:c r="M44" s="14" t="str">
        <x:v>22306</x:v>
      </x:c>
      <x:c r="N44" s="14" t="n">
        <x:v>5</x:v>
      </x:c>
      <x:c r="O44" s="14" t="n">
        <x:v>4181</x:v>
      </x:c>
      <x:c r="P44" s="14" t="n">
        <x:v>126</x:v>
      </x:c>
      <x:c r="Q44" s="14" t="n">
        <x:v>8</x:v>
      </x:c>
      <x:c r="R44" s="14" t="n">
        <x:v>2</x:v>
      </x:c>
      <x:c r="S44" s="14" t="str">
        <x:v>未收錄</x:v>
      </x:c>
      <x:c r="T44" s="14" t="str">
        <x:v>23666</x:v>
      </x:c>
      <x:c r="U44" s="14" t="n">
        <x:v>8</x:v>
      </x:c>
      <x:c r="V44" s="14" t="n">
        <x:v>4182</x:v>
      </x:c>
      <x:c r="W44" s="14" t="n">
        <x:v>127</x:v>
      </x:c>
      <x:c r="X44" s="14" t="n">
        <x:v>8</x:v>
      </x:c>
      <x:c r="Y44" s="14" t="n">
        <x:v>3</x:v>
      </x:c>
      <x:c r="Z44" s="14" t="str">
        <x:v>未收錄</x:v>
      </x:c>
      <x:c r="AA44" s="14" t="str">
        <x:v>23667</x:v>
      </x:c>
      <x:c r="AB44" s="14" t="n">
        <x:v>8</x:v>
      </x:c>
      <x:c r="AC44" s="14" t="n">
        <x:v>4183</x:v>
      </x:c>
      <x:c r="AD44" s="14" t="n">
        <x:v>128</x:v>
      </x:c>
      <x:c r="AE44" s="14" t="n">
        <x:v>8</x:v>
      </x:c>
      <x:c r="AF44" s="14" t="n">
        <x:v>4</x:v>
      </x:c>
      <x:c r="AG44" s="14" t="str">
        <x:v>未收錄</x:v>
      </x:c>
    </x:row>
    <x:row r="45" ht="15" customHeight="1">
      <x:c r="A45" s="17" t="str">
        <x:v>聖骸手環</x:v>
      </x:c>
      <x:c r="B45" s="17" t="str">
        <x:v>大波動珠</x:v>
      </x:c>
      <x:c r="C45" s="17" t="str">
        <x:v>五鬼召來咒</x:v>
      </x:c>
      <x:c r="D45" s="17" t="str">
        <x:v>黃泉香爐</x:v>
      </x:c>
      <x:c r="E45" s="14"/>
      <x:c r="F45" s="14" t="str">
        <x:v>24155</x:v>
      </x:c>
      <x:c r="G45" s="14" t="n">
        <x:v>10</x:v>
      </x:c>
      <x:c r="H45" s="14" t="n">
        <x:v>4184</x:v>
      </x:c>
      <x:c r="I45" s="14" t="n">
        <x:v>129</x:v>
      </x:c>
      <x:c r="J45" s="14" t="n">
        <x:v>9</x:v>
      </x:c>
      <x:c r="K45" s="14" t="n">
        <x:v>1</x:v>
      </x:c>
      <x:c r="L45" s="14" t="str">
        <x:v>未收錄</x:v>
      </x:c>
      <x:c r="M45" s="14" t="str">
        <x:v>24160</x:v>
      </x:c>
      <x:c r="N45" s="14" t="n">
        <x:v>10</x:v>
      </x:c>
      <x:c r="O45" s="14" t="n">
        <x:v>4185</x:v>
      </x:c>
      <x:c r="P45" s="14" t="n">
        <x:v>130</x:v>
      </x:c>
      <x:c r="Q45" s="14" t="n">
        <x:v>9</x:v>
      </x:c>
      <x:c r="R45" s="14" t="n">
        <x:v>2</x:v>
      </x:c>
      <x:c r="S45" s="14" t="str">
        <x:v>未收錄</x:v>
      </x:c>
      <x:c r="T45" s="14" t="str">
        <x:v>24156</x:v>
      </x:c>
      <x:c r="U45" s="14" t="n">
        <x:v>10</x:v>
      </x:c>
      <x:c r="V45" s="14" t="n">
        <x:v>4186</x:v>
      </x:c>
      <x:c r="W45" s="14" t="n">
        <x:v>131</x:v>
      </x:c>
      <x:c r="X45" s="14" t="n">
        <x:v>9</x:v>
      </x:c>
      <x:c r="Y45" s="14" t="n">
        <x:v>3</x:v>
      </x:c>
      <x:c r="Z45" s="14" t="str">
        <x:v>未收錄</x:v>
      </x:c>
      <x:c r="AA45" s="14" t="str">
        <x:v>24157</x:v>
      </x:c>
      <x:c r="AB45" s="14" t="n">
        <x:v>10</x:v>
      </x:c>
      <x:c r="AC45" s="14" t="n">
        <x:v>4187</x:v>
      </x:c>
      <x:c r="AD45" s="14" t="n">
        <x:v>132</x:v>
      </x:c>
      <x:c r="AE45" s="14" t="n">
        <x:v>9</x:v>
      </x:c>
      <x:c r="AF45" s="14" t="n">
        <x:v>4</x:v>
      </x:c>
      <x:c r="AG45" s="14" t="str">
        <x:v>未收錄</x:v>
      </x:c>
    </x:row>
    <x:row r="46" ht="15" customHeight="1">
      <x:c r="A46" s="18" t="str">
        <x:v>通魂連命塔</x:v>
      </x:c>
      <x:c r="B46" s="18" t="str">
        <x:v>觀心明淨臺</x:v>
      </x:c>
      <x:c r="C46" s="18" t="str">
        <x:v>萬氣旋脈環</x:v>
      </x:c>
      <x:c r="D46" s="18" t="str">
        <x:v>騰沼怒龍玉</x:v>
      </x:c>
      <x:c r="E46" s="14"/>
      <x:c r="F46" s="14" t="str">
        <x:v>24158</x:v>
      </x:c>
      <x:c r="G46" s="14" t="n">
        <x:v>10</x:v>
      </x:c>
      <x:c r="H46" s="14" t="n">
        <x:v>4188</x:v>
      </x:c>
      <x:c r="I46" s="14" t="n">
        <x:v>133</x:v>
      </x:c>
      <x:c r="J46" s="14" t="n">
        <x:v>10</x:v>
      </x:c>
      <x:c r="K46" s="14" t="n">
        <x:v>1</x:v>
      </x:c>
      <x:c r="L46" s="14" t="str">
        <x:v>未收錄</x:v>
      </x:c>
      <x:c r="M46" s="14" t="str">
        <x:v>24159</x:v>
      </x:c>
      <x:c r="N46" s="14" t="n">
        <x:v>15</x:v>
      </x:c>
      <x:c r="O46" s="14" t="n">
        <x:v>4189</x:v>
      </x:c>
      <x:c r="P46" s="14" t="n">
        <x:v>134</x:v>
      </x:c>
      <x:c r="Q46" s="14" t="n">
        <x:v>10</x:v>
      </x:c>
      <x:c r="R46" s="14" t="n">
        <x:v>2</x:v>
      </x:c>
      <x:c r="S46" s="14" t="str">
        <x:v>未收錄</x:v>
      </x:c>
      <x:c r="T46" s="14" t="str">
        <x:v>24671</x:v>
      </x:c>
      <x:c r="U46" s="14" t="n">
        <x:v>10</x:v>
      </x:c>
      <x:c r="V46" s="14" t="n">
        <x:v>4190</x:v>
      </x:c>
      <x:c r="W46" s="14" t="n">
        <x:v>135</x:v>
      </x:c>
      <x:c r="X46" s="14" t="n">
        <x:v>10</x:v>
      </x:c>
      <x:c r="Y46" s="14" t="n">
        <x:v>3</x:v>
      </x:c>
      <x:c r="Z46" s="14" t="str">
        <x:v>未收錄</x:v>
      </x:c>
      <x:c r="AA46" s="14" t="str">
        <x:v>24672</x:v>
      </x:c>
      <x:c r="AB46" s="14" t="n">
        <x:v>10</x:v>
      </x:c>
      <x:c r="AC46" s="14" t="n">
        <x:v>4191</x:v>
      </x:c>
      <x:c r="AD46" s="14" t="n">
        <x:v>136</x:v>
      </x:c>
      <x:c r="AE46" s="14" t="n">
        <x:v>10</x:v>
      </x:c>
      <x:c r="AF46" s="14" t="n">
        <x:v>4</x:v>
      </x:c>
      <x:c r="AG46" s="14" t="str">
        <x:v>未收錄</x:v>
      </x:c>
    </x:row>
    <x:row r="47" ht="15" customHeight="1">
      <x:c r="A47" s="17" t="str">
        <x:v>八方鬼火印</x:v>
      </x:c>
      <x:c r="B47" s="17" t="str">
        <x:v>魔痕鴆爐</x:v>
      </x:c>
      <x:c r="C47" s="17" t="str">
        <x:v>奇美拉魔像</x:v>
      </x:c>
      <x:c r="D47" s="17" t="str">
        <x:v>攫虛元手</x:v>
      </x:c>
      <x:c r="E47" s="14"/>
      <x:c r="F47" s="14" t="str">
        <x:v>24673</x:v>
      </x:c>
      <x:c r="G47" s="14" t="n">
        <x:v>10</x:v>
      </x:c>
      <x:c r="H47" s="14" t="n">
        <x:v>4192</x:v>
      </x:c>
      <x:c r="I47" s="14" t="n">
        <x:v>137</x:v>
      </x:c>
      <x:c r="J47" s="14" t="n">
        <x:v>11</x:v>
      </x:c>
      <x:c r="K47" s="14" t="n">
        <x:v>1</x:v>
      </x:c>
      <x:c r="L47" s="14" t="str">
        <x:v>未收錄</x:v>
      </x:c>
      <x:c r="M47" s="14" t="str">
        <x:v>26214</x:v>
      </x:c>
      <x:c r="N47" s="14" t="n">
        <x:v>10</x:v>
      </x:c>
      <x:c r="O47" s="14" t="n">
        <x:v>4193</x:v>
      </x:c>
      <x:c r="P47" s="14" t="n">
        <x:v>138</x:v>
      </x:c>
      <x:c r="Q47" s="14" t="n">
        <x:v>11</x:v>
      </x:c>
      <x:c r="R47" s="14" t="n">
        <x:v>2</x:v>
      </x:c>
      <x:c r="S47" s="14" t="str">
        <x:v>未收錄</x:v>
      </x:c>
      <x:c r="T47" s="14" t="str">
        <x:v>26215</x:v>
      </x:c>
      <x:c r="U47" s="14" t="n">
        <x:v>10</x:v>
      </x:c>
      <x:c r="V47" s="14" t="n">
        <x:v>4194</x:v>
      </x:c>
      <x:c r="W47" s="14" t="n">
        <x:v>139</x:v>
      </x:c>
      <x:c r="X47" s="14" t="n">
        <x:v>11</x:v>
      </x:c>
      <x:c r="Y47" s="14" t="n">
        <x:v>3</x:v>
      </x:c>
      <x:c r="Z47" s="14" t="str">
        <x:v>未收錄</x:v>
      </x:c>
      <x:c r="AA47" s="14" t="str">
        <x:v>26700</x:v>
      </x:c>
      <x:c r="AB47" s="14" t="n">
        <x:v>10</x:v>
      </x:c>
      <x:c r="AC47" s="14" t="n">
        <x:v>4195</x:v>
      </x:c>
      <x:c r="AD47" s="14" t="n">
        <x:v>140</x:v>
      </x:c>
      <x:c r="AE47" s="14" t="n">
        <x:v>11</x:v>
      </x:c>
      <x:c r="AF47" s="14" t="n">
        <x:v>4</x:v>
      </x:c>
      <x:c r="AG47" s="14" t="str">
        <x:v>未收錄</x:v>
      </x:c>
    </x:row>
    <x:row r="48" ht="15" customHeight="1">
      <x:c r="A48" s="18" t="str">
        <x:v>摧神黑顱</x:v>
      </x:c>
      <x:c r="B48" s="18" t="str">
        <x:v>凝氣丹</x:v>
      </x:c>
      <x:c r="C48" s="18" t="str">
        <x:v>衝穴丹</x:v>
      </x:c>
      <x:c r="D48" s="18" t="str">
        <x:v>地靈百匯丹</x:v>
      </x:c>
      <x:c r="E48" s="14"/>
      <x:c r="F48" s="14" t="str">
        <x:v>26701</x:v>
      </x:c>
      <x:c r="G48" s="14" t="n">
        <x:v>10</x:v>
      </x:c>
      <x:c r="H48" s="14" t="n">
        <x:v>4196</x:v>
      </x:c>
      <x:c r="I48" s="14" t="n">
        <x:v>141</x:v>
      </x:c>
      <x:c r="J48" s="14" t="n">
        <x:v>12</x:v>
      </x:c>
      <x:c r="K48" s="14" t="n">
        <x:v>1</x:v>
      </x:c>
      <x:c r="L48" s="14" t="str">
        <x:v>未收錄</x:v>
      </x:c>
      <x:c r="M48" s="14" t="str">
        <x:v>20194</x:v>
      </x:c>
      <x:c r="N48" s="14" t="n">
        <x:v>3</x:v>
      </x:c>
      <x:c r="O48" s="14" t="n">
        <x:v>4197</x:v>
      </x:c>
      <x:c r="P48" s="14" t="n">
        <x:v>142</x:v>
      </x:c>
      <x:c r="Q48" s="14" t="n">
        <x:v>12</x:v>
      </x:c>
      <x:c r="R48" s="14" t="n">
        <x:v>2</x:v>
      </x:c>
      <x:c r="S48" s="14" t="str">
        <x:v>未收錄</x:v>
      </x:c>
      <x:c r="T48" s="14" t="str">
        <x:v>20195</x:v>
      </x:c>
      <x:c r="U48" s="14" t="n">
        <x:v>3</x:v>
      </x:c>
      <x:c r="V48" s="14" t="n">
        <x:v>4198</x:v>
      </x:c>
      <x:c r="W48" s="14" t="n">
        <x:v>143</x:v>
      </x:c>
      <x:c r="X48" s="14" t="n">
        <x:v>12</x:v>
      </x:c>
      <x:c r="Y48" s="14" t="n">
        <x:v>3</x:v>
      </x:c>
      <x:c r="Z48" s="14" t="str">
        <x:v>未收錄</x:v>
      </x:c>
      <x:c r="AA48" s="14" t="str">
        <x:v>20196</x:v>
      </x:c>
      <x:c r="AB48" s="14" t="n">
        <x:v>3</x:v>
      </x:c>
      <x:c r="AC48" s="14" t="n">
        <x:v>4199</x:v>
      </x:c>
      <x:c r="AD48" s="14" t="n">
        <x:v>144</x:v>
      </x:c>
      <x:c r="AE48" s="14" t="n">
        <x:v>12</x:v>
      </x:c>
      <x:c r="AF48" s="14" t="n">
        <x:v>4</x:v>
      </x:c>
      <x:c r="AG48" s="14" t="str">
        <x:v>未收錄</x:v>
      </x:c>
    </x:row>
    <x:row r="49" ht="15" customHeight="1">
      <x:c r="A49" s="17" t="str">
        <x:v>天罡百匯丹</x:v>
      </x:c>
      <x:c r="B49" s="17" t="str">
        <x:v>歸元聚神丹</x:v>
      </x:c>
      <x:c r="C49" s="17" t="str">
        <x:v>百草羽仙丹</x:v>
      </x:c>
      <x:c r="D49" s="17" t="str">
        <x:v>混元一氣丹</x:v>
      </x:c>
      <x:c r="E49" s="14"/>
      <x:c r="F49" s="14" t="str">
        <x:v>20197</x:v>
      </x:c>
      <x:c r="G49" s="14" t="n">
        <x:v>3</x:v>
      </x:c>
      <x:c r="H49" s="14" t="n">
        <x:v>4200</x:v>
      </x:c>
      <x:c r="I49" s="14" t="n">
        <x:v>145</x:v>
      </x:c>
      <x:c r="J49" s="14" t="n">
        <x:v>13</x:v>
      </x:c>
      <x:c r="K49" s="14" t="n">
        <x:v>1</x:v>
      </x:c>
      <x:c r="L49" s="14" t="str">
        <x:v>未收錄</x:v>
      </x:c>
      <x:c r="M49" s="14" t="str">
        <x:v>20198</x:v>
      </x:c>
      <x:c r="N49" s="14" t="n">
        <x:v>3</x:v>
      </x:c>
      <x:c r="O49" s="14" t="n">
        <x:v>4201</x:v>
      </x:c>
      <x:c r="P49" s="14" t="n">
        <x:v>146</x:v>
      </x:c>
      <x:c r="Q49" s="14" t="n">
        <x:v>13</x:v>
      </x:c>
      <x:c r="R49" s="14" t="n">
        <x:v>2</x:v>
      </x:c>
      <x:c r="S49" s="14" t="str">
        <x:v>未收錄</x:v>
      </x:c>
      <x:c r="T49" s="14" t="str">
        <x:v>20199</x:v>
      </x:c>
      <x:c r="U49" s="14" t="n">
        <x:v>3</x:v>
      </x:c>
      <x:c r="V49" s="14" t="n">
        <x:v>4202</x:v>
      </x:c>
      <x:c r="W49" s="14" t="n">
        <x:v>147</x:v>
      </x:c>
      <x:c r="X49" s="14" t="n">
        <x:v>13</x:v>
      </x:c>
      <x:c r="Y49" s="14" t="n">
        <x:v>3</x:v>
      </x:c>
      <x:c r="Z49" s="14" t="str">
        <x:v>未收錄</x:v>
      </x:c>
      <x:c r="AA49" s="14" t="str">
        <x:v>20200</x:v>
      </x:c>
      <x:c r="AB49" s="14" t="n">
        <x:v>3</x:v>
      </x:c>
      <x:c r="AC49" s="14" t="n">
        <x:v>4203</x:v>
      </x:c>
      <x:c r="AD49" s="14" t="n">
        <x:v>148</x:v>
      </x:c>
      <x:c r="AE49" s="14" t="n">
        <x:v>13</x:v>
      </x:c>
      <x:c r="AF49" s="14" t="n">
        <x:v>4</x:v>
      </x:c>
      <x:c r="AG49" s="14" t="str">
        <x:v>未收錄</x:v>
      </x:c>
    </x:row>
    <x:row r="50" ht="15" customHeight="1">
      <x:c r="A50" s="18" t="str">
        <x:v>千靈蕩氣丹</x:v>
      </x:c>
      <x:c r="B50" s="18" t="str">
        <x:v>百草續命丹</x:v>
      </x:c>
      <x:c r="C50" s="18" t="str">
        <x:v>千靈破曉丹</x:v>
      </x:c>
      <x:c r="D50" s="18" t="str">
        <x:v>百草還生丹</x:v>
      </x:c>
      <x:c r="E50" s="14"/>
      <x:c r="F50" s="14" t="str">
        <x:v>20201</x:v>
      </x:c>
      <x:c r="G50" s="14" t="n">
        <x:v>3</x:v>
      </x:c>
      <x:c r="H50" s="14" t="n">
        <x:v>4204</x:v>
      </x:c>
      <x:c r="I50" s="14" t="n">
        <x:v>149</x:v>
      </x:c>
      <x:c r="J50" s="14" t="n">
        <x:v>14</x:v>
      </x:c>
      <x:c r="K50" s="14" t="n">
        <x:v>1</x:v>
      </x:c>
      <x:c r="L50" s="14" t="str">
        <x:v>未收錄</x:v>
      </x:c>
      <x:c r="M50" s="14" t="str">
        <x:v>20091</x:v>
      </x:c>
      <x:c r="N50" s="14" t="n">
        <x:v>3</x:v>
      </x:c>
      <x:c r="O50" s="14" t="n">
        <x:v>4205</x:v>
      </x:c>
      <x:c r="P50" s="14" t="n">
        <x:v>150</x:v>
      </x:c>
      <x:c r="Q50" s="14" t="n">
        <x:v>14</x:v>
      </x:c>
      <x:c r="R50" s="14" t="n">
        <x:v>2</x:v>
      </x:c>
      <x:c r="S50" s="14" t="str">
        <x:v>未收錄</x:v>
      </x:c>
      <x:c r="T50" s="14" t="str">
        <x:v>22291</x:v>
      </x:c>
      <x:c r="U50" s="14" t="n">
        <x:v>5</x:v>
      </x:c>
      <x:c r="V50" s="14" t="n">
        <x:v>4206</x:v>
      </x:c>
      <x:c r="W50" s="14" t="n">
        <x:v>151</x:v>
      </x:c>
      <x:c r="X50" s="14" t="n">
        <x:v>14</x:v>
      </x:c>
      <x:c r="Y50" s="14" t="n">
        <x:v>3</x:v>
      </x:c>
      <x:c r="Z50" s="14" t="str">
        <x:v>未收錄</x:v>
      </x:c>
      <x:c r="AA50" s="14" t="str">
        <x:v>22292</x:v>
      </x:c>
      <x:c r="AB50" s="14" t="n">
        <x:v>5</x:v>
      </x:c>
      <x:c r="AC50" s="14" t="n">
        <x:v>4207</x:v>
      </x:c>
      <x:c r="AD50" s="14" t="n">
        <x:v>152</x:v>
      </x:c>
      <x:c r="AE50" s="14" t="n">
        <x:v>14</x:v>
      </x:c>
      <x:c r="AF50" s="14" t="n">
        <x:v>4</x:v>
      </x:c>
      <x:c r="AG50" s="14" t="str">
        <x:v>未收錄</x:v>
      </x:c>
    </x:row>
    <x:row r="51" ht="15" customHeight="1">
      <x:c r="A51" s="17" t="str">
        <x:v>天元聚神丹</x:v>
      </x:c>
      <x:c r="B51" s="17" t="str">
        <x:v>凝魂丹</x:v>
      </x:c>
      <x:c r="C51" s="17" t="str">
        <x:v>天地劍佩</x:v>
      </x:c>
      <x:c r="D51" s="17" t="str">
        <x:v>絕壁劍佩</x:v>
      </x:c>
      <x:c r="E51" s="14"/>
      <x:c r="F51" s="14" t="str">
        <x:v>22293</x:v>
      </x:c>
      <x:c r="G51" s="14" t="n">
        <x:v>5</x:v>
      </x:c>
      <x:c r="H51" s="14" t="n">
        <x:v>4208</x:v>
      </x:c>
      <x:c r="I51" s="14" t="n">
        <x:v>153</x:v>
      </x:c>
      <x:c r="J51" s="14" t="n">
        <x:v>15</x:v>
      </x:c>
      <x:c r="K51" s="14" t="n">
        <x:v>1</x:v>
      </x:c>
      <x:c r="L51" s="14" t="str">
        <x:v>未收錄</x:v>
      </x:c>
      <x:c r="M51" s="14" t="str">
        <x:v>22294</x:v>
      </x:c>
      <x:c r="N51" s="14" t="n">
        <x:v>5</x:v>
      </x:c>
      <x:c r="O51" s="14" t="n">
        <x:v>4209</x:v>
      </x:c>
      <x:c r="P51" s="14" t="n">
        <x:v>154</x:v>
      </x:c>
      <x:c r="Q51" s="14" t="n">
        <x:v>15</x:v>
      </x:c>
      <x:c r="R51" s="14" t="n">
        <x:v>2</x:v>
      </x:c>
      <x:c r="S51" s="14" t="str">
        <x:v>未收錄</x:v>
      </x:c>
      <x:c r="T51" s="14" t="str">
        <x:v>23663</x:v>
      </x:c>
      <x:c r="U51" s="14" t="n">
        <x:v>8</x:v>
      </x:c>
      <x:c r="V51" s="14" t="n">
        <x:v>4210</x:v>
      </x:c>
      <x:c r="W51" s="14" t="n">
        <x:v>155</x:v>
      </x:c>
      <x:c r="X51" s="14" t="n">
        <x:v>15</x:v>
      </x:c>
      <x:c r="Y51" s="14" t="n">
        <x:v>3</x:v>
      </x:c>
      <x:c r="Z51" s="14" t="str">
        <x:v>未收錄</x:v>
      </x:c>
      <x:c r="AA51" s="14" t="str">
        <x:v>23664</x:v>
      </x:c>
      <x:c r="AB51" s="14" t="n">
        <x:v>8</x:v>
      </x:c>
      <x:c r="AC51" s="14" t="n">
        <x:v>4211</x:v>
      </x:c>
      <x:c r="AD51" s="14" t="n">
        <x:v>156</x:v>
      </x:c>
      <x:c r="AE51" s="14" t="n">
        <x:v>15</x:v>
      </x:c>
      <x:c r="AF51" s="14" t="n">
        <x:v>4</x:v>
      </x:c>
      <x:c r="AG51" s="14" t="str">
        <x:v>未收錄</x:v>
      </x:c>
    </x:row>
    <x:row r="52" ht="15" customHeight="1">
      <x:c r="A52" s="18" t="str">
        <x:v>氣化活殺丹</x:v>
      </x:c>
      <x:c r="B52" s="18" t="str">
        <x:v>烈火真劍典</x:v>
      </x:c>
      <x:c r="C52" s="18" t="str">
        <x:v>千巡歸真輪</x:v>
      </x:c>
      <x:c r="D52" s="18" t="str">
        <x:v>天地劍佩‧絕</x:v>
      </x:c>
      <x:c r="E52" s="14"/>
      <x:c r="F52" s="14" t="str">
        <x:v>24149</x:v>
      </x:c>
      <x:c r="G52" s="14" t="n">
        <x:v>10</x:v>
      </x:c>
      <x:c r="H52" s="14" t="n">
        <x:v>4212</x:v>
      </x:c>
      <x:c r="I52" s="14" t="n">
        <x:v>157</x:v>
      </x:c>
      <x:c r="J52" s="14" t="n">
        <x:v>16</x:v>
      </x:c>
      <x:c r="K52" s="14" t="n">
        <x:v>1</x:v>
      </x:c>
      <x:c r="L52" s="14" t="str">
        <x:v>未收錄</x:v>
      </x:c>
      <x:c r="M52" s="14" t="str">
        <x:v>24150</x:v>
      </x:c>
      <x:c r="N52" s="14" t="n">
        <x:v>10</x:v>
      </x:c>
      <x:c r="O52" s="14" t="n">
        <x:v>4213</x:v>
      </x:c>
      <x:c r="P52" s="14" t="n">
        <x:v>158</x:v>
      </x:c>
      <x:c r="Q52" s="14" t="n">
        <x:v>16</x:v>
      </x:c>
      <x:c r="R52" s="14" t="n">
        <x:v>2</x:v>
      </x:c>
      <x:c r="S52" s="14" t="str">
        <x:v>未收錄</x:v>
      </x:c>
      <x:c r="T52" s="14" t="str">
        <x:v>24151</x:v>
      </x:c>
      <x:c r="U52" s="14" t="n">
        <x:v>10</x:v>
      </x:c>
      <x:c r="V52" s="14" t="n">
        <x:v>4214</x:v>
      </x:c>
      <x:c r="W52" s="14" t="n">
        <x:v>159</x:v>
      </x:c>
      <x:c r="X52" s="14" t="n">
        <x:v>16</x:v>
      </x:c>
      <x:c r="Y52" s="14" t="n">
        <x:v>3</x:v>
      </x:c>
      <x:c r="Z52" s="14" t="str">
        <x:v>未收錄</x:v>
      </x:c>
      <x:c r="AA52" s="14" t="str">
        <x:v>24152</x:v>
      </x:c>
      <x:c r="AB52" s="14" t="n">
        <x:v>10</x:v>
      </x:c>
      <x:c r="AC52" s="14" t="n">
        <x:v>4215</x:v>
      </x:c>
      <x:c r="AD52" s="14" t="n">
        <x:v>160</x:v>
      </x:c>
      <x:c r="AE52" s="14" t="n">
        <x:v>16</x:v>
      </x:c>
      <x:c r="AF52" s="14" t="n">
        <x:v>4</x:v>
      </x:c>
      <x:c r="AG52" s="14" t="str">
        <x:v>未收錄</x:v>
      </x:c>
    </x:row>
    <x:row r="53" ht="15" customHeight="1">
      <x:c r="A53" s="17" t="str">
        <x:v>天藏皇懷劍</x:v>
      </x:c>
      <x:c r="B53" s="17" t="str">
        <x:v>鳳紋赤懷劍</x:v>
      </x:c>
      <x:c r="C53" s="17" t="str">
        <x:v>藍銳天雨晶</x:v>
      </x:c>
      <x:c r="D53" s="17" t="str">
        <x:v>碧空蒼星石</x:v>
      </x:c>
      <x:c r="E53" s="14"/>
      <x:c r="F53" s="14" t="str">
        <x:v>24153</x:v>
      </x:c>
      <x:c r="G53" s="14" t="n">
        <x:v>10</x:v>
      </x:c>
      <x:c r="H53" s="14" t="n">
        <x:v>4216</x:v>
      </x:c>
      <x:c r="I53" s="14" t="n">
        <x:v>161</x:v>
      </x:c>
      <x:c r="J53" s="14" t="n">
        <x:v>17</x:v>
      </x:c>
      <x:c r="K53" s="14" t="n">
        <x:v>1</x:v>
      </x:c>
      <x:c r="L53" s="14" t="str">
        <x:v>未收錄</x:v>
      </x:c>
      <x:c r="M53" s="14" t="str">
        <x:v>24154</x:v>
      </x:c>
      <x:c r="N53" s="14" t="n">
        <x:v>15</x:v>
      </x:c>
      <x:c r="O53" s="14" t="n">
        <x:v>4217</x:v>
      </x:c>
      <x:c r="P53" s="14" t="n">
        <x:v>162</x:v>
      </x:c>
      <x:c r="Q53" s="14" t="n">
        <x:v>17</x:v>
      </x:c>
      <x:c r="R53" s="14" t="n">
        <x:v>2</x:v>
      </x:c>
      <x:c r="S53" s="14" t="str">
        <x:v>未收錄</x:v>
      </x:c>
      <x:c r="T53" s="14" t="str">
        <x:v>24668</x:v>
      </x:c>
      <x:c r="U53" s="14" t="n">
        <x:v>10</x:v>
      </x:c>
      <x:c r="V53" s="14" t="n">
        <x:v>4218</x:v>
      </x:c>
      <x:c r="W53" s="14" t="n">
        <x:v>163</x:v>
      </x:c>
      <x:c r="X53" s="14" t="n">
        <x:v>17</x:v>
      </x:c>
      <x:c r="Y53" s="14" t="n">
        <x:v>3</x:v>
      </x:c>
      <x:c r="Z53" s="14" t="str">
        <x:v>未收錄</x:v>
      </x:c>
      <x:c r="AA53" s="14" t="str">
        <x:v>24669</x:v>
      </x:c>
      <x:c r="AB53" s="14" t="n">
        <x:v>10</x:v>
      </x:c>
      <x:c r="AC53" s="14" t="n">
        <x:v>4219</x:v>
      </x:c>
      <x:c r="AD53" s="14" t="n">
        <x:v>164</x:v>
      </x:c>
      <x:c r="AE53" s="14" t="n">
        <x:v>17</x:v>
      </x:c>
      <x:c r="AF53" s="14" t="n">
        <x:v>4</x:v>
      </x:c>
      <x:c r="AG53" s="14" t="str">
        <x:v>未收錄</x:v>
      </x:c>
    </x:row>
    <x:row r="54" ht="15" customHeight="1">
      <x:c r="A54" s="18" t="str">
        <x:v>點氣化劍丹</x:v>
      </x:c>
      <x:c r="B54" s="18" t="str">
        <x:v>照心劍玉</x:v>
      </x:c>
      <x:c r="C54" s="18" t="str">
        <x:v>極光晶簇</x:v>
      </x:c>
      <x:c r="D54" s="18" t="str">
        <x:v>長城劍印</x:v>
      </x:c>
      <x:c r="E54" s="14"/>
      <x:c r="F54" s="14" t="str">
        <x:v>24670</x:v>
      </x:c>
      <x:c r="G54" s="14" t="n">
        <x:v>10</x:v>
      </x:c>
      <x:c r="H54" s="14" t="n">
        <x:v>4220</x:v>
      </x:c>
      <x:c r="I54" s="14" t="n">
        <x:v>165</x:v>
      </x:c>
      <x:c r="J54" s="14" t="n">
        <x:v>18</x:v>
      </x:c>
      <x:c r="K54" s="14" t="n">
        <x:v>1</x:v>
      </x:c>
      <x:c r="L54" s="14" t="str">
        <x:v>未收錄</x:v>
      </x:c>
      <x:c r="M54" s="14" t="str">
        <x:v>26212</x:v>
      </x:c>
      <x:c r="N54" s="14" t="n">
        <x:v>10</x:v>
      </x:c>
      <x:c r="O54" s="14" t="n">
        <x:v>4221</x:v>
      </x:c>
      <x:c r="P54" s="14" t="n">
        <x:v>166</x:v>
      </x:c>
      <x:c r="Q54" s="14" t="n">
        <x:v>18</x:v>
      </x:c>
      <x:c r="R54" s="14" t="n">
        <x:v>2</x:v>
      </x:c>
      <x:c r="S54" s="14" t="str">
        <x:v>未收錄</x:v>
      </x:c>
      <x:c r="T54" s="14" t="str">
        <x:v>26213</x:v>
      </x:c>
      <x:c r="U54" s="14" t="n">
        <x:v>10</x:v>
      </x:c>
      <x:c r="V54" s="14" t="n">
        <x:v>4222</x:v>
      </x:c>
      <x:c r="W54" s="14" t="n">
        <x:v>167</x:v>
      </x:c>
      <x:c r="X54" s="14" t="n">
        <x:v>18</x:v>
      </x:c>
      <x:c r="Y54" s="14" t="n">
        <x:v>3</x:v>
      </x:c>
      <x:c r="Z54" s="14" t="str">
        <x:v>未收錄</x:v>
      </x:c>
      <x:c r="AA54" s="14" t="str">
        <x:v>26697</x:v>
      </x:c>
      <x:c r="AB54" s="14" t="n">
        <x:v>10</x:v>
      </x:c>
      <x:c r="AC54" s="14" t="n">
        <x:v>4223</x:v>
      </x:c>
      <x:c r="AD54" s="14" t="n">
        <x:v>168</x:v>
      </x:c>
      <x:c r="AE54" s="14" t="n">
        <x:v>18</x:v>
      </x:c>
      <x:c r="AF54" s="14" t="n">
        <x:v>4</x:v>
      </x:c>
      <x:c r="AG54" s="14" t="str">
        <x:v>未收錄</x:v>
      </x:c>
    </x:row>
    <x:row r="55" ht="15" customHeight="1">
      <x:c r="A55" s="17" t="str">
        <x:v>天關劍佩</x:v>
      </x:c>
      <x:c r="B55" s="17"/>
      <x:c r="C55" s="17"/>
      <x:c r="D55" s="17"/>
      <x:c r="E55" s="14"/>
      <x:c r="F55" s="14" t="str">
        <x:v>26698</x:v>
      </x:c>
      <x:c r="G55" s="14" t="n">
        <x:v>10</x:v>
      </x:c>
      <x:c r="H55" s="14" t="n">
        <x:v>4224</x:v>
      </x:c>
      <x:c r="I55" s="14" t="n">
        <x:v>169</x:v>
      </x:c>
      <x:c r="J55" s="14" t="n">
        <x:v>19</x:v>
      </x:c>
      <x:c r="K55" s="14" t="n">
        <x:v>1</x:v>
      </x:c>
      <x:c r="L55" s="14" t="str">
        <x:v>未收錄</x:v>
      </x:c>
      <x:c r="M55" s="14"/>
      <x:c r="N55" s="14"/>
      <x:c r="O55" s="14"/>
      <x:c r="P55" s="14"/>
      <x:c r="Q55" s="14"/>
      <x:c r="R55" s="14"/>
      <x:c r="S55" s="14"/>
      <x:c r="T55" s="14"/>
      <x:c r="U55" s="14"/>
      <x:c r="V55" s="14"/>
      <x:c r="W55" s="14"/>
      <x:c r="X55" s="14"/>
      <x:c r="Y55" s="14"/>
      <x:c r="Z55" s="14"/>
      <x:c r="AA55" s="14"/>
      <x:c r="AB55" s="14"/>
      <x:c r="AC55" s="14"/>
      <x:c r="AD55" s="14"/>
      <x:c r="AE55" s="14"/>
      <x:c r="AF55" s="14"/>
      <x:c r="AG55" s="14"/>
    </x:row>
    <x:row r="56">
      <x:c r="A56" s="14"/>
      <x:c r="B56" s="14"/>
      <x:c r="C56" s="14"/>
      <x:c r="D56" s="14"/>
      <x:c r="E56" s="14"/>
      <x:c r="F56" s="14"/>
      <x:c r="G56" s="14"/>
      <x:c r="H56" s="14"/>
      <x:c r="I56" s="14"/>
      <x:c r="J56" s="14"/>
      <x:c r="K56" s="14"/>
      <x:c r="L56" s="14"/>
      <x:c r="M56" s="14"/>
      <x:c r="N56" s="14"/>
      <x:c r="O56" s="14"/>
      <x:c r="P56" s="14"/>
      <x:c r="Q56" s="14"/>
      <x:c r="R56" s="14"/>
      <x:c r="S56" s="14"/>
      <x:c r="T56" s="14"/>
      <x:c r="U56" s="14"/>
      <x:c r="V56" s="14"/>
      <x:c r="W56" s="14"/>
      <x:c r="X56" s="14"/>
      <x:c r="Y56" s="14"/>
      <x:c r="Z56" s="14"/>
      <x:c r="AA56" s="14"/>
      <x:c r="AB56" s="14"/>
      <x:c r="AC56" s="14"/>
      <x:c r="AD56" s="14"/>
      <x:c r="AE56" s="14"/>
      <x:c r="AF56" s="14"/>
      <x:c r="AG56" s="14"/>
    </x:row>
  </x:sheetData>
  <x:mergeCells>
    <x:mergeCell ref="A9:D9"/>
    <x:mergeCell ref="A10:D10"/>
    <x:mergeCell ref="A36:D36"/>
    <x:mergeCell ref="A2:B2"/>
    <x:mergeCell ref="A3:B3"/>
    <x:mergeCell ref="A6:D6"/>
  </x:mergeCells>
  <x:conditionalFormatting sqref="A11:A56">
    <x:cfRule type="expression" dxfId="68" priority="1">
      <x:formula>$L11="已收錄"</x:formula>
    </x:cfRule>
  </x:conditionalFormatting>
  <x:conditionalFormatting sqref="B11:B56">
    <x:cfRule type="expression" dxfId="69" priority="2">
      <x:formula>$S11="已收錄"</x:formula>
    </x:cfRule>
  </x:conditionalFormatting>
  <x:conditionalFormatting sqref="C11:C56">
    <x:cfRule type="expression" dxfId="70" priority="3">
      <x:formula>$Z11="已收錄"</x:formula>
    </x:cfRule>
  </x:conditionalFormatting>
  <x:conditionalFormatting sqref="D11:D56">
    <x:cfRule type="expression" dxfId="71" priority="4">
      <x:formula>$AG11="已收錄"</x:formula>
    </x:cfRule>
  </x:conditionalFormatting>
  <x:pageMargins left="0.7" right="0.7" top="0.75" bottom="0.75" header="0.3" footer="0.3"/>
</x:worksheet>
</file>

<file path=xl/worksheets/sheet4.xml><?xml version="1.0" encoding="utf-8"?>
<x:worksheet xmlns:x="http://schemas.openxmlformats.org/spreadsheetml/2006/main">
  <x:sheetPr>
    <x:tabColor rgb="FF665577"/>
  </x:sheetPr>
  <x:sheetViews>
    <x:sheetView showGridLines="0" workbookViewId="0">
      <x:pane ySplit="5" topLeftCell="A6" activePane="bottomLeft" state="frozen"/>
    </x:sheetView>
  </x:sheetViews>
  <x:sheetFormatPr defaultRowHeight="15"/>
  <x:cols>
    <x:col min="1" max="1" width="23.75" hidden="0" customWidth="1"/>
    <x:col min="2" max="2" width="23.75" hidden="0" customWidth="1"/>
    <x:col min="3" max="3" width="23.75" hidden="0" customWidth="1"/>
    <x:col min="4" max="4" width="23.75" hidden="0" customWidth="1"/>
    <x:col min="6" max="33" hidden="1" width="12" customWidth="1"/>
  </x:cols>
  <x:sheetData>
    <x:row r="1" hidden="1">
      <x:c r="A1" s="14" t="n">
        <x:v>6</x:v>
      </x:c>
      <x:c r="B1" s="14" t="n">
        <x:v>13</x:v>
      </x:c>
      <x:c r="C1" s="14" t="n">
        <x:v>20</x:v>
      </x:c>
      <x:c r="D1" s="14" t="n">
        <x:v>27</x:v>
      </x:c>
      <x:c r="E1" s="14"/>
      <x:c r="F1" s="14"/>
      <x:c r="G1" s="14"/>
      <x:c r="H1" s="14"/>
      <x:c r="I1" s="14"/>
      <x:c r="J1" s="14"/>
      <x:c r="K1" s="14"/>
      <x:c r="L1" s="14"/>
      <x:c r="M1" s="14"/>
      <x:c r="N1" s="14"/>
      <x:c r="O1" s="14"/>
      <x:c r="P1" s="14"/>
      <x:c r="Q1" s="14"/>
      <x:c r="R1" s="14"/>
      <x:c r="S1" s="14"/>
      <x:c r="T1" s="14"/>
      <x:c r="U1" s="14"/>
      <x:c r="V1" s="14"/>
      <x:c r="W1" s="14"/>
      <x:c r="X1" s="14"/>
      <x:c r="Y1" s="14"/>
      <x:c r="Z1" s="14"/>
      <x:c r="AA1" s="14"/>
      <x:c r="AB1" s="14"/>
      <x:c r="AC1" s="14"/>
      <x:c r="AD1" s="14"/>
      <x:c r="AE1" s="14"/>
      <x:c r="AF1" s="14"/>
      <x:c r="AG1" s="14"/>
    </x:row>
    <x:row r="2" ht="24" customHeight="1">
      <x:c r="A2" s="49" t="str">
        <x:v>封獸</x:v>
      </x:c>
      <x:c r="B2" s="14"/>
      <x:c r="C2" s="14" t="str">
        <x:v>四類已得分</x:v>
      </x:c>
      <x:c r="D2" s="14" t="n">
        <x:f>SUM('武防'!B5,'配方'!B5,'法器'!B5,'封獸'!B5)</x:f>
        <x:v>0</x:v>
      </x:c>
      <x:c r="E2" s="14"/>
      <x:c r="F2" s="14"/>
      <x:c r="G2" s="14"/>
      <x:c r="H2" s="14"/>
      <x:c r="I2" s="14"/>
      <x:c r="J2" s="14"/>
      <x:c r="K2" s="14"/>
      <x:c r="L2" s="14"/>
      <x:c r="M2" s="14"/>
      <x:c r="N2" s="14"/>
      <x:c r="O2" s="14"/>
      <x:c r="P2" s="14"/>
      <x:c r="Q2" s="14"/>
      <x:c r="R2" s="14"/>
      <x:c r="S2" s="14"/>
      <x:c r="T2" s="14"/>
      <x:c r="U2" s="14"/>
      <x:c r="V2" s="14"/>
      <x:c r="W2" s="14"/>
      <x:c r="X2" s="14"/>
      <x:c r="Y2" s="14"/>
      <x:c r="Z2" s="14"/>
      <x:c r="AA2" s="14"/>
      <x:c r="AB2" s="14"/>
      <x:c r="AC2" s="14"/>
      <x:c r="AD2" s="14"/>
      <x:c r="AE2" s="14"/>
      <x:c r="AF2" s="14"/>
      <x:c r="AG2" s="14"/>
    </x:row>
    <x:row r="3" ht="19" customHeight="1" hidden="1">
      <x:c r="A3" s="14" t="str">
        <x:v>2026/09/17　武冠收納清冊</x:v>
      </x:c>
      <x:c r="B3" s="14"/>
      <x:c r="C3" s="14" t="str">
        <x:v>四類總分</x:v>
      </x:c>
      <x:c r="D3" s="14" t="n">
        <x:f>SUM('武防'!C5,'配方'!C5,'法器'!C5,'封獸'!C5)</x:f>
        <x:v>35704</x:v>
      </x:c>
      <x:c r="E3" s="14"/>
      <x:c r="F3" s="14"/>
      <x:c r="G3" s="14"/>
      <x:c r="H3" s="14"/>
      <x:c r="I3" s="14"/>
      <x:c r="J3" s="14"/>
      <x:c r="K3" s="14"/>
      <x:c r="L3" s="14"/>
      <x:c r="M3" s="14"/>
      <x:c r="N3" s="14"/>
      <x:c r="O3" s="14"/>
      <x:c r="P3" s="14"/>
      <x:c r="Q3" s="14"/>
      <x:c r="R3" s="14"/>
      <x:c r="S3" s="14"/>
      <x:c r="T3" s="14"/>
      <x:c r="U3" s="14"/>
      <x:c r="V3" s="14"/>
      <x:c r="W3" s="14"/>
      <x:c r="X3" s="14"/>
      <x:c r="Y3" s="14"/>
      <x:c r="Z3" s="14"/>
      <x:c r="AA3" s="14"/>
      <x:c r="AB3" s="14"/>
      <x:c r="AC3" s="14"/>
      <x:c r="AD3" s="14"/>
      <x:c r="AE3" s="14"/>
      <x:c r="AF3" s="14"/>
      <x:c r="AG3" s="14"/>
    </x:row>
    <x:row r="4" ht="24" customHeight="1" hidden="1">
      <x:c r="A4" s="22" t="str">
        <x:v>本頁已收錄</x:v>
      </x:c>
      <x:c r="B4" s="22" t="str">
        <x:v>本頁已得分</x:v>
      </x:c>
      <x:c r="C4" s="22" t="inlineStr">
        <x:is>
          <x:t>封獸總分</x:t>
        </x:is>
      </x:c>
      <x:c r="D4" s="22" t="str">
        <x:v>本頁收藏率</x:v>
      </x:c>
      <x:c r="E4" s="14"/>
      <x:c r="F4" s="14"/>
      <x:c r="G4" s="14"/>
      <x:c r="H4" s="14"/>
      <x:c r="I4" s="14"/>
      <x:c r="J4" s="14"/>
      <x:c r="K4" s="14"/>
      <x:c r="L4" s="14"/>
      <x:c r="M4" s="14"/>
      <x:c r="N4" s="14"/>
      <x:c r="O4" s="14"/>
      <x:c r="P4" s="14"/>
      <x:c r="Q4" s="14"/>
      <x:c r="R4" s="14"/>
      <x:c r="S4" s="14"/>
      <x:c r="T4" s="14"/>
      <x:c r="U4" s="14"/>
      <x:c r="V4" s="14"/>
      <x:c r="W4" s="14"/>
      <x:c r="X4" s="14"/>
      <x:c r="Y4" s="14"/>
      <x:c r="Z4" s="14"/>
      <x:c r="AA4" s="14"/>
      <x:c r="AB4" s="14"/>
      <x:c r="AC4" s="14"/>
      <x:c r="AD4" s="14"/>
      <x:c r="AE4" s="14"/>
      <x:c r="AF4" s="14"/>
      <x:c r="AG4" s="14"/>
    </x:row>
    <x:row r="5" ht="21" customHeight="1">
      <x:c r="A5" s="28" t="n">
        <x:f>COUNTIF(L9:L95,"已收錄")+COUNTIF(S9:S95,"已收錄")+COUNTIF(Z9:Z95,"已收錄")+COUNTIF(AG9:AG95,"已收錄")</x:f>
        <x:v>0</x:v>
      </x:c>
      <x:c r="B5" s="29" t="n">
        <x:f>SUMIF(L9:L95,"已收錄",G9:G95)+SUMIF(S9:S95,"已收錄",N9:N95)+SUMIF(Z9:Z95,"已收錄",U9:U95)+SUMIF(AG9:AG95,"已收錄",AB9:AB95)</x:f>
        <x:v>0</x:v>
      </x:c>
      <x:c r="C5" s="74" t="n">
        <x:f>SUM(G9:G95)+SUM(N9:N95)+SUM(U9:U95)+SUM(AB9:AB95)</x:f>
        <x:v>4988</x:v>
      </x:c>
      <x:c r="D5" s="31" t="n">
        <x:f>A5/264</x:f>
        <x:v>0</x:v>
      </x:c>
      <x:c r="E5" s="14"/>
      <x:c r="F5" s="14"/>
      <x:c r="G5" s="14"/>
      <x:c r="H5" s="14"/>
      <x:c r="I5" s="14"/>
      <x:c r="J5" s="14"/>
      <x:c r="K5" s="14"/>
      <x:c r="L5" s="14"/>
      <x:c r="M5" s="14"/>
      <x:c r="N5" s="14"/>
      <x:c r="O5" s="14"/>
      <x:c r="P5" s="14"/>
      <x:c r="Q5" s="14"/>
      <x:c r="R5" s="14"/>
      <x:c r="S5" s="14"/>
      <x:c r="T5" s="14"/>
      <x:c r="U5" s="14"/>
      <x:c r="V5" s="14"/>
      <x:c r="W5" s="14"/>
      <x:c r="X5" s="14"/>
      <x:c r="Y5" s="14"/>
      <x:c r="Z5" s="14"/>
      <x:c r="AA5" s="14"/>
      <x:c r="AB5" s="14"/>
      <x:c r="AC5" s="14"/>
      <x:c r="AD5" s="14"/>
      <x:c r="AE5" s="14"/>
      <x:c r="AF5" s="14"/>
      <x:c r="AG5" s="14"/>
    </x:row>
    <x:row r="6" ht="23" customHeight="1" hidden="1">
      <x:c r="A6" s="25" t="str">
        <x:v>雙擊道具名稱切換收錄；綠色為已收錄。請啟用巨集。</x:v>
      </x:c>
      <x:c r="B6" s="25"/>
      <x:c r="C6" s="25"/>
      <x:c r="D6" s="25"/>
      <x:c r="E6" s="14"/>
      <x:c r="F6" s="14"/>
      <x:c r="G6" s="14"/>
      <x:c r="H6" s="14"/>
      <x:c r="I6" s="14"/>
      <x:c r="J6" s="14"/>
      <x:c r="K6" s="14"/>
      <x:c r="L6" s="14"/>
      <x:c r="M6" s="14"/>
      <x:c r="N6" s="14"/>
      <x:c r="O6" s="14"/>
      <x:c r="P6" s="14"/>
      <x:c r="Q6" s="14"/>
      <x:c r="R6" s="14"/>
      <x:c r="S6" s="14"/>
      <x:c r="T6" s="14"/>
      <x:c r="U6" s="14"/>
      <x:c r="V6" s="14"/>
      <x:c r="W6" s="14"/>
      <x:c r="X6" s="14"/>
      <x:c r="Y6" s="14"/>
      <x:c r="Z6" s="14"/>
      <x:c r="AA6" s="14"/>
      <x:c r="AB6" s="14"/>
      <x:c r="AC6" s="14"/>
      <x:c r="AD6" s="14"/>
      <x:c r="AE6" s="14"/>
      <x:c r="AF6" s="14"/>
      <x:c r="AG6" s="14"/>
    </x:row>
    <x:row r="7" hidden="1">
      <x:c r="A7" s="14"/>
      <x:c r="B7" s="14"/>
      <x:c r="C7" s="14"/>
      <x:c r="D7" s="14"/>
      <x:c r="E7" s="14"/>
      <x:c r="F7" s="14"/>
      <x:c r="G7" s="14"/>
      <x:c r="H7" s="14"/>
      <x:c r="I7" s="14"/>
      <x:c r="J7" s="14"/>
      <x:c r="K7" s="14"/>
      <x:c r="L7" s="14"/>
      <x:c r="M7" s="14"/>
      <x:c r="N7" s="14"/>
      <x:c r="O7" s="14"/>
      <x:c r="P7" s="14"/>
      <x:c r="Q7" s="14"/>
      <x:c r="R7" s="14"/>
      <x:c r="S7" s="14"/>
      <x:c r="T7" s="14"/>
      <x:c r="U7" s="14"/>
      <x:c r="V7" s="14"/>
      <x:c r="W7" s="14"/>
      <x:c r="X7" s="14"/>
      <x:c r="Y7" s="14"/>
      <x:c r="Z7" s="14"/>
      <x:c r="AA7" s="14"/>
      <x:c r="AB7" s="14"/>
      <x:c r="AC7" s="14"/>
      <x:c r="AD7" s="14"/>
      <x:c r="AE7" s="14"/>
      <x:c r="AF7" s="14"/>
      <x:c r="AG7" s="14"/>
    </x:row>
    <x:row r="8" hidden="1">
      <x:c r="A8" s="14"/>
      <x:c r="B8" s="14"/>
      <x:c r="C8" s="14"/>
      <x:c r="D8" s="14"/>
      <x:c r="E8" s="14"/>
      <x:c r="F8" s="14"/>
      <x:c r="G8" s="14"/>
      <x:c r="H8" s="14"/>
      <x:c r="I8" s="14"/>
      <x:c r="J8" s="14"/>
      <x:c r="K8" s="14"/>
      <x:c r="L8" s="14"/>
      <x:c r="M8" s="14"/>
      <x:c r="N8" s="14"/>
      <x:c r="O8" s="14"/>
      <x:c r="P8" s="14"/>
      <x:c r="Q8" s="14"/>
      <x:c r="R8" s="14"/>
      <x:c r="S8" s="14"/>
      <x:c r="T8" s="14"/>
      <x:c r="U8" s="14"/>
      <x:c r="V8" s="14"/>
      <x:c r="W8" s="14"/>
      <x:c r="X8" s="14"/>
      <x:c r="Y8" s="14"/>
      <x:c r="Z8" s="14"/>
      <x:c r="AA8" s="14"/>
      <x:c r="AB8" s="14"/>
      <x:c r="AC8" s="14"/>
      <x:c r="AD8" s="14"/>
      <x:c r="AE8" s="14"/>
      <x:c r="AF8" s="14"/>
      <x:c r="AG8" s="14"/>
    </x:row>
    <x:row r="9" ht="25" customHeight="1">
      <x:c r="A9" s="48" t="str">
        <x:v>封獸</x:v>
      </x:c>
      <x:c r="B9" s="48"/>
      <x:c r="C9" s="48"/>
      <x:c r="D9" s="48"/>
      <x:c r="E9" s="14"/>
      <x:c r="F9" s="14"/>
      <x:c r="G9" s="14"/>
      <x:c r="H9" s="14"/>
      <x:c r="I9" s="14"/>
      <x:c r="J9" s="14"/>
      <x:c r="K9" s="14"/>
      <x:c r="L9" s="14"/>
      <x:c r="M9" s="14"/>
      <x:c r="N9" s="14"/>
      <x:c r="O9" s="14"/>
      <x:c r="P9" s="14"/>
      <x:c r="Q9" s="14"/>
      <x:c r="R9" s="14"/>
      <x:c r="S9" s="14"/>
      <x:c r="T9" s="14"/>
      <x:c r="U9" s="14"/>
      <x:c r="V9" s="14"/>
      <x:c r="W9" s="14"/>
      <x:c r="X9" s="14"/>
      <x:c r="Y9" s="14"/>
      <x:c r="Z9" s="14"/>
      <x:c r="AA9" s="14"/>
      <x:c r="AB9" s="14"/>
      <x:c r="AC9" s="14"/>
      <x:c r="AD9" s="14"/>
      <x:c r="AE9" s="14"/>
      <x:c r="AF9" s="14"/>
      <x:c r="AG9" s="14"/>
    </x:row>
    <x:row r="10" ht="25" customHeight="1">
      <x:c r="A10" s="16" t="str">
        <x:v>2星・兩儀　／　32 筆</x:v>
      </x:c>
      <x:c r="B10" s="16"/>
      <x:c r="C10" s="16"/>
      <x:c r="D10" s="16"/>
      <x:c r="E10" s="14"/>
      <x:c r="F10" s="14"/>
      <x:c r="G10" s="14"/>
      <x:c r="H10" s="14"/>
      <x:c r="I10" s="14"/>
      <x:c r="J10" s="14"/>
      <x:c r="K10" s="14"/>
      <x:c r="L10" s="14"/>
      <x:c r="M10" s="14"/>
      <x:c r="N10" s="14"/>
      <x:c r="O10" s="14"/>
      <x:c r="P10" s="14"/>
      <x:c r="Q10" s="14"/>
      <x:c r="R10" s="14"/>
      <x:c r="S10" s="14"/>
      <x:c r="T10" s="14"/>
      <x:c r="U10" s="14"/>
      <x:c r="V10" s="14"/>
      <x:c r="W10" s="14"/>
      <x:c r="X10" s="14"/>
      <x:c r="Y10" s="14"/>
      <x:c r="Z10" s="14"/>
      <x:c r="AA10" s="14"/>
      <x:c r="AB10" s="14"/>
      <x:c r="AC10" s="14"/>
      <x:c r="AD10" s="14"/>
      <x:c r="AE10" s="14"/>
      <x:c r="AF10" s="14"/>
      <x:c r="AG10" s="14"/>
    </x:row>
    <x:row r="11" ht="15" customHeight="1">
      <x:c r="A11" s="17" t="str">
        <x:v>大山犬</x:v>
      </x:c>
      <x:c r="B11" s="17" t="str">
        <x:v>大狂猴</x:v>
      </x:c>
      <x:c r="C11" s="17" t="str">
        <x:v>大野豬</x:v>
      </x:c>
      <x:c r="D11" s="17" t="str">
        <x:v>大蟾蜍</x:v>
      </x:c>
      <x:c r="E11" s="14"/>
      <x:c r="F11" s="14" t="str">
        <x:v>5061</x:v>
      </x:c>
      <x:c r="G11" s="14" t="n">
        <x:v>2</x:v>
      </x:c>
      <x:c r="H11" s="14" t="n">
        <x:v>4735</x:v>
      </x:c>
      <x:c r="I11" s="14" t="n">
        <x:v>1</x:v>
      </x:c>
      <x:c r="J11" s="14" t="n">
        <x:v>1</x:v>
      </x:c>
      <x:c r="K11" s="14" t="n">
        <x:v>1</x:v>
      </x:c>
      <x:c r="L11" s="14" t="str">
        <x:v>未收錄</x:v>
      </x:c>
      <x:c r="M11" s="14" t="str">
        <x:v>5062</x:v>
      </x:c>
      <x:c r="N11" s="14" t="n">
        <x:v>2</x:v>
      </x:c>
      <x:c r="O11" s="14" t="n">
        <x:v>4736</x:v>
      </x:c>
      <x:c r="P11" s="14" t="n">
        <x:v>2</x:v>
      </x:c>
      <x:c r="Q11" s="14" t="n">
        <x:v>1</x:v>
      </x:c>
      <x:c r="R11" s="14" t="n">
        <x:v>2</x:v>
      </x:c>
      <x:c r="S11" s="14" t="str">
        <x:v>未收錄</x:v>
      </x:c>
      <x:c r="T11" s="14" t="str">
        <x:v>5063</x:v>
      </x:c>
      <x:c r="U11" s="14" t="n">
        <x:v>2</x:v>
      </x:c>
      <x:c r="V11" s="14" t="n">
        <x:v>4737</x:v>
      </x:c>
      <x:c r="W11" s="14" t="n">
        <x:v>3</x:v>
      </x:c>
      <x:c r="X11" s="14" t="n">
        <x:v>1</x:v>
      </x:c>
      <x:c r="Y11" s="14" t="n">
        <x:v>3</x:v>
      </x:c>
      <x:c r="Z11" s="14" t="str">
        <x:v>未收錄</x:v>
      </x:c>
      <x:c r="AA11" s="14" t="str">
        <x:v>5064</x:v>
      </x:c>
      <x:c r="AB11" s="14" t="n">
        <x:v>2</x:v>
      </x:c>
      <x:c r="AC11" s="14" t="n">
        <x:v>4738</x:v>
      </x:c>
      <x:c r="AD11" s="14" t="n">
        <x:v>4</x:v>
      </x:c>
      <x:c r="AE11" s="14" t="n">
        <x:v>1</x:v>
      </x:c>
      <x:c r="AF11" s="14" t="n">
        <x:v>4</x:v>
      </x:c>
      <x:c r="AG11" s="14" t="str">
        <x:v>未收錄</x:v>
      </x:c>
    </x:row>
    <x:row r="12" ht="15" customHeight="1">
      <x:c r="A12" s="18" t="str">
        <x:v>大蜘蛛</x:v>
      </x:c>
      <x:c r="B12" s="18" t="str">
        <x:v>巨鼠</x:v>
      </x:c>
      <x:c r="C12" s="18" t="str">
        <x:v>蝙蝠</x:v>
      </x:c>
      <x:c r="D12" s="18" t="str">
        <x:v>惡犬</x:v>
      </x:c>
      <x:c r="E12" s="14"/>
      <x:c r="F12" s="14" t="str">
        <x:v>5065</x:v>
      </x:c>
      <x:c r="G12" s="14" t="n">
        <x:v>2</x:v>
      </x:c>
      <x:c r="H12" s="14" t="n">
        <x:v>4739</x:v>
      </x:c>
      <x:c r="I12" s="14" t="n">
        <x:v>5</x:v>
      </x:c>
      <x:c r="J12" s="14" t="n">
        <x:v>2</x:v>
      </x:c>
      <x:c r="K12" s="14" t="n">
        <x:v>1</x:v>
      </x:c>
      <x:c r="L12" s="14" t="str">
        <x:v>未收錄</x:v>
      </x:c>
      <x:c r="M12" s="14" t="str">
        <x:v>5080</x:v>
      </x:c>
      <x:c r="N12" s="14" t="n">
        <x:v>2</x:v>
      </x:c>
      <x:c r="O12" s="14" t="n">
        <x:v>4740</x:v>
      </x:c>
      <x:c r="P12" s="14" t="n">
        <x:v>6</x:v>
      </x:c>
      <x:c r="Q12" s="14" t="n">
        <x:v>2</x:v>
      </x:c>
      <x:c r="R12" s="14" t="n">
        <x:v>2</x:v>
      </x:c>
      <x:c r="S12" s="14" t="str">
        <x:v>未收錄</x:v>
      </x:c>
      <x:c r="T12" s="14" t="str">
        <x:v>5083</x:v>
      </x:c>
      <x:c r="U12" s="14" t="n">
        <x:v>2</x:v>
      </x:c>
      <x:c r="V12" s="14" t="n">
        <x:v>4741</x:v>
      </x:c>
      <x:c r="W12" s="14" t="n">
        <x:v>7</x:v>
      </x:c>
      <x:c r="X12" s="14" t="n">
        <x:v>2</x:v>
      </x:c>
      <x:c r="Y12" s="14" t="n">
        <x:v>3</x:v>
      </x:c>
      <x:c r="Z12" s="14" t="str">
        <x:v>未收錄</x:v>
      </x:c>
      <x:c r="AA12" s="14" t="str">
        <x:v>5001</x:v>
      </x:c>
      <x:c r="AB12" s="14" t="n">
        <x:v>3</x:v>
      </x:c>
      <x:c r="AC12" s="14" t="n">
        <x:v>4742</x:v>
      </x:c>
      <x:c r="AD12" s="14" t="n">
        <x:v>8</x:v>
      </x:c>
      <x:c r="AE12" s="14" t="n">
        <x:v>2</x:v>
      </x:c>
      <x:c r="AF12" s="14" t="n">
        <x:v>4</x:v>
      </x:c>
      <x:c r="AG12" s="14" t="str">
        <x:v>未收錄</x:v>
      </x:c>
    </x:row>
    <x:row r="13" ht="15" customHeight="1">
      <x:c r="A13" s="17" t="str">
        <x:v>黑狂猴</x:v>
      </x:c>
      <x:c r="B13" s="17" t="str">
        <x:v>山豬</x:v>
      </x:c>
      <x:c r="C13" s="17" t="str">
        <x:v>巨蟾蜍</x:v>
      </x:c>
      <x:c r="D13" s="17" t="str">
        <x:v>巨蜘蛛</x:v>
      </x:c>
      <x:c r="E13" s="14"/>
      <x:c r="F13" s="14" t="str">
        <x:v>5012</x:v>
      </x:c>
      <x:c r="G13" s="14" t="n">
        <x:v>3</x:v>
      </x:c>
      <x:c r="H13" s="14" t="n">
        <x:v>4743</x:v>
      </x:c>
      <x:c r="I13" s="14" t="n">
        <x:v>9</x:v>
      </x:c>
      <x:c r="J13" s="14" t="n">
        <x:v>3</x:v>
      </x:c>
      <x:c r="K13" s="14" t="n">
        <x:v>1</x:v>
      </x:c>
      <x:c r="L13" s="14" t="str">
        <x:v>未收錄</x:v>
      </x:c>
      <x:c r="M13" s="14" t="str">
        <x:v>5010</x:v>
      </x:c>
      <x:c r="N13" s="14" t="n">
        <x:v>3</x:v>
      </x:c>
      <x:c r="O13" s="14" t="n">
        <x:v>4744</x:v>
      </x:c>
      <x:c r="P13" s="14" t="n">
        <x:v>10</x:v>
      </x:c>
      <x:c r="Q13" s="14" t="n">
        <x:v>3</x:v>
      </x:c>
      <x:c r="R13" s="14" t="n">
        <x:v>2</x:v>
      </x:c>
      <x:c r="S13" s="14" t="str">
        <x:v>未收錄</x:v>
      </x:c>
      <x:c r="T13" s="14" t="str">
        <x:v>5017</x:v>
      </x:c>
      <x:c r="U13" s="14" t="n">
        <x:v>3</x:v>
      </x:c>
      <x:c r="V13" s="14" t="n">
        <x:v>4745</x:v>
      </x:c>
      <x:c r="W13" s="14" t="n">
        <x:v>11</x:v>
      </x:c>
      <x:c r="X13" s="14" t="n">
        <x:v>3</x:v>
      </x:c>
      <x:c r="Y13" s="14" t="n">
        <x:v>3</x:v>
      </x:c>
      <x:c r="Z13" s="14" t="str">
        <x:v>未收錄</x:v>
      </x:c>
      <x:c r="AA13" s="14" t="str">
        <x:v>5021</x:v>
      </x:c>
      <x:c r="AB13" s="14" t="n">
        <x:v>3</x:v>
      </x:c>
      <x:c r="AC13" s="14" t="n">
        <x:v>4746</x:v>
      </x:c>
      <x:c r="AD13" s="14" t="n">
        <x:v>12</x:v>
      </x:c>
      <x:c r="AE13" s="14" t="n">
        <x:v>3</x:v>
      </x:c>
      <x:c r="AF13" s="14" t="n">
        <x:v>4</x:v>
      </x:c>
      <x:c r="AG13" s="14" t="str">
        <x:v>未收錄</x:v>
      </x:c>
    </x:row>
    <x:row r="14" ht="15" customHeight="1">
      <x:c r="A14" s="18" t="str">
        <x:v>巨灰鼠</x:v>
      </x:c>
      <x:c r="B14" s="18" t="str">
        <x:v>灰蝙蝠</x:v>
      </x:c>
      <x:c r="C14" s="18" t="str">
        <x:v>小蠍子</x:v>
      </x:c>
      <x:c r="D14" s="18" t="str">
        <x:v>藍尾蠍</x:v>
      </x:c>
      <x:c r="E14" s="14"/>
      <x:c r="F14" s="14" t="str">
        <x:v>5081</x:v>
      </x:c>
      <x:c r="G14" s="14" t="n">
        <x:v>3</x:v>
      </x:c>
      <x:c r="H14" s="14" t="n">
        <x:v>4747</x:v>
      </x:c>
      <x:c r="I14" s="14" t="n">
        <x:v>13</x:v>
      </x:c>
      <x:c r="J14" s="14" t="n">
        <x:v>4</x:v>
      </x:c>
      <x:c r="K14" s="14" t="n">
        <x:v>1</x:v>
      </x:c>
      <x:c r="L14" s="14" t="str">
        <x:v>未收錄</x:v>
      </x:c>
      <x:c r="M14" s="14" t="str">
        <x:v>5084</x:v>
      </x:c>
      <x:c r="N14" s="14" t="n">
        <x:v>3</x:v>
      </x:c>
      <x:c r="O14" s="14" t="n">
        <x:v>4748</x:v>
      </x:c>
      <x:c r="P14" s="14" t="n">
        <x:v>14</x:v>
      </x:c>
      <x:c r="Q14" s="14" t="n">
        <x:v>4</x:v>
      </x:c>
      <x:c r="R14" s="14" t="n">
        <x:v>2</x:v>
      </x:c>
      <x:c r="S14" s="14" t="str">
        <x:v>未收錄</x:v>
      </x:c>
      <x:c r="T14" s="14" t="str">
        <x:v>5106</x:v>
      </x:c>
      <x:c r="U14" s="14" t="n">
        <x:v>3</x:v>
      </x:c>
      <x:c r="V14" s="14" t="n">
        <x:v>4749</x:v>
      </x:c>
      <x:c r="W14" s="14" t="n">
        <x:v>15</x:v>
      </x:c>
      <x:c r="X14" s="14" t="n">
        <x:v>4</x:v>
      </x:c>
      <x:c r="Y14" s="14" t="n">
        <x:v>3</x:v>
      </x:c>
      <x:c r="Z14" s="14" t="str">
        <x:v>未收錄</x:v>
      </x:c>
      <x:c r="AA14" s="14" t="str">
        <x:v>5107</x:v>
      </x:c>
      <x:c r="AB14" s="14" t="n">
        <x:v>3</x:v>
      </x:c>
      <x:c r="AC14" s="14" t="n">
        <x:v>4750</x:v>
      </x:c>
      <x:c r="AD14" s="14" t="n">
        <x:v>16</x:v>
      </x:c>
      <x:c r="AE14" s="14" t="n">
        <x:v>4</x:v>
      </x:c>
      <x:c r="AF14" s="14" t="n">
        <x:v>4</x:v>
      </x:c>
      <x:c r="AG14" s="14" t="str">
        <x:v>未收錄</x:v>
      </x:c>
    </x:row>
    <x:row r="15" ht="15" customHeight="1">
      <x:c r="A15" s="17" t="str">
        <x:v>狂犬</x:v>
      </x:c>
      <x:c r="B15" s="17" t="str">
        <x:v>火蟾蜍</x:v>
      </x:c>
      <x:c r="C15" s="17" t="str">
        <x:v>冰蟾蜍</x:v>
      </x:c>
      <x:c r="D15" s="17" t="str">
        <x:v>食屍巨鼠</x:v>
      </x:c>
      <x:c r="E15" s="14"/>
      <x:c r="F15" s="14" t="str">
        <x:v>5002</x:v>
      </x:c>
      <x:c r="G15" s="14" t="n">
        <x:v>4</x:v>
      </x:c>
      <x:c r="H15" s="14" t="n">
        <x:v>4751</x:v>
      </x:c>
      <x:c r="I15" s="14" t="n">
        <x:v>1</x:v>
      </x:c>
      <x:c r="J15" s="14" t="n">
        <x:v>5</x:v>
      </x:c>
      <x:c r="K15" s="14" t="n">
        <x:v>1</x:v>
      </x:c>
      <x:c r="L15" s="14" t="str">
        <x:v>未收錄</x:v>
      </x:c>
      <x:c r="M15" s="14" t="str">
        <x:v>5018</x:v>
      </x:c>
      <x:c r="N15" s="14" t="n">
        <x:v>4</x:v>
      </x:c>
      <x:c r="O15" s="14" t="n">
        <x:v>4752</x:v>
      </x:c>
      <x:c r="P15" s="14" t="n">
        <x:v>2</x:v>
      </x:c>
      <x:c r="Q15" s="14" t="n">
        <x:v>5</x:v>
      </x:c>
      <x:c r="R15" s="14" t="n">
        <x:v>2</x:v>
      </x:c>
      <x:c r="S15" s="14" t="str">
        <x:v>未收錄</x:v>
      </x:c>
      <x:c r="T15" s="14" t="str">
        <x:v>5019</x:v>
      </x:c>
      <x:c r="U15" s="14" t="n">
        <x:v>4</x:v>
      </x:c>
      <x:c r="V15" s="14" t="n">
        <x:v>4753</x:v>
      </x:c>
      <x:c r="W15" s="14" t="n">
        <x:v>3</x:v>
      </x:c>
      <x:c r="X15" s="14" t="n">
        <x:v>5</x:v>
      </x:c>
      <x:c r="Y15" s="14" t="n">
        <x:v>3</x:v>
      </x:c>
      <x:c r="Z15" s="14" t="str">
        <x:v>未收錄</x:v>
      </x:c>
      <x:c r="AA15" s="14" t="str">
        <x:v>5082</x:v>
      </x:c>
      <x:c r="AB15" s="14" t="n">
        <x:v>4</x:v>
      </x:c>
      <x:c r="AC15" s="14" t="n">
        <x:v>4754</x:v>
      </x:c>
      <x:c r="AD15" s="14" t="n">
        <x:v>4</x:v>
      </x:c>
      <x:c r="AE15" s="14" t="n">
        <x:v>5</x:v>
      </x:c>
      <x:c r="AF15" s="14" t="n">
        <x:v>4</x:v>
      </x:c>
      <x:c r="AG15" s="14" t="str">
        <x:v>未收錄</x:v>
      </x:c>
    </x:row>
    <x:row r="16" ht="15" customHeight="1">
      <x:c r="A16" s="18" t="str">
        <x:v>巨蝙蝠</x:v>
      </x:c>
      <x:c r="B16" s="18" t="str">
        <x:v>變色蜥蜴</x:v>
      </x:c>
      <x:c r="C16" s="18" t="str">
        <x:v>搗蛋小狸貓</x:v>
      </x:c>
      <x:c r="D16" s="18" t="str">
        <x:v>緞帶兔</x:v>
      </x:c>
      <x:c r="E16" s="14"/>
      <x:c r="F16" s="14" t="str">
        <x:v>5085</x:v>
      </x:c>
      <x:c r="G16" s="14" t="n">
        <x:v>4</x:v>
      </x:c>
      <x:c r="H16" s="14" t="n">
        <x:v>4755</x:v>
      </x:c>
      <x:c r="I16" s="14" t="n">
        <x:v>5</x:v>
      </x:c>
      <x:c r="J16" s="14" t="n">
        <x:v>6</x:v>
      </x:c>
      <x:c r="K16" s="14" t="n">
        <x:v>1</x:v>
      </x:c>
      <x:c r="L16" s="14" t="str">
        <x:v>未收錄</x:v>
      </x:c>
      <x:c r="M16" s="14" t="str">
        <x:v>5095</x:v>
      </x:c>
      <x:c r="N16" s="14" t="n">
        <x:v>4</x:v>
      </x:c>
      <x:c r="O16" s="14" t="n">
        <x:v>4756</x:v>
      </x:c>
      <x:c r="P16" s="14" t="n">
        <x:v>6</x:v>
      </x:c>
      <x:c r="Q16" s="14" t="n">
        <x:v>6</x:v>
      </x:c>
      <x:c r="R16" s="14" t="n">
        <x:v>2</x:v>
      </x:c>
      <x:c r="S16" s="14" t="str">
        <x:v>未收錄</x:v>
      </x:c>
      <x:c r="T16" s="14" t="str">
        <x:v>5336</x:v>
      </x:c>
      <x:c r="U16" s="14" t="n">
        <x:v>4</x:v>
      </x:c>
      <x:c r="V16" s="14" t="n">
        <x:v>4757</x:v>
      </x:c>
      <x:c r="W16" s="14" t="n">
        <x:v>7</x:v>
      </x:c>
      <x:c r="X16" s="14" t="n">
        <x:v>6</x:v>
      </x:c>
      <x:c r="Y16" s="14" t="n">
        <x:v>3</x:v>
      </x:c>
      <x:c r="Z16" s="14" t="str">
        <x:v>未收錄</x:v>
      </x:c>
      <x:c r="AA16" s="14" t="str">
        <x:v>5337</x:v>
      </x:c>
      <x:c r="AB16" s="14" t="n">
        <x:v>6</x:v>
      </x:c>
      <x:c r="AC16" s="14" t="n">
        <x:v>4763</x:v>
      </x:c>
      <x:c r="AD16" s="14" t="n">
        <x:v>13</x:v>
      </x:c>
      <x:c r="AE16" s="14" t="n">
        <x:v>6</x:v>
      </x:c>
      <x:c r="AF16" s="14" t="n">
        <x:v>4</x:v>
      </x:c>
      <x:c r="AG16" s="14" t="str">
        <x:v>未收錄</x:v>
      </x:c>
    </x:row>
    <x:row r="17" ht="15" customHeight="1">
      <x:c r="A17" s="17" t="str">
        <x:v>白貂</x:v>
      </x:c>
      <x:c r="B17" s="17" t="str">
        <x:v>灰鷹</x:v>
      </x:c>
      <x:c r="C17" s="17" t="str">
        <x:v>兔精</x:v>
      </x:c>
      <x:c r="D17" s="17" t="str">
        <x:v>狸精</x:v>
      </x:c>
      <x:c r="E17" s="14"/>
      <x:c r="F17" s="14" t="str">
        <x:v>5710</x:v>
      </x:c>
      <x:c r="G17" s="14" t="n">
        <x:v>6</x:v>
      </x:c>
      <x:c r="H17" s="14" t="n">
        <x:v>4764</x:v>
      </x:c>
      <x:c r="I17" s="14" t="n">
        <x:v>14</x:v>
      </x:c>
      <x:c r="J17" s="14" t="n">
        <x:v>7</x:v>
      </x:c>
      <x:c r="K17" s="14" t="n">
        <x:v>1</x:v>
      </x:c>
      <x:c r="L17" s="14" t="str">
        <x:v>未收錄</x:v>
      </x:c>
      <x:c r="M17" s="14" t="str">
        <x:v>5711</x:v>
      </x:c>
      <x:c r="N17" s="14" t="n">
        <x:v>6</x:v>
      </x:c>
      <x:c r="O17" s="14" t="n">
        <x:v>4765</x:v>
      </x:c>
      <x:c r="P17" s="14" t="n">
        <x:v>15</x:v>
      </x:c>
      <x:c r="Q17" s="14" t="n">
        <x:v>7</x:v>
      </x:c>
      <x:c r="R17" s="14" t="n">
        <x:v>2</x:v>
      </x:c>
      <x:c r="S17" s="14" t="str">
        <x:v>未收錄</x:v>
      </x:c>
      <x:c r="T17" s="14" t="str">
        <x:v>5712</x:v>
      </x:c>
      <x:c r="U17" s="14" t="n">
        <x:v>6</x:v>
      </x:c>
      <x:c r="V17" s="14" t="n">
        <x:v>4766</x:v>
      </x:c>
      <x:c r="W17" s="14" t="n">
        <x:v>16</x:v>
      </x:c>
      <x:c r="X17" s="14" t="n">
        <x:v>7</x:v>
      </x:c>
      <x:c r="Y17" s="14" t="n">
        <x:v>3</x:v>
      </x:c>
      <x:c r="Z17" s="14" t="str">
        <x:v>未收錄</x:v>
      </x:c>
      <x:c r="AA17" s="14" t="str">
        <x:v>5713</x:v>
      </x:c>
      <x:c r="AB17" s="14" t="n">
        <x:v>6</x:v>
      </x:c>
      <x:c r="AC17" s="14" t="n">
        <x:v>4767</x:v>
      </x:c>
      <x:c r="AD17" s="14" t="n">
        <x:v>17</x:v>
      </x:c>
      <x:c r="AE17" s="14" t="n">
        <x:v>7</x:v>
      </x:c>
      <x:c r="AF17" s="14" t="n">
        <x:v>4</x:v>
      </x:c>
      <x:c r="AG17" s="14" t="str">
        <x:v>未收錄</x:v>
      </x:c>
    </x:row>
    <x:row r="18" ht="15" customHeight="1">
      <x:c r="A18" s="18" t="str">
        <x:v>蒼藍</x:v>
      </x:c>
      <x:c r="B18" s="18" t="str">
        <x:v>翡翠</x:v>
      </x:c>
      <x:c r="C18" s="18" t="str">
        <x:v>黃金</x:v>
      </x:c>
      <x:c r="D18" s="18" t="str">
        <x:v>白雪</x:v>
      </x:c>
      <x:c r="E18" s="14"/>
      <x:c r="F18" s="14" t="str">
        <x:v>9033</x:v>
      </x:c>
      <x:c r="G18" s="14" t="n">
        <x:v>6</x:v>
      </x:c>
      <x:c r="H18" s="14" t="n">
        <x:v>4768</x:v>
      </x:c>
      <x:c r="I18" s="14" t="n">
        <x:v>18</x:v>
      </x:c>
      <x:c r="J18" s="14" t="n">
        <x:v>8</x:v>
      </x:c>
      <x:c r="K18" s="14" t="n">
        <x:v>1</x:v>
      </x:c>
      <x:c r="L18" s="14" t="str">
        <x:v>未收錄</x:v>
      </x:c>
      <x:c r="M18" s="14" t="str">
        <x:v>9034</x:v>
      </x:c>
      <x:c r="N18" s="14" t="n">
        <x:v>6</x:v>
      </x:c>
      <x:c r="O18" s="14" t="n">
        <x:v>4769</x:v>
      </x:c>
      <x:c r="P18" s="14" t="n">
        <x:v>19</x:v>
      </x:c>
      <x:c r="Q18" s="14" t="n">
        <x:v>8</x:v>
      </x:c>
      <x:c r="R18" s="14" t="n">
        <x:v>2</x:v>
      </x:c>
      <x:c r="S18" s="14" t="str">
        <x:v>未收錄</x:v>
      </x:c>
      <x:c r="T18" s="14" t="str">
        <x:v>9035</x:v>
      </x:c>
      <x:c r="U18" s="14" t="n">
        <x:v>6</x:v>
      </x:c>
      <x:c r="V18" s="14" t="n">
        <x:v>4770</x:v>
      </x:c>
      <x:c r="W18" s="14" t="n">
        <x:v>20</x:v>
      </x:c>
      <x:c r="X18" s="14" t="n">
        <x:v>8</x:v>
      </x:c>
      <x:c r="Y18" s="14" t="n">
        <x:v>3</x:v>
      </x:c>
      <x:c r="Z18" s="14" t="str">
        <x:v>未收錄</x:v>
      </x:c>
      <x:c r="AA18" s="14" t="str">
        <x:v>9036</x:v>
      </x:c>
      <x:c r="AB18" s="14" t="n">
        <x:v>6</x:v>
      </x:c>
      <x:c r="AC18" s="14" t="n">
        <x:v>4771</x:v>
      </x:c>
      <x:c r="AD18" s="14" t="n">
        <x:v>21</x:v>
      </x:c>
      <x:c r="AE18" s="14" t="n">
        <x:v>8</x:v>
      </x:c>
      <x:c r="AF18" s="14" t="n">
        <x:v>4</x:v>
      </x:c>
      <x:c r="AG18" s="14" t="str">
        <x:v>未收錄</x:v>
      </x:c>
    </x:row>
    <x:row r="19">
      <x:c r="A19" s="14"/>
      <x:c r="B19" s="14"/>
      <x:c r="C19" s="14"/>
      <x:c r="D19" s="14"/>
      <x:c r="E19" s="14"/>
      <x:c r="F19" s="14"/>
      <x:c r="G19" s="14"/>
      <x:c r="H19" s="14"/>
      <x:c r="I19" s="14"/>
      <x:c r="J19" s="14"/>
      <x:c r="K19" s="14"/>
      <x:c r="L19" s="14"/>
      <x:c r="M19" s="14"/>
      <x:c r="N19" s="14"/>
      <x:c r="O19" s="14"/>
      <x:c r="P19" s="14"/>
      <x:c r="Q19" s="14"/>
      <x:c r="R19" s="14"/>
      <x:c r="S19" s="14"/>
      <x:c r="T19" s="14"/>
      <x:c r="U19" s="14"/>
      <x:c r="V19" s="14"/>
      <x:c r="W19" s="14"/>
      <x:c r="X19" s="14"/>
      <x:c r="Y19" s="14"/>
      <x:c r="Z19" s="14"/>
      <x:c r="AA19" s="14"/>
      <x:c r="AB19" s="14"/>
      <x:c r="AC19" s="14"/>
      <x:c r="AD19" s="14"/>
      <x:c r="AE19" s="14"/>
      <x:c r="AF19" s="14"/>
      <x:c r="AG19" s="14"/>
    </x:row>
    <x:row r="20" ht="25" customHeight="1">
      <x:c r="A20" s="16" t="str">
        <x:v>3星・三才　／　16 筆</x:v>
      </x:c>
      <x:c r="B20" s="16"/>
      <x:c r="C20" s="16"/>
      <x:c r="D20" s="16"/>
      <x:c r="E20" s="14"/>
      <x:c r="F20" s="14"/>
      <x:c r="G20" s="14"/>
      <x:c r="H20" s="14"/>
      <x:c r="I20" s="14"/>
      <x:c r="J20" s="14"/>
      <x:c r="K20" s="14"/>
      <x:c r="L20" s="14"/>
      <x:c r="M20" s="14"/>
      <x:c r="N20" s="14"/>
      <x:c r="O20" s="14"/>
      <x:c r="P20" s="14"/>
      <x:c r="Q20" s="14"/>
      <x:c r="R20" s="14"/>
      <x:c r="S20" s="14"/>
      <x:c r="T20" s="14"/>
      <x:c r="U20" s="14"/>
      <x:c r="V20" s="14"/>
      <x:c r="W20" s="14"/>
      <x:c r="X20" s="14"/>
      <x:c r="Y20" s="14"/>
      <x:c r="Z20" s="14"/>
      <x:c r="AA20" s="14"/>
      <x:c r="AB20" s="14"/>
      <x:c r="AC20" s="14"/>
      <x:c r="AD20" s="14"/>
      <x:c r="AE20" s="14"/>
      <x:c r="AF20" s="14"/>
      <x:c r="AG20" s="14"/>
    </x:row>
    <x:row r="21" ht="15" customHeight="1">
      <x:c r="A21" s="17" t="str">
        <x:v>屍犬</x:v>
      </x:c>
      <x:c r="B21" s="17" t="str">
        <x:v>毒蟾蜍</x:v>
      </x:c>
      <x:c r="C21" s="17" t="str">
        <x:v>赤蠍子</x:v>
      </x:c>
      <x:c r="D21" s="17" t="str">
        <x:v>野狼</x:v>
      </x:c>
      <x:c r="E21" s="14"/>
      <x:c r="F21" s="14" t="str">
        <x:v>5003</x:v>
      </x:c>
      <x:c r="G21" s="14" t="n">
        <x:v>5</x:v>
      </x:c>
      <x:c r="H21" s="14" t="n">
        <x:v>4758</x:v>
      </x:c>
      <x:c r="I21" s="14" t="n">
        <x:v>8</x:v>
      </x:c>
      <x:c r="J21" s="14" t="n">
        <x:v>1</x:v>
      </x:c>
      <x:c r="K21" s="14" t="n">
        <x:v>1</x:v>
      </x:c>
      <x:c r="L21" s="14" t="str">
        <x:v>未收錄</x:v>
      </x:c>
      <x:c r="M21" s="14" t="str">
        <x:v>5020</x:v>
      </x:c>
      <x:c r="N21" s="14" t="n">
        <x:v>5</x:v>
      </x:c>
      <x:c r="O21" s="14" t="n">
        <x:v>4759</x:v>
      </x:c>
      <x:c r="P21" s="14" t="n">
        <x:v>9</x:v>
      </x:c>
      <x:c r="Q21" s="14" t="n">
        <x:v>1</x:v>
      </x:c>
      <x:c r="R21" s="14" t="n">
        <x:v>2</x:v>
      </x:c>
      <x:c r="S21" s="14" t="str">
        <x:v>未收錄</x:v>
      </x:c>
      <x:c r="T21" s="14" t="str">
        <x:v>5108</x:v>
      </x:c>
      <x:c r="U21" s="14" t="n">
        <x:v>5</x:v>
      </x:c>
      <x:c r="V21" s="14" t="n">
        <x:v>4760</x:v>
      </x:c>
      <x:c r="W21" s="14" t="n">
        <x:v>10</x:v>
      </x:c>
      <x:c r="X21" s="14" t="n">
        <x:v>1</x:v>
      </x:c>
      <x:c r="Y21" s="14" t="n">
        <x:v>3</x:v>
      </x:c>
      <x:c r="Z21" s="14" t="str">
        <x:v>未收錄</x:v>
      </x:c>
      <x:c r="AA21" s="14" t="str">
        <x:v>5005</x:v>
      </x:c>
      <x:c r="AB21" s="14" t="n">
        <x:v>5</x:v>
      </x:c>
      <x:c r="AC21" s="14" t="n">
        <x:v>4761</x:v>
      </x:c>
      <x:c r="AD21" s="14" t="n">
        <x:v>11</x:v>
      </x:c>
      <x:c r="AE21" s="14" t="n">
        <x:v>1</x:v>
      </x:c>
      <x:c r="AF21" s="14" t="n">
        <x:v>4</x:v>
      </x:c>
      <x:c r="AG21" s="14" t="str">
        <x:v>未收錄</x:v>
      </x:c>
    </x:row>
    <x:row r="22" ht="15" customHeight="1">
      <x:c r="A22" s="18" t="str">
        <x:v>殭屍</x:v>
      </x:c>
      <x:c r="B22" s="18" t="str">
        <x:v>狂猿</x:v>
      </x:c>
      <x:c r="C22" s="18" t="str">
        <x:v>斑紋蜘蛛</x:v>
      </x:c>
      <x:c r="D22" s="18" t="str">
        <x:v>綠蜥蜴</x:v>
      </x:c>
      <x:c r="E22" s="14"/>
      <x:c r="F22" s="14" t="str">
        <x:v>5039</x:v>
      </x:c>
      <x:c r="G22" s="14" t="n">
        <x:v>5</x:v>
      </x:c>
      <x:c r="H22" s="14" t="n">
        <x:v>4762</x:v>
      </x:c>
      <x:c r="I22" s="14" t="n">
        <x:v>12</x:v>
      </x:c>
      <x:c r="J22" s="14" t="n">
        <x:v>2</x:v>
      </x:c>
      <x:c r="K22" s="14" t="n">
        <x:v>1</x:v>
      </x:c>
      <x:c r="L22" s="14" t="str">
        <x:v>未收錄</x:v>
      </x:c>
      <x:c r="M22" s="14" t="str">
        <x:v>5098</x:v>
      </x:c>
      <x:c r="N22" s="14" t="n">
        <x:v>6</x:v>
      </x:c>
      <x:c r="O22" s="14" t="n">
        <x:v>4772</x:v>
      </x:c>
      <x:c r="P22" s="14" t="n">
        <x:v>1</x:v>
      </x:c>
      <x:c r="Q22" s="14" t="n">
        <x:v>2</x:v>
      </x:c>
      <x:c r="R22" s="14" t="n">
        <x:v>2</x:v>
      </x:c>
      <x:c r="S22" s="14" t="str">
        <x:v>未收錄</x:v>
      </x:c>
      <x:c r="T22" s="14" t="str">
        <x:v>5022</x:v>
      </x:c>
      <x:c r="U22" s="14" t="n">
        <x:v>6</x:v>
      </x:c>
      <x:c r="V22" s="14" t="n">
        <x:v>4773</x:v>
      </x:c>
      <x:c r="W22" s="14" t="n">
        <x:v>2</x:v>
      </x:c>
      <x:c r="X22" s="14" t="n">
        <x:v>2</x:v>
      </x:c>
      <x:c r="Y22" s="14" t="n">
        <x:v>3</x:v>
      </x:c>
      <x:c r="Z22" s="14" t="str">
        <x:v>未收錄</x:v>
      </x:c>
      <x:c r="AA22" s="14" t="str">
        <x:v>5096</x:v>
      </x:c>
      <x:c r="AB22" s="14" t="n">
        <x:v>6</x:v>
      </x:c>
      <x:c r="AC22" s="14" t="n">
        <x:v>4774</x:v>
      </x:c>
      <x:c r="AD22" s="14" t="n">
        <x:v>3</x:v>
      </x:c>
      <x:c r="AE22" s="14" t="n">
        <x:v>2</x:v>
      </x:c>
      <x:c r="AF22" s="14" t="n">
        <x:v>4</x:v>
      </x:c>
      <x:c r="AG22" s="14" t="str">
        <x:v>未收錄</x:v>
      </x:c>
    </x:row>
    <x:row r="23" ht="15" customHeight="1">
      <x:c r="A23" s="17" t="str">
        <x:v>巨蜈蚣</x:v>
      </x:c>
      <x:c r="B23" s="17" t="str">
        <x:v>翠蛇</x:v>
      </x:c>
      <x:c r="C23" s="17" t="str">
        <x:v>遊魂</x:v>
      </x:c>
      <x:c r="D23" s="17" t="str">
        <x:v>桃花蜂</x:v>
      </x:c>
      <x:c r="E23" s="14"/>
      <x:c r="F23" s="14" t="str">
        <x:v>5182</x:v>
      </x:c>
      <x:c r="G23" s="14" t="n">
        <x:v>6</x:v>
      </x:c>
      <x:c r="H23" s="14" t="n">
        <x:v>4775</x:v>
      </x:c>
      <x:c r="I23" s="14" t="n">
        <x:v>4</x:v>
      </x:c>
      <x:c r="J23" s="14" t="n">
        <x:v>3</x:v>
      </x:c>
      <x:c r="K23" s="14" t="n">
        <x:v>1</x:v>
      </x:c>
      <x:c r="L23" s="14" t="str">
        <x:v>未收錄</x:v>
      </x:c>
      <x:c r="M23" s="14" t="str">
        <x:v>5185</x:v>
      </x:c>
      <x:c r="N23" s="14" t="n">
        <x:v>6</x:v>
      </x:c>
      <x:c r="O23" s="14" t="n">
        <x:v>4776</x:v>
      </x:c>
      <x:c r="P23" s="14" t="n">
        <x:v>5</x:v>
      </x:c>
      <x:c r="Q23" s="14" t="n">
        <x:v>3</x:v>
      </x:c>
      <x:c r="R23" s="14" t="n">
        <x:v>2</x:v>
      </x:c>
      <x:c r="S23" s="14" t="str">
        <x:v>未收錄</x:v>
      </x:c>
      <x:c r="T23" s="14" t="str">
        <x:v>5037</x:v>
      </x:c>
      <x:c r="U23" s="14" t="n">
        <x:v>6</x:v>
      </x:c>
      <x:c r="V23" s="14" t="n">
        <x:v>4777</x:v>
      </x:c>
      <x:c r="W23" s="14" t="n">
        <x:v>6</x:v>
      </x:c>
      <x:c r="X23" s="14" t="n">
        <x:v>3</x:v>
      </x:c>
      <x:c r="Y23" s="14" t="n">
        <x:v>3</x:v>
      </x:c>
      <x:c r="Z23" s="14" t="str">
        <x:v>未收錄</x:v>
      </x:c>
      <x:c r="AA23" s="14" t="str">
        <x:v>5293</x:v>
      </x:c>
      <x:c r="AB23" s="14" t="n">
        <x:v>6</x:v>
      </x:c>
      <x:c r="AC23" s="14" t="n">
        <x:v>4778</x:v>
      </x:c>
      <x:c r="AD23" s="14" t="n">
        <x:v>7</x:v>
      </x:c>
      <x:c r="AE23" s="14" t="n">
        <x:v>3</x:v>
      </x:c>
      <x:c r="AF23" s="14" t="n">
        <x:v>4</x:v>
      </x:c>
      <x:c r="AG23" s="14" t="str">
        <x:v>未收錄</x:v>
      </x:c>
    </x:row>
    <x:row r="24" ht="15" customHeight="1">
      <x:c r="A24" s="18" t="str">
        <x:v>飛毛兔</x:v>
      </x:c>
      <x:c r="B24" s="18" t="str">
        <x:v>千面狐</x:v>
      </x:c>
      <x:c r="C24" s="18" t="str">
        <x:v>沙漠響尾蛇</x:v>
      </x:c>
      <x:c r="D24" s="18" t="str">
        <x:v>沙漠斑蛛</x:v>
      </x:c>
      <x:c r="E24" s="14"/>
      <x:c r="F24" s="14" t="str">
        <x:v>5301</x:v>
      </x:c>
      <x:c r="G24" s="14" t="n">
        <x:v>6</x:v>
      </x:c>
      <x:c r="H24" s="14" t="n">
        <x:v>4779</x:v>
      </x:c>
      <x:c r="I24" s="14" t="n">
        <x:v>8</x:v>
      </x:c>
      <x:c r="J24" s="14" t="n">
        <x:v>4</x:v>
      </x:c>
      <x:c r="K24" s="14" t="n">
        <x:v>1</x:v>
      </x:c>
      <x:c r="L24" s="14" t="str">
        <x:v>未收錄</x:v>
      </x:c>
      <x:c r="M24" s="14" t="str">
        <x:v>5309</x:v>
      </x:c>
      <x:c r="N24" s="14" t="n">
        <x:v>6</x:v>
      </x:c>
      <x:c r="O24" s="14" t="n">
        <x:v>4780</x:v>
      </x:c>
      <x:c r="P24" s="14" t="n">
        <x:v>9</x:v>
      </x:c>
      <x:c r="Q24" s="14" t="n">
        <x:v>4</x:v>
      </x:c>
      <x:c r="R24" s="14" t="n">
        <x:v>2</x:v>
      </x:c>
      <x:c r="S24" s="14" t="str">
        <x:v>未收錄</x:v>
      </x:c>
      <x:c r="T24" s="14" t="str">
        <x:v>9015</x:v>
      </x:c>
      <x:c r="U24" s="14" t="n">
        <x:v>6</x:v>
      </x:c>
      <x:c r="V24" s="14" t="n">
        <x:v>4781</x:v>
      </x:c>
      <x:c r="W24" s="14" t="n">
        <x:v>10</x:v>
      </x:c>
      <x:c r="X24" s="14" t="n">
        <x:v>4</x:v>
      </x:c>
      <x:c r="Y24" s="14" t="n">
        <x:v>3</x:v>
      </x:c>
      <x:c r="Z24" s="14" t="str">
        <x:v>未收錄</x:v>
      </x:c>
      <x:c r="AA24" s="14" t="str">
        <x:v>9017</x:v>
      </x:c>
      <x:c r="AB24" s="14" t="n">
        <x:v>6</x:v>
      </x:c>
      <x:c r="AC24" s="14" t="n">
        <x:v>4782</x:v>
      </x:c>
      <x:c r="AD24" s="14" t="n">
        <x:v>11</x:v>
      </x:c>
      <x:c r="AE24" s="14" t="n">
        <x:v>4</x:v>
      </x:c>
      <x:c r="AF24" s="14" t="n">
        <x:v>4</x:v>
      </x:c>
      <x:c r="AG24" s="14" t="str">
        <x:v>未收錄</x:v>
      </x:c>
    </x:row>
    <x:row r="25">
      <x:c r="A25" s="14"/>
      <x:c r="B25" s="14"/>
      <x:c r="C25" s="14"/>
      <x:c r="D25" s="14"/>
      <x:c r="E25" s="14"/>
      <x:c r="F25" s="14"/>
      <x:c r="G25" s="14"/>
      <x:c r="H25" s="14"/>
      <x:c r="I25" s="14"/>
      <x:c r="J25" s="14"/>
      <x:c r="K25" s="14"/>
      <x:c r="L25" s="14"/>
      <x:c r="M25" s="14"/>
      <x:c r="N25" s="14"/>
      <x:c r="O25" s="14"/>
      <x:c r="P25" s="14"/>
      <x:c r="Q25" s="14"/>
      <x:c r="R25" s="14"/>
      <x:c r="S25" s="14"/>
      <x:c r="T25" s="14"/>
      <x:c r="U25" s="14"/>
      <x:c r="V25" s="14"/>
      <x:c r="W25" s="14"/>
      <x:c r="X25" s="14"/>
      <x:c r="Y25" s="14"/>
      <x:c r="Z25" s="14"/>
      <x:c r="AA25" s="14"/>
      <x:c r="AB25" s="14"/>
      <x:c r="AC25" s="14"/>
      <x:c r="AD25" s="14"/>
      <x:c r="AE25" s="14"/>
      <x:c r="AF25" s="14"/>
      <x:c r="AG25" s="14"/>
    </x:row>
    <x:row r="26" ht="25" customHeight="1">
      <x:c r="A26" s="16" t="str">
        <x:v>4星・四象　／　26 筆</x:v>
      </x:c>
      <x:c r="B26" s="16"/>
      <x:c r="C26" s="16"/>
      <x:c r="D26" s="16"/>
      <x:c r="E26" s="14"/>
      <x:c r="F26" s="14"/>
      <x:c r="G26" s="14"/>
      <x:c r="H26" s="14"/>
      <x:c r="I26" s="14"/>
      <x:c r="J26" s="14"/>
      <x:c r="K26" s="14"/>
      <x:c r="L26" s="14"/>
      <x:c r="M26" s="14"/>
      <x:c r="N26" s="14"/>
      <x:c r="O26" s="14"/>
      <x:c r="P26" s="14"/>
      <x:c r="Q26" s="14"/>
      <x:c r="R26" s="14"/>
      <x:c r="S26" s="14"/>
      <x:c r="T26" s="14"/>
      <x:c r="U26" s="14"/>
      <x:c r="V26" s="14"/>
      <x:c r="W26" s="14"/>
      <x:c r="X26" s="14"/>
      <x:c r="Y26" s="14"/>
      <x:c r="Z26" s="14"/>
      <x:c r="AA26" s="14"/>
      <x:c r="AB26" s="14"/>
      <x:c r="AC26" s="14"/>
      <x:c r="AD26" s="14"/>
      <x:c r="AE26" s="14"/>
      <x:c r="AF26" s="14"/>
      <x:c r="AG26" s="14"/>
    </x:row>
    <x:row r="27" ht="15" customHeight="1">
      <x:c r="A27" s="17" t="str">
        <x:v>狂猴王</x:v>
      </x:c>
      <x:c r="B27" s="17" t="str">
        <x:v>雪狼</x:v>
      </x:c>
      <x:c r="C27" s="17" t="str">
        <x:v>鱷魚</x:v>
      </x:c>
      <x:c r="D27" s="17" t="str">
        <x:v>血屍</x:v>
      </x:c>
      <x:c r="E27" s="14"/>
      <x:c r="F27" s="14" t="str">
        <x:v>5013</x:v>
      </x:c>
      <x:c r="G27" s="14" t="n">
        <x:v>7</x:v>
      </x:c>
      <x:c r="H27" s="14" t="n">
        <x:v>4783</x:v>
      </x:c>
      <x:c r="I27" s="14" t="n">
        <x:v>12</x:v>
      </x:c>
      <x:c r="J27" s="14" t="n">
        <x:v>1</x:v>
      </x:c>
      <x:c r="K27" s="14" t="n">
        <x:v>1</x:v>
      </x:c>
      <x:c r="L27" s="14" t="str">
        <x:v>未收錄</x:v>
      </x:c>
      <x:c r="M27" s="14" t="str">
        <x:v>5006</x:v>
      </x:c>
      <x:c r="N27" s="14" t="n">
        <x:v>7</x:v>
      </x:c>
      <x:c r="O27" s="14" t="n">
        <x:v>4784</x:v>
      </x:c>
      <x:c r="P27" s="14" t="n">
        <x:v>13</x:v>
      </x:c>
      <x:c r="Q27" s="14" t="n">
        <x:v>1</x:v>
      </x:c>
      <x:c r="R27" s="14" t="n">
        <x:v>2</x:v>
      </x:c>
      <x:c r="S27" s="14" t="str">
        <x:v>未收錄</x:v>
      </x:c>
      <x:c r="T27" s="14" t="str">
        <x:v>5188</x:v>
      </x:c>
      <x:c r="U27" s="14" t="n">
        <x:v>7</x:v>
      </x:c>
      <x:c r="V27" s="14" t="n">
        <x:v>4785</x:v>
      </x:c>
      <x:c r="W27" s="14" t="n">
        <x:v>14</x:v>
      </x:c>
      <x:c r="X27" s="14" t="n">
        <x:v>1</x:v>
      </x:c>
      <x:c r="Y27" s="14" t="n">
        <x:v>3</x:v>
      </x:c>
      <x:c r="Z27" s="14" t="str">
        <x:v>未收錄</x:v>
      </x:c>
      <x:c r="AA27" s="14" t="str">
        <x:v>5040</x:v>
      </x:c>
      <x:c r="AB27" s="14" t="n">
        <x:v>7</x:v>
      </x:c>
      <x:c r="AC27" s="14" t="n">
        <x:v>4786</x:v>
      </x:c>
      <x:c r="AD27" s="14" t="n">
        <x:v>15</x:v>
      </x:c>
      <x:c r="AE27" s="14" t="n">
        <x:v>1</x:v>
      </x:c>
      <x:c r="AF27" s="14" t="n">
        <x:v>4</x:v>
      </x:c>
      <x:c r="AG27" s="14" t="str">
        <x:v>未收錄</x:v>
      </x:c>
    </x:row>
    <x:row r="28" ht="15" customHeight="1">
      <x:c r="A28" s="18" t="str">
        <x:v>毒殭屍</x:v>
      </x:c>
      <x:c r="B28" s="18" t="str">
        <x:v>小妖狸</x:v>
      </x:c>
      <x:c r="C28" s="18" t="str">
        <x:v>山羊</x:v>
      </x:c>
      <x:c r="D28" s="18" t="str">
        <x:v>野馬</x:v>
      </x:c>
      <x:c r="E28" s="14"/>
      <x:c r="F28" s="14" t="str">
        <x:v>5041</x:v>
      </x:c>
      <x:c r="G28" s="14" t="n">
        <x:v>7</x:v>
      </x:c>
      <x:c r="H28" s="14" t="n">
        <x:v>4787</x:v>
      </x:c>
      <x:c r="I28" s="14" t="n">
        <x:v>16</x:v>
      </x:c>
      <x:c r="J28" s="14" t="n">
        <x:v>2</x:v>
      </x:c>
      <x:c r="K28" s="14" t="n">
        <x:v>1</x:v>
      </x:c>
      <x:c r="L28" s="14" t="str">
        <x:v>未收錄</x:v>
      </x:c>
      <x:c r="M28" s="14" t="str">
        <x:v>5312</x:v>
      </x:c>
      <x:c r="N28" s="14" t="n">
        <x:v>7</x:v>
      </x:c>
      <x:c r="O28" s="14" t="n">
        <x:v>4788</x:v>
      </x:c>
      <x:c r="P28" s="14" t="n">
        <x:v>17</x:v>
      </x:c>
      <x:c r="Q28" s="14" t="n">
        <x:v>2</x:v>
      </x:c>
      <x:c r="R28" s="14" t="n">
        <x:v>2</x:v>
      </x:c>
      <x:c r="S28" s="14" t="str">
        <x:v>未收錄</x:v>
      </x:c>
      <x:c r="T28" s="14" t="str">
        <x:v>5680</x:v>
      </x:c>
      <x:c r="U28" s="14" t="n">
        <x:v>7</x:v>
      </x:c>
      <x:c r="V28" s="14" t="n">
        <x:v>4789</x:v>
      </x:c>
      <x:c r="W28" s="14" t="n">
        <x:v>18</x:v>
      </x:c>
      <x:c r="X28" s="14" t="n">
        <x:v>2</x:v>
      </x:c>
      <x:c r="Y28" s="14" t="n">
        <x:v>3</x:v>
      </x:c>
      <x:c r="Z28" s="14" t="str">
        <x:v>未收錄</x:v>
      </x:c>
      <x:c r="AA28" s="14" t="str">
        <x:v>5681</x:v>
      </x:c>
      <x:c r="AB28" s="14" t="n">
        <x:v>7</x:v>
      </x:c>
      <x:c r="AC28" s="14" t="n">
        <x:v>4790</x:v>
      </x:c>
      <x:c r="AD28" s="14" t="n">
        <x:v>19</x:v>
      </x:c>
      <x:c r="AE28" s="14" t="n">
        <x:v>2</x:v>
      </x:c>
      <x:c r="AF28" s="14" t="n">
        <x:v>4</x:v>
      </x:c>
      <x:c r="AG28" s="14" t="str">
        <x:v>未收錄</x:v>
      </x:c>
    </x:row>
    <x:row r="29" ht="15" customHeight="1">
      <x:c r="A29" s="17" t="str">
        <x:v>幽冥犬</x:v>
      </x:c>
      <x:c r="B29" s="17" t="str">
        <x:v>白毛巨猿</x:v>
      </x:c>
      <x:c r="C29" s="17" t="str">
        <x:v>紅毛巨猿</x:v>
      </x:c>
      <x:c r="D29" s="17" t="str">
        <x:v>大山豬</x:v>
      </x:c>
      <x:c r="E29" s="14"/>
      <x:c r="F29" s="14" t="str">
        <x:v>5004</x:v>
      </x:c>
      <x:c r="G29" s="14" t="n">
        <x:v>8</x:v>
      </x:c>
      <x:c r="H29" s="14" t="n">
        <x:v>4791</x:v>
      </x:c>
      <x:c r="I29" s="14" t="n">
        <x:v>1</x:v>
      </x:c>
      <x:c r="J29" s="14" t="n">
        <x:v>3</x:v>
      </x:c>
      <x:c r="K29" s="14" t="n">
        <x:v>1</x:v>
      </x:c>
      <x:c r="L29" s="14" t="str">
        <x:v>未收錄</x:v>
      </x:c>
      <x:c r="M29" s="14" t="str">
        <x:v>5014</x:v>
      </x:c>
      <x:c r="N29" s="14" t="n">
        <x:v>8</x:v>
      </x:c>
      <x:c r="O29" s="14" t="n">
        <x:v>4792</x:v>
      </x:c>
      <x:c r="P29" s="14" t="n">
        <x:v>2</x:v>
      </x:c>
      <x:c r="Q29" s="14" t="n">
        <x:v>3</x:v>
      </x:c>
      <x:c r="R29" s="14" t="n">
        <x:v>2</x:v>
      </x:c>
      <x:c r="S29" s="14" t="str">
        <x:v>未收錄</x:v>
      </x:c>
      <x:c r="T29" s="14" t="str">
        <x:v>5015</x:v>
      </x:c>
      <x:c r="U29" s="14" t="n">
        <x:v>8</x:v>
      </x:c>
      <x:c r="V29" s="14" t="n">
        <x:v>4793</x:v>
      </x:c>
      <x:c r="W29" s="14" t="n">
        <x:v>3</x:v>
      </x:c>
      <x:c r="X29" s="14" t="n">
        <x:v>3</x:v>
      </x:c>
      <x:c r="Y29" s="14" t="n">
        <x:v>3</x:v>
      </x:c>
      <x:c r="Z29" s="14" t="str">
        <x:v>未收錄</x:v>
      </x:c>
      <x:c r="AA29" s="14" t="str">
        <x:v>5011</x:v>
      </x:c>
      <x:c r="AB29" s="14" t="n">
        <x:v>8</x:v>
      </x:c>
      <x:c r="AC29" s="14" t="n">
        <x:v>4794</x:v>
      </x:c>
      <x:c r="AD29" s="14" t="n">
        <x:v>4</x:v>
      </x:c>
      <x:c r="AE29" s="14" t="n">
        <x:v>3</x:v>
      </x:c>
      <x:c r="AF29" s="14" t="n">
        <x:v>4</x:v>
      </x:c>
      <x:c r="AG29" s="14" t="str">
        <x:v>未收錄</x:v>
      </x:c>
    </x:row>
    <x:row r="30" ht="15" customHeight="1">
      <x:c r="A30" s="18" t="str">
        <x:v>蟾蜍精</x:v>
      </x:c>
      <x:c r="B30" s="18" t="str">
        <x:v>鬼面蜘蛛</x:v>
      </x:c>
      <x:c r="C30" s="18" t="str">
        <x:v>巨蠍子</x:v>
      </x:c>
      <x:c r="D30" s="18" t="str">
        <x:v>劍齒狼</x:v>
      </x:c>
      <x:c r="E30" s="14"/>
      <x:c r="F30" s="14" t="str">
        <x:v>5223</x:v>
      </x:c>
      <x:c r="G30" s="14" t="n">
        <x:v>8</x:v>
      </x:c>
      <x:c r="H30" s="14" t="n">
        <x:v>4795</x:v>
      </x:c>
      <x:c r="I30" s="14" t="n">
        <x:v>5</x:v>
      </x:c>
      <x:c r="J30" s="14" t="n">
        <x:v>4</x:v>
      </x:c>
      <x:c r="K30" s="14" t="n">
        <x:v>1</x:v>
      </x:c>
      <x:c r="L30" s="14" t="str">
        <x:v>未收錄</x:v>
      </x:c>
      <x:c r="M30" s="14" t="str">
        <x:v>5023</x:v>
      </x:c>
      <x:c r="N30" s="14" t="n">
        <x:v>8</x:v>
      </x:c>
      <x:c r="O30" s="14" t="n">
        <x:v>4796</x:v>
      </x:c>
      <x:c r="P30" s="14" t="n">
        <x:v>6</x:v>
      </x:c>
      <x:c r="Q30" s="14" t="n">
        <x:v>4</x:v>
      </x:c>
      <x:c r="R30" s="14" t="n">
        <x:v>2</x:v>
      </x:c>
      <x:c r="S30" s="14" t="str">
        <x:v>未收錄</x:v>
      </x:c>
      <x:c r="T30" s="14" t="str">
        <x:v>5109</x:v>
      </x:c>
      <x:c r="U30" s="14" t="n">
        <x:v>8</x:v>
      </x:c>
      <x:c r="V30" s="14" t="n">
        <x:v>4797</x:v>
      </x:c>
      <x:c r="W30" s="14" t="n">
        <x:v>7</x:v>
      </x:c>
      <x:c r="X30" s="14" t="n">
        <x:v>4</x:v>
      </x:c>
      <x:c r="Y30" s="14" t="n">
        <x:v>3</x:v>
      </x:c>
      <x:c r="Z30" s="14" t="str">
        <x:v>未收錄</x:v>
      </x:c>
      <x:c r="AA30" s="14" t="str">
        <x:v>5007</x:v>
      </x:c>
      <x:c r="AB30" s="14" t="n">
        <x:v>8</x:v>
      </x:c>
      <x:c r="AC30" s="14" t="n">
        <x:v>4798</x:v>
      </x:c>
      <x:c r="AD30" s="14" t="n">
        <x:v>8</x:v>
      </x:c>
      <x:c r="AE30" s="14" t="n">
        <x:v>4</x:v>
      </x:c>
      <x:c r="AF30" s="14" t="n">
        <x:v>4</x:v>
      </x:c>
      <x:c r="AG30" s="14" t="str">
        <x:v>未收錄</x:v>
      </x:c>
    </x:row>
    <x:row r="31" ht="15" customHeight="1">
      <x:c r="A31" s="17" t="str">
        <x:v>赤蜥蜴</x:v>
      </x:c>
      <x:c r="B31" s="17" t="str">
        <x:v>石怪</x:v>
      </x:c>
      <x:c r="C31" s="17" t="str">
        <x:v>水鬼</x:v>
      </x:c>
      <x:c r="D31" s="17" t="str">
        <x:v>火妖</x:v>
      </x:c>
      <x:c r="E31" s="14"/>
      <x:c r="F31" s="14" t="str">
        <x:v>5097</x:v>
      </x:c>
      <x:c r="G31" s="14" t="n">
        <x:v>8</x:v>
      </x:c>
      <x:c r="H31" s="14" t="n">
        <x:v>4799</x:v>
      </x:c>
      <x:c r="I31" s="14" t="n">
        <x:v>9</x:v>
      </x:c>
      <x:c r="J31" s="14" t="n">
        <x:v>5</x:v>
      </x:c>
      <x:c r="K31" s="14" t="n">
        <x:v>1</x:v>
      </x:c>
      <x:c r="L31" s="14" t="str">
        <x:v>未收錄</x:v>
      </x:c>
      <x:c r="M31" s="14" t="str">
        <x:v>5025</x:v>
      </x:c>
      <x:c r="N31" s="14" t="n">
        <x:v>8</x:v>
      </x:c>
      <x:c r="O31" s="14" t="n">
        <x:v>4800</x:v>
      </x:c>
      <x:c r="P31" s="14" t="n">
        <x:v>10</x:v>
      </x:c>
      <x:c r="Q31" s="14" t="n">
        <x:v>5</x:v>
      </x:c>
      <x:c r="R31" s="14" t="n">
        <x:v>2</x:v>
      </x:c>
      <x:c r="S31" s="14" t="str">
        <x:v>未收錄</x:v>
      </x:c>
      <x:c r="T31" s="14" t="str">
        <x:v>5027</x:v>
      </x:c>
      <x:c r="U31" s="14" t="n">
        <x:v>8</x:v>
      </x:c>
      <x:c r="V31" s="14" t="n">
        <x:v>4801</x:v>
      </x:c>
      <x:c r="W31" s="14" t="n">
        <x:v>11</x:v>
      </x:c>
      <x:c r="X31" s="14" t="n">
        <x:v>5</x:v>
      </x:c>
      <x:c r="Y31" s="14" t="n">
        <x:v>3</x:v>
      </x:c>
      <x:c r="Z31" s="14" t="str">
        <x:v>未收錄</x:v>
      </x:c>
      <x:c r="AA31" s="14" t="str">
        <x:v>5028</x:v>
      </x:c>
      <x:c r="AB31" s="14" t="n">
        <x:v>8</x:v>
      </x:c>
      <x:c r="AC31" s="14" t="n">
        <x:v>4802</x:v>
      </x:c>
      <x:c r="AD31" s="14" t="n">
        <x:v>12</x:v>
      </x:c>
      <x:c r="AE31" s="14" t="n">
        <x:v>5</x:v>
      </x:c>
      <x:c r="AF31" s="14" t="n">
        <x:v>4</x:v>
      </x:c>
      <x:c r="AG31" s="14" t="str">
        <x:v>未收錄</x:v>
      </x:c>
    </x:row>
    <x:row r="32" ht="15" customHeight="1">
      <x:c r="A32" s="18" t="str">
        <x:v>骷髏士兵</x:v>
      </x:c>
      <x:c r="B32" s="18" t="str">
        <x:v>骷髏弓手</x:v>
      </x:c>
      <x:c r="C32" s="18" t="str">
        <x:v>玄龜</x:v>
      </x:c>
      <x:c r="D32" s="18" t="str">
        <x:v>黃牛</x:v>
      </x:c>
      <x:c r="E32" s="14"/>
      <x:c r="F32" s="14" t="str">
        <x:v>5030</x:v>
      </x:c>
      <x:c r="G32" s="14" t="n">
        <x:v>8</x:v>
      </x:c>
      <x:c r="H32" s="14" t="n">
        <x:v>4803</x:v>
      </x:c>
      <x:c r="I32" s="14" t="n">
        <x:v>13</x:v>
      </x:c>
      <x:c r="J32" s="14" t="n">
        <x:v>6</x:v>
      </x:c>
      <x:c r="K32" s="14" t="n">
        <x:v>1</x:v>
      </x:c>
      <x:c r="L32" s="14" t="str">
        <x:v>未收錄</x:v>
      </x:c>
      <x:c r="M32" s="14" t="str">
        <x:v>5031</x:v>
      </x:c>
      <x:c r="N32" s="14" t="n">
        <x:v>8</x:v>
      </x:c>
      <x:c r="O32" s="14" t="n">
        <x:v>4804</x:v>
      </x:c>
      <x:c r="P32" s="14" t="n">
        <x:v>14</x:v>
      </x:c>
      <x:c r="Q32" s="14" t="n">
        <x:v>6</x:v>
      </x:c>
      <x:c r="R32" s="14" t="n">
        <x:v>2</x:v>
      </x:c>
      <x:c r="S32" s="14" t="str">
        <x:v>未收錄</x:v>
      </x:c>
      <x:c r="T32" s="14" t="str">
        <x:v>5290</x:v>
      </x:c>
      <x:c r="U32" s="14" t="n">
        <x:v>8</x:v>
      </x:c>
      <x:c r="V32" s="14" t="n">
        <x:v>4805</x:v>
      </x:c>
      <x:c r="W32" s="14" t="n">
        <x:v>15</x:v>
      </x:c>
      <x:c r="X32" s="14" t="n">
        <x:v>6</x:v>
      </x:c>
      <x:c r="Y32" s="14" t="n">
        <x:v>3</x:v>
      </x:c>
      <x:c r="Z32" s="14" t="str">
        <x:v>未收錄</x:v>
      </x:c>
      <x:c r="AA32" s="14" t="str">
        <x:v>5682</x:v>
      </x:c>
      <x:c r="AB32" s="14" t="n">
        <x:v>8</x:v>
      </x:c>
      <x:c r="AC32" s="14" t="n">
        <x:v>4806</x:v>
      </x:c>
      <x:c r="AD32" s="14" t="n">
        <x:v>16</x:v>
      </x:c>
      <x:c r="AE32" s="14" t="n">
        <x:v>6</x:v>
      </x:c>
      <x:c r="AF32" s="14" t="n">
        <x:v>4</x:v>
      </x:c>
      <x:c r="AG32" s="14" t="str">
        <x:v>未收錄</x:v>
      </x:c>
    </x:row>
    <x:row r="33" ht="15" customHeight="1">
      <x:c r="A33" s="17" t="str">
        <x:v>洞穴蜥蜴</x:v>
      </x:c>
      <x:c r="B33" s="17" t="str">
        <x:v>沙漠蠱毒蜘蛛</x:v>
      </x:c>
      <x:c r="C33" s="17"/>
      <x:c r="D33" s="17"/>
      <x:c r="E33" s="14"/>
      <x:c r="F33" s="14" t="str">
        <x:v>5879</x:v>
      </x:c>
      <x:c r="G33" s="14" t="n">
        <x:v>8</x:v>
      </x:c>
      <x:c r="H33" s="14" t="n">
        <x:v>4807</x:v>
      </x:c>
      <x:c r="I33" s="14" t="n">
        <x:v>17</x:v>
      </x:c>
      <x:c r="J33" s="14" t="n">
        <x:v>7</x:v>
      </x:c>
      <x:c r="K33" s="14" t="n">
        <x:v>1</x:v>
      </x:c>
      <x:c r="L33" s="14" t="str">
        <x:v>未收錄</x:v>
      </x:c>
      <x:c r="M33" s="14" t="str">
        <x:v>9018</x:v>
      </x:c>
      <x:c r="N33" s="14" t="n">
        <x:v>8</x:v>
      </x:c>
      <x:c r="O33" s="14" t="n">
        <x:v>4808</x:v>
      </x:c>
      <x:c r="P33" s="14" t="n">
        <x:v>18</x:v>
      </x:c>
      <x:c r="Q33" s="14" t="n">
        <x:v>7</x:v>
      </x:c>
      <x:c r="R33" s="14" t="n">
        <x:v>2</x:v>
      </x:c>
      <x:c r="S33" s="14" t="str">
        <x:v>未收錄</x:v>
      </x:c>
      <x:c r="T33" s="14"/>
      <x:c r="U33" s="14"/>
      <x:c r="V33" s="14"/>
      <x:c r="W33" s="14"/>
      <x:c r="X33" s="14"/>
      <x:c r="Y33" s="14"/>
      <x:c r="Z33" s="14"/>
      <x:c r="AA33" s="14"/>
      <x:c r="AB33" s="14"/>
      <x:c r="AC33" s="14"/>
      <x:c r="AD33" s="14"/>
      <x:c r="AE33" s="14"/>
      <x:c r="AF33" s="14"/>
      <x:c r="AG33" s="14"/>
    </x:row>
    <x:row r="34">
      <x:c r="A34" s="14"/>
      <x:c r="B34" s="14"/>
      <x:c r="C34" s="14"/>
      <x:c r="D34" s="14"/>
      <x:c r="E34" s="14"/>
      <x:c r="F34" s="14"/>
      <x:c r="G34" s="14"/>
      <x:c r="H34" s="14"/>
      <x:c r="I34" s="14"/>
      <x:c r="J34" s="14"/>
      <x:c r="K34" s="14"/>
      <x:c r="L34" s="14"/>
      <x:c r="M34" s="14"/>
      <x:c r="N34" s="14"/>
      <x:c r="O34" s="14"/>
      <x:c r="P34" s="14"/>
      <x:c r="Q34" s="14"/>
      <x:c r="R34" s="14"/>
      <x:c r="S34" s="14"/>
      <x:c r="T34" s="14"/>
      <x:c r="U34" s="14"/>
      <x:c r="V34" s="14"/>
      <x:c r="W34" s="14"/>
      <x:c r="X34" s="14"/>
      <x:c r="Y34" s="14"/>
      <x:c r="Z34" s="14"/>
      <x:c r="AA34" s="14"/>
      <x:c r="AB34" s="14"/>
      <x:c r="AC34" s="14"/>
      <x:c r="AD34" s="14"/>
      <x:c r="AE34" s="14"/>
      <x:c r="AF34" s="14"/>
      <x:c r="AG34" s="14"/>
    </x:row>
    <x:row r="35" ht="25" customHeight="1">
      <x:c r="A35" s="16" t="str">
        <x:v>5星・五行　／　32 筆</x:v>
      </x:c>
      <x:c r="B35" s="16"/>
      <x:c r="C35" s="16"/>
      <x:c r="D35" s="16"/>
      <x:c r="E35" s="14"/>
      <x:c r="F35" s="14"/>
      <x:c r="G35" s="14"/>
      <x:c r="H35" s="14"/>
      <x:c r="I35" s="14"/>
      <x:c r="J35" s="14"/>
      <x:c r="K35" s="14"/>
      <x:c r="L35" s="14"/>
      <x:c r="M35" s="14"/>
      <x:c r="N35" s="14"/>
      <x:c r="O35" s="14"/>
      <x:c r="P35" s="14"/>
      <x:c r="Q35" s="14"/>
      <x:c r="R35" s="14"/>
      <x:c r="S35" s="14"/>
      <x:c r="T35" s="14"/>
      <x:c r="U35" s="14"/>
      <x:c r="V35" s="14"/>
      <x:c r="W35" s="14"/>
      <x:c r="X35" s="14"/>
      <x:c r="Y35" s="14"/>
      <x:c r="Z35" s="14"/>
      <x:c r="AA35" s="14"/>
      <x:c r="AB35" s="14"/>
      <x:c r="AC35" s="14"/>
      <x:c r="AD35" s="14"/>
      <x:c r="AE35" s="14"/>
      <x:c r="AF35" s="14"/>
      <x:c r="AG35" s="14"/>
    </x:row>
    <x:row r="36" ht="15" customHeight="1">
      <x:c r="A36" s="17" t="str">
        <x:v>巨狂猿</x:v>
      </x:c>
      <x:c r="B36" s="17" t="str">
        <x:v>箭蜈蚣</x:v>
      </x:c>
      <x:c r="C36" s="17" t="str">
        <x:v>灰巨蟒</x:v>
      </x:c>
      <x:c r="D36" s="17" t="str">
        <x:v>巨螯蝦兵</x:v>
      </x:c>
      <x:c r="E36" s="14"/>
      <x:c r="F36" s="14" t="str">
        <x:v>5099</x:v>
      </x:c>
      <x:c r="G36" s="14" t="n">
        <x:v>9</x:v>
      </x:c>
      <x:c r="H36" s="14" t="n">
        <x:v>4809</x:v>
      </x:c>
      <x:c r="I36" s="14" t="n">
        <x:v>19</x:v>
      </x:c>
      <x:c r="J36" s="14" t="n">
        <x:v>1</x:v>
      </x:c>
      <x:c r="K36" s="14" t="n">
        <x:v>1</x:v>
      </x:c>
      <x:c r="L36" s="14" t="str">
        <x:v>未收錄</x:v>
      </x:c>
      <x:c r="M36" s="14" t="str">
        <x:v>5183</x:v>
      </x:c>
      <x:c r="N36" s="14" t="n">
        <x:v>9</x:v>
      </x:c>
      <x:c r="O36" s="14" t="n">
        <x:v>4810</x:v>
      </x:c>
      <x:c r="P36" s="14" t="n">
        <x:v>20</x:v>
      </x:c>
      <x:c r="Q36" s="14" t="n">
        <x:v>1</x:v>
      </x:c>
      <x:c r="R36" s="14" t="n">
        <x:v>2</x:v>
      </x:c>
      <x:c r="S36" s="14" t="str">
        <x:v>未收錄</x:v>
      </x:c>
      <x:c r="T36" s="14" t="str">
        <x:v>5186</x:v>
      </x:c>
      <x:c r="U36" s="14" t="n">
        <x:v>9</x:v>
      </x:c>
      <x:c r="V36" s="14" t="n">
        <x:v>4811</x:v>
      </x:c>
      <x:c r="W36" s="14" t="n">
        <x:v>21</x:v>
      </x:c>
      <x:c r="X36" s="14" t="n">
        <x:v>1</x:v>
      </x:c>
      <x:c r="Y36" s="14" t="n">
        <x:v>3</x:v>
      </x:c>
      <x:c r="Z36" s="14" t="str">
        <x:v>未收錄</x:v>
      </x:c>
      <x:c r="AA36" s="14" t="str">
        <x:v>5288</x:v>
      </x:c>
      <x:c r="AB36" s="14" t="n">
        <x:v>9</x:v>
      </x:c>
      <x:c r="AC36" s="14" t="n">
        <x:v>4812</x:v>
      </x:c>
      <x:c r="AD36" s="14" t="n">
        <x:v>22</x:v>
      </x:c>
      <x:c r="AE36" s="14" t="n">
        <x:v>1</x:v>
      </x:c>
      <x:c r="AF36" s="14" t="n">
        <x:v>4</x:v>
      </x:c>
      <x:c r="AG36" s="14" t="str">
        <x:v>未收錄</x:v>
      </x:c>
    </x:row>
    <x:row r="37" ht="15" customHeight="1">
      <x:c r="A37" s="18" t="str">
        <x:v>桃花兵蜂</x:v>
      </x:c>
      <x:c r="B37" s="18" t="str">
        <x:v>大力熊</x:v>
      </x:c>
      <x:c r="C37" s="18" t="str">
        <x:v>百草狐郎中</x:v>
      </x:c>
      <x:c r="D37" s="18" t="str">
        <x:v>禿鷹</x:v>
      </x:c>
      <x:c r="E37" s="14"/>
      <x:c r="F37" s="14" t="str">
        <x:v>5292</x:v>
      </x:c>
      <x:c r="G37" s="14" t="n">
        <x:v>9</x:v>
      </x:c>
      <x:c r="H37" s="14" t="n">
        <x:v>4813</x:v>
      </x:c>
      <x:c r="I37" s="14" t="n">
        <x:v>23</x:v>
      </x:c>
      <x:c r="J37" s="14" t="n">
        <x:v>2</x:v>
      </x:c>
      <x:c r="K37" s="14" t="n">
        <x:v>1</x:v>
      </x:c>
      <x:c r="L37" s="14" t="str">
        <x:v>未收錄</x:v>
      </x:c>
      <x:c r="M37" s="14" t="str">
        <x:v>5304</x:v>
      </x:c>
      <x:c r="N37" s="14" t="n">
        <x:v>9</x:v>
      </x:c>
      <x:c r="O37" s="14" t="n">
        <x:v>4814</x:v>
      </x:c>
      <x:c r="P37" s="14" t="n">
        <x:v>24</x:v>
      </x:c>
      <x:c r="Q37" s="14" t="n">
        <x:v>2</x:v>
      </x:c>
      <x:c r="R37" s="14" t="n">
        <x:v>2</x:v>
      </x:c>
      <x:c r="S37" s="14" t="str">
        <x:v>未收錄</x:v>
      </x:c>
      <x:c r="T37" s="14" t="str">
        <x:v>5310</x:v>
      </x:c>
      <x:c r="U37" s="14" t="n">
        <x:v>9</x:v>
      </x:c>
      <x:c r="V37" s="14" t="n">
        <x:v>4815</x:v>
      </x:c>
      <x:c r="W37" s="14" t="n">
        <x:v>25</x:v>
      </x:c>
      <x:c r="X37" s="14" t="n">
        <x:v>2</x:v>
      </x:c>
      <x:c r="Y37" s="14" t="n">
        <x:v>3</x:v>
      </x:c>
      <x:c r="Z37" s="14" t="str">
        <x:v>未收錄</x:v>
      </x:c>
      <x:c r="AA37" s="14" t="str">
        <x:v>5945</x:v>
      </x:c>
      <x:c r="AB37" s="14" t="n">
        <x:v>9</x:v>
      </x:c>
      <x:c r="AC37" s="14" t="n">
        <x:v>4816</x:v>
      </x:c>
      <x:c r="AD37" s="14" t="n">
        <x:v>26</x:v>
      </x:c>
      <x:c r="AE37" s="14" t="n">
        <x:v>2</x:v>
      </x:c>
      <x:c r="AF37" s="14" t="n">
        <x:v>4</x:v>
      </x:c>
      <x:c r="AG37" s="14" t="str">
        <x:v>未收錄</x:v>
      </x:c>
    </x:row>
    <x:row r="38" ht="15" customHeight="1">
      <x:c r="A38" s="17" t="str">
        <x:v>{石怪}</x:v>
      </x:c>
      <x:c r="B38" s="17" t="str">
        <x:v>{水鬼}</x:v>
      </x:c>
      <x:c r="C38" s="17" t="str">
        <x:v>{火妖}</x:v>
      </x:c>
      <x:c r="D38" s="17" t="str">
        <x:v>{千面狐}</x:v>
      </x:c>
      <x:c r="E38" s="14"/>
      <x:c r="F38" s="14" t="str">
        <x:v>5343</x:v>
      </x:c>
      <x:c r="G38" s="14" t="n">
        <x:v>8</x:v>
      </x:c>
      <x:c r="H38" s="14" t="n">
        <x:v>4817</x:v>
      </x:c>
      <x:c r="I38" s="14" t="n">
        <x:v>27</x:v>
      </x:c>
      <x:c r="J38" s="14" t="n">
        <x:v>3</x:v>
      </x:c>
      <x:c r="K38" s="14" t="n">
        <x:v>1</x:v>
      </x:c>
      <x:c r="L38" s="14" t="str">
        <x:v>未收錄</x:v>
      </x:c>
      <x:c r="M38" s="14" t="str">
        <x:v>5345</x:v>
      </x:c>
      <x:c r="N38" s="14" t="n">
        <x:v>8</x:v>
      </x:c>
      <x:c r="O38" s="14" t="n">
        <x:v>4818</x:v>
      </x:c>
      <x:c r="P38" s="14" t="n">
        <x:v>28</x:v>
      </x:c>
      <x:c r="Q38" s="14" t="n">
        <x:v>3</x:v>
      </x:c>
      <x:c r="R38" s="14" t="n">
        <x:v>2</x:v>
      </x:c>
      <x:c r="S38" s="14" t="str">
        <x:v>未收錄</x:v>
      </x:c>
      <x:c r="T38" s="14" t="str">
        <x:v>5346</x:v>
      </x:c>
      <x:c r="U38" s="14" t="n">
        <x:v>8</x:v>
      </x:c>
      <x:c r="V38" s="14" t="n">
        <x:v>4819</x:v>
      </x:c>
      <x:c r="W38" s="14" t="n">
        <x:v>29</x:v>
      </x:c>
      <x:c r="X38" s="14" t="n">
        <x:v>3</x:v>
      </x:c>
      <x:c r="Y38" s="14" t="n">
        <x:v>3</x:v>
      </x:c>
      <x:c r="Z38" s="14" t="str">
        <x:v>未收錄</x:v>
      </x:c>
      <x:c r="AA38" s="14" t="str">
        <x:v>5322</x:v>
      </x:c>
      <x:c r="AB38" s="14" t="n">
        <x:v>9</x:v>
      </x:c>
      <x:c r="AC38" s="14" t="n">
        <x:v>4820</x:v>
      </x:c>
      <x:c r="AD38" s="14" t="n">
        <x:v>30</x:v>
      </x:c>
      <x:c r="AE38" s="14" t="n">
        <x:v>3</x:v>
      </x:c>
      <x:c r="AF38" s="14" t="n">
        <x:v>4</x:v>
      </x:c>
      <x:c r="AG38" s="14" t="str">
        <x:v>未收錄</x:v>
      </x:c>
    </x:row>
    <x:row r="39" ht="15" customHeight="1">
      <x:c r="A39" s="18" t="str">
        <x:v>{桃花兵蜂}</x:v>
      </x:c>
      <x:c r="B39" s="18" t="str">
        <x:v>老虎</x:v>
      </x:c>
      <x:c r="C39" s="18" t="str">
        <x:v>食人巨猿</x:v>
      </x:c>
      <x:c r="D39" s="18" t="str">
        <x:v>蠍子王</x:v>
      </x:c>
      <x:c r="E39" s="14"/>
      <x:c r="F39" s="14" t="str">
        <x:v>5342</x:v>
      </x:c>
      <x:c r="G39" s="14" t="n">
        <x:v>9</x:v>
      </x:c>
      <x:c r="H39" s="14" t="n">
        <x:v>4821</x:v>
      </x:c>
      <x:c r="I39" s="14" t="n">
        <x:v>31</x:v>
      </x:c>
      <x:c r="J39" s="14" t="n">
        <x:v>4</x:v>
      </x:c>
      <x:c r="K39" s="14" t="n">
        <x:v>1</x:v>
      </x:c>
      <x:c r="L39" s="14" t="str">
        <x:v>未收錄</x:v>
      </x:c>
      <x:c r="M39" s="14" t="str">
        <x:v>5008</x:v>
      </x:c>
      <x:c r="N39" s="14" t="n">
        <x:v>10</x:v>
      </x:c>
      <x:c r="O39" s="14" t="n">
        <x:v>4822</x:v>
      </x:c>
      <x:c r="P39" s="14" t="n">
        <x:v>1</x:v>
      </x:c>
      <x:c r="Q39" s="14" t="n">
        <x:v>4</x:v>
      </x:c>
      <x:c r="R39" s="14" t="n">
        <x:v>2</x:v>
      </x:c>
      <x:c r="S39" s="14" t="str">
        <x:v>未收錄</x:v>
      </x:c>
      <x:c r="T39" s="14" t="str">
        <x:v>5016</x:v>
      </x:c>
      <x:c r="U39" s="14" t="n">
        <x:v>10</x:v>
      </x:c>
      <x:c r="V39" s="14" t="n">
        <x:v>4823</x:v>
      </x:c>
      <x:c r="W39" s="14" t="n">
        <x:v>2</x:v>
      </x:c>
      <x:c r="X39" s="14" t="n">
        <x:v>4</x:v>
      </x:c>
      <x:c r="Y39" s="14" t="n">
        <x:v>3</x:v>
      </x:c>
      <x:c r="Z39" s="14" t="str">
        <x:v>未收錄</x:v>
      </x:c>
      <x:c r="AA39" s="14" t="str">
        <x:v>5110</x:v>
      </x:c>
      <x:c r="AB39" s="14" t="n">
        <x:v>10</x:v>
      </x:c>
      <x:c r="AC39" s="14" t="n">
        <x:v>4824</x:v>
      </x:c>
      <x:c r="AD39" s="14" t="n">
        <x:v>3</x:v>
      </x:c>
      <x:c r="AE39" s="14" t="n">
        <x:v>4</x:v>
      </x:c>
      <x:c r="AF39" s="14" t="n">
        <x:v>4</x:v>
      </x:c>
      <x:c r="AG39" s="14" t="str">
        <x:v>未收錄</x:v>
      </x:c>
    </x:row>
    <x:row r="40" ht="15" customHeight="1">
      <x:c r="A40" s="17" t="str">
        <x:v>劍齒鱷</x:v>
      </x:c>
      <x:c r="B40" s="17" t="str">
        <x:v>冤魂</x:v>
      </x:c>
      <x:c r="C40" s="17" t="str">
        <x:v>毒血屍</x:v>
      </x:c>
      <x:c r="D40" s="17" t="str">
        <x:v>死靈弓手</x:v>
      </x:c>
      <x:c r="E40" s="14"/>
      <x:c r="F40" s="14" t="str">
        <x:v>5189</x:v>
      </x:c>
      <x:c r="G40" s="14" t="n">
        <x:v>10</x:v>
      </x:c>
      <x:c r="H40" s="14" t="n">
        <x:v>4825</x:v>
      </x:c>
      <x:c r="I40" s="14" t="n">
        <x:v>4</x:v>
      </x:c>
      <x:c r="J40" s="14" t="n">
        <x:v>5</x:v>
      </x:c>
      <x:c r="K40" s="14" t="n">
        <x:v>1</x:v>
      </x:c>
      <x:c r="L40" s="14" t="str">
        <x:v>未收錄</x:v>
      </x:c>
      <x:c r="M40" s="14" t="str">
        <x:v>5038</x:v>
      </x:c>
      <x:c r="N40" s="14" t="n">
        <x:v>10</x:v>
      </x:c>
      <x:c r="O40" s="14" t="n">
        <x:v>4826</x:v>
      </x:c>
      <x:c r="P40" s="14" t="n">
        <x:v>5</x:v>
      </x:c>
      <x:c r="Q40" s="14" t="n">
        <x:v>5</x:v>
      </x:c>
      <x:c r="R40" s="14" t="n">
        <x:v>2</x:v>
      </x:c>
      <x:c r="S40" s="14" t="str">
        <x:v>未收錄</x:v>
      </x:c>
      <x:c r="T40" s="14" t="str">
        <x:v>5029</x:v>
      </x:c>
      <x:c r="U40" s="14" t="n">
        <x:v>10</x:v>
      </x:c>
      <x:c r="V40" s="14" t="n">
        <x:v>4827</x:v>
      </x:c>
      <x:c r="W40" s="14" t="n">
        <x:v>6</x:v>
      </x:c>
      <x:c r="X40" s="14" t="n">
        <x:v>5</x:v>
      </x:c>
      <x:c r="Y40" s="14" t="n">
        <x:v>3</x:v>
      </x:c>
      <x:c r="Z40" s="14" t="str">
        <x:v>未收錄</x:v>
      </x:c>
      <x:c r="AA40" s="14" t="str">
        <x:v>5269</x:v>
      </x:c>
      <x:c r="AB40" s="14" t="n">
        <x:v>10</x:v>
      </x:c>
      <x:c r="AC40" s="14" t="n">
        <x:v>4828</x:v>
      </x:c>
      <x:c r="AD40" s="14" t="n">
        <x:v>7</x:v>
      </x:c>
      <x:c r="AE40" s="14" t="n">
        <x:v>5</x:v>
      </x:c>
      <x:c r="AF40" s="14" t="n">
        <x:v>4</x:v>
      </x:c>
      <x:c r="AG40" s="14" t="str">
        <x:v>未收錄</x:v>
      </x:c>
    </x:row>
    <x:row r="41" ht="15" customHeight="1">
      <x:c r="A41" s="18" t="str">
        <x:v>搗藥兔</x:v>
      </x:c>
      <x:c r="B41" s="18" t="str">
        <x:v>靈芝精</x:v>
      </x:c>
      <x:c r="C41" s="18" t="str">
        <x:v>人蔘精</x:v>
      </x:c>
      <x:c r="D41" s="18" t="str">
        <x:v>岩龜</x:v>
      </x:c>
      <x:c r="E41" s="14"/>
      <x:c r="F41" s="14" t="str">
        <x:v>5302</x:v>
      </x:c>
      <x:c r="G41" s="14" t="n">
        <x:v>10</x:v>
      </x:c>
      <x:c r="H41" s="14" t="n">
        <x:v>4829</x:v>
      </x:c>
      <x:c r="I41" s="14" t="n">
        <x:v>8</x:v>
      </x:c>
      <x:c r="J41" s="14" t="n">
        <x:v>6</x:v>
      </x:c>
      <x:c r="K41" s="14" t="n">
        <x:v>1</x:v>
      </x:c>
      <x:c r="L41" s="14" t="str">
        <x:v>未收錄</x:v>
      </x:c>
      <x:c r="M41" s="14" t="str">
        <x:v>5315</x:v>
      </x:c>
      <x:c r="N41" s="14" t="n">
        <x:v>10</x:v>
      </x:c>
      <x:c r="O41" s="14" t="n">
        <x:v>4830</x:v>
      </x:c>
      <x:c r="P41" s="14" t="n">
        <x:v>9</x:v>
      </x:c>
      <x:c r="Q41" s="14" t="n">
        <x:v>6</x:v>
      </x:c>
      <x:c r="R41" s="14" t="n">
        <x:v>2</x:v>
      </x:c>
      <x:c r="S41" s="14" t="str">
        <x:v>未收錄</x:v>
      </x:c>
      <x:c r="T41" s="14" t="str">
        <x:v>5317</x:v>
      </x:c>
      <x:c r="U41" s="14" t="n">
        <x:v>10</x:v>
      </x:c>
      <x:c r="V41" s="14" t="n">
        <x:v>4831</x:v>
      </x:c>
      <x:c r="W41" s="14" t="n">
        <x:v>10</x:v>
      </x:c>
      <x:c r="X41" s="14" t="n">
        <x:v>6</x:v>
      </x:c>
      <x:c r="Y41" s="14" t="n">
        <x:v>3</x:v>
      </x:c>
      <x:c r="Z41" s="14" t="str">
        <x:v>未收錄</x:v>
      </x:c>
      <x:c r="AA41" s="14" t="str">
        <x:v>5951</x:v>
      </x:c>
      <x:c r="AB41" s="14" t="n">
        <x:v>10</x:v>
      </x:c>
      <x:c r="AC41" s="14" t="n">
        <x:v>4832</x:v>
      </x:c>
      <x:c r="AD41" s="14" t="n">
        <x:v>11</x:v>
      </x:c>
      <x:c r="AE41" s="14" t="n">
        <x:v>6</x:v>
      </x:c>
      <x:c r="AF41" s="14" t="n">
        <x:v>4</x:v>
      </x:c>
      <x:c r="AG41" s="14" t="str">
        <x:v>未收錄</x:v>
      </x:c>
    </x:row>
    <x:row r="42" ht="15" customHeight="1">
      <x:c r="A42" s="17" t="str">
        <x:v>跳鼠</x:v>
      </x:c>
      <x:c r="B42" s="17" t="str">
        <x:v>士兵俑</x:v>
      </x:c>
      <x:c r="C42" s="17" t="str">
        <x:v>士兵俑</x:v>
      </x:c>
      <x:c r="D42" s="17" t="str">
        <x:v>士兵俑</x:v>
      </x:c>
      <x:c r="E42" s="14"/>
      <x:c r="F42" s="14" t="str">
        <x:v>5954</x:v>
      </x:c>
      <x:c r="G42" s="14" t="n">
        <x:v>10</x:v>
      </x:c>
      <x:c r="H42" s="14" t="n">
        <x:v>4833</x:v>
      </x:c>
      <x:c r="I42" s="14" t="n">
        <x:v>12</x:v>
      </x:c>
      <x:c r="J42" s="14" t="n">
        <x:v>7</x:v>
      </x:c>
      <x:c r="K42" s="14" t="n">
        <x:v>1</x:v>
      </x:c>
      <x:c r="L42" s="14" t="str">
        <x:v>未收錄</x:v>
      </x:c>
      <x:c r="M42" s="14" t="str">
        <x:v>5043</x:v>
      </x:c>
      <x:c r="N42" s="14" t="n">
        <x:v>10</x:v>
      </x:c>
      <x:c r="O42" s="14" t="n">
        <x:v>4834</x:v>
      </x:c>
      <x:c r="P42" s="14" t="n">
        <x:v>13</x:v>
      </x:c>
      <x:c r="Q42" s="14" t="n">
        <x:v>7</x:v>
      </x:c>
      <x:c r="R42" s="14" t="n">
        <x:v>2</x:v>
      </x:c>
      <x:c r="S42" s="14" t="str">
        <x:v>未收錄</x:v>
      </x:c>
      <x:c r="T42" s="14" t="str">
        <x:v>5044</x:v>
      </x:c>
      <x:c r="U42" s="14" t="n">
        <x:v>10</x:v>
      </x:c>
      <x:c r="V42" s="14" t="n">
        <x:v>4835</x:v>
      </x:c>
      <x:c r="W42" s="14" t="n">
        <x:v>14</x:v>
      </x:c>
      <x:c r="X42" s="14" t="n">
        <x:v>7</x:v>
      </x:c>
      <x:c r="Y42" s="14" t="n">
        <x:v>3</x:v>
      </x:c>
      <x:c r="Z42" s="14" t="str">
        <x:v>未收錄</x:v>
      </x:c>
      <x:c r="AA42" s="14" t="str">
        <x:v>5045</x:v>
      </x:c>
      <x:c r="AB42" s="14" t="n">
        <x:v>10</x:v>
      </x:c>
      <x:c r="AC42" s="14" t="n">
        <x:v>4836</x:v>
      </x:c>
      <x:c r="AD42" s="14" t="n">
        <x:v>15</x:v>
      </x:c>
      <x:c r="AE42" s="14" t="n">
        <x:v>7</x:v>
      </x:c>
      <x:c r="AF42" s="14" t="n">
        <x:v>4</x:v>
      </x:c>
      <x:c r="AG42" s="14" t="str">
        <x:v>未收錄</x:v>
      </x:c>
    </x:row>
    <x:row r="43" ht="15" customHeight="1">
      <x:c r="A43" s="18" t="str">
        <x:v>風精窮奇</x:v>
      </x:c>
      <x:c r="B43" s="18" t="str">
        <x:v>雷刃窮奇</x:v>
      </x:c>
      <x:c r="C43" s="18" t="str">
        <x:v>晝行傘鬼</x:v>
      </x:c>
      <x:c r="D43" s="18" t="str">
        <x:v>付喪傘鬼</x:v>
      </x:c>
      <x:c r="E43" s="14"/>
      <x:c r="F43" s="14" t="str">
        <x:v>9188</x:v>
      </x:c>
      <x:c r="G43" s="14" t="n">
        <x:v>15</x:v>
      </x:c>
      <x:c r="H43" s="14" t="n">
        <x:v>4845</x:v>
      </x:c>
      <x:c r="I43" s="14" t="n">
        <x:v>24</x:v>
      </x:c>
      <x:c r="J43" s="14" t="n">
        <x:v>8</x:v>
      </x:c>
      <x:c r="K43" s="14" t="n">
        <x:v>1</x:v>
      </x:c>
      <x:c r="L43" s="14" t="str">
        <x:v>未收錄</x:v>
      </x:c>
      <x:c r="M43" s="14" t="str">
        <x:v>9189</x:v>
      </x:c>
      <x:c r="N43" s="14" t="n">
        <x:v>15</x:v>
      </x:c>
      <x:c r="O43" s="14" t="n">
        <x:v>4846</x:v>
      </x:c>
      <x:c r="P43" s="14" t="n">
        <x:v>25</x:v>
      </x:c>
      <x:c r="Q43" s="14" t="n">
        <x:v>8</x:v>
      </x:c>
      <x:c r="R43" s="14" t="n">
        <x:v>2</x:v>
      </x:c>
      <x:c r="S43" s="14" t="str">
        <x:v>未收錄</x:v>
      </x:c>
      <x:c r="T43" s="14" t="str">
        <x:v>9228</x:v>
      </x:c>
      <x:c r="U43" s="14" t="n">
        <x:v>15</x:v>
      </x:c>
      <x:c r="V43" s="14" t="n">
        <x:v>4847</x:v>
      </x:c>
      <x:c r="W43" s="14" t="n">
        <x:v>26</x:v>
      </x:c>
      <x:c r="X43" s="14" t="n">
        <x:v>8</x:v>
      </x:c>
      <x:c r="Y43" s="14" t="n">
        <x:v>3</x:v>
      </x:c>
      <x:c r="Z43" s="14" t="str">
        <x:v>未收錄</x:v>
      </x:c>
      <x:c r="AA43" s="14" t="str">
        <x:v>9229</x:v>
      </x:c>
      <x:c r="AB43" s="14" t="n">
        <x:v>15</x:v>
      </x:c>
      <x:c r="AC43" s="14" t="n">
        <x:v>4848</x:v>
      </x:c>
      <x:c r="AD43" s="14" t="n">
        <x:v>27</x:v>
      </x:c>
      <x:c r="AE43" s="14" t="n">
        <x:v>8</x:v>
      </x:c>
      <x:c r="AF43" s="14" t="n">
        <x:v>4</x:v>
      </x:c>
      <x:c r="AG43" s="14" t="str">
        <x:v>未收錄</x:v>
      </x:c>
    </x:row>
    <x:row r="44">
      <x:c r="A44" s="14"/>
      <x:c r="B44" s="14"/>
      <x:c r="C44" s="14"/>
      <x:c r="D44" s="14"/>
      <x:c r="E44" s="14"/>
      <x:c r="F44" s="14"/>
      <x:c r="G44" s="14"/>
      <x:c r="H44" s="14"/>
      <x:c r="I44" s="14"/>
      <x:c r="J44" s="14"/>
      <x:c r="K44" s="14"/>
      <x:c r="L44" s="14"/>
      <x:c r="M44" s="14"/>
      <x:c r="N44" s="14"/>
      <x:c r="O44" s="14"/>
      <x:c r="P44" s="14"/>
      <x:c r="Q44" s="14"/>
      <x:c r="R44" s="14"/>
      <x:c r="S44" s="14"/>
      <x:c r="T44" s="14"/>
      <x:c r="U44" s="14"/>
      <x:c r="V44" s="14"/>
      <x:c r="W44" s="14"/>
      <x:c r="X44" s="14"/>
      <x:c r="Y44" s="14"/>
      <x:c r="Z44" s="14"/>
      <x:c r="AA44" s="14"/>
      <x:c r="AB44" s="14"/>
      <x:c r="AC44" s="14"/>
      <x:c r="AD44" s="14"/>
      <x:c r="AE44" s="14"/>
      <x:c r="AF44" s="14"/>
      <x:c r="AG44" s="14"/>
    </x:row>
    <x:row r="45" ht="25" customHeight="1">
      <x:c r="A45" s="16" t="str">
        <x:v>6星・六合　／　34 筆</x:v>
      </x:c>
      <x:c r="B45" s="16"/>
      <x:c r="C45" s="16"/>
      <x:c r="D45" s="16"/>
      <x:c r="E45" s="14"/>
      <x:c r="F45" s="14"/>
      <x:c r="G45" s="14"/>
      <x:c r="H45" s="14"/>
      <x:c r="I45" s="14"/>
      <x:c r="J45" s="14"/>
      <x:c r="K45" s="14"/>
      <x:c r="L45" s="14"/>
      <x:c r="M45" s="14"/>
      <x:c r="N45" s="14"/>
      <x:c r="O45" s="14"/>
      <x:c r="P45" s="14"/>
      <x:c r="Q45" s="14"/>
      <x:c r="R45" s="14"/>
      <x:c r="S45" s="14"/>
      <x:c r="T45" s="14"/>
      <x:c r="U45" s="14"/>
      <x:c r="V45" s="14"/>
      <x:c r="W45" s="14"/>
      <x:c r="X45" s="14"/>
      <x:c r="Y45" s="14"/>
      <x:c r="Z45" s="14"/>
      <x:c r="AA45" s="14"/>
      <x:c r="AB45" s="14"/>
      <x:c r="AC45" s="14"/>
      <x:c r="AD45" s="14"/>
      <x:c r="AE45" s="14"/>
      <x:c r="AF45" s="14"/>
      <x:c r="AG45" s="14"/>
    </x:row>
    <x:row r="46" ht="15" customHeight="1">
      <x:c r="A46" s="17" t="str">
        <x:v>五毒蜈蚣</x:v>
      </x:c>
      <x:c r="B46" s="17" t="str">
        <x:v>食人巨蟒</x:v>
      </x:c>
      <x:c r="C46" s="17" t="str">
        <x:v>鬼螯蝦兵</x:v>
      </x:c>
      <x:c r="D46" s="17" t="str">
        <x:v>巨角龜</x:v>
      </x:c>
      <x:c r="E46" s="14"/>
      <x:c r="F46" s="14" t="str">
        <x:v>5184</x:v>
      </x:c>
      <x:c r="G46" s="14" t="n">
        <x:v>11</x:v>
      </x:c>
      <x:c r="H46" s="14" t="n">
        <x:v>4837</x:v>
      </x:c>
      <x:c r="I46" s="14" t="n">
        <x:v>16</x:v>
      </x:c>
      <x:c r="J46" s="14" t="n">
        <x:v>1</x:v>
      </x:c>
      <x:c r="K46" s="14" t="n">
        <x:v>1</x:v>
      </x:c>
      <x:c r="L46" s="14" t="str">
        <x:v>未收錄</x:v>
      </x:c>
      <x:c r="M46" s="14" t="str">
        <x:v>5187</x:v>
      </x:c>
      <x:c r="N46" s="14" t="n">
        <x:v>11</x:v>
      </x:c>
      <x:c r="O46" s="14" t="n">
        <x:v>4838</x:v>
      </x:c>
      <x:c r="P46" s="14" t="n">
        <x:v>17</x:v>
      </x:c>
      <x:c r="Q46" s="14" t="n">
        <x:v>1</x:v>
      </x:c>
      <x:c r="R46" s="14" t="n">
        <x:v>2</x:v>
      </x:c>
      <x:c r="S46" s="14" t="str">
        <x:v>未收錄</x:v>
      </x:c>
      <x:c r="T46" s="14" t="str">
        <x:v>5289</x:v>
      </x:c>
      <x:c r="U46" s="14" t="n">
        <x:v>11</x:v>
      </x:c>
      <x:c r="V46" s="14" t="n">
        <x:v>4839</x:v>
      </x:c>
      <x:c r="W46" s="14" t="n">
        <x:v>18</x:v>
      </x:c>
      <x:c r="X46" s="14" t="n">
        <x:v>1</x:v>
      </x:c>
      <x:c r="Y46" s="14" t="n">
        <x:v>3</x:v>
      </x:c>
      <x:c r="Z46" s="14" t="str">
        <x:v>未收錄</x:v>
      </x:c>
      <x:c r="AA46" s="14" t="str">
        <x:v>5291</x:v>
      </x:c>
      <x:c r="AB46" s="14" t="n">
        <x:v>11</x:v>
      </x:c>
      <x:c r="AC46" s="14" t="n">
        <x:v>4840</x:v>
      </x:c>
      <x:c r="AD46" s="14" t="n">
        <x:v>19</x:v>
      </x:c>
      <x:c r="AE46" s="14" t="n">
        <x:v>1</x:v>
      </x:c>
      <x:c r="AF46" s="14" t="n">
        <x:v>4</x:v>
      </x:c>
      <x:c r="AG46" s="14" t="str">
        <x:v>未收錄</x:v>
      </x:c>
    </x:row>
    <x:row r="47" ht="15" customHeight="1">
      <x:c r="A47" s="18" t="str">
        <x:v>虎鬥士</x:v>
      </x:c>
      <x:c r="B47" s="18" t="str">
        <x:v>妖狸射手</x:v>
      </x:c>
      <x:c r="C47" s="18" t="str">
        <x:v>紫靈貂</x:v>
      </x:c>
      <x:c r="D47" s="18" t="str">
        <x:v>沙漠巨蟒</x:v>
      </x:c>
      <x:c r="E47" s="14"/>
      <x:c r="F47" s="14" t="str">
        <x:v>5307</x:v>
      </x:c>
      <x:c r="G47" s="14" t="n">
        <x:v>11</x:v>
      </x:c>
      <x:c r="H47" s="14" t="n">
        <x:v>4841</x:v>
      </x:c>
      <x:c r="I47" s="14" t="n">
        <x:v>20</x:v>
      </x:c>
      <x:c r="J47" s="14" t="n">
        <x:v>2</x:v>
      </x:c>
      <x:c r="K47" s="14" t="n">
        <x:v>1</x:v>
      </x:c>
      <x:c r="L47" s="14" t="str">
        <x:v>未收錄</x:v>
      </x:c>
      <x:c r="M47" s="14" t="str">
        <x:v>5313</x:v>
      </x:c>
      <x:c r="N47" s="14" t="n">
        <x:v>11</x:v>
      </x:c>
      <x:c r="O47" s="14" t="n">
        <x:v>4842</x:v>
      </x:c>
      <x:c r="P47" s="14" t="n">
        <x:v>21</x:v>
      </x:c>
      <x:c r="Q47" s="14" t="n">
        <x:v>2</x:v>
      </x:c>
      <x:c r="R47" s="14" t="n">
        <x:v>2</x:v>
      </x:c>
      <x:c r="S47" s="14" t="str">
        <x:v>未收錄</x:v>
      </x:c>
      <x:c r="T47" s="14" t="str">
        <x:v>5684</x:v>
      </x:c>
      <x:c r="U47" s="14" t="n">
        <x:v>11</x:v>
      </x:c>
      <x:c r="V47" s="14" t="n">
        <x:v>4843</x:v>
      </x:c>
      <x:c r="W47" s="14" t="n">
        <x:v>22</x:v>
      </x:c>
      <x:c r="X47" s="14" t="n">
        <x:v>2</x:v>
      </x:c>
      <x:c r="Y47" s="14" t="n">
        <x:v>3</x:v>
      </x:c>
      <x:c r="Z47" s="14" t="str">
        <x:v>未收錄</x:v>
      </x:c>
      <x:c r="AA47" s="14" t="str">
        <x:v>9016</x:v>
      </x:c>
      <x:c r="AB47" s="14" t="n">
        <x:v>11</x:v>
      </x:c>
      <x:c r="AC47" s="14" t="n">
        <x:v>4844</x:v>
      </x:c>
      <x:c r="AD47" s="14" t="n">
        <x:v>23</x:v>
      </x:c>
      <x:c r="AE47" s="14" t="n">
        <x:v>2</x:v>
      </x:c>
      <x:c r="AF47" s="14" t="n">
        <x:v>4</x:v>
      </x:c>
      <x:c r="AG47" s="14" t="str">
        <x:v>未收錄</x:v>
      </x:c>
    </x:row>
    <x:row r="48" ht="15" customHeight="1">
      <x:c r="A48" s="17" t="str">
        <x:v>食人虎</x:v>
      </x:c>
      <x:c r="B48" s="17" t="str">
        <x:v>綠毛狂猿</x:v>
      </x:c>
      <x:c r="C48" s="17" t="str">
        <x:v>妖面蜘蛛</x:v>
      </x:c>
      <x:c r="D48" s="17" t="str">
        <x:v>食人巨鱷</x:v>
      </x:c>
      <x:c r="E48" s="14"/>
      <x:c r="F48" s="14" t="str">
        <x:v>5009</x:v>
      </x:c>
      <x:c r="G48" s="14" t="n">
        <x:v>12</x:v>
      </x:c>
      <x:c r="H48" s="14" t="n">
        <x:v>4849</x:v>
      </x:c>
      <x:c r="I48" s="14" t="n">
        <x:v>1</x:v>
      </x:c>
      <x:c r="J48" s="14" t="n">
        <x:v>3</x:v>
      </x:c>
      <x:c r="K48" s="14" t="n">
        <x:v>1</x:v>
      </x:c>
      <x:c r="L48" s="14" t="str">
        <x:v>未收錄</x:v>
      </x:c>
      <x:c r="M48" s="14" t="str">
        <x:v>5100</x:v>
      </x:c>
      <x:c r="N48" s="14" t="n">
        <x:v>12</x:v>
      </x:c>
      <x:c r="O48" s="14" t="n">
        <x:v>4850</x:v>
      </x:c>
      <x:c r="P48" s="14" t="n">
        <x:v>2</x:v>
      </x:c>
      <x:c r="Q48" s="14" t="n">
        <x:v>3</x:v>
      </x:c>
      <x:c r="R48" s="14" t="n">
        <x:v>2</x:v>
      </x:c>
      <x:c r="S48" s="14" t="str">
        <x:v>未收錄</x:v>
      </x:c>
      <x:c r="T48" s="14" t="str">
        <x:v>5024</x:v>
      </x:c>
      <x:c r="U48" s="14" t="n">
        <x:v>12</x:v>
      </x:c>
      <x:c r="V48" s="14" t="n">
        <x:v>4851</x:v>
      </x:c>
      <x:c r="W48" s="14" t="n">
        <x:v>3</x:v>
      </x:c>
      <x:c r="X48" s="14" t="n">
        <x:v>3</x:v>
      </x:c>
      <x:c r="Y48" s="14" t="n">
        <x:v>3</x:v>
      </x:c>
      <x:c r="Z48" s="14" t="str">
        <x:v>未收錄</x:v>
      </x:c>
      <x:c r="AA48" s="14" t="str">
        <x:v>5190</x:v>
      </x:c>
      <x:c r="AB48" s="14" t="n">
        <x:v>12</x:v>
      </x:c>
      <x:c r="AC48" s="14" t="n">
        <x:v>4852</x:v>
      </x:c>
      <x:c r="AD48" s="14" t="n">
        <x:v>4</x:v>
      </x:c>
      <x:c r="AE48" s="14" t="n">
        <x:v>3</x:v>
      </x:c>
      <x:c r="AF48" s="14" t="n">
        <x:v>4</x:v>
      </x:c>
      <x:c r="AG48" s="14" t="str">
        <x:v>未收錄</x:v>
      </x:c>
    </x:row>
    <x:row r="49" ht="15" customHeight="1">
      <x:c r="A49" s="18" t="str">
        <x:v>金石怪</x:v>
      </x:c>
      <x:c r="B49" s="18" t="str">
        <x:v>老樹精</x:v>
      </x:c>
      <x:c r="C49" s="18" t="str">
        <x:v>惡水鬼</x:v>
      </x:c>
      <x:c r="D49" s="18" t="str">
        <x:v>邪火妖</x:v>
      </x:c>
      <x:c r="E49" s="14"/>
      <x:c r="F49" s="14" t="str">
        <x:v>5057</x:v>
      </x:c>
      <x:c r="G49" s="14" t="n">
        <x:v>12</x:v>
      </x:c>
      <x:c r="H49" s="14" t="n">
        <x:v>4853</x:v>
      </x:c>
      <x:c r="I49" s="14" t="n">
        <x:v>5</x:v>
      </x:c>
      <x:c r="J49" s="14" t="n">
        <x:v>4</x:v>
      </x:c>
      <x:c r="K49" s="14" t="n">
        <x:v>1</x:v>
      </x:c>
      <x:c r="L49" s="14" t="str">
        <x:v>未收錄</x:v>
      </x:c>
      <x:c r="M49" s="14" t="str">
        <x:v>5058</x:v>
      </x:c>
      <x:c r="N49" s="14" t="n">
        <x:v>12</x:v>
      </x:c>
      <x:c r="O49" s="14" t="n">
        <x:v>4854</x:v>
      </x:c>
      <x:c r="P49" s="14" t="n">
        <x:v>6</x:v>
      </x:c>
      <x:c r="Q49" s="14" t="n">
        <x:v>4</x:v>
      </x:c>
      <x:c r="R49" s="14" t="n">
        <x:v>2</x:v>
      </x:c>
      <x:c r="S49" s="14" t="str">
        <x:v>未收錄</x:v>
      </x:c>
      <x:c r="T49" s="14" t="str">
        <x:v>5059</x:v>
      </x:c>
      <x:c r="U49" s="14" t="n">
        <x:v>12</x:v>
      </x:c>
      <x:c r="V49" s="14" t="n">
        <x:v>4855</x:v>
      </x:c>
      <x:c r="W49" s="14" t="n">
        <x:v>7</x:v>
      </x:c>
      <x:c r="X49" s="14" t="n">
        <x:v>4</x:v>
      </x:c>
      <x:c r="Y49" s="14" t="n">
        <x:v>3</x:v>
      </x:c>
      <x:c r="Z49" s="14" t="str">
        <x:v>未收錄</x:v>
      </x:c>
      <x:c r="AA49" s="14" t="str">
        <x:v>5060</x:v>
      </x:c>
      <x:c r="AB49" s="14" t="n">
        <x:v>12</x:v>
      </x:c>
      <x:c r="AC49" s="14" t="n">
        <x:v>4856</x:v>
      </x:c>
      <x:c r="AD49" s="14" t="n">
        <x:v>8</x:v>
      </x:c>
      <x:c r="AE49" s="14" t="n">
        <x:v>4</x:v>
      </x:c>
      <x:c r="AF49" s="14" t="n">
        <x:v>4</x:v>
      </x:c>
      <x:c r="AG49" s="14" t="str">
        <x:v>未收錄</x:v>
      </x:c>
    </x:row>
    <x:row r="50" ht="15" customHeight="1">
      <x:c r="A50" s="17" t="str">
        <x:v>花精</x:v>
      </x:c>
      <x:c r="B50" s="17" t="str">
        <x:v>覓蜜熊</x:v>
      </x:c>
      <x:c r="C50" s="17" t="str">
        <x:v>海魅</x:v>
      </x:c>
      <x:c r="D50" s="17" t="str">
        <x:v>林魅</x:v>
      </x:c>
      <x:c r="E50" s="14"/>
      <x:c r="F50" s="14" t="str">
        <x:v>5227</x:v>
      </x:c>
      <x:c r="G50" s="14" t="n">
        <x:v>12</x:v>
      </x:c>
      <x:c r="H50" s="14" t="n">
        <x:v>4857</x:v>
      </x:c>
      <x:c r="I50" s="14" t="n">
        <x:v>9</x:v>
      </x:c>
      <x:c r="J50" s="14" t="n">
        <x:v>5</x:v>
      </x:c>
      <x:c r="K50" s="14" t="n">
        <x:v>1</x:v>
      </x:c>
      <x:c r="L50" s="14" t="str">
        <x:v>未收錄</x:v>
      </x:c>
      <x:c r="M50" s="14" t="str">
        <x:v>5305</x:v>
      </x:c>
      <x:c r="N50" s="14" t="n">
        <x:v>12</x:v>
      </x:c>
      <x:c r="O50" s="14" t="n">
        <x:v>4858</x:v>
      </x:c>
      <x:c r="P50" s="14" t="n">
        <x:v>10</x:v>
      </x:c>
      <x:c r="Q50" s="14" t="n">
        <x:v>5</x:v>
      </x:c>
      <x:c r="R50" s="14" t="n">
        <x:v>2</x:v>
      </x:c>
      <x:c r="S50" s="14" t="str">
        <x:v>未收錄</x:v>
      </x:c>
      <x:c r="T50" s="14" t="str">
        <x:v>5319</x:v>
      </x:c>
      <x:c r="U50" s="14" t="n">
        <x:v>12</x:v>
      </x:c>
      <x:c r="V50" s="14" t="n">
        <x:v>4859</x:v>
      </x:c>
      <x:c r="W50" s="14" t="n">
        <x:v>11</x:v>
      </x:c>
      <x:c r="X50" s="14" t="n">
        <x:v>5</x:v>
      </x:c>
      <x:c r="Y50" s="14" t="n">
        <x:v>3</x:v>
      </x:c>
      <x:c r="Z50" s="14" t="str">
        <x:v>未收錄</x:v>
      </x:c>
      <x:c r="AA50" s="14" t="str">
        <x:v>5320</x:v>
      </x:c>
      <x:c r="AB50" s="14" t="n">
        <x:v>12</x:v>
      </x:c>
      <x:c r="AC50" s="14" t="n">
        <x:v>4860</x:v>
      </x:c>
      <x:c r="AD50" s="14" t="n">
        <x:v>12</x:v>
      </x:c>
      <x:c r="AE50" s="14" t="n">
        <x:v>5</x:v>
      </x:c>
      <x:c r="AF50" s="14" t="n">
        <x:v>4</x:v>
      </x:c>
      <x:c r="AG50" s="14" t="str">
        <x:v>未收錄</x:v>
      </x:c>
    </x:row>
    <x:row r="51" ht="15" customHeight="1">
      <x:c r="A51" s="18" t="str">
        <x:v>山魅</x:v>
      </x:c>
      <x:c r="B51" s="18" t="str">
        <x:v>蒼狼</x:v>
      </x:c>
      <x:c r="C51" s="18" t="str">
        <x:v>白鹿</x:v>
      </x:c>
      <x:c r="D51" s="18" t="str">
        <x:v>小蕈傘人</x:v>
      </x:c>
      <x:c r="E51" s="14"/>
      <x:c r="F51" s="14" t="str">
        <x:v>5321</x:v>
      </x:c>
      <x:c r="G51" s="14" t="n">
        <x:v>12</x:v>
      </x:c>
      <x:c r="H51" s="14" t="n">
        <x:v>4861</x:v>
      </x:c>
      <x:c r="I51" s="14" t="n">
        <x:v>13</x:v>
      </x:c>
      <x:c r="J51" s="14" t="n">
        <x:v>6</x:v>
      </x:c>
      <x:c r="K51" s="14" t="n">
        <x:v>1</x:v>
      </x:c>
      <x:c r="L51" s="14" t="str">
        <x:v>未收錄</x:v>
      </x:c>
      <x:c r="M51" s="14" t="str">
        <x:v>5685</x:v>
      </x:c>
      <x:c r="N51" s="14" t="n">
        <x:v>12</x:v>
      </x:c>
      <x:c r="O51" s="14" t="n">
        <x:v>4862</x:v>
      </x:c>
      <x:c r="P51" s="14" t="n">
        <x:v>14</x:v>
      </x:c>
      <x:c r="Q51" s="14" t="n">
        <x:v>6</x:v>
      </x:c>
      <x:c r="R51" s="14" t="n">
        <x:v>2</x:v>
      </x:c>
      <x:c r="S51" s="14" t="str">
        <x:v>未收錄</x:v>
      </x:c>
      <x:c r="T51" s="14" t="str">
        <x:v>5686</x:v>
      </x:c>
      <x:c r="U51" s="14" t="n">
        <x:v>12</x:v>
      </x:c>
      <x:c r="V51" s="14" t="n">
        <x:v>4863</x:v>
      </x:c>
      <x:c r="W51" s="14" t="n">
        <x:v>15</x:v>
      </x:c>
      <x:c r="X51" s="14" t="n">
        <x:v>6</x:v>
      </x:c>
      <x:c r="Y51" s="14" t="n">
        <x:v>3</x:v>
      </x:c>
      <x:c r="Z51" s="14" t="str">
        <x:v>未收錄</x:v>
      </x:c>
      <x:c r="AA51" s="14" t="str">
        <x:v>5872</x:v>
      </x:c>
      <x:c r="AB51" s="14" t="n">
        <x:v>12</x:v>
      </x:c>
      <x:c r="AC51" s="14" t="n">
        <x:v>4864</x:v>
      </x:c>
      <x:c r="AD51" s="14" t="n">
        <x:v>16</x:v>
      </x:c>
      <x:c r="AE51" s="14" t="n">
        <x:v>6</x:v>
      </x:c>
      <x:c r="AF51" s="14" t="n">
        <x:v>4</x:v>
      </x:c>
      <x:c r="AG51" s="14" t="str">
        <x:v>未收錄</x:v>
      </x:c>
    </x:row>
    <x:row r="52" ht="15" customHeight="1">
      <x:c r="A52" s="17" t="str">
        <x:v>小火蕈傘人</x:v>
      </x:c>
      <x:c r="B52" s="17" t="str">
        <x:v>小冰蕈傘人</x:v>
      </x:c>
      <x:c r="C52" s="17" t="str">
        <x:v>力士俑</x:v>
      </x:c>
      <x:c r="D52" s="17" t="str">
        <x:v>力士俑</x:v>
      </x:c>
      <x:c r="E52" s="14"/>
      <x:c r="F52" s="14" t="str">
        <x:v>5870</x:v>
      </x:c>
      <x:c r="G52" s="14" t="n">
        <x:v>12</x:v>
      </x:c>
      <x:c r="H52" s="14" t="n">
        <x:v>4865</x:v>
      </x:c>
      <x:c r="I52" s="14" t="n">
        <x:v>17</x:v>
      </x:c>
      <x:c r="J52" s="14" t="n">
        <x:v>7</x:v>
      </x:c>
      <x:c r="K52" s="14" t="n">
        <x:v>1</x:v>
      </x:c>
      <x:c r="L52" s="14" t="str">
        <x:v>未收錄</x:v>
      </x:c>
      <x:c r="M52" s="14" t="str">
        <x:v>5871</x:v>
      </x:c>
      <x:c r="N52" s="14" t="n">
        <x:v>12</x:v>
      </x:c>
      <x:c r="O52" s="14" t="n">
        <x:v>4866</x:v>
      </x:c>
      <x:c r="P52" s="14" t="n">
        <x:v>18</x:v>
      </x:c>
      <x:c r="Q52" s="14" t="n">
        <x:v>7</x:v>
      </x:c>
      <x:c r="R52" s="14" t="n">
        <x:v>2</x:v>
      </x:c>
      <x:c r="S52" s="14" t="str">
        <x:v>未收錄</x:v>
      </x:c>
      <x:c r="T52" s="14" t="str">
        <x:v>5046</x:v>
      </x:c>
      <x:c r="U52" s="14" t="n">
        <x:v>12</x:v>
      </x:c>
      <x:c r="V52" s="14" t="n">
        <x:v>4867</x:v>
      </x:c>
      <x:c r="W52" s="14" t="n">
        <x:v>19</x:v>
      </x:c>
      <x:c r="X52" s="14" t="n">
        <x:v>7</x:v>
      </x:c>
      <x:c r="Y52" s="14" t="n">
        <x:v>3</x:v>
      </x:c>
      <x:c r="Z52" s="14" t="str">
        <x:v>未收錄</x:v>
      </x:c>
      <x:c r="AA52" s="14" t="str">
        <x:v>5047</x:v>
      </x:c>
      <x:c r="AB52" s="14" t="n">
        <x:v>12</x:v>
      </x:c>
      <x:c r="AC52" s="14" t="n">
        <x:v>4868</x:v>
      </x:c>
      <x:c r="AD52" s="14" t="n">
        <x:v>20</x:v>
      </x:c>
      <x:c r="AE52" s="14" t="n">
        <x:v>7</x:v>
      </x:c>
      <x:c r="AF52" s="14" t="n">
        <x:v>4</x:v>
      </x:c>
      <x:c r="AG52" s="14" t="str">
        <x:v>未收錄</x:v>
      </x:c>
    </x:row>
    <x:row r="53" ht="15" customHeight="1">
      <x:c r="A53" s="18" t="str">
        <x:v>{力士俑}</x:v>
      </x:c>
      <x:c r="B53" s="18" t="str">
        <x:v>{百草狐郎中}</x:v>
      </x:c>
      <x:c r="C53" s="18" t="str">
        <x:v>{老樹精}</x:v>
      </x:c>
      <x:c r="D53" s="18" t="str">
        <x:v>&lt;老樹精&gt;</x:v>
      </x:c>
      <x:c r="E53" s="14"/>
      <x:c r="F53" s="14" t="str">
        <x:v>5437</x:v>
      </x:c>
      <x:c r="G53" s="14" t="n">
        <x:v>12</x:v>
      </x:c>
      <x:c r="H53" s="14" t="n">
        <x:v>4869</x:v>
      </x:c>
      <x:c r="I53" s="14" t="n">
        <x:v>21</x:v>
      </x:c>
      <x:c r="J53" s="14" t="n">
        <x:v>8</x:v>
      </x:c>
      <x:c r="K53" s="14" t="n">
        <x:v>1</x:v>
      </x:c>
      <x:c r="L53" s="14" t="str">
        <x:v>未收錄</x:v>
      </x:c>
      <x:c r="M53" s="14" t="str">
        <x:v>5323</x:v>
      </x:c>
      <x:c r="N53" s="14" t="n">
        <x:v>12</x:v>
      </x:c>
      <x:c r="O53" s="14" t="n">
        <x:v>4870</x:v>
      </x:c>
      <x:c r="P53" s="14" t="n">
        <x:v>22</x:v>
      </x:c>
      <x:c r="Q53" s="14" t="n">
        <x:v>8</x:v>
      </x:c>
      <x:c r="R53" s="14" t="n">
        <x:v>2</x:v>
      </x:c>
      <x:c r="S53" s="14" t="str">
        <x:v>未收錄</x:v>
      </x:c>
      <x:c r="T53" s="14" t="str">
        <x:v>5329</x:v>
      </x:c>
      <x:c r="U53" s="14" t="n">
        <x:v>12</x:v>
      </x:c>
      <x:c r="V53" s="14" t="n">
        <x:v>4871</x:v>
      </x:c>
      <x:c r="W53" s="14" t="n">
        <x:v>23</x:v>
      </x:c>
      <x:c r="X53" s="14" t="n">
        <x:v>8</x:v>
      </x:c>
      <x:c r="Y53" s="14" t="n">
        <x:v>3</x:v>
      </x:c>
      <x:c r="Z53" s="14" t="str">
        <x:v>未收錄</x:v>
      </x:c>
      <x:c r="AA53" s="14" t="str">
        <x:v>5330</x:v>
      </x:c>
      <x:c r="AB53" s="14" t="n">
        <x:v>12</x:v>
      </x:c>
      <x:c r="AC53" s="14" t="n">
        <x:v>4872</x:v>
      </x:c>
      <x:c r="AD53" s="14" t="n">
        <x:v>24</x:v>
      </x:c>
      <x:c r="AE53" s="14" t="n">
        <x:v>8</x:v>
      </x:c>
      <x:c r="AF53" s="14" t="n">
        <x:v>4</x:v>
      </x:c>
      <x:c r="AG53" s="14" t="str">
        <x:v>未收錄</x:v>
      </x:c>
    </x:row>
    <x:row r="54" ht="15" customHeight="1">
      <x:c r="A54" s="17" t="str">
        <x:v>龍骨河童</x:v>
      </x:c>
      <x:c r="B54" s="17" t="str">
        <x:v>迷你戰象</x:v>
      </x:c>
      <x:c r="C54" s="17"/>
      <x:c r="D54" s="17"/>
      <x:c r="E54" s="14"/>
      <x:c r="F54" s="14" t="str">
        <x:v>9256</x:v>
      </x:c>
      <x:c r="G54" s="14" t="n">
        <x:v>18</x:v>
      </x:c>
      <x:c r="H54" s="14" t="n">
        <x:v>4873</x:v>
      </x:c>
      <x:c r="I54" s="14" t="n">
        <x:v>25</x:v>
      </x:c>
      <x:c r="J54" s="14" t="n">
        <x:v>9</x:v>
      </x:c>
      <x:c r="K54" s="14" t="n">
        <x:v>1</x:v>
      </x:c>
      <x:c r="L54" s="14" t="str">
        <x:v>未收錄</x:v>
      </x:c>
      <x:c r="M54" s="14" t="str">
        <x:v>9449</x:v>
      </x:c>
      <x:c r="N54" s="14" t="n">
        <x:v>18</x:v>
      </x:c>
      <x:c r="O54" s="14" t="n">
        <x:v>4874</x:v>
      </x:c>
      <x:c r="P54" s="14" t="n">
        <x:v>26</x:v>
      </x:c>
      <x:c r="Q54" s="14" t="n">
        <x:v>9</x:v>
      </x:c>
      <x:c r="R54" s="14" t="n">
        <x:v>2</x:v>
      </x:c>
      <x:c r="S54" s="14" t="str">
        <x:v>未收錄</x:v>
      </x:c>
      <x:c r="T54" s="14"/>
      <x:c r="U54" s="14"/>
      <x:c r="V54" s="14"/>
      <x:c r="W54" s="14"/>
      <x:c r="X54" s="14"/>
      <x:c r="Y54" s="14"/>
      <x:c r="Z54" s="14"/>
      <x:c r="AA54" s="14"/>
      <x:c r="AB54" s="14"/>
      <x:c r="AC54" s="14"/>
      <x:c r="AD54" s="14"/>
      <x:c r="AE54" s="14"/>
      <x:c r="AF54" s="14"/>
      <x:c r="AG54" s="14"/>
    </x:row>
    <x:row r="55">
      <x:c r="A55" s="14"/>
      <x:c r="B55" s="14"/>
      <x:c r="C55" s="14"/>
      <x:c r="D55" s="14"/>
      <x:c r="E55" s="14"/>
      <x:c r="F55" s="14"/>
      <x:c r="G55" s="14"/>
      <x:c r="H55" s="14"/>
      <x:c r="I55" s="14"/>
      <x:c r="J55" s="14"/>
      <x:c r="K55" s="14"/>
      <x:c r="L55" s="14"/>
      <x:c r="M55" s="14"/>
      <x:c r="N55" s="14"/>
      <x:c r="O55" s="14"/>
      <x:c r="P55" s="14"/>
      <x:c r="Q55" s="14"/>
      <x:c r="R55" s="14"/>
      <x:c r="S55" s="14"/>
      <x:c r="T55" s="14"/>
      <x:c r="U55" s="14"/>
      <x:c r="V55" s="14"/>
      <x:c r="W55" s="14"/>
      <x:c r="X55" s="14"/>
      <x:c r="Y55" s="14"/>
      <x:c r="Z55" s="14"/>
      <x:c r="AA55" s="14"/>
      <x:c r="AB55" s="14"/>
      <x:c r="AC55" s="14"/>
      <x:c r="AD55" s="14"/>
      <x:c r="AE55" s="14"/>
      <x:c r="AF55" s="14"/>
      <x:c r="AG55" s="14"/>
    </x:row>
    <x:row r="56" ht="25" customHeight="1">
      <x:c r="A56" s="16" t="str">
        <x:v>7星・七星　／　20 筆</x:v>
      </x:c>
      <x:c r="B56" s="16"/>
      <x:c r="C56" s="16"/>
      <x:c r="D56" s="16"/>
      <x:c r="E56" s="14"/>
      <x:c r="F56" s="14"/>
      <x:c r="G56" s="14"/>
      <x:c r="H56" s="14"/>
      <x:c r="I56" s="14"/>
      <x:c r="J56" s="14"/>
      <x:c r="K56" s="14"/>
      <x:c r="L56" s="14"/>
      <x:c r="M56" s="14"/>
      <x:c r="N56" s="14"/>
      <x:c r="O56" s="14"/>
      <x:c r="P56" s="14"/>
      <x:c r="Q56" s="14"/>
      <x:c r="R56" s="14"/>
      <x:c r="S56" s="14"/>
      <x:c r="T56" s="14"/>
      <x:c r="U56" s="14"/>
      <x:c r="V56" s="14"/>
      <x:c r="W56" s="14"/>
      <x:c r="X56" s="14"/>
      <x:c r="Y56" s="14"/>
      <x:c r="Z56" s="14"/>
      <x:c r="AA56" s="14"/>
      <x:c r="AB56" s="14"/>
      <x:c r="AC56" s="14"/>
      <x:c r="AD56" s="14"/>
      <x:c r="AE56" s="14"/>
      <x:c r="AF56" s="14"/>
      <x:c r="AG56" s="14"/>
    </x:row>
    <x:row r="57" ht="15" customHeight="1">
      <x:c r="A57" s="17" t="str">
        <x:v>[吸血殭屍]</x:v>
      </x:c>
      <x:c r="B57" s="17" t="str">
        <x:v>[千年蟾蜍精]</x:v>
      </x:c>
      <x:c r="C57" s="17" t="str">
        <x:v>[蜘蛛精]</x:v>
      </x:c>
      <x:c r="D57" s="17" t="str">
        <x:v>[蛇魔女]</x:v>
      </x:c>
      <x:c r="E57" s="14"/>
      <x:c r="F57" s="14" t="str">
        <x:v>9083</x:v>
      </x:c>
      <x:c r="G57" s="14" t="n">
        <x:v>14</x:v>
      </x:c>
      <x:c r="H57" s="14" t="n">
        <x:v>4875</x:v>
      </x:c>
      <x:c r="I57" s="14" t="n">
        <x:v>1</x:v>
      </x:c>
      <x:c r="J57" s="14" t="n">
        <x:v>1</x:v>
      </x:c>
      <x:c r="K57" s="14" t="n">
        <x:v>1</x:v>
      </x:c>
      <x:c r="L57" s="14" t="str">
        <x:v>未收錄</x:v>
      </x:c>
      <x:c r="M57" s="14" t="str">
        <x:v>9084</x:v>
      </x:c>
      <x:c r="N57" s="14" t="n">
        <x:v>14</x:v>
      </x:c>
      <x:c r="O57" s="14" t="n">
        <x:v>4876</x:v>
      </x:c>
      <x:c r="P57" s="14" t="n">
        <x:v>2</x:v>
      </x:c>
      <x:c r="Q57" s="14" t="n">
        <x:v>1</x:v>
      </x:c>
      <x:c r="R57" s="14" t="n">
        <x:v>2</x:v>
      </x:c>
      <x:c r="S57" s="14" t="str">
        <x:v>未收錄</x:v>
      </x:c>
      <x:c r="T57" s="14" t="str">
        <x:v>9085</x:v>
      </x:c>
      <x:c r="U57" s="14" t="n">
        <x:v>14</x:v>
      </x:c>
      <x:c r="V57" s="14" t="n">
        <x:v>4877</x:v>
      </x:c>
      <x:c r="W57" s="14" t="n">
        <x:v>3</x:v>
      </x:c>
      <x:c r="X57" s="14" t="n">
        <x:v>1</x:v>
      </x:c>
      <x:c r="Y57" s="14" t="n">
        <x:v>3</x:v>
      </x:c>
      <x:c r="Z57" s="14" t="str">
        <x:v>未收錄</x:v>
      </x:c>
      <x:c r="AA57" s="14" t="str">
        <x:v>9086</x:v>
      </x:c>
      <x:c r="AB57" s="14" t="n">
        <x:v>14</x:v>
      </x:c>
      <x:c r="AC57" s="14" t="n">
        <x:v>4878</x:v>
      </x:c>
      <x:c r="AD57" s="14" t="n">
        <x:v>4</x:v>
      </x:c>
      <x:c r="AE57" s="14" t="n">
        <x:v>1</x:v>
      </x:c>
      <x:c r="AF57" s="14" t="n">
        <x:v>4</x:v>
      </x:c>
      <x:c r="AG57" s="14" t="str">
        <x:v>未收錄</x:v>
      </x:c>
    </x:row>
    <x:row r="58" ht="15" customHeight="1">
      <x:c r="A58" s="18" t="str">
        <x:v>[女王蜂]</x:v>
      </x:c>
      <x:c r="B58" s="18" t="str">
        <x:v>[兔仙人]</x:v>
      </x:c>
      <x:c r="C58" s="18" t="str">
        <x:v>[虎霸王]</x:v>
      </x:c>
      <x:c r="D58" s="18" t="str">
        <x:v>[九尾狐]</x:v>
      </x:c>
      <x:c r="E58" s="14"/>
      <x:c r="F58" s="14" t="str">
        <x:v>9087</x:v>
      </x:c>
      <x:c r="G58" s="14" t="n">
        <x:v>14</x:v>
      </x:c>
      <x:c r="H58" s="14" t="n">
        <x:v>4879</x:v>
      </x:c>
      <x:c r="I58" s="14" t="n">
        <x:v>5</x:v>
      </x:c>
      <x:c r="J58" s="14" t="n">
        <x:v>2</x:v>
      </x:c>
      <x:c r="K58" s="14" t="n">
        <x:v>1</x:v>
      </x:c>
      <x:c r="L58" s="14" t="str">
        <x:v>未收錄</x:v>
      </x:c>
      <x:c r="M58" s="14" t="str">
        <x:v>9088</x:v>
      </x:c>
      <x:c r="N58" s="14" t="n">
        <x:v>14</x:v>
      </x:c>
      <x:c r="O58" s="14" t="n">
        <x:v>4880</x:v>
      </x:c>
      <x:c r="P58" s="14" t="n">
        <x:v>6</x:v>
      </x:c>
      <x:c r="Q58" s="14" t="n">
        <x:v>2</x:v>
      </x:c>
      <x:c r="R58" s="14" t="n">
        <x:v>2</x:v>
      </x:c>
      <x:c r="S58" s="14" t="str">
        <x:v>未收錄</x:v>
      </x:c>
      <x:c r="T58" s="14" t="str">
        <x:v>9089</x:v>
      </x:c>
      <x:c r="U58" s="14" t="n">
        <x:v>14</x:v>
      </x:c>
      <x:c r="V58" s="14" t="n">
        <x:v>4881</x:v>
      </x:c>
      <x:c r="W58" s="14" t="n">
        <x:v>7</x:v>
      </x:c>
      <x:c r="X58" s="14" t="n">
        <x:v>2</x:v>
      </x:c>
      <x:c r="Y58" s="14" t="n">
        <x:v>3</x:v>
      </x:c>
      <x:c r="Z58" s="14" t="str">
        <x:v>未收錄</x:v>
      </x:c>
      <x:c r="AA58" s="14" t="str">
        <x:v>9090</x:v>
      </x:c>
      <x:c r="AB58" s="14" t="n">
        <x:v>14</x:v>
      </x:c>
      <x:c r="AC58" s="14" t="n">
        <x:v>4882</x:v>
      </x:c>
      <x:c r="AD58" s="14" t="n">
        <x:v>8</x:v>
      </x:c>
      <x:c r="AE58" s="14" t="n">
        <x:v>2</x:v>
      </x:c>
      <x:c r="AF58" s="14" t="n">
        <x:v>4</x:v>
      </x:c>
      <x:c r="AG58" s="14" t="str">
        <x:v>未收錄</x:v>
      </x:c>
    </x:row>
    <x:row r="59" ht="15" customHeight="1">
      <x:c r="A59" s="17" t="str">
        <x:v>[隱者狸仙]</x:v>
      </x:c>
      <x:c r="B59" s="17" t="str">
        <x:v>[千年靈芝精]</x:v>
      </x:c>
      <x:c r="C59" s="17" t="str">
        <x:v>[千年蔘精]</x:v>
      </x:c>
      <x:c r="D59" s="17" t="str">
        <x:v>[獵鷹]</x:v>
      </x:c>
      <x:c r="E59" s="14"/>
      <x:c r="F59" s="14" t="str">
        <x:v>9091</x:v>
      </x:c>
      <x:c r="G59" s="14" t="n">
        <x:v>14</x:v>
      </x:c>
      <x:c r="H59" s="14" t="n">
        <x:v>4883</x:v>
      </x:c>
      <x:c r="I59" s="14" t="n">
        <x:v>9</x:v>
      </x:c>
      <x:c r="J59" s="14" t="n">
        <x:v>3</x:v>
      </x:c>
      <x:c r="K59" s="14" t="n">
        <x:v>1</x:v>
      </x:c>
      <x:c r="L59" s="14" t="str">
        <x:v>未收錄</x:v>
      </x:c>
      <x:c r="M59" s="14" t="str">
        <x:v>9092</x:v>
      </x:c>
      <x:c r="N59" s="14" t="n">
        <x:v>14</x:v>
      </x:c>
      <x:c r="O59" s="14" t="n">
        <x:v>4884</x:v>
      </x:c>
      <x:c r="P59" s="14" t="n">
        <x:v>10</x:v>
      </x:c>
      <x:c r="Q59" s="14" t="n">
        <x:v>3</x:v>
      </x:c>
      <x:c r="R59" s="14" t="n">
        <x:v>2</x:v>
      </x:c>
      <x:c r="S59" s="14" t="str">
        <x:v>未收錄</x:v>
      </x:c>
      <x:c r="T59" s="14" t="str">
        <x:v>9093</x:v>
      </x:c>
      <x:c r="U59" s="14" t="n">
        <x:v>14</x:v>
      </x:c>
      <x:c r="V59" s="14" t="n">
        <x:v>4885</x:v>
      </x:c>
      <x:c r="W59" s="14" t="n">
        <x:v>11</x:v>
      </x:c>
      <x:c r="X59" s="14" t="n">
        <x:v>3</x:v>
      </x:c>
      <x:c r="Y59" s="14" t="n">
        <x:v>3</x:v>
      </x:c>
      <x:c r="Z59" s="14" t="str">
        <x:v>未收錄</x:v>
      </x:c>
      <x:c r="AA59" s="14" t="str">
        <x:v>9094</x:v>
      </x:c>
      <x:c r="AB59" s="14" t="n">
        <x:v>14</x:v>
      </x:c>
      <x:c r="AC59" s="14" t="n">
        <x:v>4886</x:v>
      </x:c>
      <x:c r="AD59" s="14" t="n">
        <x:v>12</x:v>
      </x:c>
      <x:c r="AE59" s="14" t="n">
        <x:v>3</x:v>
      </x:c>
      <x:c r="AF59" s="14" t="n">
        <x:v>4</x:v>
      </x:c>
      <x:c r="AG59" s="14" t="str">
        <x:v>未收錄</x:v>
      </x:c>
    </x:row>
    <x:row r="60" ht="15" customHeight="1">
      <x:c r="A60" s="18" t="str">
        <x:v>[黑豹]</x:v>
      </x:c>
      <x:c r="B60" s="18" t="str">
        <x:v>[巨禿鷹]</x:v>
      </x:c>
      <x:c r="C60" s="18" t="str">
        <x:v>[飛毛跳鼠]</x:v>
      </x:c>
      <x:c r="D60" s="18" t="str">
        <x:v>[熊武者]</x:v>
      </x:c>
      <x:c r="E60" s="14"/>
      <x:c r="F60" s="14" t="str">
        <x:v>9095</x:v>
      </x:c>
      <x:c r="G60" s="14" t="n">
        <x:v>14</x:v>
      </x:c>
      <x:c r="H60" s="14" t="n">
        <x:v>4887</x:v>
      </x:c>
      <x:c r="I60" s="14" t="n">
        <x:v>13</x:v>
      </x:c>
      <x:c r="J60" s="14" t="n">
        <x:v>4</x:v>
      </x:c>
      <x:c r="K60" s="14" t="n">
        <x:v>1</x:v>
      </x:c>
      <x:c r="L60" s="14" t="str">
        <x:v>未收錄</x:v>
      </x:c>
      <x:c r="M60" s="14" t="str">
        <x:v>9096</x:v>
      </x:c>
      <x:c r="N60" s="14" t="n">
        <x:v>14</x:v>
      </x:c>
      <x:c r="O60" s="14" t="n">
        <x:v>4888</x:v>
      </x:c>
      <x:c r="P60" s="14" t="n">
        <x:v>14</x:v>
      </x:c>
      <x:c r="Q60" s="14" t="n">
        <x:v>4</x:v>
      </x:c>
      <x:c r="R60" s="14" t="n">
        <x:v>2</x:v>
      </x:c>
      <x:c r="S60" s="14" t="str">
        <x:v>未收錄</x:v>
      </x:c>
      <x:c r="T60" s="14" t="str">
        <x:v>9097</x:v>
      </x:c>
      <x:c r="U60" s="14" t="n">
        <x:v>14</x:v>
      </x:c>
      <x:c r="V60" s="14" t="n">
        <x:v>4889</x:v>
      </x:c>
      <x:c r="W60" s="14" t="n">
        <x:v>15</x:v>
      </x:c>
      <x:c r="X60" s="14" t="n">
        <x:v>4</x:v>
      </x:c>
      <x:c r="Y60" s="14" t="n">
        <x:v>3</x:v>
      </x:c>
      <x:c r="Z60" s="14" t="str">
        <x:v>未收錄</x:v>
      </x:c>
      <x:c r="AA60" s="14" t="str">
        <x:v>9553</x:v>
      </x:c>
      <x:c r="AB60" s="14" t="n">
        <x:v>14</x:v>
      </x:c>
      <x:c r="AC60" s="14" t="n">
        <x:v>4890</x:v>
      </x:c>
      <x:c r="AD60" s="14" t="n">
        <x:v>16</x:v>
      </x:c>
      <x:c r="AE60" s="14" t="n">
        <x:v>4</x:v>
      </x:c>
      <x:c r="AF60" s="14" t="n">
        <x:v>4</x:v>
      </x:c>
      <x:c r="AG60" s="14" t="str">
        <x:v>未收錄</x:v>
      </x:c>
    </x:row>
    <x:row r="61" ht="15" customHeight="1">
      <x:c r="A61" s="17" t="str">
        <x:v>[鳳凰]</x:v>
      </x:c>
      <x:c r="B61" s="17" t="str">
        <x:v>[嘯地幼犀]</x:v>
      </x:c>
      <x:c r="C61" s="17" t="str">
        <x:v>[傘鬼]</x:v>
      </x:c>
      <x:c r="D61" s="17" t="str">
        <x:v>烏羽天狗</x:v>
      </x:c>
      <x:c r="E61" s="14"/>
      <x:c r="F61" s="14" t="str">
        <x:v>9554</x:v>
      </x:c>
      <x:c r="G61" s="14" t="n">
        <x:v>14</x:v>
      </x:c>
      <x:c r="H61" s="14" t="n">
        <x:v>4891</x:v>
      </x:c>
      <x:c r="I61" s="14" t="n">
        <x:v>17</x:v>
      </x:c>
      <x:c r="J61" s="14" t="n">
        <x:v>5</x:v>
      </x:c>
      <x:c r="K61" s="14" t="n">
        <x:v>1</x:v>
      </x:c>
      <x:c r="L61" s="14" t="str">
        <x:v>未收錄</x:v>
      </x:c>
      <x:c r="M61" s="14" t="str">
        <x:v>9555</x:v>
      </x:c>
      <x:c r="N61" s="14" t="n">
        <x:v>14</x:v>
      </x:c>
      <x:c r="O61" s="14" t="n">
        <x:v>4892</x:v>
      </x:c>
      <x:c r="P61" s="14" t="n">
        <x:v>18</x:v>
      </x:c>
      <x:c r="Q61" s="14" t="n">
        <x:v>5</x:v>
      </x:c>
      <x:c r="R61" s="14" t="n">
        <x:v>2</x:v>
      </x:c>
      <x:c r="S61" s="14" t="str">
        <x:v>未收錄</x:v>
      </x:c>
      <x:c r="T61" s="14" t="str">
        <x:v>9556</x:v>
      </x:c>
      <x:c r="U61" s="14" t="n">
        <x:v>14</x:v>
      </x:c>
      <x:c r="V61" s="14" t="n">
        <x:v>4893</x:v>
      </x:c>
      <x:c r="W61" s="14" t="n">
        <x:v>19</x:v>
      </x:c>
      <x:c r="X61" s="14" t="n">
        <x:v>5</x:v>
      </x:c>
      <x:c r="Y61" s="14" t="n">
        <x:v>3</x:v>
      </x:c>
      <x:c r="Z61" s="14" t="str">
        <x:v>未收錄</x:v>
      </x:c>
      <x:c r="AA61" s="14" t="str">
        <x:v>9500</x:v>
      </x:c>
      <x:c r="AB61" s="14" t="n">
        <x:v>21</x:v>
      </x:c>
      <x:c r="AC61" s="14" t="n">
        <x:v>4894</x:v>
      </x:c>
      <x:c r="AD61" s="14" t="n">
        <x:v>20</x:v>
      </x:c>
      <x:c r="AE61" s="14" t="n">
        <x:v>5</x:v>
      </x:c>
      <x:c r="AF61" s="14" t="n">
        <x:v>4</x:v>
      </x:c>
      <x:c r="AG61" s="14" t="str">
        <x:v>未收錄</x:v>
      </x:c>
    </x:row>
    <x:row r="62">
      <x:c r="A62" s="14"/>
      <x:c r="B62" s="14"/>
      <x:c r="C62" s="14"/>
      <x:c r="D62" s="14"/>
      <x:c r="E62" s="14"/>
      <x:c r="F62" s="14"/>
      <x:c r="G62" s="14"/>
      <x:c r="H62" s="14"/>
      <x:c r="I62" s="14"/>
      <x:c r="J62" s="14"/>
      <x:c r="K62" s="14"/>
      <x:c r="L62" s="14"/>
      <x:c r="M62" s="14"/>
      <x:c r="N62" s="14"/>
      <x:c r="O62" s="14"/>
      <x:c r="P62" s="14"/>
      <x:c r="Q62" s="14"/>
      <x:c r="R62" s="14"/>
      <x:c r="S62" s="14"/>
      <x:c r="T62" s="14"/>
      <x:c r="U62" s="14"/>
      <x:c r="V62" s="14"/>
      <x:c r="W62" s="14"/>
      <x:c r="X62" s="14"/>
      <x:c r="Y62" s="14"/>
      <x:c r="Z62" s="14"/>
      <x:c r="AA62" s="14"/>
      <x:c r="AB62" s="14"/>
      <x:c r="AC62" s="14"/>
      <x:c r="AD62" s="14"/>
      <x:c r="AE62" s="14"/>
      <x:c r="AF62" s="14"/>
      <x:c r="AG62" s="14"/>
    </x:row>
    <x:row r="63" ht="25" customHeight="1">
      <x:c r="A63" s="16" t="str">
        <x:v>8星・八卦　／　22 筆</x:v>
      </x:c>
      <x:c r="B63" s="16"/>
      <x:c r="C63" s="16"/>
      <x:c r="D63" s="16"/>
      <x:c r="E63" s="14"/>
      <x:c r="F63" s="14"/>
      <x:c r="G63" s="14"/>
      <x:c r="H63" s="14"/>
      <x:c r="I63" s="14"/>
      <x:c r="J63" s="14"/>
      <x:c r="K63" s="14"/>
      <x:c r="L63" s="14"/>
      <x:c r="M63" s="14"/>
      <x:c r="N63" s="14"/>
      <x:c r="O63" s="14"/>
      <x:c r="P63" s="14"/>
      <x:c r="Q63" s="14"/>
      <x:c r="R63" s="14"/>
      <x:c r="S63" s="14"/>
      <x:c r="T63" s="14"/>
      <x:c r="U63" s="14"/>
      <x:c r="V63" s="14"/>
      <x:c r="W63" s="14"/>
      <x:c r="X63" s="14"/>
      <x:c r="Y63" s="14"/>
      <x:c r="Z63" s="14"/>
      <x:c r="AA63" s="14"/>
      <x:c r="AB63" s="14"/>
      <x:c r="AC63" s="14"/>
      <x:c r="AD63" s="14"/>
      <x:c r="AE63" s="14"/>
      <x:c r="AF63" s="14"/>
      <x:c r="AG63" s="14"/>
    </x:row>
    <x:row r="64" ht="15" customHeight="1">
      <x:c r="A64" s="17" t="str">
        <x:v>[白骨精]</x:v>
      </x:c>
      <x:c r="B64" s="17" t="str">
        <x:v>[將軍俑]</x:v>
      </x:c>
      <x:c r="C64" s="17" t="str">
        <x:v>[千年樹精]</x:v>
      </x:c>
      <x:c r="D64" s="17" t="str">
        <x:v>[千年花精]</x:v>
      </x:c>
      <x:c r="E64" s="14"/>
      <x:c r="F64" s="14" t="str">
        <x:v>9569</x:v>
      </x:c>
      <x:c r="G64" s="14" t="n">
        <x:v>16</x:v>
      </x:c>
      <x:c r="H64" s="14" t="n">
        <x:v>4895</x:v>
      </x:c>
      <x:c r="I64" s="14" t="n">
        <x:v>1</x:v>
      </x:c>
      <x:c r="J64" s="14" t="n">
        <x:v>1</x:v>
      </x:c>
      <x:c r="K64" s="14" t="n">
        <x:v>1</x:v>
      </x:c>
      <x:c r="L64" s="14" t="str">
        <x:v>未收錄</x:v>
      </x:c>
      <x:c r="M64" s="14" t="str">
        <x:v>9570</x:v>
      </x:c>
      <x:c r="N64" s="14" t="n">
        <x:v>16</x:v>
      </x:c>
      <x:c r="O64" s="14" t="n">
        <x:v>4896</x:v>
      </x:c>
      <x:c r="P64" s="14" t="n">
        <x:v>2</x:v>
      </x:c>
      <x:c r="Q64" s="14" t="n">
        <x:v>1</x:v>
      </x:c>
      <x:c r="R64" s="14" t="n">
        <x:v>2</x:v>
      </x:c>
      <x:c r="S64" s="14" t="str">
        <x:v>未收錄</x:v>
      </x:c>
      <x:c r="T64" s="14" t="str">
        <x:v>9571</x:v>
      </x:c>
      <x:c r="U64" s="14" t="n">
        <x:v>16</x:v>
      </x:c>
      <x:c r="V64" s="14" t="n">
        <x:v>4897</x:v>
      </x:c>
      <x:c r="W64" s="14" t="n">
        <x:v>3</x:v>
      </x:c>
      <x:c r="X64" s="14" t="n">
        <x:v>1</x:v>
      </x:c>
      <x:c r="Y64" s="14" t="n">
        <x:v>3</x:v>
      </x:c>
      <x:c r="Z64" s="14" t="str">
        <x:v>未收錄</x:v>
      </x:c>
      <x:c r="AA64" s="14" t="str">
        <x:v>9572</x:v>
      </x:c>
      <x:c r="AB64" s="14" t="n">
        <x:v>16</x:v>
      </x:c>
      <x:c r="AC64" s="14" t="n">
        <x:v>4898</x:v>
      </x:c>
      <x:c r="AD64" s="14" t="n">
        <x:v>4</x:v>
      </x:c>
      <x:c r="AE64" s="14" t="n">
        <x:v>1</x:v>
      </x:c>
      <x:c r="AF64" s="14" t="n">
        <x:v>4</x:v>
      </x:c>
      <x:c r="AG64" s="14" t="str">
        <x:v>未收錄</x:v>
      </x:c>
    </x:row>
    <x:row r="65" ht="15" customHeight="1">
      <x:c r="A65" s="18" t="str">
        <x:v>[天山食人虎]</x:v>
      </x:c>
      <x:c r="B65" s="18" t="str">
        <x:v>[天山巨猿]</x:v>
      </x:c>
      <x:c r="C65" s="18" t="str">
        <x:v>[草原戰士]</x:v>
      </x:c>
      <x:c r="D65" s="18" t="str">
        <x:v>[疾風戰士]</x:v>
      </x:c>
      <x:c r="E65" s="14"/>
      <x:c r="F65" s="14" t="str">
        <x:v>9573</x:v>
      </x:c>
      <x:c r="G65" s="14" t="n">
        <x:v>16</x:v>
      </x:c>
      <x:c r="H65" s="14" t="n">
        <x:v>4899</x:v>
      </x:c>
      <x:c r="I65" s="14" t="n">
        <x:v>5</x:v>
      </x:c>
      <x:c r="J65" s="14" t="n">
        <x:v>2</x:v>
      </x:c>
      <x:c r="K65" s="14" t="n">
        <x:v>1</x:v>
      </x:c>
      <x:c r="L65" s="14" t="str">
        <x:v>未收錄</x:v>
      </x:c>
      <x:c r="M65" s="14" t="str">
        <x:v>9574</x:v>
      </x:c>
      <x:c r="N65" s="14" t="n">
        <x:v>16</x:v>
      </x:c>
      <x:c r="O65" s="14" t="n">
        <x:v>4900</x:v>
      </x:c>
      <x:c r="P65" s="14" t="n">
        <x:v>6</x:v>
      </x:c>
      <x:c r="Q65" s="14" t="n">
        <x:v>2</x:v>
      </x:c>
      <x:c r="R65" s="14" t="n">
        <x:v>2</x:v>
      </x:c>
      <x:c r="S65" s="14" t="str">
        <x:v>未收錄</x:v>
      </x:c>
      <x:c r="T65" s="14" t="str">
        <x:v>9575</x:v>
      </x:c>
      <x:c r="U65" s="14" t="n">
        <x:v>16</x:v>
      </x:c>
      <x:c r="V65" s="14" t="n">
        <x:v>4901</x:v>
      </x:c>
      <x:c r="W65" s="14" t="n">
        <x:v>7</x:v>
      </x:c>
      <x:c r="X65" s="14" t="n">
        <x:v>2</x:v>
      </x:c>
      <x:c r="Y65" s="14" t="n">
        <x:v>3</x:v>
      </x:c>
      <x:c r="Z65" s="14" t="str">
        <x:v>未收錄</x:v>
      </x:c>
      <x:c r="AA65" s="14" t="str">
        <x:v>9576</x:v>
      </x:c>
      <x:c r="AB65" s="14" t="n">
        <x:v>16</x:v>
      </x:c>
      <x:c r="AC65" s="14" t="n">
        <x:v>4902</x:v>
      </x:c>
      <x:c r="AD65" s="14" t="n">
        <x:v>8</x:v>
      </x:c>
      <x:c r="AE65" s="14" t="n">
        <x:v>2</x:v>
      </x:c>
      <x:c r="AF65" s="14" t="n">
        <x:v>4</x:v>
      </x:c>
      <x:c r="AG65" s="14" t="str">
        <x:v>未收錄</x:v>
      </x:c>
    </x:row>
    <x:row r="66" ht="15" customHeight="1">
      <x:c r="A66" s="17" t="str">
        <x:v>[銅石龜]</x:v>
      </x:c>
      <x:c r="B66" s="17" t="str">
        <x:v>[神行跳鼠]</x:v>
      </x:c>
      <x:c r="C66" s="17" t="str">
        <x:v>[嘯地巨犀]</x:v>
      </x:c>
      <x:c r="D66" s="17" t="str">
        <x:v>[火蕈傘人]</x:v>
      </x:c>
      <x:c r="E66" s="14"/>
      <x:c r="F66" s="14" t="str">
        <x:v>9577</x:v>
      </x:c>
      <x:c r="G66" s="14" t="n">
        <x:v>16</x:v>
      </x:c>
      <x:c r="H66" s="14" t="n">
        <x:v>4903</x:v>
      </x:c>
      <x:c r="I66" s="14" t="n">
        <x:v>9</x:v>
      </x:c>
      <x:c r="J66" s="14" t="n">
        <x:v>3</x:v>
      </x:c>
      <x:c r="K66" s="14" t="n">
        <x:v>1</x:v>
      </x:c>
      <x:c r="L66" s="14" t="str">
        <x:v>未收錄</x:v>
      </x:c>
      <x:c r="M66" s="14" t="str">
        <x:v>9578</x:v>
      </x:c>
      <x:c r="N66" s="14" t="n">
        <x:v>16</x:v>
      </x:c>
      <x:c r="O66" s="14" t="n">
        <x:v>4904</x:v>
      </x:c>
      <x:c r="P66" s="14" t="n">
        <x:v>10</x:v>
      </x:c>
      <x:c r="Q66" s="14" t="n">
        <x:v>3</x:v>
      </x:c>
      <x:c r="R66" s="14" t="n">
        <x:v>2</x:v>
      </x:c>
      <x:c r="S66" s="14" t="str">
        <x:v>未收錄</x:v>
      </x:c>
      <x:c r="T66" s="14" t="str">
        <x:v>9579</x:v>
      </x:c>
      <x:c r="U66" s="14" t="n">
        <x:v>16</x:v>
      </x:c>
      <x:c r="V66" s="14" t="n">
        <x:v>4905</x:v>
      </x:c>
      <x:c r="W66" s="14" t="n">
        <x:v>11</x:v>
      </x:c>
      <x:c r="X66" s="14" t="n">
        <x:v>3</x:v>
      </x:c>
      <x:c r="Y66" s="14" t="n">
        <x:v>3</x:v>
      </x:c>
      <x:c r="Z66" s="14" t="str">
        <x:v>未收錄</x:v>
      </x:c>
      <x:c r="AA66" s="14" t="str">
        <x:v>9580</x:v>
      </x:c>
      <x:c r="AB66" s="14" t="n">
        <x:v>16</x:v>
      </x:c>
      <x:c r="AC66" s="14" t="n">
        <x:v>4906</x:v>
      </x:c>
      <x:c r="AD66" s="14" t="n">
        <x:v>12</x:v>
      </x:c>
      <x:c r="AE66" s="14" t="n">
        <x:v>3</x:v>
      </x:c>
      <x:c r="AF66" s="14" t="n">
        <x:v>4</x:v>
      </x:c>
      <x:c r="AG66" s="14" t="str">
        <x:v>未收錄</x:v>
      </x:c>
    </x:row>
    <x:row r="67" ht="15" customHeight="1">
      <x:c r="A67" s="18" t="str">
        <x:v>[冰蕈傘人]</x:v>
      </x:c>
      <x:c r="B67" s="18" t="str">
        <x:v>[毒蕈傘人]</x:v>
      </x:c>
      <x:c r="C67" s="18" t="str">
        <x:v>[激雷鐮鼬]</x:v>
      </x:c>
      <x:c r="D67" s="18" t="str">
        <x:v>[鬼河童]</x:v>
      </x:c>
      <x:c r="E67" s="14"/>
      <x:c r="F67" s="14" t="str">
        <x:v>9581</x:v>
      </x:c>
      <x:c r="G67" s="14" t="n">
        <x:v>16</x:v>
      </x:c>
      <x:c r="H67" s="14" t="n">
        <x:v>4907</x:v>
      </x:c>
      <x:c r="I67" s="14" t="n">
        <x:v>13</x:v>
      </x:c>
      <x:c r="J67" s="14" t="n">
        <x:v>4</x:v>
      </x:c>
      <x:c r="K67" s="14" t="n">
        <x:v>1</x:v>
      </x:c>
      <x:c r="L67" s="14" t="str">
        <x:v>未收錄</x:v>
      </x:c>
      <x:c r="M67" s="14" t="str">
        <x:v>9582</x:v>
      </x:c>
      <x:c r="N67" s="14" t="n">
        <x:v>16</x:v>
      </x:c>
      <x:c r="O67" s="14" t="n">
        <x:v>4908</x:v>
      </x:c>
      <x:c r="P67" s="14" t="n">
        <x:v>14</x:v>
      </x:c>
      <x:c r="Q67" s="14" t="n">
        <x:v>4</x:v>
      </x:c>
      <x:c r="R67" s="14" t="n">
        <x:v>2</x:v>
      </x:c>
      <x:c r="S67" s="14" t="str">
        <x:v>未收錄</x:v>
      </x:c>
      <x:c r="T67" s="14" t="str">
        <x:v>9583</x:v>
      </x:c>
      <x:c r="U67" s="14" t="n">
        <x:v>16</x:v>
      </x:c>
      <x:c r="V67" s="14" t="n">
        <x:v>4909</x:v>
      </x:c>
      <x:c r="W67" s="14" t="n">
        <x:v>15</x:v>
      </x:c>
      <x:c r="X67" s="14" t="n">
        <x:v>4</x:v>
      </x:c>
      <x:c r="Y67" s="14" t="n">
        <x:v>3</x:v>
      </x:c>
      <x:c r="Z67" s="14" t="str">
        <x:v>未收錄</x:v>
      </x:c>
      <x:c r="AA67" s="14" t="str">
        <x:v>9584</x:v>
      </x:c>
      <x:c r="AB67" s="14" t="n">
        <x:v>16</x:v>
      </x:c>
      <x:c r="AC67" s="14" t="n">
        <x:v>4910</x:v>
      </x:c>
      <x:c r="AD67" s="14" t="n">
        <x:v>16</x:v>
      </x:c>
      <x:c r="AE67" s="14" t="n">
        <x:v>4</x:v>
      </x:c>
      <x:c r="AF67" s="14" t="n">
        <x:v>4</x:v>
      </x:c>
      <x:c r="AG67" s="14" t="str">
        <x:v>未收錄</x:v>
      </x:c>
    </x:row>
    <x:row r="68" ht="15" customHeight="1">
      <x:c r="A68" s="17" t="str">
        <x:v>真火鳳凰</x:v>
      </x:c>
      <x:c r="B68" s="17" t="str">
        <x:v>冰塵白鋼獅</x:v>
      </x:c>
      <x:c r="C68" s="17" t="str">
        <x:v>蒼穹神翔牛</x:v>
      </x:c>
      <x:c r="D68" s="17" t="str">
        <x:v>九皇天尊龍</x:v>
      </x:c>
      <x:c r="E68" s="14"/>
      <x:c r="F68" s="14" t="str">
        <x:v>9568</x:v>
      </x:c>
      <x:c r="G68" s="14" t="n">
        <x:v>50</x:v>
      </x:c>
      <x:c r="H68" s="14" t="n">
        <x:v>4911</x:v>
      </x:c>
      <x:c r="I68" s="14" t="n">
        <x:v>17</x:v>
      </x:c>
      <x:c r="J68" s="14" t="n">
        <x:v>5</x:v>
      </x:c>
      <x:c r="K68" s="14" t="n">
        <x:v>1</x:v>
      </x:c>
      <x:c r="L68" s="14" t="str">
        <x:v>未收錄</x:v>
      </x:c>
      <x:c r="M68" s="14" t="str">
        <x:v>9662</x:v>
      </x:c>
      <x:c r="N68" s="14" t="n">
        <x:v>50</x:v>
      </x:c>
      <x:c r="O68" s="14" t="n">
        <x:v>4912</x:v>
      </x:c>
      <x:c r="P68" s="14" t="n">
        <x:v>18</x:v>
      </x:c>
      <x:c r="Q68" s="14" t="n">
        <x:v>5</x:v>
      </x:c>
      <x:c r="R68" s="14" t="n">
        <x:v>2</x:v>
      </x:c>
      <x:c r="S68" s="14" t="str">
        <x:v>未收錄</x:v>
      </x:c>
      <x:c r="T68" s="14" t="str">
        <x:v>9885</x:v>
      </x:c>
      <x:c r="U68" s="14" t="n">
        <x:v>50</x:v>
      </x:c>
      <x:c r="V68" s="14" t="n">
        <x:v>4913</x:v>
      </x:c>
      <x:c r="W68" s="14" t="n">
        <x:v>19</x:v>
      </x:c>
      <x:c r="X68" s="14" t="n">
        <x:v>5</x:v>
      </x:c>
      <x:c r="Y68" s="14" t="n">
        <x:v>3</x:v>
      </x:c>
      <x:c r="Z68" s="14" t="str">
        <x:v>未收錄</x:v>
      </x:c>
      <x:c r="AA68" s="14" t="str">
        <x:v>9934</x:v>
      </x:c>
      <x:c r="AB68" s="14" t="n">
        <x:v>50</x:v>
      </x:c>
      <x:c r="AC68" s="14" t="n">
        <x:v>4914</x:v>
      </x:c>
      <x:c r="AD68" s="14" t="n">
        <x:v>20</x:v>
      </x:c>
      <x:c r="AE68" s="14" t="n">
        <x:v>5</x:v>
      </x:c>
      <x:c r="AF68" s="14" t="n">
        <x:v>4</x:v>
      </x:c>
      <x:c r="AG68" s="14" t="str">
        <x:v>未收錄</x:v>
      </x:c>
    </x:row>
    <x:row r="69" ht="15" customHeight="1">
      <x:c r="A69" s="18" t="str">
        <x:v>天山黑霸</x:v>
      </x:c>
      <x:c r="B69" s="18" t="str">
        <x:v>第六天鬼王</x:v>
      </x:c>
      <x:c r="C69" s="18"/>
      <x:c r="D69" s="18"/>
      <x:c r="E69" s="14"/>
      <x:c r="F69" s="14" t="str">
        <x:v>14187</x:v>
      </x:c>
      <x:c r="G69" s="14" t="n">
        <x:v>24</x:v>
      </x:c>
      <x:c r="H69" s="14" t="n">
        <x:v>4915</x:v>
      </x:c>
      <x:c r="I69" s="14" t="n">
        <x:v>21</x:v>
      </x:c>
      <x:c r="J69" s="14" t="n">
        <x:v>6</x:v>
      </x:c>
      <x:c r="K69" s="14" t="n">
        <x:v>1</x:v>
      </x:c>
      <x:c r="L69" s="14" t="str">
        <x:v>未收錄</x:v>
      </x:c>
      <x:c r="M69" s="14" t="str">
        <x:v>9823</x:v>
      </x:c>
      <x:c r="N69" s="14" t="n">
        <x:v>50</x:v>
      </x:c>
      <x:c r="O69" s="14" t="n">
        <x:v>4916</x:v>
      </x:c>
      <x:c r="P69" s="14" t="n">
        <x:v>22</x:v>
      </x:c>
      <x:c r="Q69" s="14" t="n">
        <x:v>6</x:v>
      </x:c>
      <x:c r="R69" s="14" t="n">
        <x:v>2</x:v>
      </x:c>
      <x:c r="S69" s="14" t="str">
        <x:v>未收錄</x:v>
      </x:c>
      <x:c r="T69" s="14"/>
      <x:c r="U69" s="14"/>
      <x:c r="V69" s="14"/>
      <x:c r="W69" s="14"/>
      <x:c r="X69" s="14"/>
      <x:c r="Y69" s="14"/>
      <x:c r="Z69" s="14"/>
      <x:c r="AA69" s="14"/>
      <x:c r="AB69" s="14"/>
      <x:c r="AC69" s="14"/>
      <x:c r="AD69" s="14"/>
      <x:c r="AE69" s="14"/>
      <x:c r="AF69" s="14"/>
      <x:c r="AG69" s="14"/>
    </x:row>
    <x:row r="70">
      <x:c r="A70" s="14"/>
      <x:c r="B70" s="14"/>
      <x:c r="C70" s="14"/>
      <x:c r="D70" s="14"/>
      <x:c r="E70" s="14"/>
      <x:c r="F70" s="14"/>
      <x:c r="G70" s="14"/>
      <x:c r="H70" s="14"/>
      <x:c r="I70" s="14"/>
      <x:c r="J70" s="14"/>
      <x:c r="K70" s="14"/>
      <x:c r="L70" s="14"/>
      <x:c r="M70" s="14"/>
      <x:c r="N70" s="14"/>
      <x:c r="O70" s="14"/>
      <x:c r="P70" s="14"/>
      <x:c r="Q70" s="14"/>
      <x:c r="R70" s="14"/>
      <x:c r="S70" s="14"/>
      <x:c r="T70" s="14"/>
      <x:c r="U70" s="14"/>
      <x:c r="V70" s="14"/>
      <x:c r="W70" s="14"/>
      <x:c r="X70" s="14"/>
      <x:c r="Y70" s="14"/>
      <x:c r="Z70" s="14"/>
      <x:c r="AA70" s="14"/>
      <x:c r="AB70" s="14"/>
      <x:c r="AC70" s="14"/>
      <x:c r="AD70" s="14"/>
      <x:c r="AE70" s="14"/>
      <x:c r="AF70" s="14"/>
      <x:c r="AG70" s="14"/>
    </x:row>
    <x:row r="71" ht="25" customHeight="1">
      <x:c r="A71" s="16" t="str">
        <x:v>9星・九如　／　28 筆</x:v>
      </x:c>
      <x:c r="B71" s="16"/>
      <x:c r="C71" s="16"/>
      <x:c r="D71" s="16"/>
      <x:c r="E71" s="14"/>
      <x:c r="F71" s="14"/>
      <x:c r="G71" s="14"/>
      <x:c r="H71" s="14"/>
      <x:c r="I71" s="14"/>
      <x:c r="J71" s="14"/>
      <x:c r="K71" s="14"/>
      <x:c r="L71" s="14"/>
      <x:c r="M71" s="14"/>
      <x:c r="N71" s="14"/>
      <x:c r="O71" s="14"/>
      <x:c r="P71" s="14"/>
      <x:c r="Q71" s="14"/>
      <x:c r="R71" s="14"/>
      <x:c r="S71" s="14"/>
      <x:c r="T71" s="14"/>
      <x:c r="U71" s="14"/>
      <x:c r="V71" s="14"/>
      <x:c r="W71" s="14"/>
      <x:c r="X71" s="14"/>
      <x:c r="Y71" s="14"/>
      <x:c r="Z71" s="14"/>
      <x:c r="AA71" s="14"/>
      <x:c r="AB71" s="14"/>
      <x:c r="AC71" s="14"/>
      <x:c r="AD71" s="14"/>
      <x:c r="AE71" s="14"/>
      <x:c r="AF71" s="14"/>
      <x:c r="AG71" s="14"/>
    </x:row>
    <x:row r="72" ht="15" customHeight="1">
      <x:c r="A72" s="17" t="str">
        <x:v>[晶石怪]</x:v>
      </x:c>
      <x:c r="B72" s="17" t="str">
        <x:v>[魅亂傘鬼]</x:v>
      </x:c>
      <x:c r="C72" s="17" t="str">
        <x:v>[黑天妖魔]</x:v>
      </x:c>
      <x:c r="D72" s="17" t="str">
        <x:v>[冰執鐮鼬]</x:v>
      </x:c>
      <x:c r="E72" s="14"/>
      <x:c r="F72" s="14" t="str">
        <x:v>14034</x:v>
      </x:c>
      <x:c r="G72" s="14" t="n">
        <x:v>18</x:v>
      </x:c>
      <x:c r="H72" s="14" t="n">
        <x:v>4917</x:v>
      </x:c>
      <x:c r="I72" s="14" t="n">
        <x:v>1</x:v>
      </x:c>
      <x:c r="J72" s="14" t="n">
        <x:v>1</x:v>
      </x:c>
      <x:c r="K72" s="14" t="n">
        <x:v>1</x:v>
      </x:c>
      <x:c r="L72" s="14" t="str">
        <x:v>未收錄</x:v>
      </x:c>
      <x:c r="M72" s="14" t="str">
        <x:v>14035</x:v>
      </x:c>
      <x:c r="N72" s="14" t="n">
        <x:v>18</x:v>
      </x:c>
      <x:c r="O72" s="14" t="n">
        <x:v>4918</x:v>
      </x:c>
      <x:c r="P72" s="14" t="n">
        <x:v>2</x:v>
      </x:c>
      <x:c r="Q72" s="14" t="n">
        <x:v>1</x:v>
      </x:c>
      <x:c r="R72" s="14" t="n">
        <x:v>2</x:v>
      </x:c>
      <x:c r="S72" s="14" t="str">
        <x:v>未收錄</x:v>
      </x:c>
      <x:c r="T72" s="14" t="str">
        <x:v>14036</x:v>
      </x:c>
      <x:c r="U72" s="14" t="n">
        <x:v>18</x:v>
      </x:c>
      <x:c r="V72" s="14" t="n">
        <x:v>4919</x:v>
      </x:c>
      <x:c r="W72" s="14" t="n">
        <x:v>3</x:v>
      </x:c>
      <x:c r="X72" s="14" t="n">
        <x:v>1</x:v>
      </x:c>
      <x:c r="Y72" s="14" t="n">
        <x:v>3</x:v>
      </x:c>
      <x:c r="Z72" s="14" t="str">
        <x:v>未收錄</x:v>
      </x:c>
      <x:c r="AA72" s="14" t="str">
        <x:v>14037</x:v>
      </x:c>
      <x:c r="AB72" s="14" t="n">
        <x:v>18</x:v>
      </x:c>
      <x:c r="AC72" s="14" t="n">
        <x:v>4920</x:v>
      </x:c>
      <x:c r="AD72" s="14" t="n">
        <x:v>4</x:v>
      </x:c>
      <x:c r="AE72" s="14" t="n">
        <x:v>1</x:v>
      </x:c>
      <x:c r="AF72" s="14" t="n">
        <x:v>4</x:v>
      </x:c>
      <x:c r="AG72" s="14" t="str">
        <x:v>未收錄</x:v>
      </x:c>
    </x:row>
    <x:row r="73" ht="15" customHeight="1">
      <x:c r="A73" s="18" t="str">
        <x:v>[天狗]</x:v>
      </x:c>
      <x:c r="B73" s="18" t="str">
        <x:v>[密林妖禽]</x:v>
      </x:c>
      <x:c r="C73" s="18" t="str">
        <x:v>[巨錘猴精]</x:v>
      </x:c>
      <x:c r="D73" s="18" t="str">
        <x:v>[沼地巨蛇]</x:v>
      </x:c>
      <x:c r="E73" s="14"/>
      <x:c r="F73" s="14" t="str">
        <x:v>14038</x:v>
      </x:c>
      <x:c r="G73" s="14" t="n">
        <x:v>18</x:v>
      </x:c>
      <x:c r="H73" s="14" t="n">
        <x:v>4921</x:v>
      </x:c>
      <x:c r="I73" s="14" t="n">
        <x:v>5</x:v>
      </x:c>
      <x:c r="J73" s="14" t="n">
        <x:v>2</x:v>
      </x:c>
      <x:c r="K73" s="14" t="n">
        <x:v>1</x:v>
      </x:c>
      <x:c r="L73" s="14" t="str">
        <x:v>未收錄</x:v>
      </x:c>
      <x:c r="M73" s="14" t="str">
        <x:v>14039</x:v>
      </x:c>
      <x:c r="N73" s="14" t="n">
        <x:v>18</x:v>
      </x:c>
      <x:c r="O73" s="14" t="n">
        <x:v>4922</x:v>
      </x:c>
      <x:c r="P73" s="14" t="n">
        <x:v>6</x:v>
      </x:c>
      <x:c r="Q73" s="14" t="n">
        <x:v>2</x:v>
      </x:c>
      <x:c r="R73" s="14" t="n">
        <x:v>2</x:v>
      </x:c>
      <x:c r="S73" s="14" t="str">
        <x:v>未收錄</x:v>
      </x:c>
      <x:c r="T73" s="14" t="str">
        <x:v>14040</x:v>
      </x:c>
      <x:c r="U73" s="14" t="n">
        <x:v>18</x:v>
      </x:c>
      <x:c r="V73" s="14" t="n">
        <x:v>4923</x:v>
      </x:c>
      <x:c r="W73" s="14" t="n">
        <x:v>7</x:v>
      </x:c>
      <x:c r="X73" s="14" t="n">
        <x:v>2</x:v>
      </x:c>
      <x:c r="Y73" s="14" t="n">
        <x:v>3</x:v>
      </x:c>
      <x:c r="Z73" s="14" t="str">
        <x:v>未收錄</x:v>
      </x:c>
      <x:c r="AA73" s="14" t="str">
        <x:v>14041</x:v>
      </x:c>
      <x:c r="AB73" s="14" t="n">
        <x:v>18</x:v>
      </x:c>
      <x:c r="AC73" s="14" t="n">
        <x:v>4924</x:v>
      </x:c>
      <x:c r="AD73" s="14" t="n">
        <x:v>8</x:v>
      </x:c>
      <x:c r="AE73" s="14" t="n">
        <x:v>2</x:v>
      </x:c>
      <x:c r="AF73" s="14" t="n">
        <x:v>4</x:v>
      </x:c>
      <x:c r="AG73" s="14" t="str">
        <x:v>未收錄</x:v>
      </x:c>
    </x:row>
    <x:row r="74" ht="15" customHeight="1">
      <x:c r="A74" s="17" t="str">
        <x:v>[血瘤眼]</x:v>
      </x:c>
      <x:c r="B74" s="17" t="str">
        <x:v>[白靈石獅]</x:v>
      </x:c>
      <x:c r="C74" s="17" t="str">
        <x:v>[惡鬼]</x:v>
      </x:c>
      <x:c r="D74" s="17" t="str">
        <x:v>[叢林野象]</x:v>
      </x:c>
      <x:c r="E74" s="14"/>
      <x:c r="F74" s="14" t="str">
        <x:v>14042</x:v>
      </x:c>
      <x:c r="G74" s="14" t="n">
        <x:v>18</x:v>
      </x:c>
      <x:c r="H74" s="14" t="n">
        <x:v>4925</x:v>
      </x:c>
      <x:c r="I74" s="14" t="n">
        <x:v>9</x:v>
      </x:c>
      <x:c r="J74" s="14" t="n">
        <x:v>3</x:v>
      </x:c>
      <x:c r="K74" s="14" t="n">
        <x:v>1</x:v>
      </x:c>
      <x:c r="L74" s="14" t="str">
        <x:v>未收錄</x:v>
      </x:c>
      <x:c r="M74" s="14" t="str">
        <x:v>14043</x:v>
      </x:c>
      <x:c r="N74" s="14" t="n">
        <x:v>18</x:v>
      </x:c>
      <x:c r="O74" s="14" t="n">
        <x:v>4926</x:v>
      </x:c>
      <x:c r="P74" s="14" t="n">
        <x:v>10</x:v>
      </x:c>
      <x:c r="Q74" s="14" t="n">
        <x:v>3</x:v>
      </x:c>
      <x:c r="R74" s="14" t="n">
        <x:v>2</x:v>
      </x:c>
      <x:c r="S74" s="14" t="str">
        <x:v>未收錄</x:v>
      </x:c>
      <x:c r="T74" s="14" t="str">
        <x:v>14044</x:v>
      </x:c>
      <x:c r="U74" s="14" t="n">
        <x:v>18</x:v>
      </x:c>
      <x:c r="V74" s="14" t="n">
        <x:v>4927</x:v>
      </x:c>
      <x:c r="W74" s="14" t="n">
        <x:v>11</x:v>
      </x:c>
      <x:c r="X74" s="14" t="n">
        <x:v>3</x:v>
      </x:c>
      <x:c r="Y74" s="14" t="n">
        <x:v>3</x:v>
      </x:c>
      <x:c r="Z74" s="14" t="str">
        <x:v>未收錄</x:v>
      </x:c>
      <x:c r="AA74" s="14" t="str">
        <x:v>14045</x:v>
      </x:c>
      <x:c r="AB74" s="14" t="n">
        <x:v>18</x:v>
      </x:c>
      <x:c r="AC74" s="14" t="n">
        <x:v>4928</x:v>
      </x:c>
      <x:c r="AD74" s="14" t="n">
        <x:v>12</x:v>
      </x:c>
      <x:c r="AE74" s="14" t="n">
        <x:v>3</x:v>
      </x:c>
      <x:c r="AF74" s="14" t="n">
        <x:v>4</x:v>
      </x:c>
      <x:c r="AG74" s="14" t="str">
        <x:v>未收錄</x:v>
      </x:c>
    </x:row>
    <x:row r="75" ht="15" customHeight="1">
      <x:c r="A75" s="18" t="str">
        <x:v>[劍刺傘鬼]</x:v>
      </x:c>
      <x:c r="B75" s="18" t="str">
        <x:v>[鴉天狗]</x:v>
      </x:c>
      <x:c r="C75" s="18" t="str">
        <x:v>[拔山象妖]</x:v>
      </x:c>
      <x:c r="D75" s="18" t="str">
        <x:v>[火雲麒麟]</x:v>
      </x:c>
      <x:c r="E75" s="14"/>
      <x:c r="F75" s="14" t="str">
        <x:v>14046</x:v>
      </x:c>
      <x:c r="G75" s="14" t="n">
        <x:v>18</x:v>
      </x:c>
      <x:c r="H75" s="14" t="n">
        <x:v>4929</x:v>
      </x:c>
      <x:c r="I75" s="14" t="n">
        <x:v>13</x:v>
      </x:c>
      <x:c r="J75" s="14" t="n">
        <x:v>4</x:v>
      </x:c>
      <x:c r="K75" s="14" t="n">
        <x:v>1</x:v>
      </x:c>
      <x:c r="L75" s="14" t="str">
        <x:v>未收錄</x:v>
      </x:c>
      <x:c r="M75" s="14" t="str">
        <x:v>14047</x:v>
      </x:c>
      <x:c r="N75" s="14" t="n">
        <x:v>18</x:v>
      </x:c>
      <x:c r="O75" s="14" t="n">
        <x:v>4930</x:v>
      </x:c>
      <x:c r="P75" s="14" t="n">
        <x:v>14</x:v>
      </x:c>
      <x:c r="Q75" s="14" t="n">
        <x:v>4</x:v>
      </x:c>
      <x:c r="R75" s="14" t="n">
        <x:v>2</x:v>
      </x:c>
      <x:c r="S75" s="14" t="str">
        <x:v>未收錄</x:v>
      </x:c>
      <x:c r="T75" s="14" t="str">
        <x:v>14048</x:v>
      </x:c>
      <x:c r="U75" s="14" t="n">
        <x:v>18</x:v>
      </x:c>
      <x:c r="V75" s="14" t="n">
        <x:v>4931</x:v>
      </x:c>
      <x:c r="W75" s="14" t="n">
        <x:v>15</x:v>
      </x:c>
      <x:c r="X75" s="14" t="n">
        <x:v>4</x:v>
      </x:c>
      <x:c r="Y75" s="14" t="n">
        <x:v>3</x:v>
      </x:c>
      <x:c r="Z75" s="14" t="str">
        <x:v>未收錄</x:v>
      </x:c>
      <x:c r="AA75" s="14" t="str">
        <x:v>14049</x:v>
      </x:c>
      <x:c r="AB75" s="14" t="n">
        <x:v>18</x:v>
      </x:c>
      <x:c r="AC75" s="14" t="n">
        <x:v>4932</x:v>
      </x:c>
      <x:c r="AD75" s="14" t="n">
        <x:v>16</x:v>
      </x:c>
      <x:c r="AE75" s="14" t="n">
        <x:v>4</x:v>
      </x:c>
      <x:c r="AF75" s="14" t="n">
        <x:v>4</x:v>
      </x:c>
      <x:c r="AG75" s="14" t="str">
        <x:v>未收錄</x:v>
      </x:c>
    </x:row>
    <x:row r="76" ht="15" customHeight="1">
      <x:c r="A76" s="17" t="str">
        <x:v>[蠱毒麒麟]</x:v>
      </x:c>
      <x:c r="B76" s="17" t="str">
        <x:v>[怒雪麒麟]</x:v>
      </x:c>
      <x:c r="C76" s="17" t="str">
        <x:v>幻武天龍神</x:v>
      </x:c>
      <x:c r="D76" s="17" t="str">
        <x:v>紫燄影凰</x:v>
      </x:c>
      <x:c r="E76" s="14"/>
      <x:c r="F76" s="14" t="str">
        <x:v>14050</x:v>
      </x:c>
      <x:c r="G76" s="14" t="n">
        <x:v>18</x:v>
      </x:c>
      <x:c r="H76" s="14" t="n">
        <x:v>4933</x:v>
      </x:c>
      <x:c r="I76" s="14" t="n">
        <x:v>17</x:v>
      </x:c>
      <x:c r="J76" s="14" t="n">
        <x:v>5</x:v>
      </x:c>
      <x:c r="K76" s="14" t="n">
        <x:v>1</x:v>
      </x:c>
      <x:c r="L76" s="14" t="str">
        <x:v>未收錄</x:v>
      </x:c>
      <x:c r="M76" s="14" t="str">
        <x:v>14051</x:v>
      </x:c>
      <x:c r="N76" s="14" t="n">
        <x:v>18</x:v>
      </x:c>
      <x:c r="O76" s="14" t="n">
        <x:v>4934</x:v>
      </x:c>
      <x:c r="P76" s="14" t="n">
        <x:v>18</x:v>
      </x:c>
      <x:c r="Q76" s="14" t="n">
        <x:v>5</x:v>
      </x:c>
      <x:c r="R76" s="14" t="n">
        <x:v>2</x:v>
      </x:c>
      <x:c r="S76" s="14" t="str">
        <x:v>未收錄</x:v>
      </x:c>
      <x:c r="T76" s="14" t="str">
        <x:v>14052</x:v>
      </x:c>
      <x:c r="U76" s="14" t="n">
        <x:v>50</x:v>
      </x:c>
      <x:c r="V76" s="14" t="n">
        <x:v>4935</x:v>
      </x:c>
      <x:c r="W76" s="14" t="n">
        <x:v>19</x:v>
      </x:c>
      <x:c r="X76" s="14" t="n">
        <x:v>5</x:v>
      </x:c>
      <x:c r="Y76" s="14" t="n">
        <x:v>3</x:v>
      </x:c>
      <x:c r="Z76" s="14" t="str">
        <x:v>未收錄</x:v>
      </x:c>
      <x:c r="AA76" s="14" t="str">
        <x:v>14068</x:v>
      </x:c>
      <x:c r="AB76" s="14" t="n">
        <x:v>50</x:v>
      </x:c>
      <x:c r="AC76" s="14" t="n">
        <x:v>4936</x:v>
      </x:c>
      <x:c r="AD76" s="14" t="n">
        <x:v>20</x:v>
      </x:c>
      <x:c r="AE76" s="14" t="n">
        <x:v>5</x:v>
      </x:c>
      <x:c r="AF76" s="14" t="n">
        <x:v>4</x:v>
      </x:c>
      <x:c r="AG76" s="14" t="str">
        <x:v>未收錄</x:v>
      </x:c>
    </x:row>
    <x:row r="77" ht="15" customHeight="1">
      <x:c r="A77" s="18" t="str">
        <x:v>神威虎將</x:v>
      </x:c>
      <x:c r="B77" s="18" t="str">
        <x:v>焚世炎帝</x:v>
      </x:c>
      <x:c r="C77" s="18" t="str">
        <x:v>冰界海后</x:v>
      </x:c>
      <x:c r="D77" s="18" t="str">
        <x:v>浩天將神</x:v>
      </x:c>
      <x:c r="E77" s="14"/>
      <x:c r="F77" s="14" t="str">
        <x:v>14169</x:v>
      </x:c>
      <x:c r="G77" s="14" t="n">
        <x:v>50</x:v>
      </x:c>
      <x:c r="H77" s="14" t="n">
        <x:v>4937</x:v>
      </x:c>
      <x:c r="I77" s="14" t="n">
        <x:v>21</x:v>
      </x:c>
      <x:c r="J77" s="14" t="n">
        <x:v>6</x:v>
      </x:c>
      <x:c r="K77" s="14" t="n">
        <x:v>1</x:v>
      </x:c>
      <x:c r="L77" s="14" t="str">
        <x:v>未收錄</x:v>
      </x:c>
      <x:c r="M77" s="14" t="str">
        <x:v>14190</x:v>
      </x:c>
      <x:c r="N77" s="14" t="n">
        <x:v>50</x:v>
      </x:c>
      <x:c r="O77" s="14" t="n">
        <x:v>4938</x:v>
      </x:c>
      <x:c r="P77" s="14" t="n">
        <x:v>22</x:v>
      </x:c>
      <x:c r="Q77" s="14" t="n">
        <x:v>6</x:v>
      </x:c>
      <x:c r="R77" s="14" t="n">
        <x:v>2</x:v>
      </x:c>
      <x:c r="S77" s="14" t="str">
        <x:v>未收錄</x:v>
      </x:c>
      <x:c r="T77" s="14" t="str">
        <x:v>14223</x:v>
      </x:c>
      <x:c r="U77" s="14" t="n">
        <x:v>50</x:v>
      </x:c>
      <x:c r="V77" s="14" t="n">
        <x:v>4939</x:v>
      </x:c>
      <x:c r="W77" s="14" t="n">
        <x:v>23</x:v>
      </x:c>
      <x:c r="X77" s="14" t="n">
        <x:v>6</x:v>
      </x:c>
      <x:c r="Y77" s="14" t="n">
        <x:v>3</x:v>
      </x:c>
      <x:c r="Z77" s="14" t="str">
        <x:v>未收錄</x:v>
      </x:c>
      <x:c r="AA77" s="14" t="str">
        <x:v>14299</x:v>
      </x:c>
      <x:c r="AB77" s="14" t="n">
        <x:v>50</x:v>
      </x:c>
      <x:c r="AC77" s="14" t="n">
        <x:v>4940</x:v>
      </x:c>
      <x:c r="AD77" s="14" t="n">
        <x:v>24</x:v>
      </x:c>
      <x:c r="AE77" s="14" t="n">
        <x:v>6</x:v>
      </x:c>
      <x:c r="AF77" s="14" t="n">
        <x:v>4</x:v>
      </x:c>
      <x:c r="AG77" s="14" t="str">
        <x:v>未收錄</x:v>
      </x:c>
    </x:row>
    <x:row r="78" ht="15" customHeight="1">
      <x:c r="A78" s="17" t="str">
        <x:v>凱旋獅王</x:v>
      </x:c>
      <x:c r="B78" s="17" t="str">
        <x:v>霜血霸蜥</x:v>
      </x:c>
      <x:c r="C78" s="17" t="str">
        <x:v>破界皇龍</x:v>
      </x:c>
      <x:c r="D78" s="17" t="str">
        <x:v>炎獄魔眼</x:v>
      </x:c>
      <x:c r="E78" s="14"/>
      <x:c r="F78" s="14" t="str">
        <x:v>14376</x:v>
      </x:c>
      <x:c r="G78" s="14" t="n">
        <x:v>50</x:v>
      </x:c>
      <x:c r="H78" s="14" t="n">
        <x:v>4941</x:v>
      </x:c>
      <x:c r="I78" s="14" t="n">
        <x:v>25</x:v>
      </x:c>
      <x:c r="J78" s="14" t="n">
        <x:v>7</x:v>
      </x:c>
      <x:c r="K78" s="14" t="n">
        <x:v>1</x:v>
      </x:c>
      <x:c r="L78" s="14" t="str">
        <x:v>未收錄</x:v>
      </x:c>
      <x:c r="M78" s="14" t="str">
        <x:v>14424</x:v>
      </x:c>
      <x:c r="N78" s="14" t="n">
        <x:v>50</x:v>
      </x:c>
      <x:c r="O78" s="14" t="n">
        <x:v>4942</x:v>
      </x:c>
      <x:c r="P78" s="14" t="n">
        <x:v>26</x:v>
      </x:c>
      <x:c r="Q78" s="14" t="n">
        <x:v>7</x:v>
      </x:c>
      <x:c r="R78" s="14" t="n">
        <x:v>2</x:v>
      </x:c>
      <x:c r="S78" s="14" t="str">
        <x:v>未收錄</x:v>
      </x:c>
      <x:c r="T78" s="14" t="str">
        <x:v>14412</x:v>
      </x:c>
      <x:c r="U78" s="14" t="n">
        <x:v>50</x:v>
      </x:c>
      <x:c r="V78" s="14" t="n">
        <x:v>4943</x:v>
      </x:c>
      <x:c r="W78" s="14" t="n">
        <x:v>27</x:v>
      </x:c>
      <x:c r="X78" s="14" t="n">
        <x:v>7</x:v>
      </x:c>
      <x:c r="Y78" s="14" t="n">
        <x:v>3</x:v>
      </x:c>
      <x:c r="Z78" s="14" t="str">
        <x:v>未收錄</x:v>
      </x:c>
      <x:c r="AA78" s="14" t="str">
        <x:v>14413</x:v>
      </x:c>
      <x:c r="AB78" s="14" t="n">
        <x:v>27</x:v>
      </x:c>
      <x:c r="AC78" s="14" t="n">
        <x:v>4944</x:v>
      </x:c>
      <x:c r="AD78" s="14" t="n">
        <x:v>28</x:v>
      </x:c>
      <x:c r="AE78" s="14" t="n">
        <x:v>7</x:v>
      </x:c>
      <x:c r="AF78" s="14" t="n">
        <x:v>4</x:v>
      </x:c>
      <x:c r="AG78" s="14" t="str">
        <x:v>未收錄</x:v>
      </x:c>
    </x:row>
    <x:row r="79">
      <x:c r="A79" s="14"/>
      <x:c r="B79" s="14"/>
      <x:c r="C79" s="14"/>
      <x:c r="D79" s="14"/>
      <x:c r="E79" s="14"/>
      <x:c r="F79" s="14"/>
      <x:c r="G79" s="14"/>
      <x:c r="H79" s="14"/>
      <x:c r="I79" s="14"/>
      <x:c r="J79" s="14"/>
      <x:c r="K79" s="14"/>
      <x:c r="L79" s="14"/>
      <x:c r="M79" s="14"/>
      <x:c r="N79" s="14"/>
      <x:c r="O79" s="14"/>
      <x:c r="P79" s="14"/>
      <x:c r="Q79" s="14"/>
      <x:c r="R79" s="14"/>
      <x:c r="S79" s="14"/>
      <x:c r="T79" s="14"/>
      <x:c r="U79" s="14"/>
      <x:c r="V79" s="14"/>
      <x:c r="W79" s="14"/>
      <x:c r="X79" s="14"/>
      <x:c r="Y79" s="14"/>
      <x:c r="Z79" s="14"/>
      <x:c r="AA79" s="14"/>
      <x:c r="AB79" s="14"/>
      <x:c r="AC79" s="14"/>
      <x:c r="AD79" s="14"/>
      <x:c r="AE79" s="14"/>
      <x:c r="AF79" s="14"/>
      <x:c r="AG79" s="14"/>
    </x:row>
    <x:row r="80" ht="25" customHeight="1">
      <x:c r="A80" s="16" t="str">
        <x:v>10星・十錦　／　54 筆</x:v>
      </x:c>
      <x:c r="B80" s="16"/>
      <x:c r="C80" s="16"/>
      <x:c r="D80" s="16"/>
      <x:c r="E80" s="14"/>
      <x:c r="F80" s="14"/>
      <x:c r="G80" s="14"/>
      <x:c r="H80" s="14"/>
      <x:c r="I80" s="14"/>
      <x:c r="J80" s="14"/>
      <x:c r="K80" s="14"/>
      <x:c r="L80" s="14"/>
      <x:c r="M80" s="14"/>
      <x:c r="N80" s="14"/>
      <x:c r="O80" s="14"/>
      <x:c r="P80" s="14"/>
      <x:c r="Q80" s="14"/>
      <x:c r="R80" s="14"/>
      <x:c r="S80" s="14"/>
      <x:c r="T80" s="14"/>
      <x:c r="U80" s="14"/>
      <x:c r="V80" s="14"/>
      <x:c r="W80" s="14"/>
      <x:c r="X80" s="14"/>
      <x:c r="Y80" s="14"/>
      <x:c r="Z80" s="14"/>
      <x:c r="AA80" s="14"/>
      <x:c r="AB80" s="14"/>
      <x:c r="AC80" s="14"/>
      <x:c r="AD80" s="14"/>
      <x:c r="AE80" s="14"/>
      <x:c r="AF80" s="14"/>
      <x:c r="AG80" s="14"/>
    </x:row>
    <x:row r="81" ht="15" customHeight="1">
      <x:c r="A81" s="17" t="str">
        <x:v>[地煞]</x:v>
      </x:c>
      <x:c r="B81" s="17" t="str">
        <x:v>[三途棺差]</x:v>
      </x:c>
      <x:c r="C81" s="17" t="str">
        <x:v>[索命牛頭]</x:v>
      </x:c>
      <x:c r="D81" s="17" t="str">
        <x:v>[追魂馬面]</x:v>
      </x:c>
      <x:c r="E81" s="14"/>
      <x:c r="F81" s="14" t="str">
        <x:v>14459</x:v>
      </x:c>
      <x:c r="G81" s="14" t="n">
        <x:v>20</x:v>
      </x:c>
      <x:c r="H81" s="14" t="n">
        <x:v>4945</x:v>
      </x:c>
      <x:c r="I81" s="14" t="n">
        <x:v>1</x:v>
      </x:c>
      <x:c r="J81" s="14" t="n">
        <x:v>1</x:v>
      </x:c>
      <x:c r="K81" s="14" t="n">
        <x:v>1</x:v>
      </x:c>
      <x:c r="L81" s="14" t="str">
        <x:v>未收錄</x:v>
      </x:c>
      <x:c r="M81" s="14" t="str">
        <x:v>14460</x:v>
      </x:c>
      <x:c r="N81" s="14" t="n">
        <x:v>20</x:v>
      </x:c>
      <x:c r="O81" s="14" t="n">
        <x:v>4946</x:v>
      </x:c>
      <x:c r="P81" s="14" t="n">
        <x:v>2</x:v>
      </x:c>
      <x:c r="Q81" s="14" t="n">
        <x:v>1</x:v>
      </x:c>
      <x:c r="R81" s="14" t="n">
        <x:v>2</x:v>
      </x:c>
      <x:c r="S81" s="14" t="str">
        <x:v>未收錄</x:v>
      </x:c>
      <x:c r="T81" s="14" t="str">
        <x:v>14461</x:v>
      </x:c>
      <x:c r="U81" s="14" t="n">
        <x:v>20</x:v>
      </x:c>
      <x:c r="V81" s="14" t="n">
        <x:v>4947</x:v>
      </x:c>
      <x:c r="W81" s="14" t="n">
        <x:v>3</x:v>
      </x:c>
      <x:c r="X81" s="14" t="n">
        <x:v>1</x:v>
      </x:c>
      <x:c r="Y81" s="14" t="n">
        <x:v>3</x:v>
      </x:c>
      <x:c r="Z81" s="14" t="str">
        <x:v>未收錄</x:v>
      </x:c>
      <x:c r="AA81" s="14" t="str">
        <x:v>14462</x:v>
      </x:c>
      <x:c r="AB81" s="14" t="n">
        <x:v>20</x:v>
      </x:c>
      <x:c r="AC81" s="14" t="n">
        <x:v>4948</x:v>
      </x:c>
      <x:c r="AD81" s="14" t="n">
        <x:v>4</x:v>
      </x:c>
      <x:c r="AE81" s="14" t="n">
        <x:v>1</x:v>
      </x:c>
      <x:c r="AF81" s="14" t="n">
        <x:v>4</x:v>
      </x:c>
      <x:c r="AG81" s="14" t="str">
        <x:v>未收錄</x:v>
      </x:c>
    </x:row>
    <x:row r="82" ht="15" customHeight="1">
      <x:c r="A82" s="18" t="str">
        <x:v>[拘魂白無常]</x:v>
      </x:c>
      <x:c r="B82" s="18" t="str">
        <x:v>[提刑黑無常]</x:v>
      </x:c>
      <x:c r="C82" s="18" t="str">
        <x:v>[雪峰野人]</x:v>
      </x:c>
      <x:c r="D82" s="18" t="str">
        <x:v>[藏地氂牛]</x:v>
      </x:c>
      <x:c r="E82" s="14"/>
      <x:c r="F82" s="14" t="str">
        <x:v>14463</x:v>
      </x:c>
      <x:c r="G82" s="14" t="n">
        <x:v>20</x:v>
      </x:c>
      <x:c r="H82" s="14" t="n">
        <x:v>4949</x:v>
      </x:c>
      <x:c r="I82" s="14" t="n">
        <x:v>5</x:v>
      </x:c>
      <x:c r="J82" s="14" t="n">
        <x:v>2</x:v>
      </x:c>
      <x:c r="K82" s="14" t="n">
        <x:v>1</x:v>
      </x:c>
      <x:c r="L82" s="14" t="str">
        <x:v>未收錄</x:v>
      </x:c>
      <x:c r="M82" s="14" t="str">
        <x:v>14464</x:v>
      </x:c>
      <x:c r="N82" s="14" t="n">
        <x:v>20</x:v>
      </x:c>
      <x:c r="O82" s="14" t="n">
        <x:v>4950</x:v>
      </x:c>
      <x:c r="P82" s="14" t="n">
        <x:v>6</x:v>
      </x:c>
      <x:c r="Q82" s="14" t="n">
        <x:v>2</x:v>
      </x:c>
      <x:c r="R82" s="14" t="n">
        <x:v>2</x:v>
      </x:c>
      <x:c r="S82" s="14" t="str">
        <x:v>未收錄</x:v>
      </x:c>
      <x:c r="T82" s="14" t="str">
        <x:v>14465</x:v>
      </x:c>
      <x:c r="U82" s="14" t="n">
        <x:v>20</x:v>
      </x:c>
      <x:c r="V82" s="14" t="n">
        <x:v>4951</x:v>
      </x:c>
      <x:c r="W82" s="14" t="n">
        <x:v>7</x:v>
      </x:c>
      <x:c r="X82" s="14" t="n">
        <x:v>2</x:v>
      </x:c>
      <x:c r="Y82" s="14" t="n">
        <x:v>3</x:v>
      </x:c>
      <x:c r="Z82" s="14" t="str">
        <x:v>未收錄</x:v>
      </x:c>
      <x:c r="AA82" s="14" t="str">
        <x:v>14466</x:v>
      </x:c>
      <x:c r="AB82" s="14" t="n">
        <x:v>20</x:v>
      </x:c>
      <x:c r="AC82" s="14" t="n">
        <x:v>4952</x:v>
      </x:c>
      <x:c r="AD82" s="14" t="n">
        <x:v>8</x:v>
      </x:c>
      <x:c r="AE82" s="14" t="n">
        <x:v>2</x:v>
      </x:c>
      <x:c r="AF82" s="14" t="n">
        <x:v>4</x:v>
      </x:c>
      <x:c r="AG82" s="14" t="str">
        <x:v>未收錄</x:v>
      </x:c>
    </x:row>
    <x:row r="83" ht="15" customHeight="1">
      <x:c r="A83" s="17" t="str">
        <x:v>[幽谷翔龍]</x:v>
      </x:c>
      <x:c r="B83" s="17" t="str">
        <x:v>[輪迴外邪]</x:v>
      </x:c>
      <x:c r="C83" s="17" t="str">
        <x:v>[半身虎人]</x:v>
      </x:c>
      <x:c r="D83" s="17" t="str">
        <x:v>[駱駝]</x:v>
      </x:c>
      <x:c r="E83" s="14"/>
      <x:c r="F83" s="14" t="str">
        <x:v>14467</x:v>
      </x:c>
      <x:c r="G83" s="14" t="n">
        <x:v>20</x:v>
      </x:c>
      <x:c r="H83" s="14" t="n">
        <x:v>4953</x:v>
      </x:c>
      <x:c r="I83" s="14" t="n">
        <x:v>9</x:v>
      </x:c>
      <x:c r="J83" s="14" t="n">
        <x:v>3</x:v>
      </x:c>
      <x:c r="K83" s="14" t="n">
        <x:v>1</x:v>
      </x:c>
      <x:c r="L83" s="14" t="str">
        <x:v>未收錄</x:v>
      </x:c>
      <x:c r="M83" s="14" t="str">
        <x:v>14468</x:v>
      </x:c>
      <x:c r="N83" s="14" t="n">
        <x:v>20</x:v>
      </x:c>
      <x:c r="O83" s="14" t="n">
        <x:v>4954</x:v>
      </x:c>
      <x:c r="P83" s="14" t="n">
        <x:v>10</x:v>
      </x:c>
      <x:c r="Q83" s="14" t="n">
        <x:v>3</x:v>
      </x:c>
      <x:c r="R83" s="14" t="n">
        <x:v>2</x:v>
      </x:c>
      <x:c r="S83" s="14" t="str">
        <x:v>未收錄</x:v>
      </x:c>
      <x:c r="T83" s="14" t="str">
        <x:v>14469</x:v>
      </x:c>
      <x:c r="U83" s="14" t="n">
        <x:v>20</x:v>
      </x:c>
      <x:c r="V83" s="14" t="n">
        <x:v>4955</x:v>
      </x:c>
      <x:c r="W83" s="14" t="n">
        <x:v>11</x:v>
      </x:c>
      <x:c r="X83" s="14" t="n">
        <x:v>3</x:v>
      </x:c>
      <x:c r="Y83" s="14" t="n">
        <x:v>3</x:v>
      </x:c>
      <x:c r="Z83" s="14" t="str">
        <x:v>未收錄</x:v>
      </x:c>
      <x:c r="AA83" s="14" t="str">
        <x:v>14470</x:v>
      </x:c>
      <x:c r="AB83" s="14" t="n">
        <x:v>20</x:v>
      </x:c>
      <x:c r="AC83" s="14" t="n">
        <x:v>4956</x:v>
      </x:c>
      <x:c r="AD83" s="14" t="n">
        <x:v>12</x:v>
      </x:c>
      <x:c r="AE83" s="14" t="n">
        <x:v>3</x:v>
      </x:c>
      <x:c r="AF83" s="14" t="n">
        <x:v>4</x:v>
      </x:c>
      <x:c r="AG83" s="14" t="str">
        <x:v>未收錄</x:v>
      </x:c>
    </x:row>
    <x:row r="84" ht="15" customHeight="1">
      <x:c r="A84" s="18" t="str">
        <x:v>[焚怒之火]</x:v>
      </x:c>
      <x:c r="B84" s="18" t="str">
        <x:v>[騰湧之水]</x:v>
      </x:c>
      <x:c r="C84" s="18" t="str">
        <x:v>[巨憾之土]</x:v>
      </x:c>
      <x:c r="D84" s="18" t="str">
        <x:v>[嘯狂之風]</x:v>
      </x:c>
      <x:c r="E84" s="14"/>
      <x:c r="F84" s="14" t="str">
        <x:v>14471</x:v>
      </x:c>
      <x:c r="G84" s="14" t="n">
        <x:v>20</x:v>
      </x:c>
      <x:c r="H84" s="14" t="n">
        <x:v>4957</x:v>
      </x:c>
      <x:c r="I84" s="14" t="n">
        <x:v>13</x:v>
      </x:c>
      <x:c r="J84" s="14" t="n">
        <x:v>4</x:v>
      </x:c>
      <x:c r="K84" s="14" t="n">
        <x:v>1</x:v>
      </x:c>
      <x:c r="L84" s="14" t="str">
        <x:v>未收錄</x:v>
      </x:c>
      <x:c r="M84" s="14" t="str">
        <x:v>14472</x:v>
      </x:c>
      <x:c r="N84" s="14" t="n">
        <x:v>20</x:v>
      </x:c>
      <x:c r="O84" s="14" t="n">
        <x:v>4958</x:v>
      </x:c>
      <x:c r="P84" s="14" t="n">
        <x:v>14</x:v>
      </x:c>
      <x:c r="Q84" s="14" t="n">
        <x:v>4</x:v>
      </x:c>
      <x:c r="R84" s="14" t="n">
        <x:v>2</x:v>
      </x:c>
      <x:c r="S84" s="14" t="str">
        <x:v>未收錄</x:v>
      </x:c>
      <x:c r="T84" s="14" t="str">
        <x:v>14473</x:v>
      </x:c>
      <x:c r="U84" s="14" t="n">
        <x:v>20</x:v>
      </x:c>
      <x:c r="V84" s="14" t="n">
        <x:v>4959</x:v>
      </x:c>
      <x:c r="W84" s="14" t="n">
        <x:v>15</x:v>
      </x:c>
      <x:c r="X84" s="14" t="n">
        <x:v>4</x:v>
      </x:c>
      <x:c r="Y84" s="14" t="n">
        <x:v>3</x:v>
      </x:c>
      <x:c r="Z84" s="14" t="str">
        <x:v>未收錄</x:v>
      </x:c>
      <x:c r="AA84" s="14" t="str">
        <x:v>14474</x:v>
      </x:c>
      <x:c r="AB84" s="14" t="n">
        <x:v>20</x:v>
      </x:c>
      <x:c r="AC84" s="14" t="n">
        <x:v>4960</x:v>
      </x:c>
      <x:c r="AD84" s="14" t="n">
        <x:v>16</x:v>
      </x:c>
      <x:c r="AE84" s="14" t="n">
        <x:v>4</x:v>
      </x:c>
      <x:c r="AF84" s="14" t="n">
        <x:v>4</x:v>
      </x:c>
      <x:c r="AG84" s="14" t="str">
        <x:v>未收錄</x:v>
      </x:c>
    </x:row>
    <x:row r="85" ht="15" customHeight="1">
      <x:c r="A85" s="17" t="str">
        <x:v>劫‧修羅魔君</x:v>
      </x:c>
      <x:c r="B85" s="17" t="str">
        <x:v>劫‧無界閻羅</x:v>
      </x:c>
      <x:c r="C85" s="17" t="str">
        <x:v>劫‧邪幻魔帝</x:v>
      </x:c>
      <x:c r="D85" s="17" t="str">
        <x:v>聖翼不死鳥</x:v>
      </x:c>
      <x:c r="E85" s="14"/>
      <x:c r="F85" s="14" t="str">
        <x:v>14475</x:v>
      </x:c>
      <x:c r="G85" s="14" t="n">
        <x:v>50</x:v>
      </x:c>
      <x:c r="H85" s="14" t="n">
        <x:v>4961</x:v>
      </x:c>
      <x:c r="I85" s="14" t="n">
        <x:v>17</x:v>
      </x:c>
      <x:c r="J85" s="14" t="n">
        <x:v>5</x:v>
      </x:c>
      <x:c r="K85" s="14" t="n">
        <x:v>1</x:v>
      </x:c>
      <x:c r="L85" s="14" t="str">
        <x:v>未收錄</x:v>
      </x:c>
      <x:c r="M85" s="14" t="str">
        <x:v>14506</x:v>
      </x:c>
      <x:c r="N85" s="14" t="n">
        <x:v>50</x:v>
      </x:c>
      <x:c r="O85" s="14" t="n">
        <x:v>4962</x:v>
      </x:c>
      <x:c r="P85" s="14" t="n">
        <x:v>18</x:v>
      </x:c>
      <x:c r="Q85" s="14" t="n">
        <x:v>5</x:v>
      </x:c>
      <x:c r="R85" s="14" t="n">
        <x:v>2</x:v>
      </x:c>
      <x:c r="S85" s="14" t="str">
        <x:v>未收錄</x:v>
      </x:c>
      <x:c r="T85" s="14" t="str">
        <x:v>14528</x:v>
      </x:c>
      <x:c r="U85" s="14" t="n">
        <x:v>50</x:v>
      </x:c>
      <x:c r="V85" s="14" t="n">
        <x:v>4963</x:v>
      </x:c>
      <x:c r="W85" s="14" t="n">
        <x:v>19</x:v>
      </x:c>
      <x:c r="X85" s="14" t="n">
        <x:v>5</x:v>
      </x:c>
      <x:c r="Y85" s="14" t="n">
        <x:v>3</x:v>
      </x:c>
      <x:c r="Z85" s="14" t="str">
        <x:v>未收錄</x:v>
      </x:c>
      <x:c r="AA85" s="14" t="str">
        <x:v>14527</x:v>
      </x:c>
      <x:c r="AB85" s="14" t="n">
        <x:v>50</x:v>
      </x:c>
      <x:c r="AC85" s="14" t="n">
        <x:v>4964</x:v>
      </x:c>
      <x:c r="AD85" s="14" t="n">
        <x:v>20</x:v>
      </x:c>
      <x:c r="AE85" s="14" t="n">
        <x:v>5</x:v>
      </x:c>
      <x:c r="AF85" s="14" t="n">
        <x:v>4</x:v>
      </x:c>
      <x:c r="AG85" s="14" t="str">
        <x:v>未收錄</x:v>
      </x:c>
    </x:row>
    <x:row r="86" ht="15" customHeight="1">
      <x:c r="A86" s="18" t="str">
        <x:v>蒼濤聖玉蛟</x:v>
      </x:c>
      <x:c r="B86" s="18" t="str">
        <x:v>煌翠玉蝶仙</x:v>
      </x:c>
      <x:c r="C86" s="18" t="str">
        <x:v>真九皇天尊龍</x:v>
      </x:c>
      <x:c r="D86" s="18" t="str">
        <x:v>天尊雷神王</x:v>
      </x:c>
      <x:c r="E86" s="14"/>
      <x:c r="F86" s="14" t="str">
        <x:v>14641</x:v>
      </x:c>
      <x:c r="G86" s="14" t="n">
        <x:v>50</x:v>
      </x:c>
      <x:c r="H86" s="14" t="n">
        <x:v>4965</x:v>
      </x:c>
      <x:c r="I86" s="14" t="n">
        <x:v>21</x:v>
      </x:c>
      <x:c r="J86" s="14" t="n">
        <x:v>6</x:v>
      </x:c>
      <x:c r="K86" s="14" t="n">
        <x:v>1</x:v>
      </x:c>
      <x:c r="L86" s="14" t="str">
        <x:v>未收錄</x:v>
      </x:c>
      <x:c r="M86" s="14" t="str">
        <x:v>14743</x:v>
      </x:c>
      <x:c r="N86" s="14" t="n">
        <x:v>50</x:v>
      </x:c>
      <x:c r="O86" s="14" t="n">
        <x:v>4966</x:v>
      </x:c>
      <x:c r="P86" s="14" t="n">
        <x:v>22</x:v>
      </x:c>
      <x:c r="Q86" s="14" t="n">
        <x:v>6</x:v>
      </x:c>
      <x:c r="R86" s="14" t="n">
        <x:v>2</x:v>
      </x:c>
      <x:c r="S86" s="14" t="str">
        <x:v>未收錄</x:v>
      </x:c>
      <x:c r="T86" s="14" t="str">
        <x:v>14763</x:v>
      </x:c>
      <x:c r="U86" s="14" t="n">
        <x:v>50</x:v>
      </x:c>
      <x:c r="V86" s="14" t="n">
        <x:v>4967</x:v>
      </x:c>
      <x:c r="W86" s="14" t="n">
        <x:v>23</x:v>
      </x:c>
      <x:c r="X86" s="14" t="n">
        <x:v>6</x:v>
      </x:c>
      <x:c r="Y86" s="14" t="n">
        <x:v>3</x:v>
      </x:c>
      <x:c r="Z86" s="14" t="str">
        <x:v>未收錄</x:v>
      </x:c>
      <x:c r="AA86" s="14" t="str">
        <x:v>14930</x:v>
      </x:c>
      <x:c r="AB86" s="14" t="n">
        <x:v>50</x:v>
      </x:c>
      <x:c r="AC86" s="14" t="n">
        <x:v>4968</x:v>
      </x:c>
      <x:c r="AD86" s="14" t="n">
        <x:v>24</x:v>
      </x:c>
      <x:c r="AE86" s="14" t="n">
        <x:v>6</x:v>
      </x:c>
      <x:c r="AF86" s="14" t="n">
        <x:v>4</x:v>
      </x:c>
      <x:c r="AG86" s="14" t="str">
        <x:v>未收錄</x:v>
      </x:c>
    </x:row>
    <x:row r="87" ht="15" customHeight="1">
      <x:c r="A87" s="17" t="str">
        <x:v>天尊風神王</x:v>
      </x:c>
      <x:c r="B87" s="17" t="str">
        <x:v>新紀神燹鳳麒</x:v>
      </x:c>
      <x:c r="C87" s="17" t="str">
        <x:v>絕曆神凜冰麒</x:v>
      </x:c>
      <x:c r="D87" s="17" t="str">
        <x:v>狂宇魔鴆毒麒</x:v>
      </x:c>
      <x:c r="E87" s="14"/>
      <x:c r="F87" s="14" t="str">
        <x:v>14931</x:v>
      </x:c>
      <x:c r="G87" s="14" t="n">
        <x:v>50</x:v>
      </x:c>
      <x:c r="H87" s="14" t="n">
        <x:v>4969</x:v>
      </x:c>
      <x:c r="I87" s="14" t="n">
        <x:v>25</x:v>
      </x:c>
      <x:c r="J87" s="14" t="n">
        <x:v>7</x:v>
      </x:c>
      <x:c r="K87" s="14" t="n">
        <x:v>1</x:v>
      </x:c>
      <x:c r="L87" s="14" t="str">
        <x:v>未收錄</x:v>
      </x:c>
      <x:c r="M87" s="14" t="str">
        <x:v>15030</x:v>
      </x:c>
      <x:c r="N87" s="14" t="n">
        <x:v>50</x:v>
      </x:c>
      <x:c r="O87" s="14" t="n">
        <x:v>4970</x:v>
      </x:c>
      <x:c r="P87" s="14" t="n">
        <x:v>26</x:v>
      </x:c>
      <x:c r="Q87" s="14" t="n">
        <x:v>7</x:v>
      </x:c>
      <x:c r="R87" s="14" t="n">
        <x:v>2</x:v>
      </x:c>
      <x:c r="S87" s="14" t="str">
        <x:v>未收錄</x:v>
      </x:c>
      <x:c r="T87" s="14" t="str">
        <x:v>15107</x:v>
      </x:c>
      <x:c r="U87" s="14" t="n">
        <x:v>50</x:v>
      </x:c>
      <x:c r="V87" s="14" t="n">
        <x:v>4971</x:v>
      </x:c>
      <x:c r="W87" s="14" t="n">
        <x:v>27</x:v>
      </x:c>
      <x:c r="X87" s="14" t="n">
        <x:v>7</x:v>
      </x:c>
      <x:c r="Y87" s="14" t="n">
        <x:v>3</x:v>
      </x:c>
      <x:c r="Z87" s="14" t="str">
        <x:v>未收錄</x:v>
      </x:c>
      <x:c r="AA87" s="14" t="str">
        <x:v>15227</x:v>
      </x:c>
      <x:c r="AB87" s="14" t="n">
        <x:v>50</x:v>
      </x:c>
      <x:c r="AC87" s="14" t="n">
        <x:v>4972</x:v>
      </x:c>
      <x:c r="AD87" s="14" t="n">
        <x:v>28</x:v>
      </x:c>
      <x:c r="AE87" s="14" t="n">
        <x:v>7</x:v>
      </x:c>
      <x:c r="AF87" s="14" t="n">
        <x:v>4</x:v>
      </x:c>
      <x:c r="AG87" s="14" t="str">
        <x:v>未收錄</x:v>
      </x:c>
    </x:row>
    <x:row r="88" ht="15" customHeight="1">
      <x:c r="A88" s="18" t="str">
        <x:v>符兵　龍驤</x:v>
      </x:c>
      <x:c r="B88" s="18" t="str">
        <x:v>護天聖將烈魂</x:v>
      </x:c>
      <x:c r="C88" s="18" t="str">
        <x:v>化靈四聖太宰</x:v>
      </x:c>
      <x:c r="D88" s="18" t="str">
        <x:v>元始劍靈</x:v>
      </x:c>
      <x:c r="E88" s="14"/>
      <x:c r="F88" s="14" t="str">
        <x:v>15031</x:v>
      </x:c>
      <x:c r="G88" s="14" t="n">
        <x:v>50</x:v>
      </x:c>
      <x:c r="H88" s="14" t="n">
        <x:v>4973</x:v>
      </x:c>
      <x:c r="I88" s="14" t="n">
        <x:v>29</x:v>
      </x:c>
      <x:c r="J88" s="14" t="n">
        <x:v>8</x:v>
      </x:c>
      <x:c r="K88" s="14" t="n">
        <x:v>1</x:v>
      </x:c>
      <x:c r="L88" s="14" t="str">
        <x:v>未收錄</x:v>
      </x:c>
      <x:c r="M88" s="14" t="str">
        <x:v>15375</x:v>
      </x:c>
      <x:c r="N88" s="14" t="n">
        <x:v>50</x:v>
      </x:c>
      <x:c r="O88" s="14" t="n">
        <x:v>4974</x:v>
      </x:c>
      <x:c r="P88" s="14" t="n">
        <x:v>30</x:v>
      </x:c>
      <x:c r="Q88" s="14" t="n">
        <x:v>8</x:v>
      </x:c>
      <x:c r="R88" s="14" t="n">
        <x:v>2</x:v>
      </x:c>
      <x:c r="S88" s="14" t="str">
        <x:v>未收錄</x:v>
      </x:c>
      <x:c r="T88" s="14" t="str">
        <x:v>15380</x:v>
      </x:c>
      <x:c r="U88" s="14" t="n">
        <x:v>50</x:v>
      </x:c>
      <x:c r="V88" s="14" t="n">
        <x:v>4975</x:v>
      </x:c>
      <x:c r="W88" s="14" t="n">
        <x:v>31</x:v>
      </x:c>
      <x:c r="X88" s="14" t="n">
        <x:v>8</x:v>
      </x:c>
      <x:c r="Y88" s="14" t="n">
        <x:v>3</x:v>
      </x:c>
      <x:c r="Z88" s="14" t="str">
        <x:v>未收錄</x:v>
      </x:c>
      <x:c r="AA88" s="14" t="str">
        <x:v>15457</x:v>
      </x:c>
      <x:c r="AB88" s="14" t="n">
        <x:v>50</x:v>
      </x:c>
      <x:c r="AC88" s="14" t="n">
        <x:v>4976</x:v>
      </x:c>
      <x:c r="AD88" s="14" t="n">
        <x:v>32</x:v>
      </x:c>
      <x:c r="AE88" s="14" t="n">
        <x:v>8</x:v>
      </x:c>
      <x:c r="AF88" s="14" t="n">
        <x:v>4</x:v>
      </x:c>
      <x:c r="AG88" s="14" t="str">
        <x:v>未收錄</x:v>
      </x:c>
    </x:row>
    <x:row r="89" ht="15" customHeight="1">
      <x:c r="A89" s="17" t="str">
        <x:v>虛主化尊</x:v>
      </x:c>
      <x:c r="B89" s="17" t="str">
        <x:v>終末尊主</x:v>
      </x:c>
      <x:c r="C89" s="17" t="str">
        <x:v>赤綾烈緋神</x:v>
      </x:c>
      <x:c r="D89" s="17" t="str">
        <x:v>幽神阿努比斯</x:v>
      </x:c>
      <x:c r="E89" s="14"/>
      <x:c r="F89" s="14" t="str">
        <x:v>15643</x:v>
      </x:c>
      <x:c r="G89" s="14" t="n">
        <x:v>50</x:v>
      </x:c>
      <x:c r="H89" s="14" t="n">
        <x:v>4977</x:v>
      </x:c>
      <x:c r="I89" s="14" t="n">
        <x:v>33</x:v>
      </x:c>
      <x:c r="J89" s="14" t="n">
        <x:v>9</x:v>
      </x:c>
      <x:c r="K89" s="14" t="n">
        <x:v>1</x:v>
      </x:c>
      <x:c r="L89" s="14" t="str">
        <x:v>未收錄</x:v>
      </x:c>
      <x:c r="M89" s="14" t="str">
        <x:v>15726</x:v>
      </x:c>
      <x:c r="N89" s="14" t="n">
        <x:v>50</x:v>
      </x:c>
      <x:c r="O89" s="14" t="n">
        <x:v>4978</x:v>
      </x:c>
      <x:c r="P89" s="14" t="n">
        <x:v>34</x:v>
      </x:c>
      <x:c r="Q89" s="14" t="n">
        <x:v>9</x:v>
      </x:c>
      <x:c r="R89" s="14" t="n">
        <x:v>2</x:v>
      </x:c>
      <x:c r="S89" s="14" t="str">
        <x:v>未收錄</x:v>
      </x:c>
      <x:c r="T89" s="14" t="str">
        <x:v>15869</x:v>
      </x:c>
      <x:c r="U89" s="14" t="n">
        <x:v>50</x:v>
      </x:c>
      <x:c r="V89" s="14" t="n">
        <x:v>4979</x:v>
      </x:c>
      <x:c r="W89" s="14" t="n">
        <x:v>35</x:v>
      </x:c>
      <x:c r="X89" s="14" t="n">
        <x:v>9</x:v>
      </x:c>
      <x:c r="Y89" s="14" t="n">
        <x:v>3</x:v>
      </x:c>
      <x:c r="Z89" s="14" t="str">
        <x:v>未收錄</x:v>
      </x:c>
      <x:c r="AA89" s="14" t="str">
        <x:v>15931</x:v>
      </x:c>
      <x:c r="AB89" s="14" t="n">
        <x:v>50</x:v>
      </x:c>
      <x:c r="AC89" s="14" t="n">
        <x:v>4980</x:v>
      </x:c>
      <x:c r="AD89" s="14" t="n">
        <x:v>36</x:v>
      </x:c>
      <x:c r="AE89" s="14" t="n">
        <x:v>9</x:v>
      </x:c>
      <x:c r="AF89" s="14" t="n">
        <x:v>4</x:v>
      </x:c>
      <x:c r="AG89" s="14" t="str">
        <x:v>未收錄</x:v>
      </x:c>
    </x:row>
    <x:row r="90" ht="15" customHeight="1">
      <x:c r="A90" s="18" t="str">
        <x:v>逆神阿努比斯</x:v>
      </x:c>
      <x:c r="B90" s="18" t="str">
        <x:v>綿柔喜羊駝</x:v>
      </x:c>
      <x:c r="C90" s="18" t="str">
        <x:v>九尾妖仙妲己</x:v>
      </x:c>
      <x:c r="D90" s="18" t="str">
        <x:v>傾國金色九尾</x:v>
      </x:c>
      <x:c r="E90" s="14"/>
      <x:c r="F90" s="14" t="str">
        <x:v>16118</x:v>
      </x:c>
      <x:c r="G90" s="14" t="n">
        <x:v>50</x:v>
      </x:c>
      <x:c r="H90" s="14" t="n">
        <x:v>4981</x:v>
      </x:c>
      <x:c r="I90" s="14" t="n">
        <x:v>37</x:v>
      </x:c>
      <x:c r="J90" s="14" t="n">
        <x:v>10</x:v>
      </x:c>
      <x:c r="K90" s="14" t="n">
        <x:v>1</x:v>
      </x:c>
      <x:c r="L90" s="14" t="str">
        <x:v>未收錄</x:v>
      </x:c>
      <x:c r="M90" s="14" t="str">
        <x:v>16352</x:v>
      </x:c>
      <x:c r="N90" s="14" t="n">
        <x:v>50</x:v>
      </x:c>
      <x:c r="O90" s="14" t="n">
        <x:v>4982</x:v>
      </x:c>
      <x:c r="P90" s="14" t="n">
        <x:v>38</x:v>
      </x:c>
      <x:c r="Q90" s="14" t="n">
        <x:v>10</x:v>
      </x:c>
      <x:c r="R90" s="14" t="n">
        <x:v>2</x:v>
      </x:c>
      <x:c r="S90" s="14" t="str">
        <x:v>未收錄</x:v>
      </x:c>
      <x:c r="T90" s="14" t="str">
        <x:v>16313</x:v>
      </x:c>
      <x:c r="U90" s="14" t="n">
        <x:v>50</x:v>
      </x:c>
      <x:c r="V90" s="14" t="n">
        <x:v>4983</x:v>
      </x:c>
      <x:c r="W90" s="14" t="n">
        <x:v>39</x:v>
      </x:c>
      <x:c r="X90" s="14" t="n">
        <x:v>10</x:v>
      </x:c>
      <x:c r="Y90" s="14" t="n">
        <x:v>3</x:v>
      </x:c>
      <x:c r="Z90" s="14" t="str">
        <x:v>未收錄</x:v>
      </x:c>
      <x:c r="AA90" s="14" t="str">
        <x:v>16453</x:v>
      </x:c>
      <x:c r="AB90" s="14" t="n">
        <x:v>50</x:v>
      </x:c>
      <x:c r="AC90" s="14" t="n">
        <x:v>4984</x:v>
      </x:c>
      <x:c r="AD90" s="14" t="n">
        <x:v>40</x:v>
      </x:c>
      <x:c r="AE90" s="14" t="n">
        <x:v>10</x:v>
      </x:c>
      <x:c r="AF90" s="14" t="n">
        <x:v>4</x:v>
      </x:c>
      <x:c r="AG90" s="14" t="str">
        <x:v>未收錄</x:v>
      </x:c>
    </x:row>
    <x:row r="91" ht="15" customHeight="1">
      <x:c r="A91" s="17" t="str">
        <x:v>覆朝嫣紅九尾</x:v>
      </x:c>
      <x:c r="B91" s="17" t="str">
        <x:v>影咒獸．玉犬</x:v>
      </x:c>
      <x:c r="C91" s="17" t="str">
        <x:v>影咒獸．鴞</x:v>
      </x:c>
      <x:c r="D91" s="17" t="str">
        <x:v>影咒獸．脫兔</x:v>
      </x:c>
      <x:c r="E91" s="14"/>
      <x:c r="F91" s="14" t="str">
        <x:v>16926</x:v>
      </x:c>
      <x:c r="G91" s="14" t="n">
        <x:v>50</x:v>
      </x:c>
      <x:c r="H91" s="14" t="n">
        <x:v>4985</x:v>
      </x:c>
      <x:c r="I91" s="14" t="n">
        <x:v>41</x:v>
      </x:c>
      <x:c r="J91" s="14" t="n">
        <x:v>11</x:v>
      </x:c>
      <x:c r="K91" s="14" t="n">
        <x:v>1</x:v>
      </x:c>
      <x:c r="L91" s="14" t="str">
        <x:v>未收錄</x:v>
      </x:c>
      <x:c r="M91" s="14" t="str">
        <x:v>17046</x:v>
      </x:c>
      <x:c r="N91" s="14" t="n">
        <x:v>50</x:v>
      </x:c>
      <x:c r="O91" s="14" t="n">
        <x:v>4986</x:v>
      </x:c>
      <x:c r="P91" s="14" t="n">
        <x:v>42</x:v>
      </x:c>
      <x:c r="Q91" s="14" t="n">
        <x:v>11</x:v>
      </x:c>
      <x:c r="R91" s="14" t="n">
        <x:v>2</x:v>
      </x:c>
      <x:c r="S91" s="14" t="str">
        <x:v>未收錄</x:v>
      </x:c>
      <x:c r="T91" s="14" t="str">
        <x:v>17047</x:v>
      </x:c>
      <x:c r="U91" s="14" t="n">
        <x:v>50</x:v>
      </x:c>
      <x:c r="V91" s="14" t="n">
        <x:v>4987</x:v>
      </x:c>
      <x:c r="W91" s="14" t="n">
        <x:v>43</x:v>
      </x:c>
      <x:c r="X91" s="14" t="n">
        <x:v>11</x:v>
      </x:c>
      <x:c r="Y91" s="14" t="n">
        <x:v>3</x:v>
      </x:c>
      <x:c r="Z91" s="14" t="str">
        <x:v>未收錄</x:v>
      </x:c>
      <x:c r="AA91" s="14" t="str">
        <x:v>17387</x:v>
      </x:c>
      <x:c r="AB91" s="14" t="n">
        <x:v>50</x:v>
      </x:c>
      <x:c r="AC91" s="14" t="n">
        <x:v>4988</x:v>
      </x:c>
      <x:c r="AD91" s="14" t="n">
        <x:v>44</x:v>
      </x:c>
      <x:c r="AE91" s="14" t="n">
        <x:v>11</x:v>
      </x:c>
      <x:c r="AF91" s="14" t="n">
        <x:v>4</x:v>
      </x:c>
      <x:c r="AG91" s="14" t="str">
        <x:v>未收錄</x:v>
      </x:c>
    </x:row>
    <x:row r="92" ht="15" customHeight="1">
      <x:c r="A92" s="18" t="str">
        <x:v>影咒獸．墨蟾</x:v>
      </x:c>
      <x:c r="B92" s="18" t="str">
        <x:v>影咒獸．蹣象</x:v>
      </x:c>
      <x:c r="C92" s="18" t="str">
        <x:v>太極金架蔘王</x:v>
      </x:c>
      <x:c r="D92" s="18" t="str">
        <x:v>新羅次雄獬廌</x:v>
      </x:c>
      <x:c r="E92" s="14"/>
      <x:c r="F92" s="14" t="str">
        <x:v>17623</x:v>
      </x:c>
      <x:c r="G92" s="14" t="n">
        <x:v>50</x:v>
      </x:c>
      <x:c r="H92" s="14" t="n">
        <x:v>4989</x:v>
      </x:c>
      <x:c r="I92" s="14" t="n">
        <x:v>45</x:v>
      </x:c>
      <x:c r="J92" s="14" t="n">
        <x:v>12</x:v>
      </x:c>
      <x:c r="K92" s="14" t="n">
        <x:v>1</x:v>
      </x:c>
      <x:c r="L92" s="14" t="str">
        <x:v>未收錄</x:v>
      </x:c>
      <x:c r="M92" s="14" t="str">
        <x:v>17725</x:v>
      </x:c>
      <x:c r="N92" s="14" t="n">
        <x:v>50</x:v>
      </x:c>
      <x:c r="O92" s="14" t="n">
        <x:v>4990</x:v>
      </x:c>
      <x:c r="P92" s="14" t="n">
        <x:v>46</x:v>
      </x:c>
      <x:c r="Q92" s="14" t="n">
        <x:v>12</x:v>
      </x:c>
      <x:c r="R92" s="14" t="n">
        <x:v>2</x:v>
      </x:c>
      <x:c r="S92" s="14" t="str">
        <x:v>未收錄</x:v>
      </x:c>
      <x:c r="T92" s="14" t="str">
        <x:v>16893</x:v>
      </x:c>
      <x:c r="U92" s="14" t="n">
        <x:v>50</x:v>
      </x:c>
      <x:c r="V92" s="14" t="n">
        <x:v>4991</x:v>
      </x:c>
      <x:c r="W92" s="14" t="n">
        <x:v>47</x:v>
      </x:c>
      <x:c r="X92" s="14" t="n">
        <x:v>12</x:v>
      </x:c>
      <x:c r="Y92" s="14" t="n">
        <x:v>3</x:v>
      </x:c>
      <x:c r="Z92" s="14" t="str">
        <x:v>未收錄</x:v>
      </x:c>
      <x:c r="AA92" s="14" t="str">
        <x:v>16562</x:v>
      </x:c>
      <x:c r="AB92" s="14" t="n">
        <x:v>50</x:v>
      </x:c>
      <x:c r="AC92" s="14" t="n">
        <x:v>4992</x:v>
      </x:c>
      <x:c r="AD92" s="14" t="n">
        <x:v>48</x:v>
      </x:c>
      <x:c r="AE92" s="14" t="n">
        <x:v>12</x:v>
      </x:c>
      <x:c r="AF92" s="14" t="n">
        <x:v>4</x:v>
      </x:c>
      <x:c r="AG92" s="14" t="str">
        <x:v>未收錄</x:v>
      </x:c>
    </x:row>
    <x:row r="93" ht="15" customHeight="1">
      <x:c r="A93" s="17" t="str">
        <x:v>飛尊皓羽白陵</x:v>
      </x:c>
      <x:c r="B93" s="17" t="str">
        <x:v>泰源黑熊王</x:v>
      </x:c>
      <x:c r="C93" s="17" t="str">
        <x:v>方舟天翼虎</x:v>
      </x:c>
      <x:c r="D93" s="17" t="str">
        <x:v>歧異霸王龍</x:v>
      </x:c>
      <x:c r="E93" s="14"/>
      <x:c r="F93" s="14" t="str">
        <x:v>16927</x:v>
      </x:c>
      <x:c r="G93" s="14" t="n">
        <x:v>50</x:v>
      </x:c>
      <x:c r="H93" s="14" t="n">
        <x:v>4993</x:v>
      </x:c>
      <x:c r="I93" s="14" t="n">
        <x:v>49</x:v>
      </x:c>
      <x:c r="J93" s="14" t="n">
        <x:v>13</x:v>
      </x:c>
      <x:c r="K93" s="14" t="n">
        <x:v>1</x:v>
      </x:c>
      <x:c r="L93" s="14" t="str">
        <x:v>未收錄</x:v>
      </x:c>
      <x:c r="M93" s="14" t="str">
        <x:v>16780</x:v>
      </x:c>
      <x:c r="N93" s="14" t="n">
        <x:v>50</x:v>
      </x:c>
      <x:c r="O93" s="14" t="n">
        <x:v>4994</x:v>
      </x:c>
      <x:c r="P93" s="14" t="n">
        <x:v>50</x:v>
      </x:c>
      <x:c r="Q93" s="14" t="n">
        <x:v>13</x:v>
      </x:c>
      <x:c r="R93" s="14" t="n">
        <x:v>2</x:v>
      </x:c>
      <x:c r="S93" s="14" t="str">
        <x:v>未收錄</x:v>
      </x:c>
      <x:c r="T93" s="14" t="str">
        <x:v>17624</x:v>
      </x:c>
      <x:c r="U93" s="14" t="n">
        <x:v>50</x:v>
      </x:c>
      <x:c r="V93" s="14" t="n">
        <x:v>4995</x:v>
      </x:c>
      <x:c r="W93" s="14" t="n">
        <x:v>51</x:v>
      </x:c>
      <x:c r="X93" s="14" t="n">
        <x:v>13</x:v>
      </x:c>
      <x:c r="Y93" s="14" t="n">
        <x:v>3</x:v>
      </x:c>
      <x:c r="Z93" s="14" t="str">
        <x:v>未收錄</x:v>
      </x:c>
      <x:c r="AA93" s="14" t="str">
        <x:v>17957</x:v>
      </x:c>
      <x:c r="AB93" s="14" t="n">
        <x:v>50</x:v>
      </x:c>
      <x:c r="AC93" s="14" t="n">
        <x:v>4996</x:v>
      </x:c>
      <x:c r="AD93" s="14" t="n">
        <x:v>52</x:v>
      </x:c>
      <x:c r="AE93" s="14" t="n">
        <x:v>13</x:v>
      </x:c>
      <x:c r="AF93" s="14" t="n">
        <x:v>4</x:v>
      </x:c>
      <x:c r="AG93" s="14" t="str">
        <x:v>未收錄</x:v>
      </x:c>
    </x:row>
    <x:row r="94" ht="15" customHeight="1">
      <x:c r="A94" s="18" t="str">
        <x:v>影咒獸．刁蛇</x:v>
      </x:c>
      <x:c r="B94" s="18" t="str">
        <x:v>影咒獸．垣鹿</x:v>
      </x:c>
      <x:c r="C94" s="18"/>
      <x:c r="D94" s="18"/>
      <x:c r="E94" s="14"/>
      <x:c r="F94" s="14" t="str">
        <x:v>17726</x:v>
      </x:c>
      <x:c r="G94" s="14" t="n">
        <x:v>50</x:v>
      </x:c>
      <x:c r="H94" s="14" t="n">
        <x:v>4997</x:v>
      </x:c>
      <x:c r="I94" s="14" t="n">
        <x:v>53</x:v>
      </x:c>
      <x:c r="J94" s="14" t="n">
        <x:v>14</x:v>
      </x:c>
      <x:c r="K94" s="14" t="n">
        <x:v>1</x:v>
      </x:c>
      <x:c r="L94" s="14" t="str">
        <x:v>未收錄</x:v>
      </x:c>
      <x:c r="M94" s="14" t="str">
        <x:v>17727</x:v>
      </x:c>
      <x:c r="N94" s="14" t="n">
        <x:v>50</x:v>
      </x:c>
      <x:c r="O94" s="14" t="n">
        <x:v>4998</x:v>
      </x:c>
      <x:c r="P94" s="14" t="n">
        <x:v>54</x:v>
      </x:c>
      <x:c r="Q94" s="14" t="n">
        <x:v>14</x:v>
      </x:c>
      <x:c r="R94" s="14" t="n">
        <x:v>2</x:v>
      </x:c>
      <x:c r="S94" s="14" t="str">
        <x:v>未收錄</x:v>
      </x:c>
      <x:c r="T94" s="14"/>
      <x:c r="U94" s="14"/>
      <x:c r="V94" s="14"/>
      <x:c r="W94" s="14"/>
      <x:c r="X94" s="14"/>
      <x:c r="Y94" s="14"/>
      <x:c r="Z94" s="14"/>
      <x:c r="AA94" s="14"/>
      <x:c r="AB94" s="14"/>
      <x:c r="AC94" s="14"/>
      <x:c r="AD94" s="14"/>
      <x:c r="AE94" s="14"/>
      <x:c r="AF94" s="14"/>
      <x:c r="AG94" s="14"/>
    </x:row>
    <x:row r="95">
      <x:c r="A95" s="14"/>
      <x:c r="B95" s="14"/>
      <x:c r="C95" s="14"/>
      <x:c r="D95" s="14"/>
      <x:c r="E95" s="14"/>
      <x:c r="F95" s="14"/>
      <x:c r="G95" s="14"/>
      <x:c r="H95" s="14"/>
      <x:c r="I95" s="14"/>
      <x:c r="J95" s="14"/>
      <x:c r="K95" s="14"/>
      <x:c r="L95" s="14"/>
      <x:c r="M95" s="14"/>
      <x:c r="N95" s="14"/>
      <x:c r="O95" s="14"/>
      <x:c r="P95" s="14"/>
      <x:c r="Q95" s="14"/>
      <x:c r="R95" s="14"/>
      <x:c r="S95" s="14"/>
      <x:c r="T95" s="14"/>
      <x:c r="U95" s="14"/>
      <x:c r="V95" s="14"/>
      <x:c r="W95" s="14"/>
      <x:c r="X95" s="14"/>
      <x:c r="Y95" s="14"/>
      <x:c r="Z95" s="14"/>
      <x:c r="AA95" s="14"/>
      <x:c r="AB95" s="14"/>
      <x:c r="AC95" s="14"/>
      <x:c r="AD95" s="14"/>
      <x:c r="AE95" s="14"/>
      <x:c r="AF95" s="14"/>
      <x:c r="AG95" s="14"/>
    </x:row>
  </x:sheetData>
  <x:mergeCells>
    <x:mergeCell ref="A9:D9"/>
    <x:mergeCell ref="A10:D10"/>
    <x:mergeCell ref="A20:D20"/>
    <x:mergeCell ref="A26:D26"/>
    <x:mergeCell ref="A35:D35"/>
    <x:mergeCell ref="A45:D45"/>
    <x:mergeCell ref="A56:D56"/>
    <x:mergeCell ref="A63:D63"/>
    <x:mergeCell ref="A71:D71"/>
    <x:mergeCell ref="A80:D80"/>
    <x:mergeCell ref="A2:B2"/>
    <x:mergeCell ref="A3:B3"/>
    <x:mergeCell ref="A6:D6"/>
  </x:mergeCells>
  <x:conditionalFormatting sqref="A11:A95">
    <x:cfRule type="expression" dxfId="72" priority="1">
      <x:formula>$L11="已收錄"</x:formula>
    </x:cfRule>
  </x:conditionalFormatting>
  <x:conditionalFormatting sqref="B11:B95">
    <x:cfRule type="expression" dxfId="73" priority="2">
      <x:formula>$S11="已收錄"</x:formula>
    </x:cfRule>
  </x:conditionalFormatting>
  <x:conditionalFormatting sqref="C11:C95">
    <x:cfRule type="expression" dxfId="74" priority="3">
      <x:formula>$Z11="已收錄"</x:formula>
    </x:cfRule>
  </x:conditionalFormatting>
  <x:conditionalFormatting sqref="D11:D95">
    <x:cfRule type="expression" dxfId="75" priority="4">
      <x:formula>$AG11="已收錄"</x:formula>
    </x:cfRule>
  </x:conditionalFormatting>
  <x:pageMargins left="0.7" right="0.7" top="0.75" bottom="0.75" header="0.3" footer="0.3"/>
</x:worksheet>
</file>

<file path=xl/worksheets/sheet5.xml><?xml version="1.0" encoding="utf-8"?>
<x:worksheet xmlns:x="http://schemas.openxmlformats.org/spreadsheetml/2006/main">
  <x:sheetPr>
    <x:tabColor rgb="FF315A79"/>
  </x:sheetPr>
  <x:sheetViews>
    <x:sheetView showGridLines="0" workbookViewId="0">
      <x:pane ySplit="7" topLeftCell="A8" activePane="bottomLeft" state="frozen"/>
    </x:sheetView>
  </x:sheetViews>
  <x:sheetFormatPr defaultRowHeight="15"/>
  <x:cols>
    <x:col min="1" max="1" width="24.3799991607666" hidden="0" customWidth="1"/>
    <x:col min="2" max="2" width="30" hidden="0" customWidth="1"/>
    <x:col min="3" max="3" width="33.75" hidden="0" customWidth="1"/>
    <x:col min="4" max="4" width="28.75" hidden="0" customWidth="1"/>
    <x:col min="5" max="5" width="97.5" hidden="0" customWidth="1"/>
  </x:cols>
  <x:sheetData>
    <x:row r="1">
      <x:c r="A1" s="50"/>
      <x:c r="B1" s="50"/>
      <x:c r="C1" s="50"/>
      <x:c r="D1" s="50"/>
      <x:c r="E1" s="50"/>
    </x:row>
    <x:row r="2" ht="33" customHeight="1">
      <x:c r="A2" s="51" t="str">
        <x:v>武防、配方、法器出處</x:v>
      </x:c>
      <x:c r="B2" s="50"/>
      <x:c r="C2" s="50"/>
      <x:c r="D2" s="50"/>
      <x:c r="E2" s="50"/>
    </x:row>
    <x:row r="3" hidden="1">
      <x:c r="A3" s="52" t="str">
        <x:v>網站資料：https://leonmax78.github.io/　（2026/09/19 擷取）</x:v>
      </x:c>
      <x:c r="B3" s="52"/>
      <x:c r="C3" s="52"/>
      <x:c r="D3" s="52"/>
      <x:c r="E3" s="52"/>
    </x:row>
    <x:row r="4" hidden="1">
      <x:c r="A4" s="52" t="str">
        <x:v>配方製作：COMPOUND.INI（0731），僅依明確 Output ID 對應。</x:v>
      </x:c>
      <x:c r="B4" s="52"/>
      <x:c r="C4" s="52"/>
      <x:c r="D4" s="52"/>
      <x:c r="E4" s="52"/>
    </x:row>
    <x:row r="5" hidden="1">
      <x:c r="A5" s="52" t="str">
        <x:v>同一道具一列；— 表示目前網站或提供的配方檔未列出。</x:v>
      </x:c>
      <x:c r="B5" s="52"/>
      <x:c r="C5" s="52"/>
      <x:c r="D5" s="52"/>
      <x:c r="E5" s="52"/>
    </x:row>
    <x:row r="6" hidden="1">
      <x:c r="A6" s="50"/>
      <x:c r="B6" s="50"/>
      <x:c r="C6" s="50"/>
      <x:c r="D6" s="50"/>
      <x:c r="E6" s="50"/>
    </x:row>
    <x:row r="7" ht="28" customHeight="1">
      <x:c r="A7" s="54" t="str">
        <x:v>名稱</x:v>
      </x:c>
      <x:c r="B7" s="54" t="str">
        <x:v>任務</x:v>
      </x:c>
      <x:c r="C7" s="54" t="str">
        <x:v>商店</x:v>
      </x:c>
      <x:c r="D7" s="54" t="str">
        <x:v>配方製作</x:v>
      </x:c>
      <x:c r="E7" s="54" t="inlineStr">
        <x:is>
          <x:t>怪物掉落(依掉落率排序)</x:t>
        </x:is>
      </x:c>
    </x:row>
    <x:row r="8" ht="45" customHeight="1">
      <x:c r="A8" s="55" t="str">
        <x:v>短劍</x:v>
      </x:c>
      <x:c r="B8" s="55" t="str">
        <x:v>—</x:v>
      </x:c>
      <x:c r="C8" s="55" t="str">
        <x:v>勇士村買賣人、劍俠村買賣人、術者村買賣人、道人村買賣人、僧侶村買賣人、義勇軍校場買賣人、京城打鐵舖</x:v>
      </x:c>
      <x:c r="D8" s="55" t="str">
        <x:v>—</x:v>
      </x:c>
      <x:c r="E8" s="55" t="inlineStr">
        <x:is>
          <x:t>邊關賊寇隊長（八達嶺、古北口、邊關要塞）；長林大盜（長林谷）；山賊頭目（塞北關、映月泊、猢猻嶺、封神臺）；鴻星扛把子（碧波幽谷）；山寨大王（塞北關、映月泊、封神臺、亂藤林東方）</x:t>
        </x:is>
      </x:c>
    </x:row>
    <x:row r="9" ht="90" customHeight="1">
      <x:c r="A9" s="55" t="str">
        <x:v>毒匕首</x:v>
      </x:c>
      <x:c r="B9" s="55" t="str">
        <x:v>—</x:v>
      </x:c>
      <x:c r="C9" s="55" t="str">
        <x:v>—</x:v>
      </x:c>
      <x:c r="D9" s="55" t="str">
        <x:v>—</x:v>
      </x:c>
      <x:c r="E9" s="55" t="inlineStr">
        <x:is>
          <x:t>毒血屍（猛鬼窟第一層、猛鬼窟第二層、萬人塚第二層、朝天觀、萬人塚第三層）；妖面蜘蛛（百妖穴第一層、亂藤林東方、百妖穴第二層）；長林大盜（長林谷）；山賊頭目（塞北關、映月泊、猢猻嶺、封神臺）；千手神偷（五派禁地）；奔雷手（五派禁地）；鬼影奔雷手（八達嶺、古北口、水晶礦坑）；無影手（五派禁地）；斑紋蜘蛛（望星坡、碧波谷徑、古皇陵第一層、古皇陵第二層、百妖穴第一層、亂藤林東方、百妖穴第二層）；沙漠斑蛛（塔干沙漠西方）；鬼面蜘蛛（碧波谷徑、百妖穴第一層、百妖穴第二層、盤蛇洞、地靈穴、蕈菇林）；沙漠蠱毒蜘蛛（塔干沙漠西方）；飛賊（塞北關、映月泊、封神臺）；飛賊（塞北關、映月泊、封神臺、試煉之窟）；飛賊（試煉之窟）</x:t>
        </x:is>
      </x:c>
    </x:row>
    <x:row r="10" ht="105" customHeight="1">
      <x:c r="A10" s="55" t="str">
        <x:v>烈毒匕首</x:v>
      </x:c>
      <x:c r="B10" s="55" t="str">
        <x:v>—</x:v>
      </x:c>
      <x:c r="C10" s="55" t="str">
        <x:v>—</x:v>
      </x:c>
      <x:c r="D10" s="55" t="str">
        <x:v>—</x:v>
      </x:c>
      <x:c r="E10" s="55" t="inlineStr">
        <x:is>
          <x:t>毒血屍（猛鬼窟第一層、猛鬼窟第二層、萬人塚第二層、朝天觀、萬人塚第三層）；長林大盜（長林谷）；2轉女術影（五派禁地）；2轉術影（五派禁地）；烈風戰士（大汗陵墓）；烈風戰士幻影（網站未列地圖）；1轉女術影（五派禁地）；1轉術影（五派禁地）；疾風戰士（呼倫草原、貝爾草原、大汗陵墓、蒼狼大營）；[疾風戰士]（網站未列地圖）；傭兵飛茅手（黑城遺跡、疾風谷、大汗陵墓、高昌郡）；鬼面蜘蛛（碧波谷徑、百妖穴第一層、百妖穴第二層、盤蛇洞、地靈穴、蕈菇林）；沙漠蠱毒蜘蛛（塔干沙漠西方）；斑紋蜘蛛（望星坡、碧波谷徑、古皇陵第一層、古皇陵第二層、百妖穴第一層、亂藤林東方、百妖穴第二層）；沙漠斑蛛（塔干沙漠西方）；山賊頭目（塞北關、映月泊、猢猻嶺、封神臺）；幻面蜘蛛（長林谷）；妖面蜘蛛（百妖穴第一層、亂藤林東方、百妖穴第二層）</x:t>
        </x:is>
      </x:c>
    </x:row>
    <x:row r="11" ht="90" customHeight="1">
      <x:c r="A11" s="55" t="str">
        <x:v>劇毒匕首</x:v>
      </x:c>
      <x:c r="B11" s="55" t="str">
        <x:v>—</x:v>
      </x:c>
      <x:c r="C11" s="55" t="str">
        <x:v>—</x:v>
      </x:c>
      <x:c r="D11" s="55" t="str">
        <x:v>—</x:v>
      </x:c>
      <x:c r="E11" s="55" t="inlineStr">
        <x:is>
          <x:t>毒血屍（猛鬼窟第一層、猛鬼窟第二層、萬人塚第二層、朝天觀、萬人塚第三層）；吸精鬼屍（五派禁地）；惡靈殭屍（五派禁地）；死靈殭屍（網站未列地圖）；吸血殭屍（猛鬼窟第二層、萬人塚第三層、樓蘭遺址）；[吸血殭屍]（網站未列地圖）；幻面蜘蛛（長林谷）；斑紋蜘蛛（望星坡、碧波谷徑、古皇陵第一層、古皇陵第二層、百妖穴第一層、亂藤林東方、百妖穴第二層）；沙漠斑蛛（塔干沙漠西方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12" ht="90" customHeight="1">
      <x:c r="A12" s="55" t="str">
        <x:v>蠱毒匕首</x:v>
      </x:c>
      <x:c r="B12" s="55" t="str">
        <x:v>—</x:v>
      </x:c>
      <x:c r="C12" s="55" t="str">
        <x:v>—</x:v>
      </x:c>
      <x:c r="D12" s="55" t="str">
        <x:v>—</x:v>
      </x:c>
      <x:c r="E12" s="55" t="inlineStr">
        <x:is>
          <x:t>鬼虎殺手（法誡參道、漆黑水路）；神射手哲別（塞北草原）；哲別幻影（亂石林）；哲別（大汗陵墓）；神射手哲別（關外草原）；千手神偷（五派禁地）；奔雷手（五派禁地）；鬼影奔雷手（八達嶺、古北口、水晶礦坑）；無影手（五派禁地）；毒血屍（猛鬼窟第一層、猛鬼窟第二層、萬人塚第二層、朝天觀、萬人塚第三層）；斑紋蜘蛛（望星坡、碧波谷徑、古皇陵第一層、古皇陵第二層、百妖穴第一層、亂藤林東方、百妖穴第二層）；沙漠斑蛛（塔干沙漠西方）；幻面蜘蛛（長林谷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13" ht="30" customHeight="1">
      <x:c r="A13" s="55" t="str">
        <x:v>長劍</x:v>
      </x:c>
      <x:c r="B13" s="55" t="str">
        <x:v>—</x:v>
      </x:c>
      <x:c r="C13" s="55" t="str">
        <x:v>義勇軍校場買賣人、京城打鐵舖、祁州打鐵舖、玄州打鐵舖</x:v>
      </x:c>
      <x:c r="D13" s="55" t="str">
        <x:v>—</x:v>
      </x:c>
      <x:c r="E13" s="55" t="inlineStr">
        <x:is>
          <x:t>狂猴（葬劍崖護法院、試煉之窟）</x:t>
        </x:is>
      </x:c>
    </x:row>
    <x:row r="14" ht="45" customHeight="1">
      <x:c r="A14" s="55" t="str">
        <x:v>誅鬼劍</x:v>
      </x:c>
      <x:c r="B14" s="55" t="str">
        <x:v>—</x:v>
      </x:c>
      <x:c r="C14" s="55" t="str">
        <x:v>—</x:v>
      </x:c>
      <x:c r="D14" s="55" t="str">
        <x:v>—</x:v>
      </x:c>
      <x:c r="E14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攔路賊（鎮南關密道）；巨靈魔（亂藤林、毒龍潭、摘星嶺、魔君陵墓）；巨靈魔王（摘星嶺、魔君陵墓、魔君陵寢一層、修羅窟）</x:t>
        </x:is>
      </x:c>
    </x:row>
    <x:row r="15" ht="75" customHeight="1">
      <x:c r="A15" s="55" t="str">
        <x:v>闊劍</x:v>
      </x:c>
      <x:c r="B15" s="55" t="str">
        <x:v>—</x:v>
      </x:c>
      <x:c r="C15" s="55" t="str">
        <x:v>祁州打鐵舖、玄州打鐵舖、釣日村武器店長</x:v>
      </x:c>
      <x:c r="D15" s="55" t="str">
        <x:v>—</x:v>
      </x:c>
      <x:c r="E15" s="55" t="inlineStr">
        <x:is>
          <x:t>草原戰士（呼倫草原、貝爾草原、大汗陵墓、蒼狼大營）；[草原戰士]（網站未列地圖）；燎原戰士（大汗陵墓）；燎原戰士幻影（網站未列地圖）；2轉劍影（五派禁地）；2轉女劍影（五派禁地）；九陽劍宗（五派禁地）；雷霆劍宗（五派禁地）；煉氣宗（五派禁地）；玄氣宗（五派禁地）；草原長槍兵（塞北草原、呼倫草原、亂石林、大汗陵墓、統萬大營）；蒼狼精兵（塞北草原）；1轉女劍影（五派禁地）；1轉劍影（五派禁地）；密林妖禽（千佛遺跡東側、千佛遺跡西側）；[密林妖禽]（網站未列地圖）</x:t>
        </x:is>
      </x:c>
    </x:row>
    <x:row r="16" ht="15" customHeight="1">
      <x:c r="A16" s="55" t="str">
        <x:v>精鋼闊劍</x:v>
      </x:c>
      <x:c r="B16" s="55" t="str">
        <x:v>—</x:v>
      </x:c>
      <x:c r="C16" s="55" t="str">
        <x:v>釣日村武器店長</x:v>
      </x:c>
      <x:c r="D16" s="55" t="str">
        <x:v>—</x:v>
      </x:c>
      <x:c r="E16" s="55" t="inlineStr">
        <x:is>
          <x:t>攔路賊（鎮南關密道）</x:t>
        </x:is>
      </x:c>
    </x:row>
    <x:row r="17" ht="60" customHeight="1">
      <x:c r="A17" s="55" t="str">
        <x:v>巨闕劍</x:v>
      </x:c>
      <x:c r="B17" s="55" t="str">
        <x:v>—</x:v>
      </x:c>
      <x:c r="C17" s="55" t="str">
        <x:v>—</x:v>
      </x:c>
      <x:c r="D17" s="55" t="str">
        <x:v>—</x:v>
      </x:c>
      <x:c r="E17" s="55" t="inlineStr">
        <x:is>
          <x:t>超巨靈魔王（獄門峽）；夜叉王（玄州城、獄門峽）；魔族寶物（網站未列地圖）；食日巨靈（五派禁地）；力士俑（古皇陵第二層、古皇陵第三層）；{力士俑}（古皇陵密室）；巨靈魔王（摘星嶺、魔君陵墓、魔君陵寢一層、修羅窟）；山寨大王（塞北關、映月泊、封神臺、亂藤林東方）；長林惡匪（長林谷）；流亡叛軍隊長（八達嶺、古北口、古北大營）；流亡叛軍隊長（邊關要塞）</x:t>
        </x:is>
      </x:c>
    </x:row>
    <x:row r="18" ht="30" customHeight="1">
      <x:c r="A18" s="55" t="str">
        <x:v>天闕劍</x:v>
      </x:c>
      <x:c r="B18" s="55" t="str">
        <x:v>—</x:v>
      </x:c>
      <x:c r="C18" s="55" t="str">
        <x:v>—</x:v>
      </x:c>
      <x:c r="D18" s="55" t="str">
        <x:v>—</x:v>
      </x:c>
      <x:c r="E18" s="55" t="inlineStr">
        <x:is>
          <x:t>超巨靈魔王（獄門峽）；大汗親兵（亂石林、黑城遺跡、疾風谷、大汗陵墓、統萬大營）；食日巨靈（五派禁地）；賊寇（鎮南關密道）</x:t>
        </x:is>
      </x:c>
    </x:row>
    <x:row r="19" ht="15" customHeight="1">
      <x:c r="A19" s="55" t="str">
        <x:v>蛇劍</x:v>
      </x:c>
      <x:c r="B19" s="55" t="str">
        <x:v>—</x:v>
      </x:c>
      <x:c r="C19" s="55" t="str">
        <x:v>玄州打鐵舖、釣日村武器店長</x:v>
      </x:c>
      <x:c r="D19" s="55" t="str">
        <x:v>—</x:v>
      </x:c>
      <x:c r="E19" s="55" t="inlineStr">
        <x:is>
          <x:t>夜鴆鱗莽（波斯西市、漆黑水路）</x:t>
        </x:is>
      </x:c>
    </x:row>
    <x:row r="20" ht="15" customHeight="1">
      <x:c r="A20" s="55" t="str">
        <x:v>精鋼蛇劍</x:v>
      </x:c>
      <x:c r="B20" s="55" t="str">
        <x:v>—</x:v>
      </x:c>
      <x:c r="C20" s="55" t="str">
        <x:v>釣日村武器店長</x:v>
      </x:c>
      <x:c r="D20" s="55" t="str">
        <x:v>—</x:v>
      </x:c>
      <x:c r="E20" s="55" t="inlineStr">
        <x:is>
          <x:t>金翅鳥（摩羅國境、菩提聖原、大梵河岸）；金翅鳥（摩羅國境、菩提聖原、大梵河岸）</x:t>
        </x:is>
      </x:c>
    </x:row>
    <x:row r="21" ht="195" customHeight="1">
      <x:c r="A21" s="55" t="str">
        <x:v>玄鐵劍</x:v>
      </x:c>
      <x:c r="B21" s="55" t="str">
        <x:v>—</x:v>
      </x:c>
      <x:c r="C21" s="55" t="str">
        <x:v>祁州打鐵舖、玄州打鐵舖</x:v>
      </x:c>
      <x:c r="D21" s="55" t="str">
        <x:v>—</x:v>
      </x:c>
      <x:c r="E21" s="55" t="inlineStr">
        <x:is>
          <x:t>天門殘兇（始祖巨林．西）；天門秀衛（燕蕩嶺）；私贓密運客（祥鷺古街）；天門隨者（祥鷺古街）；禿鷹幫響馬（高昌郡）；布衣幫響馬（高昌郡）；大將衝石徹（黑城遺跡）；衝石徹幻影（亂石林）；衝石徹（大汗陵墓）；2轉劍影（五派禁地）；2轉女劍影（五派禁地）；九陽劍宗（五派禁地）；雷霆劍宗（五派禁地）；煉氣宗（五派禁地）；玄氣宗（五派禁地）；1轉女劍影（五派禁地）；1轉劍影（五派禁地）；草原長槍兵（關外草原）；草原戰士（呼倫草原、貝爾草原、大汗陵墓、蒼狼大營）；[草原戰士]（網站未列地圖）；燎原戰士（大汗陵墓）；燎原戰士幻影（網站未列地圖）；大將衝石徹（關外草原）；蒼狼精兵（塞北草原）；草原長槍兵（塞北草原、呼倫草原、亂石林、大汗陵墓、統萬大營）；十獄殿主（森羅閻殿、奈落紅川、荒禍殘墟）；森羅大殿主（天戮魔殿）；大鵬金翅鳥（金霄佛寺、濕婆神廟）；御象尊者（網站未列地圖）；濕婆神教刺客（大梵河岸）；惡魔（豐穗平原、血鴉嶺、靜默之丘、擎空壁壘）；四象晶鎖（網站未列地圖）；&lt;四象晶鎖&gt;（網站未列地圖）；四聖位化神（飛昇大廳）；&lt;四聖位化神&gt;（真七寶仙境　貳）；仙嶺妖禽（懸空仙嶺）；羅剎流寇（黃塵荒漠）；高原冰靈（登天棧道、懸空仙嶺）；太初劍魄（橫劍天關）；魔劍子（登龍道、凌風修境）；土行鬼王（亂藤林、亂藤林南方、葬日沼澤、魔君陵墓、靖南古道、修羅窟）；土行者（亂藤林、亂藤林東方、亂藤林南方、葬日沼澤、魔君陵墓、靖南古道、修羅窟、千佛遺跡東側）；邪月土靈（網站未列地圖）；土行者（試煉之窟）</x:t>
        </x:is>
      </x:c>
    </x:row>
    <x:row r="22" ht="15" customHeight="1">
      <x:c r="A22" s="55" t="str">
        <x:v>冰靈鋼劍</x:v>
      </x:c>
      <x:c r="B22" s="55" t="str">
        <x:v>—</x:v>
      </x:c>
      <x:c r="C22" s="55" t="str">
        <x:v>—</x:v>
      </x:c>
      <x:c r="D22" s="55" t="str">
        <x:v>冰靈鋼劍配方</x:v>
      </x:c>
      <x:c r="E22" s="55" t="inlineStr">
        <x:is>
          <x:t>百眼族大魔王（網站未列地圖）；賊寇（鎮南關密道）；仙女錦囊（網站未列地圖）；小龍珠寶箱（網站未列地圖）</x:t>
        </x:is>
      </x:c>
    </x:row>
    <x:row r="23" ht="15" customHeight="1">
      <x:c r="A23" s="55" t="str">
        <x:v>火靈鋼劍</x:v>
      </x:c>
      <x:c r="B23" s="55" t="str">
        <x:v>—</x:v>
      </x:c>
      <x:c r="C23" s="55" t="str">
        <x:v>—</x:v>
      </x:c>
      <x:c r="D23" s="55" t="str">
        <x:v>火靈鋼劍配方</x:v>
      </x:c>
      <x:c r="E23" s="55" t="inlineStr">
        <x:is>
          <x:t>賊寇（鎮南關密道）；火元素神將（萬識聖宮）；熾火真帝靈（飛昇大廳）；&lt;熾火真帝靈&gt;（真七寶仙境　貳）</x:t>
        </x:is>
      </x:c>
    </x:row>
    <x:row r="24" ht="15" customHeight="1">
      <x:c r="A24" s="55" t="str">
        <x:v>雷靈鋼劍</x:v>
      </x:c>
      <x:c r="B24" s="55" t="str">
        <x:v>—</x:v>
      </x:c>
      <x:c r="C24" s="55" t="str">
        <x:v>—</x:v>
      </x:c>
      <x:c r="D24" s="55" t="str">
        <x:v>雷靈鋼劍配方</x:v>
      </x:c>
      <x:c r="E24" s="55" t="inlineStr">
        <x:is>
          <x:t>夜叉族大魔王（網站未列地圖）；稀奇裝備箱．丁式（網站未列地圖）；賊寇（鎮南關密道）</x:t>
        </x:is>
      </x:c>
    </x:row>
    <x:row r="25" ht="30" customHeight="1">
      <x:c r="A25" s="55" t="str">
        <x:v>惡靈鋼劍</x:v>
      </x:c>
      <x:c r="B25" s="55" t="str">
        <x:v>—</x:v>
      </x:c>
      <x:c r="C25" s="55" t="str">
        <x:v>—</x:v>
      </x:c>
      <x:c r="D25" s="55" t="str">
        <x:v>惡靈鋼劍配方</x:v>
      </x:c>
      <x:c r="E25" s="55" t="inlineStr">
        <x:is>
          <x:t>稀奇裝備箱．丁式（網站未列地圖）；賊寇（鎮南關密道）；蛇女包裹（網站未列地圖）；鬼城包裹（網站未列地圖）；陰間冥包（網站未列地圖）</x:t>
        </x:is>
      </x:c>
    </x:row>
    <x:row r="26" ht="15" customHeight="1">
      <x:c r="A26" s="55" t="str">
        <x:v>雙刃劍</x:v>
      </x:c>
      <x:c r="B26" s="55" t="str">
        <x:v>—</x:v>
      </x:c>
      <x:c r="C26" s="55" t="str">
        <x:v>刑天-劍齒鱷</x:v>
      </x:c>
      <x:c r="D26" s="55" t="str">
        <x:v>—</x:v>
      </x:c>
      <x:c r="E26" s="55" t="inlineStr">
        <x:is>
          <x:t>黑巨蛟（東方海域）</x:t>
        </x:is>
      </x:c>
    </x:row>
    <x:row r="27" ht="30" customHeight="1">
      <x:c r="A27" s="55" t="str">
        <x:v>護法劍</x:v>
      </x:c>
      <x:c r="B27" s="55" t="str">
        <x:v>—</x:v>
      </x:c>
      <x:c r="C27" s="55" t="str">
        <x:v>—</x:v>
      </x:c>
      <x:c r="D27" s="55" t="str">
        <x:v>—</x:v>
      </x:c>
      <x:c r="E27" s="55" t="inlineStr">
        <x:is>
          <x:t>巨鉗蟹將（龍宮第七層、龍宮八層一隅、龍宮八層廣場）；利鉗蟹兵（龍宮第六層、龍宮第七層、龍宮八層一隅、龍宮八層廣場）；海賊章魚（龍宮第六層、龍宮第七層、龍宮八層廣場）</x:t>
        </x:is>
      </x:c>
    </x:row>
    <x:row r="28" ht="15" customHeight="1">
      <x:c r="A28" s="55" t="str">
        <x:v>紅蓮劍</x:v>
      </x:c>
      <x:c r="B28" s="55" t="str">
        <x:v>—</x:v>
      </x:c>
      <x:c r="C28" s="55" t="str">
        <x:v>維摩洞天-仙島工匠</x:v>
      </x:c>
      <x:c r="D28" s="55" t="str">
        <x:v>—</x:v>
      </x:c>
      <x:c r="E28" s="55" t="inlineStr">
        <x:is>
          <x:t>冥火妖（烈火靈界裂隙）；邪火妖（望星坡、烈火修煉場、朝天觀、葬日沼澤北方、萬人塚第三層）</x:t>
        </x:is>
      </x:c>
    </x:row>
    <x:row r="29" ht="15" customHeight="1">
      <x:c r="A29" s="55" t="str">
        <x:v>洛花劍</x:v>
      </x:c>
      <x:c r="B29" s="55" t="str">
        <x:v>—</x:v>
      </x:c>
      <x:c r="C29" s="55" t="str">
        <x:v>維摩洞天-仙島工匠</x:v>
      </x:c>
      <x:c r="D29" s="55" t="str">
        <x:v>—</x:v>
      </x:c>
      <x:c r="E29" s="55" t="inlineStr">
        <x:is>
          <x:t>—</x:t>
        </x:is>
      </x:c>
    </x:row>
    <x:row r="30" ht="15" customHeight="1">
      <x:c r="A30" s="55" t="str">
        <x:v>漁人劍</x:v>
      </x:c>
      <x:c r="B30" s="55" t="str">
        <x:v>—</x:v>
      </x:c>
      <x:c r="C30" s="55" t="str">
        <x:v>釣日村武器店長</x:v>
      </x:c>
      <x:c r="D30" s="55" t="str">
        <x:v>—</x:v>
      </x:c>
      <x:c r="E30" s="55" t="inlineStr">
        <x:is>
          <x:t>—</x:t>
        </x:is>
      </x:c>
    </x:row>
    <x:row r="31" ht="15" customHeight="1">
      <x:c r="A31" s="55" t="str">
        <x:v>破浪劍</x:v>
      </x:c>
      <x:c r="B31" s="55" t="str">
        <x:v>—</x:v>
      </x:c>
      <x:c r="C31" s="55" t="str">
        <x:v>釣日村武器店長</x:v>
      </x:c>
      <x:c r="D31" s="55" t="str">
        <x:v>—</x:v>
      </x:c>
      <x:c r="E31" s="55" t="inlineStr">
        <x:is>
          <x:t>金叉修羅王（濕婆神廟）</x:t>
        </x:is>
      </x:c>
    </x:row>
    <x:row r="32" ht="15" customHeight="1">
      <x:c r="A32" s="55" t="str">
        <x:v>快意劍</x:v>
      </x:c>
      <x:c r="B32" s="55" t="str">
        <x:v>—</x:v>
      </x:c>
      <x:c r="C32" s="55" t="str">
        <x:v>維摩洞天-仙島工匠</x:v>
      </x:c>
      <x:c r="D32" s="55" t="str">
        <x:v>—</x:v>
      </x:c>
      <x:c r="E32" s="55" t="inlineStr">
        <x:is>
          <x:t>—</x:t>
        </x:is>
      </x:c>
    </x:row>
    <x:row r="33" ht="15" customHeight="1">
      <x:c r="A33" s="55" t="str">
        <x:v>龍紋劍</x:v>
      </x:c>
      <x:c r="B33" s="55" t="str">
        <x:v>—</x:v>
      </x:c>
      <x:c r="C33" s="55" t="str">
        <x:v>—</x:v>
      </x:c>
      <x:c r="D33" s="55" t="str">
        <x:v>—</x:v>
      </x:c>
      <x:c r="E33" s="55" t="inlineStr">
        <x:is>
          <x:t>黑巨蛟（東方海域）；神龍將（龍宮八層廣場）；海巨蛟（東方海域）</x:t>
        </x:is>
      </x:c>
    </x:row>
    <x:row r="34" ht="45" customHeight="1">
      <x:c r="A34" s="55" t="str">
        <x:v>穿心劍</x:v>
      </x:c>
      <x:c r="B34" s="55" t="str">
        <x:v>—</x:v>
      </x:c>
      <x:c r="C34" s="55" t="str">
        <x:v>—</x:v>
      </x:c>
      <x:c r="D34" s="55" t="str">
        <x:v>—</x:v>
      </x:c>
      <x:c r="E34" s="55" t="inlineStr">
        <x:is>
          <x:t>蒼狼精兵（塞北草原）；1轉女劍影（五派禁地）；1轉劍影（五派禁地）；草原長槍兵（關外草原）；草原長槍兵（塞北草原、呼倫草原、亂石林、大汗陵墓、統萬大營）；[女王蜂]（網站未列地圖）；女王蜂（桃花林、桃花林西方、桃花林南方）</x:t>
        </x:is>
      </x:c>
    </x:row>
    <x:row r="35" ht="30" customHeight="1">
      <x:c r="A35" s="55" t="str">
        <x:v>紅珊劍</x:v>
      </x:c>
      <x:c r="B35" s="55" t="str">
        <x:v>—</x:v>
      </x:c>
      <x:c r="C35" s="55" t="str">
        <x:v>—</x:v>
      </x:c>
      <x:c r="D35" s="55" t="str">
        <x:v>—</x:v>
      </x:c>
      <x:c r="E35" s="55" t="inlineStr">
        <x:is>
          <x:t>蒼龍神兵錦囊（網站未列地圖）；掠奪武器包裹（網站未列地圖）；羅剎寶袋（網站未列地圖）；八爪海怪（龍宮第七層、龍宮八層一隅、龍宮八層廣場）；怒海狂蛟（極東海域）</x:t>
        </x:is>
      </x:c>
    </x:row>
    <x:row r="36" ht="45" customHeight="1">
      <x:c r="A36" s="55" t="str">
        <x:v>侏紋冰劍</x:v>
      </x:c>
      <x:c r="B36" s="55" t="str">
        <x:v>—</x:v>
      </x:c>
      <x:c r="C36" s="55" t="str">
        <x:v>—</x:v>
      </x:c>
      <x:c r="D36" s="55" t="str">
        <x:v>—</x:v>
      </x:c>
      <x:c r="E36" s="55" t="inlineStr">
        <x:is>
          <x:t>侏紋裝備錦囊（網站未列地圖）；侏人炸彈兵（蕈菇林東方、蕈菇林西方、地下水道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</x:t>
        </x:is>
      </x:c>
    </x:row>
    <x:row r="37" ht="30" customHeight="1">
      <x:c r="A37" s="55" t="str">
        <x:v>侏紋火劍</x:v>
      </x:c>
      <x:c r="B37" s="55" t="str">
        <x:v>—</x:v>
      </x:c>
      <x:c r="C37" s="55" t="str">
        <x:v>—</x:v>
      </x:c>
      <x:c r="D37" s="55" t="str">
        <x:v>—</x:v>
      </x:c>
      <x:c r="E37" s="55" t="inlineStr">
        <x:is>
          <x:t>侏紋裝備錦囊（網站未列地圖）；魔侏人狂戰士（神兵塚）；灰侏人狂戰士（地下水道、水晶礦坑）；魔侏人炸彈兵（神兵塚）；灰侏人炸彈兵（晶湖水道、地下水道、水晶礦坑）</x:t>
        </x:is>
      </x:c>
    </x:row>
    <x:row r="38" ht="30" customHeight="1">
      <x:c r="A38" s="55" t="str">
        <x:v>侏紋雷劍</x:v>
      </x:c>
      <x:c r="B38" s="55" t="str">
        <x:v>—</x:v>
      </x:c>
      <x:c r="C38" s="55" t="str">
        <x:v>—</x:v>
      </x:c>
      <x:c r="D38" s="55" t="str">
        <x:v>—</x:v>
      </x:c>
      <x:c r="E38" s="55" t="inlineStr">
        <x:is>
          <x:t>侏紋裝備錦囊（網站未列地圖）；地煞幻影（神兵塚）；侏人狂戰將（礦坑戰場）；地煞（神兵塚）；[地煞]（網站未列地圖）</x:t>
        </x:is>
      </x:c>
    </x:row>
    <x:row r="39" ht="60" customHeight="1">
      <x:c r="A39" s="55" t="str">
        <x:v>侏紋冥劍</x:v>
      </x:c>
      <x:c r="B39" s="55" t="str">
        <x:v>—</x:v>
      </x:c>
      <x:c r="C39" s="55" t="str">
        <x:v>—</x:v>
      </x:c>
      <x:c r="D39" s="55" t="str">
        <x:v>—</x:v>
      </x:c>
      <x:c r="E39" s="55" t="inlineStr">
        <x:is>
          <x: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x:t>
        </x:is>
      </x:c>
    </x:row>
    <x:row r="40" ht="15" customHeight="1">
      <x:c r="A40" s="55" t="str">
        <x:v>皇陵劍</x:v>
      </x:c>
      <x:c r="B40" s="55" t="str">
        <x:v>—</x:v>
      </x:c>
      <x:c r="C40" s="55" t="str">
        <x:v>祁州打鐵舖、玄州打鐵舖</x:v>
      </x:c>
      <x:c r="D40" s="55" t="str">
        <x:v>—</x:v>
      </x:c>
      <x:c r="E40" s="55" t="inlineStr">
        <x:is>
          <x:t>煉獄魔梟（凱旋廣場、聖禱天廳）；墮真劍仙（繚空碎島、飛雲忘野）</x:t>
        </x:is>
      </x:c>
    </x:row>
    <x:row r="41" ht="90" customHeight="1">
      <x:c r="A41" s="55" t="str">
        <x:v>西武劍</x:v>
      </x:c>
      <x:c r="B41" s="55" t="str">
        <x:v>—</x:v>
      </x:c>
      <x:c r="C41" s="55" t="str">
        <x:v>祁州打鐵舖、玄州打鐵舖</x:v>
      </x:c>
      <x:c r="D41" s="55" t="str">
        <x:v>—</x:v>
      </x:c>
      <x:c r="E41" s="55" t="inlineStr">
        <x:is>
          <x:t>地獄蜥蜴人（神臨之地）；&lt;地獄蜥蜴人&gt;（修羅級神臨之地）；魔劍仙無上（繚空碎島）；冥府魘龍（聖禱天廳）；強襲飛龍（青龍東殿）；虎台白吼（四聖祭台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；冰眼蟾蜍（異時界‧亂藤林）；異時遊魔（紫雷轟原）；蕩神劍聖（橫劍天關、仙庭玉階、闕真金閣）；墮真劍邪（網站未列地圖）；穹天軍長（天啟八關）</x:t>
        </x:is>
      </x:c>
    </x:row>
    <x:row r="42" ht="135" customHeight="1">
      <x:c r="A42" s="55" t="str">
        <x:v>修真劍</x:v>
      </x:c>
      <x:c r="B42" s="55" t="str">
        <x:v>—</x:v>
      </x:c>
      <x:c r="C42" s="55" t="str">
        <x:v>祁州打鐵舖、玄州打鐵舖</x:v>
      </x:c>
      <x:c r="D42" s="55" t="str">
        <x:v>—</x:v>
      </x:c>
      <x:c r="E42" s="55" t="inlineStr">
        <x:is>
          <x:t>天劫土行王（魔君天都）；天劫夸父王（魔君天都）；&lt;天劫土行王&gt;（修羅級魔君天都）；&lt;天劫夸父王&gt;（修羅級魔君天都）；天劫土行者（魔君天都）；&lt;天劫土行者&gt;（修羅級魔君天都）；無之虛魅（時沒邊界）；陌形劍者（時沒邊界）；無瑕鎧妖（玄武北殿）；蒼狼‧強（殘雲天境）；墮真劍邪‧強（殘雲天境）；霧城巨獅‧強（殘雲天境）；風行刀獸（白虎西殿）；南天火影（朱雀南殿）；夜叉獵矛手（異時界‧摘星嶺）；璽毒蠍（異時界‧摘星嶺）；護教金鳥（異時界‧葬日沼澤）；亡邪獵矛夜叉（異時界‧葬日沼北）；修羅巨蟒（異時界‧葬日沼南）；刑天殺者（異時界‧葬日沼南）；火咬鱷（異時界‧毒龍潭）；鬼界獅鬥將（異時界‧修羅窟）；天劫大夜叉（異時界‧夜叉嶺）；刑天殺鬼（異時界‧修羅窟）；烈火蜈蚣（異時界‧亂藤林南）；太白無常（異時界‧亂藤林西）；劍齒灰狼（異時界‧亂藤林南）；幻業劍魔（無限鬥界）；&lt;幻業劍魔&gt;（修羅級無限鬥界）；業障劍者（無限鬥界）；&lt;業障劍者&gt;（修羅級無限鬥界）</x:t>
        </x:is>
      </x:c>
    </x:row>
    <x:row r="43" ht="45" customHeight="1">
      <x:c r="A43" s="55" t="str">
        <x:v>空蟬劍</x:v>
      </x:c>
      <x:c r="B43" s="55" t="str">
        <x:v>—</x:v>
      </x:c>
      <x:c r="C43" s="55" t="str">
        <x:v>祁州打鐵舖、玄州打鐵舖</x:v>
      </x:c>
      <x:c r="D43" s="55" t="str">
        <x:v>—</x:v>
      </x:c>
      <x:c r="E43" s="55" t="inlineStr">
        <x:is>
          <x:t>冥燈慘爪（終末之塔第1層、終末之塔第2層）；魔劍鐵傀（音無晶宇）；陰骸骨刀（觀無巽宇）；凶星狼（覺無洋宇）；墮虛之翅（覺無洋宇）；散元劍狂（星群碎道）；焦宙兇火（不解迴路）；嗅血劍鯊（不解迴路）；冥虛判官（虛空渦心）；獄門劍尊（不解迴路）</x:t>
        </x:is>
      </x:c>
    </x:row>
    <x:row r="44" ht="45" customHeight="1">
      <x:c r="A44" s="55" t="str">
        <x:v>奇杷反覆劍</x:v>
      </x:c>
      <x:c r="B44" s="55" t="str">
        <x:v>—</x:v>
      </x:c>
      <x:c r="C44" s="55" t="str">
        <x:v>—</x:v>
      </x:c>
      <x:c r="D44" s="55" t="str">
        <x:v>—</x:v>
      </x:c>
      <x:c r="E44" s="55" t="inlineStr">
        <x:is>
          <x:t>賽特（神王金字塔）；&lt;賽特&gt;（修羅級神王金字塔）；墟漠矮靈（終末之塔第39層）；畫蛇似蛟（終末之塔第49層、終末之塔第50層）；疤枷?（終末之塔第13層）；採石奴（吉薩走廊）；木乃伊（古翰大沙漠）；尼絡女鬥士（太陽神大道）；護聖女侍（王都盧索）；托勒密魔鱷（托勒密山麓）</x:t>
        </x:is>
      </x:c>
    </x:row>
    <x:row r="45" ht="30" customHeight="1">
      <x:c r="A45" s="55" t="str">
        <x:v>紫月追風劍</x:v>
      </x:c>
      <x:c r="B45" s="55" t="str">
        <x:v>—</x:v>
      </x:c>
      <x:c r="C45" s="55" t="str">
        <x:v>—</x:v>
      </x:c>
      <x:c r="D45" s="55" t="str">
        <x:v>—</x:v>
      </x:c>
      <x:c r="E45" s="55" t="inlineStr">
        <x:is>
          <x:t>無旌戰狼（終末之塔第33層、終末之塔第34層）；血腥者（終末之塔第18層、終末之塔第19層、終末之塔第11層）；虛來殺爪（吉薩走廊）；古翰沙蟲（古翰大沙漠）</x:t>
        </x:is>
      </x:c>
    </x:row>
    <x:row r="46" ht="30" customHeight="1">
      <x:c r="A46" s="55" t="str">
        <x:v>紫月赤墜劍</x:v>
      </x:c>
      <x:c r="B46" s="55" t="str">
        <x:v>—</x:v>
      </x:c>
      <x:c r="C46" s="55" t="str">
        <x:v>—</x:v>
      </x:c>
      <x:c r="D46" s="55" t="str">
        <x:v>—</x:v>
      </x:c>
      <x:c r="E46" s="55" t="inlineStr">
        <x:is>
          <x:t>斯芬克斯銅像（神王金字塔）；&lt;斯芬克斯銅像&gt;（修羅級神王金字塔）；柱末腐豚（終末之塔第56層、終末之塔第57層）；尼絡暴獸（終末之塔第53層、終末之塔第54層）；起源刺客（托勒密山麓）；凱布利（荷魯斯聖祠）</x:t>
        </x:is>
      </x:c>
    </x:row>
    <x:row r="47" ht="60" customHeight="1">
      <x:c r="A47" s="55" t="str">
        <x:v>御城劍</x:v>
      </x:c>
      <x:c r="B47" s="55" t="str">
        <x:v>—</x:v>
      </x:c>
      <x:c r="C47" s="55" t="str">
        <x:v>—</x:v>
      </x:c>
      <x:c r="D47" s="55" t="str">
        <x:v>—</x:v>
      </x:c>
      <x:c r="E47" s="55" t="inlineStr">
        <x:is>
          <x:t>虛無行者．劍（修羅級黃龍秘殿）；大內秘衛（藏意武窟）；禍患造者（終末之塔第88層、終末之塔第89層）；葬劍崖俠宗（西校場）；羅剎劍瑛（西宮翠苑）；葬劍崖俠宗（西校場）；長疆寇（山海長疆、太安道）；高麗劍客（齊襄道、太安道、東海道、溥山新郡）；衛郡武官（溥山新郡、白餘古城）；赤燄仙蛾（鷗揚浪嶼）；攔路客（殊雁峽）；鬃公羊（琉瑯岩灣）</x:t>
        </x:is>
      </x:c>
    </x:row>
    <x:row r="48" ht="30" customHeight="1">
      <x:c r="A48" s="55" t="str">
        <x:v>白餘劍</x:v>
      </x:c>
      <x:c r="B48" s="55" t="str">
        <x:v>—</x:v>
      </x:c>
      <x:c r="C48" s="55" t="str">
        <x:v>—</x:v>
      </x:c>
      <x:c r="D48" s="55" t="str">
        <x:v>—</x:v>
      </x:c>
      <x:c r="E48" s="55" t="inlineStr">
        <x:is>
          <x:t>萬曆劍豪（濟馬島）；太極劍官（白餘古城、濟馬島、漢京首府）；劍聖太極（漢京首府）；戰嵐女衛（旭陽山徑）；京師密探（璇鶯鎮）；部落戰狼（臺興中州、泰源大社）；狼人（臺興中州）；岷白鬥雄（白苗峽岸）</x:t>
        </x:is>
      </x:c>
    </x:row>
    <x:row r="49" ht="75" customHeight="1">
      <x:c r="A49" s="55" t="str">
        <x:v>魂樂劍</x:v>
      </x:c>
      <x:c r="B49" s="55" t="str">
        <x:v>—</x:v>
      </x:c>
      <x:c r="C49" s="55" t="str">
        <x:v>—</x:v>
      </x:c>
      <x:c r="D49" s="55" t="str">
        <x:v>—</x:v>
      </x:c>
      <x:c r="E49" s="55" t="inlineStr">
        <x:is>
          <x:t>育生水元（始祖巨林．東）；天門秀衛（燕蕩嶺）；戰嵐烈英（始祖巨林．東、始祖巨林．西）；阿鼻火靈（始祖巨林．西）；戰嵐先銳（泰源大社）；方舟機兵（風竹塹）；太古凝淤（風竹塹）；天門隨者（祥鷺古街）；基改戰兵FLM（南瞻聖地）；合成浮鰻（南瞻聖地）；淪劫迷者（終末之塔第113層、終末之塔第119層、終末之塔第111層）；合成士兵（葭雲廣原）；覷命射手（終末之塔第145層、終末之塔第144層、終末之塔第146層）；佈霾幽蛾（終末之塔第125層、終末之塔第128層）</x:t>
        </x:is>
      </x:c>
    </x:row>
    <x:row r="50" ht="15" customHeight="1">
      <x:c r="A50" s="55" t="str">
        <x:v>七星劍</x:v>
      </x:c>
      <x:c r="B50" s="55" t="str">
        <x:v>解決香客煩惱</x:v>
      </x:c>
      <x:c r="C50" s="55" t="str">
        <x:v>—</x:v>
      </x:c>
      <x:c r="D50" s="55" t="str">
        <x:v>—</x:v>
      </x:c>
      <x:c r="E50" s="55" t="inlineStr">
        <x:is>
          <x:t>—</x:t>
        </x:is>
      </x:c>
    </x:row>
    <x:row r="51" ht="15" customHeight="1">
      <x:c r="A51" s="55" t="str">
        <x:v>防身匕首</x:v>
      </x:c>
      <x:c r="B51" s="55" t="str">
        <x:v>傳送聯繫書信</x:v>
      </x:c>
      <x:c r="C51" s="55" t="str">
        <x:v>—</x:v>
      </x:c>
      <x:c r="D51" s="55" t="str">
        <x:v>—</x:v>
      </x:c>
      <x:c r="E51" s="55" t="inlineStr">
        <x:is>
          <x:t>—</x:t>
        </x:is>
      </x:c>
    </x:row>
    <x:row r="52" ht="15" customHeight="1">
      <x:c r="A52" s="55" t="str">
        <x:v>滄溟將軍劍</x:v>
      </x:c>
      <x:c r="B52" s="55" t="str">
        <x:v>尋找御賜寶劍</x:v>
      </x:c>
      <x:c r="C52" s="55" t="str">
        <x:v>—</x:v>
      </x:c>
      <x:c r="D52" s="55" t="str">
        <x:v>—</x:v>
      </x:c>
      <x:c r="E52" s="55" t="inlineStr">
        <x:is>
          <x:t>—</x:t>
        </x:is>
      </x:c>
    </x:row>
    <x:row r="53" ht="15" customHeight="1">
      <x:c r="A53" s="55" t="str">
        <x:v>精金母劍</x:v>
      </x:c>
      <x:c r="B53" s="55" t="str">
        <x:v>協辦京城打劫事件</x:v>
      </x:c>
      <x:c r="C53" s="55" t="str">
        <x:v>—</x:v>
      </x:c>
      <x:c r="D53" s="55" t="str">
        <x:v>—</x:v>
      </x:c>
      <x:c r="E53" s="55" t="inlineStr">
        <x:is>
          <x:t>—</x:t>
        </x:is>
      </x:c>
    </x:row>
    <x:row r="54" ht="15" customHeight="1">
      <x:c r="A54" s="55" t="str">
        <x:v>精金子劍</x:v>
      </x:c>
      <x:c r="B54" s="55" t="str">
        <x:v>協辦京城打劫事件</x:v>
      </x:c>
      <x:c r="C54" s="55" t="str">
        <x:v>—</x:v>
      </x:c>
      <x:c r="D54" s="55" t="str">
        <x:v>—</x:v>
      </x:c>
      <x:c r="E54" s="55" t="inlineStr">
        <x:is>
          <x:t>—</x:t>
        </x:is>
      </x:c>
    </x:row>
    <x:row r="55" ht="15" customHeight="1">
      <x:c r="A55" s="55" t="str">
        <x:v>刺客劍</x:v>
      </x:c>
      <x:c r="B55" s="55" t="str">
        <x:v>祈州術者職業任務</x:v>
      </x:c>
      <x:c r="C55" s="55" t="str">
        <x:v>—</x:v>
      </x:c>
      <x:c r="D55" s="55" t="str">
        <x:v>—</x:v>
      </x:c>
      <x:c r="E55" s="55" t="inlineStr">
        <x:is>
          <x:t>—</x:t>
        </x:is>
      </x:c>
    </x:row>
    <x:row r="56" ht="15" customHeight="1">
      <x:c r="A56" s="55" t="str">
        <x:v>古錠劍</x:v>
      </x:c>
      <x:c r="B56" s="55" t="str">
        <x:v>義勇軍-密函任務</x:v>
      </x:c>
      <x:c r="C56" s="55" t="str">
        <x:v>—</x:v>
      </x:c>
      <x:c r="D56" s="55" t="str">
        <x:v>—</x:v>
      </x:c>
      <x:c r="E56" s="55" t="inlineStr">
        <x:is>
          <x:t>—</x:t>
        </x:is>
      </x:c>
    </x:row>
    <x:row r="57" ht="15" customHeight="1">
      <x:c r="A57" s="55" t="str">
        <x:v>地闕劍</x:v>
      </x:c>
      <x:c r="B57" s="55" t="str">
        <x:v>地火神兵-重組器靈現神兵</x:v>
      </x:c>
      <x:c r="C57" s="55" t="str">
        <x:v>—</x:v>
      </x:c>
      <x:c r="D57" s="55" t="str">
        <x:v>—</x:v>
      </x:c>
      <x:c r="E57" s="55" t="inlineStr">
        <x:is>
          <x:t>小火蕈傘人（蕈菇林、蕈菇林東方、蕈菇林西方、侏人部落、神兵塚）</x:t>
        </x:is>
      </x:c>
    </x:row>
    <x:row r="58" ht="15" customHeight="1">
      <x:c r="A58" s="55" t="str">
        <x:v>蠱心邪劍</x:v>
      </x:c>
      <x:c r="B58" s="55" t="str">
        <x:v>—</x:v>
      </x:c>
      <x:c r="C58" s="55" t="str">
        <x:v>—</x:v>
      </x:c>
      <x:c r="D58" s="55" t="str">
        <x:v>—</x:v>
      </x:c>
      <x:c r="E58" s="55" t="inlineStr">
        <x:is>
          <x:t>九首邪蟒（濕婆神廟）；叢林蛇王（千佛遺跡西側）；旱野蛇魔（菩提聖原、大梵河岸、金霄佛寺）</x:t>
        </x:is>
      </x:c>
    </x:row>
    <x:row r="59" ht="15" customHeight="1">
      <x:c r="A59" s="55" t="str">
        <x:v>人間無骨</x:v>
      </x:c>
      <x:c r="B59" s="55" t="str">
        <x:v>重振門威</x:v>
      </x:c>
      <x:c r="C59" s="55" t="str">
        <x:v>—</x:v>
      </x:c>
      <x:c r="D59" s="55" t="str">
        <x:v>—</x:v>
      </x:c>
      <x:c r="E59" s="55" t="inlineStr">
        <x:is>
          <x:t>春風特獎福袋（網站未列地圖）</x:t>
        </x:is>
      </x:c>
    </x:row>
    <x:row r="60" ht="75" customHeight="1">
      <x:c r="A60" s="55" t="str">
        <x:v>晶石劍</x:v>
      </x:c>
      <x:c r="B60" s="55" t="str">
        <x:v>—</x:v>
      </x:c>
      <x:c r="C60" s="55" t="str">
        <x:v>—</x:v>
      </x:c>
      <x:c r="D60" s="55" t="str">
        <x:v>—</x:v>
      </x:c>
      <x:c r="E60" s="55" t="inlineStr">
        <x:is>
          <x:t>晶石兵器寶盒（網站未列地圖）；招財錦囊（網站未列地圖）；招財聚寶袋（網站未列地圖）；喜兔武器錦囊‧壹（網站未列地圖）；傳情錦囊（網站未列地圖）；朱戈幫屠夫（網站未列地圖）；巨石怪（桃花林西方）；死靈骷髏（魔君陵墓）；死靈弓手（魔君陵墓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61" ht="30" customHeight="1">
      <x:c r="A61" s="55" t="str">
        <x:v>凝晶奇劍</x:v>
      </x:c>
      <x:c r="B61" s="55" t="str">
        <x:v>—</x:v>
      </x:c>
      <x:c r="C61" s="55" t="str">
        <x:v>—</x:v>
      </x:c>
      <x:c r="D61" s="55" t="str">
        <x:v>—</x:v>
      </x:c>
      <x:c r="E61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62" ht="15" customHeight="1">
      <x:c r="A62" s="55" t="str">
        <x:v>卓越之劍</x:v>
      </x:c>
      <x:c r="B62" s="55" t="str">
        <x:v>—</x:v>
      </x:c>
      <x:c r="C62" s="55" t="str">
        <x:v>—</x:v>
      </x:c>
      <x:c r="D62" s="55" t="str">
        <x:v>—</x:v>
      </x:c>
      <x:c r="E62" s="55" t="inlineStr">
        <x:is>
          <x:t>卓越兵器寶盒（網站未列地圖）</x:t>
        </x:is>
      </x:c>
    </x:row>
    <x:row r="63" ht="60" customHeight="1">
      <x:c r="A63" s="55" t="str">
        <x:v>蟾蜍劍</x:v>
      </x:c>
      <x:c r="B63" s="55" t="str">
        <x:v>—</x:v>
      </x:c>
      <x:c r="C63" s="55" t="str">
        <x:v>—</x:v>
      </x:c>
      <x:c r="D63" s="55" t="str">
        <x:v>—</x:v>
      </x:c>
      <x:c r="E63" s="55" t="inlineStr">
        <x:is>
          <x:t>毒蟾蜍（碧波谷徑、百妖穴第一層、萬人塚第一層、亂藤林、亂藤林東方、葬日沼澤北方、毒龍潭、盤蛇洞、河西谷地）；火蟾蜍（平西關、碧波谷徑、巨猿洞窟一層、巨猿洞窟二層、百妖穴第一層、萬人塚第一層、葬日沼澤北方、盤蛇洞、棲鳳崖、河西谷地）；冰蟾蜍（映月泊、百妖穴第一層、萬人塚第一層、天山雪道、盤蛇洞）；巨蟾蜍（試煉之窟）；大蟾蜍（試煉之窟）</x:t>
        </x:is>
      </x:c>
    </x:row>
    <x:row r="64" ht="105" customHeight="1">
      <x:c r="A64" s="55" t="str">
        <x:v>追魂劍</x:v>
      </x:c>
      <x:c r="B64" s="55" t="str">
        <x:v>—</x:v>
      </x:c>
      <x:c r="C64" s="55" t="str">
        <x:v>—</x:v>
      </x:c>
      <x:c r="D64" s="55" t="str">
        <x:v>—</x:v>
      </x:c>
      <x:c r="E64" s="55" t="inlineStr">
        <x:is>
          <x:t>飛賊（塞北關、映月泊、封神臺）；飛賊（塞北關、映月泊、封神臺、試煉之窟）；山賊（塞北關、映月泊、猢猻嶺、封神臺）；山賊（塞北關、映月泊、猢猻嶺、封神臺、試煉之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</x:t>
        </x:is>
      </x:c>
    </x:row>
    <x:row r="65" ht="45" customHeight="1">
      <x:c r="A65" s="55" t="str">
        <x:v>靈猿劍</x:v>
      </x:c>
      <x:c r="B65" s="55" t="str">
        <x:v>—</x:v>
      </x:c>
      <x:c r="C65" s="55" t="str">
        <x:v>—</x:v>
      </x:c>
      <x:c r="D65" s="55" t="str">
        <x:v>—</x:v>
      </x:c>
      <x:c r="E65" s="55" t="inlineStr">
        <x:is>
          <x:t>巨狂猿（巨猿洞窟二層、碧波幽谷、摘星嶺、夜叉嶺）；白毛巨猿（入雲道、天山雪道、瀰煙山道）；紅毛巨猿（猢猻嶺、巨猿洞窟一層、巨猿洞窟二層）；食人巨猿（猢猻嶺、巨猿洞窟一層、巨猿洞窟二層、八達嶺、古北口）；狂猿（巨猿洞窟二層、碧波幽谷、亂藤林南方、摘星嶺、夜叉嶺）</x:t>
        </x:is>
      </x:c>
    </x:row>
    <x:row r="66" ht="45" customHeight="1">
      <x:c r="A66" s="55" t="str">
        <x:v>冰鏡劍</x:v>
      </x:c>
      <x:c r="B66" s="55" t="str">
        <x:v>—</x:v>
      </x:c>
      <x:c r="C66" s="55" t="str">
        <x:v>—</x:v>
      </x:c>
      <x:c r="D66" s="55" t="str">
        <x:v>冰鏡劍配方</x:v>
      </x:c>
      <x:c r="E66" s="55" t="inlineStr">
        <x:is>
          <x:t>百眼族大魔王（網站未列地圖）；招財錦囊（網站未列地圖）；真武神兵錦囊（網站未列地圖）；招財聚寶袋（網站未列地圖）；怒雪麒麟（怒雪洞府）；仙女錦囊（網站未列地圖）；怒雪麒麟（怒雪修煉場）；[怒雪麒麟]（網站未列地圖）；冰麟獸（怒雪靈界通道、怒雪洞府）；小龍珠寶箱（網站未列地圖）</x:t>
        </x:is>
      </x:c>
    </x:row>
    <x:row r="67" ht="15" customHeight="1">
      <x:c r="A67" s="55" t="str">
        <x:v>地靈冰鏡劍</x:v>
      </x:c>
      <x:c r="B67" s="55" t="str">
        <x:v>—</x:v>
      </x:c>
      <x:c r="C67" s="55" t="str">
        <x:v>—</x:v>
      </x:c>
      <x:c r="D67" s="55" t="str">
        <x:v>—</x:v>
      </x:c>
      <x:c r="E67" s="55" t="inlineStr">
        <x:is>
          <x:t>地靈裝備錦囊（網站未列地圖）</x:t>
        </x:is>
      </x:c>
    </x:row>
    <x:row r="68" ht="15" customHeight="1">
      <x:c r="A68" s="55" t="str">
        <x:v>絕世冰鏡劍</x:v>
      </x:c>
      <x:c r="B68" s="55" t="str">
        <x:v>—</x:v>
      </x:c>
      <x:c r="C68" s="55" t="str">
        <x:v>—</x:v>
      </x:c>
      <x:c r="D68" s="55" t="str">
        <x:v>—</x:v>
      </x:c>
      <x:c r="E68" s="55" t="inlineStr">
        <x:is>
          <x:t>絕世神兵錦囊（網站未列地圖）</x:t>
        </x:is>
      </x:c>
    </x:row>
    <x:row r="69" ht="60" customHeight="1">
      <x:c r="A69" s="55" t="str">
        <x:v>火雲劍</x:v>
      </x:c>
      <x:c r="B69" s="55" t="str">
        <x:v>—</x:v>
      </x:c>
      <x:c r="C69" s="55" t="str">
        <x:v>—</x:v>
      </x:c>
      <x:c r="D69" s="55" t="str">
        <x:v>火雲劍配方</x:v>
      </x:c>
      <x:c r="E69" s="55" t="inlineStr">
        <x:is>
          <x:t>招財錦囊（網站未列地圖）；真武神兵錦囊（網站未列地圖）；招財聚寶袋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鳳凰（棲鳳崖、鳳凰台）；[鳳凰]（網站未列地圖）</x:t>
        </x:is>
      </x:c>
    </x:row>
    <x:row r="70" ht="15" customHeight="1">
      <x:c r="A70" s="55" t="str">
        <x:v>地靈火雲劍</x:v>
      </x:c>
      <x:c r="B70" s="55" t="str">
        <x:v>—</x:v>
      </x:c>
      <x:c r="C70" s="55" t="str">
        <x:v>—</x:v>
      </x:c>
      <x:c r="D70" s="55" t="str">
        <x:v>—</x:v>
      </x:c>
      <x:c r="E70" s="55" t="inlineStr">
        <x:is>
          <x:t>地靈裝備錦囊（網站未列地圖）</x:t>
        </x:is>
      </x:c>
    </x:row>
    <x:row r="71" ht="15" customHeight="1">
      <x:c r="A71" s="55" t="str">
        <x:v>絕世火雲劍</x:v>
      </x:c>
      <x:c r="B71" s="55" t="str">
        <x:v>—</x:v>
      </x:c>
      <x:c r="C71" s="55" t="str">
        <x:v>—</x:v>
      </x:c>
      <x:c r="D71" s="55" t="str">
        <x:v>—</x:v>
      </x:c>
      <x:c r="E71" s="55" t="inlineStr">
        <x:is>
          <x:t>絕世神兵錦囊（網站未列地圖）</x:t>
        </x:is>
      </x:c>
    </x:row>
    <x:row r="72" ht="60" customHeight="1">
      <x:c r="A72" s="55" t="str">
        <x:v>御雷劍</x:v>
      </x:c>
      <x:c r="B72" s="55" t="str">
        <x:v>—</x:v>
      </x:c>
      <x:c r="C72" s="55" t="str">
        <x:v>—</x:v>
      </x:c>
      <x:c r="D72" s="55" t="str">
        <x:v>御雷劍配方</x:v>
      </x:c>
      <x:c r="E72" s="55" t="inlineStr">
        <x:is>
          <x:t>輕車將軍錦囊（網站未列地圖）；夜叉族大魔王（網站未列地圖）；真武神兵錦囊（網站未列地圖）；招財錦囊（網站未列地圖）；招財聚寶袋（網站未列地圖）；道觀寶物（網站未列地圖）；賊寇頭目（鎮南關密道）；將軍俑（古皇陵第三層）；[將軍俑]（網站未列地圖）；屍靈將軍俑（古皇陵密室）；江洋大盜（碧波幽谷、朝天觀、亂藤林東方）；長林惡棍（長林谷）</x:t>
        </x:is>
      </x:c>
    </x:row>
    <x:row r="73" ht="15" customHeight="1">
      <x:c r="A73" s="55" t="str">
        <x:v>地靈御雷劍</x:v>
      </x:c>
      <x:c r="B73" s="55" t="str">
        <x:v>—</x:v>
      </x:c>
      <x:c r="C73" s="55" t="str">
        <x:v>—</x:v>
      </x:c>
      <x:c r="D73" s="55" t="str">
        <x:v>—</x:v>
      </x:c>
      <x:c r="E73" s="55" t="inlineStr">
        <x:is>
          <x:t>地靈裝備錦囊（網站未列地圖）</x:t>
        </x:is>
      </x:c>
    </x:row>
    <x:row r="74" ht="15" customHeight="1">
      <x:c r="A74" s="55" t="str">
        <x:v>絕世御雷劍</x:v>
      </x:c>
      <x:c r="B74" s="55" t="str">
        <x:v>—</x:v>
      </x:c>
      <x:c r="C74" s="55" t="str">
        <x:v>—</x:v>
      </x:c>
      <x:c r="D74" s="55" t="str">
        <x:v>—</x:v>
      </x:c>
      <x:c r="E74" s="55" t="inlineStr">
        <x:is>
          <x:t>絕世神兵錦囊（網站未列地圖）</x:t>
        </x:is>
      </x:c>
    </x:row>
    <x:row r="75" ht="45" customHeight="1">
      <x:c r="A75" s="55" t="str">
        <x:v>辟鬼劍</x:v>
      </x:c>
      <x:c r="B75" s="55" t="str">
        <x:v>—</x:v>
      </x:c>
      <x:c r="C75" s="55" t="str">
        <x:v>—</x:v>
      </x:c>
      <x:c r="D75" s="55" t="str">
        <x:v>辟鬼劍配方</x:v>
      </x:c>
      <x:c r="E75" s="55" t="inlineStr">
        <x:is>
          <x:t>招財錦囊（網站未列地圖）；真武神兵錦囊（網站未列地圖）；招財聚寶袋（網站未列地圖）；蠱毒麒麟（蠱毒洞府）；蠱毒麒麟（瘴癘修煉場）；[蠱毒麒麟]（網站未列地圖）；鬼城包裹（網站未列地圖）；蛇女包裹（網站未列地圖）；毒麟獸（瘴癘靈界通道、蠱毒洞府）；陰間冥包（網站未列地圖）</x:t>
        </x:is>
      </x:c>
    </x:row>
    <x:row r="76" ht="15" customHeight="1">
      <x:c r="A76" s="55" t="str">
        <x:v>地靈辟鬼劍</x:v>
      </x:c>
      <x:c r="B76" s="55" t="str">
        <x:v>—</x:v>
      </x:c>
      <x:c r="C76" s="55" t="str">
        <x:v>—</x:v>
      </x:c>
      <x:c r="D76" s="55" t="str">
        <x:v>—</x:v>
      </x:c>
      <x:c r="E76" s="55" t="inlineStr">
        <x:is>
          <x:t>地靈裝備錦囊（網站未列地圖）</x:t>
        </x:is>
      </x:c>
    </x:row>
    <x:row r="77" ht="15" customHeight="1">
      <x:c r="A77" s="55" t="str">
        <x:v>絕世辟鬼劍</x:v>
      </x:c>
      <x:c r="B77" s="55" t="str">
        <x:v>—</x:v>
      </x:c>
      <x:c r="C77" s="55" t="str">
        <x:v>—</x:v>
      </x:c>
      <x:c r="D77" s="55" t="str">
        <x:v>—</x:v>
      </x:c>
      <x:c r="E77" s="55" t="inlineStr">
        <x:is>
          <x:t>絕世神兵錦囊（網站未列地圖）</x:t>
        </x:is>
      </x:c>
    </x:row>
    <x:row r="78" ht="30" customHeight="1">
      <x:c r="A78" s="55" t="str">
        <x:v>弒神劍</x:v>
      </x:c>
      <x:c r="B78" s="55" t="str">
        <x:v>—</x:v>
      </x:c>
      <x:c r="C78" s="55" t="str">
        <x:v>—</x:v>
      </x:c>
      <x:c r="D78" s="55" t="str">
        <x:v>弒神劍配方</x:v>
      </x:c>
      <x:c r="E78" s="55" t="inlineStr">
        <x:is>
          <x:t>巨靈族大魔王（網站未列地圖）；招財聚寶袋（網站未列地圖）；火雲麒麟（火雲洞府）；火雲麒麟（烈火修煉場）；[火雲麒麟]（網站未列地圖）；山蓮首領（碧波幽谷）；火麟獸（烈火靈界通道、火雲洞府）</x:t>
        </x:is>
      </x:c>
    </x:row>
    <x:row r="79" ht="15" customHeight="1">
      <x:c r="A79" s="55" t="str">
        <x:v>天晶弒神劍</x:v>
      </x:c>
      <x:c r="B79" s="55" t="str">
        <x:v>—</x:v>
      </x:c>
      <x:c r="C79" s="55" t="str">
        <x:v>—</x:v>
      </x:c>
      <x:c r="D79" s="55" t="str">
        <x:v>—</x:v>
      </x:c>
      <x:c r="E79" s="55" t="inlineStr">
        <x:is>
          <x:t>天晶裝備錦囊（網站未列地圖）</x:t>
        </x:is>
      </x:c>
    </x:row>
    <x:row r="80" ht="45" customHeight="1">
      <x:c r="A80" s="55" t="str">
        <x:v>誅仙劍</x:v>
      </x:c>
      <x:c r="B80" s="55" t="str">
        <x:v>—</x:v>
      </x:c>
      <x:c r="C80" s="55" t="str">
        <x:v>—</x:v>
      </x:c>
      <x:c r="D80" s="55" t="str">
        <x:v>誅仙劍配方</x:v>
      </x:c>
      <x:c r="E80" s="55" t="inlineStr">
        <x:is>
          <x:t>巨靈族大魔王（網站未列地圖）；中原神兵錦囊（網站未列地圖）；招財聚寶袋（網站未列地圖）；輕車將軍錦囊（網站未列地圖）；蠱毒麒麟（蠱毒洞府）；蠱毒麒麟（瘴癘修煉場）；[蠱毒麒麟]（網站未列地圖）；蛇女包裹（網站未列地圖）；毒麟獸（瘴癘靈界通道、蠱毒洞府）</x:t>
        </x:is>
      </x:c>
    </x:row>
    <x:row r="81" ht="15" customHeight="1">
      <x:c r="A81" s="55" t="str">
        <x:v>天晶誅仙劍</x:v>
      </x:c>
      <x:c r="B81" s="55" t="str">
        <x:v>—</x:v>
      </x:c>
      <x:c r="C81" s="55" t="str">
        <x:v>—</x:v>
      </x:c>
      <x:c r="D81" s="55" t="str">
        <x:v>—</x:v>
      </x:c>
      <x:c r="E81" s="55" t="inlineStr">
        <x:is>
          <x:t>天晶裝備錦囊（網站未列地圖）</x:t>
        </x:is>
      </x:c>
    </x:row>
    <x:row r="82" ht="45" customHeight="1">
      <x:c r="A82" s="55" t="str">
        <x:v>滅佛劍</x:v>
      </x:c>
      <x:c r="B82" s="55" t="str">
        <x:v>—</x:v>
      </x:c>
      <x:c r="C82" s="55" t="str">
        <x:v>—</x:v>
      </x:c>
      <x:c r="D82" s="55" t="str">
        <x:v>滅佛劍配方</x:v>
      </x:c>
      <x:c r="E82" s="55" t="inlineStr">
        <x:is>
          <x:t>巨靈族大魔王（網站未列地圖）；招財聚寶袋（網站未列地圖）；輕車將軍錦囊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x:t>
        </x:is>
      </x:c>
    </x:row>
    <x:row r="83" ht="15" customHeight="1">
      <x:c r="A83" s="55" t="str">
        <x:v>天晶滅佛劍</x:v>
      </x:c>
      <x:c r="B83" s="55" t="str">
        <x:v>—</x:v>
      </x:c>
      <x:c r="C83" s="55" t="str">
        <x:v>—</x:v>
      </x:c>
      <x:c r="D83" s="55" t="str">
        <x:v>—</x:v>
      </x:c>
      <x:c r="E83" s="55" t="inlineStr">
        <x:is>
          <x:t>天晶裝備錦囊（網站未列地圖）</x:t>
        </x:is>
      </x:c>
    </x:row>
    <x:row r="84" ht="60" customHeight="1">
      <x:c r="A84" s="55" t="str">
        <x:v>鬼煞劍</x:v>
      </x:c>
      <x:c r="B84" s="55" t="str">
        <x:v>—</x:v>
      </x:c>
      <x:c r="C84" s="55" t="str">
        <x:v>—</x:v>
      </x:c>
      <x:c r="D84" s="55" t="str">
        <x:v>鬼煞劍配方</x:v>
      </x:c>
      <x:c r="E84" s="55" t="inlineStr">
        <x:is>
          <x:t>蒼龍神兵錦囊（網站未列地圖）；喜兔武器錦囊‧壹（網站未列地圖）；神來裝樂透卡之一（網站未列地圖）；招財聚寶袋（網站未列地圖）；修羅魔君鬼魂（魔君陵寢二層）；阿修羅王（魔君陵寢一層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85" ht="15" customHeight="1">
      <x:c r="A85" s="55" t="str">
        <x:v>絕世鬼煞劍</x:v>
      </x:c>
      <x:c r="B85" s="55" t="str">
        <x:v>—</x:v>
      </x:c>
      <x:c r="C85" s="55" t="str">
        <x:v>—</x:v>
      </x:c>
      <x:c r="D85" s="55" t="str">
        <x:v>—</x:v>
      </x:c>
      <x:c r="E85" s="55" t="inlineStr">
        <x:is>
          <x:t>絕世中原錦囊（網站未列地圖）；蒼龍神兵錦囊（網站未列地圖）</x:t>
        </x:is>
      </x:c>
    </x:row>
    <x:row r="86" ht="15" customHeight="1">
      <x:c r="A86" s="55" t="str">
        <x:v>天晶鬼煞劍</x:v>
      </x:c>
      <x:c r="B86" s="55" t="str">
        <x:v>—</x:v>
      </x:c>
      <x:c r="C86" s="55" t="str">
        <x:v>—</x:v>
      </x:c>
      <x:c r="D86" s="55" t="str">
        <x:v>—</x:v>
      </x:c>
      <x:c r="E86" s="55" t="inlineStr">
        <x:is>
          <x:t>天晶裝備錦囊（網站未列地圖）</x:t>
        </x:is>
      </x:c>
    </x:row>
    <x:row r="87" ht="60" customHeight="1">
      <x:c r="A87" s="55" t="str">
        <x:v>幽靈劍</x:v>
      </x:c>
      <x:c r="B87" s="55" t="str">
        <x:v>—</x:v>
      </x:c>
      <x:c r="C87" s="55" t="str">
        <x:v>—</x:v>
      </x:c>
      <x:c r="D87" s="55" t="str">
        <x:v>—</x:v>
      </x:c>
      <x:c r="E87" s="55" t="inlineStr">
        <x:is>
          <x:t>驃騎將軍錦囊（網站未列地圖）；神來裝樂透卡之二（網站未列地圖）；喜兔武器錦囊‧貳（網站未列地圖）；萬聖慶典福袋（網站未列地圖）；輕車將軍錦囊（網站未列地圖）；黑巨蛟（東方海域）；石窟劍俑（五派禁地）；屍靈劍俑（古皇陵密室）；死靈水母（龍宮第七層、龍宮八層一隅、龍宮八層廣場）；海上怨靈（極東海域）；叢林毒蠍（千佛遺跡東側）</x:t>
        </x:is>
      </x:c>
    </x:row>
    <x:row r="88" ht="15" customHeight="1">
      <x:c r="A88" s="55" t="str">
        <x:v>降龍劍</x:v>
      </x:c>
      <x:c r="B88" s="55" t="str">
        <x:v>—</x:v>
      </x:c>
      <x:c r="C88" s="55" t="str">
        <x:v>—</x:v>
      </x:c>
      <x:c r="D88" s="55" t="str">
        <x:v>—</x:v>
      </x:c>
      <x:c r="E88" s="55" t="inlineStr">
        <x:is>
          <x:t>絕代兵器錦囊（網站未列地圖）；新絕代兵器錦囊（網站未列地圖）；龍珠（網站未列地圖）</x:t>
        </x:is>
      </x:c>
    </x:row>
    <x:row r="89" ht="15" customHeight="1">
      <x:c r="A89" s="55" t="str">
        <x:v>青冥劍</x:v>
      </x:c>
      <x:c r="B89" s="55" t="str">
        <x:v>—</x:v>
      </x:c>
      <x:c r="C89" s="55" t="str">
        <x:v>—</x:v>
      </x:c>
      <x:c r="D89" s="55" t="str">
        <x:v>青冥劍配方</x:v>
      </x:c>
      <x:c r="E89" s="55" t="inlineStr">
        <x:is>
          <x:t>絕代兵器錦囊（網站未列地圖）；新絕代兵器錦囊（網站未列地圖）</x:t>
        </x:is>
      </x:c>
    </x:row>
    <x:row r="90" ht="75" customHeight="1">
      <x:c r="A90" s="55" t="str">
        <x:v>洛神劍</x:v>
      </x:c>
      <x:c r="B90" s="55" t="str">
        <x:v>—</x:v>
      </x:c>
      <x:c r="C90" s="55" t="str">
        <x:v>—</x:v>
      </x:c>
      <x:c r="D90" s="55" t="str">
        <x:v>洛神劍配方</x:v>
      </x:c>
      <x:c r="E90" s="55" t="inlineStr">
        <x:is>
          <x:t>霸王神兵錦囊（網站未列地圖）；天界戰匣（網站未列地圖）；喜兔武器錦囊‧參（網站未列地圖）；神來裝樂透卡之三（網站未列地圖）；御行神兵錦囊（網站未列地圖）；祥龍錦囊（網站未列地圖）；威震神州錦囊（網站未列地圖）；蒼狼族大汗（大汗陵墓、統萬大營）；燎原戰士（大汗陵墓）；燎原戰士幻影（網站未列地圖）；2轉劍影（五派禁地）；2轉女劍影（五派禁地）；草原戰士（呼倫草原、貝爾草原、大汗陵墓、蒼狼大營）；[草原戰士]（網站未列地圖）；阿波狸仙（長野沙濱、葉隱蒼林、十津原樹海）</x:t>
        </x:is>
      </x:c>
    </x:row>
    <x:row r="91" ht="15" customHeight="1">
      <x:c r="A91" s="55" t="str">
        <x:v>絕世洛神劍</x:v>
      </x:c>
      <x:c r="B91" s="55" t="str">
        <x:v>—</x:v>
      </x:c>
      <x:c r="C91" s="55" t="str">
        <x:v>—</x:v>
      </x:c>
      <x:c r="D91" s="55" t="str">
        <x:v>—</x:v>
      </x:c>
      <x:c r="E91" s="55" t="inlineStr">
        <x:is>
          <x:t>絕世天界戰匣（網站未列地圖）</x:t>
        </x:is>
      </x:c>
    </x:row>
    <x:row r="92" ht="75" customHeight="1">
      <x:c r="A92" s="55" t="str">
        <x:v>龍泉劍</x:v>
      </x:c>
      <x:c r="B92" s="55" t="str">
        <x:v>—</x:v>
      </x:c>
      <x:c r="C92" s="55" t="str">
        <x:v>—</x:v>
      </x:c>
      <x:c r="D92" s="55" t="str">
        <x:v>龍泉劍配方</x:v>
      </x:c>
      <x:c r="E92" s="55" t="inlineStr">
        <x:is>
          <x:t>喜兔武器錦囊‧參（網站未列地圖）；神來裝樂透卡之三（網站未列地圖）；祥龍錦囊（網站未列地圖）；天界戰匣（網站未列地圖）；威震神州錦囊（網站未列地圖）；蒼狼族大汗（大汗陵墓、統萬大營）；大將衝石徹（黑城遺跡）；衝石徹幻影（亂石林）；衝石徹（大汗陵墓）；九陽劍宗（五派禁地）；雷霆劍宗（五派禁地）；大將衝石徹（關外草原）；密林妖禽（千佛遺跡東側、千佛遺跡西側）；[密林妖禽]（網站未列地圖）；殉葬血屍（恨生不歸途）；血咒怨靈（極東海域）</x:t>
        </x:is>
      </x:c>
    </x:row>
    <x:row r="93" ht="15" customHeight="1">
      <x:c r="A93" s="55" t="str">
        <x:v>絕世龍泉劍</x:v>
      </x:c>
      <x:c r="B93" s="55" t="str">
        <x:v>—</x:v>
      </x:c>
      <x:c r="C93" s="55" t="str">
        <x:v>—</x:v>
      </x:c>
      <x:c r="D93" s="55" t="str">
        <x:v>—</x:v>
      </x:c>
      <x:c r="E93" s="55" t="inlineStr">
        <x:is>
          <x:t>絕世天界戰匣（網站未列地圖）</x:t>
        </x:is>
      </x:c>
    </x:row>
    <x:row r="94" ht="60" customHeight="1">
      <x:c r="A94" s="55" t="str">
        <x:v>太阿劍</x:v>
      </x:c>
      <x:c r="B94" s="55" t="str">
        <x:v>—</x:v>
      </x:c>
      <x:c r="C94" s="55" t="str">
        <x:v>—</x:v>
      </x:c>
      <x:c r="D94" s="55" t="str">
        <x:v>—</x:v>
      </x:c>
      <x:c r="E94" s="55" t="inlineStr">
        <x:is>
          <x:t>幻蠱妖煞（網站未列地圖）；幻雷妖煞（網站未列地圖）；侏人神兵錦囊（網站未列地圖）；喜兔武器錦囊‧肆（網站未列地圖）；神來裝樂透卡之四（網站未列地圖）；御行神兵錦囊（網站未列地圖）；魔侏人狂戰士（神兵塚）；灰侏人狂戰士（地下水道、水晶礦坑）；玄陰地靈元靈（幽玄靈界）；玄陰地靈（晶湖水道、水晶礦坑、神兵塚）；幼犀元靈（幽玄靈界）；嘯地幼犀（蕈菇林東方、蕈菇林西方、晶湖水道、地下水道）；[嘯地幼犀]（網站未列地圖）</x:t>
        </x:is>
      </x:c>
    </x:row>
    <x:row r="95" ht="15" customHeight="1">
      <x:c r="A95" s="55" t="str">
        <x:v>無雙太阿劍</x:v>
      </x:c>
      <x:c r="B95" s="55" t="str">
        <x:v>追本溯源</x:v>
      </x:c>
      <x:c r="C95" s="55" t="str">
        <x:v>—</x:v>
      </x:c>
      <x:c r="D95" s="55" t="str">
        <x:v>—</x:v>
      </x:c>
      <x:c r="E95" s="55" t="inlineStr">
        <x:is>
          <x:t>無雙神兵錦囊（網站未列地圖）</x:t>
        </x:is>
      </x:c>
    </x:row>
    <x:row r="96" ht="60" customHeight="1">
      <x:c r="A96" s="55" t="str">
        <x:v>太阿神劍</x:v>
      </x:c>
      <x:c r="B96" s="55" t="str">
        <x:v>—</x:v>
      </x:c>
      <x:c r="C96" s="55" t="str">
        <x:v>—</x:v>
      </x:c>
      <x:c r="D96" s="55" t="str">
        <x:v>—</x:v>
      </x:c>
      <x:c r="E96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白靈石獅（恨生不歸途、三途之都、枉死之城）；[白靈石獅]（網站未列地圖）；灰侏人狂戰將（網站未列地圖）</x:t>
        </x:is>
      </x:c>
    </x:row>
    <x:row r="97" ht="15" customHeight="1">
      <x:c r="A97" s="55" t="str">
        <x:v>絕世太阿神劍</x:v>
      </x:c>
      <x:c r="B97" s="55" t="str">
        <x:v>—</x:v>
      </x:c>
      <x:c r="C97" s="55" t="str">
        <x:v>—</x:v>
      </x:c>
      <x:c r="D97" s="55" t="str">
        <x:v>—</x:v>
      </x:c>
      <x:c r="E97" s="55" t="inlineStr">
        <x:is>
          <x:t>地火絕世錦囊（網站未列地圖）</x:t>
        </x:is>
      </x:c>
    </x:row>
    <x:row r="98" ht="75" customHeight="1">
      <x:c r="A98" s="55" t="str">
        <x:v>湛盧劍</x:v>
      </x:c>
      <x:c r="B98" s="55" t="str">
        <x:v>—</x:v>
      </x:c>
      <x:c r="C98" s="55" t="str">
        <x:v>—</x:v>
      </x:c>
      <x:c r="D98" s="55" t="str">
        <x:v>湛盧劍配方</x:v>
      </x:c>
      <x:c r="E98" s="55" t="inlineStr">
        <x:is>
          <x:t>幻蠱妖煞（網站未列地圖）；幻雷妖煞（網站未列地圖）；侏人神兵錦囊（網站未列地圖）；喜兔武器錦囊‧肆（網站未列地圖）；神來裝樂透卡之四（網站未列地圖）；晶石巨怪（水晶礦坑）；晶石巨魔（神兵塚）；侏人戰將（蕈菇林西方）；魔侏人戰士（神兵塚）；灰侏人戰士（晶湖水道、地下水道、水晶礦坑）；玄陰地靈元靈（幽玄靈界）；玄陰地靈（晶湖水道、水晶礦坑、神兵塚）；龍骨河童（網站未列地圖）；鬼河童（葉隱蒼林、神室關所）；[鬼河童]（網站未列地圖）；鬼河童（葉隱蒼林、神室關所）</x:t>
        </x:is>
      </x:c>
    </x:row>
    <x:row r="99" ht="15" customHeight="1">
      <x:c r="A99" s="55" t="str">
        <x:v>無雙湛盧劍</x:v>
      </x:c>
      <x:c r="B99" s="55" t="str">
        <x:v>追本溯源</x:v>
      </x:c>
      <x:c r="C99" s="55" t="str">
        <x:v>—</x:v>
      </x:c>
      <x:c r="D99" s="55" t="str">
        <x:v>—</x:v>
      </x:c>
      <x:c r="E99" s="55" t="inlineStr">
        <x:is>
          <x:t>無雙神兵錦囊（網站未列地圖）</x:t>
        </x:is>
      </x:c>
    </x:row>
    <x:row r="100" ht="45" customHeight="1">
      <x:c r="A100" s="55" t="str">
        <x:v>湛盧神劍</x:v>
      </x:c>
      <x:c r="B100" s="55" t="str">
        <x:v>—</x:v>
      </x:c>
      <x:c r="C100" s="55" t="str">
        <x:v>—</x:v>
      </x:c>
      <x:c r="D100" s="55" t="str">
        <x:v>湛盧神劍配方</x:v>
      </x:c>
      <x:c r="E100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魔侏人戰將（神兵塚）；灰侏人戰將（地下水道、水晶礦坑）</x:t>
        </x:is>
      </x:c>
    </x:row>
    <x:row r="101" ht="15" customHeight="1">
      <x:c r="A101" s="55" t="str">
        <x:v>絕世湛盧神劍</x:v>
      </x:c>
      <x:c r="B101" s="55" t="str">
        <x:v>—</x:v>
      </x:c>
      <x:c r="C101" s="55" t="str">
        <x:v>—</x:v>
      </x:c>
      <x:c r="D101" s="55" t="str">
        <x:v>—</x:v>
      </x:c>
      <x:c r="E101" s="55" t="inlineStr">
        <x:is>
          <x:t>地火絕世錦囊（網站未列地圖）</x:t>
        </x:is>
      </x:c>
    </x:row>
    <x:row r="102" ht="75" customHeight="1">
      <x:c r="A102" s="55" t="str">
        <x:v>樓蘭劍</x:v>
      </x:c>
      <x:c r="B102" s="55" t="str">
        <x:v>—</x:v>
      </x:c>
      <x:c r="C102" s="55" t="str">
        <x:v>—</x:v>
      </x:c>
      <x:c r="D102" s="55" t="str">
        <x:v>樓蘭劍配方</x:v>
      </x:c>
      <x:c r="E102" s="55" t="inlineStr">
        <x:is>
          <x:t>侯氏百兵錦囊（網站未列地圖）；西域神兵錦囊（網站未列地圖）；黑天神兵元靈（網站未列地圖）；征西劍俠錦囊（網站未列地圖）；&lt;真知太聖衛&gt;（真七寶仙境　貳）；傀儡羅剎劍俠（網站未列地圖）；密林妖禽（千佛遺跡東側、千佛遺跡西側）；[密林妖禽]（網站未列地圖）；羅剎劍俠遊魂（網站未列地圖）；羅剎劍俠（塔干沙漠西方）；鬼禿鷹（火焰山）；巨禿鷹（塔干沙漠東方、塔干沙漠南方、萬佛窟、樓蘭遺址、火焰山）；[巨禿鷹]（網站未列地圖）</x:t>
        </x:is>
      </x:c>
    </x:row>
    <x:row r="103" ht="15" customHeight="1">
      <x:c r="A103" s="55" t="str">
        <x:v>無雙樓蘭劍</x:v>
      </x:c>
      <x:c r="B103" s="55" t="str">
        <x:v>—</x:v>
      </x:c>
      <x:c r="C103" s="55" t="str">
        <x:v>—</x:v>
      </x:c>
      <x:c r="D103" s="55" t="str">
        <x:v>—</x:v>
      </x:c>
      <x:c r="E103" s="55" t="inlineStr">
        <x:is>
          <x:t>西域無雙錦囊（網站未列地圖）</x:t>
        </x:is>
      </x:c>
    </x:row>
    <x:row r="104" ht="60" customHeight="1">
      <x:c r="A104" s="55" t="str">
        <x:v>精鋼樓蘭劍</x:v>
      </x:c>
      <x:c r="B104" s="55" t="str">
        <x:v>—</x:v>
      </x:c>
      <x:c r="C104" s="55" t="str">
        <x:v>—</x:v>
      </x:c>
      <x:c r="D104" s="55" t="str">
        <x:v>—</x:v>
      </x:c>
      <x:c r="E104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劍俠錦囊（網站未列地圖）；聖靈劍俠錦囊（網站未列地圖）；樓蘭劍俠錦囊（網站未列地圖）；血神禿鷹（火焰山）；嗜血禿鷹（塔干沙漠南方）；邪咒骷髏（千佛遺跡東側、千佛遺跡西側）</x:t>
        </x:is>
      </x:c>
    </x:row>
    <x:row r="105" ht="45" customHeight="1">
      <x:c r="A105" s="55" t="str">
        <x:v>撕天樓蘭劍</x:v>
      </x:c>
      <x:c r="B105" s="55" t="str">
        <x:v>—</x:v>
      </x:c>
      <x:c r="C105" s="55" t="str">
        <x:v>—</x:v>
      </x:c>
      <x:c r="D105" s="55" t="str">
        <x:v>樓蘭神劍配方</x:v>
      </x:c>
      <x:c r="E105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劍俠錦囊（網站未列地圖）；聖靈劍俠錦囊（網站未列地圖）；樓蘭劍俠錦囊（網站未列地圖）</x:t>
        </x:is>
      </x:c>
    </x:row>
    <x:row r="106" ht="45" customHeight="1">
      <x:c r="A106" s="55" t="str">
        <x:v>裂雲樓蘭劍</x:v>
      </x:c>
      <x:c r="B106" s="55" t="str">
        <x:v>—</x:v>
      </x:c>
      <x:c r="C106" s="55" t="str">
        <x:v>—</x:v>
      </x:c>
      <x:c r="D106" s="55" t="str">
        <x:v>—</x:v>
      </x:c>
      <x:c r="E106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聖靈劍俠錦囊（網站未列地圖）；樓蘭劍俠錦囊（網站未列地圖）；黑巨蛟（極東海域）</x:t>
        </x:is>
      </x:c>
    </x:row>
    <x:row r="107" ht="75" customHeight="1">
      <x:c r="A107" s="55" t="str">
        <x:v>泉戶劍</x:v>
      </x:c>
      <x:c r="B107" s="55" t="str">
        <x:v>—</x:v>
      </x:c>
      <x:c r="C107" s="55" t="str">
        <x:v>—</x:v>
      </x:c>
      <x:c r="D107" s="55" t="str">
        <x:v>泉戶劍配方</x:v>
      </x:c>
      <x:c r="E107" s="55" t="inlineStr">
        <x:is>
          <x:t>東瀛神兵桐箱（網站未列地圖）；東瀛神兵寶箱（網站未列地圖）；東瀛萬神兵匣（網站未列地圖）；御行神兵錦囊（網站未列地圖）；天照劍俠錦囊（網站未列地圖）；日昇劍俠錦囊（網站未列地圖）；破陣鬼騎（悲歡渡口、九曲邪徑）；拘魂白無常（悲歡渡口、永劫刑場、九曲邪徑）；[拘魂白無常]（網站未列地圖）；天谷禿鷹（青藏高原、大梵聖湖）；鬼將大天狗（伊取川大陣）；[劍刺傘鬼]（網站未列地圖）；劍刺傘鬼（八荒古墳）；拘魂使（恨生不歸途、三途之都、枉死之城）；幽使無定（網站未列地圖）</x:t>
        </x:is>
      </x:c>
    </x:row>
    <x:row r="108" ht="15" customHeight="1">
      <x:c r="A108" s="55" t="str">
        <x:v>無雙泉戶劍</x:v>
      </x:c>
      <x:c r="B108" s="55" t="str">
        <x:v>—</x:v>
      </x:c>
      <x:c r="C108" s="55" t="str">
        <x:v>—</x:v>
      </x:c>
      <x:c r="D108" s="55" t="str">
        <x:v>—</x:v>
      </x:c>
      <x:c r="E108" s="55" t="inlineStr">
        <x:is>
          <x:t>東瀛無雙錦囊（網站未列地圖）</x:t>
        </x:is>
      </x:c>
    </x:row>
    <x:row r="109" ht="60" customHeight="1">
      <x:c r="A109" s="55" t="str">
        <x:v>神隱劍</x:v>
      </x:c>
      <x:c r="B109" s="55" t="str">
        <x:v>—</x:v>
      </x:c>
      <x:c r="C109" s="55" t="str">
        <x:v>—</x:v>
      </x:c>
      <x:c r="D109" s="55" t="str">
        <x:v>神隱劍配方</x:v>
      </x:c>
      <x:c r="E109" s="55" t="inlineStr">
        <x:is>
          <x:t>東瀛萬神兵匣（網站未列地圖）；東瀛神兵寶箱（網站未列地圖）；喜兔武器錦囊‧陸（網站未列地圖）；神來裝樂透卡之六（網站未列地圖）；天照劍俠錦囊（網站未列地圖）；駱駝（黃塵荒漠、聖域之門）；[駱駝]（網站未列地圖）；御使陰陽師（天照不二峰、八荒古墳、伊取川大陣）；嘯槍鬼馬（三途之都、枉死之城、悲歡渡口）；穿峽禿鷹（登天棧道、青藏高原）；林間老屍（千佛遺跡西側）</x:t>
        </x:is>
      </x:c>
    </x:row>
    <x:row r="110" ht="45" customHeight="1">
      <x:c r="A110" s="55" t="str">
        <x:v>村正劍</x:v>
      </x:c>
      <x:c r="B110" s="55" t="str">
        <x:v>—</x:v>
      </x:c>
      <x:c r="C110" s="55" t="str">
        <x:v>—</x:v>
      </x:c>
      <x:c r="D110" s="55" t="str">
        <x:v>村正劍配方</x:v>
      </x:c>
      <x:c r="E110" s="55" t="inlineStr">
        <x:is>
          <x:t>賀歲神兵禮盒（網站未列地圖）；東瀛萬神兵匣（網站未列地圖）；八卦劍俠錦囊（網站未列地圖）；幽谷翔龍（登天棧道、懸空仙嶺、青藏高原、大梵聖湖）；[幽谷翔龍]（網站未列地圖）；邪神殉徒（黃塵荒漠）；天境飛龍（網站未列地圖）；無間骷髏兵（濕婆神廟）</x:t>
        </x:is>
      </x:c>
    </x:row>
    <x:row r="111" ht="75" customHeight="1">
      <x:c r="A111" s="55" t="str">
        <x:v>赤霄劍</x:v>
      </x:c>
      <x:c r="B111" s="55" t="str">
        <x:v>—</x:v>
      </x:c>
      <x:c r="C111" s="55" t="str">
        <x:v>—</x:v>
      </x:c>
      <x:c r="D111" s="55" t="str">
        <x:v>赤霄劍配方</x:v>
      </x:c>
      <x:c r="E111" s="55" t="inlineStr">
        <x:is>
          <x:t>東瀛究極武箱（網站未列地圖）；喜兔武器錦囊‧柒（網站未列地圖）；神來裝樂透卡之七（網站未列地圖）；東瀛萬神兵匣（網站未列地圖）；八卦劍俠錦囊（網站未列地圖）；吞天梵鬼（網站未列地圖）；輪迴外邪（懸空仙嶺、青藏高原、大梵聖湖、萬岳聖峰、香格里拉聖路）；[輪迴外邪]（網站未列地圖）；破陣鬼騎（悲歡渡口、九曲邪徑）；拘魂白無常（悲歡渡口、永劫刑場、九曲邪徑）；[拘魂白無常]（網站未列地圖）；幽使無定（網站未列地圖）；金翅鳥（摩羅國境、菩提聖原、大梵河岸）；金翅鳥（摩羅國境、菩提聖原、大梵河岸）</x:t>
        </x:is>
      </x:c>
    </x:row>
    <x:row r="112" ht="30" customHeight="1">
      <x:c r="A112" s="55" t="str">
        <x:v>天之叢雲劍</x:v>
      </x:c>
      <x:c r="B112" s="55" t="str">
        <x:v>—</x:v>
      </x:c>
      <x:c r="C112" s="55" t="str">
        <x:v>—</x:v>
      </x:c>
      <x:c r="D112" s="55" t="str">
        <x:v>—</x:v>
      </x:c>
      <x:c r="E112" s="55" t="inlineStr">
        <x:is>
          <x:t>東瀛神兵寶匣（網站未列地圖）；喜兔武器錦囊‧陸（網站未列地圖）；神來裝樂透卡之六（網站未列地圖）；夜帝化身（網站未列地圖）；天照劍俠錦囊（網站未列地圖）；鬼將大天狗（伊取川大陣）</x:t>
        </x:is>
      </x:c>
    </x:row>
    <x:row r="113" ht="30" customHeight="1">
      <x:c r="A113" s="55" t="str">
        <x:v>神度無量劍</x:v>
      </x:c>
      <x:c r="B113" s="55" t="str">
        <x:v>—</x:v>
      </x:c>
      <x:c r="C113" s="55" t="str">
        <x:v>—</x:v>
      </x:c>
      <x:c r="D113" s="55" t="str">
        <x:v>—</x:v>
      </x:c>
      <x:c r="E113" s="55" t="inlineStr">
        <x:is>
          <x:t>東瀛神兵寶匣（網站未列地圖）；喜兔武器錦囊‧陸（網站未列地圖）；神來裝樂透卡之六（網站未列地圖）；夜帝化身（網站未列地圖）；鬼將大天狗（伊取川大陣）</x:t>
        </x:is>
      </x:c>
    </x:row>
    <x:row r="114" ht="60" customHeight="1">
      <x:c r="A114" s="55" t="str">
        <x:v>誡罪劍</x:v>
      </x:c>
      <x:c r="B114" s="55" t="str">
        <x:v>—</x:v>
      </x:c>
      <x:c r="C114" s="55" t="str">
        <x:v>—</x:v>
      </x:c>
      <x:c r="D114" s="55" t="str">
        <x:v>誡罪劍配方</x:v>
      </x:c>
      <x:c r="E114" s="55" t="inlineStr">
        <x:is>
          <x:t>天佛神兵錦囊（網站未列地圖）；釋尊神兵檀箱（網站未列地圖）；夜帝化身（網站未列地圖）；佛都劍俠錦囊（網站未列地圖）；八卦劍俠錦囊（網站未列地圖）；衝雲亂梟（大梵聖湖、萬岳聖峰）；征軍駱駝（波斯西市、漆黑水路）；八路王將（永劫刑場、九曲邪徑、寒愴冰獄、奈落紅川）；大鵬金翅鳥（金霄佛寺、濕婆神廟）；御象尊者（網站未列地圖）</x:t>
        </x:is>
      </x:c>
    </x:row>
    <x:row r="115" ht="15" customHeight="1">
      <x:c r="A115" s="55" t="str">
        <x:v>無雙誡罪劍</x:v>
      </x:c>
      <x:c r="B115" s="55" t="str">
        <x:v>—</x:v>
      </x:c>
      <x:c r="C115" s="55" t="str">
        <x:v>—</x:v>
      </x:c>
      <x:c r="D115" s="55" t="str">
        <x:v>—</x:v>
      </x:c>
      <x:c r="E115" s="55" t="inlineStr">
        <x:is>
          <x:t>摩羅無雙錦囊（網站未列地圖）</x:t>
        </x:is>
      </x:c>
    </x:row>
    <x:row r="116" ht="60" customHeight="1">
      <x:c r="A116" s="55" t="str">
        <x:v>動靜止觀劍</x:v>
      </x:c>
      <x:c r="B116" s="55" t="str">
        <x:v>—</x:v>
      </x:c>
      <x:c r="C116" s="55" t="str">
        <x:v>—</x:v>
      </x:c>
      <x:c r="D116" s="55" t="str">
        <x:v>動靜觀劍配方</x:v>
      </x:c>
      <x:c r="E116" s="55" t="inlineStr">
        <x:is>
          <x:t>涅槃神兵聖匣（網站未列地圖）；喜兔武器錦囊‧捌（網站未列地圖）；神來裝樂透卡之八（網站未列地圖）；天佛神兵錦囊（網站未列地圖）；釋尊神兵檀箱（網站未列地圖）；佛都劍俠錦囊（網站未列地圖）；晶凍傀儡（寒愴冰獄）；往生血眼（懸空仙嶺、青藏高原）；紅蓮女戰將（濕婆神廟）；駱駝（黃塵荒漠、聖域之門）；[駱駝]（網站未列地圖）</x:t>
        </x:is>
      </x:c>
    </x:row>
    <x:row r="117" ht="45" customHeight="1">
      <x:c r="A117" s="55" t="str">
        <x:v>心無罣礙劍</x:v>
      </x:c>
      <x:c r="B117" s="55" t="str">
        <x:v>—</x:v>
      </x:c>
      <x:c r="C117" s="55" t="str">
        <x:v>—</x:v>
      </x:c>
      <x:c r="D117" s="55" t="str">
        <x:v>—</x:v>
      </x:c>
      <x:c r="E117" s="55" t="inlineStr">
        <x:is>
          <x:t>喜兔武器錦囊‧捌（網站未列地圖）；神來裝樂透卡之八（網站未列地圖）；天佛神兵錦囊（網站未列地圖）；釋尊神兵檀箱（網站未列地圖）；佛都劍俠錦囊（網站未列地圖）；軍騎駱駝（止戰邊境）；仙嶺妖禽（懸空仙嶺）；金叉修羅王（濕婆神廟）</x:t>
        </x:is>
      </x:c>
    </x:row>
    <x:row r="118" ht="75" customHeight="1">
      <x:c r="A118" s="55" t="str">
        <x:v>蓮燁劍</x:v>
      </x:c>
      <x:c r="B118" s="55" t="str">
        <x:v>—</x:v>
      </x:c>
      <x:c r="C118" s="55" t="str">
        <x:v>—</x:v>
      </x:c>
      <x:c r="D118" s="55" t="str">
        <x:v>蓮燁劍配方</x:v>
      </x:c>
      <x:c r="E118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聖峰白虎（萬岳聖峰、香格里拉聖路）；開山牛魔將（森羅閻殿、奈落紅川、荒禍殘墟）；劍山牛魔神（天戮魔殿）；幽谷翔龍（登天棧道、懸空仙嶺、青藏高原、大梵聖湖）；[幽谷翔龍]（網站未列地圖）；邪神殉徒（黃塵荒漠）；天境飛龍（網站未列地圖）</x:t>
        </x:is>
      </x:c>
    </x:row>
    <x:row r="119" ht="30" customHeight="1">
      <x:c r="A119" s="55" t="str">
        <x:v>法界真皇劍</x:v>
      </x:c>
      <x:c r="B119" s="55" t="str">
        <x:v>—</x:v>
      </x:c>
      <x:c r="C119" s="55" t="str">
        <x:v>—</x:v>
      </x:c>
      <x:c r="D119" s="55" t="str">
        <x:v>法界皇劍配方</x:v>
      </x:c>
      <x:c r="E119" s="55" t="inlineStr">
        <x:is>
          <x:t>涅槃真武聖匣（網站未列地圖）；涅槃神兵聖匣（網站未列地圖）；蜥蜴人（豐穗平原、血鴉嶺）；天戮三滅視（香格里拉聖路）；波斯戰駱（真知寺、萬識聖宮）；華錦戰駝（網站未列地圖）；黃漠力駝（網站未列地圖）</x:t>
        </x:is>
      </x:c>
    </x:row>
    <x:row r="120" ht="30" customHeight="1">
      <x:c r="A120" s="55" t="str">
        <x:v>因陀羅聖劍</x:v>
      </x:c>
      <x:c r="B120" s="55" t="str">
        <x:v>—</x:v>
      </x:c>
      <x:c r="C120" s="55" t="str">
        <x:v>—</x:v>
      </x:c>
      <x:c r="D120" s="55" t="str">
        <x:v>—</x:v>
      </x:c>
      <x:c r="E120" s="55" t="inlineStr">
        <x:is>
          <x:t>涅槃真武聖匣（網站未列地圖）；涅槃神兵聖匣（網站未列地圖）；護天金翅鳥（香格里拉神廟）；焚怒之火（飛簷頂徑、波斯西市、法誡參道）；[焚怒之火]（網站未列地圖）；熔岩火妖（網站未列地圖）</x:t>
        </x:is>
      </x:c>
    </x:row>
    <x:row r="121" ht="15" customHeight="1">
      <x:c r="A121" s="55" t="str">
        <x:v>大日宗煌劍</x:v>
      </x:c>
      <x:c r="B121" s="55" t="str">
        <x:v>—</x:v>
      </x:c>
      <x:c r="C121" s="55" t="str">
        <x:v>—</x:v>
      </x:c>
      <x:c r="D121" s="55" t="str">
        <x:v>—</x:v>
      </x:c>
      <x:c r="E121" s="55" t="inlineStr">
        <x:is>
          <x:t>東煌神兵寶匣（網站未列地圖）；喜兔武器錦囊‧柒（網站未列地圖）；神來裝樂透卡之七（網站未列地圖）</x:t>
        </x:is>
      </x:c>
    </x:row>
    <x:row r="122" ht="15" customHeight="1">
      <x:c r="A122" s="55" t="str">
        <x:v>東照天葵劍</x:v>
      </x:c>
      <x:c r="B122" s="55" t="str">
        <x:v>—</x:v>
      </x:c>
      <x:c r="C122" s="55" t="str">
        <x:v>—</x:v>
      </x:c>
      <x:c r="D122" s="55" t="str">
        <x:v>—</x:v>
      </x:c>
      <x:c r="E122" s="55" t="inlineStr">
        <x:is>
          <x:t>東煌神兵寶匣（網站未列地圖）；喜兔武器錦囊‧柒（網站未列地圖）；神來裝樂透卡之七（網站未列地圖）</x:t>
        </x:is>
      </x:c>
    </x:row>
    <x:row r="123" ht="45" customHeight="1">
      <x:c r="A123" s="55" t="str">
        <x:v>敗亡劍</x:v>
      </x:c>
      <x:c r="B123" s="55" t="str">
        <x:v>—</x:v>
      </x:c>
      <x:c r="C123" s="55" t="str">
        <x:v>—</x:v>
      </x:c>
      <x:c r="D123" s="55" t="str">
        <x:v>—</x:v>
      </x:c>
      <x:c r="E123" s="55" t="inlineStr">
        <x:is>
          <x:t>喜兔武器錦囊‧玖（網站未列地圖）；傾天絕邪（寒愴冰獄）；煉獄邪兵戰匣（網站未列地圖）；神來裝樂透卡之九（網站未列地圖）；征鬼劍俠錦囊（網站未列地圖）；衝雲亂梟（大梵聖湖、萬岳聖峰）；黜命大欽差（網站未列地圖）；懲善判官（枉死之城、悲歡渡口、九曲邪徑、寒愴冰獄）；征軍駱駝（波斯西市、漆黑水路）</x:t>
        </x:is>
      </x:c>
    </x:row>
    <x:row r="124" ht="15" customHeight="1">
      <x:c r="A124" s="55" t="str">
        <x:v>無雙敗亡劍</x:v>
      </x:c>
      <x:c r="B124" s="55" t="str">
        <x:v>—</x:v>
      </x:c>
      <x:c r="C124" s="55" t="str">
        <x:v>—</x:v>
      </x:c>
      <x:c r="D124" s="55" t="str">
        <x:v>—</x:v>
      </x:c>
      <x:c r="E124" s="55" t="inlineStr">
        <x:is>
          <x:t>煉獄無雙錦囊（網站未列地圖）</x:t>
        </x:is>
      </x:c>
    </x:row>
    <x:row r="125" ht="30" customHeight="1">
      <x:c r="A125" s="55" t="str">
        <x:v>懲罪天劫劍</x:v>
      </x:c>
      <x:c r="B125" s="55" t="str">
        <x:v>—</x:v>
      </x:c>
      <x:c r="C125" s="55" t="str">
        <x:v>—</x:v>
      </x:c>
      <x:c r="D125" s="55" t="str">
        <x:v>—</x:v>
      </x:c>
      <x:c r="E125" s="55" t="inlineStr">
        <x:is>
          <x:t>阿鼻邪兵戰匣（網站未列地圖）；煉獄邪兵戰匣（網站未列地圖）；征鬼劍俠錦囊（網站未列地圖）；掠空兇翼（血鴉嶺、靜默之丘、擎空壁壘）；雲眉鷹后（網站未列地圖）</x:t>
        </x:is>
      </x:c>
    </x:row>
    <x:row r="126" ht="30" customHeight="1">
      <x:c r="A126" s="55" t="str">
        <x:v>降罰地刑劍</x:v>
      </x:c>
      <x:c r="B126" s="55" t="str">
        <x:v>—</x:v>
      </x:c>
      <x:c r="C126" s="55" t="str">
        <x:v>—</x:v>
      </x:c>
      <x:c r="D126" s="55" t="str">
        <x:v>—</x:v>
      </x:c>
      <x:c r="E126" s="55" t="inlineStr">
        <x:is>
          <x:t>阿鼻邪兵戰匣（網站未列地圖）；煉獄邪兵戰匣（網站未列地圖）；魔劍子（登龍道、凌風修境）；軍騎駱駝（止戰邊境）</x:t>
        </x:is>
      </x:c>
    </x:row>
    <x:row r="127" ht="45" customHeight="1">
      <x:c r="A127" s="55" t="str">
        <x:v>望陽劍</x:v>
      </x:c>
      <x:c r="B127" s="55" t="str">
        <x:v>—</x:v>
      </x:c>
      <x:c r="C127" s="55" t="str">
        <x:v>—</x:v>
      </x:c>
      <x:c r="D127" s="55" t="str">
        <x:v>—</x:v>
      </x:c>
      <x:c r="E127" s="55" t="inlineStr">
        <x:is>
          <x:t>無間邪兵戰匣（網站未列地圖）；阿鼻邪兵戰匣（網站未列地圖）；傾天絕邪（寒愴冰獄）；征鬼劍俠錦囊（網站未列地圖）；土之精靈（止戰邊境、血鴉嶺）；窮奇（登龍道、凌風修境）；獅堡聖騎士（網站未列地圖）；神耀十字軍（凱旋廣場、聖禱天廳）；燎原火靈（漆黑水路、真知寺）</x:t>
        </x:is>
      </x:c>
    </x:row>
    <x:row r="128" ht="45" customHeight="1">
      <x:c r="A128" s="55" t="str">
        <x:v>血瞳赤輝劍</x:v>
      </x:c>
      <x:c r="B128" s="55" t="str">
        <x:v>—</x:v>
      </x:c>
      <x:c r="C128" s="55" t="str">
        <x:v>—</x:v>
      </x:c>
      <x:c r="D128" s="55" t="str">
        <x:v>—</x:v>
      </x:c>
      <x:c r="E128" s="55" t="inlineStr">
        <x:is>
          <x:t>無間邪兵戰匣（網站未列地圖）；無間邪兵戰匣（網站未列地圖）；傾天絕邪（寒愴冰獄）；征鬼劍俠錦囊（網站未列地圖）；原始火靈（獅堡軍事區）；護天金翅鳥（香格里拉神廟）；焚怒之火（飛簷頂徑、波斯西市、法誡參道）；[焚怒之火]（網站未列地圖）；熔岩火妖（網站未列地圖）</x:t>
        </x:is>
      </x:c>
    </x:row>
    <x:row r="129" ht="45" customHeight="1">
      <x:c r="A129" s="55" t="str">
        <x:v>蒼翡碧熒劍</x:v>
      </x:c>
      <x:c r="B129" s="55" t="str">
        <x:v>—</x:v>
      </x:c>
      <x:c r="C129" s="55" t="str">
        <x:v>—</x:v>
      </x:c>
      <x:c r="D129" s="55" t="str">
        <x:v>—</x:v>
      </x:c>
      <x:c r="E129" s="55" t="inlineStr">
        <x:is>
          <x:t>無間邪兵戰匣（網站未列地圖）；無間邪兵戰匣（網站未列地圖）；傾天絕邪（寒愴冰獄）；烈火聖靈（萬識聖宮）；太古天風（網站未列地圖）；捲塵風妖（網站未列地圖）；蜥蜴人（豐穗平原、血鴉嶺）；波斯戰駱（真知寺、萬識聖宮）；華錦戰駝（網站未列地圖）；黃漠力駝（網站未列地圖）</x:t>
        </x:is>
      </x:c>
    </x:row>
    <x:row r="130" ht="15" customHeight="1">
      <x:c r="A130" s="55" t="str">
        <x:v>妖滅天殛魔劍</x:v>
      </x:c>
      <x:c r="B130" s="55" t="str">
        <x:v>—</x:v>
      </x:c>
      <x:c r="C130" s="55" t="str">
        <x:v>—</x:v>
      </x:c>
      <x:c r="D130" s="55" t="str">
        <x:v>—</x:v>
      </x:c>
      <x:c r="E130" s="55" t="inlineStr">
        <x:is>
          <x:t>天殛邪兵錦囊（網站未列地圖）</x:t>
        </x:is>
      </x:c>
    </x:row>
    <x:row r="131" ht="15" customHeight="1">
      <x:c r="A131" s="55" t="str">
        <x:v>凶亡天殛魔劍</x:v>
      </x:c>
      <x:c r="B131" s="55" t="str">
        <x:v>—</x:v>
      </x:c>
      <x:c r="C131" s="55" t="str">
        <x:v>—</x:v>
      </x:c>
      <x:c r="D131" s="55" t="str">
        <x:v>—</x:v>
      </x:c>
      <x:c r="E131" s="55" t="inlineStr">
        <x:is>
          <x:t>天殛邪兵錦囊（網站未列地圖）</x:t>
        </x:is>
      </x:c>
    </x:row>
    <x:row r="132" ht="15" customHeight="1">
      <x:c r="A132" s="55" t="str">
        <x:v>惡斬天殛魔劍</x:v>
      </x:c>
      <x:c r="B132" s="55" t="str">
        <x:v>—</x:v>
      </x:c>
      <x:c r="C132" s="55" t="str">
        <x:v>—</x:v>
      </x:c>
      <x:c r="D132" s="55" t="str">
        <x:v>—</x:v>
      </x:c>
      <x:c r="E132" s="55" t="inlineStr">
        <x:is>
          <x:t>天殛邪兵錦囊（網站未列地圖）</x:t>
        </x:is>
      </x:c>
    </x:row>
    <x:row r="133" ht="15" customHeight="1">
      <x:c r="A133" s="55" t="str">
        <x:v>獸殺天殛魔劍</x:v>
      </x:c>
      <x:c r="B133" s="55" t="str">
        <x:v>—</x:v>
      </x:c>
      <x:c r="C133" s="55" t="str">
        <x:v>—</x:v>
      </x:c>
      <x:c r="D133" s="55" t="str">
        <x:v>—</x:v>
      </x:c>
      <x:c r="E133" s="55" t="inlineStr">
        <x:is>
          <x:t>天殛邪兵錦囊（網站未列地圖）</x:t>
        </x:is>
      </x:c>
    </x:row>
    <x:row r="134" ht="45" customHeight="1">
      <x:c r="A134" s="55" t="str">
        <x:v>明律劍</x:v>
      </x:c>
      <x:c r="B134" s="55" t="str">
        <x:v>—</x:v>
      </x:c>
      <x:c r="C134" s="55" t="str">
        <x:v>—</x:v>
      </x:c>
      <x:c r="D134" s="55" t="str">
        <x:v>—</x:v>
      </x:c>
      <x:c r="E134" s="55" t="inlineStr">
        <x:is>
          <x:t>頂峰神兵錦囊（網站未列地圖）；天藏劍俠錦囊（網站未列地圖）；天鬼神羅奢薩（神煉之間）；禍翼巨龍（擎空壁壘、凱旋廣場）；墮真劍仙（繚空碎島、飛雲忘野）；土之精靈（止戰邊境、血鴉嶺）；燎原火靈（漆黑水路、真知寺）</x:t>
        </x:is>
      </x:c>
    </x:row>
    <x:row r="135" ht="30" customHeight="1">
      <x:c r="A135" s="55" t="str">
        <x:v>太古明律劍</x:v>
      </x:c>
      <x:c r="B135" s="55" t="str">
        <x:v>—</x:v>
      </x:c>
      <x:c r="C135" s="55" t="str">
        <x:v>—</x:v>
      </x:c>
      <x:c r="D135" s="55" t="str">
        <x:v>—</x:v>
      </x:c>
      <x:c r="E135" s="55" t="inlineStr">
        <x:is>
          <x:t>天藏太古神兵聖箱（網站未列地圖）；兔兒皇（網站未列地圖）；九華神曜龍（天授之間）；逆宗梵鬼（萬岳聖峰、香格里拉聖路、香格里拉神廟）；噬地梵鬼（網站未列地圖）；祭邪大魔牛（神煉之間）；碎峰大梵鬼（神煉之間）</x:t>
        </x:is>
      </x:c>
    </x:row>
    <x:row r="136" ht="15" customHeight="1">
      <x:c r="A136" s="55" t="str">
        <x:v>無雙明律劍</x:v>
      </x:c>
      <x:c r="B136" s="55" t="str">
        <x:v>—</x:v>
      </x:c>
      <x:c r="C136" s="55" t="str">
        <x:v>—</x:v>
      </x:c>
      <x:c r="D136" s="55" t="str">
        <x:v>—</x:v>
      </x:c>
      <x:c r="E136" s="55" t="inlineStr">
        <x:is>
          <x:t>天藏無雙錦囊（網站未列地圖）</x:t>
        </x:is>
      </x:c>
    </x:row>
    <x:row r="137" ht="30" customHeight="1">
      <x:c r="A137" s="55" t="str">
        <x:v>定念明律劍</x:v>
      </x:c>
      <x:c r="B137" s="55" t="str">
        <x:v>—</x:v>
      </x:c>
      <x:c r="C137" s="55" t="str">
        <x:v>—</x:v>
      </x:c>
      <x:c r="D137" s="55" t="str">
        <x:v>—</x:v>
      </x:c>
      <x:c r="E137" s="55" t="inlineStr">
        <x:is>
          <x:t>聖路神兵聖箱（網站未列地圖）；神來裝樂透卡之十（網站未列地圖）；香格里拉武匣（網站未列地圖）；天藏劍俠錦囊（網站未列地圖）；掠空兇翼（血鴉嶺、靜默之丘、擎空壁壘）；雲眉鷹后（網站未列地圖）</x:t>
        </x:is>
      </x:c>
    </x:row>
    <x:row r="138" ht="30" customHeight="1">
      <x:c r="A138" s="55" t="str">
        <x:v>觀真明律劍</x:v>
      </x:c>
      <x:c r="B138" s="55" t="str">
        <x:v>—</x:v>
      </x:c>
      <x:c r="C138" s="55" t="str">
        <x:v>—</x:v>
      </x:c>
      <x:c r="D138" s="55" t="str">
        <x:v>—</x:v>
      </x:c>
      <x:c r="E138" s="55" t="inlineStr">
        <x:is>
          <x:t>聖路神兵聖箱（網站未列地圖）；神來裝樂透卡之十（網站未列地圖）；香格里拉武匣（網站未列地圖）；天藏劍俠錦囊（網站未列地圖）；魔劍子（登龍道、凌風修境）</x:t>
        </x:is>
      </x:c>
    </x:row>
    <x:row r="139" ht="30" customHeight="1">
      <x:c r="A139" s="55" t="str">
        <x:v>絕倫劍</x:v>
      </x:c>
      <x:c r="B139" s="55" t="str">
        <x:v>—</x:v>
      </x:c>
      <x:c r="C139" s="55" t="str">
        <x:v>—</x:v>
      </x:c>
      <x:c r="D139" s="55" t="str">
        <x:v>—</x:v>
      </x:c>
      <x:c r="E139" s="55" t="inlineStr">
        <x:is>
          <x:t>天光神兵聖匣（網站未列地圖）；窮奇（登龍道、凌風修境）；獅堡聖騎士（網站未列地圖）；神耀十字軍（凱旋廣場、聖禱天廳）</x:t>
        </x:is>
      </x:c>
    </x:row>
    <x:row r="140" ht="45" customHeight="1">
      <x:c r="A140" s="55" t="str">
        <x:v>太古絕倫劍</x:v>
      </x:c>
      <x:c r="B140" s="55" t="str">
        <x:v>—</x:v>
      </x:c>
      <x:c r="C140" s="55" t="str">
        <x:v>—</x:v>
      </x:c>
      <x:c r="D140" s="55" t="str">
        <x:v>—</x:v>
      </x:c>
      <x:c r="E140" s="55" t="inlineStr">
        <x:is>
          <x:t>天藏太古神兵聖箱（網站未列地圖）；查拉欽（飛昇大廳）；&lt;查拉欽&gt;（真七寶仙境　貳）；熾火真帝靈（飛昇大廳）；&lt;熾火真帝靈&gt;（真七寶仙境　貳）；烈火聖靈（萬識聖宮）；太古天風（網站未列地圖）；捲塵風妖（網站未列地圖）</x:t>
        </x:is>
      </x:c>
    </x:row>
    <x:row r="141" ht="15" customHeight="1">
      <x:c r="A141" s="55" t="str">
        <x:v>奇妙絕倫劍</x:v>
      </x:c>
      <x:c r="B141" s="55" t="str">
        <x:v>—</x:v>
      </x:c>
      <x:c r="C141" s="55" t="str">
        <x:v>—</x:v>
      </x:c>
      <x:c r="D141" s="55" t="str">
        <x:v>—</x:v>
      </x:c>
      <x:c r="E141" s="55" t="inlineStr">
        <x:is>
          <x:t>顛峰神兵聖匣（網站未列地圖）；香格里拉武匣（網站未列地圖）；原始火靈（獅堡軍事區）</x:t>
        </x:is>
      </x:c>
    </x:row>
    <x:row r="142" ht="30" customHeight="1">
      <x:c r="A142" s="55" t="str">
        <x:v>無幻絕倫劍</x:v>
      </x:c>
      <x:c r="B142" s="55" t="str">
        <x:v>—</x:v>
      </x:c>
      <x:c r="C142" s="55" t="str">
        <x:v>—</x:v>
      </x:c>
      <x:c r="D142" s="55" t="str">
        <x:v>—</x:v>
      </x:c>
      <x:c r="E142" s="55" t="inlineStr">
        <x:is>
          <x:t>顛峰神兵聖匣（網站未列地圖）；香格里拉武匣（網站未列地圖）；蕩神劍聖（橫劍天關、仙庭玉階、闕真金閣）；墮真劍邪（網站未列地圖）</x:t>
        </x:is>
      </x:c>
    </x:row>
    <x:row r="143" ht="15" customHeight="1">
      <x:c r="A143" s="55" t="str">
        <x:v>聖劍帝釋天</x:v>
      </x:c>
      <x:c r="B143" s="55" t="str">
        <x:v>—</x:v>
      </x:c>
      <x:c r="C143" s="55" t="str">
        <x:v>—</x:v>
      </x:c>
      <x:c r="D143" s="55" t="str">
        <x:v>—</x:v>
      </x:c>
      <x:c r="E143" s="55" t="inlineStr">
        <x:is>
          <x:t>聖魔永劫戰匣（網站未列地圖）</x:t>
        </x:is>
      </x:c>
    </x:row>
    <x:row r="144" ht="15" customHeight="1">
      <x:c r="A144" s="55" t="str">
        <x:v>魔劍剎帝利</x:v>
      </x:c>
      <x:c r="B144" s="55" t="str">
        <x:v>—</x:v>
      </x:c>
      <x:c r="C144" s="55" t="str">
        <x:v>—</x:v>
      </x:c>
      <x:c r="D144" s="55" t="str">
        <x:v>—</x:v>
      </x:c>
      <x:c r="E144" s="55" t="inlineStr">
        <x:is>
          <x:t>聖魔永劫戰匣（網站未列地圖）</x:t>
        </x:is>
      </x:c>
    </x:row>
    <x:row r="145" ht="15" customHeight="1">
      <x:c r="A145" s="55" t="str">
        <x:v>黑曜劍</x:v>
      </x:c>
      <x:c r="B145" s="55" t="str">
        <x:v>—</x:v>
      </x:c>
      <x:c r="C145" s="55" t="str">
        <x:v>—</x:v>
      </x:c>
      <x:c r="D145" s="55" t="str">
        <x:v>—</x:v>
      </x:c>
      <x:c r="E145" s="55" t="inlineStr">
        <x:is>
          <x:t>波斯神兵寶箱（網站未列地圖）；神風領主（凱旋廣場、聖禱天廳）；墮真劍仙（繚空碎島、飛雲忘野）</x:t>
        </x:is>
      </x:c>
    </x:row>
    <x:row r="146" ht="15" customHeight="1">
      <x:c r="A146" s="55" t="str">
        <x:v>太古黑曜劍</x:v>
      </x:c>
      <x:c r="B146" s="55" t="str">
        <x:v>—</x:v>
      </x:c>
      <x:c r="C146" s="55" t="str">
        <x:v>—</x:v>
      </x:c>
      <x:c r="D146" s="55" t="str">
        <x:v>—</x:v>
      </x:c>
      <x:c r="E146" s="55" t="inlineStr">
        <x:is>
          <x:t>波斯太古神兵聖箱（網站未列地圖）；原罪十字軍（神臨之地）；&lt;原罪十字軍&gt;（修羅級神臨之地）</x:t>
        </x:is>
      </x:c>
    </x:row>
    <x:row r="147" ht="15" customHeight="1">
      <x:c r="A147" s="55" t="str">
        <x:v>無雙黑曜劍</x:v>
      </x:c>
      <x:c r="B147" s="55" t="str">
        <x:v>—</x:v>
      </x:c>
      <x:c r="C147" s="55" t="str">
        <x:v>—</x:v>
      </x:c>
      <x:c r="D147" s="55" t="str">
        <x:v>—</x:v>
      </x:c>
      <x:c r="E147" s="55" t="inlineStr">
        <x:is>
          <x:t>波斯無雙錦囊（網站未列地圖）</x:t>
        </x:is>
      </x:c>
    </x:row>
    <x:row r="148" ht="15" customHeight="1">
      <x:c r="A148" s="55" t="str">
        <x:v>紫夜殘翼劍</x:v>
      </x:c>
      <x:c r="B148" s="55" t="str">
        <x:v>—</x:v>
      </x:c>
      <x:c r="C148" s="55" t="str">
        <x:v>—</x:v>
      </x:c>
      <x:c r="D148" s="55" t="str">
        <x:v>—</x:v>
      </x:c>
      <x:c r="E148" s="55" t="inlineStr">
        <x:is>
          <x:t>真知神兵金盒（網站未列地圖）；波斯千武印箱（網站未列地圖）；萬識飛升聖匣（網站未列地圖）</x:t>
        </x:is>
      </x:c>
    </x:row>
    <x:row r="149" ht="15" customHeight="1">
      <x:c r="A149" s="55" t="str">
        <x:v>紅月魔豔劍</x:v>
      </x:c>
      <x:c r="B149" s="55" t="str">
        <x:v>—</x:v>
      </x:c>
      <x:c r="C149" s="55" t="str">
        <x:v>—</x:v>
      </x:c>
      <x:c r="D149" s="55" t="str">
        <x:v>—</x:v>
      </x:c>
      <x:c r="E149" s="55" t="inlineStr">
        <x:is>
          <x:t>真知神兵金盒（網站未列地圖）；波斯千武印箱（網站未列地圖）；萬識飛升聖匣（網站未列地圖）</x:t>
        </x:is>
      </x:c>
    </x:row>
    <x:row r="150" ht="15" customHeight="1">
      <x:c r="A150" s="55" t="str">
        <x:v>星辰劍</x:v>
      </x:c>
      <x:c r="B150" s="55" t="str">
        <x:v>—</x:v>
      </x:c>
      <x:c r="C150" s="55" t="str">
        <x:v>—</x:v>
      </x:c>
      <x:c r="D150" s="55" t="str">
        <x:v>—</x:v>
      </x:c>
      <x:c r="E150" s="55" t="inlineStr">
        <x:is>
          <x:t>武皇神兵寶箱（網站未列地圖）；波斯千武印箱（網站未列地圖）；&lt;熾火真帝靈&gt;（真七寶仙境　貳）</x:t>
        </x:is>
      </x:c>
    </x:row>
    <x:row r="151" ht="30" customHeight="1">
      <x:c r="A151" s="55" t="str">
        <x:v>太古星辰劍</x:v>
      </x:c>
      <x:c r="B151" s="55" t="str">
        <x:v>—</x:v>
      </x:c>
      <x:c r="C151" s="55" t="str">
        <x:v>—</x:v>
      </x:c>
      <x:c r="D151" s="55" t="str">
        <x:v>—</x:v>
      </x:c>
      <x:c r="E151" s="55" t="inlineStr">
        <x:is>
          <x:t>年大媽（網站未列地圖）；波斯太古神兵聖箱（網站未列地圖）；終末巨龍（神臨之地）；&lt;終末巨龍&gt;（修羅級神臨之地）</x:t>
        </x:is>
      </x:c>
    </x:row>
    <x:row r="152" ht="30" customHeight="1">
      <x:c r="A152" s="55" t="str">
        <x:v>耀辰天星劍</x:v>
      </x:c>
      <x:c r="B152" s="55" t="str">
        <x:v>—</x:v>
      </x:c>
      <x:c r="C152" s="55" t="str">
        <x:v>—</x:v>
      </x:c>
      <x:c r="D152" s="55" t="str">
        <x:v>—</x:v>
      </x:c>
      <x:c r="E152" s="55" t="inlineStr">
        <x:is>
          <x:t>巴比倫神兵寶箱（網站未列地圖）；萬識飛升聖匣（網站未列地圖）；蕩神劍聖（橫劍天關、仙庭玉階、闕真金閣）；墮真劍邪（網站未列地圖）</x:t>
        </x:is>
      </x:c>
    </x:row>
    <x:row r="153" ht="15" customHeight="1">
      <x:c r="A153" s="55" t="str">
        <x:v>黃道星宮劍</x:v>
      </x:c>
      <x:c r="B153" s="55" t="str">
        <x:v>—</x:v>
      </x:c>
      <x:c r="C153" s="55" t="str">
        <x:v>—</x:v>
      </x:c>
      <x:c r="D153" s="55" t="str">
        <x:v>—</x:v>
      </x:c>
      <x:c r="E153" s="55" t="inlineStr">
        <x:is>
          <x:t>巴比倫神兵寶箱（網站未列地圖）；萬識飛升聖匣（網站未列地圖）</x:t>
        </x:is>
      </x:c>
    </x:row>
    <x:row r="154" ht="30" customHeight="1">
      <x:c r="A154" s="55" t="str">
        <x:v>巨帝劍</x:v>
      </x:c>
      <x:c r="B154" s="55" t="str">
        <x:v>—</x:v>
      </x:c>
      <x:c r="C154" s="55" t="str">
        <x:v>—</x:v>
      </x:c>
      <x:c r="D154" s="55" t="str">
        <x:v>—</x:v>
      </x:c>
      <x:c r="E154" s="55" t="inlineStr">
        <x:is>
          <x:t>帝國神兵寶箱（網站未列地圖）；混沌（闕真金閣）；滄浪隱劍（天啟八關）；天海神蛟（仙庭玉階、闕真金閣）；紫雷蠻蛟（網站未列地圖）</x:t>
        </x:is>
      </x:c>
    </x:row>
    <x:row r="155" ht="30" customHeight="1">
      <x:c r="A155" s="55" t="str">
        <x:v>太古巨帝劍</x:v>
      </x:c>
      <x:c r="B155" s="55" t="str">
        <x:v>—</x:v>
      </x:c>
      <x:c r="C155" s="55" t="str">
        <x:v>—</x:v>
      </x:c>
      <x:c r="D155" s="55" t="str">
        <x:v>—</x:v>
      </x:c>
      <x:c r="E155" s="55" t="inlineStr">
        <x:is>
          <x:t>帝國太古神兵聖箱（網站未列地圖）；燬天女魔后（聖禱天廳）；典藏神臨寶箱（網站未列地圖）；北海戰鬼基恩（擎空壁壘）</x:t>
        </x:is>
      </x:c>
    </x:row>
    <x:row r="156" ht="15" customHeight="1">
      <x:c r="A156" s="55" t="str">
        <x:v>無雙巨帝劍</x:v>
      </x:c>
      <x:c r="B156" s="55" t="str">
        <x:v>—</x:v>
      </x:c>
      <x:c r="C156" s="55" t="str">
        <x:v>—</x:v>
      </x:c>
      <x:c r="D156" s="55" t="str">
        <x:v>—</x:v>
      </x:c>
      <x:c r="E156" s="55" t="inlineStr">
        <x:is>
          <x:t>帝國無雙錦囊（網站未列地圖）</x:t>
        </x:is>
      </x:c>
    </x:row>
    <x:row r="157" ht="15" customHeight="1">
      <x:c r="A157" s="55" t="str">
        <x:v>圓桌聖堂劍</x:v>
      </x:c>
      <x:c r="B157" s="55" t="str">
        <x:v>—</x:v>
      </x:c>
      <x:c r="C157" s="55" t="str">
        <x:v>—</x:v>
      </x:c>
      <x:c r="D157" s="55" t="str">
        <x:v>—</x:v>
      </x:c>
      <x:c r="E157" s="55" t="inlineStr">
        <x:is>
          <x:t>獅皇神兵寶箱（網站未列地圖）</x:t>
        </x:is>
      </x:c>
    </x:row>
    <x:row r="158" ht="15" customHeight="1">
      <x:c r="A158" s="55" t="str">
        <x:v>歐陸霸皇劍</x:v>
      </x:c>
      <x:c r="B158" s="55" t="str">
        <x:v>—</x:v>
      </x:c>
      <x:c r="C158" s="55" t="str">
        <x:v>—</x:v>
      </x:c>
      <x:c r="D158" s="55" t="str">
        <x:v>—</x:v>
      </x:c>
      <x:c r="E158" s="55" t="inlineStr">
        <x:is>
          <x:t>獅皇神兵寶箱（網站未列地圖）</x:t>
        </x:is>
      </x:c>
    </x:row>
    <x:row r="159" ht="15" customHeight="1">
      <x:c r="A159" s="55" t="str">
        <x:v>晨光劍</x:v>
      </x:c>
      <x:c r="B159" s="55" t="str">
        <x:v>—</x:v>
      </x:c>
      <x:c r="C159" s="55" t="str">
        <x:v>—</x:v>
      </x:c>
      <x:c r="D159" s="55" t="str">
        <x:v>—</x:v>
      </x:c>
      <x:c r="E159" s="55" t="inlineStr">
        <x:is>
          <x:t>歐帝神兵寶箱（網站未列地圖）；電影疾鷹（紫雷轟原）</x:t>
        </x:is>
      </x:c>
    </x:row>
    <x:row r="160" ht="15" customHeight="1">
      <x:c r="A160" s="55" t="str">
        <x:v>太古晨光劍</x:v>
      </x:c>
      <x:c r="B160" s="55" t="str">
        <x:v>—</x:v>
      </x:c>
      <x:c r="C160" s="55" t="str">
        <x:v>—</x:v>
      </x:c>
      <x:c r="D160" s="55" t="str">
        <x:v>—</x:v>
      </x:c>
      <x:c r="E160" s="55" t="inlineStr">
        <x:is>
          <x:t>帝國太古神兵聖箱（網站未列地圖）；武神（網站未列地圖）；雲蛟巨將（九霄天樓）；天龍驃龍神（九霄天樓）</x:t>
        </x:is>
      </x:c>
    </x:row>
    <x:row r="161" ht="15" customHeight="1">
      <x:c r="A161" s="55" t="str">
        <x:v>聖輝十字劍</x:v>
      </x:c>
      <x:c r="B161" s="55" t="str">
        <x:v>—</x:v>
      </x:c>
      <x:c r="C161" s="55" t="str">
        <x:v>—</x:v>
      </x:c>
      <x:c r="D161" s="55" t="str">
        <x:v>—</x:v>
      </x:c>
      <x:c r="E161" s="55" t="inlineStr">
        <x:is>
          <x:t>君臨神兵寶箱（網站未列地圖）；四聖劍仙（四聖祭台）</x:t>
        </x:is>
      </x:c>
    </x:row>
    <x:row r="162" ht="15" customHeight="1">
      <x:c r="A162" s="55" t="str">
        <x:v>淨世神禱劍</x:v>
      </x:c>
      <x:c r="B162" s="55" t="str">
        <x:v>—</x:v>
      </x:c>
      <x:c r="C162" s="55" t="str">
        <x:v>—</x:v>
      </x:c>
      <x:c r="D162" s="55" t="str">
        <x:v>—</x:v>
      </x:c>
      <x:c r="E162" s="55" t="inlineStr">
        <x:is>
          <x:t>君臨神兵寶箱（網站未列地圖）；雀台朱鳳（四聖祭台）</x:t>
        </x:is>
      </x:c>
    </x:row>
    <x:row r="163" ht="15" customHeight="1">
      <x:c r="A163" s="55" t="str">
        <x:v>斬惡聖衛神劍</x:v>
      </x:c>
      <x:c r="B163" s="55" t="str">
        <x:v>—</x:v>
      </x:c>
      <x:c r="C163" s="55" t="str">
        <x:v>—</x:v>
      </x:c>
      <x:c r="D163" s="55" t="str">
        <x:v>—</x:v>
      </x:c>
      <x:c r="E163" s="55" t="inlineStr">
        <x:is>
          <x:t>雄武聖兵寶樞（網站未列地圖）</x:t>
        </x:is>
      </x:c>
    </x:row>
    <x:row r="164" ht="15" customHeight="1">
      <x:c r="A164" s="55" t="str">
        <x:v>誅魔聖衛神劍</x:v>
      </x:c>
      <x:c r="B164" s="55" t="str">
        <x:v>—</x:v>
      </x:c>
      <x:c r="C164" s="55" t="str">
        <x:v>—</x:v>
      </x:c>
      <x:c r="D164" s="55" t="str">
        <x:v>—</x:v>
      </x:c>
      <x:c r="E164" s="55" t="inlineStr">
        <x:is>
          <x:t>雄武聖兵寶樞（網站未列地圖）</x:t>
        </x:is>
      </x:c>
    </x:row>
    <x:row r="165" ht="15" customHeight="1">
      <x:c r="A165" s="55" t="str">
        <x:v>滅元聖衛神劍</x:v>
      </x:c>
      <x:c r="B165" s="55" t="str">
        <x:v>—</x:v>
      </x:c>
      <x:c r="C165" s="55" t="str">
        <x:v>—</x:v>
      </x:c>
      <x:c r="D165" s="55" t="str">
        <x:v>—</x:v>
      </x:c>
      <x:c r="E165" s="55" t="inlineStr">
        <x:is>
          <x:t>雄武聖兵寶樞（網站未列地圖）</x:t>
        </x:is>
      </x:c>
    </x:row>
    <x:row r="166" ht="15" customHeight="1">
      <x:c r="A166" s="55" t="str">
        <x:v>獸魂聖衛神劍</x:v>
      </x:c>
      <x:c r="B166" s="55" t="str">
        <x:v>—</x:v>
      </x:c>
      <x:c r="C166" s="55" t="str">
        <x:v>—</x:v>
      </x:c>
      <x:c r="D166" s="55" t="str">
        <x:v>—</x:v>
      </x:c>
      <x:c r="E166" s="55" t="inlineStr">
        <x:is>
          <x:t>雄武聖兵寶樞（網站未列地圖）</x:t>
        </x:is>
      </x:c>
    </x:row>
    <x:row r="167" ht="15" customHeight="1">
      <x:c r="A167" s="55" t="str">
        <x:v>鳳蝶劍</x:v>
      </x:c>
      <x:c r="B167" s="55" t="str">
        <x:v>—</x:v>
      </x:c>
      <x:c r="C167" s="55" t="str">
        <x:v>—</x:v>
      </x:c>
      <x:c r="D167" s="55" t="str">
        <x:v>—</x:v>
      </x:c>
      <x:c r="E167" s="55" t="inlineStr">
        <x:is>
          <x:t>九天神兵寶箱（網站未列地圖）；紫暮影蛟（青龍東殿）；混沌（闕真金閣）；肅狄夷公（天啟八關）</x:t>
        </x:is>
      </x:c>
    </x:row>
    <x:row r="168" ht="30" customHeight="1">
      <x:c r="A168" s="55" t="str">
        <x:v>太古鳳蝶劍</x:v>
      </x:c>
      <x:c r="B168" s="55" t="str">
        <x:v>—</x:v>
      </x:c>
      <x:c r="C168" s="55" t="str">
        <x:v>—</x:v>
      </x:c>
      <x:c r="D168" s="55" t="str">
        <x:v>—</x:v>
      </x:c>
      <x:c r="E168" s="55" t="inlineStr">
        <x:is>
          <x:t>九天太古神兵聖箱（網站未列地圖）；魔劍仙無上（繚空碎島）；仙典九天寶箱（網站未列地圖）；&lt;雲蛟巨將&gt;（修羅級九霄天樓）</x:t>
        </x:is>
      </x:c>
    </x:row>
    <x:row r="169" ht="15" customHeight="1">
      <x:c r="A169" s="55" t="str">
        <x:v>紫蘭遊蝶劍</x:v>
      </x:c>
      <x:c r="B169" s="55" t="str">
        <x:v>—</x:v>
      </x:c>
      <x:c r="C169" s="55" t="str">
        <x:v>—</x:v>
      </x:c>
      <x:c r="D169" s="55" t="str">
        <x:v>—</x:v>
      </x:c>
      <x:c r="E169" s="55" t="inlineStr">
        <x:is>
          <x:t>飛仙神兵寶箱（網站未列地圖）；風行刀獸（白虎西殿）</x:t>
        </x:is>
      </x:c>
    </x:row>
    <x:row r="170" ht="30" customHeight="1">
      <x:c r="A170" s="55" t="str">
        <x:v>玉宵月蝶劍</x:v>
      </x:c>
      <x:c r="B170" s="55" t="str">
        <x:v>—</x:v>
      </x:c>
      <x:c r="C170" s="55" t="str">
        <x:v>—</x:v>
      </x:c>
      <x:c r="D170" s="55" t="str">
        <x:v>—</x:v>
      </x:c>
      <x:c r="E170" s="55" t="inlineStr">
        <x:is>
          <x:t>飛仙神兵寶箱（網站未列地圖）；天尊獅座（白虎西殿）；刑天戰狂（異時界‧亂藤林）；疲憊的刑天戰士（異時界‧亂藤林東）</x:t>
        </x:is>
      </x:c>
    </x:row>
    <x:row r="171" ht="15" customHeight="1">
      <x:c r="A171" s="55" t="str">
        <x:v>朝宗劍</x:v>
      </x:c>
      <x:c r="B171" s="55" t="str">
        <x:v>—</x:v>
      </x:c>
      <x:c r="C171" s="55" t="str">
        <x:v>—</x:v>
      </x:c>
      <x:c r="D171" s="55" t="str">
        <x:v>—</x:v>
      </x:c>
      <x:c r="E171" s="55" t="inlineStr">
        <x:is>
          <x:t>仙庭神兵寶箱（網站未列地圖）；護火聖像（朱雀南殿）；佑天神僧（紫雷轟原）</x:t>
        </x:is>
      </x:c>
    </x:row>
    <x:row r="172" ht="15" customHeight="1">
      <x:c r="A172" s="55" t="str">
        <x:v>太古朝宗劍</x:v>
      </x:c>
      <x:c r="B172" s="55" t="str">
        <x:v>—</x:v>
      </x:c>
      <x:c r="C172" s="55" t="str">
        <x:v>—</x:v>
      </x:c>
      <x:c r="D172" s="55" t="str">
        <x:v>—</x:v>
      </x:c>
      <x:c r="E172" s="55" t="inlineStr">
        <x:is>
          <x:t>九天太古神兵聖箱（網站未列地圖）；仙典真九天寶箱（網站未列地圖）</x:t>
        </x:is>
      </x:c>
    </x:row>
    <x:row r="173" ht="15" customHeight="1">
      <x:c r="A173" s="55" t="str">
        <x:v>金閣聖宗劍</x:v>
      </x:c>
      <x:c r="B173" s="55" t="str">
        <x:v>—</x:v>
      </x:c>
      <x:c r="C173" s="55" t="str">
        <x:v>—</x:v>
      </x:c>
      <x:c r="D173" s="55" t="str">
        <x:v>—</x:v>
      </x:c>
      <x:c r="E173" s="55" t="inlineStr">
        <x:is>
          <x:t>修真神兵寶箱（網站未列地圖）；四聖劍仙（四聖祭台）；虛辰戰虎（白虎西殿）</x:t>
        </x:is>
      </x:c>
    </x:row>
    <x:row r="174" ht="60" customHeight="1">
      <x:c r="A174" s="55" t="str">
        <x:v>天朝萬歸劍</x:v>
      </x:c>
      <x:c r="B174" s="55" t="str">
        <x:v>—</x:v>
      </x:c>
      <x:c r="C174" s="55" t="str">
        <x:v>—</x:v>
      </x:c>
      <x:c r="D174" s="55" t="str">
        <x:v>—</x:v>
      </x:c>
      <x:c r="E174" s="55" t="inlineStr">
        <x:is>
          <x:t>修真神兵寶箱（網站未列地圖）；星虎白皇（白虎西殿）；拂雲崩龍（青龍東殿）；南天火影（朱雀南殿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</x:t>
        </x:is>
      </x:c>
    </x:row>
    <x:row r="175" ht="15" customHeight="1">
      <x:c r="A175" s="55" t="str">
        <x:v>尊劍大威德</x:v>
      </x:c>
      <x:c r="B175" s="55" t="str">
        <x:v>—</x:v>
      </x:c>
      <x:c r="C175" s="55" t="str">
        <x:v>—</x:v>
      </x:c>
      <x:c r="D175" s="55" t="str">
        <x:v>—</x:v>
      </x:c>
      <x:c r="E175" s="55" t="inlineStr">
        <x:is>
          <x:t>浩陽神兵寶匣（網站未列地圖）</x:t>
        </x:is>
      </x:c>
    </x:row>
    <x:row r="176" ht="15" customHeight="1">
      <x:c r="A176" s="55" t="str">
        <x:v>靈劍阿彌陀</x:v>
      </x:c>
      <x:c r="B176" s="55" t="str">
        <x:v>—</x:v>
      </x:c>
      <x:c r="C176" s="55" t="str">
        <x:v>—</x:v>
      </x:c>
      <x:c r="D176" s="55" t="str">
        <x:v>—</x:v>
      </x:c>
      <x:c r="E176" s="55" t="inlineStr">
        <x:is>
          <x:t>浩陽神兵寶匣（網站未列地圖）</x:t>
        </x:is>
      </x:c>
    </x:row>
    <x:row r="177" ht="30" customHeight="1">
      <x:c r="A177" s="55" t="str">
        <x:v>天鍛‧皇雷劍</x:v>
      </x:c>
      <x:c r="B177" s="55" t="str">
        <x:v>—</x:v>
      </x:c>
      <x:c r="C177" s="55" t="str">
        <x:v>—</x:v>
      </x:c>
      <x:c r="D177" s="55" t="str">
        <x:v>—</x:v>
      </x:c>
      <x:c r="E177" s="55" t="inlineStr">
        <x:is>
          <x:t>無限神兵寶箱（網站未列地圖）；八熾燹鳳麟（朱雀南殿）；死牢牛鬼（異時界‧亂藤林西）；襲影鬼虎（異時界‧亂藤林南）；闢地巨獸（玄武北殿）</x:t>
        </x:is>
      </x:c>
    </x:row>
    <x:row r="178" ht="30" customHeight="1">
      <x:c r="A178" s="55" t="str">
        <x:v>仙鑄‧皇雷劍</x:v>
      </x:c>
      <x:c r="B178" s="55" t="str">
        <x:v>—</x:v>
      </x:c>
      <x:c r="C178" s="55" t="str">
        <x:v>—</x:v>
      </x:c>
      <x:c r="D178" s="55" t="str">
        <x:v>—</x:v>
      </x:c>
      <x:c r="E178" s="55" t="inlineStr">
        <x:is>
          <x:t>大無限神兵寶箱（網站未列地圖）；侯氏兵甲福袋2015（網站未列地圖）；夸父狂魔（異時界‧修羅窟）；阿修羅戰士（異時界‧修羅窟）；火影蜘蛛精（異時界‧夜叉嶺）；天劫大夜叉（異時界‧夜叉嶺）；刑天殺鬼（異時界‧修羅窟）</x:t>
        </x:is>
      </x:c>
    </x:row>
    <x:row r="179" ht="15" customHeight="1">
      <x:c r="A179" s="55" t="str">
        <x:v>神煉‧皇雷劍</x:v>
      </x:c>
      <x:c r="B179" s="55" t="str">
        <x:v>—</x:v>
      </x:c>
      <x:c r="C179" s="55" t="str">
        <x:v>—</x:v>
      </x:c>
      <x:c r="D179" s="55" t="str">
        <x:v>—</x:v>
      </x:c>
      <x:c r="E179" s="55" t="inlineStr">
        <x:is>
          <x:t>超無限神兵寶箱（網站未列地圖）；三之極限福袋（網站未列地圖）；眩惑之眼（時沒邊界）；蒼狼‧強（殘雲天境）</x:t>
        </x:is>
      </x:c>
    </x:row>
    <x:row r="180" ht="30" customHeight="1">
      <x:c r="A180" s="55" t="str">
        <x:v>宇傲‧皇雷劍</x:v>
      </x:c>
      <x:c r="B180" s="55" t="str">
        <x:v>—</x:v>
      </x:c>
      <x:c r="C180" s="55" t="str">
        <x:v>—</x:v>
      </x:c>
      <x:c r="D180" s="55" t="str">
        <x:v>—</x:v>
      </x:c>
      <x:c r="E180" s="55" t="inlineStr">
        <x:is>
          <x:t>極無限神兵寶箱（網站未列地圖）；侯氏兵甲福袋2016（網站未列地圖）；覷影幻蛟（音無晶宇）；擲虛夜叉（觀無巽宇）；廢土犁者（覺無洋宇）</x:t>
        </x:is>
      </x:c>
    </x:row>
    <x:row r="181" ht="30" customHeight="1">
      <x:c r="A181" s="55" t="str">
        <x:v>峻霆‧皇雷劍</x:v>
      </x:c>
      <x:c r="B181" s="55" t="str">
        <x:v>—</x:v>
      </x:c>
      <x:c r="C181" s="55" t="str">
        <x:v>—</x:v>
      </x:c>
      <x:c r="D181" s="55" t="str">
        <x:v>—</x:v>
      </x:c>
      <x:c r="E181" s="55" t="inlineStr">
        <x:is>
          <x:t>絕無限神兵寶箱（網站未列地圖）；散元劍狂（星群碎道）；天影犄麟（星群碎道）；嗅血劍鯊（不解迴路）；幽虛遮罩（虛空渦心）；獄門劍尊（不解迴路）</x:t>
        </x:is>
      </x:c>
    </x:row>
    <x:row r="182" ht="30" customHeight="1">
      <x:c r="A182" s="55" t="str">
        <x:v>窮極‧皇雷劍</x:v>
      </x:c>
      <x:c r="B182" s="55" t="str">
        <x:v>—</x:v>
      </x:c>
      <x:c r="C182" s="55" t="str">
        <x:v>—</x:v>
      </x:c>
      <x:c r="D182" s="55" t="str">
        <x:v>—</x:v>
      </x:c>
      <x:c r="E182" s="55" t="inlineStr">
        <x:is>
          <x:t>無無限神兵寶箱（網站未列地圖）；搗蛋天鬼神（網站未列地圖）；賀歲大金雞（網站未列地圖）；沒世天可汗（虛空渦心）；冥燈慘爪（終末之塔第1層、終末之塔第2層）</x:t>
        </x:is>
      </x:c>
    </x:row>
    <x:row r="183" ht="30" customHeight="1">
      <x:c r="A183" s="55" t="str">
        <x:v>元宙‧皇雷劍</x:v>
      </x:c>
      <x:c r="B183" s="55" t="str">
        <x:v>—</x:v>
      </x:c>
      <x:c r="C183" s="55" t="str">
        <x:v>—</x:v>
      </x:c>
      <x:c r="D183" s="55" t="str">
        <x:v>—</x:v>
      </x:c>
      <x:c r="E183" s="55" t="inlineStr">
        <x:is>
          <x:t>帝無限神兵寶箱（網站未列地圖）；完銷紀念寶箱（網站未列地圖）；疤枷?（終末之塔第13層）；虛來殺爪（吉薩走廊）</x:t>
        </x:is>
      </x:c>
    </x:row>
    <x:row r="184" ht="15" customHeight="1">
      <x:c r="A184" s="55" t="str">
        <x:v>真宇傲皇雷劍</x:v>
      </x:c>
      <x:c r="B184" s="55" t="str">
        <x:v>—</x:v>
      </x:c>
      <x:c r="C184" s="55" t="str">
        <x:v>—</x:v>
      </x:c>
      <x:c r="D184" s="55" t="str">
        <x:v>—</x:v>
      </x:c>
      <x:c r="E184" s="55" t="inlineStr">
        <x:is>
          <x:t>終無限神兵寶箱（網站未列地圖）；墟漠矮靈（終末之塔第39層）；殺傷跳鼠（古翰大沙漠）</x:t>
        </x:is>
      </x:c>
    </x:row>
    <x:row r="185" ht="30" customHeight="1">
      <x:c r="A185" s="55" t="str">
        <x:v>星守劍★</x:v>
      </x:c>
      <x:c r="B185" s="55" t="str">
        <x:v>—</x:v>
      </x:c>
      <x:c r="C185" s="55" t="str">
        <x:v>—</x:v>
      </x:c>
      <x:c r="D185" s="55" t="str">
        <x:v>—</x:v>
      </x:c>
      <x:c r="E185" s="55" t="inlineStr">
        <x:is>
          <x:t>仙星神兵寶箱（網站未列地圖）；天罪劍俠錦囊（網站未列地圖）；護聖女侍（王都盧索）；托勒密魔鱷（托勒密山麓）</x:t>
        </x:is>
      </x:c>
    </x:row>
    <x:row r="186" ht="15" customHeight="1">
      <x:c r="A186" s="55" t="str">
        <x:v>星守劍★★</x:v>
      </x:c>
      <x:c r="B186" s="55" t="str">
        <x:v>—</x:v>
      </x:c>
      <x:c r="C186" s="55" t="str">
        <x:v>—</x:v>
      </x:c>
      <x:c r="D186" s="55" t="str">
        <x:v>—</x:v>
      </x:c>
      <x:c r="E186" s="55" t="inlineStr">
        <x:is>
          <x:t>真‧仙星神兵寶箱（網站未列地圖）；罪赦劍俠錦囊（網站未列地圖）；凱布利（荷魯斯聖祠）</x:t>
        </x:is>
      </x:c>
    </x:row>
    <x:row r="187" ht="30" customHeight="1">
      <x:c r="A187" s="55" t="str">
        <x:v>星守劍★★★</x:v>
      </x:c>
      <x:c r="B187" s="55" t="str">
        <x:v>—</x:v>
      </x:c>
      <x:c r="C187" s="55" t="str">
        <x:v>—</x:v>
      </x:c>
      <x:c r="D187" s="55" t="str">
        <x:v>—</x:v>
      </x:c>
      <x:c r="E187" s="55" t="inlineStr">
        <x:is>
          <x:t>超‧仙星神兵寶箱（網站未列地圖）；終罪劍俠錦囊（網站未列地圖）；失序亂兵（終末之塔第85層、終末之塔第86層）</x:t>
        </x:is>
      </x:c>
    </x:row>
    <x:row r="188" ht="30" customHeight="1">
      <x:c r="A188" s="55" t="str">
        <x:v>北冕劍☆</x:v>
      </x:c>
      <x:c r="B188" s="55" t="str">
        <x:v>—</x:v>
      </x:c>
      <x:c r="C188" s="55" t="str">
        <x:v>—</x:v>
      </x:c>
      <x:c r="D188" s="55" t="str">
        <x:v>—</x:v>
      </x:c>
      <x:c r="E188" s="55" t="inlineStr">
        <x:is>
          <x:t>煌星神兵寶箱（網站未列地圖）；天罪劍俠錦囊（網站未列地圖）；裂變鬼兵（終末之塔第101層）；四腳魔像（終末之塔第97層、終末之塔第96層）</x:t>
        </x:is>
      </x:c>
    </x:row>
    <x:row r="189" ht="30" customHeight="1">
      <x:c r="A189" s="55" t="str">
        <x:v>北冕劍☆☆</x:v>
      </x:c>
      <x:c r="B189" s="55" t="str">
        <x:v>—</x:v>
      </x:c>
      <x:c r="C189" s="55" t="str">
        <x:v>—</x:v>
      </x:c>
      <x:c r="D189" s="55" t="str">
        <x:v>—</x:v>
      </x:c>
      <x:c r="E189" s="55" t="inlineStr">
        <x:is>
          <x:t>真‧煌星神兵寶箱（網站未列地圖）；罪赦劍俠錦囊（網站未列地圖）；淪劫迷者（終末之塔第113層、終末之塔第119層、終末之塔第111層）；佈霾幽蛾（終末之塔第125層、終末之塔第128層）</x:t>
        </x:is>
      </x:c>
    </x:row>
    <x:row r="190" ht="30" customHeight="1">
      <x:c r="A190" s="55" t="str">
        <x:v>北冕劍☆☆☆</x:v>
      </x:c>
      <x:c r="B190" s="55" t="str">
        <x:v>—</x:v>
      </x:c>
      <x:c r="C190" s="55" t="str">
        <x:v>—</x:v>
      </x:c>
      <x:c r="D190" s="55" t="str">
        <x:v>—</x:v>
      </x:c>
      <x:c r="E190" s="55" t="inlineStr">
        <x:is>
          <x:t>超‧煌星神兵寶箱（網站未列地圖）；終罪劍俠錦囊（網站未列地圖）；覷命射手（終末之塔第145層、終末之塔第144層、終末之塔第146層）</x:t>
        </x:is>
      </x:c>
    </x:row>
    <x:row r="191" ht="15" customHeight="1">
      <x:c r="A191" s="55" t="str">
        <x:v>帝詔劍☆</x:v>
      </x:c>
      <x:c r="B191" s="55" t="str">
        <x:v>—</x:v>
      </x:c>
      <x:c r="C191" s="55" t="str">
        <x:v>—</x:v>
      </x:c>
      <x:c r="D191" s="55" t="str">
        <x:v>—</x:v>
      </x:c>
      <x:c r="E191" s="55" t="inlineStr">
        <x:is>
          <x:t>帝星神兵寶箱（網站未列地圖）</x:t>
        </x:is>
      </x:c>
    </x:row>
    <x:row r="192" ht="15" customHeight="1">
      <x:c r="A192" s="55" t="str">
        <x:v>帝詔劍★</x:v>
      </x:c>
      <x:c r="B192" s="55" t="str">
        <x:v>—</x:v>
      </x:c>
      <x:c r="C192" s="55" t="str">
        <x:v>—</x:v>
      </x:c>
      <x:c r="D192" s="55" t="str">
        <x:v>—</x:v>
      </x:c>
      <x:c r="E192" s="55" t="inlineStr">
        <x:is>
          <x:t>真‧帝星神兵寶箱（網站未列地圖）</x:t>
        </x:is>
      </x:c>
    </x:row>
    <x:row r="193" ht="30" customHeight="1">
      <x:c r="A193" s="55" t="str">
        <x:v>帝詔劍★☆</x:v>
      </x:c>
      <x:c r="B193" s="55" t="str">
        <x:v>—</x:v>
      </x:c>
      <x:c r="C193" s="55" t="str">
        <x:v>—</x:v>
      </x:c>
      <x:c r="D193" s="55" t="str">
        <x:v>—</x:v>
      </x:c>
      <x:c r="E193" s="55" t="inlineStr">
        <x:is>
          <x:t>超‧帝星神兵寶箱（網站未列地圖）；武冠劍俠錦囊（網站未列地圖）；高麗劍客（齊襄道、太安道、東海道、溥山新郡）；衛郡武官（溥山新郡、白餘古城）</x:t>
        </x:is>
      </x:c>
    </x:row>
    <x:row r="194" ht="15" customHeight="1">
      <x:c r="A194" s="55" t="str">
        <x:v>帝詔劍★★</x:v>
      </x:c>
      <x:c r="B194" s="55" t="str">
        <x:v>—</x:v>
      </x:c>
      <x:c r="C194" s="55" t="str">
        <x:v>—</x:v>
      </x:c>
      <x:c r="D194" s="55" t="str">
        <x:v>—</x:v>
      </x:c>
      <x:c r="E194" s="55" t="inlineStr">
        <x:is>
          <x:t>極‧帝星神兵寶箱（網站未列地圖）；萬曆劍豪（濟馬島）；太極劍官（白餘古城、濟馬島、漢京首府）</x:t>
        </x:is>
      </x:c>
    </x:row>
    <x:row r="195" ht="15" customHeight="1">
      <x:c r="A195" s="55" t="str">
        <x:v>帝詔劍★★☆</x:v>
      </x:c>
      <x:c r="B195" s="55" t="str">
        <x:v>—</x:v>
      </x:c>
      <x:c r="C195" s="55" t="str">
        <x:v>—</x:v>
      </x:c>
      <x:c r="D195" s="55" t="str">
        <x:v>—</x:v>
      </x:c>
      <x:c r="E195" s="55" t="inlineStr">
        <x:is>
          <x:t>絕‧帝星神兵寶箱（網站未列地圖）；戰嵐女衛（旭陽山徑）；劍聖太極（漢京首府）</x:t>
        </x:is>
      </x:c>
    </x:row>
    <x:row r="196" ht="15" customHeight="1">
      <x:c r="A196" s="55" t="str">
        <x:v>帝詔劍★★★</x:v>
      </x:c>
      <x:c r="B196" s="55" t="str">
        <x:v>—</x:v>
      </x:c>
      <x:c r="C196" s="55" t="str">
        <x:v>—</x:v>
      </x:c>
      <x:c r="D196" s="55" t="str">
        <x:v>—</x:v>
      </x:c>
      <x:c r="E196" s="55" t="inlineStr">
        <x:is>
          <x:t>神‧帝星神兵寶箱（網站未列地圖）；天元劍俠錦囊（網站未列地圖）；阿鼻火靈（始祖巨林．西）</x:t>
        </x:is>
      </x:c>
    </x:row>
    <x:row r="197" ht="45" customHeight="1">
      <x:c r="A197" s="55" t="str">
        <x:v>乾坤雙極　天劍</x:v>
      </x:c>
      <x:c r="B197" s="55" t="str">
        <x:v>—</x:v>
      </x:c>
      <x:c r="C197" s="55" t="str">
        <x:v>—</x:v>
      </x:c>
      <x:c r="D197" s="55" t="str">
        <x:v>—</x:v>
      </x:c>
      <x:c r="E197" s="55" t="inlineStr">
        <x:is>
          <x:t>稀奇裝備箱．乙式（網站未列地圖）；驃騎將軍錦囊（網站未列地圖）；來電神鳥寶箱（網站未列地圖）；大奇蹟錦囊（網站未列地圖）；龍臨小錦袋（網站未列地圖）；電玩瘋錦囊（網站未列地圖）；雙面刀鬼女（星群碎道）；八荒碧龍麟（青龍東殿）；沼巨蟒（異時界‧葬日沼南）</x:t>
        </x:is>
      </x:c>
    </x:row>
    <x:row r="198" ht="30" customHeight="1">
      <x:c r="A198" s="55" t="str">
        <x:v>乾坤無限　天劍</x:v>
      </x:c>
      <x:c r="B198" s="55" t="str">
        <x:v>—</x:v>
      </x:c>
      <x:c r="C198" s="55" t="str">
        <x:v>—</x:v>
      </x:c>
      <x:c r="D198" s="55" t="str">
        <x:v>—</x:v>
      </x:c>
      <x:c r="E198" s="55" t="inlineStr">
        <x:is>
          <x:t>大將軍錦囊（網站未列地圖）；稀奇裝備箱．丙式（網站未列地圖）；大激慶禮包（網站未列地圖）；吸魄蛛精（終末之塔第143層、終末之塔第146層）</x:t>
        </x:is>
      </x:c>
    </x:row>
    <x:row r="199" ht="45" customHeight="1">
      <x:c r="A199" s="55" t="str">
        <x:v>乾坤無極　天劍</x:v>
      </x:c>
      <x:c r="B199" s="55" t="str">
        <x:v>—</x:v>
      </x:c>
      <x:c r="C199" s="55" t="str">
        <x:v>—</x:v>
      </x:c>
      <x:c r="D199" s="55" t="str">
        <x:v>—</x:v>
      </x:c>
      <x:c r="E199" s="55" t="inlineStr">
        <x:is>
          <x:t>五神樂暑錦囊（網站未列地圖）；蛇年寶箱（網站未列地圖）；吞星大饕（終末之塔第148層、終末之塔第149層）；鋼皮巨犀（終末之塔第134層、終末之塔第133層、終末之塔第139層、終末之塔第138層、終末之塔第131層、終末之塔第137層、終末之塔第135層、終末之塔第136層）</x:t>
        </x:is>
      </x:c>
    </x:row>
    <x:row r="200" ht="30" customHeight="1">
      <x:c r="A200" s="55" t="str">
        <x:v>乾坤太極　天劍</x:v>
      </x:c>
      <x:c r="B200" s="55" t="str">
        <x:v>—</x:v>
      </x:c>
      <x:c r="C200" s="55" t="str">
        <x:v>—</x:v>
      </x:c>
      <x:c r="D200" s="55" t="str">
        <x:v>—</x:v>
      </x:c>
      <x:c r="E200" s="55" t="inlineStr">
        <x:is>
          <x:t>稀奇裝備箱．丁式（網站未列地圖）；大靈基福袋（網站未列地圖）；幽閉怒獸（終末之塔第91層、終末之塔第100層）</x:t>
        </x:is>
      </x:c>
    </x:row>
    <x:row r="201" ht="15" customHeight="1">
      <x:c r="A201" s="55" t="str">
        <x:v>證道無瑕劍</x:v>
      </x:c>
      <x:c r="B201" s="55" t="str">
        <x:v>—</x:v>
      </x:c>
      <x:c r="C201" s="55" t="str">
        <x:v>—</x:v>
      </x:c>
      <x:c r="D201" s="55" t="str">
        <x:v>—</x:v>
      </x:c>
      <x:c r="E201" s="55" t="inlineStr">
        <x:is>
          <x:t>尊佛極兵聖匣（網站未列地圖）；神武之岩（網站未列地圖）</x:t>
        </x:is>
      </x:c>
    </x:row>
    <x:row r="202" ht="30" customHeight="1">
      <x:c r="A202" s="55" t="str">
        <x:v>幻神霸凰劍</x:v>
      </x:c>
      <x:c r="B202" s="55" t="str">
        <x:v>—</x:v>
      </x:c>
      <x:c r="C202" s="55" t="str">
        <x:v>—</x:v>
      </x:c>
      <x:c r="D202" s="55" t="str">
        <x:v>—</x:v>
      </x:c>
      <x:c r="E202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203" ht="15" customHeight="1">
      <x:c r="A203" s="55" t="str">
        <x:v>太初聖曦劍</x:v>
      </x:c>
      <x:c r="B203" s="55" t="str">
        <x:v>—</x:v>
      </x:c>
      <x:c r="C203" s="55" t="str">
        <x:v>—</x:v>
      </x:c>
      <x:c r="D203" s="55" t="str">
        <x:v>—</x:v>
      </x:c>
      <x:c r="E203" s="55" t="inlineStr">
        <x:is>
          <x:t>仙魔極兵聖箱（網站未列地圖）；新‧神武之岩（網站未列地圖）；神武之岩（網站未列地圖）</x:t>
        </x:is>
      </x:c>
    </x:row>
    <x:row r="204" ht="15" customHeight="1">
      <x:c r="A204" s="55" t="str">
        <x:v>帝星創界劍</x:v>
      </x:c>
      <x:c r="B204" s="55" t="str">
        <x:v>—</x:v>
      </x:c>
      <x:c r="C204" s="55" t="str">
        <x:v>—</x:v>
      </x:c>
      <x:c r="D204" s="55" t="str">
        <x:v>—</x:v>
      </x:c>
      <x:c r="E204" s="55" t="inlineStr">
        <x:is>
          <x:t>盡宇絕兵聖箱（網站未列地圖）；新‧神武之岩（網站未列地圖）；年大媽（網站未列地圖）</x:t>
        </x:is>
      </x:c>
    </x:row>
    <x:row r="205" ht="15" customHeight="1">
      <x:c r="A205" s="55" t="str">
        <x:v>宙斯神雷劍</x:v>
      </x:c>
      <x:c r="B205" s="55" t="str">
        <x:v>—</x:v>
      </x:c>
      <x:c r="C205" s="55" t="str">
        <x:v>—</x:v>
      </x:c>
      <x:c r="D205" s="55" t="str">
        <x:v>—</x:v>
      </x:c>
      <x:c r="E205" s="55" t="inlineStr">
        <x:is>
          <x:t>奧林帕斯神兵聖櫃（網站未列地圖）</x:t>
        </x:is>
      </x:c>
    </x:row>
    <x:row r="206" ht="15" customHeight="1">
      <x:c r="A206" s="55" t="str">
        <x:v>宙斯神雷劍</x:v>
      </x:c>
      <x:c r="B206" s="55" t="str">
        <x:v>—</x:v>
      </x:c>
      <x:c r="C206" s="55" t="str">
        <x:v>—</x:v>
      </x:c>
      <x:c r="D206" s="55" t="str">
        <x:v>—</x:v>
      </x:c>
      <x:c r="E206" s="55" t="inlineStr">
        <x:is>
          <x:t>奧林帕斯神兵聖櫃（網站未列地圖）</x:t>
        </x:is>
      </x:c>
    </x:row>
    <x:row r="207" ht="15" customHeight="1">
      <x:c r="A207" s="55" t="str">
        <x:v>五帝太昊劍</x:v>
      </x:c>
      <x:c r="B207" s="55" t="str">
        <x:v>—</x:v>
      </x:c>
      <x:c r="C207" s="55" t="str">
        <x:v>—</x:v>
      </x:c>
      <x:c r="D207" s="55" t="str">
        <x:v>—</x:v>
      </x:c>
      <x:c r="E207" s="55" t="inlineStr">
        <x:is>
          <x:t>仙儀丹曦帝武玉匣（網站未列地圖）</x:t>
        </x:is>
      </x:c>
    </x:row>
    <x:row r="208" ht="15" customHeight="1">
      <x:c r="A208" s="55" t="str">
        <x:v>五帝太昊劍</x:v>
      </x:c>
      <x:c r="B208" s="55" t="str">
        <x:v>—</x:v>
      </x:c>
      <x:c r="C208" s="55" t="str">
        <x:v>—</x:v>
      </x:c>
      <x:c r="D208" s="55" t="str">
        <x:v>—</x:v>
      </x:c>
      <x:c r="E208" s="55" t="inlineStr">
        <x:is>
          <x:t>仙儀丹曦帝武玉匣（網站未列地圖）</x:t>
        </x:is>
      </x:c>
    </x:row>
    <x:row r="209" ht="15" customHeight="1">
      <x:c r="A209" s="55" t="str">
        <x:v>紫微帝極劍</x:v>
      </x:c>
      <x:c r="B209" s="55" t="str">
        <x:v>—</x:v>
      </x:c>
      <x:c r="C209" s="55" t="str">
        <x:v>—</x:v>
      </x:c>
      <x:c r="D209" s="55" t="str">
        <x:v>—</x:v>
      </x:c>
      <x:c r="E209" s="55" t="inlineStr">
        <x:is>
          <x:t>天尊帝宿超武神匣（網站未列地圖）</x:t>
        </x:is>
      </x:c>
    </x:row>
    <x:row r="210" ht="15" customHeight="1">
      <x:c r="A210" s="55" t="str">
        <x:v>麒麟宮雙星劍</x:v>
      </x:c>
      <x:c r="B210" s="55" t="str">
        <x:v>—</x:v>
      </x:c>
      <x:c r="C210" s="55" t="str">
        <x:v>—</x:v>
      </x:c>
      <x:c r="D210" s="55" t="str">
        <x:v>—</x:v>
      </x:c>
      <x:c r="E210" s="55" t="inlineStr">
        <x:is>
          <x:t>鎮天聖守星武神匣（網站未列地圖）</x:t>
        </x:is>
      </x:c>
    </x:row>
    <x:row r="211" ht="15" customHeight="1">
      <x:c r="A211" s="55" t="str">
        <x:v>山海開明劍</x:v>
      </x:c>
      <x:c r="B211" s="55" t="str">
        <x:v>—</x:v>
      </x:c>
      <x:c r="C211" s="55" t="str">
        <x:v>—</x:v>
      </x:c>
      <x:c r="D211" s="55" t="str">
        <x:v>—</x:v>
      </x:c>
      <x:c r="E211" s="55" t="inlineStr">
        <x:is>
          <x:t>永恆山海唯武神匣（網站未列地圖）</x:t>
        </x:is>
      </x:c>
    </x:row>
    <x:row r="212" ht="15" customHeight="1">
      <x:c r="A212" s="55" t="str">
        <x:v>天諭劍‧仙緲</x:v>
      </x:c>
      <x:c r="B212" s="55" t="str">
        <x:v>—</x:v>
      </x:c>
      <x:c r="C212" s="55" t="str">
        <x:v>—</x:v>
      </x:c>
      <x:c r="D212" s="55" t="str">
        <x:v>—</x:v>
      </x:c>
      <x:c r="E212" s="55" t="inlineStr">
        <x:is>
          <x:t>創宇諸恆極兵神匣（網站未列地圖）</x:t>
        </x:is>
      </x:c>
    </x:row>
    <x:row r="213" ht="15" customHeight="1">
      <x:c r="A213" s="55" t="str">
        <x:v>焱劍‧雷瓦汀</x:v>
      </x:c>
      <x:c r="B213" s="55" t="str">
        <x:v>—</x:v>
      </x:c>
      <x:c r="C213" s="55" t="str">
        <x:v>—</x:v>
      </x:c>
      <x:c r="D213" s="55" t="str">
        <x:v>—</x:v>
      </x:c>
      <x:c r="E213" s="55" t="inlineStr">
        <x:is>
          <x:t>阿薩群鋒巨武神匣（網站未列地圖）；夏時無敵錦囊（網站未列地圖）</x:t>
        </x:is>
      </x:c>
    </x:row>
    <x:row r="214" ht="15" customHeight="1">
      <x:c r="A214" s="55" t="str">
        <x:v>焱劍‧雷瓦汀</x:v>
      </x:c>
      <x:c r="B214" s="55" t="str">
        <x:v>—</x:v>
      </x:c>
      <x:c r="C214" s="55" t="str">
        <x:v>—</x:v>
      </x:c>
      <x:c r="D214" s="55" t="str">
        <x:v>—</x:v>
      </x:c>
      <x:c r="E214" s="55" t="inlineStr">
        <x:is>
          <x:t>阿薩群鋒巨武神匣（網站未列地圖）；罪赦劍俠錦囊（網站未列地圖）</x:t>
        </x:is>
      </x:c>
    </x:row>
    <x:row r="215" ht="15" customHeight="1">
      <x:c r="A215" s="55" t="str">
        <x:v>歿劍迪‧亞特</x:v>
      </x:c>
      <x:c r="B215" s="55" t="str">
        <x:v>—</x:v>
      </x:c>
      <x:c r="C215" s="55" t="str">
        <x:v>—</x:v>
      </x:c>
      <x:c r="D215" s="55" t="str">
        <x:v>—</x:v>
      </x:c>
      <x:c r="E215" s="55" t="inlineStr">
        <x:is>
          <x:t>極‧大秘境寶箱（網站未列地圖）</x:t>
        </x:is>
      </x:c>
    </x:row>
    <x:row r="216" ht="15" customHeight="1">
      <x:c r="A216" s="55" t="str">
        <x:v>歿劍迪‧亞特</x:v>
      </x:c>
      <x:c r="B216" s="55" t="str">
        <x:v>—</x:v>
      </x:c>
      <x:c r="C216" s="55" t="str">
        <x:v>—</x:v>
      </x:c>
      <x:c r="D216" s="55" t="str">
        <x:v>—</x:v>
      </x:c>
      <x:c r="E216" s="55" t="inlineStr">
        <x:is>
          <x:t>冥府皇統法老征匣（網站未列地圖）；終罪劍俠錦囊（網站未列地圖）</x:t>
        </x:is>
      </x:c>
    </x:row>
    <x:row r="217" ht="15" customHeight="1">
      <x:c r="A217" s="55" t="str">
        <x:v>龍熙軒轅劍</x:v>
      </x:c>
      <x:c r="B217" s="55" t="str">
        <x:v>—</x:v>
      </x:c>
      <x:c r="C217" s="55" t="str">
        <x:v>—</x:v>
      </x:c>
      <x:c r="D217" s="55" t="str">
        <x:v>—</x:v>
      </x:c>
      <x:c r="E217" s="55" t="inlineStr">
        <x:is>
          <x:t>萬帝天尊極武神匣（網站未列地圖）</x:t>
        </x:is>
      </x:c>
    </x:row>
    <x:row r="218" ht="15" customHeight="1">
      <x:c r="A218" s="55" t="str">
        <x:v>龍熙軒轅劍</x:v>
      </x:c>
      <x:c r="B218" s="55" t="str">
        <x:v>—</x:v>
      </x:c>
      <x:c r="C218" s="55" t="str">
        <x:v>—</x:v>
      </x:c>
      <x:c r="D218" s="55" t="str">
        <x:v>—</x:v>
      </x:c>
      <x:c r="E218" s="55" t="inlineStr">
        <x:is>
          <x:t>萬帝天尊極武神匣（網站未列地圖）</x:t>
        </x:is>
      </x:c>
    </x:row>
    <x:row r="219" ht="15" customHeight="1">
      <x:c r="A219" s="55" t="str">
        <x:v>釋提桓因劍</x:v>
      </x:c>
      <x:c r="B219" s="55" t="str">
        <x:v>—</x:v>
      </x:c>
      <x:c r="C219" s="55" t="str">
        <x:v>—</x:v>
      </x:c>
      <x:c r="D219" s="55" t="str">
        <x:v>—</x:v>
      </x:c>
      <x:c r="E219" s="55" t="inlineStr">
        <x:is>
          <x:t>東明開天釋達神匣（網站未列地圖）</x:t>
        </x:is>
      </x:c>
    </x:row>
    <x:row r="220" ht="15" customHeight="1">
      <x:c r="A220" s="55" t="str">
        <x:v>釋提桓因劍</x:v>
      </x:c>
      <x:c r="B220" s="55" t="str">
        <x:v>—</x:v>
      </x:c>
      <x:c r="C220" s="55" t="str">
        <x:v>—</x:v>
      </x:c>
      <x:c r="D220" s="55" t="str">
        <x:v>—</x:v>
      </x:c>
      <x:c r="E220" s="55" t="inlineStr">
        <x:is>
          <x:t>東明開天釋達神匣（網站未列地圖）</x:t>
        </x:is>
      </x:c>
    </x:row>
    <x:row r="221" ht="120" customHeight="1">
      <x:c r="A221" s="55" t="str">
        <x:v>至尊不動劍</x:v>
      </x:c>
      <x:c r="B221" s="55" t="str">
        <x:v>—</x:v>
      </x:c>
      <x:c r="C221" s="55" t="str">
        <x:v>—</x:v>
      </x:c>
      <x:c r="D221" s="55" t="str">
        <x:v>—</x:v>
      </x:c>
      <x:c r="E221" s="55" t="inlineStr">
        <x:is>
          <x:t>真‧傾天絕邪（網站未列地圖）；超‧蓋世無雙錦囊（網站未列地圖）；超激慶禮包（網站未列地圖）；年獸媽媽（網站未列地圖）；侯氏兵甲福袋2016（網站未列地圖）；大神跡錦囊（網站未列地圖）；無上奇蹟錦囊（網站未列地圖）；侯氏兵甲福袋2015（網站未列地圖）；麻辣中元福袋2017（網站未列地圖）；超神兵上等獎包（網站未列地圖）；侯氏兵甲福袋2020（網站未列地圖）；金牛滿福錦囊（網站未列地圖）；夏焰赤濤錦囊（網站未列地圖）；神州夏聆錦囊（網站未列地圖）；諸星報喜福袋（網站未列地圖）；聖帝海音錦囊（網站未列地圖）；帝基神兵錦囊（網站未列地圖）；瘋電玩寶箱（網站未列地圖）；傲樂月卡大錦囊（網站未列地圖）；武冠兵甲錦囊．戌（網站未列地圖）；★仙露花精★（極七寶仙境　壹）；☆仙露花精☆（極七寶仙境　壹）；⊕仙露花精⊕（極七寶仙境　壹）；八極凜冰麟（玄武北殿）</x:t>
        </x:is>
      </x:c>
    </x:row>
    <x:row r="222" ht="15" customHeight="1">
      <x:c r="A222" s="55" t="str">
        <x:v>六滅化神劍</x:v>
      </x:c>
      <x:c r="B222" s="55" t="str">
        <x:v>—</x:v>
      </x:c>
      <x:c r="C222" s="55" t="str">
        <x:v>—</x:v>
      </x:c>
      <x:c r="D222" s="55" t="str">
        <x:v>—</x:v>
      </x:c>
      <x:c r="E222" s="55" t="inlineStr">
        <x:is>
          <x:t>—</x:t>
        </x:is>
      </x:c>
    </x:row>
    <x:row r="223" ht="15" customHeight="1">
      <x:c r="A223" s="55" t="str">
        <x:v>真六滅化神劍</x:v>
      </x:c>
      <x:c r="B223" s="55" t="str">
        <x:v>—</x:v>
      </x:c>
      <x:c r="C223" s="55" t="str">
        <x:v>—</x:v>
      </x:c>
      <x:c r="D223" s="55" t="str">
        <x:v>—</x:v>
      </x:c>
      <x:c r="E223" s="55" t="inlineStr">
        <x:is>
          <x:t>—</x:t>
        </x:is>
      </x:c>
    </x:row>
    <x:row r="224" ht="15" customHeight="1">
      <x:c r="A224" s="55" t="str">
        <x:v>超六滅化神劍</x:v>
      </x:c>
      <x:c r="B224" s="55" t="str">
        <x:v>—</x:v>
      </x:c>
      <x:c r="C224" s="55" t="str">
        <x:v>—</x:v>
      </x:c>
      <x:c r="D224" s="55" t="str">
        <x:v>—</x:v>
      </x:c>
      <x:c r="E224" s="55" t="inlineStr">
        <x:is>
          <x:t>—</x:t>
        </x:is>
      </x:c>
    </x:row>
    <x:row r="225" ht="15" customHeight="1">
      <x:c r="A225" s="55" t="str">
        <x:v>絕六滅化神劍</x:v>
      </x:c>
      <x:c r="B225" s="55" t="str">
        <x:v>—</x:v>
      </x:c>
      <x:c r="C225" s="55" t="str">
        <x:v>—</x:v>
      </x:c>
      <x:c r="D225" s="55" t="str">
        <x:v>—</x:v>
      </x:c>
      <x:c r="E225" s="55" t="inlineStr">
        <x:is>
          <x:t>—</x:t>
        </x:is>
      </x:c>
    </x:row>
    <x:row r="226" ht="15" customHeight="1">
      <x:c r="A226" s="55" t="str">
        <x:v>無六滅化神劍</x:v>
      </x:c>
      <x:c r="B226" s="55" t="str">
        <x:v>—</x:v>
      </x:c>
      <x:c r="C226" s="55" t="str">
        <x:v>—</x:v>
      </x:c>
      <x:c r="D226" s="55" t="str">
        <x:v>—</x:v>
      </x:c>
      <x:c r="E226" s="55" t="inlineStr">
        <x:is>
          <x:t>—</x:t>
        </x:is>
      </x:c>
    </x:row>
    <x:row r="227" ht="15" customHeight="1">
      <x:c r="A227" s="55" t="str">
        <x:v>帝六滅化神劍</x:v>
      </x:c>
      <x:c r="B227" s="55" t="str">
        <x:v>—</x:v>
      </x:c>
      <x:c r="C227" s="55" t="str">
        <x:v>—</x:v>
      </x:c>
      <x:c r="D227" s="55" t="str">
        <x:v>—</x:v>
      </x:c>
      <x:c r="E227" s="55" t="inlineStr">
        <x:is>
          <x:t>—</x:t>
        </x:is>
      </x:c>
    </x:row>
    <x:row r="228" ht="15" customHeight="1">
      <x:c r="A228" s="55" t="str">
        <x:v>終六滅化神劍</x:v>
      </x:c>
      <x:c r="B228" s="55" t="str">
        <x:v>—</x:v>
      </x:c>
      <x:c r="C228" s="55" t="str">
        <x:v>—</x:v>
      </x:c>
      <x:c r="D228" s="55" t="str">
        <x:v>—</x:v>
      </x:c>
      <x:c r="E228" s="55" t="inlineStr">
        <x:is>
          <x:t>—</x:t>
        </x:is>
      </x:c>
    </x:row>
    <x:row r="229" ht="15" customHeight="1">
      <x:c r="A229" s="55" t="str">
        <x:v>創六滅化神劍</x:v>
      </x:c>
      <x:c r="B229" s="55" t="str">
        <x:v>—</x:v>
      </x:c>
      <x:c r="C229" s="55" t="str">
        <x:v>—</x:v>
      </x:c>
      <x:c r="D229" s="55" t="str">
        <x:v>—</x:v>
      </x:c>
      <x:c r="E229" s="55" t="inlineStr">
        <x:is>
          <x:t>—</x:t>
        </x:is>
      </x:c>
    </x:row>
    <x:row r="230" ht="15" customHeight="1">
      <x:c r="A230" s="55" t="str">
        <x:v>星六滅化神劍</x:v>
      </x:c>
      <x:c r="B230" s="55" t="str">
        <x:v>—</x:v>
      </x:c>
      <x:c r="C230" s="55" t="str">
        <x:v>—</x:v>
      </x:c>
      <x:c r="D230" s="55" t="str">
        <x:v>—</x:v>
      </x:c>
      <x:c r="E230" s="55" t="inlineStr">
        <x:is>
          <x:t>—</x:t>
        </x:is>
      </x:c>
    </x:row>
    <x:row r="231" ht="15" customHeight="1">
      <x:c r="A231" s="55" t="str">
        <x:v>皇六滅化神劍</x:v>
      </x:c>
      <x:c r="B231" s="55" t="str">
        <x:v>—</x:v>
      </x:c>
      <x:c r="C231" s="55" t="str">
        <x:v>—</x:v>
      </x:c>
      <x:c r="D231" s="55" t="str">
        <x:v>—</x:v>
      </x:c>
      <x:c r="E231" s="55" t="inlineStr">
        <x:is>
          <x:t>—</x:t>
        </x:is>
      </x:c>
    </x:row>
    <x:row r="232" ht="15" customHeight="1">
      <x:c r="A232" s="55" t="str">
        <x:v>終極六滅神劍</x:v>
      </x:c>
      <x:c r="B232" s="55" t="str">
        <x:v>—</x:v>
      </x:c>
      <x:c r="C232" s="55" t="str">
        <x:v>—</x:v>
      </x:c>
      <x:c r="D232" s="55" t="str">
        <x:v>—</x:v>
      </x:c>
      <x:c r="E232" s="55" t="inlineStr">
        <x:is>
          <x:t>—</x:t>
        </x:is>
      </x:c>
    </x:row>
    <x:row r="233" ht="15" customHeight="1">
      <x:c r="A233" s="55" t="str">
        <x:v>新星之驚雷劍</x:v>
      </x:c>
      <x:c r="B233" s="55" t="str">
        <x:v>—</x:v>
      </x:c>
      <x:c r="C233" s="55" t="str">
        <x:v>—</x:v>
      </x:c>
      <x:c r="D233" s="55" t="str">
        <x:v>—</x:v>
      </x:c>
      <x:c r="E233" s="55" t="inlineStr">
        <x:is>
          <x:t>—</x:t>
        </x:is>
      </x:c>
    </x:row>
    <x:row r="234" ht="15" customHeight="1">
      <x:c r="A234" s="55" t="str">
        <x:v>殺昇劍</x:v>
      </x:c>
      <x:c r="B234" s="55" t="str">
        <x:v>—</x:v>
      </x:c>
      <x:c r="C234" s="55" t="str">
        <x:v>—</x:v>
      </x:c>
      <x:c r="D234" s="55" t="str">
        <x:v>—</x:v>
      </x:c>
      <x:c r="E234" s="55" t="inlineStr">
        <x:is>
          <x:t>桃谷特戰區長（桃谷縱道）；科技戰兵HLS（王統新市）；量產宮國步兵（桃谷縱道）；合成尖兵（龍池大社）</x:t>
        </x:is>
      </x:c>
    </x:row>
    <x:row r="235" ht="15" customHeight="1">
      <x:c r="A235" s="55" t="str">
        <x:v>光翼翔劍Ⅰ</x:v>
      </x:c>
      <x:c r="B235" s="55" t="str">
        <x:v>—</x:v>
      </x:c>
      <x:c r="C235" s="55" t="str">
        <x:v>—</x:v>
      </x:c>
      <x:c r="D235" s="55" t="str">
        <x:v>—</x:v>
      </x:c>
      <x:c r="E235" s="55" t="inlineStr">
        <x:is>
          <x:t>腐化暴熊（葭雲廣原）</x:t>
        </x:is>
      </x:c>
    </x:row>
    <x:row r="236" ht="15" customHeight="1">
      <x:c r="A236" s="55" t="str">
        <x:v>光翼翔劍Ⅱ</x:v>
      </x:c>
      <x:c r="B236" s="55" t="str">
        <x:v>—</x:v>
      </x:c>
      <x:c r="C236" s="55" t="str">
        <x:v>—</x:v>
      </x:c>
      <x:c r="D236" s="55" t="str">
        <x:v>—</x:v>
      </x:c>
      <x:c r="E236" s="55" t="inlineStr">
        <x:is>
          <x:t>幻三姬軒錦囊（網站未列地圖）；神島劍俠錦囊（網站未列地圖）</x:t>
        </x:is>
      </x:c>
    </x:row>
    <x:row r="237" ht="15" customHeight="1">
      <x:c r="A237" s="55" t="str">
        <x:v>光翼翔劍Ⅲ</x:v>
      </x:c>
      <x:c r="B237" s="55" t="str">
        <x:v>—</x:v>
      </x:c>
      <x:c r="C237" s="55" t="str">
        <x:v>—</x:v>
      </x:c>
      <x:c r="D237" s="55" t="str">
        <x:v>—</x:v>
      </x:c>
      <x:c r="E237" s="55" t="inlineStr">
        <x:is>
          <x:t>—</x:t>
        </x:is>
      </x:c>
    </x:row>
    <x:row r="238" ht="15" customHeight="1">
      <x:c r="A238" s="55" t="str">
        <x:v>光翼翔劍Ⅳ</x:v>
      </x:c>
      <x:c r="B238" s="55" t="str">
        <x:v>—</x:v>
      </x:c>
      <x:c r="C238" s="55" t="str">
        <x:v>—</x:v>
      </x:c>
      <x:c r="D238" s="55" t="str">
        <x:v>—</x:v>
      </x:c>
      <x:c r="E238" s="55" t="inlineStr">
        <x:is>
          <x:t>—</x:t>
        </x:is>
      </x:c>
    </x:row>
    <x:row r="239" ht="15" customHeight="1">
      <x:c r="A239" s="55" t="str">
        <x:v>光翼翔劍Ⅴ</x:v>
      </x:c>
      <x:c r="B239" s="55" t="str">
        <x:v>—</x:v>
      </x:c>
      <x:c r="C239" s="55" t="str">
        <x:v>—</x:v>
      </x:c>
      <x:c r="D239" s="55" t="str">
        <x:v>—</x:v>
      </x:c>
      <x:c r="E239" s="55" t="inlineStr">
        <x:is>
          <x:t>—</x:t>
        </x:is>
      </x:c>
    </x:row>
    <x:row r="240" ht="15" customHeight="1">
      <x:c r="A240" s="55" t="str">
        <x:v>赫絕緋暮劍</x:v>
      </x:c>
      <x:c r="B240" s="55" t="str">
        <x:v>—</x:v>
      </x:c>
      <x:c r="C240" s="55" t="str">
        <x:v>—</x:v>
      </x:c>
      <x:c r="D240" s="55" t="str">
        <x:v>—</x:v>
      </x:c>
      <x:c r="E240" s="55" t="inlineStr">
        <x:is>
          <x:t>南辰時祿機神兵匣（網站未列地圖）</x:t>
        </x:is>
      </x:c>
    </x:row>
    <x:row r="241" ht="15" customHeight="1">
      <x:c r="A241" s="55" t="str">
        <x:v>赫絕緋暮劍</x:v>
      </x:c>
      <x:c r="B241" s="55" t="str">
        <x:v>—</x:v>
      </x:c>
      <x:c r="C241" s="55" t="str">
        <x:v>—</x:v>
      </x:c>
      <x:c r="D241" s="55" t="str">
        <x:v>—</x:v>
      </x:c>
      <x:c r="E241" s="55" t="inlineStr">
        <x:is>
          <x:t>南辰時祿機神兵匣（網站未列地圖）</x:t>
        </x:is>
      </x:c>
    </x:row>
    <x:row r="242" ht="15" customHeight="1">
      <x:c r="A242" s="55" t="str">
        <x:v>真龍漢天劍</x:v>
      </x:c>
      <x:c r="B242" s="55" t="str">
        <x:v>—</x:v>
      </x:c>
      <x:c r="C242" s="55" t="str">
        <x:v>—</x:v>
      </x:c>
      <x:c r="D242" s="55" t="str">
        <x:v>—</x:v>
      </x:c>
      <x:c r="E242" s="55" t="inlineStr">
        <x:is>
          <x:t>三分鼎鋒真王武匣（網站未列地圖）</x:t>
        </x:is>
      </x:c>
    </x:row>
    <x:row r="243" ht="15" customHeight="1">
      <x:c r="A243" s="55" t="str">
        <x:v>真龍漢天劍</x:v>
      </x:c>
      <x:c r="B243" s="55" t="str">
        <x:v>—</x:v>
      </x:c>
      <x:c r="C243" s="55" t="str">
        <x:v>—</x:v>
      </x:c>
      <x:c r="D243" s="55" t="str">
        <x:v>—</x:v>
      </x:c>
      <x:c r="E243" s="55" t="inlineStr">
        <x:is>
          <x:t>三分鼎鋒真王武匣（網站未列地圖）</x:t>
        </x:is>
      </x:c>
    </x:row>
    <x:row r="244" ht="15" customHeight="1">
      <x:c r="A244" s="55" t="str">
        <x:v>古劍〔干將〕</x:v>
      </x:c>
      <x:c r="B244" s="55" t="str">
        <x:v>—</x:v>
      </x:c>
      <x:c r="C244" s="55" t="str">
        <x:v>—</x:v>
      </x:c>
      <x:c r="D244" s="55" t="str">
        <x:v>—</x:v>
      </x:c>
      <x:c r="E244" s="55" t="inlineStr">
        <x:is>
          <x:t>古文明東西霸武匣（網站未列地圖）</x:t>
        </x:is>
      </x:c>
    </x:row>
    <x:row r="245" ht="15" customHeight="1">
      <x:c r="A245" s="55" t="str">
        <x:v>古劍〔干將〕</x:v>
      </x:c>
      <x:c r="B245" s="55" t="str">
        <x:v>—</x:v>
      </x:c>
      <x:c r="C245" s="55" t="str">
        <x:v>—</x:v>
      </x:c>
      <x:c r="D245" s="55" t="str">
        <x:v>—</x:v>
      </x:c>
      <x:c r="E245" s="55" t="inlineStr">
        <x:is>
          <x:t>古文明東西霸武匣（網站未列地圖）</x:t>
        </x:is>
      </x:c>
    </x:row>
    <x:row r="246" ht="15" customHeight="1">
      <x:c r="A246" s="55" t="str">
        <x:v>睚眥龍吞劍</x:v>
      </x:c>
      <x:c r="B246" s="55" t="str">
        <x:v>—</x:v>
      </x:c>
      <x:c r="C246" s="55" t="str">
        <x:v>—</x:v>
      </x:c>
      <x:c r="D246" s="55" t="str">
        <x:v>—</x:v>
      </x:c>
      <x:c r="E246" s="55" t="inlineStr">
        <x:is>
          <x:t>龍涉大川繼鱗武匣（網站未列地圖）</x:t>
        </x:is>
      </x:c>
    </x:row>
    <x:row r="247" ht="15" customHeight="1">
      <x:c r="A247" s="55" t="str">
        <x:v>睚眥龍吞劍</x:v>
      </x:c>
      <x:c r="B247" s="55" t="str">
        <x:v>—</x:v>
      </x:c>
      <x:c r="C247" s="55" t="str">
        <x:v>—</x:v>
      </x:c>
      <x:c r="D247" s="55" t="str">
        <x:v>—</x:v>
      </x:c>
      <x:c r="E247" s="55" t="inlineStr">
        <x:is>
          <x:t>龍涉大川繼鱗武匣（網站未列地圖）</x:t>
        </x:is>
      </x:c>
    </x:row>
    <x:row r="248" ht="15" customHeight="1">
      <x:c r="A248" s="55" t="str">
        <x:v>宮殤別劍Ⅰ</x:v>
      </x:c>
      <x:c r="B248" s="55" t="str">
        <x:v>—</x:v>
      </x:c>
      <x:c r="C248" s="55" t="str">
        <x:v>—</x:v>
      </x:c>
      <x:c r="D248" s="55" t="str">
        <x:v>—</x:v>
      </x:c>
      <x:c r="E248" s="55" t="inlineStr">
        <x:is>
          <x:t>玄宙神兵寶箱（網站未列地圖）</x:t>
        </x:is>
      </x:c>
    </x:row>
    <x:row r="249" ht="15" customHeight="1">
      <x:c r="A249" s="55" t="str">
        <x:v>宮殤別劍Ⅱ</x:v>
      </x:c>
      <x:c r="B249" s="55" t="str">
        <x:v>—</x:v>
      </x:c>
      <x:c r="C249" s="55" t="str">
        <x:v>—</x:v>
      </x:c>
      <x:c r="D249" s="55" t="str">
        <x:v>—</x:v>
      </x:c>
      <x:c r="E249" s="55" t="inlineStr">
        <x:is>
          <x:t>真．玄宙神兵寶箱（網站未列地圖）</x:t>
        </x:is>
      </x:c>
    </x:row>
    <x:row r="250" ht="15" customHeight="1">
      <x:c r="A250" s="55" t="str">
        <x:v>宮殤別劍Ⅲ</x:v>
      </x:c>
      <x:c r="B250" s="55" t="str">
        <x:v>—</x:v>
      </x:c>
      <x:c r="C250" s="55" t="str">
        <x:v>—</x:v>
      </x:c>
      <x:c r="D250" s="55" t="str">
        <x:v>—</x:v>
      </x:c>
      <x:c r="E250" s="55" t="inlineStr">
        <x:is>
          <x:t>超．玄宙神兵寶箱（網站未列地圖）；活俠龍湘錦囊（網站未列地圖）；絕代花無缺錦囊（網站未列地圖）</x:t>
        </x:is>
      </x:c>
    </x:row>
    <x:row r="251" ht="15" customHeight="1">
      <x:c r="A251" s="55" t="str">
        <x:v>宮殤別劍Ⅳ</x:v>
      </x:c>
      <x:c r="B251" s="55" t="str">
        <x:v>—</x:v>
      </x:c>
      <x:c r="C251" s="55" t="str">
        <x:v>—</x:v>
      </x:c>
      <x:c r="D251" s="55" t="str">
        <x:v>—</x:v>
      </x:c>
      <x:c r="E251" s="55" t="inlineStr">
        <x:is>
          <x:t>極．玄宙神兵寶箱（網站未列地圖）；絕代燕南天錦囊（網站未列地圖）</x:t>
        </x:is>
      </x:c>
    </x:row>
    <x:row r="252" ht="15" customHeight="1">
      <x:c r="A252" s="55" t="str">
        <x:v>宮殤別劍Ⅴ</x:v>
      </x:c>
      <x:c r="B252" s="55" t="str">
        <x:v>—</x:v>
      </x:c>
      <x:c r="C252" s="55" t="str">
        <x:v>—</x:v>
      </x:c>
      <x:c r="D252" s="55" t="str">
        <x:v>—</x:v>
      </x:c>
      <x:c r="E252" s="55" t="inlineStr">
        <x:is>
          <x:t>神．玄宙神兵寶箱（網站未列地圖）</x:t>
        </x:is>
      </x:c>
    </x:row>
    <x:row r="253" ht="45" customHeight="1">
      <x:c r="A253" s="55" t="str">
        <x:v>短刀</x:v>
      </x:c>
      <x:c r="B253" s="55" t="str">
        <x:v>—</x:v>
      </x:c>
      <x:c r="C253" s="55" t="str">
        <x:v>勇士村買賣人、劍俠村買賣人、術者村買賣人、道人村買賣人、僧侶村買賣人、義勇軍校場買賣人、京城打鐵舖</x:v>
      </x:c>
      <x:c r="D253" s="55" t="str">
        <x:v>—</x:v>
      </x:c>
      <x:c r="E253" s="55" t="inlineStr">
        <x:is>
          <x:t>邊關賊寇隊長（八達嶺、古北口、邊關要塞）；長林大盜（長林谷）；山賊頭目（塞北關、映月泊、猢猻嶺、封神臺）；鴻星扛把子（碧波幽谷）；山寨大王（塞北關、映月泊、封神臺、亂藤林東方）</x:t>
        </x:is>
      </x:c>
    </x:row>
    <x:row r="254" ht="75" customHeight="1">
      <x:c r="A254" s="55" t="str">
        <x:v>殺豬短刀</x:v>
      </x:c>
      <x:c r="B254" s="55" t="str">
        <x:v>—</x:v>
      </x:c>
      <x:c r="C254" s="55" t="str">
        <x:v>—</x:v>
      </x:c>
      <x:c r="D254" s="55" t="str">
        <x:v>—</x:v>
      </x:c>
      <x:c r="E254" s="55" t="inlineStr">
        <x:is>
          <x:t>大豬妖（網站未列地圖）；鴻星打手（碧波幽谷）；紫衫惡煞（亂藤林東方）；冬興堂主（碧波幽谷）；凡人（五派禁地）；山蓮打手（碧波幽谷）；冬興打手（碧波幽谷）；鴻星火藥惡棍（碧波幽谷）；大山豬（惡狼林、古皇陵近郊、猢猻嶺、封神臺、亂藤林西方、鷹翅族部落）；大山豬（惡狼林、古皇陵近郊、猢猻嶺、封神臺、試煉之窟、亂藤林西方、鷹翅族部落）；大山豬（試煉之窟）；山賊（塞北關、映月泊、猢猻嶺、封神臺）；山賊（塞北關、映月泊、猢猻嶺、封神臺、試煉之窟）；山賊（試煉之窟）</x:t>
        </x:is>
      </x:c>
    </x:row>
    <x:row r="255" ht="105" customHeight="1">
      <x:c r="A255" s="55" t="str">
        <x:v>大刀</x:v>
      </x:c>
      <x:c r="B255" s="55" t="str">
        <x:v>—</x:v>
      </x:c>
      <x:c r="C255" s="55" t="str">
        <x:v>義勇軍校場買賣人、京城打鐵舖、祁州打鐵舖、玄州打鐵舖</x:v>
      </x:c>
      <x:c r="D255" s="55" t="str">
        <x:v>—</x:v>
      </x:c>
      <x:c r="E255" s="55" t="inlineStr">
        <x:is>
          <x:t>羅剎劍俠遊魂（網站未列地圖）；江洋大盜（碧波幽谷、朝天觀、亂藤林東方）；大豬妖（網站未列地圖）；骷髏弓手（猛鬼窟第二層、朝天觀）；骷髏士兵（猛鬼窟第二層、朝天觀）；邪咒骷髏（千佛遺跡東側、千佛遺跡西側）；提刑差（恨生不歸途、三途之都、枉死之城）；波斯鐵衛（黃塵荒漠、聖域之門、清教院街）；邪神殉徒（黃塵荒漠）；赤日火靈（聖域之門、清教院街）；狂獄火魔（網站未列地圖）；黑教僧兵（登天棧道、懸空仙嶺、大梵聖湖）；山寨大王（塞北關、映月泊、封神臺、亂藤林東方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野豬（山林地訓練營、試煉之窟）</x:t>
        </x:is>
      </x:c>
    </x:row>
    <x:row r="256" ht="60" customHeight="1">
      <x:c r="A256" s="55" t="str">
        <x:v>斬妖刀</x:v>
      </x:c>
      <x:c r="B256" s="55" t="str">
        <x:v>—</x:v>
      </x:c>
      <x:c r="C256" s="55" t="str">
        <x:v>—</x:v>
      </x:c>
      <x:c r="D256" s="55" t="str">
        <x:v>—</x:v>
      </x:c>
      <x:c r="E256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攔路賊（鎮南關密道）；巨靈魔（亂藤林、毒龍潭、摘星嶺、魔君陵墓）；巨靈魔王（摘星嶺、魔君陵墓、魔君陵寢一層、修羅窟）</x:t>
        </x:is>
      </x:c>
    </x:row>
    <x:row r="257" ht="30" customHeight="1">
      <x:c r="A257" s="55" t="str">
        <x:v>彎刀</x:v>
      </x:c>
      <x:c r="B257" s="55" t="str">
        <x:v>—</x:v>
      </x:c>
      <x:c r="C257" s="55" t="str">
        <x:v>祁州打鐵舖、玄州打鐵舖、釣日村武器店長</x:v>
      </x:c>
      <x:c r="D257" s="55" t="str">
        <x:v>—</x:v>
      </x:c>
      <x:c r="E257" s="55" t="inlineStr">
        <x:is>
          <x:t>無間骷髏兵（濕婆神廟）；大豬妖（網站未列地圖）；殮壽靈柩（枉死之城、悲歡渡口、永劫刑場、九曲邪徑）；雲霓戰牛（網站未列地圖）；藏地氂牛（登天棧道、懸空仙嶺、青藏高原）；[藏地氂牛]（網站未列地圖）</x:t>
        </x:is>
      </x:c>
    </x:row>
    <x:row r="258" ht="30" customHeight="1">
      <x:c r="A258" s="55" t="str">
        <x:v>精鋼彎刀</x:v>
      </x:c>
      <x:c r="B258" s="55" t="str">
        <x:v>—</x:v>
      </x:c>
      <x:c r="C258" s="55" t="str">
        <x:v>釣日村武器店長</x:v>
      </x:c>
      <x:c r="D258" s="55" t="str">
        <x:v>—</x:v>
      </x:c>
      <x:c r="E258" s="55" t="inlineStr">
        <x:is>
          <x:t>布衣幫首領（高昌郡）；攔路賊（鎮南關密道）；邊關賊寇隊長（邊關要塞）；邊關賊寇隊長（八達嶺、古北口、邊關要塞）；長林大盜（長林谷）</x:t>
        </x:is>
      </x:c>
    </x:row>
    <x:row r="259" ht="60" customHeight="1">
      <x:c r="A259" s="55" t="str">
        <x:v>孽魂刃</x:v>
      </x:c>
      <x:c r="B259" s="55" t="str">
        <x:v>—</x:v>
      </x:c>
      <x:c r="C259" s="55" t="str">
        <x:v>—</x:v>
      </x:c>
      <x:c r="D259" s="55" t="str">
        <x:v>—</x:v>
      </x:c>
      <x:c r="E259" s="55" t="inlineStr">
        <x:is>
          <x:t>超巨靈魔王（獄門峽）；夜叉王（摘星嶺、夜叉嶺）；夜叉王（玄州城、獄門峽、摘星嶺、夜叉嶺、異時界‧摘星嶺）；夜叉王（玄州城、獄門峽）；夜叉刺客（鎮南關）；魔族寶物（網站未列地圖）；攔路賊（鎮南關密道）；食日巨靈（五派禁地）；力士俑（古皇陵第二層、古皇陵第三層）；{力士俑}（古皇陵密室）；山賊頭目（塞北關、映月泊、猢猻嶺、封神臺）</x:t>
        </x:is>
      </x:c>
    </x:row>
    <x:row r="260" ht="45" customHeight="1">
      <x:c r="A260" s="55" t="str">
        <x:v>天魂刃</x:v>
      </x:c>
      <x:c r="B260" s="55" t="str">
        <x:v>—</x:v>
      </x:c>
      <x:c r="C260" s="55" t="str">
        <x:v>—</x:v>
      </x:c>
      <x:c r="D260" s="55" t="str">
        <x:v>—</x:v>
      </x:c>
      <x:c r="E260" s="55" t="inlineStr">
        <x:is>
          <x:t>超巨靈魔王（獄門峽）；黜命大欽差（網站未列地圖）；懲善判官（枉死之城、悲歡渡口、九曲邪徑、寒愴冰獄）；傲霜飛龍（吐蕃集鎮、萬岳聖峰、香格里拉聖路、香格里拉神廟）；賊寇（鎮南關密道）；食日巨靈（五派禁地）；大汗親兵（亂石林、黑城遺跡、疾風谷、大汗陵墓、統萬大營）</x:t>
        </x:is>
      </x:c>
    </x:row>
    <x:row r="261" ht="30" customHeight="1">
      <x:c r="A261" s="55" t="str">
        <x:v>倭刀</x:v>
      </x:c>
      <x:c r="B261" s="55" t="str">
        <x:v>—</x:v>
      </x:c>
      <x:c r="C261" s="55" t="str">
        <x:v>玄州打鐵舖、釣日村武器店長</x:v>
      </x:c>
      <x:c r="D261" s="55" t="str">
        <x:v>—</x:v>
      </x:c>
      <x:c r="E261" s="55" t="inlineStr">
        <x:is>
          <x:t>大豬妖（網站未列地圖）；波斯戰士（止戰邊境）；波斯猛將（止戰邊境）；波斯亂黨（聖域之門）；土之精靈（止戰邊境、血鴉嶺）；笑傲飛鷹（登龍道）；雲蛟衛（登龍道、凌風修境、繚空碎島）</x:t>
        </x:is>
      </x:c>
    </x:row>
    <x:row r="262" ht="30" customHeight="1">
      <x:c r="A262" s="55" t="str">
        <x:v>精鋼倭刀</x:v>
      </x:c>
      <x:c r="B262" s="55" t="str">
        <x:v>—</x:v>
      </x:c>
      <x:c r="C262" s="55" t="str">
        <x:v>釣日村武器店長</x:v>
      </x:c>
      <x:c r="D262" s="55" t="str">
        <x:v>—</x:v>
      </x:c>
      <x:c r="E262" s="55" t="inlineStr">
        <x:is>
          <x:t>赦世驃騎（寒愴冰獄、奈落紅川、荒禍殘墟）；魔域狂刀（永劫刑場、奈落紅川）；衝雲亂梟（大梵聖湖、萬岳聖峰）</x:t>
        </x:is>
      </x:c>
    </x:row>
    <x:row r="263" ht="90" customHeight="1">
      <x:c r="A263" s="55" t="str">
        <x:v>柳葉刀</x:v>
      </x:c>
      <x:c r="B263" s="55" t="str">
        <x:v>—</x:v>
      </x:c>
      <x:c r="C263" s="55" t="str">
        <x:v>祁州打鐵舖、玄州打鐵舖</x:v>
      </x:c>
      <x:c r="D263" s="55" t="str">
        <x:v>—</x:v>
      </x:c>
      <x:c r="E263" s="55" t="inlineStr">
        <x:is>
          <x:t>血槍幫首領（高昌郡）；狩命獵手（燕蕩嶺）；血怨鬼刀兵（祥鷺古街）；冷血狂蜥（血鴉嶺、靜默之丘、獅堡軍事區）；原始風靈（擎空壁壘）；黑教侍衛（登天棧道、懸空仙嶺、青藏高原、大梵聖湖）；沙嵐狂刀（網站未列地圖）；巴比倫鐵衛（網站未列地圖）；真知太聖衛（飛昇大廳）；&lt;真知太聖衛&gt;（真七寶仙境　貳）；御獅大將軍（森羅閻殿）；真知神烈將（真知寺、萬識聖宮）；真知聖戰士（飛簷頂徑、波斯西市、法誡參道、漆黑水路）；土行鬼王（亂藤林、亂藤林南方、葬日沼澤、魔君陵墓、靖南古道、修羅窟）；土行者（亂藤林、亂藤林東方、亂藤林南方、葬日沼澤、魔君陵墓、靖南古道、修羅窟、千佛遺跡東側）</x:t>
        </x:is>
      </x:c>
    </x:row>
    <x:row r="264" ht="15" customHeight="1">
      <x:c r="A264" s="55" t="str">
        <x:v>水紋鋼刀</x:v>
      </x:c>
      <x:c r="B264" s="55" t="str">
        <x:v>—</x:v>
      </x:c>
      <x:c r="C264" s="55" t="str">
        <x:v>—</x:v>
      </x:c>
      <x:c r="D264" s="55" t="str">
        <x:v>水紋鋼刀配方</x:v>
      </x:c>
      <x:c r="E264" s="55" t="inlineStr">
        <x:is>
          <x:t>百眼族大魔王（網站未列地圖）；小龍珠寶箱（網站未列地圖）</x:t>
        </x:is>
      </x:c>
    </x:row>
    <x:row r="265" ht="15" customHeight="1">
      <x:c r="A265" s="55" t="str">
        <x:v>火紋鋼刀</x:v>
      </x:c>
      <x:c r="B265" s="55" t="str">
        <x:v>—</x:v>
      </x:c>
      <x:c r="C265" s="55" t="str">
        <x:v>—</x:v>
      </x:c>
      <x:c r="D265" s="55" t="str">
        <x:v>火紋鋼刀配方</x:v>
      </x:c>
      <x:c r="E265" s="55" t="inlineStr">
        <x:is>
          <x:t>—</x:t>
        </x:is>
      </x:c>
    </x:row>
    <x:row r="266" ht="15" customHeight="1">
      <x:c r="A266" s="55" t="str">
        <x:v>雷紋鋼刀</x:v>
      </x:c>
      <x:c r="B266" s="55" t="str">
        <x:v>—</x:v>
      </x:c>
      <x:c r="C266" s="55" t="str">
        <x:v>—</x:v>
      </x:c>
      <x:c r="D266" s="55" t="str">
        <x:v>雷紋鋼刀配方</x:v>
      </x:c>
      <x:c r="E266" s="55" t="inlineStr">
        <x:is>
          <x:t>夜叉族大魔王（網站未列地圖）</x:t>
        </x:is>
      </x:c>
    </x:row>
    <x:row r="267" ht="15" customHeight="1">
      <x:c r="A267" s="55" t="str">
        <x:v>鬼紋鋼刀</x:v>
      </x:c>
      <x:c r="B267" s="55" t="str">
        <x:v>—</x:v>
      </x:c>
      <x:c r="C267" s="55" t="str">
        <x:v>—</x:v>
      </x:c>
      <x:c r="D267" s="55" t="str">
        <x:v>鬼紋鋼刀配方</x:v>
      </x:c>
      <x:c r="E267" s="55" t="inlineStr">
        <x:is>
          <x:t>蛇女包裹（網站未列地圖）；鬼城包裹（網站未列地圖）；陰間冥包（網站未列地圖）</x:t>
        </x:is>
      </x:c>
    </x:row>
    <x:row r="268" ht="45" customHeight="1">
      <x:c r="A268" s="55" t="str">
        <x:v>侏紋水刀</x:v>
      </x:c>
      <x:c r="B268" s="55" t="str">
        <x:v>—</x:v>
      </x:c>
      <x:c r="C268" s="55" t="str">
        <x:v>—</x:v>
      </x:c>
      <x:c r="D268" s="55" t="str">
        <x:v>—</x:v>
      </x:c>
      <x:c r="E268" s="55" t="inlineStr">
        <x:is>
          <x:t>侏紋裝備錦囊（網站未列地圖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；侏人炸彈兵（蕈菇林東方、蕈菇林西方、地下水道）</x:t>
        </x:is>
      </x:c>
    </x:row>
    <x:row r="269" ht="30" customHeight="1">
      <x:c r="A269" s="55" t="str">
        <x:v>侏紋火刀</x:v>
      </x:c>
      <x:c r="B269" s="55" t="str">
        <x:v>—</x:v>
      </x:c>
      <x:c r="C269" s="55" t="str">
        <x:v>—</x:v>
      </x:c>
      <x:c r="D269" s="55" t="str">
        <x:v>—</x:v>
      </x:c>
      <x:c r="E269" s="55" t="inlineStr">
        <x:is>
          <x:t>侏紋裝備錦囊（網站未列地圖）；魔侏人狂戰士（神兵塚）；灰侏人狂戰士（地下水道、水晶礦坑）；魔侏人炸彈兵（神兵塚）；灰侏人炸彈兵（晶湖水道、地下水道、水晶礦坑）</x:t>
        </x:is>
      </x:c>
    </x:row>
    <x:row r="270" ht="30" customHeight="1">
      <x:c r="A270" s="55" t="str">
        <x:v>侏紋雷刀</x:v>
      </x:c>
      <x:c r="B270" s="55" t="str">
        <x:v>—</x:v>
      </x:c>
      <x:c r="C270" s="55" t="str">
        <x:v>—</x:v>
      </x:c>
      <x:c r="D270" s="55" t="str">
        <x:v>—</x:v>
      </x:c>
      <x:c r="E270" s="55" t="inlineStr">
        <x:is>
          <x:t>侏紋裝備錦囊（網站未列地圖）；地煞幻影（神兵塚）；侏人狂戰將（礦坑戰場）；地煞（神兵塚）；[地煞]（網站未列地圖）</x:t>
        </x:is>
      </x:c>
    </x:row>
    <x:row r="271" ht="60" customHeight="1">
      <x:c r="A271" s="55" t="str">
        <x:v>侏紋冥刀</x:v>
      </x:c>
      <x:c r="B271" s="55" t="str">
        <x:v>—</x:v>
      </x:c>
      <x:c r="C271" s="55" t="str">
        <x:v>—</x:v>
      </x:c>
      <x:c r="D271" s="55" t="str">
        <x:v>—</x:v>
      </x:c>
      <x:c r="E271" s="55" t="inlineStr">
        <x:is>
          <x: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x:t>
        </x:is>
      </x:c>
    </x:row>
    <x:row r="272" ht="30" customHeight="1">
      <x:c r="A272" s="55" t="str">
        <x:v>平西刀</x:v>
      </x:c>
      <x:c r="B272" s="55" t="str">
        <x:v>—</x:v>
      </x:c>
      <x:c r="C272" s="55" t="str">
        <x:v>祁州打鐵舖、玄州打鐵舖</x:v>
      </x:c>
      <x:c r="D272" s="55" t="str">
        <x:v>—</x:v>
      </x:c>
      <x:c r="E272" s="55" t="inlineStr">
        <x:is>
          <x:t>酷瘧蜥魔（獅堡軍事區、凱旋廣場、聖禱天廳）；闇夜死神（擎空壁壘）；雲蛟巨將（九霄天樓）；饕餮（飛雲忘野、橫劍天關、仙庭玉階）；天地宰相（仙庭玉階）</x:t>
        </x:is>
      </x:c>
    </x:row>
    <x:row r="273" ht="60" customHeight="1">
      <x:c r="A273" s="55" t="str">
        <x:v>長征刀</x:v>
      </x:c>
      <x:c r="B273" s="55" t="str">
        <x:v>—</x:v>
      </x:c>
      <x:c r="C273" s="55" t="str">
        <x:v>祁州打鐵舖、玄州打鐵舖</x:v>
      </x:c>
      <x:c r="D273" s="55" t="str">
        <x:v>—</x:v>
      </x:c>
      <x:c r="E273" s="55" t="inlineStr">
        <x:is>
          <x:t>地獄狂獅王（神臨之地）；&lt;地獄狂獅王&gt;（修羅級神臨之地）；幻魔忍無鄉（橫劍天關）；東天龍人（青龍東殿）；大黑豹（異時界‧亂藤林南）；紫暮影蛟（青龍東殿）；真勇修者（四聖祭台）；火喉蟾蜍（異時界‧亂藤林）；巨靈魔（異時界‧亂藤林）；疲憊的巨靈魔（異時界‧亂藤林東）；天海神蛟（仙庭玉階、闕真金閣）；紫雷蠻蛟（網站未列地圖）；連雲精衛（天啟八關）；冥府魘龍（聖禱天廳）</x:t>
        </x:is>
      </x:c>
    </x:row>
    <x:row r="274" ht="135" customHeight="1">
      <x:c r="A274" s="55" t="str">
        <x:v>行天刀</x:v>
      </x:c>
      <x:c r="B274" s="55" t="str">
        <x:v>—</x:v>
      </x:c>
      <x:c r="C274" s="55" t="str">
        <x:v>祁州打鐵舖、玄州打鐵舖</x:v>
      </x:c>
      <x:c r="D274" s="55" t="str">
        <x:v>—</x:v>
      </x:c>
      <x:c r="E274" s="55" t="inlineStr">
        <x:is>
          <x:t>天劫金鷹王（魔君天都）；天劫刑天王（魔君天都）；&lt;天劫金鷹王&gt;（修羅級魔君天都）；&lt;天劫刑天王&gt;（修羅級魔君天都）；天劫夜叉槍鬼（魔君天都）；&lt;天劫夜叉槍鬼&gt;（修羅級魔君天都）；虛化夜叉（時沒邊界）；迴影殺犬（時沒邊界）；戰火刀魔（朱雀南殿）；獵鷹‧強（殘雲天境）；鬼河童‧強（殘雲天境）；噬地梵鬼‧強（殘雲天境）；憾山拳熊（玄武北殿）；猛蜈蚣（異時界‧亂藤林）；虛辰戰虎（白虎西殿）；巨靈魔衛（異時界‧摘星嶺）；濕婆軍強弓手（異時界‧葬日沼澤）；亡邪土行骸（異時界‧葬日沼北）；沼巨蟒（異時界‧葬日沼南）；莽毒狂龍（異時界‧毒龍潭）；鷹翅天衛（異時界‧修羅窟）；夜叉血刀妖（異時界‧夜叉嶺）；夜叉荒斧鬼（異時界‧夜叉嶺）；冷刀魔蜥（異時界‧夜叉嶺）；舞墓白獅（異時界‧亂藤林西）；銳牙大鱷（異時界‧亂藤林南）；幻業勇魔（無限鬥界）；&lt;幻業勇魔&gt;（修羅級無限鬥界）；無限‧饕餮（無限鬥界）；&lt;無限‧饕餮&gt;（修羅級無限鬥界）；業障勇衛（無限鬥界）；&lt;業障勇衛&gt;（修羅級無限鬥界）</x:t>
        </x:is>
      </x:c>
    </x:row>
    <x:row r="275" ht="45" customHeight="1">
      <x:c r="A275" s="55" t="str">
        <x:v>冰蛾刀</x:v>
      </x:c>
      <x:c r="B275" s="55" t="str">
        <x:v>—</x:v>
      </x:c>
      <x:c r="C275" s="55" t="str">
        <x:v>祁州打鐵舖、玄州打鐵舖</x:v>
      </x:c>
      <x:c r="D275" s="55" t="str">
        <x:v>—</x:v>
      </x:c>
      <x:c r="E275" s="55" t="inlineStr">
        <x:is>
          <x:t>負罪劈徒（終末之塔第6層、終末之塔第7層）；覷影幻蛟（音無晶宇）；渴血魔刀（觀無巽宇）；迷界幻忍（觀無巽宇）；天獄刑天（觀無巽宇）；釧刀鼬（覺無洋宇）；眾天外邪（星群碎道）；禁軒瘋王（星群碎道）；空宙兇風（不解迴路）；亂刀八虛（不解迴路）；虛燁（虛空渦心）；虛風天尊（虛空渦心）</x:t>
        </x:is>
      </x:c>
    </x:row>
    <x:row r="276" ht="45" customHeight="1">
      <x:c r="A276" s="55" t="str">
        <x:v>紫月之魂刃</x:v>
      </x:c>
      <x:c r="B276" s="55" t="str">
        <x:v>—</x:v>
      </x:c>
      <x:c r="C276" s="55" t="str">
        <x:v>—</x:v>
      </x:c>
      <x:c r="D276" s="55" t="str">
        <x:v>—</x:v>
      </x:c>
      <x:c r="E276" s="55" t="inlineStr">
        <x:is>
          <x:t>兇殘之手（終末之塔第28層、終末之塔第27層）；驚奇機棺（終末之塔第35層）；窮兇極鱷（終末之塔第43層、終末之塔第46層）；惡行犯（終末之塔第11層）；驚奇機棺（終末之塔第38層）；泥河鱷魔（吉薩走廊）；人面獅身像（古翰大沙漠）；王都守衛（太陽神大道）；彎刀河獸（太陽神大道）</x:t>
        </x:is>
      </x:c>
    </x:row>
    <x:row r="277" ht="45" customHeight="1">
      <x:c r="A277" s="55" t="str">
        <x:v>紫月金陽刀</x:v>
      </x:c>
      <x:c r="B277" s="55" t="str">
        <x:v>—</x:v>
      </x:c>
      <x:c r="C277" s="55" t="str">
        <x:v>—</x:v>
      </x:c>
      <x:c r="D277" s="55" t="str">
        <x:v>—</x:v>
      </x:c>
      <x:c r="E277" s="55" t="inlineStr">
        <x:is>
          <x:t>艾濟鋼鎧蠍（神王金字塔）；&lt;艾濟鋼鎧蠍&gt;（修羅級神王金字塔）；虛無真知士（終末之塔第51層）；諸肢惡樓（終末之塔第69層）；尼絡狂鱷（終末之塔第54層、終末之塔第55層）；護聖刀將（王都盧索）；峽谷蠻獸（托勒密山麓）；黑喪使徒（赫勒神殿遺址）；索貝克（荷魯斯聖祠）</x:t>
        </x:is>
      </x:c>
    </x:row>
    <x:row r="278" ht="75" customHeight="1">
      <x:c r="A278" s="55" t="str">
        <x:v>霸軍刀</x:v>
      </x:c>
      <x:c r="B278" s="55" t="str">
        <x:v>—</x:v>
      </x:c>
      <x:c r="C278" s="55" t="str">
        <x:v>—</x:v>
      </x:c>
      <x:c r="D278" s="55" t="str">
        <x:v>—</x:v>
      </x:c>
      <x:c r="E278" s="55" t="inlineStr">
        <x:is>
          <x:t>虛空誅異使（黃龍秘殿）；&lt;虛空誅異使&gt;（修羅級黃龍秘殿）；鎮國黑虎騎（藏意武窟）；造亂思魅（終末之塔第82層、終末之塔第81層）；東校場士兵（東校場）；蔚奇園鼠（東宮碧庭）；西校精衛（皇城）；山林地俠宗（西校場）；艾濟武姬（西宮翠苑）；北妖蔘（山海長疆、太安道）；沉池鑿蝦（終末之塔第101層、終末之塔第106層、終末之塔第107層）；四腳魔像（終末之塔第97層、終末之塔第96層）；東瀛漂流者（鷗揚浪嶼）；覓竹貓熊（殊雁峽）；觀海斥侯（琉瑯岩灣）；牛樟根（琉瑯岩灣）</x:t>
        </x:is>
      </x:c>
    </x:row>
    <x:row r="279" ht="60" customHeight="1">
      <x:c r="A279" s="55" t="str">
        <x:v>綒濟刀</x:v>
      </x:c>
      <x:c r="B279" s="55" t="str">
        <x:v>—</x:v>
      </x:c>
      <x:c r="C279" s="55" t="str">
        <x:v>—</x:v>
      </x:c>
      <x:c r="D279" s="55" t="str">
        <x:v>—</x:v>
      </x:c>
      <x:c r="E279" s="55" t="inlineStr">
        <x:is>
          <x:t>鋼鬚殺蔘（齊襄道、東海道、白餘古城）；我流無賴（白餘古城）；蒼狼重衛（齊襄道）；壹崎幻忍（濟馬島）；達律族女（臺興中州）；達律族民（臺興中州）；戰嵐男衛（旭陽山徑）；黑市保鑣（璇鶯鎮）；機動木兵（葭雲廣原）；冥蔘化妖（終末之塔第111層、終末之塔第112層、終末之塔第113層）；巨冥虛蔘王（終末之塔第111層）；岷白迅伕（白苗峽岸）</x:t>
        </x:is>
      </x:c>
    </x:row>
    <x:row r="280" ht="60" customHeight="1">
      <x:c r="A280" s="55" t="str">
        <x:v>流櫻刀</x:v>
      </x:c>
      <x:c r="B280" s="55" t="str">
        <x:v>—</x:v>
      </x:c>
      <x:c r="C280" s="55" t="str">
        <x:v>—</x:v>
      </x:c>
      <x:c r="D280" s="55" t="str">
        <x:v>—</x:v>
      </x:c>
      <x:c r="E280" s="55" t="inlineStr">
        <x:is>
          <x:t>號雨贔屭（始祖巨林．東）；狩命獵手（燕蕩嶺）；戰嵐雄豪（始祖巨林．東、始祖巨林．西）；戰嵐襲兵（泰源大社）；私贓密運客（祥鷺古街）；勞役獸人（風竹塹）；血怨鬼刀兵（祥鷺古街）；淪劫徊者（終末之塔第119層）；合成龍獸（南瞻聖地）；冰影飛貂（始祖巨林．東）；裂地幼鮫（終末之塔第122層）；合成獵手（葭雲廣原）；吸魄蛛精（終末之塔第143層、終末之塔第146層）</x:t>
        </x:is>
      </x:c>
    </x:row>
    <x:row r="281" ht="15" customHeight="1">
      <x:c r="A281" s="55" t="str">
        <x:v>斬象刀</x:v>
      </x:c>
      <x:c r="B281" s="55" t="str">
        <x:v>人有失足馬有失蹄</x:v>
      </x:c>
      <x:c r="C281" s="55" t="str">
        <x:v>—</x:v>
      </x:c>
      <x:c r="D281" s="55" t="str">
        <x:v>—</x:v>
      </x:c>
      <x:c r="E281" s="55" t="inlineStr">
        <x:is>
          <x:t>—</x:t>
        </x:is>
      </x:c>
    </x:row>
    <x:row r="282" ht="15" customHeight="1">
      <x:c r="A282" s="55" t="str">
        <x:v>艾克斯加利巴</x:v>
      </x:c>
      <x:c r="B282" s="55" t="str">
        <x:v>復國之刃</x:v>
      </x:c>
      <x:c r="C282" s="55" t="str">
        <x:v>—</x:v>
      </x:c>
      <x:c r="D282" s="55" t="str">
        <x:v>—</x:v>
      </x:c>
      <x:c r="E282" s="55" t="inlineStr">
        <x:is>
          <x:t>—</x:t>
        </x:is>
      </x:c>
    </x:row>
    <x:row r="283" ht="15" customHeight="1">
      <x:c r="A283" s="55" t="str">
        <x:v>機關破壞刀</x:v>
      </x:c>
      <x:c r="B283" s="55" t="str">
        <x:v>海潮宴嶼記</x:v>
      </x:c>
      <x:c r="C283" s="55" t="str">
        <x:v>—</x:v>
      </x:c>
      <x:c r="D283" s="55" t="str">
        <x:v>—</x:v>
      </x:c>
      <x:c r="E283" s="55" t="inlineStr">
        <x:is>
          <x:t>—</x:t>
        </x:is>
      </x:c>
    </x:row>
    <x:row r="284" ht="60" customHeight="1">
      <x:c r="A284" s="55" t="str">
        <x:v>晶石刀</x:v>
      </x:c>
      <x:c r="B284" s="55" t="str">
        <x:v>—</x:v>
      </x:c>
      <x:c r="C284" s="55" t="str">
        <x:v>—</x:v>
      </x:c>
      <x:c r="D284" s="55" t="str">
        <x:v>—</x:v>
      </x:c>
      <x:c r="E284" s="55" t="inlineStr">
        <x:is>
          <x:t>晶石兵器寶盒（網站未列地圖）；喜兔武器錦囊‧壹（網站未列地圖）；朱戈幫屠夫（網站未列地圖）；巨石怪（桃花林西方）；死靈骷髏（魔君陵墓）；死靈弓手（魔君陵墓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285" ht="30" customHeight="1">
      <x:c r="A285" s="55" t="str">
        <x:v>凝晶利刃</x:v>
      </x:c>
      <x:c r="B285" s="55" t="str">
        <x:v>—</x:v>
      </x:c>
      <x:c r="C285" s="55" t="str">
        <x:v>—</x:v>
      </x:c>
      <x:c r="D285" s="55" t="str">
        <x:v>—</x:v>
      </x:c>
      <x:c r="E285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286" ht="15" customHeight="1">
      <x:c r="A286" s="55" t="str">
        <x:v>卓越之刃</x:v>
      </x:c>
      <x:c r="B286" s="55" t="str">
        <x:v>—</x:v>
      </x:c>
      <x:c r="C286" s="55" t="str">
        <x:v>—</x:v>
      </x:c>
      <x:c r="D286" s="55" t="str">
        <x:v>—</x:v>
      </x:c>
      <x:c r="E286" s="55" t="inlineStr">
        <x:is>
          <x:t>卓越兵器寶盒（網站未列地圖）</x:t>
        </x:is>
      </x:c>
    </x:row>
    <x:row r="287" ht="60" customHeight="1">
      <x:c r="A287" s="55" t="str">
        <x:v>冰蠶刀</x:v>
      </x:c>
      <x:c r="B287" s="55" t="str">
        <x:v>—</x:v>
      </x:c>
      <x:c r="C287" s="55" t="str">
        <x:v>—</x:v>
      </x:c>
      <x:c r="D287" s="55" t="str">
        <x:v>冰蠶刀配方</x:v>
      </x:c>
      <x:c r="E287" s="55" t="inlineStr">
        <x:is>
          <x:t>招財錦囊（網站未列地圖）；百眼族大魔王（網站未列地圖）；真武神兵錦囊（網站未列地圖）；招財聚寶袋（網站未列地圖）；魔族寶物（網站未列地圖）；怒雪麒麟（怒雪洞府）；怒雪麒麟（怒雪修煉場）；[怒雪麒麟]（網站未列地圖）；冰麟獸（怒雪靈界通道、怒雪洞府）；寒冰鬼卒（怒雪靈界裂隙）；血參巫（網站未列地圖）；小龍珠寶箱（網站未列地圖）</x:t>
        </x:is>
      </x:c>
    </x:row>
    <x:row r="288" ht="15" customHeight="1">
      <x:c r="A288" s="55" t="str">
        <x:v>地靈冰蠶刀</x:v>
      </x:c>
      <x:c r="B288" s="55" t="str">
        <x:v>—</x:v>
      </x:c>
      <x:c r="C288" s="55" t="str">
        <x:v>—</x:v>
      </x:c>
      <x:c r="D288" s="55" t="str">
        <x:v>—</x:v>
      </x:c>
      <x:c r="E288" s="55" t="inlineStr">
        <x:is>
          <x:t>地靈裝備錦囊（網站未列地圖）</x:t>
        </x:is>
      </x:c>
    </x:row>
    <x:row r="289" ht="15" customHeight="1">
      <x:c r="A289" s="55" t="str">
        <x:v>絕世冰蠶刀</x:v>
      </x:c>
      <x:c r="B289" s="55" t="str">
        <x:v>—</x:v>
      </x:c>
      <x:c r="C289" s="55" t="str">
        <x:v>—</x:v>
      </x:c>
      <x:c r="D289" s="55" t="str">
        <x:v>—</x:v>
      </x:c>
      <x:c r="E289" s="55" t="inlineStr">
        <x:is>
          <x:t>絕世神兵錦囊（網站未列地圖）</x:t>
        </x:is>
      </x:c>
    </x:row>
    <x:row r="290" ht="75" customHeight="1">
      <x:c r="A290" s="55" t="str">
        <x:v>炎精刀</x:v>
      </x:c>
      <x:c r="B290" s="55" t="str">
        <x:v>—</x:v>
      </x:c>
      <x:c r="C290" s="55" t="str">
        <x:v>—</x:v>
      </x:c>
      <x:c r="D290" s="55" t="str">
        <x:v>炎精刀配方</x:v>
      </x:c>
      <x:c r="E290" s="55" t="inlineStr">
        <x:is>
          <x:t>招財錦囊（網站未列地圖）；真武神兵錦囊（網站未列地圖）；招財聚寶袋（網站未列地圖）；魔族寶物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黯火鬼卒（烈火靈界裂隙）；鳳凰（棲鳳崖、鳳凰台）；[鳳凰]（網站未列地圖）</x:t>
        </x:is>
      </x:c>
    </x:row>
    <x:row r="291" ht="15" customHeight="1">
      <x:c r="A291" s="55" t="str">
        <x:v>地靈炎精刀</x:v>
      </x:c>
      <x:c r="B291" s="55" t="str">
        <x:v>—</x:v>
      </x:c>
      <x:c r="C291" s="55" t="str">
        <x:v>—</x:v>
      </x:c>
      <x:c r="D291" s="55" t="str">
        <x:v>—</x:v>
      </x:c>
      <x:c r="E291" s="55" t="inlineStr">
        <x:is>
          <x:t>地靈裝備錦囊（網站未列地圖）</x:t>
        </x:is>
      </x:c>
    </x:row>
    <x:row r="292" ht="15" customHeight="1">
      <x:c r="A292" s="55" t="str">
        <x:v>絕世炎精刀</x:v>
      </x:c>
      <x:c r="B292" s="55" t="str">
        <x:v>—</x:v>
      </x:c>
      <x:c r="C292" s="55" t="str">
        <x:v>—</x:v>
      </x:c>
      <x:c r="D292" s="55" t="str">
        <x:v>—</x:v>
      </x:c>
      <x:c r="E292" s="55" t="inlineStr">
        <x:is>
          <x:t>絕世神兵錦囊（網站未列地圖）</x:t>
        </x:is>
      </x:c>
    </x:row>
    <x:row r="293" ht="45" customHeight="1">
      <x:c r="A293" s="55" t="str">
        <x:v>雷獸刀</x:v>
      </x:c>
      <x:c r="B293" s="55" t="str">
        <x:v>—</x:v>
      </x:c>
      <x:c r="C293" s="55" t="str">
        <x:v>—</x:v>
      </x:c>
      <x:c r="D293" s="55" t="str">
        <x:v>雷獸刀配方</x:v>
      </x:c>
      <x:c r="E293" s="55" t="inlineStr">
        <x:is>
          <x:t>夜叉族大魔王（網站未列地圖）；招財錦囊（網站未列地圖）；真武神兵錦囊（網站未列地圖）；招財聚寶袋（網站未列地圖）；魔族寶物（網站未列地圖）；道觀寶物（網站未列地圖）；賊寇頭目（鎮南關密道）；江洋大盜（碧波幽谷、朝天觀、亂藤林東方）；長林惡棍（長林谷）</x:t>
        </x:is>
      </x:c>
    </x:row>
    <x:row r="294" ht="15" customHeight="1">
      <x:c r="A294" s="55" t="str">
        <x:v>地靈雷獸刀</x:v>
      </x:c>
      <x:c r="B294" s="55" t="str">
        <x:v>—</x:v>
      </x:c>
      <x:c r="C294" s="55" t="str">
        <x:v>—</x:v>
      </x:c>
      <x:c r="D294" s="55" t="str">
        <x:v>—</x:v>
      </x:c>
      <x:c r="E294" s="55" t="inlineStr">
        <x:is>
          <x:t>地靈裝備錦囊（網站未列地圖）</x:t>
        </x:is>
      </x:c>
    </x:row>
    <x:row r="295" ht="15" customHeight="1">
      <x:c r="A295" s="55" t="str">
        <x:v>絕世雷獸刀</x:v>
      </x:c>
      <x:c r="B295" s="55" t="str">
        <x:v>—</x:v>
      </x:c>
      <x:c r="C295" s="55" t="str">
        <x:v>—</x:v>
      </x:c>
      <x:c r="D295" s="55" t="str">
        <x:v>—</x:v>
      </x:c>
      <x:c r="E295" s="55" t="inlineStr">
        <x:is>
          <x:t>絕世神兵錦囊（網站未列地圖）</x:t>
        </x:is>
      </x:c>
    </x:row>
    <x:row r="296" ht="60" customHeight="1">
      <x:c r="A296" s="55" t="str">
        <x:v>紫河刀</x:v>
      </x:c>
      <x:c r="B296" s="55" t="str">
        <x:v>—</x:v>
      </x:c>
      <x:c r="C296" s="55" t="str">
        <x:v>—</x:v>
      </x:c>
      <x:c r="D296" s="55" t="str">
        <x:v>紫河刀配方</x:v>
      </x:c>
      <x:c r="E296" s="55" t="inlineStr">
        <x:is>
          <x:t>招財錦囊（網站未列地圖）；真武神兵錦囊（網站未列地圖）；招財聚寶袋（網站未列地圖）；魔族寶物（網站未列地圖）；蠱毒麒麟（蠱毒洞府）；蠱毒麒麟（瘴癘修煉場）；[蠱毒麒麟]（網站未列地圖）；鬼城包裹（網站未列地圖）；蛇女包裹（網站未列地圖）；毒麟獸（瘴癘靈界通道、蠱毒洞府）；蠱毒鬼卒（瘴癘靈界裂隙）；陰間冥包（網站未列地圖）</x:t>
        </x:is>
      </x:c>
    </x:row>
    <x:row r="297" ht="15" customHeight="1">
      <x:c r="A297" s="55" t="str">
        <x:v>地靈紫河刀</x:v>
      </x:c>
      <x:c r="B297" s="55" t="str">
        <x:v>—</x:v>
      </x:c>
      <x:c r="C297" s="55" t="str">
        <x:v>—</x:v>
      </x:c>
      <x:c r="D297" s="55" t="str">
        <x:v>—</x:v>
      </x:c>
      <x:c r="E297" s="55" t="inlineStr">
        <x:is>
          <x:t>地靈裝備錦囊（網站未列地圖）</x:t>
        </x:is>
      </x:c>
    </x:row>
    <x:row r="298" ht="15" customHeight="1">
      <x:c r="A298" s="55" t="str">
        <x:v>絕世紫河刀</x:v>
      </x:c>
      <x:c r="B298" s="55" t="str">
        <x:v>—</x:v>
      </x:c>
      <x:c r="C298" s="55" t="str">
        <x:v>—</x:v>
      </x:c>
      <x:c r="D298" s="55" t="str">
        <x:v>—</x:v>
      </x:c>
      <x:c r="E298" s="55" t="inlineStr">
        <x:is>
          <x:t>絕世神兵錦囊（網站未列地圖）</x:t>
        </x:is>
      </x:c>
    </x:row>
    <x:row r="299" ht="45" customHeight="1">
      <x:c r="A299" s="55" t="str">
        <x:v>血飲刀</x:v>
      </x:c>
      <x:c r="B299" s="55" t="str">
        <x:v>—</x:v>
      </x:c>
      <x:c r="C299" s="55" t="str">
        <x:v>—</x:v>
      </x:c>
      <x:c r="D299" s="55" t="str">
        <x:v>血飲刀配方</x:v>
      </x:c>
      <x:c r="E299" s="55" t="inlineStr">
        <x:is>
          <x:t>巨靈族大魔王（網站未列地圖）；招財聚寶袋（網站未列地圖）；輕車將軍錦囊（網站未列地圖）；火雲麒麟（火雲洞府）；火雲麒麟（烈火修煉場）；[火雲麒麟]（網站未列地圖）；山蓮首領（碧波幽谷）；大刀賊寇（長林谷）；火麟獸（烈火靈界通道、火雲洞府）</x:t>
        </x:is>
      </x:c>
    </x:row>
    <x:row r="300" ht="15" customHeight="1">
      <x:c r="A300" s="55" t="str">
        <x:v>天晶血飲刀</x:v>
      </x:c>
      <x:c r="B300" s="55" t="str">
        <x:v>—</x:v>
      </x:c>
      <x:c r="C300" s="55" t="str">
        <x:v>—</x:v>
      </x:c>
      <x:c r="D300" s="55" t="str">
        <x:v>—</x:v>
      </x:c>
      <x:c r="E300" s="55" t="inlineStr">
        <x:is>
          <x:t>天晶裝備錦囊（網站未列地圖）</x:t>
        </x:is>
      </x:c>
    </x:row>
    <x:row r="301" ht="45" customHeight="1">
      <x:c r="A301" s="55" t="str">
        <x:v>黃泉刀</x:v>
      </x:c>
      <x:c r="B301" s="55" t="str">
        <x:v>—</x:v>
      </x:c>
      <x:c r="C301" s="55" t="str">
        <x:v>—</x:v>
      </x:c>
      <x:c r="D301" s="55" t="str">
        <x:v>黃泉刀配方</x:v>
      </x:c>
      <x:c r="E301" s="55" t="inlineStr">
        <x:is>
          <x:t>巨靈族大魔王（網站未列地圖）；中原神兵錦囊（網站未列地圖）；招財聚寶袋（網站未列地圖）；輕車將軍錦囊（網站未列地圖）；蠱毒麒麟（蠱毒洞府）；蠱毒麒麟（瘴癘修煉場）；[蠱毒麒麟]（網站未列地圖）；蛇女包裹（網站未列地圖）；毒麟獸（瘴癘靈界通道、蠱毒洞府）</x:t>
        </x:is>
      </x:c>
    </x:row>
    <x:row r="302" ht="15" customHeight="1">
      <x:c r="A302" s="55" t="str">
        <x:v>天晶黃泉刀</x:v>
      </x:c>
      <x:c r="B302" s="55" t="str">
        <x:v>—</x:v>
      </x:c>
      <x:c r="C302" s="55" t="str">
        <x:v>—</x:v>
      </x:c>
      <x:c r="D302" s="55" t="str">
        <x:v>—</x:v>
      </x:c>
      <x:c r="E302" s="55" t="inlineStr">
        <x:is>
          <x:t>天晶裝備錦囊（網站未列地圖）</x:t>
        </x:is>
      </x:c>
    </x:row>
    <x:row r="303" ht="45" customHeight="1">
      <x:c r="A303" s="55" t="str">
        <x:v>鬼咬刀</x:v>
      </x:c>
      <x:c r="B303" s="55" t="str">
        <x:v>—</x:v>
      </x:c>
      <x:c r="C303" s="55" t="str">
        <x:v>—</x:v>
      </x:c>
      <x:c r="D303" s="55" t="str">
        <x:v>鬼咬刀配方</x:v>
      </x:c>
      <x:c r="E303" s="55" t="inlineStr">
        <x:is>
          <x:t>巨靈族大魔王（網站未列地圖）；招財聚寶袋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x:t>
        </x:is>
      </x:c>
    </x:row>
    <x:row r="304" ht="15" customHeight="1">
      <x:c r="A304" s="55" t="str">
        <x:v>天晶鬼咬刀</x:v>
      </x:c>
      <x:c r="B304" s="55" t="str">
        <x:v>—</x:v>
      </x:c>
      <x:c r="C304" s="55" t="str">
        <x:v>—</x:v>
      </x:c>
      <x:c r="D304" s="55" t="str">
        <x:v>—</x:v>
      </x:c>
      <x:c r="E304" s="55" t="inlineStr">
        <x:is>
          <x:t>天晶裝備錦囊（網站未列地圖）</x:t>
        </x:is>
      </x:c>
    </x:row>
    <x:row r="305" ht="45" customHeight="1">
      <x:c r="A305" s="55" t="str">
        <x:v>蒼龍刀</x:v>
      </x:c>
      <x:c r="B305" s="55" t="str">
        <x:v>—</x:v>
      </x:c>
      <x:c r="C305" s="55" t="str">
        <x:v>—</x:v>
      </x:c>
      <x:c r="D305" s="55" t="str">
        <x:v>蒼龍刀配方</x:v>
      </x:c>
      <x:c r="E305" s="55" t="inlineStr">
        <x:is>
          <x:t>蒼龍神兵錦囊（網站未列地圖）；喜兔武器錦囊‧壹（網站未列地圖）；神來裝樂透卡之一（網站未列地圖）；招財聚寶袋（網站未列地圖）；毒巨蛟（毒龍潭）；海龍（網站未列地圖）；神龍將（龍宮八層廣場）；青龍（龍宮第五層）；真火神龍（五派禁地）；玄冰神龍（五派禁地）；鐵勾惡盜（長林谷）；小黑龍（龍宮第七層）</x:t>
        </x:is>
      </x:c>
    </x:row>
    <x:row r="306" ht="15" customHeight="1">
      <x:c r="A306" s="55" t="str">
        <x:v>天晶蒼龍刀</x:v>
      </x:c>
      <x:c r="B306" s="55" t="str">
        <x:v>—</x:v>
      </x:c>
      <x:c r="C306" s="55" t="str">
        <x:v>—</x:v>
      </x:c>
      <x:c r="D306" s="55" t="str">
        <x:v>—</x:v>
      </x:c>
      <x:c r="E306" s="55" t="inlineStr">
        <x:is>
          <x:t>天晶裝備錦囊（網站未列地圖）</x:t>
        </x:is>
      </x:c>
    </x:row>
    <x:row r="307" ht="15" customHeight="1">
      <x:c r="A307" s="55" t="str">
        <x:v>絕世蒼龍刀</x:v>
      </x:c>
      <x:c r="B307" s="55" t="str">
        <x:v>—</x:v>
      </x:c>
      <x:c r="C307" s="55" t="str">
        <x:v>—</x:v>
      </x:c>
      <x:c r="D307" s="55" t="str">
        <x:v>—</x:v>
      </x:c>
      <x:c r="E307" s="55" t="inlineStr">
        <x:is>
          <x:t>絕世中原錦囊（網站未列地圖）；蒼龍神兵錦囊（網站未列地圖）</x:t>
        </x:is>
      </x:c>
    </x:row>
    <x:row r="308" ht="15" customHeight="1">
      <x:c r="A308" s="55" t="str">
        <x:v>磔骨刀</x:v>
      </x:c>
      <x:c r="B308" s="55" t="str">
        <x:v>—</x:v>
      </x:c>
      <x:c r="C308" s="55" t="str">
        <x:v>刑天-劍齒鱷</x:v>
      </x:c>
      <x:c r="D308" s="55" t="str">
        <x:v>—</x:v>
      </x:c>
      <x:c r="E308" s="55" t="inlineStr">
        <x:is>
          <x:t>—</x:t>
        </x:is>
      </x:c>
    </x:row>
    <x:row r="309" ht="30" customHeight="1">
      <x:c r="A309" s="55" t="str">
        <x:v>侍衛刀</x:v>
      </x:c>
      <x:c r="B309" s="55" t="str">
        <x:v>—</x:v>
      </x:c>
      <x:c r="C309" s="55" t="str">
        <x:v>—</x:v>
      </x:c>
      <x:c r="D309" s="55" t="str">
        <x:v>—</x:v>
      </x:c>
      <x:c r="E309" s="55" t="inlineStr">
        <x:is>
          <x:t>巨鉗蟹將（龍宮第七層、龍宮八層一隅、龍宮八層廣場）；利鉗蟹兵（龍宮第六層、龍宮第七層、龍宮八層一隅、龍宮八層廣場）；海賊章魚（龍宮第六層、龍宮第七層、龍宮八層廣場）</x:t>
        </x:is>
      </x:c>
    </x:row>
    <x:row r="310" ht="45" customHeight="1">
      <x:c r="A310" s="55" t="str">
        <x:v>紅蓮刀</x:v>
      </x:c>
      <x:c r="B310" s="55" t="str">
        <x:v>—</x:v>
      </x:c>
      <x:c r="C310" s="55" t="str">
        <x:v>維摩洞天-仙島工匠</x:v>
      </x:c>
      <x:c r="D310" s="55" t="str">
        <x:v>—</x:v>
      </x:c>
      <x:c r="E310" s="55" t="inlineStr">
        <x:is>
          <x:t>冥火妖（烈火靈界裂隙）；邪火妖（望星坡、烈火修煉場、朝天觀、葬日沼澤北方、萬人塚第三層）；邪樹妖（瘴癘靈界裂隙）；邪木（網站未列地圖）；老樹精（惡狼林、碧波谷徑、瘴癘修煉場、亂藤林、葬日沼澤、葬日沼澤北方）</x:t>
        </x:is>
      </x:c>
    </x:row>
    <x:row r="311" ht="15" customHeight="1">
      <x:c r="A311" s="55" t="str">
        <x:v>洛花刀</x:v>
      </x:c>
      <x:c r="B311" s="55" t="str">
        <x:v>—</x:v>
      </x:c>
      <x:c r="C311" s="55" t="str">
        <x:v>維摩洞天-仙島工匠</x:v>
      </x:c>
      <x:c r="D311" s="55" t="str">
        <x:v>—</x:v>
      </x:c>
      <x:c r="E311" s="55" t="inlineStr">
        <x:is>
          <x:t>—</x:t>
        </x:is>
      </x:c>
    </x:row>
    <x:row r="312" ht="15" customHeight="1">
      <x:c r="A312" s="55" t="str">
        <x:v>船王刀</x:v>
      </x:c>
      <x:c r="B312" s="55" t="str">
        <x:v>—</x:v>
      </x:c>
      <x:c r="C312" s="55" t="str">
        <x:v>釣日村武器店長</x:v>
      </x:c>
      <x:c r="D312" s="55" t="str">
        <x:v>—</x:v>
      </x:c>
      <x:c r="E312" s="55" t="inlineStr">
        <x:is>
          <x:t>—</x:t>
        </x:is>
      </x:c>
    </x:row>
    <x:row r="313" ht="15" customHeight="1">
      <x:c r="A313" s="55" t="str">
        <x:v>鑠金刀</x:v>
      </x:c>
      <x:c r="B313" s="55" t="str">
        <x:v>—</x:v>
      </x:c>
      <x:c r="C313" s="55" t="str">
        <x:v>維摩洞天-仙島工匠</x:v>
      </x:c>
      <x:c r="D313" s="55" t="str">
        <x:v>—</x:v>
      </x:c>
      <x:c r="E313" s="55" t="inlineStr">
        <x:is>
          <x:t>邊關賊寇隊長（邊關要塞）；邊關賊寇隊長（八達嶺、古北口、邊關要塞）；長林大盜（長林谷）</x:t>
        </x:is>
      </x:c>
    </x:row>
    <x:row r="314" ht="15" customHeight="1">
      <x:c r="A314" s="55" t="str">
        <x:v>玄金刃</x:v>
      </x:c>
      <x:c r="B314" s="55" t="str">
        <x:v>—</x:v>
      </x:c>
      <x:c r="C314" s="55" t="str">
        <x:v>維摩洞天-仙島工匠</x:v>
      </x:c>
      <x:c r="D314" s="55" t="str">
        <x:v>—</x:v>
      </x:c>
      <x:c r="E314" s="55" t="inlineStr">
        <x:is>
          <x:t>大刀賊寇（長林谷）</x:t>
        </x:is>
      </x:c>
    </x:row>
    <x:row r="315" ht="45" customHeight="1">
      <x:c r="A315" s="55" t="str">
        <x:v>伏虎刀</x:v>
      </x:c>
      <x:c r="B315" s="55" t="str">
        <x:v>—</x:v>
      </x:c>
      <x:c r="C315" s="55" t="str">
        <x:v>—</x:v>
      </x:c>
      <x:c r="D315" s="55" t="str">
        <x:v>—</x:v>
      </x:c>
      <x:c r="E315" s="55" t="inlineStr">
        <x:is>
          <x:t>紫靈貂（呼倫草原、貝爾草原、亂石林、疾風谷）；虎霸王（掩月松林）；[虎霸王]（網站未列地圖）；叢林猛虎（千佛遺跡東側、千佛遺跡西側）；草原刀盾兵（關外草原）；虎鬥士（瀰煙山道、掩月松林）；草原刀盾兵（塞北草原、呼倫草原、亂石林、大汗陵墓、統萬大營）；鐵勾惡盜（長林谷）；1轉女勇影（五派禁地）</x:t>
        </x:is>
      </x:c>
    </x:row>
    <x:row r="316" ht="45" customHeight="1">
      <x:c r="A316" s="55" t="str">
        <x:v>九幽刀</x:v>
      </x:c>
      <x:c r="B316" s="55" t="str">
        <x:v>—</x:v>
      </x:c>
      <x:c r="C316" s="55" t="str">
        <x:v>—</x:v>
      </x:c>
      <x:c r="D316" s="55" t="str">
        <x:v>—</x:v>
      </x:c>
      <x:c r="E316" s="55" t="inlineStr">
        <x:is>
          <x:t>蒼龍神兵錦囊（網站未列地圖）；2轉勇影（五派禁地）；傭兵重鎚手（黑城遺跡、疾風谷、大汗陵墓、古北大營、高昌郡）；2轉女勇影（五派禁地）；1轉勇影（五派禁地）；蛇魔女王（盤蛇洞）；蛇魔女（盤蛇洞）；[蛇魔女]（網站未列地圖）；奪魂海魅（極東海域）</x:t>
        </x:is>
      </x:c>
    </x:row>
    <x:row r="317" ht="60" customHeight="1">
      <x:c r="A317" s="55" t="str">
        <x:v>末日刀</x:v>
      </x:c>
      <x:c r="B317" s="55" t="str">
        <x:v>—</x:v>
      </x:c>
      <x:c r="C317" s="55" t="str">
        <x:v>—</x:v>
      </x:c>
      <x:c r="D317" s="55" t="str">
        <x:v>—</x:v>
      </x:c>
      <x:c r="E317" s="55" t="inlineStr">
        <x:is>
          <x:t>驃騎將軍錦囊（網站未列地圖）；御行神兵錦囊（網站未列地圖）；神來裝樂透卡之二（網站未列地圖）；喜兔武器錦囊‧貳（網站未列地圖）；輕車將軍錦囊（網站未列地圖）；鳳凰包裹（網站未列地圖）；真火鳳凰（鳳凰台）；真火鳳凰（鳳凰台）；泣命煉首（網站未列地圖）；紫燄影凰（網站未列地圖）；荒野猛虎（菩提聖原、大梵河岸）；鳳凰（棲鳳崖、鳳凰台）；火鳳凰（棲鳳崖）</x:t>
        </x:is>
      </x:c>
    </x:row>
    <x:row r="318" ht="30" customHeight="1">
      <x:c r="A318" s="55" t="str">
        <x:v>斷水刀</x:v>
      </x:c>
      <x:c r="B318" s="55" t="str">
        <x:v>—</x:v>
      </x:c>
      <x:c r="C318" s="55" t="str">
        <x:v>—</x:v>
      </x:c>
      <x:c r="D318" s="55" t="str">
        <x:v>—</x:v>
      </x:c>
      <x:c r="E318" s="55" t="inlineStr">
        <x:is>
          <x:t>絕代兵器錦囊（網站未列地圖）；新絕代兵器錦囊（網站未列地圖）；掠奪武器包裹（網站未列地圖）；羅剎寶袋（網站未列地圖）；神龍將（龍宮八層廣場）；龍駻將（龍宮八層一隅、龍宮八層廣場）</x:t>
        </x:is>
      </x:c>
    </x:row>
    <x:row r="319" ht="30" customHeight="1">
      <x:c r="A319" s="55" t="str">
        <x:v>海神刃</x:v>
      </x:c>
      <x:c r="B319" s="55" t="str">
        <x:v>—</x:v>
      </x:c>
      <x:c r="C319" s="55" t="str">
        <x:v>—</x:v>
      </x:c>
      <x:c r="D319" s="55" t="str">
        <x:v>—</x:v>
      </x:c>
      <x:c r="E319" s="55" t="inlineStr">
        <x:is>
          <x:t>掠奪武器包裹（網站未列地圖）；羅剎寶袋（網站未列地圖）；神龍將（龍宮八層廣場）；龍王錦囊（網站未列地圖）</x:t>
        </x:is>
      </x:c>
    </x:row>
    <x:row r="320" ht="60" customHeight="1">
      <x:c r="A320" s="55" t="str">
        <x:v>畫影刀</x:v>
      </x:c>
      <x:c r="B320" s="55" t="str">
        <x:v>—</x:v>
      </x:c>
      <x:c r="C320" s="55" t="str">
        <x:v>—</x:v>
      </x:c>
      <x:c r="D320" s="55" t="str">
        <x:v>畫影刀配方</x:v>
      </x:c>
      <x:c r="E320" s="55" t="inlineStr">
        <x:is>
          <x:t>天界戰匣（網站未列地圖）；喜兔武器錦囊‧參（網站未列地圖）；神來裝樂透卡之三（網站未列地圖）；御龍錦囊（網站未列地圖）；蒼狼族女王（蒼狼大營）；蒼狼族大汗（大汗陵墓、統萬大營）；2轉勇影（五派禁地）；勇士合薩兒（亂石林、蒼狼大營）；合薩兒幻影（亂石林）；合薩兒（大汗陵墓）；2轉女勇影（五派禁地）；勇士合薩兒（關外草原）；巨靈悍匪（千佛遺跡東側）</x:t>
        </x:is>
      </x:c>
    </x:row>
    <x:row r="321" ht="15" customHeight="1">
      <x:c r="A321" s="55" t="str">
        <x:v>絕世畫影刀</x:v>
      </x:c>
      <x:c r="B321" s="55" t="str">
        <x:v>—</x:v>
      </x:c>
      <x:c r="C321" s="55" t="str">
        <x:v>—</x:v>
      </x:c>
      <x:c r="D321" s="55" t="str">
        <x:v>—</x:v>
      </x:c>
      <x:c r="E321" s="55" t="inlineStr">
        <x:is>
          <x:t>絕世天界戰匣（網站未列地圖）</x:t>
        </x:is>
      </x:c>
    </x:row>
    <x:row r="322" ht="45" customHeight="1">
      <x:c r="A322" s="55" t="str">
        <x:v>蟠龍刀</x:v>
      </x:c>
      <x:c r="B322" s="55" t="str">
        <x:v>—</x:v>
      </x:c>
      <x:c r="C322" s="55" t="str">
        <x:v>—</x:v>
      </x:c>
      <x:c r="D322" s="55" t="str">
        <x:v>蟠龍刀配方</x:v>
      </x:c>
      <x:c r="E322" s="55" t="inlineStr">
        <x:is>
          <x:t>喜兔武器錦囊‧參（網站未列地圖）；神來裝樂透卡之三（網站未列地圖）；御龍錦囊（網站未列地圖）；天界戰匣（網站未列地圖）；蒼狼族大汗（大汗陵墓、統萬大營）；拉薩跳神（疾風谷、古北大營）；真火神龍（五派禁地）；玄冰神龍（五派禁地）</x:t>
        </x:is>
      </x:c>
    </x:row>
    <x:row r="323" ht="15" customHeight="1">
      <x:c r="A323" s="55" t="str">
        <x:v>絕世蟠龍刀</x:v>
      </x:c>
      <x:c r="B323" s="55" t="str">
        <x:v>—</x:v>
      </x:c>
      <x:c r="C323" s="55" t="str">
        <x:v>—</x:v>
      </x:c>
      <x:c r="D323" s="55" t="str">
        <x:v>—</x:v>
      </x:c>
      <x:c r="E323" s="55" t="inlineStr">
        <x:is>
          <x:t>絕世天界戰匣（網站未列地圖）</x:t>
        </x:is>
      </x:c>
    </x:row>
    <x:row r="324" ht="60" customHeight="1">
      <x:c r="A324" s="55" t="str">
        <x:v>蟾蜍刀</x:v>
      </x:c>
      <x:c r="B324" s="55" t="str">
        <x:v>—</x:v>
      </x:c>
      <x:c r="C324" s="55" t="str">
        <x:v>—</x:v>
      </x:c>
      <x:c r="D324" s="55" t="str">
        <x:v>—</x:v>
      </x:c>
      <x:c r="E324" s="55" t="inlineStr">
        <x:is>
          <x:t>毒蟾蜍（碧波谷徑、百妖穴第一層、萬人塚第一層、亂藤林、亂藤林東方、葬日沼澤北方、毒龍潭、盤蛇洞、河西谷地）；火蟾蜍（平西關、碧波谷徑、巨猿洞窟一層、巨猿洞窟二層、百妖穴第一層、萬人塚第一層、葬日沼澤北方、盤蛇洞、棲鳳崖、河西谷地）；冰蟾蜍（映月泊、百妖穴第一層、萬人塚第一層、天山雪道、盤蛇洞）；巨蟾蜍（試煉之窟）；大蟾蜍（試煉之窟）</x:t>
        </x:is>
      </x:c>
    </x:row>
    <x:row r="325" ht="105" customHeight="1">
      <x:c r="A325" s="55" t="str">
        <x:v>追魂刀</x:v>
      </x:c>
      <x:c r="B325" s="55" t="str">
        <x:v>—</x:v>
      </x:c>
      <x:c r="C325" s="55" t="str">
        <x:v>—</x:v>
      </x:c>
      <x:c r="D325" s="55" t="str">
        <x:v>—</x:v>
      </x:c>
      <x:c r="E325" s="55" t="inlineStr">
        <x:is>
          <x:t>飛賊（塞北關、映月泊、封神臺）；飛賊（塞北關、映月泊、封神臺、試煉之窟）；山賊（塞北關、映月泊、猢猻嶺、封神臺）；山賊（塞北關、映月泊、猢猻嶺、封神臺、試煉之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</x:t>
        </x:is>
      </x:c>
    </x:row>
    <x:row r="326" ht="45" customHeight="1">
      <x:c r="A326" s="55" t="str">
        <x:v>靈猿刀</x:v>
      </x:c>
      <x:c r="B326" s="55" t="str">
        <x:v>—</x:v>
      </x:c>
      <x:c r="C326" s="55" t="str">
        <x:v>—</x:v>
      </x:c>
      <x:c r="D326" s="55" t="str">
        <x:v>—</x:v>
      </x:c>
      <x:c r="E326" s="55" t="inlineStr">
        <x:is>
          <x:t>紫靈貂（呼倫草原、貝爾草原、亂石林、疾風谷）；巨狂猿（巨猿洞窟二層、碧波幽谷、摘星嶺、夜叉嶺）；白毛巨猿（入雲道、天山雪道、瀰煙山道）；紅毛巨猿（猢猻嶺、巨猿洞窟一層、巨猿洞窟二層）；食人巨猿（猢猻嶺、巨猿洞窟一層、巨猿洞窟二層、八達嶺、古北口）；狂猿（巨猿洞窟二層、碧波幽谷、亂藤林南方、摘星嶺、夜叉嶺）</x:t>
        </x:is>
      </x:c>
    </x:row>
    <x:row r="327" ht="15" customHeight="1">
      <x:c r="A327" s="55" t="str">
        <x:v>赤火刃</x:v>
      </x:c>
      <x:c r="B327" s="55" t="str">
        <x:v>—</x:v>
      </x:c>
      <x:c r="C327" s="55" t="str">
        <x:v>—</x:v>
      </x:c>
      <x:c r="D327" s="55" t="str">
        <x:v>赤火刃配方</x:v>
      </x:c>
      <x:c r="E327" s="55" t="inlineStr">
        <x:is>
          <x:t>絕代兵器錦囊（網站未列地圖）；新絕代兵器錦囊（網站未列地圖）；幻魔海魅（極東海域）</x:t>
        </x:is>
      </x:c>
    </x:row>
    <x:row r="328" ht="90" customHeight="1">
      <x:c r="A328" s="55" t="str">
        <x:v>天晶刀</x:v>
      </x:c>
      <x:c r="B328" s="55" t="str">
        <x:v>—</x:v>
      </x:c>
      <x:c r="C328" s="55" t="str">
        <x:v>—</x:v>
      </x:c>
      <x:c r="D328" s="55" t="str">
        <x:v>天晶刀配方</x:v>
      </x:c>
      <x:c r="E328" s="55" t="inlineStr">
        <x:is>
          <x:t>幻蠱妖煞（網站未列地圖）；幻雷妖煞（網站未列地圖）；侏人神兵錦囊（網站未列地圖）；喜兔武器錦囊‧肆（網站未列地圖）；神來裝樂透卡之四（網站未列地圖）；穿峽禿鷹（登天棧道、青藏高原）；玄陰地靈元靈（幽玄靈界）；玄陰地靈（晶湖水道、水晶礦坑、神兵塚）；晶石怪（侏人部落、晶湖水道、地下水道、水晶礦坑、神兵塚）；[晶石怪]（網站未列地圖）；晶石魔怪（神兵塚）；幼犀元靈（幽玄靈界）；嘯地幼犀（蕈菇林東方、蕈菇林西方、晶湖水道、地下水道）；[嘯地幼犀]（網站未列地圖）；魔侏人狂戰士（神兵塚）；灰侏人狂戰士（地下水道、水晶礦坑）</x:t>
        </x:is>
      </x:c>
    </x:row>
    <x:row r="329" ht="15" customHeight="1">
      <x:c r="A329" s="55" t="str">
        <x:v>無雙天晶刀</x:v>
      </x:c>
      <x:c r="B329" s="55" t="str">
        <x:v>追本溯源</x:v>
      </x:c>
      <x:c r="C329" s="55" t="str">
        <x:v>—</x:v>
      </x:c>
      <x:c r="D329" s="55" t="str">
        <x:v>—</x:v>
      </x:c>
      <x:c r="E329" s="55" t="inlineStr">
        <x:is>
          <x:t>無雙神兵錦囊（網站未列地圖）</x:t>
        </x:is>
      </x:c>
    </x:row>
    <x:row r="330" ht="60" customHeight="1">
      <x:c r="A330" s="55" t="str">
        <x:v>地炙刃</x:v>
      </x:c>
      <x:c r="B330" s="55" t="str">
        <x:v>—</x:v>
      </x:c>
      <x:c r="C330" s="55" t="str">
        <x:v>—</x:v>
      </x:c>
      <x:c r="D330" s="55" t="str">
        <x:v>—</x:v>
      </x:c>
      <x:c r="E330" s="55" t="inlineStr">
        <x:is>
          <x:t>幻蠱妖煞（網站未列地圖）；幻雷妖煞（網站未列地圖）；侏人神兵錦囊（網站未列地圖）；神來裝樂透卡之四（網站未列地圖）；喜兔武器錦囊‧肆（網站未列地圖）；玄陰地靈元靈（幽玄靈界）；玄陰地靈（晶湖水道、水晶礦坑、神兵塚）；晶石巨怪（水晶礦坑）；晶石巨魔（神兵塚）；侏人戰將（蕈菇林西方）；魔侏人戰士（神兵塚）；灰侏人戰士（晶湖水道、地下水道、水晶礦坑）；荒野猛虎（菩提聖原、大梵河岸）</x:t>
        </x:is>
      </x:c>
    </x:row>
    <x:row r="331" ht="15" customHeight="1">
      <x:c r="A331" s="55" t="str">
        <x:v>無雙地炙刃</x:v>
      </x:c>
      <x:c r="B331" s="55" t="str">
        <x:v>追本溯源</x:v>
      </x:c>
      <x:c r="C331" s="55" t="str">
        <x:v>—</x:v>
      </x:c>
      <x:c r="D331" s="55" t="str">
        <x:v>—</x:v>
      </x:c>
      <x:c r="E331" s="55" t="inlineStr">
        <x:is>
          <x:t>無雙神兵錦囊（網站未列地圖）</x:t>
        </x:is>
      </x:c>
    </x:row>
    <x:row r="332" ht="45" customHeight="1">
      <x:c r="A332" s="55" t="str">
        <x:v>天晶雷刀</x:v>
      </x:c>
      <x:c r="B332" s="55" t="str">
        <x:v>—</x:v>
      </x:c>
      <x:c r="C332" s="55" t="str">
        <x:v>—</x:v>
      </x:c>
      <x:c r="D332" s="55" t="str">
        <x:v>天晶雷刀配方</x:v>
      </x:c>
      <x:c r="E332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灰侏人狂戰將（網站未列地圖）</x:t>
        </x:is>
      </x:c>
    </x:row>
    <x:row r="333" ht="15" customHeight="1">
      <x:c r="A333" s="55" t="str">
        <x:v>絕世天晶雷刀</x:v>
      </x:c>
      <x:c r="B333" s="55" t="str">
        <x:v>—</x:v>
      </x:c>
      <x:c r="C333" s="55" t="str">
        <x:v>—</x:v>
      </x:c>
      <x:c r="D333" s="55" t="str">
        <x:v>—</x:v>
      </x:c>
      <x:c r="E333" s="55" t="inlineStr">
        <x:is>
          <x:t>地火絕世錦囊（網站未列地圖）</x:t>
        </x:is>
      </x:c>
    </x:row>
    <x:row r="334" ht="60" customHeight="1">
      <x:c r="A334" s="55" t="str">
        <x:v>地火炙刃</x:v>
      </x:c>
      <x:c r="B334" s="55" t="str">
        <x:v>—</x:v>
      </x:c>
      <x:c r="C334" s="55" t="str">
        <x:v>—</x:v>
      </x:c>
      <x:c r="D334" s="55" t="str">
        <x:v>—</x:v>
      </x:c>
      <x:c r="E334" s="55" t="inlineStr">
        <x:is>
          <x:t>喜兔武器錦囊‧肆（網站未列地圖）；神來裝樂透卡之四（網站未列地圖）；侏人神兵錦囊（網站未列地圖）；幻蠱妖煞（網站未列地圖）；幻雷妖煞（網站未列地圖）；魔侏人狂戰士（神兵塚）；灰侏人狂戰士（地下水道、水晶礦坑）；魔侏人戰將（神兵塚）；灰侏人戰將（地下水道、水晶礦坑）；血瘤眼（恨生不歸途、三途之都）；[血瘤眼]（網站未列地圖）</x:t>
        </x:is>
      </x:c>
    </x:row>
    <x:row r="335" ht="15" customHeight="1">
      <x:c r="A335" s="55" t="str">
        <x:v>絕世地火炙刃</x:v>
      </x:c>
      <x:c r="B335" s="55" t="str">
        <x:v>—</x:v>
      </x:c>
      <x:c r="C335" s="55" t="str">
        <x:v>—</x:v>
      </x:c>
      <x:c r="D335" s="55" t="str">
        <x:v>—</x:v>
      </x:c>
      <x:c r="E335" s="55" t="inlineStr">
        <x:is>
          <x:t>地火絕世錦囊（網站未列地圖）</x:t>
        </x:is>
      </x:c>
    </x:row>
    <x:row r="336" ht="60" customHeight="1">
      <x:c r="A336" s="55" t="str">
        <x:v>羅剎刀</x:v>
      </x:c>
      <x:c r="B336" s="55" t="str">
        <x:v>—</x:v>
      </x:c>
      <x:c r="C336" s="55" t="str">
        <x:v>—</x:v>
      </x:c>
      <x:c r="D336" s="55" t="str">
        <x:v>羅剎刀配方</x:v>
      </x:c>
      <x:c r="E336" s="55" t="inlineStr">
        <x:is>
          <x:t>侯氏百兵錦囊（網站未列地圖）；西域神兵錦囊（網站未列地圖）；黑天神兵元靈（網站未列地圖）；征西勇士錦囊（網站未列地圖）；&lt;熾火真帝靈&gt;（真七寶仙境　貳）；吐蕃行者（登天棧道、懸空仙嶺）；精武兵衛（內崎埠原、外崎埠原、伊取川大陣）；羅剎鞭手遊魂（網站未列地圖）；傀儡羅剎鞭手（網站未列地圖）；羅剎鞭子手（塔干沙漠西方）；妖化沙蟲（火焰山）；狼斑沙蟲（塔干沙漠東方、萬佛窟、樓蘭遺址）</x:t>
        </x:is>
      </x:c>
    </x:row>
    <x:row r="337" ht="15" customHeight="1">
      <x:c r="A337" s="55" t="str">
        <x:v>無雙羅剎刀</x:v>
      </x:c>
      <x:c r="B337" s="55" t="str">
        <x:v>—</x:v>
      </x:c>
      <x:c r="C337" s="55" t="str">
        <x:v>—</x:v>
      </x:c>
      <x:c r="D337" s="55" t="str">
        <x:v>—</x:v>
      </x:c>
      <x:c r="E337" s="55" t="inlineStr">
        <x:is>
          <x:t>西域無雙錦囊（網站未列地圖）</x:t>
        </x:is>
      </x:c>
    </x:row>
    <x:row r="338" ht="60" customHeight="1">
      <x:c r="A338" s="55" t="str">
        <x:v>精鋼羅剎刀</x:v>
      </x:c>
      <x:c r="B338" s="55" t="str">
        <x:v>—</x:v>
      </x:c>
      <x:c r="C338" s="55" t="str">
        <x:v>—</x:v>
      </x:c>
      <x:c r="D338" s="55" t="str">
        <x:v>—</x:v>
      </x:c>
      <x:c r="E338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勇士錦囊（網站未列地圖）；聖靈勇士錦囊（網站未列地圖）；樓蘭勇士錦囊（網站未列地圖）；妖煞蟲王（火焰山）；玉藻九尾狐（十津原樹海）；巨靈悍匪（千佛遺跡東側）；沙蟲蠱王（樓蘭遺址）</x:t>
        </x:is>
      </x:c>
    </x:row>
    <x:row r="339" ht="45" customHeight="1">
      <x:c r="A339" s="55" t="str">
        <x:v>暴怒羅剎刀</x:v>
      </x:c>
      <x:c r="B339" s="55" t="str">
        <x:v>—</x:v>
      </x:c>
      <x:c r="C339" s="55" t="str">
        <x:v>—</x:v>
      </x:c>
      <x:c r="D339" s="55" t="str">
        <x:v>羅剎怒刀配方</x:v>
      </x:c>
      <x:c r="E339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日昇勇士錦囊（網站未列地圖）；聖靈勇士錦囊（網站未列地圖）；樓蘭勇士錦囊（網站未列地圖）；殉葬血屍（恨生不歸途）</x:t>
        </x:is>
      </x:c>
    </x:row>
    <x:row r="340" ht="45" customHeight="1">
      <x:c r="A340" s="55" t="str">
        <x:v>鬼頭羅剎刀</x:v>
      </x:c>
      <x:c r="B340" s="55" t="str">
        <x:v>—</x:v>
      </x:c>
      <x:c r="C340" s="55" t="str">
        <x:v>—</x:v>
      </x:c>
      <x:c r="D340" s="55" t="str">
        <x:v>—</x:v>
      </x:c>
      <x:c r="E340" s="55" t="inlineStr">
        <x:is>
          <x:t>西域真武錦囊（網站未列地圖）；喜兔武器錦囊‧伍（網站未列地圖）；神來裝樂透卡之五（網站未列地圖）；西域神兵錦囊（網站未列地圖）；黑天神兵元靈（網站未列地圖）；聖靈勇士錦囊（網站未列地圖）；樓蘭勇士錦囊（網站未列地圖）</x:t>
        </x:is>
      </x:c>
    </x:row>
    <x:row r="341" ht="75" customHeight="1">
      <x:c r="A341" s="55" t="str">
        <x:v>鬼渡刀</x:v>
      </x:c>
      <x:c r="B341" s="55" t="str">
        <x:v>—</x:v>
      </x:c>
      <x:c r="C341" s="55" t="str">
        <x:v>—</x:v>
      </x:c>
      <x:c r="D341" s="55" t="str">
        <x:v>鬼渡刀配方</x:v>
      </x:c>
      <x:c r="E341" s="55" t="inlineStr">
        <x:is>
          <x:t>東瀛神兵桐箱（網站未列地圖）；東瀛神兵寶箱（網站未列地圖）；東瀛萬神兵匣（網站未列地圖）；御行神兵錦囊（網站未列地圖）；天照勇士錦囊（網站未列地圖）；日昇勇士錦囊（網站未列地圖）；酆都鬼役（三途之都、枉死之城）；提刑黑無常（悲歡渡口、永劫刑場、九曲邪徑）；[提刑黑無常]（網站未列地圖）；雪峰野人（登天棧道、懸空仙嶺、青藏高原）；[雪峰野人]（網站未列地圖）；直島新太郎（外崎埠原）；聖峰雪獸（網站未列地圖）；鬼嶽親衛弓侍（伊取川大陣）；提刑差（恨生不歸途、三途之都、枉死之城）；靈使無常（網站未列地圖）</x:t>
        </x:is>
      </x:c>
    </x:row>
    <x:row r="342" ht="15" customHeight="1">
      <x:c r="A342" s="55" t="str">
        <x:v>無雙鬼渡刀</x:v>
      </x:c>
      <x:c r="B342" s="55" t="str">
        <x:v>—</x:v>
      </x:c>
      <x:c r="C342" s="55" t="str">
        <x:v>—</x:v>
      </x:c>
      <x:c r="D342" s="55" t="str">
        <x:v>—</x:v>
      </x:c>
      <x:c r="E342" s="55" t="inlineStr">
        <x:is>
          <x:t>東瀛無雙錦囊（網站未列地圖）</x:t>
        </x:is>
      </x:c>
    </x:row>
    <x:row r="343" ht="45" customHeight="1">
      <x:c r="A343" s="55" t="str">
        <x:v>虎徹刀</x:v>
      </x:c>
      <x:c r="B343" s="55" t="str">
        <x:v>—</x:v>
      </x:c>
      <x:c r="C343" s="55" t="str">
        <x:v>—</x:v>
      </x:c>
      <x:c r="D343" s="55" t="str">
        <x:v>虎徹刀配方</x:v>
      </x:c>
      <x:c r="E343" s="55" t="inlineStr">
        <x:is>
          <x:t>東瀛萬神兵匣（網站未列地圖）；東瀛神兵寶箱（網站未列地圖）；喜兔武器錦囊‧陸（網站未列地圖）；神來裝樂透卡之六（網站未列地圖）；天照勇士錦囊（網站未列地圖）；鬼斬刀般若（八荒古墳）；斬斧牛妖（三途之都、枉死之城、悲歡渡口）；荒野猛虎（菩提聖原、大梵河岸）；女邪土蜘蛛（網站未列地圖）</x:t>
        </x:is>
      </x:c>
    </x:row>
    <x:row r="344" ht="45" customHeight="1">
      <x:c r="A344" s="55" t="str">
        <x:v>村雨刀</x:v>
      </x:c>
      <x:c r="B344" s="55" t="str">
        <x:v>—</x:v>
      </x:c>
      <x:c r="C344" s="55" t="str">
        <x:v>—</x:v>
      </x:c>
      <x:c r="D344" s="55" t="str">
        <x:v>村雨刀配方</x:v>
      </x:c>
      <x:c r="E344" s="55" t="inlineStr">
        <x:is>
          <x:t>賀歲神兵禮盒（網站未列地圖）；東瀛萬神兵匣（網站未列地圖）；八卦勇士錦囊（網站未列地圖）；波斯鐵衛（黃塵荒漠、聖域之門、清教院街）；真知芳衛（清教院街）；吐蕃行者（登天棧道、懸空仙嶺）；拔山象妖（摩羅國境、菩提聖原）；[拔山象妖]（網站未列地圖）</x:t>
        </x:is>
      </x:c>
    </x:row>
    <x:row r="345" ht="60" customHeight="1">
      <x:c r="A345" s="55" t="str">
        <x:v>昆吾刀</x:v>
      </x:c>
      <x:c r="B345" s="55" t="str">
        <x:v>—</x:v>
      </x:c>
      <x:c r="C345" s="55" t="str">
        <x:v>—</x:v>
      </x:c>
      <x:c r="D345" s="55" t="str">
        <x:v>昆吾刀配方</x:v>
      </x:c>
      <x:c r="E345" s="55" t="inlineStr">
        <x:is>
          <x:t>東瀛究極武箱（網站未列地圖）；喜兔武器錦囊‧柒（網站未列地圖）；神來裝樂透卡之七（網站未列地圖）；東瀛萬神兵匣（網站未列地圖）；八卦勇士錦囊（網站未列地圖）；絕峰禿鷹（香格里拉聖路）；酆都鬼役（三途之都、枉死之城）；提刑黑無常（悲歡渡口、永劫刑場、九曲邪徑）；[提刑黑無常]（網站未列地圖）；靈使無常（網站未列地圖）</x:t>
        </x:is>
      </x:c>
    </x:row>
    <x:row r="346" ht="30" customHeight="1">
      <x:c r="A346" s="55" t="str">
        <x:v>秋水太刀</x:v>
      </x:c>
      <x:c r="B346" s="55" t="str">
        <x:v>—</x:v>
      </x:c>
      <x:c r="C346" s="55" t="str">
        <x:v>—</x:v>
      </x:c>
      <x:c r="D346" s="55" t="str">
        <x:v>—</x:v>
      </x:c>
      <x:c r="E346" s="55" t="inlineStr">
        <x:is>
          <x:t>東瀛神兵寶匣（網站未列地圖）；喜兔武器錦囊‧陸（網站未列地圖）；神來裝樂透卡之六（網站未列地圖）；夜帝化身（網站未列地圖）；鬼將酒吞（伊取川大陣）</x:t>
        </x:is>
      </x:c>
    </x:row>
    <x:row r="347" ht="30" customHeight="1">
      <x:c r="A347" s="55" t="str">
        <x:v>雲燿太刀</x:v>
      </x:c>
      <x:c r="B347" s="55" t="str">
        <x:v>—</x:v>
      </x:c>
      <x:c r="C347" s="55" t="str">
        <x:v>—</x:v>
      </x:c>
      <x:c r="D347" s="55" t="str">
        <x:v>—</x:v>
      </x:c>
      <x:c r="E347" s="55" t="inlineStr">
        <x:is>
          <x:t>東瀛神兵寶匣（網站未列地圖）；喜兔武器錦囊‧陸（網站未列地圖）；神來裝樂透卡之六（網站未列地圖）；夜帝化身（網站未列地圖）；天照勇士錦囊（網站未列地圖）；鬼將酒吞（伊取川大陣）</x:t>
        </x:is>
      </x:c>
    </x:row>
    <x:row r="348" ht="60" customHeight="1">
      <x:c r="A348" s="55" t="str">
        <x:v>斬業刀</x:v>
      </x:c>
      <x:c r="B348" s="55" t="str">
        <x:v>—</x:v>
      </x:c>
      <x:c r="C348" s="55" t="str">
        <x:v>—</x:v>
      </x:c>
      <x:c r="D348" s="55" t="str">
        <x:v>斬業刀配方</x:v>
      </x:c>
      <x:c r="E348" s="55" t="inlineStr">
        <x:is>
          <x:t>天佛神兵錦囊（網站未列地圖）；釋尊神兵檀箱（網站未列地圖）；夜帝化身（網站未列地圖）；佛都勇士錦囊（網站未列地圖）；八卦勇士錦囊（網站未列地圖）；逆反外眼（大梵聖湖、萬岳聖峰）；雪山冰靈（萬岳聖峰、香格里拉聖路）；魔域狂刀（永劫刑場、奈落紅川）；雪峰野人（登天棧道、懸空仙嶺、青藏高原）；[雪峰野人]（網站未列地圖）；聖峰雪獸（網站未列地圖）；十勝象王（網站未列地圖）；蓋世象魔（大梵河岸、金霄佛寺）</x:t>
        </x:is>
      </x:c>
    </x:row>
    <x:row r="349" ht="15" customHeight="1">
      <x:c r="A349" s="55" t="str">
        <x:v>無雙斬業刀</x:v>
      </x:c>
      <x:c r="B349" s="55" t="str">
        <x:v>—</x:v>
      </x:c>
      <x:c r="C349" s="55" t="str">
        <x:v>—</x:v>
      </x:c>
      <x:c r="D349" s="55" t="str">
        <x:v>—</x:v>
      </x:c>
      <x:c r="E349" s="55" t="inlineStr">
        <x:is>
          <x:t>摩羅無雙錦囊（網站未列地圖）</x:t>
        </x:is>
      </x:c>
    </x:row>
    <x:row r="350" ht="45" customHeight="1">
      <x:c r="A350" s="55" t="str">
        <x:v>計都奔烈刀</x:v>
      </x:c>
      <x:c r="B350" s="55" t="str">
        <x:v>—</x:v>
      </x:c>
      <x:c r="C350" s="55" t="str">
        <x:v>—</x:v>
      </x:c>
      <x:c r="D350" s="55" t="str">
        <x:v>計都烈刀配方</x:v>
      </x:c>
      <x:c r="E350" s="55" t="inlineStr">
        <x:is>
          <x:t>涅槃神兵聖匣（網站未列地圖）；喜兔武器錦囊‧捌（網站未列地圖）；神來裝樂透卡之八（網站未列地圖）；天佛神兵錦囊（網站未列地圖）；釋尊神兵檀箱（網站未列地圖）；佛都勇士錦囊（網站未列地圖）；真知聖戰士（飛簷頂徑、波斯西市、法誡參道、漆黑水路）；奈落邪鬼（奈落紅川）；奈落邪鬼（永劫刑場）；金叉修羅王（濕婆神廟）</x:t>
        </x:is>
      </x:c>
    </x:row>
    <x:row r="351" ht="45" customHeight="1">
      <x:c r="A351" s="55" t="str">
        <x:v>羅喉霸絕刀</x:v>
      </x:c>
      <x:c r="B351" s="55" t="str">
        <x:v>—</x:v>
      </x:c>
      <x:c r="C351" s="55" t="str">
        <x:v>—</x:v>
      </x:c>
      <x:c r="D351" s="55" t="str">
        <x:v>—</x:v>
      </x:c>
      <x:c r="E351" s="55" t="inlineStr">
        <x:is>
          <x:t>喜兔武器錦囊‧捌（網站未列地圖）；神來裝樂透卡之八（網站未列地圖）；天佛神兵錦囊（網站未列地圖）；釋尊神兵檀箱（網站未列地圖）；佛都勇士錦囊（網站未列地圖）；絕凍冰妖（萬岳聖峰、香格里拉聖路）；邪甲巨象（大梵河岸）</x:t>
        </x:is>
      </x:c>
    </x:row>
    <x:row r="352" ht="75" customHeight="1">
      <x:c r="A352" s="55" t="str">
        <x:v>修羅刀</x:v>
      </x:c>
      <x:c r="B352" s="55" t="str">
        <x:v>—</x:v>
      </x:c>
      <x:c r="C352" s="55" t="str">
        <x:v>—</x:v>
      </x:c>
      <x:c r="D352" s="55" t="str">
        <x:v>修羅刀配方</x:v>
      </x:c>
      <x:c r="E352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波斯戰士（止戰邊境）；龍磐帝蠻（吐蕃集鎮、香格里拉聖路、香格里拉神廟、天授之間）；凍界蠻王（網站未列地圖）；巨憾之土（清教院街、波斯西市）；旱疆土妖（網站未列地圖）；[巨憾之土]（網站未列地圖）；衝天馬魔將（森羅閻殿、奈落紅川、荒禍殘墟）；血河馬魔神（天戮魔殿）；波斯鐵衛（黃塵荒漠、聖域之門、清教院街）；真知芳衛（清教院街）</x:t>
        </x:is>
      </x:c>
    </x:row>
    <x:row r="353" ht="15" customHeight="1">
      <x:c r="A353" s="55" t="str">
        <x:v>黑天閻魔刀</x:v>
      </x:c>
      <x:c r="B353" s="55" t="str">
        <x:v>—</x:v>
      </x:c>
      <x:c r="C353" s="55" t="str">
        <x:v>—</x:v>
      </x:c>
      <x:c r="D353" s="55" t="str">
        <x:v>黑天魔刀配方</x:v>
      </x:c>
      <x:c r="E353" s="55" t="inlineStr">
        <x:is>
          <x:t>涅槃真武聖匣（網站未列地圖）；涅槃神兵聖匣（網站未列地圖）；黑教舞鞭者（青藏高原、大梵聖湖）</x:t>
        </x:is>
      </x:c>
    </x:row>
    <x:row r="354" ht="15" customHeight="1">
      <x:c r="A354" s="55" t="str">
        <x:v>白夜獸神刀</x:v>
      </x:c>
      <x:c r="B354" s="55" t="str">
        <x:v>—</x:v>
      </x:c>
      <x:c r="C354" s="55" t="str">
        <x:v>—</x:v>
      </x:c>
      <x:c r="D354" s="55" t="str">
        <x:v>—</x:v>
      </x:c>
      <x:c r="E354" s="55" t="inlineStr">
        <x:is>
          <x:t>涅槃真武聖匣（網站未列地圖）；涅槃神兵聖匣（網站未列地圖）；赫丕族女（止戰邊境、豐穗平原）</x:t>
        </x:is>
      </x:c>
    </x:row>
    <x:row r="355" ht="15" customHeight="1">
      <x:c r="A355" s="55" t="str">
        <x:v>正勝速日刀</x:v>
      </x:c>
      <x:c r="B355" s="55" t="str">
        <x:v>—</x:v>
      </x:c>
      <x:c r="C355" s="55" t="str">
        <x:v>—</x:v>
      </x:c>
      <x:c r="D355" s="55" t="str">
        <x:v>—</x:v>
      </x:c>
      <x:c r="E355" s="55" t="inlineStr">
        <x:is>
          <x:t>東煌神兵寶匣（網站未列地圖）；喜兔武器錦囊‧柒（網站未列地圖）；神來裝樂透卡之七（網站未列地圖）</x:t>
        </x:is>
      </x:c>
    </x:row>
    <x:row r="356" ht="15" customHeight="1">
      <x:c r="A356" s="55" t="str">
        <x:v>魔哭冥斬刀</x:v>
      </x:c>
      <x:c r="B356" s="55" t="str">
        <x:v>—</x:v>
      </x:c>
      <x:c r="C356" s="55" t="str">
        <x:v>—</x:v>
      </x:c>
      <x:c r="D356" s="55" t="str">
        <x:v>—</x:v>
      </x:c>
      <x:c r="E356" s="55" t="inlineStr">
        <x:is>
          <x:t>東煌神兵寶匣（網站未列地圖）；喜兔武器錦囊‧柒（網站未列地圖）；神來裝樂透卡之七（網站未列地圖）</x:t>
        </x:is>
      </x:c>
    </x:row>
    <x:row r="357" ht="45" customHeight="1">
      <x:c r="A357" s="55" t="str">
        <x:v>熾獄刀</x:v>
      </x:c>
      <x:c r="B357" s="55" t="str">
        <x:v>—</x:v>
      </x:c>
      <x:c r="C357" s="55" t="str">
        <x:v>—</x:v>
      </x:c>
      <x:c r="D357" s="55" t="str">
        <x:v>—</x:v>
      </x:c>
      <x:c r="E357" s="55" t="inlineStr">
        <x:is>
          <x:t>喜兔武器錦囊‧玖（網站未列地圖）；傾天絕邪（寒愴冰獄）；煉獄邪兵戰匣（網站未列地圖）；神來裝樂透卡之九（網站未列地圖）；征鬼勇士錦囊（網站未列地圖）；笑傲飛鷹（登龍道）；十獄殿主（森羅閻殿、奈落紅川、荒禍殘墟）；雪山冰靈（萬岳聖峰、香格里拉聖路）</x:t>
        </x:is>
      </x:c>
    </x:row>
    <x:row r="358" ht="15" customHeight="1">
      <x:c r="A358" s="55" t="str">
        <x:v>無雙熾獄刀</x:v>
      </x:c>
      <x:c r="B358" s="55" t="str">
        <x:v>—</x:v>
      </x:c>
      <x:c r="C358" s="55" t="str">
        <x:v>—</x:v>
      </x:c>
      <x:c r="D358" s="55" t="str">
        <x:v>—</x:v>
      </x:c>
      <x:c r="E358" s="55" t="inlineStr">
        <x:is>
          <x:t>煉獄無雙錦囊（網站未列地圖）</x:t>
        </x:is>
      </x:c>
    </x:row>
    <x:row r="359" ht="45" customHeight="1">
      <x:c r="A359" s="55" t="str">
        <x:v>無盡灼熱刀</x:v>
      </x:c>
      <x:c r="B359" s="55" t="str">
        <x:v>—</x:v>
      </x:c>
      <x:c r="C359" s="55" t="str">
        <x:v>—</x:v>
      </x:c>
      <x:c r="D359" s="55" t="str">
        <x:v>—</x:v>
      </x:c>
      <x:c r="E359" s="55" t="inlineStr">
        <x:is>
          <x:t>阿鼻邪兵戰匣（網站未列地圖）；煉獄邪兵戰匣（網站未列地圖）；征鬼勇士錦囊（網站未列地圖）；激震土靈（漆黑水路、真知寺）；絕凍冰妖（萬岳聖峰、香格里拉聖路）；真知聖戰士（飛簷頂徑、波斯西市、法誡參道、漆黑水路）；十獄殿主（森羅閻殿、奈落紅川、荒禍殘墟）</x:t>
        </x:is>
      </x:c>
    </x:row>
    <x:row r="360" ht="30" customHeight="1">
      <x:c r="A360" s="55" t="str">
        <x:v>無窮業障刀</x:v>
      </x:c>
      <x:c r="B360" s="55" t="str">
        <x:v>—</x:v>
      </x:c>
      <x:c r="C360" s="55" t="str">
        <x:v>—</x:v>
      </x:c>
      <x:c r="D360" s="55" t="str">
        <x:v>—</x:v>
      </x:c>
      <x:c r="E360" s="55" t="inlineStr">
        <x:is>
          <x:t>阿鼻邪兵戰匣（網站未列地圖）；煉獄邪兵戰匣（網站未列地圖）；森羅大殿主（天戮魔殿）；赫丕族女（止戰邊境、豐穗平原）</x:t>
        </x:is>
      </x:c>
    </x:row>
    <x:row r="361" ht="45" customHeight="1">
      <x:c r="A361" s="55" t="str">
        <x:v>魑魅刀</x:v>
      </x:c>
      <x:c r="B361" s="55" t="str">
        <x:v>—</x:v>
      </x:c>
      <x:c r="C361" s="55" t="str">
        <x:v>—</x:v>
      </x:c>
      <x:c r="D361" s="55" t="str">
        <x:v>—</x:v>
      </x:c>
      <x:c r="E361" s="55" t="inlineStr">
        <x:is>
          <x:t>無間邪兵戰匣（網站未列地圖）；阿鼻邪兵戰匣（網站未列地圖）；傾天絕邪（寒愴冰獄）；征鬼勇士錦囊（網站未列地圖）；波斯戰士（止戰邊境）；巨憾之土（清教院街、波斯西市）；旱疆土妖（網站未列地圖）；[巨憾之土]（網站未列地圖）；森羅大殿主（天戮魔殿）</x:t>
        </x:is>
      </x:c>
    </x:row>
    <x:row r="362" ht="45" customHeight="1">
      <x:c r="A362" s="55" t="str">
        <x:v>閻魔羅闍刀</x:v>
      </x:c>
      <x:c r="B362" s="55" t="str">
        <x:v>—</x:v>
      </x:c>
      <x:c r="C362" s="55" t="str">
        <x:v>—</x:v>
      </x:c>
      <x:c r="D362" s="55" t="str">
        <x:v>—</x:v>
      </x:c>
      <x:c r="E362" s="55" t="inlineStr">
        <x:is>
          <x:t>無間邪兵戰匣（網站未列地圖）；無間邪兵戰匣（網站未列地圖）；傾天絕邪（寒愴冰獄）；征鬼勇士錦囊（網站未列地圖）；巡天監（登龍道、凌風修境、繚空碎島）；魏基（獅堡軍事區）；搫土聖靈（萬識聖宮）；太古土魁（網站未列地圖）</x:t>
        </x:is>
      </x:c>
    </x:row>
    <x:row r="363" ht="15" customHeight="1">
      <x:c r="A363" s="55" t="str">
        <x:v>萬業江山刀</x:v>
      </x:c>
      <x:c r="B363" s="55" t="str">
        <x:v>—</x:v>
      </x:c>
      <x:c r="C363" s="55" t="str">
        <x:v>—</x:v>
      </x:c>
      <x:c r="D363" s="55" t="str">
        <x:v>—</x:v>
      </x:c>
      <x:c r="E363" s="55" t="inlineStr">
        <x:is>
          <x:t>無間邪兵戰匣（網站未列地圖）；無間邪兵戰匣（網站未列地圖）；傾天絕邪（寒愴冰獄）</x:t>
        </x:is>
      </x:c>
    </x:row>
    <x:row r="364" ht="15" customHeight="1">
      <x:c r="A364" s="55" t="str">
        <x:v>妖滅天殛魔刀</x:v>
      </x:c>
      <x:c r="B364" s="55" t="str">
        <x:v>—</x:v>
      </x:c>
      <x:c r="C364" s="55" t="str">
        <x:v>—</x:v>
      </x:c>
      <x:c r="D364" s="55" t="str">
        <x:v>—</x:v>
      </x:c>
      <x:c r="E364" s="55" t="inlineStr">
        <x:is>
          <x:t>天殛邪兵錦囊（網站未列地圖）</x:t>
        </x:is>
      </x:c>
    </x:row>
    <x:row r="365" ht="15" customHeight="1">
      <x:c r="A365" s="55" t="str">
        <x:v>凶亡天殛魔刀</x:v>
      </x:c>
      <x:c r="B365" s="55" t="str">
        <x:v>—</x:v>
      </x:c>
      <x:c r="C365" s="55" t="str">
        <x:v>—</x:v>
      </x:c>
      <x:c r="D365" s="55" t="str">
        <x:v>—</x:v>
      </x:c>
      <x:c r="E365" s="55" t="inlineStr">
        <x:is>
          <x:t>天殛邪兵錦囊（網站未列地圖）</x:t>
        </x:is>
      </x:c>
    </x:row>
    <x:row r="366" ht="15" customHeight="1">
      <x:c r="A366" s="55" t="str">
        <x:v>惡斬天殛魔刀</x:v>
      </x:c>
      <x:c r="B366" s="55" t="str">
        <x:v>—</x:v>
      </x:c>
      <x:c r="C366" s="55" t="str">
        <x:v>—</x:v>
      </x:c>
      <x:c r="D366" s="55" t="str">
        <x:v>—</x:v>
      </x:c>
      <x:c r="E366" s="55" t="inlineStr">
        <x:is>
          <x:t>天殛邪兵錦囊（網站未列地圖）</x:t>
        </x:is>
      </x:c>
    </x:row>
    <x:row r="367" ht="15" customHeight="1">
      <x:c r="A367" s="55" t="str">
        <x:v>獸殺天殛魔刀</x:v>
      </x:c>
      <x:c r="B367" s="55" t="str">
        <x:v>—</x:v>
      </x:c>
      <x:c r="C367" s="55" t="str">
        <x:v>—</x:v>
      </x:c>
      <x:c r="D367" s="55" t="str">
        <x:v>—</x:v>
      </x:c>
      <x:c r="E367" s="55" t="inlineStr">
        <x:is>
          <x:t>天殛邪兵錦囊（網站未列地圖）</x:t>
        </x:is>
      </x:c>
    </x:row>
    <x:row r="368" ht="30" customHeight="1">
      <x:c r="A368" s="55" t="str">
        <x:v>無界刀</x:v>
      </x:c>
      <x:c r="B368" s="55" t="str">
        <x:v>—</x:v>
      </x:c>
      <x:c r="C368" s="55" t="str">
        <x:v>—</x:v>
      </x:c>
      <x:c r="D368" s="55" t="str">
        <x:v>—</x:v>
      </x:c>
      <x:c r="E368" s="55" t="inlineStr">
        <x:is>
          <x:t>頂峰神兵錦囊（網站未列地圖）；天藏勇士錦囊（網站未列地圖）；天鬼神羅奢薩（神煉之間）；酷瘧蜥魔（獅堡軍事區、凱旋廣場、聖禱天廳）；笑傲飛鷹（登龍道）；激震土靈（漆黑水路、真知寺）</x:t>
        </x:is>
      </x:c>
    </x:row>
    <x:row r="369" ht="30" customHeight="1">
      <x:c r="A369" s="55" t="str">
        <x:v>太古無界刀</x:v>
      </x:c>
      <x:c r="B369" s="55" t="str">
        <x:v>—</x:v>
      </x:c>
      <x:c r="C369" s="55" t="str">
        <x:v>—</x:v>
      </x:c>
      <x:c r="D369" s="55" t="str">
        <x:v>—</x:v>
      </x:c>
      <x:c r="E369" s="55" t="inlineStr">
        <x:is>
          <x:t>天藏太古神兵聖箱（網站未列地圖）；兔兒皇（網站未列地圖）；九華神曜龍（天授之間）；龍磐帝蠻（吐蕃集鎮、香格里拉聖路、香格里拉神廟、天授之間）；凍界蠻王（網站未列地圖）</x:t>
        </x:is>
      </x:c>
    </x:row>
    <x:row r="370" ht="15" customHeight="1">
      <x:c r="A370" s="55" t="str">
        <x:v>無雙無界刀</x:v>
      </x:c>
      <x:c r="B370" s="55" t="str">
        <x:v>—</x:v>
      </x:c>
      <x:c r="C370" s="55" t="str">
        <x:v>—</x:v>
      </x:c>
      <x:c r="D370" s="55" t="str">
        <x:v>—</x:v>
      </x:c>
      <x:c r="E370" s="55" t="inlineStr">
        <x:is>
          <x:t>天藏無雙錦囊（網站未列地圖）</x:t>
        </x:is>
      </x:c>
    </x:row>
    <x:row r="371" ht="30" customHeight="1">
      <x:c r="A371" s="55" t="str">
        <x:v>天霸無界刀</x:v>
      </x:c>
      <x:c r="B371" s="55" t="str">
        <x:v>—</x:v>
      </x:c>
      <x:c r="C371" s="55" t="str">
        <x:v>—</x:v>
      </x:c>
      <x:c r="D371" s="55" t="str">
        <x:v>—</x:v>
      </x:c>
      <x:c r="E371" s="55" t="inlineStr">
        <x:is>
          <x:t>聖路神兵聖箱（網站未列地圖）；神來裝樂透卡之十（網站未列地圖）；香格里拉武匣（網站未列地圖）；天藏勇士錦囊（網站未列地圖）；原始風靈（擎空壁壘）</x:t>
        </x:is>
      </x:c>
    </x:row>
    <x:row r="372" ht="30" customHeight="1">
      <x:c r="A372" s="55" t="str">
        <x:v>萬滅無界刀</x:v>
      </x:c>
      <x:c r="B372" s="55" t="str">
        <x:v>—</x:v>
      </x:c>
      <x:c r="C372" s="55" t="str">
        <x:v>—</x:v>
      </x:c>
      <x:c r="D372" s="55" t="str">
        <x:v>—</x:v>
      </x:c>
      <x:c r="E372" s="55" t="inlineStr">
        <x:is>
          <x:t>聖路神兵聖箱（網站未列地圖）；神來裝樂透卡之十（網站未列地圖）；香格里拉武匣（網站未列地圖）；天藏勇士錦囊（網站未列地圖）；詛咒骸骨兵（血鴉嶺）</x:t>
        </x:is>
      </x:c>
    </x:row>
    <x:row r="373" ht="15" customHeight="1">
      <x:c r="A373" s="55" t="str">
        <x:v>太法刀</x:v>
      </x:c>
      <x:c r="B373" s="55" t="str">
        <x:v>—</x:v>
      </x:c>
      <x:c r="C373" s="55" t="str">
        <x:v>—</x:v>
      </x:c>
      <x:c r="D373" s="55" t="str">
        <x:v>—</x:v>
      </x:c>
      <x:c r="E373" s="55" t="inlineStr">
        <x:is>
          <x:t>天光神兵聖匣（網站未列地圖）；神火領主（凱旋廣場、聖禱天廳）；巡天千戶（飛雲忘野、橫劍天關）</x:t>
        </x:is>
      </x:c>
    </x:row>
    <x:row r="374" ht="15" customHeight="1">
      <x:c r="A374" s="55" t="str">
        <x:v>龍威太法刀</x:v>
      </x:c>
      <x:c r="B374" s="55" t="str">
        <x:v>—</x:v>
      </x:c>
      <x:c r="C374" s="55" t="str">
        <x:v>—</x:v>
      </x:c>
      <x:c r="D374" s="55" t="str">
        <x:v>—</x:v>
      </x:c>
      <x:c r="E374" s="55" t="inlineStr">
        <x:is>
          <x:t>顛峰神兵聖匣（網站未列地圖）；香格里拉武匣（網站未列地圖）；雷公（凌風修境、繚空碎島）</x:t>
        </x:is>
      </x:c>
    </x:row>
    <x:row r="375" ht="30" customHeight="1">
      <x:c r="A375" s="55" t="str">
        <x:v>皇胤太法刀</x:v>
      </x:c>
      <x:c r="B375" s="55" t="str">
        <x:v>—</x:v>
      </x:c>
      <x:c r="C375" s="55" t="str">
        <x:v>—</x:v>
      </x:c>
      <x:c r="D375" s="55" t="str">
        <x:v>—</x:v>
      </x:c>
      <x:c r="E375" s="55" t="inlineStr">
        <x:is>
          <x:t>顛峰神兵聖匣（網站未列地圖）；香格里拉武匣（網站未列地圖）；巡天監（登龍道、凌風修境、繚空碎島）；魏基（獅堡軍事區）</x:t>
        </x:is>
      </x:c>
    </x:row>
    <x:row r="376" ht="15" customHeight="1">
      <x:c r="A376" s="55" t="str">
        <x:v>無界黑燄刀</x:v>
      </x:c>
      <x:c r="B376" s="55" t="str">
        <x:v>—</x:v>
      </x:c>
      <x:c r="C376" s="55" t="str">
        <x:v>—</x:v>
      </x:c>
      <x:c r="D376" s="55" t="str">
        <x:v>—</x:v>
      </x:c>
      <x:c r="E376" s="55" t="inlineStr">
        <x:is>
          <x:t>稀奇裝備箱．乙式（網站未列地圖）</x:t>
        </x:is>
      </x:c>
    </x:row>
    <x:row r="377" ht="15" customHeight="1">
      <x:c r="A377" s="55" t="str">
        <x:v>摩利支天刀</x:v>
      </x:c>
      <x:c r="B377" s="55" t="str">
        <x:v>—</x:v>
      </x:c>
      <x:c r="C377" s="55" t="str">
        <x:v>—</x:v>
      </x:c>
      <x:c r="D377" s="55" t="str">
        <x:v>—</x:v>
      </x:c>
      <x:c r="E377" s="55" t="inlineStr">
        <x:is>
          <x:t>聖魔永劫戰匣（網站未列地圖）</x:t>
        </x:is>
      </x:c>
    </x:row>
    <x:row r="378" ht="15" customHeight="1">
      <x:c r="A378" s="55" t="str">
        <x:v>吠檀多咒刃</x:v>
      </x:c>
      <x:c r="B378" s="55" t="str">
        <x:v>—</x:v>
      </x:c>
      <x:c r="C378" s="55" t="str">
        <x:v>—</x:v>
      </x:c>
      <x:c r="D378" s="55" t="str">
        <x:v>—</x:v>
      </x:c>
      <x:c r="E378" s="55" t="inlineStr">
        <x:is>
          <x:t>聖魔永劫戰匣（網站未列地圖）</x:t>
        </x:is>
      </x:c>
    </x:row>
    <x:row r="379" ht="15" customHeight="1">
      <x:c r="A379" s="55" t="str">
        <x:v>波斯刀</x:v>
      </x:c>
      <x:c r="B379" s="55" t="str">
        <x:v>—</x:v>
      </x:c>
      <x:c r="C379" s="55" t="str">
        <x:v>—</x:v>
      </x:c>
      <x:c r="D379" s="55" t="str">
        <x:v>—</x:v>
      </x:c>
      <x:c r="E379" s="55" t="inlineStr">
        <x:is>
          <x:t>波斯神兵寶箱（網站未列地圖）；酷瘧蜥魔（獅堡軍事區、凱旋廣場、聖禱天廳）</x:t>
        </x:is>
      </x:c>
    </x:row>
    <x:row r="380" ht="15" customHeight="1">
      <x:c r="A380" s="55" t="str">
        <x:v>太古波斯刀</x:v>
      </x:c>
      <x:c r="B380" s="55" t="str">
        <x:v>—</x:v>
      </x:c>
      <x:c r="C380" s="55" t="str">
        <x:v>—</x:v>
      </x:c>
      <x:c r="D380" s="55" t="str">
        <x:v>—</x:v>
      </x:c>
      <x:c r="E380" s="55" t="inlineStr">
        <x:is>
          <x:t>波斯太古神兵聖箱（網站未列地圖）；米諾陶勒斯（神臨之地）；&lt;米諾陶勒斯&gt;（修羅級神臨之地）</x:t>
        </x:is>
      </x:c>
    </x:row>
    <x:row r="381" ht="15" customHeight="1">
      <x:c r="A381" s="55" t="str">
        <x:v>無雙波斯刀</x:v>
      </x:c>
      <x:c r="B381" s="55" t="str">
        <x:v>—</x:v>
      </x:c>
      <x:c r="C381" s="55" t="str">
        <x:v>—</x:v>
      </x:c>
      <x:c r="D381" s="55" t="str">
        <x:v>—</x:v>
      </x:c>
      <x:c r="E381" s="55" t="inlineStr">
        <x:is>
          <x:t>波斯無雙錦囊（網站未列地圖）</x:t>
        </x:is>
      </x:c>
    </x:row>
    <x:row r="382" ht="15" customHeight="1">
      <x:c r="A382" s="55" t="str">
        <x:v>斬鐵聖使刀</x:v>
      </x:c>
      <x:c r="B382" s="55" t="str">
        <x:v>—</x:v>
      </x:c>
      <x:c r="C382" s="55" t="str">
        <x:v>—</x:v>
      </x:c>
      <x:c r="D382" s="55" t="str">
        <x:v>—</x:v>
      </x:c>
      <x:c r="E382" s="55" t="inlineStr">
        <x:is>
          <x:t>真知神兵金盒（網站未列地圖）；波斯千武印箱（網站未列地圖）；萬識飛升聖匣（網站未列地圖）</x:t>
        </x:is>
      </x:c>
    </x:row>
    <x:row r="383" ht="30" customHeight="1">
      <x:c r="A383" s="55" t="str">
        <x:v>斷鋼神將刀</x:v>
      </x:c>
      <x:c r="B383" s="55" t="str">
        <x:v>—</x:v>
      </x:c>
      <x:c r="C383" s="55" t="str">
        <x:v>—</x:v>
      </x:c>
      <x:c r="D383" s="55" t="str">
        <x:v>—</x:v>
      </x:c>
      <x:c r="E383" s="55" t="inlineStr">
        <x:is>
          <x:t>真知神兵金盒（網站未列地圖）；波斯千武印箱（網站未列地圖）；萬識飛升聖匣（網站未列地圖）；九天神將（仙庭玉階、闕真金閣）；八界武軍（網站未列地圖）</x:t>
        </x:is>
      </x:c>
    </x:row>
    <x:row r="384" ht="30" customHeight="1">
      <x:c r="A384" s="55" t="str">
        <x:v>相元刀</x:v>
      </x:c>
      <x:c r="B384" s="55" t="str">
        <x:v>—</x:v>
      </x:c>
      <x:c r="C384" s="55" t="str">
        <x:v>—</x:v>
      </x:c>
      <x:c r="D384" s="55" t="str">
        <x:v>—</x:v>
      </x:c>
      <x:c r="E384" s="55" t="inlineStr">
        <x:is>
          <x:t>武皇神兵寶箱（網站未列地圖）；波斯千武印箱（網站未列地圖）；&lt;真知太聖衛&gt;（真七寶仙境　貳）；神火領主（凱旋廣場、聖禱天廳）；巡天千戶（飛雲忘野、橫劍天關）</x:t>
        </x:is>
      </x:c>
    </x:row>
    <x:row r="385" ht="30" customHeight="1">
      <x:c r="A385" s="55" t="str">
        <x:v>太古相元刀</x:v>
      </x:c>
      <x:c r="B385" s="55" t="str">
        <x:v>—</x:v>
      </x:c>
      <x:c r="C385" s="55" t="str">
        <x:v>—</x:v>
      </x:c>
      <x:c r="D385" s="55" t="str">
        <x:v>—</x:v>
      </x:c>
      <x:c r="E385" s="55" t="inlineStr">
        <x:is>
          <x:t>年大媽（網站未列地圖）；波斯太古神兵聖箱（網站未列地圖）；狂怒之魔（神臨之地）；&lt;狂怒之魔&gt;（修羅級神臨之地）</x:t>
        </x:is>
      </x:c>
    </x:row>
    <x:row r="386" ht="15" customHeight="1">
      <x:c r="A386" s="55" t="str">
        <x:v>天成四極刀</x:v>
      </x:c>
      <x:c r="B386" s="55" t="str">
        <x:v>—</x:v>
      </x:c>
      <x:c r="C386" s="55" t="str">
        <x:v>—</x:v>
      </x:c>
      <x:c r="D386" s="55" t="str">
        <x:v>—</x:v>
      </x:c>
      <x:c r="E386" s="55" t="inlineStr">
        <x:is>
          <x:t>巴比倫神兵寶箱（網站未列地圖）；萬識飛升聖匣（網站未列地圖）；饕餮（飛雲忘野、橫劍天關、仙庭玉階）</x:t>
        </x:is>
      </x:c>
    </x:row>
    <x:row r="387" ht="15" customHeight="1">
      <x:c r="A387" s="55" t="str">
        <x:v>真仰御靈刀</x:v>
      </x:c>
      <x:c r="B387" s="55" t="str">
        <x:v>—</x:v>
      </x:c>
      <x:c r="C387" s="55" t="str">
        <x:v>—</x:v>
      </x:c>
      <x:c r="D387" s="55" t="str">
        <x:v>—</x:v>
      </x:c>
      <x:c r="E387" s="55" t="inlineStr">
        <x:is>
          <x:t>巴比倫神兵寶箱（網站未列地圖）；萬識飛升聖匣（網站未列地圖）；雷公（凌風修境、繚空碎島）</x:t>
        </x:is>
      </x:c>
    </x:row>
    <x:row r="388" ht="30" customHeight="1">
      <x:c r="A388" s="55" t="str">
        <x:v>太古太法刀</x:v>
      </x:c>
      <x:c r="B388" s="55" t="str">
        <x:v>—</x:v>
      </x:c>
      <x:c r="C388" s="55" t="str">
        <x:v>—</x:v>
      </x:c>
      <x:c r="D388" s="55" t="str">
        <x:v>—</x:v>
      </x:c>
      <x:c r="E388" s="55" t="inlineStr">
        <x:is>
          <x:t>天藏太古神兵聖箱（網站未列地圖）；查拉欽（飛昇大廳）；&lt;查拉欽&gt;（真七寶仙境　貳）；裂土真帝靈（飛昇大廳）；&lt;裂土真帝靈&gt;（真七寶仙境　貳）；搫土聖靈（萬識聖宮）；太古土魁（網站未列地圖）</x:t>
        </x:is>
      </x:c>
    </x:row>
    <x:row r="389" ht="15" customHeight="1">
      <x:c r="A389" s="55" t="str">
        <x:v>獅皇刃</x:v>
      </x:c>
      <x:c r="B389" s="55" t="str">
        <x:v>—</x:v>
      </x:c>
      <x:c r="C389" s="55" t="str">
        <x:v>—</x:v>
      </x:c>
      <x:c r="D389" s="55" t="str">
        <x:v>—</x:v>
      </x:c>
      <x:c r="E389" s="55" t="inlineStr">
        <x:is>
          <x:t>帝國神兵寶箱（網站未列地圖）；天地宰相（仙庭玉階）；驚雷鴻蛟（天啟八關）</x:t>
        </x:is>
      </x:c>
    </x:row>
    <x:row r="390" ht="15" customHeight="1">
      <x:c r="A390" s="55" t="str">
        <x:v>太古獅皇刃</x:v>
      </x:c>
      <x:c r="B390" s="55" t="str">
        <x:v>—</x:v>
      </x:c>
      <x:c r="C390" s="55" t="str">
        <x:v>—</x:v>
      </x:c>
      <x:c r="D390" s="55" t="str">
        <x:v>—</x:v>
      </x:c>
      <x:c r="E390" s="55" t="inlineStr">
        <x:is>
          <x:t>帝國太古神兵聖箱（網站未列地圖）；典藏神臨寶箱（網站未列地圖）；帝御飛龍維邦（獅堡軍事區）</x:t>
        </x:is>
      </x:c>
    </x:row>
    <x:row r="391" ht="15" customHeight="1">
      <x:c r="A391" s="55" t="str">
        <x:v>無雙獅皇刃</x:v>
      </x:c>
      <x:c r="B391" s="55" t="str">
        <x:v>—</x:v>
      </x:c>
      <x:c r="C391" s="55" t="str">
        <x:v>—</x:v>
      </x:c>
      <x:c r="D391" s="55" t="str">
        <x:v>—</x:v>
      </x:c>
      <x:c r="E391" s="55" t="inlineStr">
        <x:is>
          <x:t>帝國無雙錦囊（網站未列地圖）</x:t>
        </x:is>
      </x:c>
    </x:row>
    <x:row r="392" ht="15" customHeight="1">
      <x:c r="A392" s="55" t="str">
        <x:v>聖帝鋼獅刃</x:v>
      </x:c>
      <x:c r="B392" s="55" t="str">
        <x:v>—</x:v>
      </x:c>
      <x:c r="C392" s="55" t="str">
        <x:v>—</x:v>
      </x:c>
      <x:c r="D392" s="55" t="str">
        <x:v>—</x:v>
      </x:c>
      <x:c r="E392" s="55" t="inlineStr">
        <x:is>
          <x:t>獅皇神兵寶箱（網站未列地圖）；九天神將（仙庭玉階、闕真金閣）；八界武軍（網站未列地圖）</x:t>
        </x:is>
      </x:c>
    </x:row>
    <x:row r="393" ht="15" customHeight="1">
      <x:c r="A393" s="55" t="str">
        <x:v>勇者獅心刃</x:v>
      </x:c>
      <x:c r="B393" s="55" t="str">
        <x:v>—</x:v>
      </x:c>
      <x:c r="C393" s="55" t="str">
        <x:v>—</x:v>
      </x:c>
      <x:c r="D393" s="55" t="str">
        <x:v>—</x:v>
      </x:c>
      <x:c r="E393" s="55" t="inlineStr">
        <x:is>
          <x:t>獅皇神兵寶箱（網站未列地圖）</x:t>
        </x:is>
      </x:c>
    </x:row>
    <x:row r="394" ht="15" customHeight="1">
      <x:c r="A394" s="55" t="str">
        <x:v>破龍斬</x:v>
      </x:c>
      <x:c r="B394" s="55" t="str">
        <x:v>—</x:v>
      </x:c>
      <x:c r="C394" s="55" t="str">
        <x:v>—</x:v>
      </x:c>
      <x:c r="D394" s="55" t="str">
        <x:v>—</x:v>
      </x:c>
      <x:c r="E394" s="55" t="inlineStr">
        <x:is>
          <x:t>歐帝神兵寶箱（網站未列地圖）；天柱巨靈（紫雷轟原）</x:t>
        </x:is>
      </x:c>
    </x:row>
    <x:row r="395" ht="15" customHeight="1">
      <x:c r="A395" s="55" t="str">
        <x:v>太古破龍斬</x:v>
      </x:c>
      <x:c r="B395" s="55" t="str">
        <x:v>—</x:v>
      </x:c>
      <x:c r="C395" s="55" t="str">
        <x:v>—</x:v>
      </x:c>
      <x:c r="D395" s="55" t="str">
        <x:v>—</x:v>
      </x:c>
      <x:c r="E395" s="55" t="inlineStr">
        <x:is>
          <x:t>帝國太古神兵聖箱（網站未列地圖）；武神（網站未列地圖）；迴天九翼蝶（九霄天樓）</x:t>
        </x:is>
      </x:c>
    </x:row>
    <x:row r="396" ht="15" customHeight="1">
      <x:c r="A396" s="55" t="str">
        <x:v>屠龍勇士刀</x:v>
      </x:c>
      <x:c r="B396" s="55" t="str">
        <x:v>—</x:v>
      </x:c>
      <x:c r="C396" s="55" t="str">
        <x:v>—</x:v>
      </x:c>
      <x:c r="D396" s="55" t="str">
        <x:v>—</x:v>
      </x:c>
      <x:c r="E396" s="55" t="inlineStr">
        <x:is>
          <x:t>君臨神兵寶箱（網站未列地圖）；玄台岩齡（四聖祭台）；饕餮（飛雲忘野、橫劍天關、仙庭玉階）</x:t>
        </x:is>
      </x:c>
    </x:row>
    <x:row r="397" ht="30" customHeight="1">
      <x:c r="A397" s="55" t="str">
        <x:v>龍魂冠軍刀</x:v>
      </x:c>
      <x:c r="B397" s="55" t="str">
        <x:v>—</x:v>
      </x:c>
      <x:c r="C397" s="55" t="str">
        <x:v>—</x:v>
      </x:c>
      <x:c r="D397" s="55" t="str">
        <x:v>—</x:v>
      </x:c>
      <x:c r="E397" s="55" t="inlineStr">
        <x:is>
          <x:t>君臨神兵寶箱（網站未列地圖）；真勇修者（四聖祭台）；巨靈魔（異時界‧亂藤林）；疲憊的巨靈魔（異時界‧亂藤林東）</x:t>
        </x:is>
      </x:c>
    </x:row>
    <x:row r="398" ht="15" customHeight="1">
      <x:c r="A398" s="55" t="str">
        <x:v>斬惡聖衛巨刃</x:v>
      </x:c>
      <x:c r="B398" s="55" t="str">
        <x:v>—</x:v>
      </x:c>
      <x:c r="C398" s="55" t="str">
        <x:v>—</x:v>
      </x:c>
      <x:c r="D398" s="55" t="str">
        <x:v>—</x:v>
      </x:c>
      <x:c r="E398" s="55" t="inlineStr">
        <x:is>
          <x:t>雄武聖兵寶樞（網站未列地圖）</x:t>
        </x:is>
      </x:c>
    </x:row>
    <x:row r="399" ht="15" customHeight="1">
      <x:c r="A399" s="55" t="str">
        <x:v>誅魔聖衛巨刃</x:v>
      </x:c>
      <x:c r="B399" s="55" t="str">
        <x:v>—</x:v>
      </x:c>
      <x:c r="C399" s="55" t="str">
        <x:v>—</x:v>
      </x:c>
      <x:c r="D399" s="55" t="str">
        <x:v>—</x:v>
      </x:c>
      <x:c r="E399" s="55" t="inlineStr">
        <x:is>
          <x:t>雄武聖兵寶樞（網站未列地圖）</x:t>
        </x:is>
      </x:c>
    </x:row>
    <x:row r="400" ht="15" customHeight="1">
      <x:c r="A400" s="55" t="str">
        <x:v>獸魂聖衛巨刃</x:v>
      </x:c>
      <x:c r="B400" s="55" t="str">
        <x:v>—</x:v>
      </x:c>
      <x:c r="C400" s="55" t="str">
        <x:v>—</x:v>
      </x:c>
      <x:c r="D400" s="55" t="str">
        <x:v>—</x:v>
      </x:c>
      <x:c r="E400" s="55" t="inlineStr">
        <x:is>
          <x:t>雄武聖兵寶樞（網站未列地圖）</x:t>
        </x:is>
      </x:c>
    </x:row>
    <x:row r="401" ht="15" customHeight="1">
      <x:c r="A401" s="55" t="str">
        <x:v>屠龍聖衛巨刃</x:v>
      </x:c>
      <x:c r="B401" s="55" t="str">
        <x:v>—</x:v>
      </x:c>
      <x:c r="C401" s="55" t="str">
        <x:v>—</x:v>
      </x:c>
      <x:c r="D401" s="55" t="str">
        <x:v>—</x:v>
      </x:c>
      <x:c r="E401" s="55" t="inlineStr">
        <x:is>
          <x:t>雄武聖兵寶樞（網站未列地圖）</x:t>
        </x:is>
      </x:c>
    </x:row>
    <x:row r="402" ht="15" customHeight="1">
      <x:c r="A402" s="55" t="str">
        <x:v>滅幻刀</x:v>
      </x:c>
      <x:c r="B402" s="55" t="str">
        <x:v>—</x:v>
      </x:c>
      <x:c r="C402" s="55" t="str">
        <x:v>—</x:v>
      </x:c>
      <x:c r="D402" s="55" t="str">
        <x:v>—</x:v>
      </x:c>
      <x:c r="E402" s="55" t="inlineStr">
        <x:is>
          <x:t>九天神兵寶箱（網站未列地圖）；裂軀王龍（青龍東殿）；天地宰相（仙庭玉階）；穹天軍長（天啟八關）</x:t>
        </x:is>
      </x:c>
    </x:row>
    <x:row r="403" ht="30" customHeight="1">
      <x:c r="A403" s="55" t="str">
        <x:v>太古滅幻刀</x:v>
      </x:c>
      <x:c r="B403" s="55" t="str">
        <x:v>—</x:v>
      </x:c>
      <x:c r="C403" s="55" t="str">
        <x:v>—</x:v>
      </x:c>
      <x:c r="D403" s="55" t="str">
        <x:v>—</x:v>
      </x:c>
      <x:c r="E403" s="55" t="inlineStr">
        <x:is>
          <x:t>九天太古神兵聖箱（網站未列地圖）；幻魔忍無鄉（橫劍天關）；仙典九天寶箱（網站未列地圖）；&lt;迴天九翼蝶&gt;（修羅級九霄天樓）；&lt;天龍驃龍神&gt;（修羅級九霄天樓）</x:t>
        </x:is>
      </x:c>
    </x:row>
    <x:row r="404" ht="15" customHeight="1">
      <x:c r="A404" s="55" t="str">
        <x:v>夢月纓絡刀</x:v>
      </x:c>
      <x:c r="B404" s="55" t="str">
        <x:v>—</x:v>
      </x:c>
      <x:c r="C404" s="55" t="str">
        <x:v>—</x:v>
      </x:c>
      <x:c r="D404" s="55" t="str">
        <x:v>—</x:v>
      </x:c>
      <x:c r="E404" s="55" t="inlineStr">
        <x:is>
          <x:t>飛仙神兵寶箱（網站未列地圖）；截拳虎衛（白虎西殿）</x:t>
        </x:is>
      </x:c>
    </x:row>
    <x:row r="405" ht="15" customHeight="1">
      <x:c r="A405" s="55" t="str">
        <x:v>忘野幻霧刀</x:v>
      </x:c>
      <x:c r="B405" s="55" t="str">
        <x:v>—</x:v>
      </x:c>
      <x:c r="C405" s="55" t="str">
        <x:v>—</x:v>
      </x:c>
      <x:c r="D405" s="55" t="str">
        <x:v>—</x:v>
      </x:c>
      <x:c r="E405" s="55" t="inlineStr">
        <x:is>
          <x:t>飛仙神兵寶箱（網站未列地圖）；虛辰戰虎（白虎西殿）</x:t>
        </x:is>
      </x:c>
    </x:row>
    <x:row r="406" ht="15" customHeight="1">
      <x:c r="A406" s="55" t="str">
        <x:v>龍脊刀</x:v>
      </x:c>
      <x:c r="B406" s="55" t="str">
        <x:v>—</x:v>
      </x:c>
      <x:c r="C406" s="55" t="str">
        <x:v>—</x:v>
      </x:c>
      <x:c r="D406" s="55" t="str">
        <x:v>—</x:v>
      </x:c>
      <x:c r="E406" s="55" t="inlineStr">
        <x:is>
          <x:t>仙庭神兵寶箱（網站未列地圖）；雀殿妃凰（朱雀南殿）；毒隱蠍（異時界‧亂藤林）；太古戰俑（紫雷轟原）</x:t>
        </x:is>
      </x:c>
    </x:row>
    <x:row r="407" ht="15" customHeight="1">
      <x:c r="A407" s="55" t="str">
        <x:v>太古龍脊刀</x:v>
      </x:c>
      <x:c r="B407" s="55" t="str">
        <x:v>—</x:v>
      </x:c>
      <x:c r="C407" s="55" t="str">
        <x:v>—</x:v>
      </x:c>
      <x:c r="D407" s="55" t="str">
        <x:v>—</x:v>
      </x:c>
      <x:c r="E407" s="55" t="inlineStr">
        <x:is>
          <x:t>九天太古神兵聖箱（網站未列地圖）；仙典真九天寶箱（網站未列地圖）</x:t>
        </x:is>
      </x:c>
    </x:row>
    <x:row r="408" ht="30" customHeight="1">
      <x:c r="A408" s="55" t="str">
        <x:v>傲天龍心刀</x:v>
      </x:c>
      <x:c r="B408" s="55" t="str">
        <x:v>—</x:v>
      </x:c>
      <x:c r="C408" s="55" t="str">
        <x:v>—</x:v>
      </x:c>
      <x:c r="D408" s="55" t="str">
        <x:v>—</x:v>
      </x:c>
      <x:c r="E408" s="55" t="inlineStr">
        <x:is>
          <x:t>修真神兵寶箱（網站未列地圖）；萬炎殺顱（朱雀南殿）；破日鬥龍（青龍東殿）；疲憊的夸父戰士（異時界‧亂藤林東）；玄台岩齡（四聖祭台）</x:t>
        </x:is>
      </x:c>
    </x:row>
    <x:row r="409" ht="30" customHeight="1">
      <x:c r="A409" s="55" t="str">
        <x:v>絕地神業刀</x:v>
      </x:c>
      <x:c r="B409" s="55" t="str">
        <x:v>—</x:v>
      </x:c>
      <x:c r="C409" s="55" t="str">
        <x:v>—</x:v>
      </x:c>
      <x:c r="D409" s="55" t="str">
        <x:v>—</x:v>
      </x:c>
      <x:c r="E409" s="55" t="inlineStr">
        <x:is>
          <x:t>修真神兵寶箱（網站未列地圖）；風行刀獸（白虎西殿）；紫暮影蛟（青龍東殿）；真勇修者（四聖祭台）；巨靈魔（異時界‧亂藤林）；疲憊的巨靈魔（異時界‧亂藤林東）</x:t>
        </x:is>
      </x:c>
    </x:row>
    <x:row r="410" ht="15" customHeight="1">
      <x:c r="A410" s="55" t="str">
        <x:v>御刀軍荼利</x:v>
      </x:c>
      <x:c r="B410" s="55" t="str">
        <x:v>—</x:v>
      </x:c>
      <x:c r="C410" s="55" t="str">
        <x:v>—</x:v>
      </x:c>
      <x:c r="D410" s="55" t="str">
        <x:v>—</x:v>
      </x:c>
      <x:c r="E410" s="55" t="inlineStr">
        <x:is>
          <x:t>浩陽神兵寶匣（網站未列地圖）</x:t>
        </x:is>
      </x:c>
    </x:row>
    <x:row r="411" ht="15" customHeight="1">
      <x:c r="A411" s="55" t="str">
        <x:v>寶生華王刀</x:v>
      </x:c>
      <x:c r="B411" s="55" t="str">
        <x:v>—</x:v>
      </x:c>
      <x:c r="C411" s="55" t="str">
        <x:v>—</x:v>
      </x:c>
      <x:c r="D411" s="55" t="str">
        <x:v>—</x:v>
      </x:c>
      <x:c r="E411" s="55" t="inlineStr">
        <x:is>
          <x:t>浩陽神兵寶匣（網站未列地圖）</x:t>
        </x:is>
      </x:c>
    </x:row>
    <x:row r="412" ht="30" customHeight="1">
      <x:c r="A412" s="55" t="str">
        <x:v>天鍛‧炎魄刀</x:v>
      </x:c>
      <x:c r="B412" s="55" t="str">
        <x:v>—</x:v>
      </x:c>
      <x:c r="C412" s="55" t="str">
        <x:v>—</x:v>
      </x:c>
      <x:c r="D412" s="55" t="str">
        <x:v>—</x:v>
      </x:c>
      <x:c r="E412" s="55" t="inlineStr">
        <x:is>
          <x:t>無限神兵寶箱（網站未列地圖）；八卦戰虎王（白虎西殿）；幻業勇魔（無限鬥界）；&lt;幻業勇魔&gt;（修羅級無限鬥界）；烈火蜈蚣（異時界‧亂藤林南）；造殺判官（異時界‧亂藤林西）；巖崴魔魁（玄武北殿）</x:t>
        </x:is>
      </x:c>
    </x:row>
    <x:row r="413" ht="30" customHeight="1">
      <x:c r="A413" s="55" t="str">
        <x:v>仙鑄‧炎魄刀</x:v>
      </x:c>
      <x:c r="B413" s="55" t="str">
        <x:v>—</x:v>
      </x:c>
      <x:c r="C413" s="55" t="str">
        <x:v>—</x:v>
      </x:c>
      <x:c r="D413" s="55" t="str">
        <x:v>—</x:v>
      </x:c>
      <x:c r="E413" s="55" t="inlineStr">
        <x:is>
          <x:t>大無限神兵寶箱（網站未列地圖）；侯氏兵甲福袋2015（網站未列地圖）；修羅巨蟒（異時界‧葬日沼南）；夸父猛者（異時界‧葬日沼南）；刑天殺者（異時界‧葬日沼南）；夜叉血刀妖（異時界‧夜叉嶺）</x:t>
        </x:is>
      </x:c>
    </x:row>
    <x:row r="414" ht="30" customHeight="1">
      <x:c r="A414" s="55" t="str">
        <x:v>神煉‧炎魄刀</x:v>
      </x:c>
      <x:c r="B414" s="55" t="str">
        <x:v>—</x:v>
      </x:c>
      <x:c r="C414" s="55" t="str">
        <x:v>—</x:v>
      </x:c>
      <x:c r="D414" s="55" t="str">
        <x:v>—</x:v>
      </x:c>
      <x:c r="E414" s="55" t="inlineStr">
        <x:is>
          <x:t>超無限神兵寶箱（網站未列地圖）；三之極限福袋（網站未列地圖）；凶星狼（覺無洋宇）；虛化夜叉（時沒邊界）；鬼河童‧強（殘雲天境）</x:t>
        </x:is>
      </x:c>
    </x:row>
    <x:row r="415" ht="30" customHeight="1">
      <x:c r="A415" s="55" t="str">
        <x:v>宇傲‧炎魄刀</x:v>
      </x:c>
      <x:c r="B415" s="55" t="str">
        <x:v>—</x:v>
      </x:c>
      <x:c r="C415" s="55" t="str">
        <x:v>—</x:v>
      </x:c>
      <x:c r="D415" s="55" t="str">
        <x:v>—</x:v>
      </x:c>
      <x:c r="E415" s="55" t="inlineStr">
        <x:is>
          <x:t>極無限神兵寶箱（網站未列地圖）；侯氏兵甲福袋2016（網站未列地圖）；渴血魔刀（觀無巽宇）；半截戰狂（觀無巽宇）；晶化蕈體（覺無洋宇）；幻鬼虎（覺無洋宇）；陌形武宗（時沒邊界）</x:t>
        </x:is>
      </x:c>
    </x:row>
    <x:row r="416" ht="30" customHeight="1">
      <x:c r="A416" s="55" t="str">
        <x:v>峻霆‧炎魄刀</x:v>
      </x:c>
      <x:c r="B416" s="55" t="str">
        <x:v>—</x:v>
      </x:c>
      <x:c r="C416" s="55" t="str">
        <x:v>—</x:v>
      </x:c>
      <x:c r="D416" s="55" t="str">
        <x:v>—</x:v>
      </x:c>
      <x:c r="E416" s="55" t="inlineStr">
        <x:is>
          <x:t>絕無限神兵寶箱（網站未列地圖）；眾天外邪（星群碎道）；禁軒瘋王（星群碎道）；亂刀八虛（不解迴路）；虛燁（虛空渦心）；永戰幽將（不解迴路）</x:t>
        </x:is>
      </x:c>
    </x:row>
    <x:row r="417" ht="30" customHeight="1">
      <x:c r="A417" s="55" t="str">
        <x:v>窮極‧炎魄刀</x:v>
      </x:c>
      <x:c r="B417" s="55" t="str">
        <x:v>—</x:v>
      </x:c>
      <x:c r="C417" s="55" t="str">
        <x:v>—</x:v>
      </x:c>
      <x:c r="D417" s="55" t="str">
        <x:v>—</x:v>
      </x:c>
      <x:c r="E417" s="55" t="inlineStr">
        <x:is>
          <x:t>無無限神兵寶箱（網站未列地圖）；搗蛋天鬼神（網站未列地圖）；賀歲大金雞（網站未列地圖）；沒世蒼勇冠（虛空渦心）</x:t>
        </x:is>
      </x:c>
    </x:row>
    <x:row r="418" ht="30" customHeight="1">
      <x:c r="A418" s="55" t="str">
        <x:v>元宙‧炎魄刀</x:v>
      </x:c>
      <x:c r="B418" s="55" t="str">
        <x:v>—</x:v>
      </x:c>
      <x:c r="C418" s="55" t="str">
        <x:v>—</x:v>
      </x:c>
      <x:c r="D418" s="55" t="str">
        <x:v>—</x:v>
      </x:c>
      <x:c r="E418" s="55" t="inlineStr">
        <x:is>
          <x:t>帝無限神兵寶箱（網站未列地圖）；兇殘之手（終末之塔第28層、終末之塔第27層）；切割者（終末之塔第19層）；負罪劈徒（終末之塔第6層、終末之塔第7層）</x:t>
        </x:is>
      </x:c>
    </x:row>
    <x:row r="419" ht="30" customHeight="1">
      <x:c r="A419" s="55" t="str">
        <x:v>真宇傲炎魄刀</x:v>
      </x:c>
      <x:c r="B419" s="55" t="str">
        <x:v>—</x:v>
      </x:c>
      <x:c r="C419" s="55" t="str">
        <x:v>—</x:v>
      </x:c>
      <x:c r="D419" s="55" t="str">
        <x:v>—</x:v>
      </x:c>
      <x:c r="E419" s="55" t="inlineStr">
        <x:is>
          <x:t>終無限神兵寶箱（網站未列地圖）；驚奇機棺（終末之塔第35層）；虛無狩鬼（終末之塔第50層、終末之塔第46層）；驚奇機棺（終末之塔第38層）；泥河鱷魔（吉薩走廊）</x:t>
        </x:is>
      </x:c>
    </x:row>
    <x:row r="420" ht="30" customHeight="1">
      <x:c r="A420" s="55" t="str">
        <x:v>流螢斬★</x:v>
      </x:c>
      <x:c r="B420" s="55" t="str">
        <x:v>—</x:v>
      </x:c>
      <x:c r="C420" s="55" t="str">
        <x:v>—</x:v>
      </x:c>
      <x:c r="D420" s="55" t="str">
        <x:v>—</x:v>
      </x:c>
      <x:c r="E420" s="55" t="inlineStr">
        <x:is>
          <x:t>仙星神兵寶箱（網站未列地圖）；天罪勇士錦囊（網站未列地圖）；尼絡狂鱷（終末之塔第54層、終末之塔第55層）；護聖刀將（王都盧索）；峽谷蠻獸（托勒密山麓）</x:t>
        </x:is>
      </x:c>
    </x:row>
    <x:row r="421" ht="30" customHeight="1">
      <x:c r="A421" s="55" t="str">
        <x:v>流螢斬★★</x:v>
      </x:c>
      <x:c r="B421" s="55" t="str">
        <x:v>—</x:v>
      </x:c>
      <x:c r="C421" s="55" t="str">
        <x:v>—</x:v>
      </x:c>
      <x:c r="D421" s="55" t="str">
        <x:v>—</x:v>
      </x:c>
      <x:c r="E421" s="55" t="inlineStr">
        <x:is>
          <x:t>真‧仙星神兵寶箱（網站未列地圖）；罪赦勇士錦囊（網站未列地圖）；暴拳狌狌（終末之塔第64層、終末之塔第65層）；壯脂鑿齒（終末之塔第68層、終末之塔第67層）；黑喪使徒（赫勒神殿遺址）；索貝克（荷魯斯聖祠）</x:t>
        </x:is>
      </x:c>
    </x:row>
    <x:row r="422" ht="15" customHeight="1">
      <x:c r="A422" s="55" t="str">
        <x:v>流螢斬★★★</x:v>
      </x:c>
      <x:c r="B422" s="55" t="str">
        <x:v>—</x:v>
      </x:c>
      <x:c r="C422" s="55" t="str">
        <x:v>—</x:v>
      </x:c>
      <x:c r="D422" s="55" t="str">
        <x:v>—</x:v>
      </x:c>
      <x:c r="E422" s="55" t="inlineStr">
        <x:is>
          <x:t>超‧仙星神兵寶箱（網站未列地圖）；終罪勇士錦囊（網站未列地圖）；虛行蜴魔（終末之塔第76層）</x:t>
        </x:is>
      </x:c>
    </x:row>
    <x:row r="423" ht="45" customHeight="1">
      <x:c r="A423" s="55" t="str">
        <x:v>武座刃☆</x:v>
      </x:c>
      <x:c r="B423" s="55" t="str">
        <x:v>—</x:v>
      </x:c>
      <x:c r="C423" s="55" t="str">
        <x:v>—</x:v>
      </x:c>
      <x:c r="D423" s="55" t="str">
        <x:v>—</x:v>
      </x:c>
      <x:c r="E423" s="55" t="inlineStr">
        <x:is>
          <x:t>煌星神兵寶箱（網站未列地圖）；天罪勇士錦囊（網站未列地圖）；秩騷謎兔（終末之塔第117層、終末之塔第115層、終末之塔第116層）；冥蔘化妖（終末之塔第111層、終末之塔第112層、終末之塔第113層）；巨冥虛蔘王（終末之塔第111層）；沉池鑿蝦（終末之塔第101層、終末之塔第106層、終末之塔第107層）</x:t>
        </x:is>
      </x:c>
    </x:row>
    <x:row r="424" ht="30" customHeight="1">
      <x:c r="A424" s="55" t="str">
        <x:v>武座刃☆☆</x:v>
      </x:c>
      <x:c r="B424" s="55" t="str">
        <x:v>—</x:v>
      </x:c>
      <x:c r="C424" s="55" t="str">
        <x:v>—</x:v>
      </x:c>
      <x:c r="D424" s="55" t="str">
        <x:v>—</x:v>
      </x:c>
      <x:c r="E424" s="55" t="inlineStr">
        <x:is>
          <x:t>真‧煌星神兵寶箱（網站未列地圖）；罪赦勇士錦囊（網站未列地圖）；淪劫徊者（終末之塔第119層）；裂地幼鮫（終末之塔第122層）</x:t>
        </x:is>
      </x:c>
    </x:row>
    <x:row r="425" ht="30" customHeight="1">
      <x:c r="A425" s="55" t="str">
        <x:v>武座刃☆☆☆</x:v>
      </x:c>
      <x:c r="B425" s="55" t="str">
        <x:v>—</x:v>
      </x:c>
      <x:c r="C425" s="55" t="str">
        <x:v>—</x:v>
      </x:c>
      <x:c r="D425" s="55" t="str">
        <x:v>—</x:v>
      </x:c>
      <x:c r="E425" s="55" t="inlineStr">
        <x:is>
          <x:t>超‧煌星神兵寶箱（網站未列地圖）；終罪勇士錦囊（網站未列地圖）；衛塔金獸（終末之塔第143層、終末之塔第146層）</x:t>
        </x:is>
      </x:c>
    </x:row>
    <x:row r="426" ht="15" customHeight="1">
      <x:c r="A426" s="55" t="str">
        <x:v>君諭刀☆</x:v>
      </x:c>
      <x:c r="B426" s="55" t="str">
        <x:v>—</x:v>
      </x:c>
      <x:c r="C426" s="55" t="str">
        <x:v>—</x:v>
      </x:c>
      <x:c r="D426" s="55" t="str">
        <x:v>—</x:v>
      </x:c>
      <x:c r="E426" s="55" t="inlineStr">
        <x:is>
          <x:t>帝星神兵寶箱（網站未列地圖）；北原俠女（西宮翠苑）</x:t>
        </x:is>
      </x:c>
    </x:row>
    <x:row r="427" ht="15" customHeight="1">
      <x:c r="A427" s="55" t="str">
        <x:v>君諭刀★</x:v>
      </x:c>
      <x:c r="B427" s="55" t="str">
        <x:v>—</x:v>
      </x:c>
      <x:c r="C427" s="55" t="str">
        <x:v>—</x:v>
      </x:c>
      <x:c r="D427" s="55" t="str">
        <x:v>—</x:v>
      </x:c>
      <x:c r="E427" s="55" t="inlineStr">
        <x:is>
          <x:t>真‧帝星神兵寶箱（網站未列地圖）</x:t>
        </x:is>
      </x:c>
    </x:row>
    <x:row r="428" ht="30" customHeight="1">
      <x:c r="A428" s="55" t="str">
        <x:v>君諭刀★☆</x:v>
      </x:c>
      <x:c r="B428" s="55" t="str">
        <x:v>—</x:v>
      </x:c>
      <x:c r="C428" s="55" t="str">
        <x:v>—</x:v>
      </x:c>
      <x:c r="D428" s="55" t="str">
        <x:v>—</x:v>
      </x:c>
      <x:c r="E428" s="55" t="inlineStr">
        <x:is>
          <x:t>超‧帝星神兵寶箱（網站未列地圖）；武冠勇士錦囊（網站未列地圖）；遊鬥客（山海長疆、東海道）；我流無賴（白餘古城）</x:t>
        </x:is>
      </x:c>
    </x:row>
    <x:row r="429" ht="15" customHeight="1">
      <x:c r="A429" s="55" t="str">
        <x:v>君諭刀★★</x:v>
      </x:c>
      <x:c r="B429" s="55" t="str">
        <x:v>—</x:v>
      </x:c>
      <x:c r="C429" s="55" t="str">
        <x:v>—</x:v>
      </x:c>
      <x:c r="D429" s="55" t="str">
        <x:v>—</x:v>
      </x:c>
      <x:c r="E429" s="55" t="inlineStr">
        <x:is>
          <x:t>極‧帝星神兵寶箱（網站未列地圖）；壹崎幻忍（濟馬島）</x:t>
        </x:is>
      </x:c>
    </x:row>
    <x:row r="430" ht="15" customHeight="1">
      <x:c r="A430" s="55" t="str">
        <x:v>君諭刀★★☆</x:v>
      </x:c>
      <x:c r="B430" s="55" t="str">
        <x:v>—</x:v>
      </x:c>
      <x:c r="C430" s="55" t="str">
        <x:v>—</x:v>
      </x:c>
      <x:c r="D430" s="55" t="str">
        <x:v>—</x:v>
      </x:c>
      <x:c r="E430" s="55" t="inlineStr">
        <x:is>
          <x:t>絕‧帝星神兵寶箱（網站未列地圖）；狩命獵手（燕蕩嶺）</x:t>
        </x:is>
      </x:c>
    </x:row>
    <x:row r="431" ht="15" customHeight="1">
      <x:c r="A431" s="55" t="str">
        <x:v>君諭刀★★★</x:v>
      </x:c>
      <x:c r="B431" s="55" t="str">
        <x:v>—</x:v>
      </x:c>
      <x:c r="C431" s="55" t="str">
        <x:v>—</x:v>
      </x:c>
      <x:c r="D431" s="55" t="str">
        <x:v>—</x:v>
      </x:c>
      <x:c r="E431" s="55" t="inlineStr">
        <x:is>
          <x:t>神‧帝星神兵寶箱（網站未列地圖）；天元勇士錦囊（網站未列地圖）；冰影飛貂（始祖巨林．東）</x:t>
        </x:is>
      </x:c>
    </x:row>
    <x:row r="432" ht="45" customHeight="1">
      <x:c r="A432" s="55" t="str">
        <x:v>乾坤雙極　地刃</x:v>
      </x:c>
      <x:c r="B432" s="55" t="str">
        <x:v>—</x:v>
      </x:c>
      <x:c r="C432" s="55" t="str">
        <x:v>—</x:v>
      </x:c>
      <x:c r="D432" s="55" t="str">
        <x:v>—</x:v>
      </x:c>
      <x:c r="E432" s="55" t="inlineStr">
        <x:is>
          <x:t>稀奇裝備箱．乙式（網站未列地圖）；驃騎將軍錦囊（網站未列地圖）；來電神鳥寶箱（網站未列地圖）；大奇蹟錦囊（網站未列地圖）；龍臨小錦袋（網站未列地圖）；年來富錦囊（網站未列地圖）；黑死冥蝶（星群碎道）；八卦戰虎王（白虎西殿）；巨靈魔侍（異時界‧葬日沼南）</x:t>
        </x:is>
      </x:c>
    </x:row>
    <x:row r="433" ht="30" customHeight="1">
      <x:c r="A433" s="55" t="str">
        <x:v>乾坤無限　地刃</x:v>
      </x:c>
      <x:c r="B433" s="55" t="str">
        <x:v>—</x:v>
      </x:c>
      <x:c r="C433" s="55" t="str">
        <x:v>—</x:v>
      </x:c>
      <x:c r="D433" s="55" t="str">
        <x:v>—</x:v>
      </x:c>
      <x:c r="E433" s="55" t="inlineStr">
        <x:is>
          <x:t>大將軍錦囊（網站未列地圖）；稀奇裝備箱．丙式（網站未列地圖）；大激慶禮包（網站未列地圖）；月光鋼豹（終末之塔第147層、終末之塔第142層、終末之塔第141層）；卜虛盲巫（終末之塔第131層、終末之塔第132層）</x:t>
        </x:is>
      </x:c>
    </x:row>
    <x:row r="434" ht="45" customHeight="1">
      <x:c r="A434" s="55" t="str">
        <x:v>乾坤無極　地刃</x:v>
      </x:c>
      <x:c r="B434" s="55" t="str">
        <x:v>—</x:v>
      </x:c>
      <x:c r="C434" s="55" t="str">
        <x:v>—</x:v>
      </x:c>
      <x:c r="D434" s="55" t="str">
        <x:v>—</x:v>
      </x:c>
      <x:c r="E434" s="55" t="inlineStr">
        <x:is>
          <x:t>五神樂暑錦囊（網站未列地圖）；蛇年寶箱（網站未列地圖）；青綸邪士（終末之塔第147層、終末之塔第144層、終末之塔第141層）；咒殼蠕蝸（終末之塔第134層、終末之塔第133層、終末之塔第139層、終末之塔第138層、終末之塔第131層、終末之塔第135層、終末之塔第136層、終末之塔第137層）</x:t>
        </x:is>
      </x:c>
    </x:row>
    <x:row r="435" ht="30" customHeight="1">
      <x:c r="A435" s="55" t="str">
        <x:v>乾坤太極　地刃</x:v>
      </x:c>
      <x:c r="B435" s="55" t="str">
        <x:v>—</x:v>
      </x:c>
      <x:c r="C435" s="55" t="str">
        <x:v>—</x:v>
      </x:c>
      <x:c r="D435" s="55" t="str">
        <x:v>—</x:v>
      </x:c>
      <x:c r="E435" s="55" t="inlineStr">
        <x:is>
          <x:t>稀奇裝備箱．丁式（網站未列地圖）；大靈基福袋（網站未列地圖）；百劫屠者（終末之塔第93層、終末之塔第94層）</x:t>
        </x:is>
      </x:c>
    </x:row>
    <x:row r="436" ht="15" customHeight="1">
      <x:c r="A436" s="55" t="str">
        <x:v>滅世天罪刀</x:v>
      </x:c>
      <x:c r="B436" s="55" t="str">
        <x:v>—</x:v>
      </x:c>
      <x:c r="C436" s="55" t="str">
        <x:v>—</x:v>
      </x:c>
      <x:c r="D436" s="55" t="str">
        <x:v>—</x:v>
      </x:c>
      <x:c r="E436" s="55" t="inlineStr">
        <x:is>
          <x:t>尊佛極兵聖匣（網站未列地圖）；神武之岩（網站未列地圖）</x:t>
        </x:is>
      </x:c>
    </x:row>
    <x:row r="437" ht="30" customHeight="1">
      <x:c r="A437" s="55" t="str">
        <x:v>蒼龍墜星刀</x:v>
      </x:c>
      <x:c r="B437" s="55" t="str">
        <x:v>—</x:v>
      </x:c>
      <x:c r="C437" s="55" t="str">
        <x:v>—</x:v>
      </x:c>
      <x:c r="D437" s="55" t="str">
        <x:v>—</x:v>
      </x:c>
      <x:c r="E437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438" ht="15" customHeight="1">
      <x:c r="A438" s="55" t="str">
        <x:v>天元武冠刀</x:v>
      </x:c>
      <x:c r="B438" s="55" t="str">
        <x:v>—</x:v>
      </x:c>
      <x:c r="C438" s="55" t="str">
        <x:v>—</x:v>
      </x:c>
      <x:c r="D438" s="55" t="str">
        <x:v>—</x:v>
      </x:c>
      <x:c r="E438" s="55" t="inlineStr">
        <x:is>
          <x:t>仙魔極兵聖箱（網站未列地圖）；新‧神武之岩（網站未列地圖）；神武之岩（網站未列地圖）</x:t>
        </x:is>
      </x:c>
    </x:row>
    <x:row r="439" ht="15" customHeight="1">
      <x:c r="A439" s="55" t="str">
        <x:v>金獅御皇刀</x:v>
      </x:c>
      <x:c r="B439" s="55" t="str">
        <x:v>—</x:v>
      </x:c>
      <x:c r="C439" s="55" t="str">
        <x:v>—</x:v>
      </x:c>
      <x:c r="D439" s="55" t="str">
        <x:v>—</x:v>
      </x:c>
      <x:c r="E439" s="55" t="inlineStr">
        <x:is>
          <x:t>盡宇絕兵聖箱（網站未列地圖）；新‧神武之岩（網站未列地圖）；年大媽（網站未列地圖）</x:t>
        </x:is>
      </x:c>
    </x:row>
    <x:row r="440" ht="15" customHeight="1">
      <x:c r="A440" s="55" t="str">
        <x:v>波塞頓聖刀</x:v>
      </x:c>
      <x:c r="B440" s="55" t="str">
        <x:v>—</x:v>
      </x:c>
      <x:c r="C440" s="55" t="str">
        <x:v>—</x:v>
      </x:c>
      <x:c r="D440" s="55" t="str">
        <x:v>—</x:v>
      </x:c>
      <x:c r="E440" s="55" t="inlineStr">
        <x:is>
          <x:t>奧林帕斯神兵聖櫃（網站未列地圖）</x:t>
        </x:is>
      </x:c>
    </x:row>
    <x:row r="441" ht="15" customHeight="1">
      <x:c r="A441" s="55" t="str">
        <x:v>波塞頓聖刀</x:v>
      </x:c>
      <x:c r="B441" s="55" t="str">
        <x:v>—</x:v>
      </x:c>
      <x:c r="C441" s="55" t="str">
        <x:v>—</x:v>
      </x:c>
      <x:c r="D441" s="55" t="str">
        <x:v>—</x:v>
      </x:c>
      <x:c r="E441" s="55" t="inlineStr">
        <x:is>
          <x:t>奧林帕斯神兵聖櫃（網站未列地圖）</x:t>
        </x:is>
      </x:c>
    </x:row>
    <x:row r="442" ht="15" customHeight="1">
      <x:c r="A442" s="55" t="str">
        <x:v>三皇聖羲刀</x:v>
      </x:c>
      <x:c r="B442" s="55" t="str">
        <x:v>—</x:v>
      </x:c>
      <x:c r="C442" s="55" t="str">
        <x:v>—</x:v>
      </x:c>
      <x:c r="D442" s="55" t="str">
        <x:v>—</x:v>
      </x:c>
      <x:c r="E442" s="55" t="inlineStr">
        <x:is>
          <x:t>仙儀丹曦帝武玉匣（網站未列地圖）</x:t>
        </x:is>
      </x:c>
    </x:row>
    <x:row r="443" ht="15" customHeight="1">
      <x:c r="A443" s="55" t="str">
        <x:v>三皇聖羲刀</x:v>
      </x:c>
      <x:c r="B443" s="55" t="str">
        <x:v>—</x:v>
      </x:c>
      <x:c r="C443" s="55" t="str">
        <x:v>—</x:v>
      </x:c>
      <x:c r="D443" s="55" t="str">
        <x:v>—</x:v>
      </x:c>
      <x:c r="E443" s="55" t="inlineStr">
        <x:is>
          <x:t>仙儀丹曦帝武玉匣（網站未列地圖）</x:t>
        </x:is>
      </x:c>
    </x:row>
    <x:row r="444" ht="15" customHeight="1">
      <x:c r="A444" s="55" t="str">
        <x:v>巨門天璇刀</x:v>
      </x:c>
      <x:c r="B444" s="55" t="str">
        <x:v>—</x:v>
      </x:c>
      <x:c r="C444" s="55" t="str">
        <x:v>—</x:v>
      </x:c>
      <x:c r="D444" s="55" t="str">
        <x:v>—</x:v>
      </x:c>
      <x:c r="E444" s="55" t="inlineStr">
        <x:is>
          <x:t>天尊帝宿超武神匣（網站未列地圖）</x:t>
        </x:is>
      </x:c>
    </x:row>
    <x:row r="445" ht="15" customHeight="1">
      <x:c r="A445" s="55" t="str">
        <x:v>金獅宮逆斬刀</x:v>
      </x:c>
      <x:c r="B445" s="55" t="str">
        <x:v>—</x:v>
      </x:c>
      <x:c r="C445" s="55" t="str">
        <x:v>—</x:v>
      </x:c>
      <x:c r="D445" s="55" t="str">
        <x:v>—</x:v>
      </x:c>
      <x:c r="E445" s="55" t="inlineStr">
        <x:is>
          <x:t>鎮天聖守星武神匣（網站未列地圖）</x:t>
        </x:is>
      </x:c>
    </x:row>
    <x:row r="446" ht="15" customHeight="1">
      <x:c r="A446" s="55" t="str">
        <x:v>北荒燭龍刀</x:v>
      </x:c>
      <x:c r="B446" s="55" t="str">
        <x:v>—</x:v>
      </x:c>
      <x:c r="C446" s="55" t="str">
        <x:v>—</x:v>
      </x:c>
      <x:c r="D446" s="55" t="str">
        <x:v>—</x:v>
      </x:c>
      <x:c r="E446" s="55" t="inlineStr">
        <x:is>
          <x:t>永恆山海唯武神匣（網站未列地圖）</x:t>
        </x:is>
      </x:c>
    </x:row>
    <x:row r="447" ht="15" customHeight="1">
      <x:c r="A447" s="55" t="str">
        <x:v>法皇刃‧無私</x:v>
      </x:c>
      <x:c r="B447" s="55" t="str">
        <x:v>—</x:v>
      </x:c>
      <x:c r="C447" s="55" t="str">
        <x:v>—</x:v>
      </x:c>
      <x:c r="D447" s="55" t="str">
        <x:v>—</x:v>
      </x:c>
      <x:c r="E447" s="55" t="inlineStr">
        <x:is>
          <x:t>創宇諸恆極兵神匣（網站未列地圖）</x:t>
        </x:is>
      </x:c>
    </x:row>
    <x:row r="448" ht="15" customHeight="1">
      <x:c r="A448" s="55" t="str">
        <x:v>滅刃‧達因斯</x:v>
      </x:c>
      <x:c r="B448" s="55" t="str">
        <x:v>—</x:v>
      </x:c>
      <x:c r="C448" s="55" t="str">
        <x:v>—</x:v>
      </x:c>
      <x:c r="D448" s="55" t="str">
        <x:v>—</x:v>
      </x:c>
      <x:c r="E448" s="55" t="inlineStr">
        <x:is>
          <x:t>阿薩群鋒巨武神匣（網站未列地圖）；金寶珠開工禮袋（網站未列地圖）</x:t>
        </x:is>
      </x:c>
    </x:row>
    <x:row r="449" ht="15" customHeight="1">
      <x:c r="A449" s="55" t="str">
        <x:v>滅刃‧達因斯</x:v>
      </x:c>
      <x:c r="B449" s="55" t="str">
        <x:v>—</x:v>
      </x:c>
      <x:c r="C449" s="55" t="str">
        <x:v>—</x:v>
      </x:c>
      <x:c r="D449" s="55" t="str">
        <x:v>—</x:v>
      </x:c>
      <x:c r="E449" s="55" t="inlineStr">
        <x:is>
          <x:t>阿薩群鋒巨武神匣（網站未列地圖）；罪赦勇士錦囊（網站未列地圖）</x:t>
        </x:is>
      </x:c>
    </x:row>
    <x:row r="450" ht="15" customHeight="1">
      <x:c r="A450" s="55" t="str">
        <x:v>煌刀瑟‧凱布</x:v>
      </x:c>
      <x:c r="B450" s="55" t="str">
        <x:v>—</x:v>
      </x:c>
      <x:c r="C450" s="55" t="str">
        <x:v>—</x:v>
      </x:c>
      <x:c r="D450" s="55" t="str">
        <x:v>—</x:v>
      </x:c>
      <x:c r="E450" s="55" t="inlineStr">
        <x:is>
          <x:t>鼠來寶開工禮袋（網站未列地圖）</x:t>
        </x:is>
      </x:c>
    </x:row>
    <x:row r="451" ht="15" customHeight="1">
      <x:c r="A451" s="55" t="str">
        <x:v>煌刀瑟‧凱布</x:v>
      </x:c>
      <x:c r="B451" s="55" t="str">
        <x:v>—</x:v>
      </x:c>
      <x:c r="C451" s="55" t="str">
        <x:v>—</x:v>
      </x:c>
      <x:c r="D451" s="55" t="str">
        <x:v>—</x:v>
      </x:c>
      <x:c r="E451" s="55" t="inlineStr">
        <x:is>
          <x:t>冥府皇統法老征匣（網站未列地圖）；武神‧異神靈識（殘雲天境）；終罪勇士錦囊（網站未列地圖）</x:t>
        </x:is>
      </x:c>
    </x:row>
    <x:row r="452" ht="15" customHeight="1">
      <x:c r="A452" s="55" t="str">
        <x:v>千古一帝刀</x:v>
      </x:c>
      <x:c r="B452" s="55" t="str">
        <x:v>—</x:v>
      </x:c>
      <x:c r="C452" s="55" t="str">
        <x:v>—</x:v>
      </x:c>
      <x:c r="D452" s="55" t="str">
        <x:v>—</x:v>
      </x:c>
      <x:c r="E452" s="55" t="inlineStr">
        <x:is>
          <x:t>萬帝天尊極武神匣（網站未列地圖）</x:t>
        </x:is>
      </x:c>
    </x:row>
    <x:row r="453" ht="15" customHeight="1">
      <x:c r="A453" s="55" t="str">
        <x:v>千古一帝刀</x:v>
      </x:c>
      <x:c r="B453" s="55" t="str">
        <x:v>—</x:v>
      </x:c>
      <x:c r="C453" s="55" t="str">
        <x:v>—</x:v>
      </x:c>
      <x:c r="D453" s="55" t="str">
        <x:v>—</x:v>
      </x:c>
      <x:c r="E453" s="55" t="inlineStr">
        <x:is>
          <x:t>萬帝天尊極武神匣（網站未列地圖）</x:t>
        </x:is>
      </x:c>
    </x:row>
    <x:row r="454" ht="15" customHeight="1">
      <x:c r="A454" s="55" t="str">
        <x:v>武烈春秋刀</x:v>
      </x:c>
      <x:c r="B454" s="55" t="str">
        <x:v>—</x:v>
      </x:c>
      <x:c r="C454" s="55" t="str">
        <x:v>—</x:v>
      </x:c>
      <x:c r="D454" s="55" t="str">
        <x:v>—</x:v>
      </x:c>
      <x:c r="E454" s="55" t="inlineStr">
        <x:is>
          <x:t>東明開天釋達神匣（網站未列地圖）</x:t>
        </x:is>
      </x:c>
    </x:row>
    <x:row r="455" ht="15" customHeight="1">
      <x:c r="A455" s="55" t="str">
        <x:v>武烈春秋刀</x:v>
      </x:c>
      <x:c r="B455" s="55" t="str">
        <x:v>—</x:v>
      </x:c>
      <x:c r="C455" s="55" t="str">
        <x:v>—</x:v>
      </x:c>
      <x:c r="D455" s="55" t="str">
        <x:v>—</x:v>
      </x:c>
      <x:c r="E455" s="55" t="inlineStr">
        <x:is>
          <x:t>東明開天釋達神匣（網站未列地圖）</x:t>
        </x:is>
      </x:c>
    </x:row>
    <x:row r="456" ht="120" customHeight="1">
      <x:c r="A456" s="55" t="str">
        <x:v>大聖明王刀</x:v>
      </x:c>
      <x:c r="B456" s="55" t="str">
        <x:v>—</x:v>
      </x:c>
      <x:c r="C456" s="55" t="str">
        <x:v>—</x:v>
      </x:c>
      <x:c r="D456" s="55" t="str">
        <x:v>—</x:v>
      </x:c>
      <x:c r="E456" s="55" t="inlineStr">
        <x:is>
          <x:t>真‧傾天絕邪（網站未列地圖）；侯氏兵甲福袋2019（網站未列地圖）；超神兵上等獎包（網站未列地圖）；侯氏兵甲福袋2021（網站未列地圖）；武冠兵甲錦囊．丑（網站未列地圖）；旺來獻吉福袋（網站未列地圖）；地冠獨行錦囊（網站未列地圖）；夏風再起錦囊（網站未列地圖）；識漢制霸禮箱（網站未列地圖）；科技戰兵BJL（王統新市）；絕七寶仙境寶箱（網站未列地圖）；◥仙露花精◤（絕七寶仙境　參）；◥問頂仙龍◤（絕七寶仙境　參）；◢仙露花精◣（絕七寶仙境　參）；◢問頂仙龍◣（絕七寶仙境　參）；▓仙露花精▓（絕七寶仙境　參）；▓問頂仙龍▓（絕七寶仙境　參）；防攻鐵獅（終末之塔第17層）；○幻月銀狼○（超七寶仙境　壹）；○問頂仙龍○（超七寶仙境　壹）；◎幻月銀狼◎（超七寶仙境　壹）；◎問頂仙龍◎（超七寶仙境　壹）；●幻月銀狼●（超七寶仙境　壹）；●問頂仙龍●（超七寶仙境　壹）</x:t>
        </x:is>
      </x:c>
    </x:row>
    <x:row r="457" ht="15" customHeight="1">
      <x:c r="A457" s="55" t="str">
        <x:v>六滅化神刀</x:v>
      </x:c>
      <x:c r="B457" s="55" t="str">
        <x:v>—</x:v>
      </x:c>
      <x:c r="C457" s="55" t="str">
        <x:v>—</x:v>
      </x:c>
      <x:c r="D457" s="55" t="str">
        <x:v>—</x:v>
      </x:c>
      <x:c r="E457" s="55" t="inlineStr">
        <x:is>
          <x:t>—</x:t>
        </x:is>
      </x:c>
    </x:row>
    <x:row r="458" ht="15" customHeight="1">
      <x:c r="A458" s="55" t="str">
        <x:v>真六滅化神刀</x:v>
      </x:c>
      <x:c r="B458" s="55" t="str">
        <x:v>—</x:v>
      </x:c>
      <x:c r="C458" s="55" t="str">
        <x:v>—</x:v>
      </x:c>
      <x:c r="D458" s="55" t="str">
        <x:v>—</x:v>
      </x:c>
      <x:c r="E458" s="55" t="inlineStr">
        <x:is>
          <x:t>—</x:t>
        </x:is>
      </x:c>
    </x:row>
    <x:row r="459" ht="15" customHeight="1">
      <x:c r="A459" s="55" t="str">
        <x:v>超六滅化神刀</x:v>
      </x:c>
      <x:c r="B459" s="55" t="str">
        <x:v>—</x:v>
      </x:c>
      <x:c r="C459" s="55" t="str">
        <x:v>—</x:v>
      </x:c>
      <x:c r="D459" s="55" t="str">
        <x:v>—</x:v>
      </x:c>
      <x:c r="E459" s="55" t="inlineStr">
        <x:is>
          <x:t>—</x:t>
        </x:is>
      </x:c>
    </x:row>
    <x:row r="460" ht="15" customHeight="1">
      <x:c r="A460" s="55" t="str">
        <x:v>絕六滅化神刀</x:v>
      </x:c>
      <x:c r="B460" s="55" t="str">
        <x:v>—</x:v>
      </x:c>
      <x:c r="C460" s="55" t="str">
        <x:v>—</x:v>
      </x:c>
      <x:c r="D460" s="55" t="str">
        <x:v>—</x:v>
      </x:c>
      <x:c r="E460" s="55" t="inlineStr">
        <x:is>
          <x:t>—</x:t>
        </x:is>
      </x:c>
    </x:row>
    <x:row r="461" ht="15" customHeight="1">
      <x:c r="A461" s="55" t="str">
        <x:v>無六滅化神刀</x:v>
      </x:c>
      <x:c r="B461" s="55" t="str">
        <x:v>—</x:v>
      </x:c>
      <x:c r="C461" s="55" t="str">
        <x:v>—</x:v>
      </x:c>
      <x:c r="D461" s="55" t="str">
        <x:v>—</x:v>
      </x:c>
      <x:c r="E461" s="55" t="inlineStr">
        <x:is>
          <x:t>—</x:t>
        </x:is>
      </x:c>
    </x:row>
    <x:row r="462" ht="15" customHeight="1">
      <x:c r="A462" s="55" t="str">
        <x:v>帝六滅化神刀</x:v>
      </x:c>
      <x:c r="B462" s="55" t="str">
        <x:v>—</x:v>
      </x:c>
      <x:c r="C462" s="55" t="str">
        <x:v>—</x:v>
      </x:c>
      <x:c r="D462" s="55" t="str">
        <x:v>—</x:v>
      </x:c>
      <x:c r="E462" s="55" t="inlineStr">
        <x:is>
          <x:t>—</x:t>
        </x:is>
      </x:c>
    </x:row>
    <x:row r="463" ht="15" customHeight="1">
      <x:c r="A463" s="55" t="str">
        <x:v>終六滅化神刀</x:v>
      </x:c>
      <x:c r="B463" s="55" t="str">
        <x:v>—</x:v>
      </x:c>
      <x:c r="C463" s="55" t="str">
        <x:v>—</x:v>
      </x:c>
      <x:c r="D463" s="55" t="str">
        <x:v>—</x:v>
      </x:c>
      <x:c r="E463" s="55" t="inlineStr">
        <x:is>
          <x:t>—</x:t>
        </x:is>
      </x:c>
    </x:row>
    <x:row r="464" ht="15" customHeight="1">
      <x:c r="A464" s="55" t="str">
        <x:v>創六滅化神刀</x:v>
      </x:c>
      <x:c r="B464" s="55" t="str">
        <x:v>—</x:v>
      </x:c>
      <x:c r="C464" s="55" t="str">
        <x:v>—</x:v>
      </x:c>
      <x:c r="D464" s="55" t="str">
        <x:v>—</x:v>
      </x:c>
      <x:c r="E464" s="55" t="inlineStr">
        <x:is>
          <x:t>—</x:t>
        </x:is>
      </x:c>
    </x:row>
    <x:row r="465" ht="15" customHeight="1">
      <x:c r="A465" s="55" t="str">
        <x:v>星六滅化神刀</x:v>
      </x:c>
      <x:c r="B465" s="55" t="str">
        <x:v>—</x:v>
      </x:c>
      <x:c r="C465" s="55" t="str">
        <x:v>—</x:v>
      </x:c>
      <x:c r="D465" s="55" t="str">
        <x:v>—</x:v>
      </x:c>
      <x:c r="E465" s="55" t="inlineStr">
        <x:is>
          <x:t>—</x:t>
        </x:is>
      </x:c>
    </x:row>
    <x:row r="466" ht="15" customHeight="1">
      <x:c r="A466" s="55" t="str">
        <x:v>皇六滅化神刀</x:v>
      </x:c>
      <x:c r="B466" s="55" t="str">
        <x:v>—</x:v>
      </x:c>
      <x:c r="C466" s="55" t="str">
        <x:v>—</x:v>
      </x:c>
      <x:c r="D466" s="55" t="str">
        <x:v>—</x:v>
      </x:c>
      <x:c r="E466" s="55" t="inlineStr">
        <x:is>
          <x:t>—</x:t>
        </x:is>
      </x:c>
    </x:row>
    <x:row r="467" ht="15" customHeight="1">
      <x:c r="A467" s="55" t="str">
        <x:v>終極六滅神刀</x:v>
      </x:c>
      <x:c r="B467" s="55" t="str">
        <x:v>—</x:v>
      </x:c>
      <x:c r="C467" s="55" t="str">
        <x:v>—</x:v>
      </x:c>
      <x:c r="D467" s="55" t="str">
        <x:v>—</x:v>
      </x:c>
      <x:c r="E467" s="55" t="inlineStr">
        <x:is>
          <x:t>—</x:t>
        </x:is>
      </x:c>
    </x:row>
    <x:row r="468" ht="15" customHeight="1">
      <x:c r="A468" s="55" t="str">
        <x:v>新星之火魄刀</x:v>
      </x:c>
      <x:c r="B468" s="55" t="str">
        <x:v>—</x:v>
      </x:c>
      <x:c r="C468" s="55" t="str">
        <x:v>—</x:v>
      </x:c>
      <x:c r="D468" s="55" t="str">
        <x:v>—</x:v>
      </x:c>
      <x:c r="E468" s="55" t="inlineStr">
        <x:is>
          <x:t>—</x:t>
        </x:is>
      </x:c>
    </x:row>
    <x:row r="469" ht="15" customHeight="1">
      <x:c r="A469" s="55" t="str">
        <x:v>蛇眼刀</x:v>
      </x:c>
      <x:c r="B469" s="55" t="str">
        <x:v>—</x:v>
      </x:c>
      <x:c r="C469" s="55" t="str">
        <x:v>—</x:v>
      </x:c>
      <x:c r="D469" s="55" t="str">
        <x:v>—</x:v>
      </x:c>
      <x:c r="E469" s="55" t="inlineStr">
        <x:is>
          <x:t>科技戰兵GSW（王統新市）；量產宮國策士（桃谷縱道）</x:t>
        </x:is>
      </x:c>
    </x:row>
    <x:row r="470" ht="15" customHeight="1">
      <x:c r="A470" s="55" t="str">
        <x:v>璇蟬鳴刀Ⅰ</x:v>
      </x:c>
      <x:c r="B470" s="55" t="str">
        <x:v>—</x:v>
      </x:c>
      <x:c r="C470" s="55" t="str">
        <x:v>—</x:v>
      </x:c>
      <x:c r="D470" s="55" t="str">
        <x:v>—</x:v>
      </x:c>
      <x:c r="E470" s="55" t="inlineStr">
        <x:is>
          <x:t>—</x:t>
        </x:is>
      </x:c>
    </x:row>
    <x:row r="471" ht="15" customHeight="1">
      <x:c r="A471" s="55" t="str">
        <x:v>璇蟬鳴刀Ⅱ</x:v>
      </x:c>
      <x:c r="B471" s="55" t="str">
        <x:v>—</x:v>
      </x:c>
      <x:c r="C471" s="55" t="str">
        <x:v>—</x:v>
      </x:c>
      <x:c r="D471" s="55" t="str">
        <x:v>—</x:v>
      </x:c>
      <x:c r="E471" s="55" t="inlineStr">
        <x:is>
          <x:t>幻三燕起錦囊（網站未列地圖）；神島勇士錦囊（網站未列地圖）</x:t>
        </x:is>
      </x:c>
    </x:row>
    <x:row r="472" ht="15" customHeight="1">
      <x:c r="A472" s="55" t="str">
        <x:v>璇蟬鳴刀Ⅲ</x:v>
      </x:c>
      <x:c r="B472" s="55" t="str">
        <x:v>—</x:v>
      </x:c>
      <x:c r="C472" s="55" t="str">
        <x:v>—</x:v>
      </x:c>
      <x:c r="D472" s="55" t="str">
        <x:v>—</x:v>
      </x:c>
      <x:c r="E472" s="55" t="inlineStr">
        <x:is>
          <x:t>科技戰兵BJL（王統新市）</x:t>
        </x:is>
      </x:c>
    </x:row>
    <x:row r="473" ht="15" customHeight="1">
      <x:c r="A473" s="55" t="str">
        <x:v>璇蟬鳴刀Ⅳ</x:v>
      </x:c>
      <x:c r="B473" s="55" t="str">
        <x:v>—</x:v>
      </x:c>
      <x:c r="C473" s="55" t="str">
        <x:v>—</x:v>
      </x:c>
      <x:c r="D473" s="55" t="str">
        <x:v>—</x:v>
      </x:c>
      <x:c r="E473" s="55" t="inlineStr">
        <x:is>
          <x:t>—</x:t>
        </x:is>
      </x:c>
    </x:row>
    <x:row r="474" ht="15" customHeight="1">
      <x:c r="A474" s="55" t="str">
        <x:v>璇蟬鳴刀Ⅴ</x:v>
      </x:c>
      <x:c r="B474" s="55" t="str">
        <x:v>—</x:v>
      </x:c>
      <x:c r="C474" s="55" t="str">
        <x:v>—</x:v>
      </x:c>
      <x:c r="D474" s="55" t="str">
        <x:v>—</x:v>
      </x:c>
      <x:c r="E474" s="55" t="inlineStr">
        <x:is>
          <x:t>—</x:t>
        </x:is>
      </x:c>
    </x:row>
    <x:row r="475" ht="15" customHeight="1">
      <x:c r="A475" s="55" t="str">
        <x:v>滅裂曉光刀</x:v>
      </x:c>
      <x:c r="B475" s="55" t="str">
        <x:v>—</x:v>
      </x:c>
      <x:c r="C475" s="55" t="str">
        <x:v>—</x:v>
      </x:c>
      <x:c r="D475" s="55" t="str">
        <x:v>—</x:v>
      </x:c>
      <x:c r="E475" s="55" t="inlineStr">
        <x:is>
          <x:t>南辰時祿機神兵匣（網站未列地圖）</x:t>
        </x:is>
      </x:c>
    </x:row>
    <x:row r="476" ht="15" customHeight="1">
      <x:c r="A476" s="55" t="str">
        <x:v>滅裂曉光刀</x:v>
      </x:c>
      <x:c r="B476" s="55" t="str">
        <x:v>—</x:v>
      </x:c>
      <x:c r="C476" s="55" t="str">
        <x:v>—</x:v>
      </x:c>
      <x:c r="D476" s="55" t="str">
        <x:v>—</x:v>
      </x:c>
      <x:c r="E476" s="55" t="inlineStr">
        <x:is>
          <x:t>南辰時祿機神兵匣（網站未列地圖）</x:t>
        </x:is>
      </x:c>
    </x:row>
    <x:row r="477" ht="15" customHeight="1">
      <x:c r="A477" s="55" t="str">
        <x:v>帝凰霸星斬</x:v>
      </x:c>
      <x:c r="B477" s="55" t="str">
        <x:v>—</x:v>
      </x:c>
      <x:c r="C477" s="55" t="str">
        <x:v>—</x:v>
      </x:c>
      <x:c r="D477" s="55" t="str">
        <x:v>—</x:v>
      </x:c>
      <x:c r="E477" s="55" t="inlineStr">
        <x:is>
          <x:t>三分鼎鋒真王武匣（網站未列地圖）；大秘境寶箱（網站未列地圖）</x:t>
        </x:is>
      </x:c>
    </x:row>
    <x:row r="478" ht="15" customHeight="1">
      <x:c r="A478" s="55" t="str">
        <x:v>帝凰霸星斬</x:v>
      </x:c>
      <x:c r="B478" s="55" t="str">
        <x:v>—</x:v>
      </x:c>
      <x:c r="C478" s="55" t="str">
        <x:v>—</x:v>
      </x:c>
      <x:c r="D478" s="55" t="str">
        <x:v>—</x:v>
      </x:c>
      <x:c r="E478" s="55" t="inlineStr">
        <x:is>
          <x:t>三分鼎鋒真王武匣（網站未列地圖）</x:t>
        </x:is>
      </x:c>
    </x:row>
    <x:row r="479" ht="15" customHeight="1">
      <x:c r="A479" s="55" t="str">
        <x:v>長刀〔銀霞〕</x:v>
      </x:c>
      <x:c r="B479" s="55" t="str">
        <x:v>—</x:v>
      </x:c>
      <x:c r="C479" s="55" t="str">
        <x:v>—</x:v>
      </x:c>
      <x:c r="D479" s="55" t="str">
        <x:v>—</x:v>
      </x:c>
      <x:c r="E479" s="55" t="inlineStr">
        <x:is>
          <x:t>古文明東西霸武匣（網站未列地圖）</x:t>
        </x:is>
      </x:c>
    </x:row>
    <x:row r="480" ht="15" customHeight="1">
      <x:c r="A480" s="55" t="str">
        <x:v>長刀〔銀霞〕</x:v>
      </x:c>
      <x:c r="B480" s="55" t="str">
        <x:v>—</x:v>
      </x:c>
      <x:c r="C480" s="55" t="str">
        <x:v>—</x:v>
      </x:c>
      <x:c r="D480" s="55" t="str">
        <x:v>—</x:v>
      </x:c>
      <x:c r="E480" s="55" t="inlineStr">
        <x:is>
          <x:t>古文明東西霸武匣（網站未列地圖）</x:t>
        </x:is>
      </x:c>
    </x:row>
    <x:row r="481" ht="15" customHeight="1">
      <x:c r="A481" s="55" t="str">
        <x:v>金猊晉殿刀</x:v>
      </x:c>
      <x:c r="B481" s="55" t="str">
        <x:v>—</x:v>
      </x:c>
      <x:c r="C481" s="55" t="str">
        <x:v>—</x:v>
      </x:c>
      <x:c r="D481" s="55" t="str">
        <x:v>—</x:v>
      </x:c>
      <x:c r="E481" s="55" t="inlineStr">
        <x:is>
          <x:t>龍涉大川繼鱗武匣（網站未列地圖）</x:t>
        </x:is>
      </x:c>
    </x:row>
    <x:row r="482" ht="15" customHeight="1">
      <x:c r="A482" s="55" t="str">
        <x:v>金猊晉殿刀</x:v>
      </x:c>
      <x:c r="B482" s="55" t="str">
        <x:v>—</x:v>
      </x:c>
      <x:c r="C482" s="55" t="str">
        <x:v>—</x:v>
      </x:c>
      <x:c r="D482" s="55" t="str">
        <x:v>—</x:v>
      </x:c>
      <x:c r="E482" s="55" t="inlineStr">
        <x:is>
          <x:t>龍涉大川繼鱗武匣（網站未列地圖）</x:t>
        </x:is>
      </x:c>
    </x:row>
    <x:row r="483" ht="15" customHeight="1">
      <x:c r="A483" s="55" t="str">
        <x:v>泰源玉刀Ⅰ</x:v>
      </x:c>
      <x:c r="B483" s="55" t="str">
        <x:v>—</x:v>
      </x:c>
      <x:c r="C483" s="55" t="str">
        <x:v>—</x:v>
      </x:c>
      <x:c r="D483" s="55" t="str">
        <x:v>—</x:v>
      </x:c>
      <x:c r="E483" s="55" t="inlineStr">
        <x:is>
          <x:t>玄宙神兵寶箱（網站未列地圖）</x:t>
        </x:is>
      </x:c>
    </x:row>
    <x:row r="484" ht="15" customHeight="1">
      <x:c r="A484" s="55" t="str">
        <x:v>泰源玉刀Ⅱ</x:v>
      </x:c>
      <x:c r="B484" s="55" t="str">
        <x:v>—</x:v>
      </x:c>
      <x:c r="C484" s="55" t="str">
        <x:v>—</x:v>
      </x:c>
      <x:c r="D484" s="55" t="str">
        <x:v>—</x:v>
      </x:c>
      <x:c r="E484" s="55" t="inlineStr">
        <x:is>
          <x:t>真．玄宙神兵寶箱（網站未列地圖）</x:t>
        </x:is>
      </x:c>
    </x:row>
    <x:row r="485" ht="15" customHeight="1">
      <x:c r="A485" s="55" t="str">
        <x:v>泰源玉刀Ⅲ</x:v>
      </x:c>
      <x:c r="B485" s="55" t="str">
        <x:v>—</x:v>
      </x:c>
      <x:c r="C485" s="55" t="str">
        <x:v>—</x:v>
      </x:c>
      <x:c r="D485" s="55" t="str">
        <x:v>—</x:v>
      </x:c>
      <x:c r="E485" s="55" t="inlineStr">
        <x:is>
          <x:t>超．玄宙神兵寶箱（網站未列地圖）；活俠趙活錦囊（網站未列地圖）；絕代江小魚錦囊（網站未列地圖）</x:t>
        </x:is>
      </x:c>
    </x:row>
    <x:row r="486" ht="15" customHeight="1">
      <x:c r="A486" s="55" t="str">
        <x:v>泰源玉刀Ⅳ</x:v>
      </x:c>
      <x:c r="B486" s="55" t="str">
        <x:v>—</x:v>
      </x:c>
      <x:c r="C486" s="55" t="str">
        <x:v>—</x:v>
      </x:c>
      <x:c r="D486" s="55" t="str">
        <x:v>—</x:v>
      </x:c>
      <x:c r="E486" s="55" t="inlineStr">
        <x:is>
          <x:t>極．玄宙神兵寶箱（網站未列地圖）</x:t>
        </x:is>
      </x:c>
    </x:row>
    <x:row r="487" ht="15" customHeight="1">
      <x:c r="A487" s="55" t="str">
        <x:v>泰源玉刀Ⅴ</x:v>
      </x:c>
      <x:c r="B487" s="55" t="str">
        <x:v>—</x:v>
      </x:c>
      <x:c r="C487" s="55" t="str">
        <x:v>—</x:v>
      </x:c>
      <x:c r="D487" s="55" t="str">
        <x:v>—</x:v>
      </x:c>
      <x:c r="E487" s="55" t="inlineStr">
        <x:is>
          <x:t>神．玄宙神兵寶箱（網站未列地圖）</x:t>
        </x:is>
      </x:c>
    </x:row>
    <x:row r="488" ht="15" customHeight="1">
      <x:c r="A488" s="55" t="str">
        <x:v>獵刀．天狼王</x:v>
      </x:c>
      <x:c r="B488" s="55" t="str">
        <x:v>祁州城－二十終局</x:v>
      </x:c>
      <x:c r="C488" s="55" t="str">
        <x:v>—</x:v>
      </x:c>
      <x:c r="D488" s="55" t="str">
        <x:v>—</x:v>
      </x:c>
      <x:c r="E488" s="55" t="inlineStr">
        <x:is>
          <x:t>—</x:t>
        </x:is>
      </x:c>
    </x:row>
    <x:row r="489" ht="45" customHeight="1">
      <x:c r="A489" s="55" t="str">
        <x:v>旋月刃</x:v>
      </x:c>
      <x:c r="B489" s="55" t="str">
        <x:v>—</x:v>
      </x:c>
      <x:c r="C489" s="55" t="str">
        <x:v>—</x:v>
      </x:c>
      <x:c r="D489" s="55" t="str">
        <x:v>—</x:v>
      </x:c>
      <x:c r="E489" s="55" t="inlineStr">
        <x:is>
          <x:t>中郎將錦囊（網站未列地圖）；布衣幫小頭目（高昌郡）；傀儡沙漠刀匪（萬佛窟、樓蘭遺址）；倭國下忍（釣日村）；沙漠刀匪（塔干沙漠東方、塔干沙漠南方）；沙漠射手（塔干沙漠東方、塔干沙漠南方）；傀儡沙漠射手（樓蘭遺址）；金翅王（鷹翅族部落）；巨象騎射手（金霄佛寺）；鷹族戰士（葬日沼澤、摘星嶺、鷹翅族部落）</x:t>
        </x:is>
      </x:c>
    </x:row>
    <x:row r="490" ht="15" customHeight="1">
      <x:c r="A490" s="55" t="str">
        <x:v>月牙刃</x:v>
      </x:c>
      <x:c r="B490" s="55" t="str">
        <x:v>義勇軍-密函任務</x:v>
      </x:c>
      <x:c r="C490" s="55" t="str">
        <x:v>—</x:v>
      </x:c>
      <x:c r="D490" s="55" t="str">
        <x:v>—</x:v>
      </x:c>
      <x:c r="E490" s="55" t="inlineStr">
        <x:is>
          <x:t>象騎射手（摩羅國境、菩提聖原）</x:t>
        </x:is>
      </x:c>
    </x:row>
    <x:row r="491" ht="75" customHeight="1">
      <x:c r="A491" s="55" t="str">
        <x:v>彈指神通</x:v>
      </x:c>
      <x:c r="B491" s="55" t="str">
        <x:v>—</x:v>
      </x:c>
      <x:c r="C491" s="55" t="str">
        <x:v>—</x:v>
      </x:c>
      <x:c r="D491" s="55" t="str">
        <x:v>彈指神通配方</x:v>
      </x:c>
      <x:c r="E491" s="55" t="inlineStr">
        <x:is>
          <x:t>中原神兵錦囊（網站未列地圖）；蒼龍神兵錦囊（網站未列地圖）；喜兔武器錦囊‧壹（網站未列地圖）；神來裝樂透卡之一（網站未列地圖）；輕車將軍錦囊（網站未列地圖）；賊寇頭目（鎮南關密道）；1轉術影（五派禁地）；北斗星君（五派禁地）；江湖刀客（長林谷）；石窟箭俑（五派禁地）；屍靈箭俑（古皇陵密室）；奔雷手（五派禁地）；鬼影奔雷手（八達嶺、古北口、水晶礦坑）；無影手（五派禁地）；鴻星扛把子（碧波幽谷）；傭兵飛茅手（黑城遺跡、疾風谷、大汗陵墓、高昌郡）</x:t>
        </x:is>
      </x:c>
    </x:row>
    <x:row r="492" ht="15" customHeight="1">
      <x:c r="A492" s="55" t="str">
        <x:v>絕世彈指神通</x:v>
      </x:c>
      <x:c r="B492" s="55" t="str">
        <x:v>—</x:v>
      </x:c>
      <x:c r="C492" s="55" t="str">
        <x:v>—</x:v>
      </x:c>
      <x:c r="D492" s="55" t="str">
        <x:v>—</x:v>
      </x:c>
      <x:c r="E492" s="55" t="inlineStr">
        <x:is>
          <x:t>絕世中原錦囊（網站未列地圖）；蒼龍神兵錦囊（網站未列地圖）</x:t>
        </x:is>
      </x:c>
    </x:row>
    <x:row r="493" ht="30" customHeight="1">
      <x:c r="A493" s="55" t="str">
        <x:v>如意袖圈</x:v>
      </x:c>
      <x:c r="B493" s="55" t="str">
        <x:v>—</x:v>
      </x:c>
      <x:c r="C493" s="55" t="str">
        <x:v>—</x:v>
      </x:c>
      <x:c r="D493" s="55" t="str">
        <x:v>如意袖圈配方</x:v>
      </x:c>
      <x:c r="E493" s="55" t="inlineStr">
        <x:is>
          <x:t>奔雷手（五派禁地）；鬼影奔雷手（八達嶺、古北口、水晶礦坑）；無影手（五派禁地）；蒙面賊寇（鎮南關密道）；火藥惡賊（長林谷）；夜行大盜（長林谷）</x:t>
        </x:is>
      </x:c>
    </x:row>
    <x:row r="494" ht="30" customHeight="1">
      <x:c r="A494" s="55" t="str">
        <x:v>百鎖連環</x:v>
      </x:c>
      <x:c r="B494" s="55" t="str">
        <x:v>—</x:v>
      </x:c>
      <x:c r="C494" s="55" t="str">
        <x:v>—</x:v>
      </x:c>
      <x:c r="D494" s="55" t="str">
        <x:v>—</x:v>
      </x:c>
      <x:c r="E494" s="55" t="inlineStr">
        <x:is>
          <x:t>驃騎將軍錦囊（網站未列地圖）；蒼龍神兵錦囊（網站未列地圖）；掠奪武器包裹（網站未列地圖）；羅剎寶袋（網站未列地圖）；1轉女術影（五派禁地）；石窟箭俑（五派禁地）；屍靈箭俑（古皇陵密室）</x:t>
        </x:is>
      </x:c>
    </x:row>
    <x:row r="495" ht="45" customHeight="1">
      <x:c r="A495" s="55" t="str">
        <x:v>鬼魅無影</x:v>
      </x:c>
      <x:c r="B495" s="55" t="str">
        <x:v>—</x:v>
      </x:c>
      <x:c r="C495" s="55" t="str">
        <x:v>—</x:v>
      </x:c>
      <x:c r="D495" s="55" t="str">
        <x:v>—</x:v>
      </x:c>
      <x:c r="E495" s="55" t="inlineStr">
        <x:is>
          <x:t>神來裝樂透卡之二（網站未列地圖）；掠奪武器包裹（網站未列地圖）；羅剎寶袋（網站未列地圖）；絕代兵器錦囊（網站未列地圖）；新絕代兵器錦囊（網站未列地圖）；喜兔武器錦囊‧貳（網站未列地圖）；2轉女術影（五派禁地）；2轉術影（五派禁地）；烈風戰士（大汗陵墓）；烈風戰士幻影（網站未列地圖）；千手神偷（五派禁地）</x:t>
        </x:is>
      </x:c>
    </x:row>
    <x:row r="496" ht="75" customHeight="1">
      <x:c r="A496" s="55" t="str">
        <x:v>七煞天羅</x:v>
      </x:c>
      <x:c r="B496" s="55" t="str">
        <x:v>—</x:v>
      </x:c>
      <x:c r="C496" s="55" t="str">
        <x:v>—</x:v>
      </x:c>
      <x:c r="D496" s="55" t="str">
        <x:v>七煞天羅配方</x:v>
      </x:c>
      <x:c r="E496" s="55" t="inlineStr">
        <x:is>
          <x:t>霸王神兵錦囊（網站未列地圖）；天界戰匣（網站未列地圖）；喜兔武器錦囊‧參（網站未列地圖）；掠奪武器包裹（網站未列地圖）；羅剎寶袋（網站未列地圖）；御龍錦囊（網站未列地圖）；神來裝樂透卡之三（網站未列地圖）；御行神兵錦囊（網站未列地圖）；威震神州錦囊（網站未列地圖）；獵人頭祭司（亂石林、大汗陵墓）；祭司幻影（亂石林）；千手神偷（五派禁地）；沼地巨蛇（千佛遺跡東側、千佛遺跡西側）；[沼地巨蛇]（網站未列地圖）；沼地巨蛇（千佛遺跡東側、千佛遺跡西側）；蒼鱗蛟龍（極東海域）</x:t>
        </x:is>
      </x:c>
    </x:row>
    <x:row r="497" ht="15" customHeight="1">
      <x:c r="A497" s="55" t="str">
        <x:v>絕世七煞天羅</x:v>
      </x:c>
      <x:c r="B497" s="55" t="str">
        <x:v>—</x:v>
      </x:c>
      <x:c r="C497" s="55" t="str">
        <x:v>—</x:v>
      </x:c>
      <x:c r="D497" s="55" t="str">
        <x:v>—</x:v>
      </x:c>
      <x:c r="E497" s="55" t="inlineStr">
        <x:is>
          <x:t>絕世天界戰匣（網站未列地圖）</x:t>
        </x:is>
      </x:c>
    </x:row>
    <x:row r="498" ht="60" customHeight="1">
      <x:c r="A498" s="55" t="str">
        <x:v>封神針</x:v>
      </x:c>
      <x:c r="B498" s="55" t="str">
        <x:v>—</x:v>
      </x:c>
      <x:c r="C498" s="55" t="str">
        <x:v>—</x:v>
      </x:c>
      <x:c r="D498" s="55" t="str">
        <x:v>封神針配方</x:v>
      </x:c>
      <x:c r="E498" s="55" t="inlineStr">
        <x:is>
          <x:t>西域神器錦囊（網站未列地圖）；黑天神兵元靈（網站未列地圖）；天界戰匣（網站未列地圖）；傀儡沙漠刀匪（萬佛窟、樓蘭遺址）；傀儡沙漠射手（樓蘭遺址）；倭國下忍（釣日村）；沙漠刀匪（塔干沙漠東方、塔干沙漠南方）；沙漠射手（塔干沙漠東方、塔干沙漠南方）；羅剎鏢客（塔干沙漠西方）；羅剎鏢客遊魂（網站未列地圖）；傀儡羅剎鏢客（網站未列地圖）</x:t>
        </x:is>
      </x:c>
    </x:row>
    <x:row r="499" ht="45" customHeight="1">
      <x:c r="A499" s="55" t="str">
        <x:v>含沙射影</x:v>
      </x:c>
      <x:c r="B499" s="55" t="str">
        <x:v>—</x:v>
      </x:c>
      <x:c r="C499" s="55" t="str">
        <x:v>—</x:v>
      </x:c>
      <x:c r="D499" s="55" t="str">
        <x:v>含沙射影配方</x:v>
      </x:c>
      <x:c r="E499" s="55" t="inlineStr">
        <x:is>
          <x:t>西域神器錦囊（網站未列地圖）；黑天神兵元靈（網站未列地圖）；傀儡沙漠刀匪（萬佛窟、樓蘭遺址）；傀儡沙漠射手（樓蘭遺址）；沙漠刀匪（塔干沙漠東方、塔干沙漠南方）；沙漠射手（塔干沙漠東方、塔干沙漠南方）；羅剎鏢客（塔干沙漠西方）；羅剎鏢客遊魂（網站未列地圖）；傀儡羅剎鏢客（網站未列地圖）</x:t>
        </x:is>
      </x:c>
    </x:row>
    <x:row r="500" ht="75" customHeight="1">
      <x:c r="A500" s="55" t="str">
        <x:v>暴雨梨花</x:v>
      </x:c>
      <x:c r="B500" s="55" t="str">
        <x:v>—</x:v>
      </x:c>
      <x:c r="C500" s="55" t="str">
        <x:v>—</x:v>
      </x:c>
      <x:c r="D500" s="55" t="str">
        <x:v>暴雨梨花配方</x:v>
      </x:c>
      <x:c r="E500" s="55" t="inlineStr">
        <x:is>
          <x:t>西域神器錦囊（網站未列地圖）；侯氏百兵錦囊（網站未列地圖）；黑天神兵元靈（網站未列地圖）；征西術者錦囊（網站未列地圖）；聖靈術者錦囊（網站未列地圖）；日昇術者錦囊（網站未列地圖）；樓蘭術者錦囊（網站未列地圖）；傀儡盜匪頭目（萬佛窟、樓蘭遺址）；黑天妖魔（萬佛窟、火焰山）；[黑天妖魔]（網站未列地圖）；極道浪人（神室關所、內崎埠原、外崎埠原）；沼地巨蛇（千佛遺跡東側、千佛遺跡西側）；沼地巨蛇（千佛遺跡東側、千佛遺跡西側）；[沼地巨蛇]（網站未列地圖）；盜匪頭目（塔干沙漠南方）</x:t>
        </x:is>
      </x:c>
    </x:row>
    <x:row r="501" ht="75" customHeight="1">
      <x:c r="A501" s="55" t="str">
        <x:v>九轉金蓮</x:v>
      </x:c>
      <x:c r="B501" s="55" t="str">
        <x:v>—</x:v>
      </x:c>
      <x:c r="C501" s="55" t="str">
        <x:v>—</x:v>
      </x:c>
      <x:c r="D501" s="55" t="str">
        <x:v>九轉金蓮配方</x:v>
      </x:c>
      <x:c r="E501" s="55" t="inlineStr">
        <x:is>
          <x:t>西域神器錦囊（網站未列地圖）；西域真武錦囊（網站未列地圖）；黑天神兵元靈（網站未列地圖）；喜兔武器錦囊‧伍（網站未列地圖）；神來裝樂透卡之五（網站未列地圖）；日昇術者錦囊（網站未列地圖）；聖靈術者錦囊（網站未列地圖）；樓蘭術者錦囊（網站未列地圖）；&lt;神御輝鎧駝&gt;（真七寶仙境　貳）；大黑天幻影（萬佛窟）；大黑天尊者（樓蘭遺址、火焰山）；大黑天（萬佛窟、火焰山）；血槍幫響馬（高昌郡）；幕影忍者（外崎埠原、十津原樹海、伊取川大陣）；邪咒骷髏弓手（千佛遺跡東側、千佛遺跡西側）</x:t>
        </x:is>
      </x:c>
    </x:row>
    <x:row r="502" ht="60" customHeight="1">
      <x:c r="A502" s="55" t="str">
        <x:v>津雪刺</x:v>
      </x:c>
      <x:c r="B502" s="55" t="str">
        <x:v>—</x:v>
      </x:c>
      <x:c r="C502" s="55" t="str">
        <x:v>—</x:v>
      </x:c>
      <x:c r="D502" s="55" t="str">
        <x:v>津雪刺配方</x:v>
      </x:c>
      <x:c r="E502" s="55" t="inlineStr">
        <x:is>
          <x:t>東瀛神兵桐箱（網站未列地圖）；東瀛神兵寶箱（網站未列地圖）；東瀛萬神兵匣（網站未列地圖）；御行神兵錦囊（網站未列地圖）；天照術者錦囊（網站未列地圖）；日昇術者錦囊（網站未列地圖）；紫霜冰魄（寒愴冰獄）；霧峰暴猿（登天棧道）；鬼將妖河童（伊取川大陣）；鬼嶽親衛槍侍（伊取川大陣）；青行鬼（外崎埠原、天照不二峰、八荒古墳、伊取川大陣）</x:t>
        </x:is>
      </x:c>
    </x:row>
    <x:row r="503" ht="45" customHeight="1">
      <x:c r="A503" s="55" t="str">
        <x:v>絃葦飛刺</x:v>
      </x:c>
      <x:c r="B503" s="55" t="str">
        <x:v>—</x:v>
      </x:c>
      <x:c r="C503" s="55" t="str">
        <x:v>—</x:v>
      </x:c>
      <x:c r="D503" s="55" t="str">
        <x:v>絃葦飛刺配方</x:v>
      </x:c>
      <x:c r="E503" s="55" t="inlineStr">
        <x:is>
          <x:t>東瀛萬神兵匣（網站未列地圖）；東瀛神兵寶箱（網站未列地圖）；喜兔武器錦囊‧陸（網站未列地圖）；神來裝樂透卡之六（網站未列地圖）；天照術者錦囊（網站未列地圖）；羅剎流寇（黃塵荒漠）；赤烈鬼（伊取川大陣）；烈燄風魔（恨生不歸途、三途之都）；焚風禿鷹（菩提聖原）</x:t>
        </x:is>
      </x:c>
    </x:row>
    <x:row r="504" ht="45" customHeight="1">
      <x:c r="A504" s="55" t="str">
        <x:v>若越旋</x:v>
      </x:c>
      <x:c r="B504" s="55" t="str">
        <x:v>—</x:v>
      </x:c>
      <x:c r="C504" s="55" t="str">
        <x:v>—</x:v>
      </x:c>
      <x:c r="D504" s="55" t="str">
        <x:v>若越旋配方</x:v>
      </x:c>
      <x:c r="E504" s="55" t="inlineStr">
        <x:is>
          <x:t>賀歲神兵禮盒（網站未列地圖）；東瀛萬神兵匣（網站未列地圖）；八卦術者錦囊（網站未列地圖）；黑教隱鏢手（青藏高原、大梵聖湖）；酆神陣頭（三途之都、枉死之城、悲歡渡口、永劫刑場）；象騎射手（摩羅國境、菩提聖原）；無間骷髏弓手（濕婆神廟）</x:t>
        </x:is>
      </x:c>
    </x:row>
    <x:row r="505" ht="45" customHeight="1">
      <x:c r="A505" s="55" t="str">
        <x:v>筑刃旋</x:v>
      </x:c>
      <x:c r="B505" s="55" t="str">
        <x:v>—</x:v>
      </x:c>
      <x:c r="C505" s="55" t="str">
        <x:v>—</x:v>
      </x:c>
      <x:c r="D505" s="55" t="str">
        <x:v>筑刃旋配方</x:v>
      </x:c>
      <x:c r="E505" s="55" t="inlineStr">
        <x:is>
          <x:t>東瀛究極武箱（網站未列地圖）；喜兔武器錦囊‧柒（網站未列地圖）；神來裝樂透卡之七（網站未列地圖）；東瀛萬神兵匣（網站未列地圖）；八卦術者錦囊（網站未列地圖）；紫霜冰魄（寒愴冰獄）；摩羅御軍射手（菩提聖原、大梵河岸）；巨象騎射手（金霄佛寺）</x:t>
        </x:is>
      </x:c>
    </x:row>
    <x:row r="506" ht="30" customHeight="1">
      <x:c r="A506" s="55" t="str">
        <x:v>殺陣黃金蟲</x:v>
      </x:c>
      <x:c r="B506" s="55" t="str">
        <x:v>—</x:v>
      </x:c>
      <x:c r="C506" s="55" t="str">
        <x:v>—</x:v>
      </x:c>
      <x:c r="D506" s="55" t="str">
        <x:v>—</x:v>
      </x:c>
      <x:c r="E506" s="55" t="inlineStr">
        <x:is>
          <x:t>東瀛神兵寶匣（網站未列地圖）；喜兔武器錦囊‧陸（網站未列地圖）；神來裝樂透卡之六（網站未列地圖）；天照術者錦囊（網站未列地圖）；鬼將青面般若（伊取川大陣）</x:t>
        </x:is>
      </x:c>
    </x:row>
    <x:row r="507" ht="60" customHeight="1">
      <x:c r="A507" s="55" t="str">
        <x:v>雀屏針</x:v>
      </x:c>
      <x:c r="B507" s="55" t="str">
        <x:v>—</x:v>
      </x:c>
      <x:c r="C507" s="55" t="str">
        <x:v>—</x:v>
      </x:c>
      <x:c r="D507" s="55" t="str">
        <x:v>雀屏針配方</x:v>
      </x:c>
      <x:c r="E507" s="55" t="inlineStr">
        <x:is>
          <x:t>天佛神兵錦囊（網站未列地圖）；釋尊神兵檀箱（網站未列地圖）；夜帝化身（網站未列地圖）；佛都術者錦囊（網站未列地圖）；八卦術者錦囊（網站未列地圖）；九首邪蟒（濕婆神廟）；波斯騎兵（聖域之門、清教院街、飛簷頂徑、波斯西市）；黜命大欽差（網站未列地圖）；懲善判官（枉死之城、悲歡渡口、九曲邪徑、寒愴冰獄）；天谷禿鷹（青藏高原、大梵聖湖）</x:t>
        </x:is>
      </x:c>
    </x:row>
    <x:row r="508" ht="45" customHeight="1">
      <x:c r="A508" s="55" t="str">
        <x:v>金瞳孔雀釵</x:v>
      </x:c>
      <x:c r="B508" s="55" t="str">
        <x:v>—</x:v>
      </x:c>
      <x:c r="C508" s="55" t="str">
        <x:v>—</x:v>
      </x:c>
      <x:c r="D508" s="55" t="str">
        <x:v>金瞳雀釵配方</x:v>
      </x:c>
      <x:c r="E508" s="55" t="inlineStr">
        <x:is>
          <x:t>喜兔武器錦囊‧捌（網站未列地圖）；神來裝樂透卡之八（網站未列地圖）；涅槃神兵聖匣（網站未列地圖）；天佛神兵錦囊（網站未列地圖）；釋尊神兵檀箱（網站未列地圖）；佛都術者錦囊（網站未列地圖）；樑上飛賊（飛簷頂徑）；羅剎流寇（黃塵荒漠）；金叉修羅王（濕婆神廟）</x:t>
        </x:is>
      </x:c>
    </x:row>
    <x:row r="509" ht="45" customHeight="1">
      <x:c r="A509" s="55" t="str">
        <x:v>飛獨鈷</x:v>
      </x:c>
      <x:c r="B509" s="55" t="str">
        <x:v>—</x:v>
      </x:c>
      <x:c r="C509" s="55" t="str">
        <x:v>—</x:v>
      </x:c>
      <x:c r="D509" s="55" t="str">
        <x:v>飛獨鈷配方</x:v>
      </x:c>
      <x:c r="E509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黑袍魔女（止戰邊境、血鴉嶺）；黑袍魔女（豐穗平原）；赦世驃騎（寒愴冰獄、奈落紅川、荒禍殘墟）；黑教隱鏢手（青藏高原、大梵聖湖）</x:t>
        </x:is>
      </x:c>
    </x:row>
    <x:row r="510" ht="30" customHeight="1">
      <x:c r="A510" s="55" t="str">
        <x:v>滅神金剛杵</x:v>
      </x:c>
      <x:c r="B510" s="55" t="str">
        <x:v>—</x:v>
      </x:c>
      <x:c r="C510" s="55" t="str">
        <x:v>—</x:v>
      </x:c>
      <x:c r="D510" s="55" t="str">
        <x:v>滅神金杵配方</x:v>
      </x:c>
      <x:c r="E510" s="55" t="inlineStr">
        <x:is>
          <x:t>涅槃真武聖匣（網站未列地圖）；涅槃神兵聖匣（網站未列地圖）；波斯騎兵（聖域之門、清教院街、飛簷頂徑、波斯西市）</x:t>
        </x:is>
      </x:c>
    </x:row>
    <x:row r="511" ht="15" customHeight="1">
      <x:c r="A511" s="55" t="str">
        <x:v>神羅天征</x:v>
      </x:c>
      <x:c r="B511" s="55" t="str">
        <x:v>—</x:v>
      </x:c>
      <x:c r="C511" s="55" t="str">
        <x:v>—</x:v>
      </x:c>
      <x:c r="D511" s="55" t="str">
        <x:v>—</x:v>
      </x:c>
      <x:c r="E511" s="55" t="inlineStr">
        <x:is>
          <x:t>東煌神兵寶匣（網站未列地圖）；喜兔武器錦囊‧柒（網站未列地圖）；神來裝樂透卡之七（網站未列地圖）</x:t>
        </x:is>
      </x:c>
    </x:row>
    <x:row r="512" ht="60" customHeight="1">
      <x:c r="A512" s="55" t="str">
        <x:v>閻羅鐵扇</x:v>
      </x:c>
      <x:c r="B512" s="55" t="str">
        <x:v>—</x:v>
      </x:c>
      <x:c r="C512" s="55" t="str">
        <x:v>—</x:v>
      </x:c>
      <x:c r="D512" s="55" t="str">
        <x:v>—</x:v>
      </x:c>
      <x:c r="E512" s="55" t="inlineStr">
        <x:is>
          <x:t>喜兔武器錦囊‧玖（網站未列地圖）；傾天絕邪（寒愴冰獄）；煉獄邪兵戰匣（網站未列地圖）；神來裝樂透卡之九（網站未列地圖）；征鬼術者錦囊（網站未列地圖）；扶乩大喪神（荒禍殘墟）；墮魔巫女（靜默之丘、擎空壁壘、獅堡軍事區）；黑魔導女（網站未列地圖）；穿雲聖牛（大梵聖湖、萬岳聖峰、香格里拉聖路）；御獅大將軍（森羅閻殿）；樑上飛賊（飛簷頂徑）</x:t>
        </x:is>
      </x:c>
    </x:row>
    <x:row r="513" ht="30" customHeight="1">
      <x:c r="A513" s="55" t="str">
        <x:v>斬首千黎旋</x:v>
      </x:c>
      <x:c r="B513" s="55" t="str">
        <x:v>—</x:v>
      </x:c>
      <x:c r="C513" s="55" t="str">
        <x:v>—</x:v>
      </x:c>
      <x:c r="D513" s="55" t="str">
        <x:v>—</x:v>
      </x:c>
      <x:c r="E513" s="55" t="inlineStr">
        <x:is>
          <x:t>阿鼻邪兵戰匣（網站未列地圖）；煉獄邪兵戰匣（網站未列地圖）；征鬼術者錦囊（網站未列地圖）；原始風靈（擎空壁壘）</x:t>
        </x:is>
      </x:c>
    </x:row>
    <x:row r="514" ht="30" customHeight="1">
      <x:c r="A514" s="55" t="str">
        <x:v>一見發財</x:v>
      </x:c>
      <x:c r="B514" s="55" t="str">
        <x:v>—</x:v>
      </x:c>
      <x:c r="C514" s="55" t="str">
        <x:v>—</x:v>
      </x:c>
      <x:c r="D514" s="55" t="str">
        <x:v>—</x:v>
      </x:c>
      <x:c r="E514" s="55" t="inlineStr">
        <x:is>
          <x:t>無間邪兵戰匣（網站未列地圖）；傾天絕邪（寒愴冰獄）；阿鼻邪兵戰匣（網站未列地圖）；征鬼術者錦囊（網站未列地圖）；蝶舞精（登龍道、凌風修境、繚空碎島）；真知聖御將（法誡參道、真知寺、萬識聖宮）</x:t>
        </x:is>
      </x:c>
    </x:row>
    <x:row r="515" ht="30" customHeight="1">
      <x:c r="A515" s="55" t="str">
        <x:v>大羅金仙倒</x:v>
      </x:c>
      <x:c r="B515" s="55" t="str">
        <x:v>—</x:v>
      </x:c>
      <x:c r="C515" s="55" t="str">
        <x:v>—</x:v>
      </x:c>
      <x:c r="D515" s="55" t="str">
        <x:v>—</x:v>
      </x:c>
      <x:c r="E515" s="55" t="inlineStr">
        <x:is>
          <x:t>無間邪兵戰匣（網站未列地圖）；無間邪兵戰匣（網站未列地圖）；傾天絕邪（寒愴冰獄）；征鬼術者錦囊（網站未列地圖）；原始水靈（靜默之丘、擎空壁壘、獅堡軍事區）；黑池饜屍（漆黑水路、真知寺）</x:t>
        </x:is>
      </x:c>
    </x:row>
    <x:row r="516" ht="15" customHeight="1">
      <x:c r="A516" s="55" t="str">
        <x:v>妖滅天殛魔錐</x:v>
      </x:c>
      <x:c r="B516" s="55" t="str">
        <x:v>—</x:v>
      </x:c>
      <x:c r="C516" s="55" t="str">
        <x:v>—</x:v>
      </x:c>
      <x:c r="D516" s="55" t="str">
        <x:v>—</x:v>
      </x:c>
      <x:c r="E516" s="55" t="inlineStr">
        <x:is>
          <x:t>天殛邪器錦囊（網站未列地圖）</x:t>
        </x:is>
      </x:c>
    </x:row>
    <x:row r="517" ht="15" customHeight="1">
      <x:c r="A517" s="55" t="str">
        <x:v>凶亡天殛魔錐</x:v>
      </x:c>
      <x:c r="B517" s="55" t="str">
        <x:v>—</x:v>
      </x:c>
      <x:c r="C517" s="55" t="str">
        <x:v>—</x:v>
      </x:c>
      <x:c r="D517" s="55" t="str">
        <x:v>—</x:v>
      </x:c>
      <x:c r="E517" s="55" t="inlineStr">
        <x:is>
          <x:t>天殛邪器錦囊（網站未列地圖）</x:t>
        </x:is>
      </x:c>
    </x:row>
    <x:row r="518" ht="15" customHeight="1">
      <x:c r="A518" s="55" t="str">
        <x:v>惡斬天殛魔錐</x:v>
      </x:c>
      <x:c r="B518" s="55" t="str">
        <x:v>—</x:v>
      </x:c>
      <x:c r="C518" s="55" t="str">
        <x:v>—</x:v>
      </x:c>
      <x:c r="D518" s="55" t="str">
        <x:v>—</x:v>
      </x:c>
      <x:c r="E518" s="55" t="inlineStr">
        <x:is>
          <x:t>天殛邪器錦囊（網站未列地圖）</x:t>
        </x:is>
      </x:c>
    </x:row>
    <x:row r="519" ht="15" customHeight="1">
      <x:c r="A519" s="55" t="str">
        <x:v>獸殺天殛魔錐</x:v>
      </x:c>
      <x:c r="B519" s="55" t="str">
        <x:v>—</x:v>
      </x:c>
      <x:c r="C519" s="55" t="str">
        <x:v>—</x:v>
      </x:c>
      <x:c r="D519" s="55" t="str">
        <x:v>—</x:v>
      </x:c>
      <x:c r="E519" s="55" t="inlineStr">
        <x:is>
          <x:t>天殛邪器錦囊（網站未列地圖）</x:t>
        </x:is>
      </x:c>
    </x:row>
    <x:row r="520" ht="30" customHeight="1">
      <x:c r="A520" s="55" t="str">
        <x:v>血燕鈸</x:v>
      </x:c>
      <x:c r="B520" s="55" t="str">
        <x:v>—</x:v>
      </x:c>
      <x:c r="C520" s="55" t="str">
        <x:v>—</x:v>
      </x:c>
      <x:c r="D520" s="55" t="str">
        <x:v>—</x:v>
      </x:c>
      <x:c r="E520" s="55" t="inlineStr">
        <x:is>
          <x:t>頂峰神兵錦囊（網站未列地圖）；天藏術者錦囊（網站未列地圖）；天鬼神羅奢薩（神煉之間）；墮魔巫女（靜默之丘、擎空壁壘、獅堡軍事區）；黑魔導女（網站未列地圖）；真知聖御將（法誡參道、真知寺、萬識聖宮）</x:t>
        </x:is>
      </x:c>
    </x:row>
    <x:row r="521" ht="30" customHeight="1">
      <x:c r="A521" s="55" t="str">
        <x:v>太古血燕鈸</x:v>
      </x:c>
      <x:c r="B521" s="55" t="str">
        <x:v>—</x:v>
      </x:c>
      <x:c r="C521" s="55" t="str">
        <x:v>—</x:v>
      </x:c>
      <x:c r="D521" s="55" t="str">
        <x:v>—</x:v>
      </x:c>
      <x:c r="E521" s="55" t="inlineStr">
        <x:is>
          <x:t>天藏太古神兵聖箱（網站未列地圖）；兔兒皇（網站未列地圖）；九華神曜龍（天授之間）；逆宗梵鬼（萬岳聖峰、香格里拉聖路、香格里拉神廟）；噬地梵鬼（網站未列地圖）；祭邪大魔牛（神煉之間）；碎峰大梵鬼（神煉之間）</x:t>
        </x:is>
      </x:c>
    </x:row>
    <x:row r="522" ht="30" customHeight="1">
      <x:c r="A522" s="55" t="str">
        <x:v>盪月血燕鈸</x:v>
      </x:c>
      <x:c r="B522" s="55" t="str">
        <x:v>—</x:v>
      </x:c>
      <x:c r="C522" s="55" t="str">
        <x:v>—</x:v>
      </x:c>
      <x:c r="D522" s="55" t="str">
        <x:v>—</x:v>
      </x:c>
      <x:c r="E522" s="55" t="inlineStr">
        <x:is>
          <x:t>聖路神兵聖箱（網站未列地圖）；神來裝樂透卡之十（網站未列地圖）；天藏術者錦囊（網站未列地圖）；霸戰獅王（聖禱天廳）；夢花蝶仙（飛雲忘野、橫劍天關）</x:t>
        </x:is>
      </x:c>
    </x:row>
    <x:row r="523" ht="15" customHeight="1">
      <x:c r="A523" s="55" t="str">
        <x:v>金剛環</x:v>
      </x:c>
      <x:c r="B523" s="55" t="str">
        <x:v>—</x:v>
      </x:c>
      <x:c r="C523" s="55" t="str">
        <x:v>—</x:v>
      </x:c>
      <x:c r="D523" s="55" t="str">
        <x:v>—</x:v>
      </x:c>
      <x:c r="E523" s="55" t="inlineStr">
        <x:is>
          <x:t>天光神兵聖匣（網站未列地圖）；朝天妖道（飛雲忘野）；蝶舞精（登龍道、凌風修境、繚空碎島）</x:t>
        </x:is>
      </x:c>
    </x:row>
    <x:row r="524" ht="30" customHeight="1">
      <x:c r="A524" s="55" t="str">
        <x:v>太古金剛環</x:v>
      </x:c>
      <x:c r="B524" s="55" t="str">
        <x:v>—</x:v>
      </x:c>
      <x:c r="C524" s="55" t="str">
        <x:v>—</x:v>
      </x:c>
      <x:c r="D524" s="55" t="str">
        <x:v>—</x:v>
      </x:c>
      <x:c r="E524" s="55" t="inlineStr">
        <x:is>
          <x:t>天藏太古神兵聖箱（網站未列地圖）；查拉欽（飛昇大廳）；&lt;查拉欽&gt;（真七寶仙境　貳）；神御輝鎧駝（飛昇大廳）；&lt;神御輝鎧駝&gt;（真七寶仙境　貳）；黑池饜屍（漆黑水路、真知寺）</x:t>
        </x:is>
      </x:c>
    </x:row>
    <x:row r="525" ht="15" customHeight="1">
      <x:c r="A525" s="55" t="str">
        <x:v>臥龍金剛環</x:v>
      </x:c>
      <x:c r="B525" s="55" t="str">
        <x:v>—</x:v>
      </x:c>
      <x:c r="C525" s="55" t="str">
        <x:v>—</x:v>
      </x:c>
      <x:c r="D525" s="55" t="str">
        <x:v>—</x:v>
      </x:c>
      <x:c r="E525" s="55" t="inlineStr">
        <x:is>
          <x:t>顛峰神兵聖匣（網站未列地圖）；香格里拉武匣（網站未列地圖）；原始水靈（靜默之丘、擎空壁壘、獅堡軍事區）</x:t>
        </x:is>
      </x:c>
    </x:row>
    <x:row r="526" ht="15" customHeight="1">
      <x:c r="A526" s="55" t="str">
        <x:v>神銳大士爺</x:v>
      </x:c>
      <x:c r="B526" s="55" t="str">
        <x:v>—</x:v>
      </x:c>
      <x:c r="C526" s="55" t="str">
        <x:v>—</x:v>
      </x:c>
      <x:c r="D526" s="55" t="str">
        <x:v>—</x:v>
      </x:c>
      <x:c r="E526" s="55" t="inlineStr">
        <x:is>
          <x:t>聖魔永劫戰匣（網站未列地圖）</x:t>
        </x:is>
      </x:c>
    </x:row>
    <x:row r="527" ht="15" customHeight="1">
      <x:c r="A527" s="55" t="str">
        <x:v>邪銳旃荼羅</x:v>
      </x:c>
      <x:c r="B527" s="55" t="str">
        <x:v>—</x:v>
      </x:c>
      <x:c r="C527" s="55" t="str">
        <x:v>—</x:v>
      </x:c>
      <x:c r="D527" s="55" t="str">
        <x:v>—</x:v>
      </x:c>
      <x:c r="E527" s="55" t="inlineStr">
        <x:is>
          <x:t>聖魔永劫戰匣（網站未列地圖）</x:t>
        </x:is>
      </x:c>
    </x:row>
    <x:row r="528" ht="15" customHeight="1">
      <x:c r="A528" s="55" t="str">
        <x:v>連星弩</x:v>
      </x:c>
      <x:c r="B528" s="55" t="str">
        <x:v>—</x:v>
      </x:c>
      <x:c r="C528" s="55" t="str">
        <x:v>—</x:v>
      </x:c>
      <x:c r="D528" s="55" t="str">
        <x:v>—</x:v>
      </x:c>
      <x:c r="E528" s="55" t="inlineStr">
        <x:is>
          <x:t>波斯神兵寶箱（網站未列地圖）；靨羽蝶后（仙庭玉階、闕真金閣）；墨心神蝶（網站未列地圖）</x:t>
        </x:is>
      </x:c>
    </x:row>
    <x:row r="529" ht="15" customHeight="1">
      <x:c r="A529" s="55" t="str">
        <x:v>太古連星弩</x:v>
      </x:c>
      <x:c r="B529" s="55" t="str">
        <x:v>—</x:v>
      </x:c>
      <x:c r="C529" s="55" t="str">
        <x:v>—</x:v>
      </x:c>
      <x:c r="D529" s="55" t="str">
        <x:v>—</x:v>
      </x:c>
      <x:c r="E529" s="55" t="inlineStr">
        <x:is>
          <x:t>波斯太古神兵聖箱（網站未列地圖）；幻魔‧火鐮（神臨之地）；&lt;幻魔‧火鐮&gt;（修羅級神臨之地）</x:t>
        </x:is>
      </x:c>
    </x:row>
    <x:row r="530" ht="30" customHeight="1">
      <x:c r="A530" s="55" t="str">
        <x:v>十二宿聖弩</x:v>
      </x:c>
      <x:c r="B530" s="55" t="str">
        <x:v>—</x:v>
      </x:c>
      <x:c r="C530" s="55" t="str">
        <x:v>—</x:v>
      </x:c>
      <x:c r="D530" s="55" t="str">
        <x:v>—</x:v>
      </x:c>
      <x:c r="E530" s="55" t="inlineStr">
        <x:is>
          <x:t>真知神兵金盒（網站未列地圖）；波斯千武印箱（網站未列地圖）；萬識飛升聖匣（網站未列地圖）；夢花蝶仙（飛雲忘野、橫劍天關）</x:t>
        </x:is>
      </x:c>
    </x:row>
    <x:row r="531" ht="30" customHeight="1">
      <x:c r="A531" s="55" t="str">
        <x:v>通天盤</x:v>
      </x:c>
      <x:c r="B531" s="55" t="str">
        <x:v>—</x:v>
      </x:c>
      <x:c r="C531" s="55" t="str">
        <x:v>—</x:v>
      </x:c>
      <x:c r="D531" s="55" t="str">
        <x:v>—</x:v>
      </x:c>
      <x:c r="E531" s="55" t="inlineStr">
        <x:is>
          <x:t>武皇神兵寶箱（網站未列地圖）；波斯千武印箱（網站未列地圖）；&lt;神御輝鎧駝&gt;（真七寶仙境　貳）；朝天妖道（飛雲忘野）</x:t>
        </x:is>
      </x:c>
    </x:row>
    <x:row r="532" ht="30" customHeight="1">
      <x:c r="A532" s="55" t="str">
        <x:v>太古通天盤</x:v>
      </x:c>
      <x:c r="B532" s="55" t="str">
        <x:v>—</x:v>
      </x:c>
      <x:c r="C532" s="55" t="str">
        <x:v>—</x:v>
      </x:c>
      <x:c r="D532" s="55" t="str">
        <x:v>—</x:v>
      </x:c>
      <x:c r="E532" s="55" t="inlineStr">
        <x:is>
          <x:t>年大媽（網站未列地圖）；波斯太古神兵聖箱（網站未列地圖）；幻滅巨龍（神臨之地）；&lt;幻滅巨龍&gt;（修羅級神臨之地）</x:t>
        </x:is>
      </x:c>
    </x:row>
    <x:row r="533" ht="15" customHeight="1">
      <x:c r="A533" s="55" t="str">
        <x:v>巴比倫之盤</x:v>
      </x:c>
      <x:c r="B533" s="55" t="str">
        <x:v>—</x:v>
      </x:c>
      <x:c r="C533" s="55" t="str">
        <x:v>—</x:v>
      </x:c>
      <x:c r="D533" s="55" t="str">
        <x:v>—</x:v>
      </x:c>
      <x:c r="E533" s="55" t="inlineStr">
        <x:is>
          <x:t>巴比倫神兵寶箱（網站未列地圖）；萬識飛升聖匣（網站未列地圖）</x:t>
        </x:is>
      </x:c>
    </x:row>
    <x:row r="534" ht="30" customHeight="1">
      <x:c r="A534" s="55" t="str">
        <x:v>廿四宮神弩</x:v>
      </x:c>
      <x:c r="B534" s="55" t="str">
        <x:v>—</x:v>
      </x:c>
      <x:c r="C534" s="55" t="str">
        <x:v>—</x:v>
      </x:c>
      <x:c r="D534" s="55" t="str">
        <x:v>—</x:v>
      </x:c>
      <x:c r="E534" s="55" t="inlineStr">
        <x:is>
          <x:t>波斯千武印箱（網站未列地圖）；真知神兵金盒（網站未列地圖）；萬識飛升聖匣（網站未列地圖）；霸戰獅王（聖禱天廳）</x:t>
        </x:is>
      </x:c>
    </x:row>
    <x:row r="535" ht="15" customHeight="1">
      <x:c r="A535" s="55" t="str">
        <x:v>麥革達法輪</x:v>
      </x:c>
      <x:c r="B535" s="55" t="str">
        <x:v>—</x:v>
      </x:c>
      <x:c r="C535" s="55" t="str">
        <x:v>—</x:v>
      </x:c>
      <x:c r="D535" s="55" t="str">
        <x:v>—</x:v>
      </x:c>
      <x:c r="E535" s="55" t="inlineStr">
        <x:is>
          <x:t>巴比倫神兵寶箱（網站未列地圖）；萬識飛升聖匣（網站未列地圖）</x:t>
        </x:is>
      </x:c>
    </x:row>
    <x:row r="536" ht="30" customHeight="1">
      <x:c r="A536" s="55" t="str">
        <x:v>五星限命</x:v>
      </x:c>
      <x:c r="B536" s="55" t="str">
        <x:v>—</x:v>
      </x:c>
      <x:c r="C536" s="55" t="str">
        <x:v>—</x:v>
      </x:c>
      <x:c r="D536" s="55" t="str">
        <x:v>—</x:v>
      </x:c>
      <x:c r="E536" s="55" t="inlineStr">
        <x:is>
          <x:t>帝國神兵寶箱（網站未列地圖）；連雲精衛（天啟八關）；玉階飛凰（仙庭玉階）；靨羽蝶后（仙庭玉階、闕真金閣）；墨心神蝶（網站未列地圖）</x:t>
        </x:is>
      </x:c>
    </x:row>
    <x:row r="537" ht="15" customHeight="1">
      <x:c r="A537" s="55" t="str">
        <x:v>太古五星限命</x:v>
      </x:c>
      <x:c r="B537" s="55" t="str">
        <x:v>—</x:v>
      </x:c>
      <x:c r="C537" s="55" t="str">
        <x:v>—</x:v>
      </x:c>
      <x:c r="D537" s="55" t="str">
        <x:v>—</x:v>
      </x:c>
      <x:c r="E537" s="55" t="inlineStr">
        <x:is>
          <x:t>帝國太古神兵聖箱（網站未列地圖）；典藏神臨寶箱（網站未列地圖）；十字總將普萊斯（凱旋廣場）</x:t>
        </x:is>
      </x:c>
    </x:row>
    <x:row r="538" ht="15" customHeight="1">
      <x:c r="A538" s="55" t="str">
        <x:v>晨曦殘殞星</x:v>
      </x:c>
      <x:c r="B538" s="55" t="str">
        <x:v>—</x:v>
      </x:c>
      <x:c r="C538" s="55" t="str">
        <x:v>—</x:v>
      </x:c>
      <x:c r="D538" s="55" t="str">
        <x:v>—</x:v>
      </x:c>
      <x:c r="E538" s="55" t="inlineStr">
        <x:is>
          <x:t>獅皇神兵寶箱（網站未列地圖）</x:t>
        </x:is>
      </x:c>
    </x:row>
    <x:row r="539" ht="15" customHeight="1">
      <x:c r="A539" s="55" t="str">
        <x:v>魔淵摧魂星</x:v>
      </x:c>
      <x:c r="B539" s="55" t="str">
        <x:v>—</x:v>
      </x:c>
      <x:c r="C539" s="55" t="str">
        <x:v>—</x:v>
      </x:c>
      <x:c r="D539" s="55" t="str">
        <x:v>—</x:v>
      </x:c>
      <x:c r="E539" s="55" t="inlineStr">
        <x:is>
          <x:t>獅皇神兵寶箱（網站未列地圖）</x:t>
        </x:is>
      </x:c>
    </x:row>
    <x:row r="540" ht="15" customHeight="1">
      <x:c r="A540" s="55" t="str">
        <x:v>霹靂火</x:v>
      </x:c>
      <x:c r="B540" s="55" t="str">
        <x:v>—</x:v>
      </x:c>
      <x:c r="C540" s="55" t="str">
        <x:v>—</x:v>
      </x:c>
      <x:c r="D540" s="55" t="str">
        <x:v>—</x:v>
      </x:c>
      <x:c r="E540" s="55" t="inlineStr">
        <x:is>
          <x:t>歐帝神兵寶箱（網站未列地圖）；太古射俑（紫雷轟原）</x:t>
        </x:is>
      </x:c>
    </x:row>
    <x:row r="541" ht="15" customHeight="1">
      <x:c r="A541" s="55" t="str">
        <x:v>太古霹靂火</x:v>
      </x:c>
      <x:c r="B541" s="55" t="str">
        <x:v>—</x:v>
      </x:c>
      <x:c r="C541" s="55" t="str">
        <x:v>—</x:v>
      </x:c>
      <x:c r="D541" s="55" t="str">
        <x:v>—</x:v>
      </x:c>
      <x:c r="E541" s="55" t="inlineStr">
        <x:is>
          <x:t>帝國太古神兵聖箱（網站未列地圖）；武神（網站未列地圖）；雲蛟巨將（九霄天樓）</x:t>
        </x:is>
      </x:c>
    </x:row>
    <x:row r="542" ht="30" customHeight="1">
      <x:c r="A542" s="55" t="str">
        <x:v>驚雷天閃銃</x:v>
      </x:c>
      <x:c r="B542" s="55" t="str">
        <x:v>—</x:v>
      </x:c>
      <x:c r="C542" s="55" t="str">
        <x:v>—</x:v>
      </x:c>
      <x:c r="D542" s="55" t="str">
        <x:v>—</x:v>
      </x:c>
      <x:c r="E542" s="55" t="inlineStr">
        <x:is>
          <x:t>君臨神兵寶箱（網站未列地圖）；真術修者（四聖祭台）；幻色蜥蜴（異時界‧亂藤林）；嗇花精（異時界‧亂藤林、異時界‧亂藤林南）；疲憊的鷹族戰士（異時界‧亂藤林東）；大王花精（異時界‧亂藤林南）</x:t>
        </x:is>
      </x:c>
    </x:row>
    <x:row r="543" ht="15" customHeight="1">
      <x:c r="A543" s="55" t="str">
        <x:v>鴻火流星銃</x:v>
      </x:c>
      <x:c r="B543" s="55" t="str">
        <x:v>—</x:v>
      </x:c>
      <x:c r="C543" s="55" t="str">
        <x:v>—</x:v>
      </x:c>
      <x:c r="D543" s="55" t="str">
        <x:v>—</x:v>
      </x:c>
      <x:c r="E543" s="55" t="inlineStr">
        <x:is>
          <x:t>君臨神兵寶箱（網站未列地圖）</x:t>
        </x:is>
      </x:c>
    </x:row>
    <x:row r="544" ht="15" customHeight="1">
      <x:c r="A544" s="55" t="str">
        <x:v>誅魔聖衛飛環</x:v>
      </x:c>
      <x:c r="B544" s="55" t="str">
        <x:v>—</x:v>
      </x:c>
      <x:c r="C544" s="55" t="str">
        <x:v>—</x:v>
      </x:c>
      <x:c r="D544" s="55" t="str">
        <x:v>—</x:v>
      </x:c>
      <x:c r="E544" s="55" t="inlineStr">
        <x:is>
          <x:t>霸武聖兵寶樞（網站未列地圖）</x:t>
        </x:is>
      </x:c>
    </x:row>
    <x:row r="545" ht="15" customHeight="1">
      <x:c r="A545" s="55" t="str">
        <x:v>破邪聖衛飛環</x:v>
      </x:c>
      <x:c r="B545" s="55" t="str">
        <x:v>—</x:v>
      </x:c>
      <x:c r="C545" s="55" t="str">
        <x:v>—</x:v>
      </x:c>
      <x:c r="D545" s="55" t="str">
        <x:v>—</x:v>
      </x:c>
      <x:c r="E545" s="55" t="inlineStr">
        <x:is>
          <x:t>霸武聖兵寶樞（網站未列地圖）</x:t>
        </x:is>
      </x:c>
    </x:row>
    <x:row r="546" ht="15" customHeight="1">
      <x:c r="A546" s="55" t="str">
        <x:v>伏妖聖衛飛環</x:v>
      </x:c>
      <x:c r="B546" s="55" t="str">
        <x:v>—</x:v>
      </x:c>
      <x:c r="C546" s="55" t="str">
        <x:v>—</x:v>
      </x:c>
      <x:c r="D546" s="55" t="str">
        <x:v>—</x:v>
      </x:c>
      <x:c r="E546" s="55" t="inlineStr">
        <x:is>
          <x:t>霸武聖兵寶樞（網站未列地圖）</x:t>
        </x:is>
      </x:c>
    </x:row>
    <x:row r="547" ht="15" customHeight="1">
      <x:c r="A547" s="55" t="str">
        <x:v>烈空聖衛飛環</x:v>
      </x:c>
      <x:c r="B547" s="55" t="str">
        <x:v>—</x:v>
      </x:c>
      <x:c r="C547" s="55" t="str">
        <x:v>—</x:v>
      </x:c>
      <x:c r="D547" s="55" t="str">
        <x:v>—</x:v>
      </x:c>
      <x:c r="E547" s="55" t="inlineStr">
        <x:is>
          <x:t>霸武聖兵寶樞（網站未列地圖）</x:t>
        </x:is>
      </x:c>
    </x:row>
    <x:row r="548" ht="15" customHeight="1">
      <x:c r="A548" s="55" t="str">
        <x:v>雷霆玉</x:v>
      </x:c>
      <x:c r="B548" s="55" t="str">
        <x:v>—</x:v>
      </x:c>
      <x:c r="C548" s="55" t="str">
        <x:v>—</x:v>
      </x:c>
      <x:c r="D548" s="55" t="str">
        <x:v>—</x:v>
      </x:c>
      <x:c r="E548" s="55" t="inlineStr">
        <x:is>
          <x:t>九天神兵寶箱（網站未列地圖）；強襲飛龍（青龍東殿）；玉階飛凰（仙庭玉階）；八部天章（天啟八關）</x:t>
        </x:is>
      </x:c>
    </x:row>
    <x:row r="549" ht="30" customHeight="1">
      <x:c r="A549" s="55" t="str">
        <x:v>太古雷霆玉</x:v>
      </x:c>
      <x:c r="B549" s="55" t="str">
        <x:v>—</x:v>
      </x:c>
      <x:c r="C549" s="55" t="str">
        <x:v>—</x:v>
      </x:c>
      <x:c r="D549" s="55" t="str">
        <x:v>—</x:v>
      </x:c>
      <x:c r="E549" s="55" t="inlineStr">
        <x:is>
          <x:t>九天太古神兵聖箱（網站未列地圖）；妖三娘翦虹（凌風修境）；仙典九天寶箱（網站未列地圖）；&lt;雲蛟巨將&gt;（修羅級九霄天樓）</x:t>
        </x:is>
      </x:c>
    </x:row>
    <x:row r="550" ht="15" customHeight="1">
      <x:c r="A550" s="55" t="str">
        <x:v>王雷神風玉</x:v>
      </x:c>
      <x:c r="B550" s="55" t="str">
        <x:v>—</x:v>
      </x:c>
      <x:c r="C550" s="55" t="str">
        <x:v>—</x:v>
      </x:c>
      <x:c r="D550" s="55" t="str">
        <x:v>—</x:v>
      </x:c>
      <x:c r="E550" s="55" t="inlineStr">
        <x:is>
          <x:t>飛仙神兵寶箱（網站未列地圖）；銀霜神牛（白虎西殿）</x:t>
        </x:is>
      </x:c>
    </x:row>
    <x:row r="551" ht="15" customHeight="1">
      <x:c r="A551" s="55" t="str">
        <x:v>天激地震玉</x:v>
      </x:c>
      <x:c r="B551" s="55" t="str">
        <x:v>—</x:v>
      </x:c>
      <x:c r="C551" s="55" t="str">
        <x:v>—</x:v>
      </x:c>
      <x:c r="D551" s="55" t="str">
        <x:v>—</x:v>
      </x:c>
      <x:c r="E551" s="55" t="inlineStr">
        <x:is>
          <x:t>飛仙神兵寶箱（網站未列地圖）</x:t>
        </x:is>
      </x:c>
    </x:row>
    <x:row r="552" ht="15" customHeight="1">
      <x:c r="A552" s="55" t="str">
        <x:v>歲光暈</x:v>
      </x:c>
      <x:c r="B552" s="55" t="str">
        <x:v>—</x:v>
      </x:c>
      <x:c r="C552" s="55" t="str">
        <x:v>—</x:v>
      </x:c>
      <x:c r="D552" s="55" t="str">
        <x:v>—</x:v>
      </x:c>
      <x:c r="E552" s="55" t="inlineStr">
        <x:is>
          <x:t>仙庭神兵寶箱（網站未列地圖）；八天右風王（紫雷轟原）</x:t>
        </x:is>
      </x:c>
    </x:row>
    <x:row r="553" ht="15" customHeight="1">
      <x:c r="A553" s="55" t="str">
        <x:v>太古歲光暈</x:v>
      </x:c>
      <x:c r="B553" s="55" t="str">
        <x:v>—</x:v>
      </x:c>
      <x:c r="C553" s="55" t="str">
        <x:v>—</x:v>
      </x:c>
      <x:c r="D553" s="55" t="str">
        <x:v>—</x:v>
      </x:c>
      <x:c r="E553" s="55" t="inlineStr">
        <x:is>
          <x:t>九天太古神兵聖箱（網站未列地圖）；仙典真九天寶箱（網站未列地圖）</x:t>
        </x:is>
      </x:c>
    </x:row>
    <x:row r="554" ht="15" customHeight="1">
      <x:c r="A554" s="55" t="str">
        <x:v>仙庭九華珥</x:v>
      </x:c>
      <x:c r="B554" s="55" t="str">
        <x:v>—</x:v>
      </x:c>
      <x:c r="C554" s="55" t="str">
        <x:v>—</x:v>
      </x:c>
      <x:c r="D554" s="55" t="str">
        <x:v>—</x:v>
      </x:c>
      <x:c r="E554" s="55" t="inlineStr">
        <x:is>
          <x:t>修真神兵寶箱（網站未列地圖）；褐紋天虎（白虎西殿）；雀台朱鳳（四聖祭台）</x:t>
        </x:is>
      </x:c>
    </x:row>
    <x:row r="555" ht="45" customHeight="1">
      <x:c r="A555" s="55" t="str">
        <x:v>琉光八雲冕</x:v>
      </x:c>
      <x:c r="B555" s="55" t="str">
        <x:v>—</x:v>
      </x:c>
      <x:c r="C555" s="55" t="str">
        <x:v>—</x:v>
      </x:c>
      <x:c r="D555" s="55" t="str">
        <x:v>—</x:v>
      </x:c>
      <x:c r="E555" s="55" t="inlineStr">
        <x:is>
          <x:t>修真神兵寶箱（網站未列地圖）；雀殿妃凰（朱雀南殿）；毒隱蠍（異時界‧亂藤林）；真術修者（四聖祭台）；幻色蜥蜴（異時界‧亂藤林）；嗇花精（異時界‧亂藤林、異時界‧亂藤林南）；疲憊的鷹族戰士（異時界‧亂藤林東）；大王花精（異時界‧亂藤林南）；東天龍人（青龍東殿）；大黑豹（異時界‧亂藤林南）</x:t>
        </x:is>
      </x:c>
    </x:row>
    <x:row r="556" ht="15" customHeight="1">
      <x:c r="A556" s="55" t="str">
        <x:v>金火夜叉輪</x:v>
      </x:c>
      <x:c r="B556" s="55" t="str">
        <x:v>—</x:v>
      </x:c>
      <x:c r="C556" s="55" t="str">
        <x:v>—</x:v>
      </x:c>
      <x:c r="D556" s="55" t="str">
        <x:v>—</x:v>
      </x:c>
      <x:c r="E556" s="55" t="inlineStr">
        <x:is>
          <x:t>浩陽神兵寶匣（網站未列地圖）</x:t>
        </x:is>
      </x:c>
    </x:row>
    <x:row r="557" ht="15" customHeight="1">
      <x:c r="A557" s="55" t="str">
        <x:v>不空成就環</x:v>
      </x:c>
      <x:c r="B557" s="55" t="str">
        <x:v>—</x:v>
      </x:c>
      <x:c r="C557" s="55" t="str">
        <x:v>—</x:v>
      </x:c>
      <x:c r="D557" s="55" t="str">
        <x:v>—</x:v>
      </x:c>
      <x:c r="E557" s="55" t="inlineStr">
        <x:is>
          <x:t>浩陽神兵寶匣（網站未列地圖）</x:t>
        </x:is>
      </x:c>
    </x:row>
    <x:row r="558" ht="15" customHeight="1">
      <x:c r="A558" s="55" t="str">
        <x:v>天鍛‧亂蝶花</x:v>
      </x:c>
      <x:c r="B558" s="55" t="str">
        <x:v>—</x:v>
      </x:c>
      <x:c r="C558" s="55" t="str">
        <x:v>—</x:v>
      </x:c>
      <x:c r="D558" s="55" t="str">
        <x:v>—</x:v>
      </x:c>
      <x:c r="E558" s="55" t="inlineStr">
        <x:is>
          <x:t>無限神兵寶箱（網站未列地圖）；殺人蜂（異時界‧亂藤林南）；焚劫厲將（朱雀南殿）；無瑕鎧妖（玄武北殿）</x:t>
        </x:is>
      </x:c>
    </x:row>
    <x:row r="559" ht="30" customHeight="1">
      <x:c r="A559" s="55" t="str">
        <x:v>仙鑄‧亂蝶花</x:v>
      </x:c>
      <x:c r="B559" s="55" t="str">
        <x:v>—</x:v>
      </x:c>
      <x:c r="C559" s="55" t="str">
        <x:v>—</x:v>
      </x:c>
      <x:c r="D559" s="55" t="str">
        <x:v>—</x:v>
      </x:c>
      <x:c r="E559" s="55" t="inlineStr">
        <x:is>
          <x:t>大無限神兵寶箱（網站未列地圖）；侯氏兵甲福袋2015（網站未列地圖）；冰噬鱷（異時界‧毒龍潭）；巨靈煞（異時界‧毒龍潭）；莽毒狂龍（異時界‧毒龍潭）；五毒蜘蛛精（異時界‧夜叉嶺）</x:t>
        </x:is>
      </x:c>
    </x:row>
    <x:row r="560" ht="30" customHeight="1">
      <x:c r="A560" s="55" t="str">
        <x:v>神煉‧亂蝶花</x:v>
      </x:c>
      <x:c r="B560" s="55" t="str">
        <x:v>—</x:v>
      </x:c>
      <x:c r="C560" s="55" t="str">
        <x:v>—</x:v>
      </x:c>
      <x:c r="D560" s="55" t="str">
        <x:v>—</x:v>
      </x:c>
      <x:c r="E560" s="55" t="inlineStr">
        <x:is>
          <x:t>超無限神兵寶箱（網站未列地圖）；三之極限福袋（網站未列地圖）；飄魂禿鷹（時沒邊界）；墮真劍邪‧強（殘雲天境）</x:t>
        </x:is>
      </x:c>
    </x:row>
    <x:row r="561" ht="30" customHeight="1">
      <x:c r="A561" s="55" t="str">
        <x:v>宇傲‧亂蝶花</x:v>
      </x:c>
      <x:c r="B561" s="55" t="str">
        <x:v>—</x:v>
      </x:c>
      <x:c r="C561" s="55" t="str">
        <x:v>—</x:v>
      </x:c>
      <x:c r="D561" s="55" t="str">
        <x:v>—</x:v>
      </x:c>
      <x:c r="E561" s="55" t="inlineStr">
        <x:is>
          <x:t>極無限神兵寶箱（網站未列地圖）；侯氏兵甲福袋2016（網站未列地圖）；裂箭鐵傀（音無晶宇）；迷界幻忍（觀無巽宇）；玄虛射手（觀無巽宇）；不法骨怪（觀無巽宇）；壞界冥獅（音無晶宇）</x:t>
        </x:is>
      </x:c>
    </x:row>
    <x:row r="562" ht="15" customHeight="1">
      <x:c r="A562" s="55" t="str">
        <x:v>峻霆‧亂蝶花</x:v>
      </x:c>
      <x:c r="B562" s="55" t="str">
        <x:v>—</x:v>
      </x:c>
      <x:c r="C562" s="55" t="str">
        <x:v>—</x:v>
      </x:c>
      <x:c r="D562" s="55" t="str">
        <x:v>—</x:v>
      </x:c>
      <x:c r="E562" s="55" t="inlineStr">
        <x:is>
          <x:t>絕無限神兵寶箱（網站未列地圖）；虛化修羅（不解迴路）；虛嵐（虛空渦心）</x:t>
        </x:is>
      </x:c>
    </x:row>
    <x:row r="563" ht="30" customHeight="1">
      <x:c r="A563" s="55" t="str">
        <x:v>窮極‧亂蝶花</x:v>
      </x:c>
      <x:c r="B563" s="55" t="str">
        <x:v>—</x:v>
      </x:c>
      <x:c r="C563" s="55" t="str">
        <x:v>—</x:v>
      </x:c>
      <x:c r="D563" s="55" t="str">
        <x:v>—</x:v>
      </x:c>
      <x:c r="E563" s="55" t="inlineStr">
        <x:is>
          <x:t>無無限神兵寶箱（網站未列地圖）；搗蛋天鬼神（網站未列地圖）；賀歲大金雞（網站未列地圖）；沒世蒼神射（虛空渦心）</x:t>
        </x:is>
      </x:c>
    </x:row>
    <x:row r="564" ht="15" customHeight="1">
      <x:c r="A564" s="55" t="str">
        <x:v>元宙‧亂蝶花</x:v>
      </x:c>
      <x:c r="B564" s="55" t="str">
        <x:v>—</x:v>
      </x:c>
      <x:c r="C564" s="55" t="str">
        <x:v>—</x:v>
      </x:c>
      <x:c r="D564" s="55" t="str">
        <x:v>—</x:v>
      </x:c>
      <x:c r="E564" s="55" t="inlineStr">
        <x:is>
          <x:t>帝無限神兵寶箱（網站未列地圖）；黑霾獸（終末之塔第18層）；森羅冷指（終末之塔第5層、終末之塔第6層）</x:t>
        </x:is>
      </x:c>
    </x:row>
    <x:row r="565" ht="15" customHeight="1">
      <x:c r="A565" s="55" t="str">
        <x:v>真宇傲亂蝶花</x:v>
      </x:c>
      <x:c r="B565" s="55" t="str">
        <x:v>—</x:v>
      </x:c>
      <x:c r="C565" s="55" t="str">
        <x:v>—</x:v>
      </x:c>
      <x:c r="D565" s="55" t="str">
        <x:v>—</x:v>
      </x:c>
      <x:c r="E565" s="55" t="inlineStr">
        <x:is>
          <x:t>終無限神兵寶箱（網站未列地圖）；瞠目兇首（終末之塔第31層）；沙野夜叉（終末之塔第41層）</x:t>
        </x:is>
      </x:c>
    </x:row>
    <x:row r="566" ht="30" customHeight="1">
      <x:c r="A566" s="55" t="str">
        <x:v>瞬光劃★</x:v>
      </x:c>
      <x:c r="B566" s="55" t="str">
        <x:v>—</x:v>
      </x:c>
      <x:c r="C566" s="55" t="str">
        <x:v>—</x:v>
      </x:c>
      <x:c r="D566" s="55" t="str">
        <x:v>—</x:v>
      </x:c>
      <x:c r="E566" s="55" t="inlineStr">
        <x:is>
          <x:t>仙星神兵寶箱（網站未列地圖）；天罪術者錦囊（網站未列地圖）；盧索野民（王都盧索）；起源刺客（托勒密山麓）</x:t>
        </x:is>
      </x:c>
    </x:row>
    <x:row r="567" ht="30" customHeight="1">
      <x:c r="A567" s="55" t="str">
        <x:v>瞬光劃★★</x:v>
      </x:c>
      <x:c r="B567" s="55" t="str">
        <x:v>—</x:v>
      </x:c>
      <x:c r="C567" s="55" t="str">
        <x:v>—</x:v>
      </x:c>
      <x:c r="D567" s="55" t="str">
        <x:v>—</x:v>
      </x:c>
      <x:c r="E567" s="55" t="inlineStr">
        <x:is>
          <x:t>真‧仙星神兵寶箱（網站未列地圖）；罪赦術者錦囊（網站未列地圖）；生非識邪（終末之塔第82層、終末之塔第83層）；禍天翼蛇（赫勒神殿遺址）；塞赫麥特（荷魯斯聖祠）</x:t>
        </x:is>
      </x:c>
    </x:row>
    <x:row r="568" ht="15" customHeight="1">
      <x:c r="A568" s="55" t="str">
        <x:v>瞬光劃★★★</x:v>
      </x:c>
      <x:c r="B568" s="55" t="str">
        <x:v>—</x:v>
      </x:c>
      <x:c r="C568" s="55" t="str">
        <x:v>—</x:v>
      </x:c>
      <x:c r="D568" s="55" t="str">
        <x:v>—</x:v>
      </x:c>
      <x:c r="E568" s="55" t="inlineStr">
        <x:is>
          <x:t>超‧仙星神兵寶箱（網站未列地圖）；終罪術者錦囊（網站未列地圖）；八顛虛兇（終末之塔第79層）</x:t>
        </x:is>
      </x:c>
    </x:row>
    <x:row r="569" ht="30" customHeight="1">
      <x:c r="A569" s="55" t="str">
        <x:v>宗正裁☆</x:v>
      </x:c>
      <x:c r="B569" s="55" t="str">
        <x:v>—</x:v>
      </x:c>
      <x:c r="C569" s="55" t="str">
        <x:v>—</x:v>
      </x:c>
      <x:c r="D569" s="55" t="str">
        <x:v>—</x:v>
      </x:c>
      <x:c r="E569" s="55" t="inlineStr">
        <x:is>
          <x:t>煌星神兵寶箱（網站未列地圖）；天罪術者錦囊（網站未列地圖）；幻殺修羅（終末之塔第102層、終末之塔第103層、終末之塔第104層）；鬼雷驚爪（終末之塔第94層、終末之塔第95層）</x:t>
        </x:is>
      </x:c>
    </x:row>
    <x:row r="570" ht="15" customHeight="1">
      <x:c r="A570" s="55" t="str">
        <x:v>宗正裁☆☆</x:v>
      </x:c>
      <x:c r="B570" s="55" t="str">
        <x:v>—</x:v>
      </x:c>
      <x:c r="C570" s="55" t="str">
        <x:v>—</x:v>
      </x:c>
      <x:c r="D570" s="55" t="str">
        <x:v>—</x:v>
      </x:c>
      <x:c r="E570" s="55" t="inlineStr">
        <x:is>
          <x:t>真‧煌星神兵寶箱（網站未列地圖）；罪赦術者錦囊（網站未列地圖）；迷航探偵機（終末之塔第132層）</x:t>
        </x:is>
      </x:c>
    </x:row>
    <x:row r="571" ht="15" customHeight="1">
      <x:c r="A571" s="55" t="str">
        <x:v>宗正裁☆☆☆</x:v>
      </x:c>
      <x:c r="B571" s="55" t="str">
        <x:v>—</x:v>
      </x:c>
      <x:c r="C571" s="55" t="str">
        <x:v>—</x:v>
      </x:c>
      <x:c r="D571" s="55" t="str">
        <x:v>—</x:v>
      </x:c>
      <x:c r="E571" s="55" t="inlineStr">
        <x:is>
          <x:t>超‧煌星神兵寶箱（網站未列地圖）；終罪術者錦囊（網站未列地圖）</x:t>
        </x:is>
      </x:c>
    </x:row>
    <x:row r="572" ht="15" customHeight="1">
      <x:c r="A572" s="55" t="str">
        <x:v>龍掣爪☆</x:v>
      </x:c>
      <x:c r="B572" s="55" t="str">
        <x:v>—</x:v>
      </x:c>
      <x:c r="C572" s="55" t="str">
        <x:v>—</x:v>
      </x:c>
      <x:c r="D572" s="55" t="str">
        <x:v>—</x:v>
      </x:c>
      <x:c r="E572" s="55" t="inlineStr">
        <x:is>
          <x:t>帝星神兵寶箱（網站未列地圖）；羅剎逸姝（西宮翠苑）</x:t>
        </x:is>
      </x:c>
    </x:row>
    <x:row r="573" ht="15" customHeight="1">
      <x:c r="A573" s="55" t="str">
        <x:v>龍掣爪★</x:v>
      </x:c>
      <x:c r="B573" s="55" t="str">
        <x:v>—</x:v>
      </x:c>
      <x:c r="C573" s="55" t="str">
        <x:v>—</x:v>
      </x:c>
      <x:c r="D573" s="55" t="str">
        <x:v>—</x:v>
      </x:c>
      <x:c r="E573" s="55" t="inlineStr">
        <x:is>
          <x:t>真‧帝星神兵寶箱（網站未列地圖）</x:t>
        </x:is>
      </x:c>
    </x:row>
    <x:row r="574" ht="30" customHeight="1">
      <x:c r="A574" s="55" t="str">
        <x:v>龍掣爪★☆</x:v>
      </x:c>
      <x:c r="B574" s="55" t="str">
        <x:v>—</x:v>
      </x:c>
      <x:c r="C574" s="55" t="str">
        <x:v>—</x:v>
      </x:c>
      <x:c r="D574" s="55" t="str">
        <x:v>—</x:v>
      </x:c>
      <x:c r="E574" s="55" t="inlineStr">
        <x:is>
          <x:t>超‧帝星神兵寶箱（網站未列地圖）；武冠術者錦囊（網站未列地圖）；華蹴鬥士（齊襄道、東海道、溥山新郡）；征疆上忍（白餘古城）</x:t>
        </x:is>
      </x:c>
    </x:row>
    <x:row r="575" ht="15" customHeight="1">
      <x:c r="A575" s="55" t="str">
        <x:v>龍掣爪★★</x:v>
      </x:c>
      <x:c r="B575" s="55" t="str">
        <x:v>—</x:v>
      </x:c>
      <x:c r="C575" s="55" t="str">
        <x:v>—</x:v>
      </x:c>
      <x:c r="D575" s="55" t="str">
        <x:v>—</x:v>
      </x:c>
      <x:c r="E575" s="55" t="inlineStr">
        <x:is>
          <x:t>極‧帝星神兵寶箱（網站未列地圖）；霸道煌腿（溥山新郡）；鳴梁霸腿（濟馬島）</x:t>
        </x:is>
      </x:c>
    </x:row>
    <x:row r="576" ht="15" customHeight="1">
      <x:c r="A576" s="55" t="str">
        <x:v>龍掣爪★★☆</x:v>
      </x:c>
      <x:c r="B576" s="55" t="str">
        <x:v>—</x:v>
      </x:c>
      <x:c r="C576" s="55" t="str">
        <x:v>—</x:v>
      </x:c>
      <x:c r="D576" s="55" t="str">
        <x:v>—</x:v>
      </x:c>
      <x:c r="E576" s="55" t="inlineStr">
        <x:is>
          <x:t>絕‧帝星神兵寶箱（網站未列地圖）；戰嵐斥侯（旭陽山徑）</x:t>
        </x:is>
      </x:c>
    </x:row>
    <x:row r="577" ht="15" customHeight="1">
      <x:c r="A577" s="55" t="str">
        <x:v>龍掣爪★★★</x:v>
      </x:c>
      <x:c r="B577" s="55" t="str">
        <x:v>—</x:v>
      </x:c>
      <x:c r="C577" s="55" t="str">
        <x:v>—</x:v>
      </x:c>
      <x:c r="D577" s="55" t="str">
        <x:v>—</x:v>
      </x:c>
      <x:c r="E577" s="55" t="inlineStr">
        <x:is>
          <x:t>神‧帝星神兵寶箱（網站未列地圖）；天元術者錦囊（網站未列地圖）；植生異人（始祖巨林）</x:t>
        </x:is>
      </x:c>
    </x:row>
    <x:row r="578" ht="15" customHeight="1">
      <x:c r="A578" s="55" t="str">
        <x:v>紫凰無限翼</x:v>
      </x:c>
      <x:c r="B578" s="55" t="str">
        <x:v>—</x:v>
      </x:c>
      <x:c r="C578" s="55" t="str">
        <x:v>—</x:v>
      </x:c>
      <x:c r="D578" s="55" t="str">
        <x:v>—</x:v>
      </x:c>
      <x:c r="E578" s="55" t="inlineStr">
        <x:is>
          <x:t>武冠兵甲錦囊．申（網站未列地圖）</x:t>
        </x:is>
      </x:c>
    </x:row>
    <x:row r="579" ht="15" customHeight="1">
      <x:c r="A579" s="55" t="str">
        <x:v>火鳳無限翼</x:v>
      </x:c>
      <x:c r="B579" s="55" t="str">
        <x:v>—</x:v>
      </x:c>
      <x:c r="C579" s="55" t="str">
        <x:v>—</x:v>
      </x:c>
      <x:c r="D579" s="55" t="str">
        <x:v>—</x:v>
      </x:c>
      <x:c r="E579" s="55" t="inlineStr">
        <x:is>
          <x:t>武冠兵甲錦囊．戌（網站未列地圖）</x:t>
        </x:is>
      </x:c>
    </x:row>
    <x:row r="580" ht="15" customHeight="1">
      <x:c r="A580" s="55" t="str">
        <x:v>幽凰無限翼</x:v>
      </x:c>
      <x:c r="B580" s="55" t="str">
        <x:v>—</x:v>
      </x:c>
      <x:c r="C580" s="55" t="str">
        <x:v>—</x:v>
      </x:c>
      <x:c r="D580" s="55" t="str">
        <x:v>—</x:v>
      </x:c>
      <x:c r="E580" s="55" t="inlineStr">
        <x:is>
          <x:t>侯氏百兵錦囊2012（網站未列地圖）；武冠兵甲錦囊．申（網站未列地圖）；瘡痍行者（終末之塔第89層）</x:t>
        </x:is>
      </x:c>
    </x:row>
    <x:row r="581" ht="45" customHeight="1">
      <x:c r="A581" s="55" t="str">
        <x:v>光凰無限翼</x:v>
      </x:c>
      <x:c r="B581" s="55" t="str">
        <x:v>—</x:v>
      </x:c>
      <x:c r="C581" s="55" t="str">
        <x:v>—</x:v>
      </x:c>
      <x:c r="D581" s="55" t="str">
        <x:v>—</x:v>
      </x:c>
      <x:c r="E581" s="55" t="inlineStr">
        <x:is>
          <x:t>神州夏語錦囊（網站未列地圖）；真‧蓋世無雙錦囊（網站未列地圖）；仙之極境錦囊（網站未列地圖）；無窮萬象禮包（網站未列地圖）；神世千夏錦囊（網站未列地圖）；武冠兵甲錦囊．巳（網站未列地圖）；裂箭鐵傀（音無晶宇）；釧刀鼬（覺無洋宇）；百虛操偶（終末之塔第99層）</x:t>
        </x:is>
      </x:c>
    </x:row>
    <x:row r="582" ht="60" customHeight="1">
      <x:c r="A582" s="55" t="str">
        <x:v>涅槃無限翼</x:v>
      </x:c>
      <x:c r="B582" s="55" t="str">
        <x:v>—</x:v>
      </x:c>
      <x:c r="C582" s="55" t="str">
        <x:v>—</x:v>
      </x:c>
      <x:c r="D582" s="55" t="str">
        <x:v>—</x:v>
      </x:c>
      <x:c r="E582" s="55" t="inlineStr">
        <x:is>
          <x:t>侯氏兵甲福袋2016（網站未列地圖）；武冠兵甲錦囊．辰（網站未列地圖）；完銷紀念寶箱（網站未列地圖）；○步天敖犬○（超七寶仙境　壹）；○霧隱忍武○（超七寶仙境　壹）；◎步天敖犬◎（超七寶仙境　壹）；◎霧隱忍武◎（超七寶仙境　壹）；●步天敖犬●（超七寶仙境　壹）；●霧隱忍武●（超七寶仙境　壹）；漠影翼蛇（古翰大沙漠）；斬塔罪刀（終末之塔第109層）</x:t>
        </x:is>
      </x:c>
    </x:row>
    <x:row r="583" ht="30" customHeight="1">
      <x:c r="A583" s="55" t="str">
        <x:v>激光滅辰剎</x:v>
      </x:c>
      <x:c r="B583" s="55" t="str">
        <x:v>—</x:v>
      </x:c>
      <x:c r="C583" s="55" t="str">
        <x:v>—</x:v>
      </x:c>
      <x:c r="D583" s="55" t="str">
        <x:v>—</x:v>
      </x:c>
      <x:c r="E583" s="55" t="inlineStr">
        <x:is>
          <x:t>武冠兵甲錦囊．卯（網站未列地圖）；夏京甩尾錦囊（網站未列地圖）；魔幻蜘蛛（終末之塔第113層、終末之塔第114層、終末之塔第112層）；迷航探偵機（終末之塔第132層）</x:t>
        </x:is>
      </x:c>
    </x:row>
    <x:row r="584" ht="15" customHeight="1">
      <x:c r="A584" s="55" t="str">
        <x:v>九界樹聖箭</x:v>
      </x:c>
      <x:c r="B584" s="55" t="str">
        <x:v>—</x:v>
      </x:c>
      <x:c r="C584" s="55" t="str">
        <x:v>—</x:v>
      </x:c>
      <x:c r="D584" s="55" t="str">
        <x:v>—</x:v>
      </x:c>
      <x:c r="E584" s="55" t="inlineStr">
        <x:is>
          <x:t>武冠兵甲錦囊．寅（網站未列地圖）；識漢制霸禮箱（網站未列地圖）</x:t>
        </x:is>
      </x:c>
    </x:row>
    <x:row r="585" ht="15" customHeight="1">
      <x:c r="A585" s="55" t="str">
        <x:v>亞圖姆王柄</x:v>
      </x:c>
      <x:c r="B585" s="55" t="str">
        <x:v>—</x:v>
      </x:c>
      <x:c r="C585" s="55" t="str">
        <x:v>—</x:v>
      </x:c>
      <x:c r="D585" s="55" t="str">
        <x:v>—</x:v>
      </x:c>
      <x:c r="E585" s="55" t="inlineStr">
        <x:is>
          <x:t>武冠兵甲錦囊．寅（網站未列地圖）；鼠錢手軟寶箱（網站未列地圖）；遠襲機關兵（藏意武窟）</x:t>
        </x:is>
      </x:c>
    </x:row>
    <x:row r="586" ht="15" customHeight="1">
      <x:c r="A586" s="55" t="str">
        <x:v>藏意龍翔穿</x:v>
      </x:c>
      <x:c r="B586" s="55" t="str">
        <x:v>—</x:v>
      </x:c>
      <x:c r="C586" s="55" t="str">
        <x:v>—</x:v>
      </x:c>
      <x:c r="D586" s="55" t="str">
        <x:v>—</x:v>
      </x:c>
      <x:c r="E586" s="55" t="inlineStr">
        <x:is>
          <x:t>武冠兵甲錦囊．丑（網站未列地圖）；麻辣武俠錦囊（網站未列地圖）</x:t>
        </x:is>
      </x:c>
    </x:row>
    <x:row r="587" ht="15" customHeight="1">
      <x:c r="A587" s="55" t="str">
        <x:v>諸尊神雷杵</x:v>
      </x:c>
      <x:c r="B587" s="55" t="str">
        <x:v>—</x:v>
      </x:c>
      <x:c r="C587" s="55" t="str">
        <x:v>—</x:v>
      </x:c>
      <x:c r="D587" s="55" t="str">
        <x:v>—</x:v>
      </x:c>
      <x:c r="E587" s="55" t="inlineStr">
        <x:is>
          <x:t>尊佛極兵聖匣（網站未列地圖）；神武之岩（網站未列地圖）</x:t>
        </x:is>
      </x:c>
    </x:row>
    <x:row r="588" ht="30" customHeight="1">
      <x:c r="A588" s="55" t="str">
        <x:v>混沌大兇星</x:v>
      </x:c>
      <x:c r="B588" s="55" t="str">
        <x:v>—</x:v>
      </x:c>
      <x:c r="C588" s="55" t="str">
        <x:v>—</x:v>
      </x:c>
      <x:c r="D588" s="55" t="str">
        <x:v>—</x:v>
      </x:c>
      <x:c r="E588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589" ht="15" customHeight="1">
      <x:c r="A589" s="55" t="str">
        <x:v>皇龍乾坤圈</x:v>
      </x:c>
      <x:c r="B589" s="55" t="str">
        <x:v>—</x:v>
      </x:c>
      <x:c r="C589" s="55" t="str">
        <x:v>—</x:v>
      </x:c>
      <x:c r="D589" s="55" t="str">
        <x:v>—</x:v>
      </x:c>
      <x:c r="E589" s="55" t="inlineStr">
        <x:is>
          <x:t>仙魔極兵聖箱（網站未列地圖）；新‧神武之岩（網站未列地圖）；神武之岩（網站未列地圖）</x:t>
        </x:is>
      </x:c>
    </x:row>
    <x:row r="590" ht="15" customHeight="1">
      <x:c r="A590" s="55" t="str">
        <x:v>天蠍逆刃盤</x:v>
      </x:c>
      <x:c r="B590" s="55" t="str">
        <x:v>—</x:v>
      </x:c>
      <x:c r="C590" s="55" t="str">
        <x:v>—</x:v>
      </x:c>
      <x:c r="D590" s="55" t="str">
        <x:v>—</x:v>
      </x:c>
      <x:c r="E590" s="55" t="inlineStr">
        <x:is>
          <x:t>盡宇絕兵聖箱（網站未列地圖）；新‧神武之岩（網站未列地圖）；年大媽（網站未列地圖）</x:t>
        </x:is>
      </x:c>
    </x:row>
    <x:row r="591" ht="15" customHeight="1">
      <x:c r="A591" s="55" t="str">
        <x:v>哈帝斯魔銃</x:v>
      </x:c>
      <x:c r="B591" s="55" t="str">
        <x:v>—</x:v>
      </x:c>
      <x:c r="C591" s="55" t="str">
        <x:v>—</x:v>
      </x:c>
      <x:c r="D591" s="55" t="str">
        <x:v>—</x:v>
      </x:c>
      <x:c r="E591" s="55" t="inlineStr">
        <x:is>
          <x:t>奧林帕斯神兵聖櫃（網站未列地圖）</x:t>
        </x:is>
      </x:c>
    </x:row>
    <x:row r="592" ht="15" customHeight="1">
      <x:c r="A592" s="55" t="str">
        <x:v>哈帝斯魔銃</x:v>
      </x:c>
      <x:c r="B592" s="55" t="str">
        <x:v>—</x:v>
      </x:c>
      <x:c r="C592" s="55" t="str">
        <x:v>—</x:v>
      </x:c>
      <x:c r="D592" s="55" t="str">
        <x:v>—</x:v>
      </x:c>
      <x:c r="E592" s="55" t="inlineStr">
        <x:is>
          <x:t>奧林帕斯神兵聖櫃（網站未列地圖）</x:t>
        </x:is>
      </x:c>
    </x:row>
    <x:row r="593" ht="15" customHeight="1">
      <x:c r="A593" s="55" t="str">
        <x:v>九龍翔瑞爪</x:v>
      </x:c>
      <x:c r="B593" s="55" t="str">
        <x:v>—</x:v>
      </x:c>
      <x:c r="C593" s="55" t="str">
        <x:v>—</x:v>
      </x:c>
      <x:c r="D593" s="55" t="str">
        <x:v>—</x:v>
      </x:c>
      <x:c r="E593" s="55" t="inlineStr">
        <x:is>
          <x:t>仙儀丹曦帝武玉匣（網站未列地圖）</x:t>
        </x:is>
      </x:c>
    </x:row>
    <x:row r="594" ht="15" customHeight="1">
      <x:c r="A594" s="55" t="str">
        <x:v>九龍翔瑞爪</x:v>
      </x:c>
      <x:c r="B594" s="55" t="str">
        <x:v>—</x:v>
      </x:c>
      <x:c r="C594" s="55" t="str">
        <x:v>—</x:v>
      </x:c>
      <x:c r="D594" s="55" t="str">
        <x:v>—</x:v>
      </x:c>
      <x:c r="E594" s="55" t="inlineStr">
        <x:is>
          <x:t>仙儀丹曦帝武玉匣（網站未列地圖）</x:t>
        </x:is>
      </x:c>
    </x:row>
    <x:row r="595" ht="15" customHeight="1">
      <x:c r="A595" s="55" t="str">
        <x:v>天相星宿輪</x:v>
      </x:c>
      <x:c r="B595" s="55" t="str">
        <x:v>—</x:v>
      </x:c>
      <x:c r="C595" s="55" t="str">
        <x:v>—</x:v>
      </x:c>
      <x:c r="D595" s="55" t="str">
        <x:v>—</x:v>
      </x:c>
      <x:c r="E595" s="55" t="inlineStr">
        <x:is>
          <x:t>天尊帝宿超武神匣（網站未列地圖）</x:t>
        </x:is>
      </x:c>
    </x:row>
    <x:row r="596" ht="15" customHeight="1">
      <x:c r="A596" s="55" t="str">
        <x:v>蒼鷹宮絕流破</x:v>
      </x:c>
      <x:c r="B596" s="55" t="str">
        <x:v>—</x:v>
      </x:c>
      <x:c r="C596" s="55" t="str">
        <x:v>—</x:v>
      </x:c>
      <x:c r="D596" s="55" t="str">
        <x:v>—</x:v>
      </x:c>
      <x:c r="E596" s="55" t="inlineStr">
        <x:is>
          <x:t>鎮天聖守星武神匣（網站未列地圖）</x:t>
        </x:is>
      </x:c>
    </x:row>
    <x:row r="597" ht="15" customHeight="1">
      <x:c r="A597" s="55" t="str">
        <x:v>騩山崇吾鋒</x:v>
      </x:c>
      <x:c r="B597" s="55" t="str">
        <x:v>—</x:v>
      </x:c>
      <x:c r="C597" s="55" t="str">
        <x:v>—</x:v>
      </x:c>
      <x:c r="D597" s="55" t="str">
        <x:v>—</x:v>
      </x:c>
      <x:c r="E597" s="55" t="inlineStr">
        <x:is>
          <x:t>永恆山海唯武神匣（網站未列地圖）</x:t>
        </x:is>
      </x:c>
    </x:row>
    <x:row r="598" ht="15" customHeight="1">
      <x:c r="A598" s="55" t="str">
        <x:v>地闇令‧獵命</x:v>
      </x:c>
      <x:c r="B598" s="55" t="str">
        <x:v>—</x:v>
      </x:c>
      <x:c r="C598" s="55" t="str">
        <x:v>—</x:v>
      </x:c>
      <x:c r="D598" s="55" t="str">
        <x:v>—</x:v>
      </x:c>
      <x:c r="E598" s="55" t="inlineStr">
        <x:is>
          <x:t>創宇諸恆極兵神匣（網站未列地圖）</x:t>
        </x:is>
      </x:c>
    </x:row>
    <x:row r="599" ht="15" customHeight="1">
      <x:c r="A599" s="55" t="str">
        <x:v>狼鎖‧格雷普</x:v>
      </x:c>
      <x:c r="B599" s="55" t="str">
        <x:v>—</x:v>
      </x:c>
      <x:c r="C599" s="55" t="str">
        <x:v>—</x:v>
      </x:c>
      <x:c r="D599" s="55" t="str">
        <x:v>—</x:v>
      </x:c>
      <x:c r="E599" s="55" t="inlineStr">
        <x:is>
          <x:t>阿薩群鋒巨武神匣（網站未列地圖）</x:t>
        </x:is>
      </x:c>
    </x:row>
    <x:row r="600" ht="15" customHeight="1">
      <x:c r="A600" s="55" t="str">
        <x:v>狼鎖‧格雷普</x:v>
      </x:c>
      <x:c r="B600" s="55" t="str">
        <x:v>—</x:v>
      </x:c>
      <x:c r="C600" s="55" t="str">
        <x:v>—</x:v>
      </x:c>
      <x:c r="D600" s="55" t="str">
        <x:v>—</x:v>
      </x:c>
      <x:c r="E600" s="55" t="inlineStr">
        <x:is>
          <x:t>阿薩群鋒巨武神匣（網站未列地圖）；罪赦術者錦囊（網站未列地圖）</x:t>
        </x:is>
      </x:c>
    </x:row>
    <x:row r="601" ht="15" customHeight="1">
      <x:c r="A601" s="55" t="str">
        <x:v>戰鋒柏‧賽特</x:v>
      </x:c>
      <x:c r="B601" s="55" t="str">
        <x:v>—</x:v>
      </x:c>
      <x:c r="C601" s="55" t="str">
        <x:v>—</x:v>
      </x:c>
      <x:c r="D601" s="55" t="str">
        <x:v>—</x:v>
      </x:c>
      <x:c r="E601" s="55" t="inlineStr">
        <x:is>
          <x:t>麻辣神柱錦囊（網站未列地圖）；超‧大秘境寶箱（網站未列地圖）</x:t>
        </x:is>
      </x:c>
    </x:row>
    <x:row r="602" ht="15" customHeight="1">
      <x:c r="A602" s="55" t="str">
        <x:v>戰鋒柏‧賽特</x:v>
      </x:c>
      <x:c r="B602" s="55" t="str">
        <x:v>—</x:v>
      </x:c>
      <x:c r="C602" s="55" t="str">
        <x:v>—</x:v>
      </x:c>
      <x:c r="D602" s="55" t="str">
        <x:v>—</x:v>
      </x:c>
      <x:c r="E602" s="55" t="inlineStr">
        <x:is>
          <x:t>冥府皇統法老征匣（網站未列地圖）；終罪術者錦囊（網站未列地圖）</x:t>
        </x:is>
      </x:c>
    </x:row>
    <x:row r="603" ht="15" customHeight="1">
      <x:c r="A603" s="55" t="str">
        <x:v>陳橋燭影殲</x:v>
      </x:c>
      <x:c r="B603" s="55" t="str">
        <x:v>—</x:v>
      </x:c>
      <x:c r="C603" s="55" t="str">
        <x:v>—</x:v>
      </x:c>
      <x:c r="D603" s="55" t="str">
        <x:v>—</x:v>
      </x:c>
      <x:c r="E603" s="55" t="inlineStr">
        <x:is>
          <x:t>萬帝天尊極武神匣（網站未列地圖）</x:t>
        </x:is>
      </x:c>
    </x:row>
    <x:row r="604" ht="15" customHeight="1">
      <x:c r="A604" s="55" t="str">
        <x:v>陳橋燭影殲</x:v>
      </x:c>
      <x:c r="B604" s="55" t="str">
        <x:v>—</x:v>
      </x:c>
      <x:c r="C604" s="55" t="str">
        <x:v>—</x:v>
      </x:c>
      <x:c r="D604" s="55" t="str">
        <x:v>—</x:v>
      </x:c>
      <x:c r="E604" s="55" t="inlineStr">
        <x:is>
          <x:t>萬帝天尊極武神匣（網站未列地圖）</x:t>
        </x:is>
      </x:c>
    </x:row>
    <x:row r="605" ht="15" customHeight="1">
      <x:c r="A605" s="55" t="str">
        <x:v>樓寒末仇藜</x:v>
      </x:c>
      <x:c r="B605" s="55" t="str">
        <x:v>—</x:v>
      </x:c>
      <x:c r="C605" s="55" t="str">
        <x:v>—</x:v>
      </x:c>
      <x:c r="D605" s="55" t="str">
        <x:v>—</x:v>
      </x:c>
      <x:c r="E605" s="55" t="inlineStr">
        <x:is>
          <x:t>東明開天釋達神匣（網站未列地圖）</x:t>
        </x:is>
      </x:c>
    </x:row>
    <x:row r="606" ht="15" customHeight="1">
      <x:c r="A606" s="55" t="str">
        <x:v>樓寒末仇藜</x:v>
      </x:c>
      <x:c r="B606" s="55" t="str">
        <x:v>—</x:v>
      </x:c>
      <x:c r="C606" s="55" t="str">
        <x:v>—</x:v>
      </x:c>
      <x:c r="D606" s="55" t="str">
        <x:v>—</x:v>
      </x:c>
      <x:c r="E606" s="55" t="inlineStr">
        <x:is>
          <x:t>東明開天釋達神匣（網站未列地圖）</x:t>
        </x:is>
      </x:c>
    </x:row>
    <x:row r="607" ht="15" customHeight="1">
      <x:c r="A607" s="55" t="str">
        <x:v>六滅化神杵</x:v>
      </x:c>
      <x:c r="B607" s="55" t="str">
        <x:v>—</x:v>
      </x:c>
      <x:c r="C607" s="55" t="str">
        <x:v>—</x:v>
      </x:c>
      <x:c r="D607" s="55" t="str">
        <x:v>—</x:v>
      </x:c>
      <x:c r="E607" s="55" t="inlineStr">
        <x:is>
          <x:t>—</x:t>
        </x:is>
      </x:c>
    </x:row>
    <x:row r="608" ht="15" customHeight="1">
      <x:c r="A608" s="55" t="str">
        <x:v>真六滅化神輪</x:v>
      </x:c>
      <x:c r="B608" s="55" t="str">
        <x:v>—</x:v>
      </x:c>
      <x:c r="C608" s="55" t="str">
        <x:v>—</x:v>
      </x:c>
      <x:c r="D608" s="55" t="str">
        <x:v>—</x:v>
      </x:c>
      <x:c r="E608" s="55" t="inlineStr">
        <x:is>
          <x:t>—</x:t>
        </x:is>
      </x:c>
    </x:row>
    <x:row r="609" ht="15" customHeight="1">
      <x:c r="A609" s="55" t="str">
        <x:v>超六滅化神輪</x:v>
      </x:c>
      <x:c r="B609" s="55" t="str">
        <x:v>—</x:v>
      </x:c>
      <x:c r="C609" s="55" t="str">
        <x:v>—</x:v>
      </x:c>
      <x:c r="D609" s="55" t="str">
        <x:v>—</x:v>
      </x:c>
      <x:c r="E609" s="55" t="inlineStr">
        <x:is>
          <x:t>—</x:t>
        </x:is>
      </x:c>
    </x:row>
    <x:row r="610" ht="15" customHeight="1">
      <x:c r="A610" s="55" t="str">
        <x:v>絕六滅化神翼</x:v>
      </x:c>
      <x:c r="B610" s="55" t="str">
        <x:v>—</x:v>
      </x:c>
      <x:c r="C610" s="55" t="str">
        <x:v>—</x:v>
      </x:c>
      <x:c r="D610" s="55" t="str">
        <x:v>—</x:v>
      </x:c>
      <x:c r="E610" s="55" t="inlineStr">
        <x:is>
          <x:t>—</x:t>
        </x:is>
      </x:c>
    </x:row>
    <x:row r="611" ht="15" customHeight="1">
      <x:c r="A611" s="55" t="str">
        <x:v>無六滅化神玉</x:v>
      </x:c>
      <x:c r="B611" s="55" t="str">
        <x:v>—</x:v>
      </x:c>
      <x:c r="C611" s="55" t="str">
        <x:v>—</x:v>
      </x:c>
      <x:c r="D611" s="55" t="str">
        <x:v>—</x:v>
      </x:c>
      <x:c r="E611" s="55" t="inlineStr">
        <x:is>
          <x:t>—</x:t>
        </x:is>
      </x:c>
    </x:row>
    <x:row r="612" ht="15" customHeight="1">
      <x:c r="A612" s="55" t="str">
        <x:v>帝六滅化神輪</x:v>
      </x:c>
      <x:c r="B612" s="55" t="str">
        <x:v>—</x:v>
      </x:c>
      <x:c r="C612" s="55" t="str">
        <x:v>—</x:v>
      </x:c>
      <x:c r="D612" s="55" t="str">
        <x:v>—</x:v>
      </x:c>
      <x:c r="E612" s="55" t="inlineStr">
        <x:is>
          <x:t>—</x:t>
        </x:is>
      </x:c>
    </x:row>
    <x:row r="613" ht="15" customHeight="1">
      <x:c r="A613" s="55" t="str">
        <x:v>終六滅化神閃</x:v>
      </x:c>
      <x:c r="B613" s="55" t="str">
        <x:v>—</x:v>
      </x:c>
      <x:c r="C613" s="55" t="str">
        <x:v>—</x:v>
      </x:c>
      <x:c r="D613" s="55" t="str">
        <x:v>—</x:v>
      </x:c>
      <x:c r="E613" s="55" t="inlineStr">
        <x:is>
          <x:t>—</x:t>
        </x:is>
      </x:c>
    </x:row>
    <x:row r="614" ht="15" customHeight="1">
      <x:c r="A614" s="55" t="str">
        <x:v>創六滅化神輪</x:v>
      </x:c>
      <x:c r="B614" s="55" t="str">
        <x:v>—</x:v>
      </x:c>
      <x:c r="C614" s="55" t="str">
        <x:v>—</x:v>
      </x:c>
      <x:c r="D614" s="55" t="str">
        <x:v>—</x:v>
      </x:c>
      <x:c r="E614" s="55" t="inlineStr">
        <x:is>
          <x:t>—</x:t>
        </x:is>
      </x:c>
    </x:row>
    <x:row r="615" ht="15" customHeight="1">
      <x:c r="A615" s="55" t="str">
        <x:v>星六滅化神珠</x:v>
      </x:c>
      <x:c r="B615" s="55" t="str">
        <x:v>—</x:v>
      </x:c>
      <x:c r="C615" s="55" t="str">
        <x:v>—</x:v>
      </x:c>
      <x:c r="D615" s="55" t="str">
        <x:v>—</x:v>
      </x:c>
      <x:c r="E615" s="55" t="inlineStr">
        <x:is>
          <x:t>—</x:t>
        </x:is>
      </x:c>
    </x:row>
    <x:row r="616" ht="15" customHeight="1">
      <x:c r="A616" s="55" t="str">
        <x:v>皇六滅化神銳</x:v>
      </x:c>
      <x:c r="B616" s="55" t="str">
        <x:v>—</x:v>
      </x:c>
      <x:c r="C616" s="55" t="str">
        <x:v>—</x:v>
      </x:c>
      <x:c r="D616" s="55" t="str">
        <x:v>—</x:v>
      </x:c>
      <x:c r="E616" s="55" t="inlineStr">
        <x:is>
          <x:t>—</x:t>
        </x:is>
      </x:c>
    </x:row>
    <x:row r="617" ht="15" customHeight="1">
      <x:c r="A617" s="55" t="str">
        <x:v>終極六滅神鑽</x:v>
      </x:c>
      <x:c r="B617" s="55" t="str">
        <x:v>—</x:v>
      </x:c>
      <x:c r="C617" s="55" t="str">
        <x:v>—</x:v>
      </x:c>
      <x:c r="D617" s="55" t="str">
        <x:v>—</x:v>
      </x:c>
      <x:c r="E617" s="55" t="inlineStr">
        <x:is>
          <x:t>—</x:t>
        </x:is>
      </x:c>
    </x:row>
    <x:row r="618" ht="15" customHeight="1">
      <x:c r="A618" s="55" t="str">
        <x:v>新星之蝶穿花</x:v>
      </x:c>
      <x:c r="B618" s="55" t="str">
        <x:v>—</x:v>
      </x:c>
      <x:c r="C618" s="55" t="str">
        <x:v>—</x:v>
      </x:c>
      <x:c r="D618" s="55" t="str">
        <x:v>—</x:v>
      </x:c>
      <x:c r="E618" s="55" t="inlineStr">
        <x:is>
          <x:t>—</x:t>
        </x:is>
      </x:c>
    </x:row>
    <x:row r="619" ht="15" customHeight="1">
      <x:c r="A619" s="55" t="str">
        <x:v>霜羽連珠Ⅰ</x:v>
      </x:c>
      <x:c r="B619" s="55" t="str">
        <x:v>—</x:v>
      </x:c>
      <x:c r="C619" s="55" t="str">
        <x:v>—</x:v>
      </x:c>
      <x:c r="D619" s="55" t="str">
        <x:v>—</x:v>
      </x:c>
      <x:c r="E619" s="55" t="inlineStr">
        <x:is>
          <x:t>方舟鋼豹（風竹塹）</x:t>
        </x:is>
      </x:c>
    </x:row>
    <x:row r="620" ht="15" customHeight="1">
      <x:c r="A620" s="55" t="str">
        <x:v>霜羽連珠Ⅱ</x:v>
      </x:c>
      <x:c r="B620" s="55" t="str">
        <x:v>—</x:v>
      </x:c>
      <x:c r="C620" s="55" t="str">
        <x:v>—</x:v>
      </x:c>
      <x:c r="D620" s="55" t="str">
        <x:v>—</x:v>
      </x:c>
      <x:c r="E620" s="55" t="inlineStr">
        <x:is>
          <x:t>幻三貂芷錦囊（網站未列地圖）；神島術者錦囊（網站未列地圖）</x:t>
        </x:is>
      </x:c>
    </x:row>
    <x:row r="621" ht="15" customHeight="1">
      <x:c r="A621" s="55" t="str">
        <x:v>霜羽連珠Ⅲ</x:v>
      </x:c>
      <x:c r="B621" s="55" t="str">
        <x:v>—</x:v>
      </x:c>
      <x:c r="C621" s="55" t="str">
        <x:v>—</x:v>
      </x:c>
      <x:c r="D621" s="55" t="str">
        <x:v>—</x:v>
      </x:c>
      <x:c r="E621" s="55" t="inlineStr">
        <x:is>
          <x:t>—</x:t>
        </x:is>
      </x:c>
    </x:row>
    <x:row r="622" ht="15" customHeight="1">
      <x:c r="A622" s="55" t="str">
        <x:v>霜羽連珠Ⅳ</x:v>
      </x:c>
      <x:c r="B622" s="55" t="str">
        <x:v>—</x:v>
      </x:c>
      <x:c r="C622" s="55" t="str">
        <x:v>—</x:v>
      </x:c>
      <x:c r="D622" s="55" t="str">
        <x:v>—</x:v>
      </x:c>
      <x:c r="E622" s="55" t="inlineStr">
        <x:is>
          <x:t>—</x:t>
        </x:is>
      </x:c>
    </x:row>
    <x:row r="623" ht="15" customHeight="1">
      <x:c r="A623" s="55" t="str">
        <x:v>霜羽連珠Ⅴ</x:v>
      </x:c>
      <x:c r="B623" s="55" t="str">
        <x:v>—</x:v>
      </x:c>
      <x:c r="C623" s="55" t="str">
        <x:v>—</x:v>
      </x:c>
      <x:c r="D623" s="55" t="str">
        <x:v>—</x:v>
      </x:c>
      <x:c r="E623" s="55" t="inlineStr">
        <x:is>
          <x:t>—</x:t>
        </x:is>
      </x:c>
    </x:row>
    <x:row r="624" ht="15" customHeight="1">
      <x:c r="A624" s="55" t="str">
        <x:v>鳳仙赭霞砲</x:v>
      </x:c>
      <x:c r="B624" s="55" t="str">
        <x:v>—</x:v>
      </x:c>
      <x:c r="C624" s="55" t="str">
        <x:v>—</x:v>
      </x:c>
      <x:c r="D624" s="55" t="str">
        <x:v>—</x:v>
      </x:c>
      <x:c r="E624" s="55" t="inlineStr">
        <x:is>
          <x:t>南辰時祿機神兵匣（網站未列地圖）</x:t>
        </x:is>
      </x:c>
    </x:row>
    <x:row r="625" ht="15" customHeight="1">
      <x:c r="A625" s="55" t="str">
        <x:v>鳳仙赭霞砲</x:v>
      </x:c>
      <x:c r="B625" s="55" t="str">
        <x:v>—</x:v>
      </x:c>
      <x:c r="C625" s="55" t="str">
        <x:v>—</x:v>
      </x:c>
      <x:c r="D625" s="55" t="str">
        <x:v>—</x:v>
      </x:c>
      <x:c r="E625" s="55" t="inlineStr">
        <x:is>
          <x:t>南辰時祿機神兵匣（網站未列地圖）</x:t>
        </x:is>
      </x:c>
    </x:row>
    <x:row r="626" ht="15" customHeight="1">
      <x:c r="A626" s="55" t="str">
        <x:v>烈虎嘯江震</x:v>
      </x:c>
      <x:c r="B626" s="55" t="str">
        <x:v>—</x:v>
      </x:c>
      <x:c r="C626" s="55" t="str">
        <x:v>—</x:v>
      </x:c>
      <x:c r="D626" s="55" t="str">
        <x:v>—</x:v>
      </x:c>
      <x:c r="E626" s="55" t="inlineStr">
        <x:is>
          <x:t>三分鼎鋒真王武匣（網站未列地圖）</x:t>
        </x:is>
      </x:c>
    </x:row>
    <x:row r="627" ht="15" customHeight="1">
      <x:c r="A627" s="55" t="str">
        <x:v>烈虎嘯江震</x:v>
      </x:c>
      <x:c r="B627" s="55" t="str">
        <x:v>—</x:v>
      </x:c>
      <x:c r="C627" s="55" t="str">
        <x:v>—</x:v>
      </x:c>
      <x:c r="D627" s="55" t="str">
        <x:v>—</x:v>
      </x:c>
      <x:c r="E627" s="55" t="inlineStr">
        <x:is>
          <x:t>三分鼎鋒真王武匣（網站未列地圖）</x:t>
        </x:is>
      </x:c>
    </x:row>
    <x:row r="628" ht="15" customHeight="1">
      <x:c r="A628" s="55" t="str">
        <x:v>火神砲</x:v>
      </x:c>
      <x:c r="B628" s="55" t="str">
        <x:v>—</x:v>
      </x:c>
      <x:c r="C628" s="55" t="str">
        <x:v>—</x:v>
      </x:c>
      <x:c r="D628" s="55" t="str">
        <x:v>—</x:v>
      </x:c>
      <x:c r="E628" s="55" t="inlineStr">
        <x:is>
          <x:t>古文明東西霸武匣（網站未列地圖）</x:t>
        </x:is>
      </x:c>
    </x:row>
    <x:row r="629" ht="15" customHeight="1">
      <x:c r="A629" s="55" t="str">
        <x:v>火神砲</x:v>
      </x:c>
      <x:c r="B629" s="55" t="str">
        <x:v>—</x:v>
      </x:c>
      <x:c r="C629" s="55" t="str">
        <x:v>—</x:v>
      </x:c>
      <x:c r="D629" s="55" t="str">
        <x:v>—</x:v>
      </x:c>
      <x:c r="E629" s="55" t="inlineStr">
        <x:is>
          <x:t>古文明東西霸武匣（網站未列地圖）</x:t>
        </x:is>
      </x:c>
    </x:row>
    <x:row r="630" ht="15" customHeight="1">
      <x:c r="A630" s="55" t="str">
        <x:v>蚩吻封心梭</x:v>
      </x:c>
      <x:c r="B630" s="55" t="str">
        <x:v>—</x:v>
      </x:c>
      <x:c r="C630" s="55" t="str">
        <x:v>—</x:v>
      </x:c>
      <x:c r="D630" s="55" t="str">
        <x:v>—</x:v>
      </x:c>
      <x:c r="E630" s="55" t="inlineStr">
        <x:is>
          <x:t>龍涉大川繼鱗武匣（網站未列地圖）</x:t>
        </x:is>
      </x:c>
    </x:row>
    <x:row r="631" ht="15" customHeight="1">
      <x:c r="A631" s="55" t="str">
        <x:v>蚩吻封心梭</x:v>
      </x:c>
      <x:c r="B631" s="55" t="str">
        <x:v>—</x:v>
      </x:c>
      <x:c r="C631" s="55" t="str">
        <x:v>—</x:v>
      </x:c>
      <x:c r="D631" s="55" t="str">
        <x:v>—</x:v>
      </x:c>
      <x:c r="E631" s="55" t="inlineStr">
        <x:is>
          <x:t>龍涉大川繼鱗武匣（網站未列地圖）</x:t>
        </x:is>
      </x:c>
    </x:row>
    <x:row r="632" ht="15" customHeight="1">
      <x:c r="A632" s="55" t="str">
        <x:v>真九界樹聖箭</x:v>
      </x:c>
      <x:c r="B632" s="55" t="str">
        <x:v>—</x:v>
      </x:c>
      <x:c r="C632" s="55" t="str">
        <x:v>—</x:v>
      </x:c>
      <x:c r="D632" s="55" t="str">
        <x:v>—</x:v>
      </x:c>
      <x:c r="E632" s="55" t="inlineStr">
        <x:is>
          <x:t>—</x:t>
        </x:is>
      </x:c>
    </x:row>
    <x:row r="633" ht="15" customHeight="1">
      <x:c r="A633" s="55" t="str">
        <x:v>獵仙飛索Ⅰ</x:v>
      </x:c>
      <x:c r="B633" s="55" t="str">
        <x:v>—</x:v>
      </x:c>
      <x:c r="C633" s="55" t="str">
        <x:v>—</x:v>
      </x:c>
      <x:c r="D633" s="55" t="str">
        <x:v>—</x:v>
      </x:c>
      <x:c r="E633" s="55" t="inlineStr">
        <x:is>
          <x:t>玄宙神兵寶箱（網站未列地圖）</x:t>
        </x:is>
      </x:c>
    </x:row>
    <x:row r="634" ht="15" customHeight="1">
      <x:c r="A634" s="55" t="str">
        <x:v>獵仙飛索Ⅱ</x:v>
      </x:c>
      <x:c r="B634" s="55" t="str">
        <x:v>—</x:v>
      </x:c>
      <x:c r="C634" s="55" t="str">
        <x:v>—</x:v>
      </x:c>
      <x:c r="D634" s="55" t="str">
        <x:v>—</x:v>
      </x:c>
      <x:c r="E634" s="55" t="inlineStr">
        <x:is>
          <x:t>真．玄宙神兵寶箱（網站未列地圖）</x:t>
        </x:is>
      </x:c>
    </x:row>
    <x:row r="635" ht="15" customHeight="1">
      <x:c r="A635" s="55" t="str">
        <x:v>獵仙飛索Ⅲ</x:v>
      </x:c>
      <x:c r="B635" s="55" t="str">
        <x:v>—</x:v>
      </x:c>
      <x:c r="C635" s="55" t="str">
        <x:v>—</x:v>
      </x:c>
      <x:c r="D635" s="55" t="str">
        <x:v>—</x:v>
      </x:c>
      <x:c r="E635" s="55" t="inlineStr">
        <x:is>
          <x:t>超．玄宙神兵寶箱（網站未列地圖）；活俠唐布衣錦囊（網站未列地圖）</x:t>
        </x:is>
      </x:c>
    </x:row>
    <x:row r="636" ht="15" customHeight="1">
      <x:c r="A636" s="55" t="str">
        <x:v>獵仙飛索Ⅳ</x:v>
      </x:c>
      <x:c r="B636" s="55" t="str">
        <x:v>—</x:v>
      </x:c>
      <x:c r="C636" s="55" t="str">
        <x:v>—</x:v>
      </x:c>
      <x:c r="D636" s="55" t="str">
        <x:v>—</x:v>
      </x:c>
      <x:c r="E636" s="55" t="inlineStr">
        <x:is>
          <x:t>極．玄宙神兵寶箱（網站未列地圖）</x:t>
        </x:is>
      </x:c>
    </x:row>
    <x:row r="637" ht="15" customHeight="1">
      <x:c r="A637" s="55" t="str">
        <x:v>獵仙飛索Ⅴ</x:v>
      </x:c>
      <x:c r="B637" s="55" t="str">
        <x:v>—</x:v>
      </x:c>
      <x:c r="C637" s="55" t="str">
        <x:v>—</x:v>
      </x:c>
      <x:c r="D637" s="55" t="str">
        <x:v>—</x:v>
      </x:c>
      <x:c r="E637" s="55" t="inlineStr">
        <x:is>
          <x:t>神．玄宙神兵寶箱（網站未列地圖）</x:t>
        </x:is>
      </x:c>
    </x:row>
    <x:row r="638" ht="15" customHeight="1">
      <x:c r="A638" s="55" t="str">
        <x:v>握氣成石</x:v>
      </x:c>
      <x:c r="B638" s="55" t="str">
        <x:v>塞北關－踏雪探龍</x:v>
      </x:c>
      <x:c r="C638" s="55" t="str">
        <x:v>—</x:v>
      </x:c>
      <x:c r="D638" s="55" t="str">
        <x:v>—</x:v>
      </x:c>
      <x:c r="E638" s="55" t="inlineStr">
        <x:is>
          <x:t>—</x:t>
        </x:is>
      </x:c>
    </x:row>
    <x:row r="639" ht="30" customHeight="1">
      <x:c r="A639" s="55" t="str">
        <x:v>拂塵</x:v>
      </x:c>
      <x:c r="B639" s="55" t="str">
        <x:v>—</x:v>
      </x:c>
      <x:c r="C639" s="55" t="str">
        <x:v>義勇軍校場買賣人、京城打鐵舖、玄州打鐵舖、釣日村武器店長</x:v>
      </x:c>
      <x:c r="D639" s="55" t="str">
        <x:v>—</x:v>
      </x:c>
      <x:c r="E639" s="55" t="inlineStr">
        <x:is>
          <x:t>山犬（紫霞山養心觀、惡狼林、封神臺、試煉之窟）</x:t>
        </x:is>
      </x:c>
    </x:row>
    <x:row r="640" ht="15" customHeight="1">
      <x:c r="A640" s="55" t="str">
        <x:v>紫霞拂塵</x:v>
      </x:c>
      <x:c r="B640" s="55" t="str">
        <x:v>—</x:v>
      </x:c>
      <x:c r="C640" s="55" t="str">
        <x:v>釣日村武器店長</x:v>
      </x:c>
      <x:c r="D640" s="55" t="str">
        <x:v>—</x:v>
      </x:c>
      <x:c r="E640" s="55" t="inlineStr">
        <x:is>
          <x:t>—</x:t>
        </x:is>
      </x:c>
    </x:row>
    <x:row r="641" ht="15" customHeight="1">
      <x:c r="A641" s="55" t="str">
        <x:v>仙靈拂塵</x:v>
      </x:c>
      <x:c r="B641" s="55" t="str">
        <x:v>—</x:v>
      </x:c>
      <x:c r="C641" s="55" t="str">
        <x:v>釣日村武器店長</x:v>
      </x:c>
      <x:c r="D641" s="55" t="str">
        <x:v>—</x:v>
      </x:c>
      <x:c r="E641" s="55" t="inlineStr">
        <x:is>
          <x:t>—</x:t>
        </x:is>
      </x:c>
    </x:row>
    <x:row r="642" ht="15" customHeight="1">
      <x:c r="A642" s="55" t="str">
        <x:v>寒冰拂塵</x:v>
      </x:c>
      <x:c r="B642" s="55" t="str">
        <x:v>—</x:v>
      </x:c>
      <x:c r="C642" s="55" t="str">
        <x:v>玄州打鐵舖</x:v>
      </x:c>
      <x:c r="D642" s="55" t="str">
        <x:v>—</x:v>
      </x:c>
      <x:c r="E642" s="55" t="inlineStr">
        <x:is>
          <x:t>—</x:t>
        </x:is>
      </x:c>
    </x:row>
    <x:row r="643" ht="15" customHeight="1">
      <x:c r="A643" s="55" t="str">
        <x:v>烈火拂塵</x:v>
      </x:c>
      <x:c r="B643" s="55" t="str">
        <x:v>—</x:v>
      </x:c>
      <x:c r="C643" s="55" t="str">
        <x:v>玄州打鐵舖</x:v>
      </x:c>
      <x:c r="D643" s="55" t="str">
        <x:v>—</x:v>
      </x:c>
      <x:c r="E643" s="55" t="inlineStr">
        <x:is>
          <x:t>火之精靈（靜默之丘）</x:t>
        </x:is>
      </x:c>
    </x:row>
    <x:row r="644" ht="15" customHeight="1">
      <x:c r="A644" s="55" t="str">
        <x:v>風雷拂塵</x:v>
      </x:c>
      <x:c r="B644" s="55" t="str">
        <x:v>—</x:v>
      </x:c>
      <x:c r="C644" s="55" t="str">
        <x:v>玄州打鐵舖</x:v>
      </x:c>
      <x:c r="D644" s="55" t="str">
        <x:v>—</x:v>
      </x:c>
      <x:c r="E644" s="55" t="inlineStr">
        <x:is>
          <x:t>—</x:t>
        </x:is>
      </x:c>
    </x:row>
    <x:row r="645" ht="30" customHeight="1">
      <x:c r="A645" s="55" t="str">
        <x:v>朝天拂塵</x:v>
      </x:c>
      <x:c r="B645" s="55" t="str">
        <x:v>—</x:v>
      </x:c>
      <x:c r="C645" s="55" t="str">
        <x:v>祁州打鐵舖、玄州打鐵舖</x:v>
      </x:c>
      <x:c r="D645" s="55" t="str">
        <x:v>—</x:v>
      </x:c>
      <x:c r="E645" s="55" t="inlineStr">
        <x:is>
          <x:t>神風領主（凱旋廣場、聖禱天廳）；地獄女爵（凱旋廣場、聖禱天廳）；瑞照天官（飛雲忘野、橫劍天關）；神御泰平龍（闕真金閣）</x:t>
        </x:is>
      </x:c>
    </x:row>
    <x:row r="646" ht="60" customHeight="1">
      <x:c r="A646" s="55" t="str">
        <x:v>潮洋扇</x:v>
      </x:c>
      <x:c r="B646" s="55" t="str">
        <x:v>—</x:v>
      </x:c>
      <x:c r="C646" s="55" t="str">
        <x:v>祁州打鐵舖、玄州打鐵舖</x:v>
      </x:c>
      <x:c r="D646" s="55" t="str">
        <x:v>—</x:v>
      </x:c>
      <x:c r="E646" s="55" t="inlineStr">
        <x:is>
          <x:t>地獄鷹身女（神臨之地）；&lt;地獄鷹身女&gt;（修羅級神臨之地）；怒疆霸龍（青龍東殿）；疲憊的阿修羅戰士（異時界‧亂藤林東）；十字總將普萊斯（凱旋廣場）；燬天女魔后（聖禱天廳）；龍台飛影（四聖祭台）；真道修者（四聖祭台）；魔樹精（異時界‧亂藤林）；疲憊的百眼巫師（異時界‧亂藤林東）；百眼巫師（異時界‧亂藤林南）；凰權天督（橫劍天關、仙庭玉階、闕真金閣）；深闕智冕（網站未列地圖）；八部天章（天啟八關）；佑天神僧（紫雷轟原）</x:t>
        </x:is>
      </x:c>
    </x:row>
    <x:row r="647" ht="105" customHeight="1">
      <x:c r="A647" s="55" t="str">
        <x:v>道玄杖</x:v>
      </x:c>
      <x:c r="B647" s="55" t="str">
        <x:v>—</x:v>
      </x:c>
      <x:c r="C647" s="55" t="str">
        <x:v>祁州打鐵舖、玄州打鐵舖</x:v>
      </x:c>
      <x:c r="D647" s="55" t="str">
        <x:v>—</x:v>
      </x:c>
      <x:c r="E647" s="55" t="inlineStr">
        <x:is>
          <x:t>天劫斧夜叉（魔君天都）；天劫巨靈（魔君天都）；&lt;天劫斧夜叉&gt;（修羅級魔君天都）；&lt;天劫巨靈&gt;（修羅級魔君天都）；人蔘精‧強（殘雲天境）；陌形隱道（時沒邊界）；太古水靈‧強（殘雲天境）；褐紋天虎（白虎西殿）；雀殿妃凰（朱雀南殿）；毒隱蠍（異時界‧亂藤林）；玄武甲龜（玄武北殿）；鷹族精兵（異時界‧摘星嶺）；亡邪夸父戰尸（異時界‧葬日沼北）；細瘴蛇（異時界‧葬日沼南）；百眼巫妖（異時界‧毒龍潭）；百眼巫妖（異時界‧修羅窟）；冰封蜘蛛精（異時界‧夜叉嶺）；冰絕蜈蚣（異時界‧亂藤林南）；突疣膿眼（異時界‧亂藤林西）；幻業道魔（無限鬥界）；&lt;幻業道魔&gt;（修羅級無限鬥界）；業之觀者（無限鬥界）；&lt;業之觀者&gt;（修羅級無限鬥界）；業障道者（無限鬥界）；&lt;業障道者&gt;（修羅級無限鬥界）</x:t>
        </x:is>
      </x:c>
    </x:row>
    <x:row r="648" ht="45" customHeight="1">
      <x:c r="A648" s="55" t="str">
        <x:v>泰斗拂</x:v>
      </x:c>
      <x:c r="B648" s="55" t="str">
        <x:v>—</x:v>
      </x:c>
      <x:c r="C648" s="55" t="str">
        <x:v>祁州打鐵舖、玄州打鐵舖</x:v>
      </x:c>
      <x:c r="D648" s="55" t="str">
        <x:v>—</x:v>
      </x:c>
      <x:c r="E648" s="55" t="inlineStr">
        <x:is>
          <x:t>森羅冷指（終末之塔第5層、終末之塔第6層）；暴風虛魂（音無晶宇）；虛遊之魂（觀無巽宇）；暗蝕魔瞳（覺無洋宇）；影妖狐（覺無洋宇）；黑死冥蝶（星群碎道）；蒼凰一奇（星群碎道）；斃法巫孺（不解迴路）；呼葬祭官（不解迴路）；幽虛遮罩（虛空渦心）</x:t>
        </x:is>
      </x:c>
    </x:row>
    <x:row r="649" ht="30" customHeight="1">
      <x:c r="A649" s="55" t="str">
        <x:v>紫月聖羽拂</x:v>
      </x:c>
      <x:c r="B649" s="55" t="str">
        <x:v>—</x:v>
      </x:c>
      <x:c r="C649" s="55" t="str">
        <x:v>—</x:v>
      </x:c>
      <x:c r="D649" s="55" t="str">
        <x:v>—</x:v>
      </x:c>
      <x:c r="E649" s="55" t="inlineStr">
        <x:is>
          <x:t>旋幽虛靈（終末之塔第21層、終末之塔第30層）；防術晶人（終末之塔第17層）；石奴監工（吉薩走廊）；塵泥羊巫（古翰大沙漠）；沙漠矮靈（太陽神大道）</x:t>
        </x:is>
      </x:c>
    </x:row>
    <x:row r="650" ht="45" customHeight="1">
      <x:c r="A650" s="55" t="str">
        <x:v>紫月雁玉笏</x:v>
      </x:c>
      <x:c r="B650" s="55" t="str">
        <x:v>—</x:v>
      </x:c>
      <x:c r="C650" s="55" t="str">
        <x:v>—</x:v>
      </x:c>
      <x:c r="D650" s="55" t="str">
        <x:v>—</x:v>
      </x:c>
      <x:c r="E650" s="55" t="inlineStr">
        <x:is>
          <x:t>凱夫山納（神王金字塔）；&lt;凱夫山納&gt;（修羅級神王金字塔）；喚虛女巫（終末之塔第58層、終末之塔第59層）；神柱虛祭（終末之塔第59層）；無序燭陰（終末之塔第65層、終末之塔第66層）；祭日司衛（王都盧索）；守陵人獅像（赫勒神殿遺址）；芭絲特（荷魯斯聖祠）</x:t>
        </x:is>
      </x:c>
    </x:row>
    <x:row r="651" ht="60" customHeight="1">
      <x:c r="A651" s="55" t="str">
        <x:v>點星斗</x:v>
      </x:c>
      <x:c r="B651" s="55" t="str">
        <x:v>—</x:v>
      </x:c>
      <x:c r="C651" s="55" t="str">
        <x:v>—</x:v>
      </x:c>
      <x:c r="D651" s="55" t="str">
        <x:v>—</x:v>
      </x:c>
      <x:c r="E651" s="55" t="inlineStr">
        <x:is>
          <x:t>影武暗部（藏意武窟）；危盪弄臣（終末之塔第86層、終末之塔第87層）；麗火魔法使（西宮翠苑）；紫霞山俠宗（西校場）；武冠驍衛（皇城）；紫霞山俠宗（西校場）；亭台聽蝶（東宮碧庭）；斬神風鼬（太安道、東海道）；終塔妖狐（終末之塔第108層、終末之塔第101層、終末之塔第102層、終末之塔第106層）；腐毒仙蛾（鷗揚浪嶼）；南遼水靈（殊雁峽）</x:t>
        </x:is>
      </x:c>
    </x:row>
    <x:row r="652" ht="60" customHeight="1">
      <x:c r="A652" s="55" t="str">
        <x:v>金官撢</x:v>
      </x:c>
      <x:c r="B652" s="55" t="str">
        <x:v>—</x:v>
      </x:c>
      <x:c r="C652" s="55" t="str">
        <x:v>—</x:v>
      </x:c>
      <x:c r="D652" s="55" t="str">
        <x:v>—</x:v>
      </x:c>
      <x:c r="E652" s="55" t="inlineStr">
        <x:is>
          <x:t>風水相師（溥山新郡、白餘古城）；紫電雷龍（璇鶯鎮）；太極武妃（白餘古城、濟馬島、漢京首府）；寄生上嬪（漢京首府）；兆嗔惡靈（終末之塔第108層、終末之塔第109層、終末之塔第104層）；戰嵐女巫（旭陽山徑）；黃金鳳（旭陽山徑）；藏富鼠（臺興中州）；咒命夕鶴（終末之塔第113層、終末之塔第115層、終末之塔第116層）；方舟金豹（白苗峽岸）；方舟電眼（白苗峽岸）</x:t>
        </x:is>
      </x:c>
    </x:row>
    <x:row r="653" ht="45" customHeight="1">
      <x:c r="A653" s="55" t="str">
        <x:v>王蛇鎮</x:v>
      </x:c>
      <x:c r="B653" s="55" t="str">
        <x:v>—</x:v>
      </x:c>
      <x:c r="C653" s="55" t="str">
        <x:v>—</x:v>
      </x:c>
      <x:c r="D653" s="55" t="str">
        <x:v>—</x:v>
      </x:c>
      <x:c r="E653" s="55" t="inlineStr">
        <x:is>
          <x:t>燃宇皇蛇（始祖巨林．西）；落燕豹騎（燕蕩嶺）；戰嵐術師（泰源大社）；翠絲天蠶（始祖巨林）；戰嵐女巫（風竹塹）；天門巫覡（祥鷺古街）；合成蛇女（南瞻聖地）；殺意魔眼（終末之塔第121層）；山嬰魚（泰源大社）；焚風火源（始祖巨林．西）；卜虛盲巫（終末之塔第131層、終末之塔第132層）</x:t>
        </x:is>
      </x:c>
    </x:row>
    <x:row r="654" ht="60" customHeight="1">
      <x:c r="A654" s="55" t="str">
        <x:v>水簾拂塵</x:v>
      </x:c>
      <x:c r="B654" s="55" t="str">
        <x:v>—</x:v>
      </x:c>
      <x:c r="C654" s="55" t="str">
        <x:v>—</x:v>
      </x:c>
      <x:c r="D654" s="55" t="str">
        <x:v>—</x:v>
      </x:c>
      <x:c r="E654" s="55" t="inlineStr">
        <x:is>
          <x:t>招財錦囊（網站未列地圖）；晶石兵器寶盒（網站未列地圖）；招財聚寶袋（網站未列地圖）；喜兔武器錦囊‧壹（網站未列地圖）；傳情錦囊（網站未列地圖）；三轉錦囊（網站未列地圖）；朱戈幫屠夫（網站未列地圖）；百眼長老（摘星嶺、魔君陵墓、魔君陵寢一層、魔君陵寢二層）；百眼巫師（毒龍潭、摘星嶺、魔君陵墓、魔君陵寢一層、魔君陵寢二層、修羅窟）</x:t>
        </x:is>
      </x:c>
    </x:row>
    <x:row r="655" ht="30" customHeight="1">
      <x:c r="A655" s="55" t="str">
        <x:v>冰晶拂塵</x:v>
      </x:c>
      <x:c r="B655" s="55" t="str">
        <x:v>—</x:v>
      </x:c>
      <x:c r="C655" s="55" t="str">
        <x:v>—</x:v>
      </x:c>
      <x:c r="D655" s="55" t="str">
        <x:v>—</x:v>
      </x:c>
      <x:c r="E655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656" ht="15" customHeight="1">
      <x:c r="A656" s="55" t="str">
        <x:v>卓越拂塵</x:v>
      </x:c>
      <x:c r="B656" s="55" t="str">
        <x:v>—</x:v>
      </x:c>
      <x:c r="C656" s="55" t="str">
        <x:v>—</x:v>
      </x:c>
      <x:c r="D656" s="55" t="str">
        <x:v>—</x:v>
      </x:c>
      <x:c r="E656" s="55" t="inlineStr">
        <x:is>
          <x:t>卓越兵器寶盒（網站未列地圖）</x:t>
        </x:is>
      </x:c>
    </x:row>
    <x:row r="657" ht="60" customHeight="1">
      <x:c r="A657" s="55" t="str">
        <x:v>天馬尾</x:v>
      </x:c>
      <x:c r="B657" s="55" t="str">
        <x:v>—</x:v>
      </x:c>
      <x:c r="C657" s="55" t="str">
        <x:v>祁州打鐵舖、玄州打鐵舖</x:v>
      </x:c>
      <x:c r="D657" s="55" t="str">
        <x:v>—</x:v>
      </x:c>
      <x:c r="E657" s="55" t="inlineStr">
        <x:is>
          <x:t>天門巫覡（祥鷺古街）；羅剎女妖（火焰山）；羅剎部隊長（塔干沙漠西方）；羅剎男妖（火焰山）；藤村龍二（神室關所）；逸劍流劍師（神室關所）；逸劍流副首（內崎埠原）；逸劍流統主（外崎埠原）；南野誠（天山雪道）；墮魔巫女（靜默之丘、擎空壁壘、獅堡軍事區）；黑魔導女（網站未列地圖）；朝天妖道（飛雲忘野）；賦文臣（登龍道、凌風修境、繚空碎島）；赤羽鶴（棲鳳崖、鳳凰台）</x:t>
        </x:is>
      </x:c>
    </x:row>
    <x:row r="658" ht="30" customHeight="1">
      <x:c r="A658" s="55" t="str">
        <x:v>海龍鬚</x:v>
      </x:c>
      <x:c r="B658" s="55" t="str">
        <x:v>—</x:v>
      </x:c>
      <x:c r="C658" s="55" t="str">
        <x:v>—</x:v>
      </x:c>
      <x:c r="D658" s="55" t="str">
        <x:v>海龍鬚配方</x:v>
      </x:c>
      <x:c r="E658" s="55" t="inlineStr">
        <x:is>
          <x:t>怒雪麒麟（怒雪洞府）；冰麟獸（怒雪靈界通道、怒雪洞府）；怒雪麒麟（怒雪修煉場）；[怒雪麒麟]（網站未列地圖）</x:t>
        </x:is>
      </x:c>
    </x:row>
    <x:row r="659" ht="30" customHeight="1">
      <x:c r="A659" s="55" t="str">
        <x:v>火龍鬚</x:v>
      </x:c>
      <x:c r="B659" s="55" t="str">
        <x:v>—</x:v>
      </x:c>
      <x:c r="C659" s="55" t="str">
        <x:v>—</x:v>
      </x:c>
      <x:c r="D659" s="55" t="str">
        <x:v>火龍鬚配方</x:v>
      </x:c>
      <x:c r="E659" s="55" t="inlineStr">
        <x:is>
          <x:t>火雲麒麟（火雲洞府）；火麟獸（烈火靈界通道、火雲洞府）；火雲麒麟（烈火修煉場）；[火雲麒麟]（網站未列地圖）</x:t>
        </x:is>
      </x:c>
    </x:row>
    <x:row r="660" ht="15" customHeight="1">
      <x:c r="A660" s="55" t="str">
        <x:v>雲龍鬚</x:v>
      </x:c>
      <x:c r="B660" s="55" t="str">
        <x:v>—</x:v>
      </x:c>
      <x:c r="C660" s="55" t="str">
        <x:v>—</x:v>
      </x:c>
      <x:c r="D660" s="55" t="str">
        <x:v>雲龍鬚配方</x:v>
      </x:c>
      <x:c r="E660" s="55" t="inlineStr">
        <x:is>
          <x:t>邪魔尊者（飛仙岩、朝天嶺、朝天觀）；邪教道長（飛仙岩、朝天嶺、朝天觀、亂藤林東方）</x:t>
        </x:is>
      </x:c>
    </x:row>
    <x:row r="661" ht="30" customHeight="1">
      <x:c r="A661" s="55" t="str">
        <x:v>地龍鬚</x:v>
      </x:c>
      <x:c r="B661" s="55" t="str">
        <x:v>—</x:v>
      </x:c>
      <x:c r="C661" s="55" t="str">
        <x:v>—</x:v>
      </x:c>
      <x:c r="D661" s="55" t="str">
        <x:v>地龍鬚配方</x:v>
      </x:c>
      <x:c r="E661" s="55" t="inlineStr">
        <x:is>
          <x:t>蠱毒麒麟（蠱毒洞府）；毒麟獸（瘴癘靈界通道、蠱毒洞府）；蠱毒麒麟（瘴癘修煉場）；[蠱毒麒麟]（網站未列地圖）</x:t>
        </x:is>
      </x:c>
    </x:row>
    <x:row r="662" ht="15" customHeight="1">
      <x:c r="A662" s="55" t="str">
        <x:v>白真拂塵</x:v>
      </x:c>
      <x:c r="B662" s="55" t="str">
        <x:v>—</x:v>
      </x:c>
      <x:c r="C662" s="55" t="str">
        <x:v>飛仙岩-打鐵店長</x:v>
      </x:c>
      <x:c r="D662" s="55" t="str">
        <x:v>—</x:v>
      </x:c>
      <x:c r="E662" s="55" t="inlineStr">
        <x:is>
          <x:t>赤羽鶴（棲鳳崖、鳳凰台）</x:t>
        </x:is>
      </x:c>
    </x:row>
    <x:row r="663" ht="15" customHeight="1">
      <x:c r="A663" s="55" t="str">
        <x:v>銀宗拂塵</x:v>
      </x:c>
      <x:c r="B663" s="55" t="str">
        <x:v>—</x:v>
      </x:c>
      <x:c r="C663" s="55" t="str">
        <x:v>飛仙岩-打鐵店長</x:v>
      </x:c>
      <x:c r="D663" s="55" t="str">
        <x:v>—</x:v>
      </x:c>
      <x:c r="E663" s="55" t="inlineStr">
        <x:is>
          <x:t>—</x:t>
        </x:is>
      </x:c>
    </x:row>
    <x:row r="664" ht="15" customHeight="1">
      <x:c r="A664" s="55" t="str">
        <x:v>龍靈拂塵</x:v>
      </x:c>
      <x:c r="B664" s="55" t="str">
        <x:v>—</x:v>
      </x:c>
      <x:c r="C664" s="55" t="str">
        <x:v>飛仙岩-打鐵店長</x:v>
      </x:c>
      <x:c r="D664" s="55" t="str">
        <x:v>—</x:v>
      </x:c>
      <x:c r="E664" s="55" t="inlineStr">
        <x:is>
          <x:t>叢林猛虎（千佛遺跡東側、千佛遺跡西側）</x:t>
        </x:is>
      </x:c>
    </x:row>
    <x:row r="665" ht="30" customHeight="1">
      <x:c r="A665" s="55" t="str">
        <x:v>人骨法杖</x:v>
      </x:c>
      <x:c r="B665" s="55" t="str">
        <x:v>—</x:v>
      </x:c>
      <x:c r="C665" s="55" t="str">
        <x:v>夸父-打鐵夸父</x:v>
      </x:c>
      <x:c r="D665" s="55" t="str">
        <x:v>—</x:v>
      </x:c>
      <x:c r="E665" s="55" t="inlineStr">
        <x:is>
          <x:t>百眼長老（摘星嶺、魔君陵墓、魔君陵寢一層、魔君陵寢二層）；百眼巫師（毒龍潭、摘星嶺、魔君陵墓、魔君陵寢一層、魔君陵寢二層、修羅窟）</x:t>
        </x:is>
      </x:c>
    </x:row>
    <x:row r="666" ht="30" customHeight="1">
      <x:c r="A666" s="55" t="str">
        <x:v>百眼骨杖</x:v>
      </x:c>
      <x:c r="B666" s="55" t="str">
        <x:v>—</x:v>
      </x:c>
      <x:c r="C666" s="55" t="str">
        <x:v>—</x:v>
      </x:c>
      <x:c r="D666" s="55" t="str">
        <x:v>—</x:v>
      </x:c>
      <x:c r="E666" s="55" t="inlineStr">
        <x:is>
          <x:t>百眼長老（摘星嶺、魔君陵墓、魔君陵寢一層、魔君陵寢二層）；百眼巫師（毒龍潭、摘星嶺、魔君陵墓、魔君陵寢一層、魔君陵寢二層、修羅窟）</x:t>
        </x:is>
      </x:c>
    </x:row>
    <x:row r="667" ht="60" customHeight="1">
      <x:c r="A667" s="55" t="str">
        <x:v>玄陰拂塵</x:v>
      </x:c>
      <x:c r="B667" s="55" t="str">
        <x:v>—</x:v>
      </x:c>
      <x:c r="C667" s="55" t="str">
        <x:v>—</x:v>
      </x:c>
      <x:c r="D667" s="55" t="str">
        <x:v>玄陰拂塵配方</x:v>
      </x:c>
      <x:c r="E667" s="55" t="inlineStr">
        <x:is>
          <x:t>中原神兵錦囊（網站未列地圖）；蒼龍神兵錦囊（網站未列地圖）；喜兔武器錦囊‧壹（網站未列地圖）；神來裝樂透卡之一（網站未列地圖）；輕車將軍錦囊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；野良犬（長野沙濱、葉隱蒼林、神室關所、內崎埠原）</x:t>
        </x:is>
      </x:c>
    </x:row>
    <x:row r="668" ht="15" customHeight="1">
      <x:c r="A668" s="55" t="str">
        <x:v>絕世玄陰拂塵</x:v>
      </x:c>
      <x:c r="B668" s="55" t="str">
        <x:v>—</x:v>
      </x:c>
      <x:c r="C668" s="55" t="str">
        <x:v>—</x:v>
      </x:c>
      <x:c r="D668" s="55" t="str">
        <x:v>—</x:v>
      </x:c>
      <x:c r="E668" s="55" t="inlineStr">
        <x:is>
          <x:t>絕世中原錦囊（網站未列地圖）；蒼龍神兵錦囊（網站未列地圖）</x:t>
        </x:is>
      </x:c>
    </x:row>
    <x:row r="669" ht="15" customHeight="1">
      <x:c r="A669" s="55" t="str">
        <x:v>朱雀拂塵</x:v>
      </x:c>
      <x:c r="B669" s="55" t="str">
        <x:v>—</x:v>
      </x:c>
      <x:c r="C669" s="55" t="str">
        <x:v>維摩洞天-仙島工匠</x:v>
      </x:c>
      <x:c r="D669" s="55" t="str">
        <x:v>—</x:v>
      </x:c>
      <x:c r="E669" s="55" t="inlineStr">
        <x:is>
          <x:t>—</x:t>
        </x:is>
      </x:c>
    </x:row>
    <x:row r="670" ht="15" customHeight="1">
      <x:c r="A670" s="55" t="str">
        <x:v>祭天拂塵</x:v>
      </x:c>
      <x:c r="B670" s="55" t="str">
        <x:v>—</x:v>
      </x:c>
      <x:c r="C670" s="55" t="str">
        <x:v>維摩洞天-仙島工匠</x:v>
      </x:c>
      <x:c r="D670" s="55" t="str">
        <x:v>—</x:v>
      </x:c>
      <x:c r="E670" s="55" t="inlineStr">
        <x:is>
          <x:t>—</x:t>
        </x:is>
      </x:c>
    </x:row>
    <x:row r="671" ht="30" customHeight="1">
      <x:c r="A671" s="55" t="str">
        <x:v>螢光拂塵</x:v>
      </x:c>
      <x:c r="B671" s="55" t="str">
        <x:v>—</x:v>
      </x:c>
      <x:c r="C671" s="55" t="str">
        <x:v>—</x:v>
      </x:c>
      <x:c r="D671" s="55" t="str">
        <x:v>—</x:v>
      </x:c>
      <x:c r="E671" s="55" t="inlineStr">
        <x:is>
          <x:t>怨靈水母（龍宮第二層）；死靈水母（龍宮第七層、龍宮八層一隅、龍宮八層廣場）；幽靈水母（龍宮第五層、龍宮八層廣場）</x:t>
        </x:is>
      </x:c>
    </x:row>
    <x:row r="672" ht="30" customHeight="1">
      <x:c r="A672" s="55" t="str">
        <x:v>百靈狐尾</x:v>
      </x:c>
      <x:c r="B672" s="55" t="str">
        <x:v>—</x:v>
      </x:c>
      <x:c r="C672" s="55" t="str">
        <x:v>—</x:v>
      </x:c>
      <x:c r="D672" s="55" t="str">
        <x:v>—</x:v>
      </x:c>
      <x:c r="E672" s="55" t="inlineStr">
        <x:is>
          <x:t>絕代兵器錦囊（網站未列地圖）；新絕代兵器錦囊（網站未列地圖）；九尾狐（網站未列地圖）；[九尾狐]（網站未列地圖）；2轉女道影（五派禁地）；2轉道影（五派禁地）；1轉道影（五派禁地）</x:t>
        </x:is>
      </x:c>
    </x:row>
    <x:row r="673" ht="45" customHeight="1">
      <x:c r="A673" s="55" t="str">
        <x:v>仙鶴拂塵</x:v>
      </x:c>
      <x:c r="B673" s="55" t="str">
        <x:v>—</x:v>
      </x:c>
      <x:c r="C673" s="55" t="str">
        <x:v>—</x:v>
      </x:c>
      <x:c r="D673" s="55" t="str">
        <x:v>—</x:v>
      </x:c>
      <x:c r="E673" s="55" t="inlineStr">
        <x:is>
          <x:t>神來裝樂透卡之二（網站未列地圖）；絕代兵器錦囊（網站未列地圖）；新絕代兵器錦囊（網站未列地圖）；喜兔武器錦囊‧貳（網站未列地圖）；真火鳳凰（鳳凰台）；真火鳳凰（鳳凰台）；泣命煉首（網站未列地圖）；紫燄影凰（網站未列地圖）；赤羽鶴（棲鳳崖、鳳凰台）；鳳凰（棲鳳崖、鳳凰台）；火鳳凰（棲鳳崖）</x:t>
        </x:is>
      </x:c>
    </x:row>
    <x:row r="674" ht="30" customHeight="1">
      <x:c r="A674" s="55" t="str">
        <x:v>金翅拂塵</x:v>
      </x:c>
      <x:c r="B674" s="55" t="str">
        <x:v>—</x:v>
      </x:c>
      <x:c r="C674" s="55" t="str">
        <x:v>—</x:v>
      </x:c>
      <x:c r="D674" s="55" t="str">
        <x:v>—</x:v>
      </x:c>
      <x:c r="E674" s="55" t="inlineStr">
        <x:is>
          <x:t>驃騎將軍錦囊（網站未列地圖）；天界戰匣（網站未列地圖）；御行神兵錦囊（網站未列地圖）；掠奪武器包裹（網站未列地圖）；羅剎寶袋（網站未列地圖）；輕車將軍錦囊（網站未列地圖）</x:t>
        </x:is>
      </x:c>
    </x:row>
    <x:row r="675" ht="15" customHeight="1">
      <x:c r="A675" s="55" t="str">
        <x:v>凌虛拂塵</x:v>
      </x:c>
      <x:c r="B675" s="55" t="str">
        <x:v>—</x:v>
      </x:c>
      <x:c r="C675" s="55" t="str">
        <x:v>—</x:v>
      </x:c>
      <x:c r="D675" s="55" t="str">
        <x:v>凌虛拂塵配方</x:v>
      </x:c>
      <x:c r="E675" s="55" t="inlineStr">
        <x:is>
          <x:t>蒼龍神兵錦囊（網站未列地圖）</x:t>
        </x:is>
      </x:c>
    </x:row>
    <x:row r="676" ht="75" customHeight="1">
      <x:c r="A676" s="55" t="str">
        <x:v>清虛骨杖</x:v>
      </x:c>
      <x:c r="B676" s="55" t="str">
        <x:v>—</x:v>
      </x:c>
      <x:c r="C676" s="55" t="str">
        <x:v>—</x:v>
      </x:c>
      <x:c r="D676" s="55" t="str">
        <x:v>清虛骨杖配方</x:v>
      </x:c>
      <x:c r="E676" s="55" t="inlineStr">
        <x:is>
          <x:t>喜兔武器錦囊‧參（網站未列地圖）；掠奪武器包裹（網站未列地圖）；羅剎寶袋（網站未列地圖）；神來裝樂透卡之三（網站未列地圖）；祥龍錦囊（網站未列地圖）；威震神州錦囊（網站未列地圖）；蒼狼族女王（蒼狼大營）；拉薩跳神（疾風谷、古北大營）；邊關賊寇頭目（邊關要塞）；綠袍老祖（五派禁地）；2轉女道影（五派禁地）；2轉道影（五派禁地）；邊關賊寇頭目（八達嶺、古北口）；千古怨靈（恨生不歸途）；鄉野浪人（葉隱蒼林、神室關所）</x:t>
        </x:is>
      </x:c>
    </x:row>
    <x:row r="677" ht="15" customHeight="1">
      <x:c r="A677" s="55" t="str">
        <x:v>絕世清虛骨杖</x:v>
      </x:c>
      <x:c r="B677" s="55" t="str">
        <x:v>—</x:v>
      </x:c>
      <x:c r="C677" s="55" t="str">
        <x:v>—</x:v>
      </x:c>
      <x:c r="D677" s="55" t="str">
        <x:v>—</x:v>
      </x:c>
      <x:c r="E677" s="55" t="inlineStr">
        <x:is>
          <x:t>絕世天界戰匣（網站未列地圖）</x:t>
        </x:is>
      </x:c>
    </x:row>
    <x:row r="678" ht="60" customHeight="1">
      <x:c r="A678" s="55" t="str">
        <x:v>搖光拂塵</x:v>
      </x:c>
      <x:c r="B678" s="55" t="str">
        <x:v>—</x:v>
      </x:c>
      <x:c r="C678" s="55" t="str">
        <x:v>—</x:v>
      </x:c>
      <x:c r="D678" s="55" t="str">
        <x:v>搖光拂塵配方</x:v>
      </x:c>
      <x:c r="E678" s="55" t="inlineStr">
        <x:is>
          <x:t>喜兔武器錦囊‧參（網站未列地圖）；掠奪武器包裹（網站未列地圖）；羅剎寶袋（網站未列地圖）；神來裝樂透卡之三（網站未列地圖）；御龍錦囊（網站未列地圖）；天界戰匣（網站未列地圖）；蒼狼族女王（蒼狼大營）；拉薩跳神（疾風谷、古北大營）；邊關賊寇頭目（邊關要塞）；綠袍老祖（五派禁地）；玄天宗師（五派禁地）；無塵子（五派禁地）；邊關賊寇頭目（八達嶺、古北口）</x:t>
        </x:is>
      </x:c>
    </x:row>
    <x:row r="679" ht="15" customHeight="1">
      <x:c r="A679" s="55" t="str">
        <x:v>絕世搖光拂塵</x:v>
      </x:c>
      <x:c r="B679" s="55" t="str">
        <x:v>—</x:v>
      </x:c>
      <x:c r="C679" s="55" t="str">
        <x:v>—</x:v>
      </x:c>
      <x:c r="D679" s="55" t="str">
        <x:v>—</x:v>
      </x:c>
      <x:c r="E679" s="55" t="inlineStr">
        <x:is>
          <x:t>絕世天界戰匣（網站未列地圖）</x:t>
        </x:is>
      </x:c>
    </x:row>
    <x:row r="680" ht="75" customHeight="1">
      <x:c r="A680" s="55" t="str">
        <x:v>銀羽扇</x:v>
      </x:c>
      <x:c r="B680" s="55" t="str">
        <x:v>—</x:v>
      </x:c>
      <x:c r="C680" s="55" t="str">
        <x:v>—</x:v>
      </x:c>
      <x:c r="D680" s="55" t="str">
        <x:v>銀羽扇配方</x:v>
      </x:c>
      <x:c r="E680" s="55" t="inlineStr">
        <x:is>
          <x:t>幻蠱妖煞（網站未列地圖）；幻雷妖煞（網站未列地圖）；侏人神兵錦囊（網站未列地圖）；喜兔武器錦囊‧肆（網站未列地圖）；神來裝樂透卡之四（網站未列地圖）；侏人祭司（網站未列地圖）；侏人護法（蕈菇林西方）；地穴樹精（蕈菇林東方、蕈菇林西方、晶湖水道）；萬年樹精（神兵塚）；灰侏人護法（地下水道、水晶礦坑）；疾狩忍者（葉隱蒼林、神室關所、內崎埠原）；魔侏人祭司（神兵塚）；灰侏人祭司（網站未列地圖）；叢林猛虎（千佛遺跡東側、千佛遺跡西側）</x:t>
        </x:is>
      </x:c>
    </x:row>
    <x:row r="681" ht="60" customHeight="1">
      <x:c r="A681" s="55" t="str">
        <x:v>玉翎扇</x:v>
      </x:c>
      <x:c r="B681" s="55" t="str">
        <x:v>—</x:v>
      </x:c>
      <x:c r="C681" s="55" t="str">
        <x:v>—</x:v>
      </x:c>
      <x:c r="D681" s="55" t="str">
        <x:v>玉翎扇配方</x:v>
      </x:c>
      <x:c r="E681" s="55" t="inlineStr">
        <x:is>
          <x:t>喜兔武器錦囊‧肆（網站未列地圖）；神來裝樂透卡之四（網站未列地圖）；侏人神兵錦囊（網站未列地圖）；幻蠱妖煞（網站未列地圖）；幻雷妖煞（網站未列地圖）；侏人祭司（網站未列地圖）；地穴樹精（蕈菇林東方、蕈菇林西方、晶湖水道）；萬年樹精（神兵塚）；提刑差（恨生不歸途、三途之都、枉死之城）；魔侏人祭司（神兵塚）；灰侏人祭司（網站未列地圖）</x:t>
        </x:is>
      </x:c>
    </x:row>
    <x:row r="682" ht="15" customHeight="1">
      <x:c r="A682" s="55" t="str">
        <x:v>絕世玉翎扇</x:v>
      </x:c>
      <x:c r="B682" s="55" t="str">
        <x:v>—</x:v>
      </x:c>
      <x:c r="C682" s="55" t="str">
        <x:v>—</x:v>
      </x:c>
      <x:c r="D682" s="55" t="str">
        <x:v>—</x:v>
      </x:c>
      <x:c r="E682" s="55" t="inlineStr">
        <x:is>
          <x:t>地火絕世錦囊（網站未列地圖）</x:t>
        </x:is>
      </x:c>
    </x:row>
    <x:row r="683" ht="45" customHeight="1">
      <x:c r="A683" s="55" t="str">
        <x:v>青羅蛇杖</x:v>
      </x:c>
      <x:c r="B683" s="55" t="str">
        <x:v>—</x:v>
      </x:c>
      <x:c r="C683" s="55" t="str">
        <x:v>—</x:v>
      </x:c>
      <x:c r="D683" s="55" t="str">
        <x:v>青羅蛇杖配方</x:v>
      </x:c>
      <x:c r="E683" s="55" t="inlineStr">
        <x:is>
          <x:t>西域神器錦囊（網站未列地圖）；侯氏百兵錦囊（網站未列地圖）；黑天神兵元靈（網站未列地圖）；征西道人錦囊（網站未列地圖）；&lt;剎風真帝靈&gt;（真七寶仙境　貳）；千古怨靈（恨生不歸途）；禿鷹幫首領（高昌郡）；邪跳鼠（火焰山）；飛毛跳鼠（塔干沙漠東方、塔干沙漠西方、萬佛窟、樓蘭遺址）；[飛毛跳鼠]（網站未列地圖）</x:t>
        </x:is>
      </x:c>
    </x:row>
    <x:row r="684" ht="60" customHeight="1">
      <x:c r="A684" s="55" t="str">
        <x:v>白露蛇杖</x:v>
      </x:c>
      <x:c r="B684" s="55" t="str">
        <x:v>—</x:v>
      </x:c>
      <x:c r="C684" s="55" t="str">
        <x:v>—</x:v>
      </x:c>
      <x:c r="D684" s="55" t="str">
        <x:v>—</x:v>
      </x:c>
      <x:c r="E684" s="55" t="inlineStr">
        <x:is>
          <x:t>西域神器錦囊（網站未列地圖）；西域真武錦囊（網站未列地圖）；黑天神兵元靈（網站未列地圖）；喜兔武器錦囊‧伍（網站未列地圖）；神來裝樂透卡之五（網站未列地圖）；日昇道人錦囊（網站未列地圖）；聖靈道人錦囊（網站未列地圖）；樓蘭道人錦囊（網站未列地圖）；邪魔靈鼠（火焰山）；神行跳鼠（萬魔蜃樓陣、萬魔蜃樓陣檢錄處、塔干沙漠西方、萬佛窟、樓蘭遺址）；[神行跳鼠]（網站未列地圖）</x:t>
        </x:is>
      </x:c>
    </x:row>
    <x:row r="685" ht="45" customHeight="1">
      <x:c r="A685" s="55" t="str">
        <x:v>翡翠神杖</x:v>
      </x:c>
      <x:c r="B685" s="55" t="str">
        <x:v>—</x:v>
      </x:c>
      <x:c r="C685" s="55" t="str">
        <x:v>—</x:v>
      </x:c>
      <x:c r="D685" s="55" t="str">
        <x:v>翡翠神杖配方</x:v>
      </x:c>
      <x:c r="E685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日昇道人錦囊（網站未列地圖）；聖靈道人錦囊（網站未列地圖）；樓蘭道人錦囊（網站未列地圖）</x:t>
        </x:is>
      </x:c>
    </x:row>
    <x:row r="686" ht="45" customHeight="1">
      <x:c r="A686" s="55" t="str">
        <x:v>蒼穹神杖</x:v>
      </x:c>
      <x:c r="B686" s="55" t="str">
        <x:v>—</x:v>
      </x:c>
      <x:c r="C686" s="55" t="str">
        <x:v>—</x:v>
      </x:c>
      <x:c r="D686" s="55" t="str">
        <x:v>—</x:v>
      </x:c>
      <x:c r="E686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聖靈道人錦囊（網站未列地圖）；樓蘭道人錦囊（網站未列地圖）；流亡山賊（葉隱蒼林）</x:t>
        </x:is>
      </x:c>
    </x:row>
    <x:row r="687" ht="60" customHeight="1">
      <x:c r="A687" s="55" t="str">
        <x:v>裂戒御祓</x:v>
      </x:c>
      <x:c r="B687" s="55" t="str">
        <x:v>—</x:v>
      </x:c>
      <x:c r="C687" s="55" t="str">
        <x:v>—</x:v>
      </x:c>
      <x:c r="D687" s="55" t="str">
        <x:v>裂戒御祓配方</x:v>
      </x:c>
      <x:c r="E687" s="55" t="inlineStr">
        <x:is>
          <x:t>東瀛神兵桐箱（網站未列地圖）；東瀛神兵寶箱（網站未列地圖）；東瀛萬神兵匣（網站未列地圖）；御行神兵錦囊（網站未列地圖）；天照道人錦囊（網站未列地圖）；日昇道人錦囊（網站未列地圖）；謳邪僧正（寒愴冰獄）；蒼炎怒獅（永劫刑場、九曲邪徑、寒愴冰獄）；鬼將酒吞（伊取川大陣）；秘行忍者（十津原樹海、天照不二峰、伊取川大陣）；血瘤眼（恨生不歸途、三途之都）；[血瘤眼]（網站未列地圖）</x:t>
        </x:is>
      </x:c>
    </x:row>
    <x:row r="688" ht="60" customHeight="1">
      <x:c r="A688" s="55" t="str">
        <x:v>平魔御祓</x:v>
      </x:c>
      <x:c r="B688" s="55" t="str">
        <x:v>—</x:v>
      </x:c>
      <x:c r="C688" s="55" t="str">
        <x:v>—</x:v>
      </x:c>
      <x:c r="D688" s="55" t="str">
        <x:v>平魔御祓配方</x:v>
      </x:c>
      <x:c r="E688" s="55" t="inlineStr">
        <x:is>
          <x:t>東瀛萬神兵匣（網站未列地圖）；東瀛神兵寶箱（網站未列地圖）；喜兔武器錦囊‧陸（網站未列地圖）；神來裝樂透卡之六（網站未列地圖）；天照道人錦囊（網站未列地圖）；藏地氂牛（登天棧道、懸空仙嶺、青藏高原）；[藏地氂牛]（網站未列地圖）；怒砂土靈（黃塵荒漠、聖域之門）；怒獄土魔（網站未列地圖）；雲霓戰牛（網站未列地圖）；伏毒地蟒（恨生不歸途）</x:t>
        </x:is>
      </x:c>
    </x:row>
    <x:row r="689" ht="30" customHeight="1">
      <x:c r="A689" s="55" t="str">
        <x:v>瀧取如意</x:v>
      </x:c>
      <x:c r="B689" s="55" t="str">
        <x:v>—</x:v>
      </x:c>
      <x:c r="C689" s="55" t="str">
        <x:v>—</x:v>
      </x:c>
      <x:c r="D689" s="55" t="str">
        <x:v>瀧取如意配方</x:v>
      </x:c>
      <x:c r="E689" s="55" t="inlineStr">
        <x:is>
          <x:t>賀歲神兵禮盒（網站未列地圖）；東瀛萬神兵匣（網站未列地圖）；八卦道人錦囊（網站未列地圖）；象騎兵（摩羅國境、菩提聖原）</x:t>
        </x:is>
      </x:c>
    </x:row>
    <x:row r="690" ht="60" customHeight="1">
      <x:c r="A690" s="55" t="str">
        <x:v>御敷如意</x:v>
      </x:c>
      <x:c r="B690" s="55" t="str">
        <x:v>—</x:v>
      </x:c>
      <x:c r="C690" s="55" t="str">
        <x:v>—</x:v>
      </x:c>
      <x:c r="D690" s="55" t="str">
        <x:v>御敷如意配方</x:v>
      </x:c>
      <x:c r="E690" s="55" t="inlineStr">
        <x:is>
          <x:t>東瀛究極武箱（網站未列地圖）；喜兔武器錦囊‧柒（網站未列地圖）；神來裝樂透卡之七（網站未列地圖）；東瀛萬神兵匣（網站未列地圖）；八卦道人錦囊（網站未列地圖）；黑教舞鞭者（青藏高原、大梵聖湖）；魔喚使者（黃塵荒漠、聖域之門、清教院街）；謳邪僧正（寒愴冰獄）；蒼炎怒獅（永劫刑場、九曲邪徑、寒愴冰獄）；高原冰靈（登天棧道、懸空仙嶺）；金鎧靈猴（菩提聖原、大梵河岸）；白夜帝猿（網站未列地圖）</x:t>
        </x:is>
      </x:c>
    </x:row>
    <x:row r="691" ht="30" customHeight="1">
      <x:c r="A691" s="55" t="str">
        <x:v>松風御祓</x:v>
      </x:c>
      <x:c r="B691" s="55" t="str">
        <x:v>—</x:v>
      </x:c>
      <x:c r="C691" s="55" t="str">
        <x:v>—</x:v>
      </x:c>
      <x:c r="D691" s="55" t="str">
        <x:v>—</x:v>
      </x:c>
      <x:c r="E691" s="55" t="inlineStr">
        <x:is>
          <x:t>東瀛神兵寶匣（網站未列地圖）；喜兔武器錦囊‧陸（網站未列地圖）；神來裝樂透卡之六（網站未列地圖）；夜帝化身（網站未列地圖）；天照道人錦囊（網站未列地圖）；冥戶永德（八荒古墳）</x:t>
        </x:is>
      </x:c>
    </x:row>
    <x:row r="692" ht="30" customHeight="1">
      <x:c r="A692" s="55" t="str">
        <x:v>櫻華御祓</x:v>
      </x:c>
      <x:c r="B692" s="55" t="str">
        <x:v>—</x:v>
      </x:c>
      <x:c r="C692" s="55" t="str">
        <x:v>—</x:v>
      </x:c>
      <x:c r="D692" s="55" t="str">
        <x:v>—</x:v>
      </x:c>
      <x:c r="E692" s="55" t="inlineStr">
        <x:is>
          <x:t>東瀛神兵寶匣（網站未列地圖）；喜兔武器錦囊‧陸（網站未列地圖）；神來裝樂透卡之六（網站未列地圖）；夜帝化身（網站未列地圖）；冥戶永德（八荒古墳）</x:t>
        </x:is>
      </x:c>
    </x:row>
    <x:row r="693" ht="45" customHeight="1">
      <x:c r="A693" s="55" t="str">
        <x:v>星暉拂塵</x:v>
      </x:c>
      <x:c r="B693" s="55" t="str">
        <x:v>—</x:v>
      </x:c>
      <x:c r="C693" s="55" t="str">
        <x:v>—</x:v>
      </x:c>
      <x:c r="D693" s="55" t="str">
        <x:v>星暉拂塵配方</x:v>
      </x:c>
      <x:c r="E693" s="55" t="inlineStr">
        <x:is>
          <x:t>天佛神兵錦囊（網站未列地圖）；釋尊神兵檀箱（網站未列地圖）；夜帝化身（網站未列地圖）；佛都道人錦囊（網站未列地圖）；八卦道人錦囊（網站未列地圖）；波斯蒼鷹（飛簷頂徑）；追魂馬面（九曲邪徑、寒愴冰獄）；[追魂馬面]（網站未列地圖）；霧峰暴猿（登天棧道）；鬼曹馬面（網站未列地圖）；摩羅戰象（菩提聖原）</x:t>
        </x:is>
      </x:c>
    </x:row>
    <x:row r="694" ht="45" customHeight="1">
      <x:c r="A694" s="55" t="str">
        <x:v>昊陽拂塵</x:v>
      </x:c>
      <x:c r="B694" s="55" t="str">
        <x:v>—</x:v>
      </x:c>
      <x:c r="C694" s="55" t="str">
        <x:v>—</x:v>
      </x:c>
      <x:c r="D694" s="55" t="str">
        <x:v>昊陽拂塵配方</x:v>
      </x:c>
      <x:c r="E694" s="55" t="inlineStr">
        <x:is>
          <x:t>喜兔武器錦囊‧捌（網站未列地圖）；神來裝樂透卡之八（網站未列地圖）；天佛神兵錦囊（網站未列地圖）；釋尊神兵檀箱（網站未列地圖）；涅槃神兵聖匣（網站未列地圖）；佛都道人錦囊（網站未列地圖）；傲霜飛龍（吐蕃集鎮、萬岳聖峰、香格里拉聖路、香格里拉神廟）；白猿鬥神（金霄佛寺、濕婆神廟）</x:t>
        </x:is>
      </x:c>
    </x:row>
    <x:row r="695" ht="60" customHeight="1">
      <x:c r="A695" s="55" t="str">
        <x:v>瑤台拂塵</x:v>
      </x:c>
      <x:c r="B695" s="55" t="str">
        <x:v>—</x:v>
      </x:c>
      <x:c r="C695" s="55" t="str">
        <x:v>—</x:v>
      </x:c>
      <x:c r="D695" s="55" t="str">
        <x:v>—</x:v>
      </x:c>
      <x:c r="E695" s="55" t="inlineStr">
        <x:is>
          <x:t>喜兔武器錦囊‧捌（網站未列地圖）；神來裝樂透卡之八（網站未列地圖）；天佛神兵錦囊（網站未列地圖）；釋尊神兵檀箱（網站未列地圖）；佛都道人錦囊（網站未列地圖）；化屍大魔棺（森羅閻殿、九曲邪徑、奈落紅川、荒禍殘墟）；墮天魔佛（金霄佛寺）；絕峰禿鷹（香格里拉聖路）；怒砂土靈（黃塵荒漠、聖域之門）；怒獄土魔（網站未列地圖）</x:t>
        </x:is>
      </x:c>
    </x:row>
    <x:row r="696" ht="60" customHeight="1">
      <x:c r="A696" s="55" t="str">
        <x:v>淨律羽拂</x:v>
      </x:c>
      <x:c r="B696" s="55" t="str">
        <x:v>—</x:v>
      </x:c>
      <x:c r="C696" s="55" t="str">
        <x:v>—</x:v>
      </x:c>
      <x:c r="D696" s="55" t="str">
        <x:v>淨律羽拂配方</x:v>
      </x:c>
      <x:c r="E696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通天術師（飛簷頂徑、波斯西市、法誡參道）；黑袍魔女（止戰邊境、血鴉嶺）；黑袍魔女（豐穗平原）；煉獄邪眼（森羅閻殿、永劫刑場、荒禍殘墟）</x:t>
        </x:is>
      </x:c>
    </x:row>
    <x:row r="697" ht="15" customHeight="1">
      <x:c r="A697" s="55" t="str">
        <x:v>婆羅門羽拂</x:v>
      </x:c>
      <x:c r="B697" s="55" t="str">
        <x:v>—</x:v>
      </x:c>
      <x:c r="C697" s="55" t="str">
        <x:v>—</x:v>
      </x:c>
      <x:c r="D697" s="55" t="str">
        <x:v>婆羅羽拂配方</x:v>
      </x:c>
      <x:c r="E697" s="55" t="inlineStr">
        <x:is>
          <x:t>涅槃真武聖匣（網站未列地圖）；涅槃神兵聖匣（網站未列地圖）；魔喚使者（黃塵荒漠、聖域之門、清教院街）</x:t>
        </x:is>
      </x:c>
    </x:row>
    <x:row r="698" ht="45" customHeight="1">
      <x:c r="A698" s="55" t="str">
        <x:v>迦樓羅羽拂</x:v>
      </x:c>
      <x:c r="B698" s="55" t="str">
        <x:v>—</x:v>
      </x:c>
      <x:c r="C698" s="55" t="str">
        <x:v>—</x:v>
      </x:c>
      <x:c r="D698" s="55" t="str">
        <x:v>—</x:v>
      </x:c>
      <x:c r="E698" s="55" t="inlineStr">
        <x:is>
          <x:t>涅槃真武聖匣（網站未列地圖）；涅槃神兵聖匣（網站未列地圖）；風之精靈（止戰邊境、靜默之丘）；御天七彩牛（吐蕃集鎮、香格里拉神廟、天授之間）；虹霓聖牛（網站未列地圖）；嘯狂之風（清教院街、飛簷頂徑、波斯西市）；[嘯狂之風]（網站未列地圖）</x:t>
        </x:is>
      </x:c>
    </x:row>
    <x:row r="699" ht="15" customHeight="1">
      <x:c r="A699" s="55" t="str">
        <x:v>持國玉如意</x:v>
      </x:c>
      <x:c r="B699" s="55" t="str">
        <x:v>—</x:v>
      </x:c>
      <x:c r="C699" s="55" t="str">
        <x:v>—</x:v>
      </x:c>
      <x:c r="D699" s="55" t="str">
        <x:v>—</x:v>
      </x:c>
      <x:c r="E699" s="55" t="inlineStr">
        <x:is>
          <x:t>東煌神兵寶匣（網站未列地圖）；喜兔武器錦囊‧柒（網站未列地圖）；神來裝樂透卡之七（網站未列地圖）</x:t>
        </x:is>
      </x:c>
    </x:row>
    <x:row r="700" ht="15" customHeight="1">
      <x:c r="A700" s="55" t="str">
        <x:v>護天玉如意</x:v>
      </x:c>
      <x:c r="B700" s="55" t="str">
        <x:v>—</x:v>
      </x:c>
      <x:c r="C700" s="55" t="str">
        <x:v>—</x:v>
      </x:c>
      <x:c r="D700" s="55" t="str">
        <x:v>—</x:v>
      </x:c>
      <x:c r="E700" s="55" t="inlineStr">
        <x:is>
          <x:t>東煌神兵寶匣（網站未列地圖）；喜兔武器錦囊‧柒（網站未列地圖）；神來裝樂透卡之七（網站未列地圖）</x:t>
        </x:is>
      </x:c>
    </x:row>
    <x:row r="701" ht="60" customHeight="1">
      <x:c r="A701" s="55" t="str">
        <x:v>三途鬼拂</x:v>
      </x:c>
      <x:c r="B701" s="55" t="str">
        <x:v>—</x:v>
      </x:c>
      <x:c r="C701" s="55" t="str">
        <x:v>—</x:v>
      </x:c>
      <x:c r="D701" s="55" t="str">
        <x:v>—</x:v>
      </x:c>
      <x:c r="E701" s="55" t="inlineStr">
        <x:is>
          <x:t>喜兔武器錦囊‧玖（網站未列地圖）；傾天絕邪（寒愴冰獄）；煉獄邪兵戰匣（網站未列地圖）；神來裝樂透卡之九（網站未列地圖）；征鬼道人錦囊（網站未列地圖）；黑尸大喪神（悲歡渡口）；剎羽風靈（法誡參道、漆黑水路、真知寺）；逆反外眼（大梵聖湖、萬岳聖峰）；喪途羅將（網站未列地圖）；黃泉大元帥（森羅閻殿、奈落紅川）；波斯蒼鷹（飛簷頂徑）</x:t>
        </x:is>
      </x:c>
    </x:row>
    <x:row r="702" ht="30" customHeight="1">
      <x:c r="A702" s="55" t="str">
        <x:v>終葵封獄拂</x:v>
      </x:c>
      <x:c r="B702" s="55" t="str">
        <x:v>—</x:v>
      </x:c>
      <x:c r="C702" s="55" t="str">
        <x:v>—</x:v>
      </x:c>
      <x:c r="D702" s="55" t="str">
        <x:v>—</x:v>
      </x:c>
      <x:c r="E702" s="55" t="inlineStr">
        <x:is>
          <x:t>阿鼻邪兵戰匣（網站未列地圖）；煉獄邪兵戰匣（網站未列地圖）；征鬼道人錦囊（網站未列地圖）；惡魔（豐穗平原、血鴉嶺、靜默之丘、擎空壁壘）；十獄殿主（森羅閻殿、奈落紅川、荒禍殘墟）</x:t>
        </x:is>
      </x:c>
    </x:row>
    <x:row r="703" ht="30" customHeight="1">
      <x:c r="A703" s="55" t="str">
        <x:v>隍土鎮剎拂</x:v>
      </x:c>
      <x:c r="B703" s="55" t="str">
        <x:v>—</x:v>
      </x:c>
      <x:c r="C703" s="55" t="str">
        <x:v>—</x:v>
      </x:c>
      <x:c r="D703" s="55" t="str">
        <x:v>—</x:v>
      </x:c>
      <x:c r="E703" s="55" t="inlineStr">
        <x:is>
          <x:t>阿鼻邪兵戰匣（網站未列地圖）；煉獄邪兵戰匣（網站未列地圖）；四相位靈尊（漆黑水路、真知寺、萬識聖宮）；嘯狂之風（清教院街、飛簷頂徑、波斯西市）；[嘯狂之風]（網站未列地圖）；地斗大元帥（天戮魔殿）</x:t>
        </x:is>
      </x:c>
    </x:row>
    <x:row r="704" ht="30" customHeight="1">
      <x:c r="A704" s="55" t="str">
        <x:v>喚魂白幡</x:v>
      </x:c>
      <x:c r="B704" s="55" t="str">
        <x:v>—</x:v>
      </x:c>
      <x:c r="C704" s="55" t="str">
        <x:v>—</x:v>
      </x:c>
      <x:c r="D704" s="55" t="str">
        <x:v>—</x:v>
      </x:c>
      <x:c r="E704" s="55" t="inlineStr">
        <x:is>
          <x:t>無間邪兵戰匣（網站未列地圖）；傾天絕邪（寒愴冰獄）；阿鼻邪兵戰匣（網站未列地圖）；征鬼道人錦囊（網站未列地圖）；通天術師（飛簷頂徑、波斯西市、法誡參道）</x:t>
        </x:is>
      </x:c>
    </x:row>
    <x:row r="705" ht="30" customHeight="1">
      <x:c r="A705" s="55" t="str">
        <x:v>贖世淨業幡</x:v>
      </x:c>
      <x:c r="B705" s="55" t="str">
        <x:v>—</x:v>
      </x:c>
      <x:c r="C705" s="55" t="str">
        <x:v>—</x:v>
      </x:c>
      <x:c r="D705" s="55" t="str">
        <x:v>—</x:v>
      </x:c>
      <x:c r="E705" s="55" t="inlineStr">
        <x:is>
          <x:t>無間邪兵戰匣（網站未列地圖）；無間邪兵戰匣（網站未列地圖）；傾天絕邪（寒愴冰獄）；征鬼道人錦囊（網站未列地圖）；地獄女爵（凱旋廣場、聖禱天廳）；天風聖靈（萬識聖宮）；太古火尊（網站未列地圖）</x:t>
        </x:is>
      </x:c>
    </x:row>
    <x:row r="706" ht="30" customHeight="1">
      <x:c r="A706" s="55" t="str">
        <x:v>慈護超生幡</x:v>
      </x:c>
      <x:c r="B706" s="55" t="str">
        <x:v>—</x:v>
      </x:c>
      <x:c r="C706" s="55" t="str">
        <x:v>—</x:v>
      </x:c>
      <x:c r="D706" s="55" t="str">
        <x:v>—</x:v>
      </x:c>
      <x:c r="E706" s="55" t="inlineStr">
        <x:is>
          <x:t>無間邪兵戰匣（網站未列地圖）；無間邪兵戰匣（網站未列地圖）；傾天絕邪（寒愴冰獄）；風之精靈（止戰邊境、靜默之丘）</x:t>
        </x:is>
      </x:c>
    </x:row>
    <x:row r="707" ht="15" customHeight="1">
      <x:c r="A707" s="55" t="str">
        <x:v>魔泣天殛魔器</x:v>
      </x:c>
      <x:c r="B707" s="55" t="str">
        <x:v>—</x:v>
      </x:c>
      <x:c r="C707" s="55" t="str">
        <x:v>—</x:v>
      </x:c>
      <x:c r="D707" s="55" t="str">
        <x:v>—</x:v>
      </x:c>
      <x:c r="E707" s="55" t="inlineStr">
        <x:is>
          <x:t>天殛邪器錦囊（網站未列地圖）</x:t>
        </x:is>
      </x:c>
    </x:row>
    <x:row r="708" ht="15" customHeight="1">
      <x:c r="A708" s="55" t="str">
        <x:v>凶亡天殛魔器</x:v>
      </x:c>
      <x:c r="B708" s="55" t="str">
        <x:v>—</x:v>
      </x:c>
      <x:c r="C708" s="55" t="str">
        <x:v>—</x:v>
      </x:c>
      <x:c r="D708" s="55" t="str">
        <x:v>—</x:v>
      </x:c>
      <x:c r="E708" s="55" t="inlineStr">
        <x:is>
          <x:t>天殛邪器錦囊（網站未列地圖）</x:t>
        </x:is>
      </x:c>
    </x:row>
    <x:row r="709" ht="15" customHeight="1">
      <x:c r="A709" s="55" t="str">
        <x:v>惡斬天殛魔器</x:v>
      </x:c>
      <x:c r="B709" s="55" t="str">
        <x:v>—</x:v>
      </x:c>
      <x:c r="C709" s="55" t="str">
        <x:v>—</x:v>
      </x:c>
      <x:c r="D709" s="55" t="str">
        <x:v>—</x:v>
      </x:c>
      <x:c r="E709" s="55" t="inlineStr">
        <x:is>
          <x:t>天殛邪器錦囊（網站未列地圖）</x:t>
        </x:is>
      </x:c>
    </x:row>
    <x:row r="710" ht="15" customHeight="1">
      <x:c r="A710" s="55" t="str">
        <x:v>獸殺天殛魔器</x:v>
      </x:c>
      <x:c r="B710" s="55" t="str">
        <x:v>—</x:v>
      </x:c>
      <x:c r="C710" s="55" t="str">
        <x:v>—</x:v>
      </x:c>
      <x:c r="D710" s="55" t="str">
        <x:v>—</x:v>
      </x:c>
      <x:c r="E710" s="55" t="inlineStr">
        <x:is>
          <x:t>天殛邪器錦囊（網站未列地圖）</x:t>
        </x:is>
      </x:c>
    </x:row>
    <x:row r="711" ht="30" customHeight="1">
      <x:c r="A711" s="55" t="str">
        <x:v>妙音角</x:v>
      </x:c>
      <x:c r="B711" s="55" t="str">
        <x:v>—</x:v>
      </x:c>
      <x:c r="C711" s="55" t="str">
        <x:v>—</x:v>
      </x:c>
      <x:c r="D711" s="55" t="str">
        <x:v>—</x:v>
      </x:c>
      <x:c r="E711" s="55" t="inlineStr">
        <x:is>
          <x:t>頂峰神兵錦囊（網站未列地圖）；天藏道人錦囊（網站未列地圖）；天鬼神羅奢薩（神煉之間）；神風領主（凱旋廣場、聖禱天廳）；亡骸弓箭手（血鴉嶺）；四相位靈尊（漆黑水路、真知寺、萬識聖宮）</x:t>
        </x:is>
      </x:c>
    </x:row>
    <x:row r="712" ht="30" customHeight="1">
      <x:c r="A712" s="55" t="str">
        <x:v>太古妙音角</x:v>
      </x:c>
      <x:c r="B712" s="55" t="str">
        <x:v>—</x:v>
      </x:c>
      <x:c r="C712" s="55" t="str">
        <x:v>—</x:v>
      </x:c>
      <x:c r="D712" s="55" t="str">
        <x:v>—</x:v>
      </x:c>
      <x:c r="E712" s="55" t="inlineStr">
        <x:is>
          <x:t>天藏太古神兵聖箱（網站未列地圖）；兔兒皇（網站未列地圖）；九華神曜龍（天授之間）；御天七彩牛（吐蕃集鎮、香格里拉神廟、天授之間）；虹霓聖牛（網站未列地圖）</x:t>
        </x:is>
      </x:c>
    </x:row>
    <x:row r="713" ht="30" customHeight="1">
      <x:c r="A713" s="55" t="str">
        <x:v>玉韻妙音角</x:v>
      </x:c>
      <x:c r="B713" s="55" t="str">
        <x:v>—</x:v>
      </x:c>
      <x:c r="C713" s="55" t="str">
        <x:v>—</x:v>
      </x:c>
      <x:c r="D713" s="55" t="str">
        <x:v>—</x:v>
      </x:c>
      <x:c r="E713" s="55" t="inlineStr">
        <x:is>
          <x:t>聖路神兵聖箱（網站未列地圖）；神來裝樂透卡之十（網站未列地圖）；香格里拉武匣（網站未列地圖）；天藏道人錦囊（網站未列地圖）；惡魔（豐穗平原、血鴉嶺、靜默之丘、擎空壁壘）</x:t>
        </x:is>
      </x:c>
    </x:row>
    <x:row r="714" ht="30" customHeight="1">
      <x:c r="A714" s="55" t="str">
        <x:v>仙律妙音角</x:v>
      </x:c>
      <x:c r="B714" s="55" t="str">
        <x:v>—</x:v>
      </x:c>
      <x:c r="C714" s="55" t="str">
        <x:v>—</x:v>
      </x:c>
      <x:c r="D714" s="55" t="str">
        <x:v>—</x:v>
      </x:c>
      <x:c r="E714" s="55" t="inlineStr">
        <x:is>
          <x:t>聖路神兵聖箱（網站未列地圖）；神來裝樂透卡之十（網站未列地圖）；香格里拉武匣（網站未列地圖）；天藏道人錦囊（網站未列地圖）；賦文臣（登龍道、凌風修境、繚空碎島）</x:t>
        </x:is>
      </x:c>
    </x:row>
    <x:row r="715" ht="15" customHeight="1">
      <x:c r="A715" s="55" t="str">
        <x:v>聖儀拂塵</x:v>
      </x:c>
      <x:c r="B715" s="55" t="str">
        <x:v>—</x:v>
      </x:c>
      <x:c r="C715" s="55" t="str">
        <x:v>—</x:v>
      </x:c>
      <x:c r="D715" s="55" t="str">
        <x:v>—</x:v>
      </x:c>
      <x:c r="E715" s="55" t="inlineStr">
        <x:is>
          <x:t>天光神兵聖匣（網站未列地圖）</x:t>
        </x:is>
      </x:c>
    </x:row>
    <x:row r="716" ht="30" customHeight="1">
      <x:c r="A716" s="55" t="str">
        <x:v>太古聖儀拂塵</x:v>
      </x:c>
      <x:c r="B716" s="55" t="str">
        <x:v>—</x:v>
      </x:c>
      <x:c r="C716" s="55" t="str">
        <x:v>—</x:v>
      </x:c>
      <x:c r="D716" s="55" t="str">
        <x:v>—</x:v>
      </x:c>
      <x:c r="E716" s="55" t="inlineStr">
        <x:is>
          <x:t>天藏太古神兵聖箱（網站未列地圖）；查拉欽（飛昇大廳）；&lt;查拉欽&gt;（真七寶仙境　貳）；剎風真帝靈（飛昇大廳）；&lt;剎風真帝靈&gt;（真七寶仙境　貳）；天風聖靈（萬識聖宮）；太古火尊（網站未列地圖）</x:t>
        </x:is>
      </x:c>
    </x:row>
    <x:row r="717" ht="15" customHeight="1">
      <x:c r="A717" s="55" t="str">
        <x:v>崇輝聖儀拂塵</x:v>
      </x:c>
      <x:c r="B717" s="55" t="str">
        <x:v>—</x:v>
      </x:c>
      <x:c r="C717" s="55" t="str">
        <x:v>—</x:v>
      </x:c>
      <x:c r="D717" s="55" t="str">
        <x:v>—</x:v>
      </x:c>
      <x:c r="E717" s="55" t="inlineStr">
        <x:is>
          <x:t>顛峰神兵聖匣（網站未列地圖）；香格里拉武匣（網站未列地圖）；地獄女爵（凱旋廣場、聖禱天廳）</x:t>
        </x:is>
      </x:c>
    </x:row>
    <x:row r="718" ht="15" customHeight="1">
      <x:c r="A718" s="55" t="str">
        <x:v>慈光聖儀拂塵</x:v>
      </x:c>
      <x:c r="B718" s="55" t="str">
        <x:v>—</x:v>
      </x:c>
      <x:c r="C718" s="55" t="str">
        <x:v>—</x:v>
      </x:c>
      <x:c r="D718" s="55" t="str">
        <x:v>—</x:v>
      </x:c>
      <x:c r="E718" s="55" t="inlineStr">
        <x:is>
          <x:t>顛峰神兵聖匣（網站未列地圖）；香格里拉武匣（網站未列地圖）</x:t>
        </x:is>
      </x:c>
    </x:row>
    <x:row r="719" ht="15" customHeight="1">
      <x:c r="A719" s="55" t="str">
        <x:v>淨法觀自在</x:v>
      </x:c>
      <x:c r="B719" s="55" t="str">
        <x:v>—</x:v>
      </x:c>
      <x:c r="C719" s="55" t="str">
        <x:v>—</x:v>
      </x:c>
      <x:c r="D719" s="55" t="str">
        <x:v>—</x:v>
      </x:c>
      <x:c r="E719" s="55" t="inlineStr">
        <x:is>
          <x:t>聖魔永劫戰匣（網站未列地圖）</x:t>
        </x:is>
      </x:c>
    </x:row>
    <x:row r="720" ht="15" customHeight="1">
      <x:c r="A720" s="55" t="str">
        <x:v>逆法羅波那</x:v>
      </x:c>
      <x:c r="B720" s="55" t="str">
        <x:v>—</x:v>
      </x:c>
      <x:c r="C720" s="55" t="str">
        <x:v>—</x:v>
      </x:c>
      <x:c r="D720" s="55" t="str">
        <x:v>—</x:v>
      </x:c>
      <x:c r="E720" s="55" t="inlineStr">
        <x:is>
          <x:t>聖魔永劫戰匣（網站未列地圖）</x:t>
        </x:is>
      </x:c>
    </x:row>
    <x:row r="721" ht="15" customHeight="1">
      <x:c r="A721" s="55" t="str">
        <x:v>仙雀翼</x:v>
      </x:c>
      <x:c r="B721" s="55" t="str">
        <x:v>—</x:v>
      </x:c>
      <x:c r="C721" s="55" t="str">
        <x:v>—</x:v>
      </x:c>
      <x:c r="D721" s="55" t="str">
        <x:v>—</x:v>
      </x:c>
      <x:c r="E721" s="55" t="inlineStr">
        <x:is>
          <x:t>波斯神兵寶箱（網站未列地圖）；瑞照天官（飛雲忘野、橫劍天關）</x:t>
        </x:is>
      </x:c>
    </x:row>
    <x:row r="722" ht="15" customHeight="1">
      <x:c r="A722" s="55" t="str">
        <x:v>太古仙雀翼</x:v>
      </x:c>
      <x:c r="B722" s="55" t="str">
        <x:v>—</x:v>
      </x:c>
      <x:c r="C722" s="55" t="str">
        <x:v>—</x:v>
      </x:c>
      <x:c r="D722" s="55" t="str">
        <x:v>—</x:v>
      </x:c>
      <x:c r="E722" s="55" t="inlineStr">
        <x:is>
          <x:t>波斯太古神兵聖箱（網站未列地圖）；煉獄淑女（神臨之地）；&lt;煉獄淑女&gt;（修羅級神臨之地）</x:t>
        </x:is>
      </x:c>
    </x:row>
    <x:row r="723" ht="30" customHeight="1">
      <x:c r="A723" s="55" t="str">
        <x:v>萬識金雀令</x:v>
      </x:c>
      <x:c r="B723" s="55" t="str">
        <x:v>—</x:v>
      </x:c>
      <x:c r="C723" s="55" t="str">
        <x:v>—</x:v>
      </x:c>
      <x:c r="D723" s="55" t="str">
        <x:v>—</x:v>
      </x:c>
      <x:c r="E723" s="55" t="inlineStr">
        <x:is>
          <x:t>真知神兵金盒（網站未列地圖）；波斯千武印箱（網站未列地圖）；萬識飛升聖匣（網站未列地圖）；賦文臣（登龍道、凌風修境、繚空碎島）</x:t>
        </x:is>
      </x:c>
    </x:row>
    <x:row r="724" ht="30" customHeight="1">
      <x:c r="A724" s="55" t="str">
        <x:v>爍羽雀華扇</x:v>
      </x:c>
      <x:c r="B724" s="55" t="str">
        <x:v>—</x:v>
      </x:c>
      <x:c r="C724" s="55" t="str">
        <x:v>—</x:v>
      </x:c>
      <x:c r="D724" s="55" t="str">
        <x:v>—</x:v>
      </x:c>
      <x:c r="E724" s="55" t="inlineStr">
        <x:is>
          <x:t>真知神兵金盒（網站未列地圖）；波斯千武印箱（網站未列地圖）；萬識飛升聖匣（網站未列地圖）；檮杌（繚空碎島、飛雲忘野）</x:t>
        </x:is>
      </x:c>
    </x:row>
    <x:row r="725" ht="15" customHeight="1">
      <x:c r="A725" s="55" t="str">
        <x:v>時光儀</x:v>
      </x:c>
      <x:c r="B725" s="55" t="str">
        <x:v>—</x:v>
      </x:c>
      <x:c r="C725" s="55" t="str">
        <x:v>—</x:v>
      </x:c>
      <x:c r="D725" s="55" t="str">
        <x:v>—</x:v>
      </x:c>
      <x:c r="E725" s="55" t="inlineStr">
        <x:is>
          <x:t>武皇神兵寶箱（網站未列地圖）；波斯千武印箱（網站未列地圖）；&lt;剎風真帝靈&gt;（真七寶仙境　貳）</x:t>
        </x:is>
      </x:c>
    </x:row>
    <x:row r="726" ht="30" customHeight="1">
      <x:c r="A726" s="55" t="str">
        <x:v>太古時光儀</x:v>
      </x:c>
      <x:c r="B726" s="55" t="str">
        <x:v>—</x:v>
      </x:c>
      <x:c r="C726" s="55" t="str">
        <x:v>—</x:v>
      </x:c>
      <x:c r="D726" s="55" t="str">
        <x:v>—</x:v>
      </x:c>
      <x:c r="E726" s="55" t="inlineStr">
        <x:is>
          <x:t>年大媽（網站未列地圖）；波斯太古神兵聖箱（網站未列地圖）；傲慢之魔（神臨之地）；&lt;傲慢之魔&gt;（修羅級神臨之地）</x:t>
        </x:is>
      </x:c>
    </x:row>
    <x:row r="727" ht="15" customHeight="1">
      <x:c r="A727" s="55" t="str">
        <x:v>奔歲騰月儀</x:v>
      </x:c>
      <x:c r="B727" s="55" t="str">
        <x:v>—</x:v>
      </x:c>
      <x:c r="C727" s="55" t="str">
        <x:v>—</x:v>
      </x:c>
      <x:c r="D727" s="55" t="str">
        <x:v>—</x:v>
      </x:c>
      <x:c r="E727" s="55" t="inlineStr">
        <x:is>
          <x:t>巴比倫神兵寶箱（網站未列地圖）；萬識飛升聖匣（網站未列地圖）</x:t>
        </x:is>
      </x:c>
    </x:row>
    <x:row r="728" ht="30" customHeight="1">
      <x:c r="A728" s="55" t="str">
        <x:v>縱古橫今儀</x:v>
      </x:c>
      <x:c r="B728" s="55" t="str">
        <x:v>—</x:v>
      </x:c>
      <x:c r="C728" s="55" t="str">
        <x:v>—</x:v>
      </x:c>
      <x:c r="D728" s="55" t="str">
        <x:v>—</x:v>
      </x:c>
      <x:c r="E728" s="55" t="inlineStr">
        <x:is>
          <x:t>巴比倫神兵寶箱（網站未列地圖）；萬識飛升聖匣（網站未列地圖）；凰權天督（橫劍天關、仙庭玉階、闕真金閣）；深闕智冕（網站未列地圖）</x:t>
        </x:is>
      </x:c>
    </x:row>
    <x:row r="729" ht="30" customHeight="1">
      <x:c r="A729" s="55" t="str">
        <x:v>魔戾骨</x:v>
      </x:c>
      <x:c r="B729" s="55" t="str">
        <x:v>—</x:v>
      </x:c>
      <x:c r="C729" s="55" t="str">
        <x:v>—</x:v>
      </x:c>
      <x:c r="D729" s="55" t="str">
        <x:v>—</x:v>
      </x:c>
      <x:c r="E729" s="55" t="inlineStr">
        <x:is>
          <x:t>帝國神兵寶箱（網站未列地圖）；八部天章（天啟八關）；神御泰平龍（闕真金閣）；瑞照天官（飛雲忘野、橫劍天關）</x:t>
        </x:is>
      </x:c>
    </x:row>
    <x:row r="730" ht="15" customHeight="1">
      <x:c r="A730" s="55" t="str">
        <x:v>太古魔戾骨</x:v>
      </x:c>
      <x:c r="B730" s="55" t="str">
        <x:v>—</x:v>
      </x:c>
      <x:c r="C730" s="55" t="str">
        <x:v>—</x:v>
      </x:c>
      <x:c r="D730" s="55" t="str">
        <x:v>—</x:v>
      </x:c>
      <x:c r="E730" s="55" t="inlineStr">
        <x:is>
          <x:t>帝國太古神兵聖箱（網站未列地圖）；典藏神臨寶箱（網站未列地圖）；深紅史嘉列（凱旋廣場）</x:t>
        </x:is>
      </x:c>
    </x:row>
    <x:row r="731" ht="15" customHeight="1">
      <x:c r="A731" s="55" t="str">
        <x:v>朱煉絕邪骨</x:v>
      </x:c>
      <x:c r="B731" s="55" t="str">
        <x:v>—</x:v>
      </x:c>
      <x:c r="C731" s="55" t="str">
        <x:v>—</x:v>
      </x:c>
      <x:c r="D731" s="55" t="str">
        <x:v>—</x:v>
      </x:c>
      <x:c r="E731" s="55" t="inlineStr">
        <x:is>
          <x:t>獅皇神兵寶箱（網站未列地圖）；檮杌（繚空碎島、飛雲忘野）</x:t>
        </x:is>
      </x:c>
    </x:row>
    <x:row r="732" ht="15" customHeight="1">
      <x:c r="A732" s="55" t="str">
        <x:v>魔塵赫權骨</x:v>
      </x:c>
      <x:c r="B732" s="55" t="str">
        <x:v>—</x:v>
      </x:c>
      <x:c r="C732" s="55" t="str">
        <x:v>—</x:v>
      </x:c>
      <x:c r="D732" s="55" t="str">
        <x:v>—</x:v>
      </x:c>
      <x:c r="E732" s="55" t="inlineStr">
        <x:is>
          <x:t>獅皇神兵寶箱（網站未列地圖）</x:t>
        </x:is>
      </x:c>
    </x:row>
    <x:row r="733" ht="15" customHeight="1">
      <x:c r="A733" s="55" t="str">
        <x:v>天使心</x:v>
      </x:c>
      <x:c r="B733" s="55" t="str">
        <x:v>—</x:v>
      </x:c>
      <x:c r="C733" s="55" t="str">
        <x:v>—</x:v>
      </x:c>
      <x:c r="D733" s="55" t="str">
        <x:v>—</x:v>
      </x:c>
      <x:c r="E733" s="55" t="inlineStr">
        <x:is>
          <x:t>歐帝神兵寶箱（網站未列地圖）；轟原風精（紫雷轟原）</x:t>
        </x:is>
      </x:c>
    </x:row>
    <x:row r="734" ht="15" customHeight="1">
      <x:c r="A734" s="55" t="str">
        <x:v>太古天使心</x:v>
      </x:c>
      <x:c r="B734" s="55" t="str">
        <x:v>—</x:v>
      </x:c>
      <x:c r="C734" s="55" t="str">
        <x:v>—</x:v>
      </x:c>
      <x:c r="D734" s="55" t="str">
        <x:v>—</x:v>
      </x:c>
      <x:c r="E734" s="55" t="inlineStr">
        <x:is>
          <x:t>帝國太古神兵聖箱（網站未列地圖）；武神（網站未列地圖）；迴天九翼蝶（九霄天樓）</x:t>
        </x:is>
      </x:c>
    </x:row>
    <x:row r="735" ht="30" customHeight="1">
      <x:c r="A735" s="55" t="str">
        <x:v>博愛聖母心</x:v>
      </x:c>
      <x:c r="B735" s="55" t="str">
        <x:v>—</x:v>
      </x:c>
      <x:c r="C735" s="55" t="str">
        <x:v>—</x:v>
      </x:c>
      <x:c r="D735" s="55" t="str">
        <x:v>—</x:v>
      </x:c>
      <x:c r="E735" s="55" t="inlineStr">
        <x:is>
          <x:t>君臨神兵寶箱（網站未列地圖）；龍台飛影（四聖祭台）；凰權天督（橫劍天關、仙庭玉階、闕真金閣）；深闕智冕（網站未列地圖）</x:t>
        </x:is>
      </x:c>
    </x:row>
    <x:row r="736" ht="30" customHeight="1">
      <x:c r="A736" s="55" t="str">
        <x:v>聖臨神子心</x:v>
      </x:c>
      <x:c r="B736" s="55" t="str">
        <x:v>—</x:v>
      </x:c>
      <x:c r="C736" s="55" t="str">
        <x:v>—</x:v>
      </x:c>
      <x:c r="D736" s="55" t="str">
        <x:v>—</x:v>
      </x:c>
      <x:c r="E736" s="55" t="inlineStr">
        <x:is>
          <x:t>君臨神兵寶箱（網站未列地圖）；真道修者（四聖祭台）；魔樹精（異時界‧亂藤林）；疲憊的百眼巫師（異時界‧亂藤林東）；百眼巫師（異時界‧亂藤林南）</x:t>
        </x:is>
      </x:c>
    </x:row>
    <x:row r="737" ht="15" customHeight="1">
      <x:c r="A737" s="55" t="str">
        <x:v>斬惡聖衛寶斗</x:v>
      </x:c>
      <x:c r="B737" s="55" t="str">
        <x:v>—</x:v>
      </x:c>
      <x:c r="C737" s="55" t="str">
        <x:v>—</x:v>
      </x:c>
      <x:c r="D737" s="55" t="str">
        <x:v>—</x:v>
      </x:c>
      <x:c r="E737" s="55" t="inlineStr">
        <x:is>
          <x:t>霸武聖兵寶樞（網站未列地圖）</x:t>
        </x:is>
      </x:c>
    </x:row>
    <x:row r="738" ht="15" customHeight="1">
      <x:c r="A738" s="55" t="str">
        <x:v>誅魔聖衛寶斗</x:v>
      </x:c>
      <x:c r="B738" s="55" t="str">
        <x:v>—</x:v>
      </x:c>
      <x:c r="C738" s="55" t="str">
        <x:v>—</x:v>
      </x:c>
      <x:c r="D738" s="55" t="str">
        <x:v>—</x:v>
      </x:c>
      <x:c r="E738" s="55" t="inlineStr">
        <x:is>
          <x:t>霸武聖兵寶樞（網站未列地圖）</x:t>
        </x:is>
      </x:c>
    </x:row>
    <x:row r="739" ht="15" customHeight="1">
      <x:c r="A739" s="55" t="str">
        <x:v>破邪聖衛寶斗</x:v>
      </x:c>
      <x:c r="B739" s="55" t="str">
        <x:v>—</x:v>
      </x:c>
      <x:c r="C739" s="55" t="str">
        <x:v>—</x:v>
      </x:c>
      <x:c r="D739" s="55" t="str">
        <x:v>—</x:v>
      </x:c>
      <x:c r="E739" s="55" t="inlineStr">
        <x:is>
          <x:t>霸武聖兵寶樞（網站未列地圖）</x:t>
        </x:is>
      </x:c>
    </x:row>
    <x:row r="740" ht="15" customHeight="1">
      <x:c r="A740" s="55" t="str">
        <x:v>滅元聖衛寶斗</x:v>
      </x:c>
      <x:c r="B740" s="55" t="str">
        <x:v>—</x:v>
      </x:c>
      <x:c r="C740" s="55" t="str">
        <x:v>—</x:v>
      </x:c>
      <x:c r="D740" s="55" t="str">
        <x:v>—</x:v>
      </x:c>
      <x:c r="E740" s="55" t="inlineStr">
        <x:is>
          <x:t>霸武聖兵寶樞（網站未列地圖）</x:t>
        </x:is>
      </x:c>
    </x:row>
    <x:row r="741" ht="15" customHeight="1">
      <x:c r="A741" s="55" t="str">
        <x:v>青蓮燈</x:v>
      </x:c>
      <x:c r="B741" s="55" t="str">
        <x:v>—</x:v>
      </x:c>
      <x:c r="C741" s="55" t="str">
        <x:v>—</x:v>
      </x:c>
      <x:c r="D741" s="55" t="str">
        <x:v>—</x:v>
      </x:c>
      <x:c r="E741" s="55" t="inlineStr">
        <x:is>
          <x:t>九天神兵寶箱（網站未列地圖）；飲歲羅蛟（青龍東殿）；神御泰平龍（闕真金閣）；雷域金仙（天啟八關）</x:t>
        </x:is>
      </x:c>
    </x:row>
    <x:row r="742" ht="30" customHeight="1">
      <x:c r="A742" s="55" t="str">
        <x:v>太古青蓮燈</x:v>
      </x:c>
      <x:c r="B742" s="55" t="str">
        <x:v>—</x:v>
      </x:c>
      <x:c r="C742" s="55" t="str">
        <x:v>—</x:v>
      </x:c>
      <x:c r="D742" s="55" t="str">
        <x:v>—</x:v>
      </x:c>
      <x:c r="E742" s="55" t="inlineStr">
        <x:is>
          <x:t>九天太古神兵聖箱（網站未列地圖）；文誅筆妄言（飛雲忘野）；仙典九天寶箱（網站未列地圖）；&lt;迴天九翼蝶&gt;（修羅級九霄天樓）</x:t>
        </x:is>
      </x:c>
    </x:row>
    <x:row r="743" ht="15" customHeight="1">
      <x:c r="A743" s="55" t="str">
        <x:v>白露蓮舫燈</x:v>
      </x:c>
      <x:c r="B743" s="55" t="str">
        <x:v>—</x:v>
      </x:c>
      <x:c r="C743" s="55" t="str">
        <x:v>—</x:v>
      </x:c>
      <x:c r="D743" s="55" t="str">
        <x:v>—</x:v>
      </x:c>
      <x:c r="E743" s="55" t="inlineStr">
        <x:is>
          <x:t>飛仙神兵寶箱（網站未列地圖）；鎮國象神（白虎西殿）</x:t>
        </x:is>
      </x:c>
    </x:row>
    <x:row r="744" ht="15" customHeight="1">
      <x:c r="A744" s="55" t="str">
        <x:v>青虹蓮座燈</x:v>
      </x:c>
      <x:c r="B744" s="55" t="str">
        <x:v>—</x:v>
      </x:c>
      <x:c r="C744" s="55" t="str">
        <x:v>—</x:v>
      </x:c>
      <x:c r="D744" s="55" t="str">
        <x:v>—</x:v>
      </x:c>
      <x:c r="E744" s="55" t="inlineStr">
        <x:is>
          <x:t>飛仙神兵寶箱（網站未列地圖）</x:t>
        </x:is>
      </x:c>
    </x:row>
    <x:row r="745" ht="15" customHeight="1">
      <x:c r="A745" s="55" t="str">
        <x:v>蒼雀扇</x:v>
      </x:c>
      <x:c r="B745" s="55" t="str">
        <x:v>—</x:v>
      </x:c>
      <x:c r="C745" s="55" t="str">
        <x:v>—</x:v>
      </x:c>
      <x:c r="D745" s="55" t="str">
        <x:v>—</x:v>
      </x:c>
      <x:c r="E745" s="55" t="inlineStr">
        <x:is>
          <x:t>仙庭神兵寶箱（網站未列地圖）；戰火刀魔（朱雀南殿）；電影疾鷹（紫雷轟原）</x:t>
        </x:is>
      </x:c>
    </x:row>
    <x:row r="746" ht="15" customHeight="1">
      <x:c r="A746" s="55" t="str">
        <x:v>太古蒼雀扇</x:v>
      </x:c>
      <x:c r="B746" s="55" t="str">
        <x:v>—</x:v>
      </x:c>
      <x:c r="C746" s="55" t="str">
        <x:v>—</x:v>
      </x:c>
      <x:c r="D746" s="55" t="str">
        <x:v>—</x:v>
      </x:c>
      <x:c r="E746" s="55" t="inlineStr">
        <x:is>
          <x:t>九天太古神兵聖箱（網站未列地圖）；仙典真九天寶箱（網站未列地圖）</x:t>
        </x:is>
      </x:c>
    </x:row>
    <x:row r="747" ht="15" customHeight="1">
      <x:c r="A747" s="55" t="str">
        <x:v>舞真碧羽扇</x:v>
      </x:c>
      <x:c r="B747" s="55" t="str">
        <x:v>—</x:v>
      </x:c>
      <x:c r="C747" s="55" t="str">
        <x:v>—</x:v>
      </x:c>
      <x:c r="D747" s="55" t="str">
        <x:v>—</x:v>
      </x:c>
      <x:c r="E747" s="55" t="inlineStr">
        <x:is>
          <x:t>修真神兵寶箱（網站未列地圖）；裂軀王龍（青龍東殿）；雀翼燼火（朱雀南殿）；龍台飛影（四聖祭台）</x:t>
        </x:is>
      </x:c>
    </x:row>
    <x:row r="748" ht="30" customHeight="1">
      <x:c r="A748" s="55" t="str">
        <x:v>仙導天督扇</x:v>
      </x:c>
      <x:c r="B748" s="55" t="str">
        <x:v>—</x:v>
      </x:c>
      <x:c r="C748" s="55" t="str">
        <x:v>—</x:v>
      </x:c>
      <x:c r="D748" s="55" t="str">
        <x:v>—</x:v>
      </x:c>
      <x:c r="E748" s="55" t="inlineStr">
        <x:is>
          <x:t>修真神兵寶箱（網站未列地圖）；飲歲羅蛟（青龍東殿）；真道修者（四聖祭台）；魔樹精（異時界‧亂藤林）；疲憊的百眼巫師（異時界‧亂藤林東）；百眼巫師（異時界‧亂藤林南）</x:t>
        </x:is>
      </x:c>
    </x:row>
    <x:row r="749" ht="15" customHeight="1">
      <x:c r="A749" s="55" t="str">
        <x:v>宗拂降三世</x:v>
      </x:c>
      <x:c r="B749" s="55" t="str">
        <x:v>—</x:v>
      </x:c>
      <x:c r="C749" s="55" t="str">
        <x:v>—</x:v>
      </x:c>
      <x:c r="D749" s="55" t="str">
        <x:v>—</x:v>
      </x:c>
      <x:c r="E749" s="55" t="inlineStr">
        <x:is>
          <x:t>浩陽神兵寶匣（網站未列地圖）</x:t>
        </x:is>
      </x:c>
    </x:row>
    <x:row r="750" ht="15" customHeight="1">
      <x:c r="A750" s="55" t="str">
        <x:v>無嗔阿觸絲</x:v>
      </x:c>
      <x:c r="B750" s="55" t="str">
        <x:v>—</x:v>
      </x:c>
      <x:c r="C750" s="55" t="str">
        <x:v>—</x:v>
      </x:c>
      <x:c r="D750" s="55" t="str">
        <x:v>—</x:v>
      </x:c>
      <x:c r="E750" s="55" t="inlineStr">
        <x:is>
          <x:t>浩陽神兵寶匣（網站未列地圖）</x:t>
        </x:is>
      </x:c>
    </x:row>
    <x:row r="751" ht="30" customHeight="1">
      <x:c r="A751" s="55" t="str">
        <x:v>天鍛‧星霜絲</x:v>
      </x:c>
      <x:c r="B751" s="55" t="str">
        <x:v>—</x:v>
      </x:c>
      <x:c r="C751" s="55" t="str">
        <x:v>—</x:v>
      </x:c>
      <x:c r="D751" s="55" t="str">
        <x:v>—</x:v>
      </x:c>
      <x:c r="E751" s="55" t="inlineStr">
        <x:is>
          <x:t>無限神兵寶箱（網站未列地圖）；動界武犢（玄武北殿）；灰魁蟒（異時界‧亂藤林）；冰絕蜈蚣（異時界‧亂藤林南）；突疣膿眼（異時界‧亂藤林西）；劍齒灰狼（異時界‧亂藤林南）；戰火刀魔（朱雀南殿）</x:t>
        </x:is>
      </x:c>
    </x:row>
    <x:row r="752" ht="45" customHeight="1">
      <x:c r="A752" s="55" t="str">
        <x:v>仙鑄‧星霜絲</x:v>
      </x:c>
      <x:c r="B752" s="55" t="str">
        <x:v>—</x:v>
      </x:c>
      <x:c r="C752" s="55" t="str">
        <x:v>—</x:v>
      </x:c>
      <x:c r="D752" s="55" t="str">
        <x:v>—</x:v>
      </x:c>
      <x:c r="E752" s="55" t="inlineStr">
        <x:is>
          <x:t>大無限神兵寶箱（網站未列地圖）；侯氏兵甲福袋2015（網站未列地圖）；濕婆軍狂戰士（異時界‧葬日沼澤）；護教金鳥（異時界‧葬日沼澤）；諸首大蛇（異時界‧葬日沼澤）；喚魂蛇魔（網站未列地圖）；冷刀魔蜥（異時界‧夜叉嶺）</x:t>
        </x:is>
      </x:c>
    </x:row>
    <x:row r="753" ht="30" customHeight="1">
      <x:c r="A753" s="55" t="str">
        <x:v>神煉‧星霜絲</x:v>
      </x:c>
      <x:c r="B753" s="55" t="str">
        <x:v>—</x:v>
      </x:c>
      <x:c r="C753" s="55" t="str">
        <x:v>—</x:v>
      </x:c>
      <x:c r="D753" s="55" t="str">
        <x:v>—</x:v>
      </x:c>
      <x:c r="E753" s="55" t="inlineStr">
        <x:is>
          <x:t>超無限神兵寶箱（網站未列地圖）；三之極限福袋（網站未列地圖）；靈芝精‧強（殘雲天境）；無之虛魅（時沒邊界）；大黑天‧強（殘雲天境）</x:t>
        </x:is>
      </x:c>
    </x:row>
    <x:row r="754" ht="30" customHeight="1">
      <x:c r="A754" s="55" t="str">
        <x:v>宇傲‧星霜絲</x:v>
      </x:c>
      <x:c r="B754" s="55" t="str">
        <x:v>—</x:v>
      </x:c>
      <x:c r="C754" s="55" t="str">
        <x:v>—</x:v>
      </x:c>
      <x:c r="D754" s="55" t="str">
        <x:v>—</x:v>
      </x:c>
      <x:c r="E754" s="55" t="inlineStr">
        <x:is>
          <x:t>極無限神兵寶箱（網站未列地圖）；侯氏兵甲福袋2016（網站未列地圖）；暴風虛魂（音無晶宇）；陰骸骨弓（觀無巽宇）；暗蝕魔瞳（覺無洋宇）</x:t>
        </x:is>
      </x:c>
    </x:row>
    <x:row r="755" ht="15" customHeight="1">
      <x:c r="A755" s="55" t="str">
        <x:v>峻霆‧星霜絲</x:v>
      </x:c>
      <x:c r="B755" s="55" t="str">
        <x:v>—</x:v>
      </x:c>
      <x:c r="C755" s="55" t="str">
        <x:v>—</x:v>
      </x:c>
      <x:c r="D755" s="55" t="str">
        <x:v>—</x:v>
      </x:c>
      <x:c r="E755" s="55" t="inlineStr">
        <x:is>
          <x:t>絕無限神兵寶箱（網站未列地圖）；蒼凰一奇（星群碎道）；呼葬祭官（不解迴路）；冥海力牛（不解迴路）</x:t>
        </x:is>
      </x:c>
    </x:row>
    <x:row r="756" ht="30" customHeight="1">
      <x:c r="A756" s="55" t="str">
        <x:v>窮極‧星霜絲</x:v>
      </x:c>
      <x:c r="B756" s="55" t="str">
        <x:v>—</x:v>
      </x:c>
      <x:c r="C756" s="55" t="str">
        <x:v>—</x:v>
      </x:c>
      <x:c r="D756" s="55" t="str">
        <x:v>—</x:v>
      </x:c>
      <x:c r="E756" s="55" t="inlineStr">
        <x:is>
          <x:t>無無限神兵寶箱（網站未列地圖）；搗蛋天鬼神（網站未列地圖）；賀歲大金雞（網站未列地圖）；沒世蒼陵將（虛空渦心）</x:t>
        </x:is>
      </x:c>
    </x:row>
    <x:row r="757" ht="30" customHeight="1">
      <x:c r="A757" s="55" t="str">
        <x:v>元宙‧星霜絲</x:v>
      </x:c>
      <x:c r="B757" s="55" t="str">
        <x:v>—</x:v>
      </x:c>
      <x:c r="C757" s="55" t="str">
        <x:v>—</x:v>
      </x:c>
      <x:c r="D757" s="55" t="str">
        <x:v>—</x:v>
      </x:c>
      <x:c r="E757" s="55" t="inlineStr">
        <x:is>
          <x:t>帝無限神兵寶箱（網站未列地圖）；旋幽虛靈（終末之塔第21層、終末之塔第30層）；防術晶人（終末之塔第17層）；虛空妖龍（終末之塔第8層、終末之塔第9層）</x:t>
        </x:is>
      </x:c>
    </x:row>
    <x:row r="758" ht="30" customHeight="1">
      <x:c r="A758" s="55" t="str">
        <x:v>真宇傲星霜絲</x:v>
      </x:c>
      <x:c r="B758" s="55" t="str">
        <x:v>—</x:v>
      </x:c>
      <x:c r="C758" s="55" t="str">
        <x:v>—</x:v>
      </x:c>
      <x:c r="D758" s="55" t="str">
        <x:v>—</x:v>
      </x:c>
      <x:c r="E758" s="55" t="inlineStr">
        <x:is>
          <x:t>終無限神兵寶箱（網站未列地圖）；招靈巫祀（終末之塔第34層）；白金之猩（終末之塔第44層、終末之塔第43層）；石奴監工（吉薩走廊）</x:t>
        </x:is>
      </x:c>
    </x:row>
    <x:row r="759" ht="30" customHeight="1">
      <x:c r="A759" s="55" t="str">
        <x:v>衡星斗★</x:v>
      </x:c>
      <x:c r="B759" s="55" t="str">
        <x:v>—</x:v>
      </x:c>
      <x:c r="C759" s="55" t="str">
        <x:v>—</x:v>
      </x:c>
      <x:c r="D759" s="55" t="str">
        <x:v>—</x:v>
      </x:c>
      <x:c r="E759" s="55" t="inlineStr">
        <x:is>
          <x:t>仙星神兵寶箱（網站未列地圖）；天罪道人錦囊（網站未列地圖）；神柱虛祭（終末之塔第59層）；彎刀河獸（太陽神大道）；祭日司衛（王都盧索）；黃金風蛇（托勒密山麓）</x:t>
        </x:is>
      </x:c>
    </x:row>
    <x:row r="760" ht="30" customHeight="1">
      <x:c r="A760" s="55" t="str">
        <x:v>衡星斗★★</x:v>
      </x:c>
      <x:c r="B760" s="55" t="str">
        <x:v>—</x:v>
      </x:c>
      <x:c r="C760" s="55" t="str">
        <x:v>—</x:v>
      </x:c>
      <x:c r="D760" s="55" t="str">
        <x:v>—</x:v>
      </x:c>
      <x:c r="E760" s="55" t="inlineStr">
        <x:is>
          <x:t>真‧仙星神兵寶箱（網站未列地圖）；罪赦道人錦囊（網站未列地圖）；無序燭陰（終末之塔第65層、終末之塔第66層）；九毒相柳（終末之塔第68層、終末之塔第69層）；守陵人獅像（赫勒神殿遺址）；芭絲特（荷魯斯聖祠）</x:t>
        </x:is>
      </x:c>
    </x:row>
    <x:row r="761" ht="30" customHeight="1">
      <x:c r="A761" s="55" t="str">
        <x:v>衡星斗★★★</x:v>
      </x:c>
      <x:c r="B761" s="55" t="str">
        <x:v>—</x:v>
      </x:c>
      <x:c r="C761" s="55" t="str">
        <x:v>—</x:v>
      </x:c>
      <x:c r="D761" s="55" t="str">
        <x:v>—</x:v>
      </x:c>
      <x:c r="E761" s="55" t="inlineStr">
        <x:is>
          <x:t>超‧仙星神兵寶箱（網站未列地圖）；終罪道人錦囊（網站未列地圖）；危盪弄臣（終末之塔第86層、終末之塔第87層）；尸薩滿（終末之塔第71層）</x:t>
        </x:is>
      </x:c>
    </x:row>
    <x:row r="762" ht="30" customHeight="1">
      <x:c r="A762" s="55" t="str">
        <x:v>七公扇☆</x:v>
      </x:c>
      <x:c r="B762" s="55" t="str">
        <x:v>—</x:v>
      </x:c>
      <x:c r="C762" s="55" t="str">
        <x:v>—</x:v>
      </x:c>
      <x:c r="D762" s="55" t="str">
        <x:v>—</x:v>
      </x:c>
      <x:c r="E762" s="55" t="inlineStr">
        <x:is>
          <x:t>煌星神兵寶箱（網站未列地圖）；天罪道人錦囊（網站未列地圖）；咒命夕鶴（終末之塔第113層、終末之塔第115層、終末之塔第116層）；啼血哀鳳（終末之塔第104層、終末之塔第108層）</x:t>
        </x:is>
      </x:c>
    </x:row>
    <x:row r="763" ht="15" customHeight="1">
      <x:c r="A763" s="55" t="str">
        <x:v>七公扇☆☆</x:v>
      </x:c>
      <x:c r="B763" s="55" t="str">
        <x:v>—</x:v>
      </x:c>
      <x:c r="C763" s="55" t="str">
        <x:v>—</x:v>
      </x:c>
      <x:c r="D763" s="55" t="str">
        <x:v>—</x:v>
      </x:c>
      <x:c r="E763" s="55" t="inlineStr">
        <x:is>
          <x:t>真‧煌星神兵寶箱（網站未列地圖）；罪赦道人錦囊（網站未列地圖）；殺意魔眼（終末之塔第121層）</x:t>
        </x:is>
      </x:c>
    </x:row>
    <x:row r="764" ht="30" customHeight="1">
      <x:c r="A764" s="55" t="str">
        <x:v>七公扇☆☆☆</x:v>
      </x:c>
      <x:c r="B764" s="55" t="str">
        <x:v>—</x:v>
      </x:c>
      <x:c r="C764" s="55" t="str">
        <x:v>—</x:v>
      </x:c>
      <x:c r="D764" s="55" t="str">
        <x:v>—</x:v>
      </x:c>
      <x:c r="E764" s="55" t="inlineStr">
        <x:is>
          <x:t>超‧煌星神兵寶箱（網站未列地圖）；終罪道人錦囊（網站未列地圖）；卜虛盲巫（終末之塔第131層、終末之塔第132層）</x:t>
        </x:is>
      </x:c>
    </x:row>
    <x:row r="765" ht="15" customHeight="1">
      <x:c r="A765" s="55" t="str">
        <x:v>皇麟扇☆</x:v>
      </x:c>
      <x:c r="B765" s="55" t="str">
        <x:v>—</x:v>
      </x:c>
      <x:c r="C765" s="55" t="str">
        <x:v>—</x:v>
      </x:c>
      <x:c r="D765" s="55" t="str">
        <x:v>—</x:v>
      </x:c>
      <x:c r="E765" s="55" t="inlineStr">
        <x:is>
          <x:t>帝星神兵寶箱（網站未列地圖）</x:t>
        </x:is>
      </x:c>
    </x:row>
    <x:row r="766" ht="15" customHeight="1">
      <x:c r="A766" s="55" t="str">
        <x:v>皇麟扇★</x:v>
      </x:c>
      <x:c r="B766" s="55" t="str">
        <x:v>—</x:v>
      </x:c>
      <x:c r="C766" s="55" t="str">
        <x:v>—</x:v>
      </x:c>
      <x:c r="D766" s="55" t="str">
        <x:v>—</x:v>
      </x:c>
      <x:c r="E766" s="55" t="inlineStr">
        <x:is>
          <x:t>真‧帝星神兵寶箱（網站未列地圖）</x:t>
        </x:is>
      </x:c>
    </x:row>
    <x:row r="767" ht="30" customHeight="1">
      <x:c r="A767" s="55" t="str">
        <x:v>皇麟扇★☆</x:v>
      </x:c>
      <x:c r="B767" s="55" t="str">
        <x:v>—</x:v>
      </x:c>
      <x:c r="C767" s="55" t="str">
        <x:v>—</x:v>
      </x:c>
      <x:c r="D767" s="55" t="str">
        <x:v>—</x:v>
      </x:c>
      <x:c r="E767" s="55" t="inlineStr">
        <x:is>
          <x:t>超‧帝星神兵寶箱（網站未列地圖）；武冠道人錦囊（網站未列地圖）；高麗幽女（齊襄道、東海道、溥山新郡）；衛郡虹裳（溥山新郡、白餘古城）；風水相師（溥山新郡、白餘古城）</x:t>
        </x:is>
      </x:c>
    </x:row>
    <x:row r="768" ht="15" customHeight="1">
      <x:c r="A768" s="55" t="str">
        <x:v>皇麟扇★★</x:v>
      </x:c>
      <x:c r="B768" s="55" t="str">
        <x:v>—</x:v>
      </x:c>
      <x:c r="C768" s="55" t="str">
        <x:v>—</x:v>
      </x:c>
      <x:c r="D768" s="55" t="str">
        <x:v>—</x:v>
      </x:c>
      <x:c r="E768" s="55" t="inlineStr">
        <x:is>
          <x:t>極‧帝星神兵寶箱（網站未列地圖）；太極武妃（白餘古城、濟馬島、漢京首府）</x:t>
        </x:is>
      </x:c>
    </x:row>
    <x:row r="769" ht="15" customHeight="1">
      <x:c r="A769" s="55" t="str">
        <x:v>皇麟扇★★☆</x:v>
      </x:c>
      <x:c r="B769" s="55" t="str">
        <x:v>—</x:v>
      </x:c>
      <x:c r="C769" s="55" t="str">
        <x:v>—</x:v>
      </x:c>
      <x:c r="D769" s="55" t="str">
        <x:v>—</x:v>
      </x:c>
      <x:c r="E769" s="55" t="inlineStr">
        <x:is>
          <x:t>絕‧帝星神兵寶箱（網站未列地圖）；山嬰魚（泰源大社）</x:t>
        </x:is>
      </x:c>
    </x:row>
    <x:row r="770" ht="15" customHeight="1">
      <x:c r="A770" s="55" t="str">
        <x:v>皇麟扇★★★</x:v>
      </x:c>
      <x:c r="B770" s="55" t="str">
        <x:v>—</x:v>
      </x:c>
      <x:c r="C770" s="55" t="str">
        <x:v>—</x:v>
      </x:c>
      <x:c r="D770" s="55" t="str">
        <x:v>—</x:v>
      </x:c>
      <x:c r="E770" s="55" t="inlineStr">
        <x:is>
          <x:t>神‧帝星神兵寶箱（網站未列地圖）；天元道人錦囊（網站未列地圖）；焚風火源（始祖巨林．西）</x:t>
        </x:is>
      </x:c>
    </x:row>
    <x:row r="771" ht="15" customHeight="1">
      <x:c r="A771" s="55" t="str">
        <x:v>先天太極撢</x:v>
      </x:c>
      <x:c r="B771" s="55" t="str">
        <x:v>—</x:v>
      </x:c>
      <x:c r="C771" s="55" t="str">
        <x:v>—</x:v>
      </x:c>
      <x:c r="D771" s="55" t="str">
        <x:v>—</x:v>
      </x:c>
      <x:c r="E771" s="55" t="inlineStr">
        <x:is>
          <x:t>尊佛極兵聖匣（網站未列地圖）；神武之岩（網站未列地圖）</x:t>
        </x:is>
      </x:c>
    </x:row>
    <x:row r="772" ht="30" customHeight="1">
      <x:c r="A772" s="55" t="str">
        <x:v>永劫迴天幕</x:v>
      </x:c>
      <x:c r="B772" s="55" t="str">
        <x:v>—</x:v>
      </x:c>
      <x:c r="C772" s="55" t="str">
        <x:v>—</x:v>
      </x:c>
      <x:c r="D772" s="55" t="str">
        <x:v>—</x:v>
      </x:c>
      <x:c r="E772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773" ht="15" customHeight="1">
      <x:c r="A773" s="55" t="str">
        <x:v>絕巖嘯雲拂</x:v>
      </x:c>
      <x:c r="B773" s="55" t="str">
        <x:v>—</x:v>
      </x:c>
      <x:c r="C773" s="55" t="str">
        <x:v>—</x:v>
      </x:c>
      <x:c r="D773" s="55" t="str">
        <x:v>—</x:v>
      </x:c>
      <x:c r="E773" s="55" t="inlineStr">
        <x:is>
          <x:t>仙魔極兵聖箱（網站未列地圖）；新‧神武之岩（網站未列地圖）；神武之岩（網站未列地圖）</x:t>
        </x:is>
      </x:c>
    </x:row>
    <x:row r="774" ht="15" customHeight="1">
      <x:c r="A774" s="55" t="str">
        <x:v>雪羊萬律儀</x:v>
      </x:c>
      <x:c r="B774" s="55" t="str">
        <x:v>—</x:v>
      </x:c>
      <x:c r="C774" s="55" t="str">
        <x:v>—</x:v>
      </x:c>
      <x:c r="D774" s="55" t="str">
        <x:v>—</x:v>
      </x:c>
      <x:c r="E774" s="55" t="inlineStr">
        <x:is>
          <x:t>盡宇絕兵聖箱（網站未列地圖）；新‧神武之岩（網站未列地圖）；年大媽（網站未列地圖）</x:t>
        </x:is>
      </x:c>
    </x:row>
    <x:row r="775" ht="15" customHeight="1">
      <x:c r="A775" s="55" t="str">
        <x:v>雅典娜戰印</x:v>
      </x:c>
      <x:c r="B775" s="55" t="str">
        <x:v>—</x:v>
      </x:c>
      <x:c r="C775" s="55" t="str">
        <x:v>—</x:v>
      </x:c>
      <x:c r="D775" s="55" t="str">
        <x:v>—</x:v>
      </x:c>
      <x:c r="E775" s="55" t="inlineStr">
        <x:is>
          <x:t>奧林帕斯神兵聖櫃（網站未列地圖）</x:t>
        </x:is>
      </x:c>
    </x:row>
    <x:row r="776" ht="15" customHeight="1">
      <x:c r="A776" s="55" t="str">
        <x:v>雅典娜戰印</x:v>
      </x:c>
      <x:c r="B776" s="55" t="str">
        <x:v>—</x:v>
      </x:c>
      <x:c r="C776" s="55" t="str">
        <x:v>—</x:v>
      </x:c>
      <x:c r="D776" s="55" t="str">
        <x:v>—</x:v>
      </x:c>
      <x:c r="E776" s="55" t="inlineStr">
        <x:is>
          <x:t>奧林帕斯神兵聖櫃（網站未列地圖）</x:t>
        </x:is>
      </x:c>
    </x:row>
    <x:row r="777" ht="15" customHeight="1">
      <x:c r="A777" s="55" t="str">
        <x:v>太上天尊蘆</x:v>
      </x:c>
      <x:c r="B777" s="55" t="str">
        <x:v>—</x:v>
      </x:c>
      <x:c r="C777" s="55" t="str">
        <x:v>—</x:v>
      </x:c>
      <x:c r="D777" s="55" t="str">
        <x:v>—</x:v>
      </x:c>
      <x:c r="E777" s="55" t="inlineStr">
        <x:is>
          <x:t>仙儀丹曦帝武玉匣（網站未列地圖）</x:t>
        </x:is>
      </x:c>
    </x:row>
    <x:row r="778" ht="15" customHeight="1">
      <x:c r="A778" s="55" t="str">
        <x:v>太上天尊蘆</x:v>
      </x:c>
      <x:c r="B778" s="55" t="str">
        <x:v>—</x:v>
      </x:c>
      <x:c r="C778" s="55" t="str">
        <x:v>—</x:v>
      </x:c>
      <x:c r="D778" s="55" t="str">
        <x:v>—</x:v>
      </x:c>
      <x:c r="E778" s="55" t="inlineStr">
        <x:is>
          <x:t>仙儀丹曦帝武玉匣（網站未列地圖）</x:t>
        </x:is>
      </x:c>
    </x:row>
    <x:row r="779" ht="15" customHeight="1">
      <x:c r="A779" s="55" t="str">
        <x:v>文曲天權拂</x:v>
      </x:c>
      <x:c r="B779" s="55" t="str">
        <x:v>—</x:v>
      </x:c>
      <x:c r="C779" s="55" t="str">
        <x:v>—</x:v>
      </x:c>
      <x:c r="D779" s="55" t="str">
        <x:v>—</x:v>
      </x:c>
      <x:c r="E779" s="55" t="inlineStr">
        <x:is>
          <x:t>天尊帝宿超武神匣（網站未列地圖）</x:t>
        </x:is>
      </x:c>
    </x:row>
    <x:row r="780" ht="15" customHeight="1">
      <x:c r="A780" s="55" t="str">
        <x:v>鳳凰宮燎羽拂</x:v>
      </x:c>
      <x:c r="B780" s="55" t="str">
        <x:v>—</x:v>
      </x:c>
      <x:c r="C780" s="55" t="str">
        <x:v>—</x:v>
      </x:c>
      <x:c r="D780" s="55" t="str">
        <x:v>—</x:v>
      </x:c>
      <x:c r="E780" s="55" t="inlineStr">
        <x:is>
          <x:t>鎮天聖守星武神匣（網站未列地圖）</x:t>
        </x:is>
      </x:c>
    </x:row>
    <x:row r="781" ht="15" customHeight="1">
      <x:c r="A781" s="55" t="str">
        <x:v>南玄九嬰撢</x:v>
      </x:c>
      <x:c r="B781" s="55" t="str">
        <x:v>—</x:v>
      </x:c>
      <x:c r="C781" s="55" t="str">
        <x:v>—</x:v>
      </x:c>
      <x:c r="D781" s="55" t="str">
        <x:v>—</x:v>
      </x:c>
      <x:c r="E781" s="55" t="inlineStr">
        <x:is>
          <x:t>永恆山海唯武神匣（網站未列地圖）</x:t>
        </x:is>
      </x:c>
    </x:row>
    <x:row r="782" ht="15" customHeight="1">
      <x:c r="A782" s="55" t="str">
        <x:v>鬼宿器‧獄鑑</x:v>
      </x:c>
      <x:c r="B782" s="55" t="str">
        <x:v>—</x:v>
      </x:c>
      <x:c r="C782" s="55" t="str">
        <x:v>—</x:v>
      </x:c>
      <x:c r="D782" s="55" t="str">
        <x:v>—</x:v>
      </x:c>
      <x:c r="E782" s="55" t="inlineStr">
        <x:is>
          <x:t>創宇諸恆極兵神匣（網站未列地圖）</x:t>
        </x:is>
      </x:c>
    </x:row>
    <x:row r="783" ht="15" customHeight="1">
      <x:c r="A783" s="55" t="str">
        <x:v>尊號‧加拉爾</x:v>
      </x:c>
      <x:c r="B783" s="55" t="str">
        <x:v>—</x:v>
      </x:c>
      <x:c r="C783" s="55" t="str">
        <x:v>—</x:v>
      </x:c>
      <x:c r="D783" s="55" t="str">
        <x:v>—</x:v>
      </x:c>
      <x:c r="E783" s="55" t="inlineStr">
        <x:is>
          <x:t>阿薩群鋒巨武神匣（網站未列地圖）；端午禮品香包2019（網站未列地圖）</x:t>
        </x:is>
      </x:c>
    </x:row>
    <x:row r="784" ht="15" customHeight="1">
      <x:c r="A784" s="55" t="str">
        <x:v>尊號‧加拉爾</x:v>
      </x:c>
      <x:c r="B784" s="55" t="str">
        <x:v>—</x:v>
      </x:c>
      <x:c r="C784" s="55" t="str">
        <x:v>—</x:v>
      </x:c>
      <x:c r="D784" s="55" t="str">
        <x:v>—</x:v>
      </x:c>
      <x:c r="E784" s="55" t="inlineStr">
        <x:is>
          <x:t>阿薩群鋒巨武神匣（網站未列地圖）；罪赦道人錦囊（網站未列地圖）</x:t>
        </x:is>
      </x:c>
    </x:row>
    <x:row r="785" ht="15" customHeight="1">
      <x:c r="A785" s="55" t="str">
        <x:v>冥鎌歐‧西斯</x:v>
      </x:c>
      <x:c r="B785" s="55" t="str">
        <x:v>—</x:v>
      </x:c>
      <x:c r="C785" s="55" t="str">
        <x:v>—</x:v>
      </x:c>
      <x:c r="D785" s="55" t="str">
        <x:v>—</x:v>
      </x:c>
      <x:c r="E785" s="55" t="inlineStr">
        <x:is>
          <x:t>麻辣神柱錦囊（網站未列地圖）</x:t>
        </x:is>
      </x:c>
    </x:row>
    <x:row r="786" ht="15" customHeight="1">
      <x:c r="A786" s="55" t="str">
        <x:v>冥鎌歐‧西斯</x:v>
      </x:c>
      <x:c r="B786" s="55" t="str">
        <x:v>—</x:v>
      </x:c>
      <x:c r="C786" s="55" t="str">
        <x:v>—</x:v>
      </x:c>
      <x:c r="D786" s="55" t="str">
        <x:v>—</x:v>
      </x:c>
      <x:c r="E786" s="55" t="inlineStr">
        <x:is>
          <x:t>冥府皇統法老征匣（網站未列地圖）；終罪道人錦囊（網站未列地圖）</x:t>
        </x:is>
      </x:c>
    </x:row>
    <x:row r="787" ht="15" customHeight="1">
      <x:c r="A787" s="55" t="str">
        <x:v>周武克殷幟</x:v>
      </x:c>
      <x:c r="B787" s="55" t="str">
        <x:v>—</x:v>
      </x:c>
      <x:c r="C787" s="55" t="str">
        <x:v>—</x:v>
      </x:c>
      <x:c r="D787" s="55" t="str">
        <x:v>—</x:v>
      </x:c>
      <x:c r="E787" s="55" t="inlineStr">
        <x:is>
          <x:t>萬帝天尊極武神匣（網站未列地圖）</x:t>
        </x:is>
      </x:c>
    </x:row>
    <x:row r="788" ht="15" customHeight="1">
      <x:c r="A788" s="55" t="str">
        <x:v>周武克殷幟</x:v>
      </x:c>
      <x:c r="B788" s="55" t="str">
        <x:v>—</x:v>
      </x:c>
      <x:c r="C788" s="55" t="str">
        <x:v>—</x:v>
      </x:c>
      <x:c r="D788" s="55" t="str">
        <x:v>—</x:v>
      </x:c>
      <x:c r="E788" s="55" t="inlineStr">
        <x:is>
          <x:t>萬帝天尊極武神匣（網站未列地圖）</x:t>
        </x:is>
      </x:c>
    </x:row>
    <x:row r="789" ht="15" customHeight="1">
      <x:c r="A789" s="55" t="str">
        <x:v>太伯妙香晷</x:v>
      </x:c>
      <x:c r="B789" s="55" t="str">
        <x:v>—</x:v>
      </x:c>
      <x:c r="C789" s="55" t="str">
        <x:v>—</x:v>
      </x:c>
      <x:c r="D789" s="55" t="str">
        <x:v>—</x:v>
      </x:c>
      <x:c r="E789" s="55" t="inlineStr">
        <x:is>
          <x:t>東明開天釋達神匣（網站未列地圖）</x:t>
        </x:is>
      </x:c>
    </x:row>
    <x:row r="790" ht="15" customHeight="1">
      <x:c r="A790" s="55" t="str">
        <x:v>太伯妙香晷</x:v>
      </x:c>
      <x:c r="B790" s="55" t="str">
        <x:v>—</x:v>
      </x:c>
      <x:c r="C790" s="55" t="str">
        <x:v>—</x:v>
      </x:c>
      <x:c r="D790" s="55" t="str">
        <x:v>—</x:v>
      </x:c>
      <x:c r="E790" s="55" t="inlineStr">
        <x:is>
          <x:t>東明開天釋達神匣（網站未列地圖）</x:t>
        </x:is>
      </x:c>
    </x:row>
    <x:row r="791" ht="15" customHeight="1">
      <x:c r="A791" s="55" t="str">
        <x:v>新星之露霜絲</x:v>
      </x:c>
      <x:c r="B791" s="55" t="str">
        <x:v>—</x:v>
      </x:c>
      <x:c r="C791" s="55" t="str">
        <x:v>—</x:v>
      </x:c>
      <x:c r="D791" s="55" t="str">
        <x:v>—</x:v>
      </x:c>
      <x:c r="E791" s="55" t="inlineStr">
        <x:is>
          <x:t>—</x:t>
        </x:is>
      </x:c>
    </x:row>
    <x:row r="792" ht="15" customHeight="1">
      <x:c r="A792" s="55" t="str">
        <x:v>古淵絲</x:v>
      </x:c>
      <x:c r="B792" s="55" t="str">
        <x:v>—</x:v>
      </x:c>
      <x:c r="C792" s="55" t="str">
        <x:v>—</x:v>
      </x:c>
      <x:c r="D792" s="55" t="str">
        <x:v>—</x:v>
      </x:c>
      <x:c r="E792" s="55" t="inlineStr">
        <x:is>
          <x:t>原碼改造戰豹（王統新市）；方舟鉻虎（桃谷縱道）；祕法護衛（龍池大社）</x:t>
        </x:is>
      </x:c>
    </x:row>
    <x:row r="793" ht="15" customHeight="1">
      <x:c r="A793" s="55" t="str">
        <x:v>絃霧靈拂Ⅰ</x:v>
      </x:c>
      <x:c r="B793" s="55" t="str">
        <x:v>—</x:v>
      </x:c>
      <x:c r="C793" s="55" t="str">
        <x:v>—</x:v>
      </x:c>
      <x:c r="D793" s="55" t="str">
        <x:v>—</x:v>
      </x:c>
      <x:c r="E793" s="55" t="inlineStr">
        <x:is>
          <x:t>—</x:t>
        </x:is>
      </x:c>
    </x:row>
    <x:row r="794" ht="15" customHeight="1">
      <x:c r="A794" s="55" t="str">
        <x:v>絃霧靈拂Ⅱ</x:v>
      </x:c>
      <x:c r="B794" s="55" t="str">
        <x:v>—</x:v>
      </x:c>
      <x:c r="C794" s="55" t="str">
        <x:v>—</x:v>
      </x:c>
      <x:c r="D794" s="55" t="str">
        <x:v>—</x:v>
      </x:c>
      <x:c r="E794" s="55" t="inlineStr">
        <x:is>
          <x:t>幻三糜香錦囊（網站未列地圖）；神島道人錦囊（網站未列地圖）</x:t>
        </x:is>
      </x:c>
    </x:row>
    <x:row r="795" ht="15" customHeight="1">
      <x:c r="A795" s="55" t="str">
        <x:v>絃霧靈拂Ⅲ</x:v>
      </x:c>
      <x:c r="B795" s="55" t="str">
        <x:v>—</x:v>
      </x:c>
      <x:c r="C795" s="55" t="str">
        <x:v>—</x:v>
      </x:c>
      <x:c r="D795" s="55" t="str">
        <x:v>—</x:v>
      </x:c>
      <x:c r="E795" s="55" t="inlineStr">
        <x:is>
          <x:t>—</x:t>
        </x:is>
      </x:c>
    </x:row>
    <x:row r="796" ht="15" customHeight="1">
      <x:c r="A796" s="55" t="str">
        <x:v>絃霧靈拂Ⅳ</x:v>
      </x:c>
      <x:c r="B796" s="55" t="str">
        <x:v>—</x:v>
      </x:c>
      <x:c r="C796" s="55" t="str">
        <x:v>—</x:v>
      </x:c>
      <x:c r="D796" s="55" t="str">
        <x:v>—</x:v>
      </x:c>
      <x:c r="E796" s="55" t="inlineStr">
        <x:is>
          <x:t>—</x:t>
        </x:is>
      </x:c>
    </x:row>
    <x:row r="797" ht="15" customHeight="1">
      <x:c r="A797" s="55" t="str">
        <x:v>絃霧靈拂Ⅴ</x:v>
      </x:c>
      <x:c r="B797" s="55" t="str">
        <x:v>—</x:v>
      </x:c>
      <x:c r="C797" s="55" t="str">
        <x:v>—</x:v>
      </x:c>
      <x:c r="D797" s="55" t="str">
        <x:v>—</x:v>
      </x:c>
      <x:c r="E797" s="55" t="inlineStr">
        <x:is>
          <x:t>—</x:t>
        </x:is>
      </x:c>
    </x:row>
    <x:row r="798" ht="15" customHeight="1">
      <x:c r="A798" s="55" t="str">
        <x:v>冰輪夢蜃扇</x:v>
      </x:c>
      <x:c r="B798" s="55" t="str">
        <x:v>—</x:v>
      </x:c>
      <x:c r="C798" s="55" t="str">
        <x:v>—</x:v>
      </x:c>
      <x:c r="D798" s="55" t="str">
        <x:v>—</x:v>
      </x:c>
      <x:c r="E798" s="55" t="inlineStr">
        <x:is>
          <x:t>南辰時祿機神兵匣（網站未列地圖）</x:t>
        </x:is>
      </x:c>
    </x:row>
    <x:row r="799" ht="15" customHeight="1">
      <x:c r="A799" s="55" t="str">
        <x:v>冰輪夢蜃扇</x:v>
      </x:c>
      <x:c r="B799" s="55" t="str">
        <x:v>—</x:v>
      </x:c>
      <x:c r="C799" s="55" t="str">
        <x:v>—</x:v>
      </x:c>
      <x:c r="D799" s="55" t="str">
        <x:v>—</x:v>
      </x:c>
      <x:c r="E799" s="55" t="inlineStr">
        <x:is>
          <x:t>南辰時祿機神兵匣（網站未列地圖）</x:t>
        </x:is>
      </x:c>
    </x:row>
    <x:row r="800" ht="15" customHeight="1">
      <x:c r="A800" s="55" t="str">
        <x:v>晉日炎武權</x:v>
      </x:c>
      <x:c r="B800" s="55" t="str">
        <x:v>—</x:v>
      </x:c>
      <x:c r="C800" s="55" t="str">
        <x:v>—</x:v>
      </x:c>
      <x:c r="D800" s="55" t="str">
        <x:v>—</x:v>
      </x:c>
      <x:c r="E800" s="55" t="inlineStr">
        <x:is>
          <x:t>三分鼎鋒真王武匣（網站未列地圖）</x:t>
        </x:is>
      </x:c>
    </x:row>
    <x:row r="801" ht="15" customHeight="1">
      <x:c r="A801" s="55" t="str">
        <x:v>晉日炎武權</x:v>
      </x:c>
      <x:c r="B801" s="55" t="str">
        <x:v>—</x:v>
      </x:c>
      <x:c r="C801" s="55" t="str">
        <x:v>—</x:v>
      </x:c>
      <x:c r="D801" s="55" t="str">
        <x:v>—</x:v>
      </x:c>
      <x:c r="E801" s="55" t="inlineStr">
        <x:is>
          <x:t>三分鼎鋒真王武匣（網站未列地圖）</x:t>
        </x:is>
      </x:c>
    </x:row>
    <x:row r="802" ht="15" customHeight="1">
      <x:c r="A802" s="55" t="str">
        <x:v>星光引導者</x:v>
      </x:c>
      <x:c r="B802" s="55" t="str">
        <x:v>—</x:v>
      </x:c>
      <x:c r="C802" s="55" t="str">
        <x:v>—</x:v>
      </x:c>
      <x:c r="D802" s="55" t="str">
        <x:v>—</x:v>
      </x:c>
      <x:c r="E802" s="55" t="inlineStr">
        <x:is>
          <x:t>古文明東西霸武匣（網站未列地圖）</x:t>
        </x:is>
      </x:c>
    </x:row>
    <x:row r="803" ht="15" customHeight="1">
      <x:c r="A803" s="55" t="str">
        <x:v>星光引導者</x:v>
      </x:c>
      <x:c r="B803" s="55" t="str">
        <x:v>—</x:v>
      </x:c>
      <x:c r="C803" s="55" t="str">
        <x:v>—</x:v>
      </x:c>
      <x:c r="D803" s="55" t="str">
        <x:v>—</x:v>
      </x:c>
      <x:c r="E803" s="55" t="inlineStr">
        <x:is>
          <x:t>古文明東西霸武匣（網站未列地圖）</x:t>
        </x:is>
      </x:c>
    </x:row>
    <x:row r="804" ht="15" customHeight="1">
      <x:c r="A804" s="55" t="str">
        <x:v>椒圖長風拂</x:v>
      </x:c>
      <x:c r="B804" s="55" t="str">
        <x:v>—</x:v>
      </x:c>
      <x:c r="C804" s="55" t="str">
        <x:v>—</x:v>
      </x:c>
      <x:c r="D804" s="55" t="str">
        <x:v>—</x:v>
      </x:c>
      <x:c r="E804" s="55" t="inlineStr">
        <x:is>
          <x:t>龍涉大川繼鱗武匣（網站未列地圖）</x:t>
        </x:is>
      </x:c>
    </x:row>
    <x:row r="805" ht="15" customHeight="1">
      <x:c r="A805" s="55" t="str">
        <x:v>椒圖長風拂</x:v>
      </x:c>
      <x:c r="B805" s="55" t="str">
        <x:v>—</x:v>
      </x:c>
      <x:c r="C805" s="55" t="str">
        <x:v>—</x:v>
      </x:c>
      <x:c r="D805" s="55" t="str">
        <x:v>—</x:v>
      </x:c>
      <x:c r="E805" s="55" t="inlineStr">
        <x:is>
          <x:t>龍涉大川繼鱗武匣（網站未列地圖）</x:t>
        </x:is>
      </x:c>
    </x:row>
    <x:row r="806" ht="15" customHeight="1">
      <x:c r="A806" s="55" t="str">
        <x:v>塹淵幽柄Ⅰ</x:v>
      </x:c>
      <x:c r="B806" s="55" t="str">
        <x:v>—</x:v>
      </x:c>
      <x:c r="C806" s="55" t="str">
        <x:v>—</x:v>
      </x:c>
      <x:c r="D806" s="55" t="str">
        <x:v>—</x:v>
      </x:c>
      <x:c r="E806" s="55" t="inlineStr">
        <x:is>
          <x:t>玄宙神兵寶箱（網站未列地圖）</x:t>
        </x:is>
      </x:c>
    </x:row>
    <x:row r="807" ht="15" customHeight="1">
      <x:c r="A807" s="55" t="str">
        <x:v>塹淵幽柄Ⅱ</x:v>
      </x:c>
      <x:c r="B807" s="55" t="str">
        <x:v>—</x:v>
      </x:c>
      <x:c r="C807" s="55" t="str">
        <x:v>—</x:v>
      </x:c>
      <x:c r="D807" s="55" t="str">
        <x:v>—</x:v>
      </x:c>
      <x:c r="E807" s="55" t="inlineStr">
        <x:is>
          <x:t>真．玄宙神兵寶箱（網站未列地圖）</x:t>
        </x:is>
      </x:c>
    </x:row>
    <x:row r="808" ht="15" customHeight="1">
      <x:c r="A808" s="55" t="str">
        <x:v>塹淵幽柄Ⅲ</x:v>
      </x:c>
      <x:c r="B808" s="55" t="str">
        <x:v>—</x:v>
      </x:c>
      <x:c r="C808" s="55" t="str">
        <x:v>—</x:v>
      </x:c>
      <x:c r="D808" s="55" t="str">
        <x:v>—</x:v>
      </x:c>
      <x:c r="E808" s="55" t="inlineStr">
        <x:is>
          <x:t>超．玄宙神兵寶箱（網站未列地圖）；活俠虞小梅錦囊（網站未列地圖）</x:t>
        </x:is>
      </x:c>
    </x:row>
    <x:row r="809" ht="15" customHeight="1">
      <x:c r="A809" s="55" t="str">
        <x:v>塹淵幽柄Ⅳ</x:v>
      </x:c>
      <x:c r="B809" s="55" t="str">
        <x:v>—</x:v>
      </x:c>
      <x:c r="C809" s="55" t="str">
        <x:v>—</x:v>
      </x:c>
      <x:c r="D809" s="55" t="str">
        <x:v>—</x:v>
      </x:c>
      <x:c r="E809" s="55" t="inlineStr">
        <x:is>
          <x:t>極．玄宙神兵寶箱（網站未列地圖）</x:t>
        </x:is>
      </x:c>
    </x:row>
    <x:row r="810" ht="15" customHeight="1">
      <x:c r="A810" s="55" t="str">
        <x:v>塹淵幽柄Ⅴ</x:v>
      </x:c>
      <x:c r="B810" s="55" t="str">
        <x:v>—</x:v>
      </x:c>
      <x:c r="C810" s="55" t="str">
        <x:v>—</x:v>
      </x:c>
      <x:c r="D810" s="55" t="str">
        <x:v>—</x:v>
      </x:c>
      <x:c r="E810" s="55" t="inlineStr">
        <x:is>
          <x:t>神．玄宙神兵寶箱（網站未列地圖）</x:t>
        </x:is>
      </x:c>
    </x:row>
    <x:row r="811" ht="30" customHeight="1">
      <x:c r="A811" s="55" t="str">
        <x:v>禪杖</x:v>
      </x:c>
      <x:c r="B811" s="55" t="str">
        <x:v>—</x:v>
      </x:c>
      <x:c r="C811" s="55" t="str">
        <x:v>義勇軍校場買賣人、京城打鐵舖、玄州打鐵舖、釣日村武器店長</x:v>
      </x:c>
      <x:c r="D811" s="55" t="str">
        <x:v>—</x:v>
      </x:c>
      <x:c r="E811" s="55" t="inlineStr">
        <x:is>
          <x:t>蜘蛛（踏雲頂梵天寺、試煉之窟）</x:t>
        </x:is>
      </x:c>
    </x:row>
    <x:row r="812" ht="15" customHeight="1">
      <x:c r="A812" s="55" t="str">
        <x:v>護法禪杖</x:v>
      </x:c>
      <x:c r="B812" s="55" t="str">
        <x:v>—</x:v>
      </x:c>
      <x:c r="C812" s="55" t="str">
        <x:v>釣日村武器店長</x:v>
      </x:c>
      <x:c r="D812" s="55" t="str">
        <x:v>—</x:v>
      </x:c>
      <x:c r="E812" s="55" t="inlineStr">
        <x:is>
          <x:t>—</x:t>
        </x:is>
      </x:c>
    </x:row>
    <x:row r="813" ht="15" customHeight="1">
      <x:c r="A813" s="55" t="str">
        <x:v>羅漢法杖</x:v>
      </x:c>
      <x:c r="B813" s="55" t="str">
        <x:v>—</x:v>
      </x:c>
      <x:c r="C813" s="55" t="str">
        <x:v>釣日村武器店長</x:v>
      </x:c>
      <x:c r="D813" s="55" t="str">
        <x:v>—</x:v>
      </x:c>
      <x:c r="E813" s="55" t="inlineStr">
        <x:is>
          <x:t>—</x:t>
        </x:is>
      </x:c>
    </x:row>
    <x:row r="814" ht="15" customHeight="1">
      <x:c r="A814" s="55" t="str">
        <x:v>鎮邪法杖</x:v>
      </x:c>
      <x:c r="B814" s="55" t="str">
        <x:v>—</x:v>
      </x:c>
      <x:c r="C814" s="55" t="str">
        <x:v>玄州打鐵舖</x:v>
      </x:c>
      <x:c r="D814" s="55" t="str">
        <x:v>—</x:v>
      </x:c>
      <x:c r="E814" s="55" t="inlineStr">
        <x:is>
          <x:t>—</x:t>
        </x:is>
      </x:c>
    </x:row>
    <x:row r="815" ht="45" customHeight="1">
      <x:c r="A815" s="55" t="str">
        <x:v>佛光法杖</x:v>
      </x:c>
      <x:c r="B815" s="55" t="str">
        <x:v>—</x:v>
      </x:c>
      <x:c r="C815" s="55" t="str">
        <x:v>玄州打鐵舖</x:v>
      </x:c>
      <x:c r="D815" s="55" t="str">
        <x:v>—</x:v>
      </x:c>
      <x:c r="E815" s="55" t="inlineStr">
        <x:is>
          <x:t>酆都遊魂（三途之都、枉死之城）；鬼牙開眼（枉死之城、永劫刑場、九曲邪徑）；魔道行者（菩提聖原、大梵河岸、金霄佛寺）；軍騎駱駝（止戰邊境）；黑袍魔女（止戰邊境、血鴉嶺）；風之精靈（止戰邊境、靜默之丘）；黑袍魔女（豐穗平原）；夢花蝶仙（飛雲忘野、橫劍天關）</x:t>
        </x:is>
      </x:c>
    </x:row>
    <x:row r="816" ht="30" customHeight="1">
      <x:c r="A816" s="55" t="str">
        <x:v>慈悲法杖</x:v>
      </x:c>
      <x:c r="B816" s="55" t="str">
        <x:v>—</x:v>
      </x:c>
      <x:c r="C816" s="55" t="str">
        <x:v>玄州打鐵舖</x:v>
      </x:c>
      <x:c r="D816" s="55" t="str">
        <x:v>—</x:v>
      </x:c>
      <x:c r="E816" s="55" t="inlineStr">
        <x:is>
          <x:t>滅界邪陀（金霄佛寺、濕婆神廟）；濕婆神教祭司（大梵河岸）；墮天魔佛（金霄佛寺）；十字軍（止戰邊境、豐穗平原）；蝶舞精（登龍道、凌風修境、繚空碎島）</x:t>
        </x:is>
      </x:c>
    </x:row>
    <x:row r="817" ht="15" customHeight="1">
      <x:c r="A817" s="55" t="str">
        <x:v>白銀禪杖</x:v>
      </x:c>
      <x:c r="B817" s="55" t="str">
        <x:v>—</x:v>
      </x:c>
      <x:c r="C817" s="55" t="str">
        <x:v>祁州打鐵舖、玄州打鐵舖</x:v>
      </x:c>
      <x:c r="D817" s="55" t="str">
        <x:v>—</x:v>
      </x:c>
      <x:c r="E817" s="55" t="inlineStr">
        <x:is>
          <x:t>棄禪邪僧（祥鷺古街）；墮天魔佛（金霄佛寺）</x:t>
        </x:is>
      </x:c>
    </x:row>
    <x:row r="818" ht="30" customHeight="1">
      <x:c r="A818" s="55" t="str">
        <x:v>水輪法杖</x:v>
      </x:c>
      <x:c r="B818" s="55" t="str">
        <x:v>—</x:v>
      </x:c>
      <x:c r="C818" s="55" t="str">
        <x:v>—</x:v>
      </x:c>
      <x:c r="D818" s="55" t="str">
        <x:v>水輪法杖配方</x:v>
      </x:c>
      <x:c r="E818" s="55" t="inlineStr">
        <x:is>
          <x:t>怒雪麒麟（怒雪洞府）；冰麟獸（怒雪靈界通道、怒雪洞府）；怒雪麒麟（怒雪修煉場）；[怒雪麒麟]（網站未列地圖）</x:t>
        </x:is>
      </x:c>
    </x:row>
    <x:row r="819" ht="30" customHeight="1">
      <x:c r="A819" s="55" t="str">
        <x:v>火輪法杖</x:v>
      </x:c>
      <x:c r="B819" s="55" t="str">
        <x:v>—</x:v>
      </x:c>
      <x:c r="C819" s="55" t="str">
        <x:v>—</x:v>
      </x:c>
      <x:c r="D819" s="55" t="str">
        <x:v>火輪法杖配方</x:v>
      </x:c>
      <x:c r="E819" s="55" t="inlineStr">
        <x:is>
          <x:t>火雲麒麟（火雲洞府）；火麟獸（烈火靈界通道、火雲洞府）；火雲麒麟（烈火修煉場）；[火雲麒麟]（網站未列地圖）</x:t>
        </x:is>
      </x:c>
    </x:row>
    <x:row r="820" ht="15" customHeight="1">
      <x:c r="A820" s="55" t="str">
        <x:v>風輪法杖</x:v>
      </x:c>
      <x:c r="B820" s="55" t="str">
        <x:v>—</x:v>
      </x:c>
      <x:c r="C820" s="55" t="str">
        <x:v>—</x:v>
      </x:c>
      <x:c r="D820" s="55" t="str">
        <x:v>風輪法杖配方</x:v>
      </x:c>
      <x:c r="E820" s="55" t="inlineStr">
        <x:is>
          <x:t>嗜血頭陀（天山雪道、亂藤林東方）；秘法僧（天山雪道、亂藤林東方）；破戒僧（天山雪道、亂藤林東方）</x:t>
        </x:is>
      </x:c>
    </x:row>
    <x:row r="821" ht="30" customHeight="1">
      <x:c r="A821" s="55" t="str">
        <x:v>地輪法杖</x:v>
      </x:c>
      <x:c r="B821" s="55" t="str">
        <x:v>—</x:v>
      </x:c>
      <x:c r="C821" s="55" t="str">
        <x:v>—</x:v>
      </x:c>
      <x:c r="D821" s="55" t="str">
        <x:v>地輪法杖配方</x:v>
      </x:c>
      <x:c r="E821" s="55" t="inlineStr">
        <x:is>
          <x:t>蠱毒麒麟（蠱毒洞府）；毒麟獸（瘴癘靈界通道、蠱毒洞府）；蠱毒麒麟（瘴癘修煉場）；[蠱毒麒麟]（網站未列地圖）</x:t>
        </x:is>
      </x:c>
    </x:row>
    <x:row r="822" ht="15" customHeight="1">
      <x:c r="A822" s="55" t="str">
        <x:v>碧波寶杖</x:v>
      </x:c>
      <x:c r="B822" s="55" t="str">
        <x:v>—</x:v>
      </x:c>
      <x:c r="C822" s="55" t="str">
        <x:v>祁州打鐵舖、玄州打鐵舖</x:v>
      </x:c>
      <x:c r="D822" s="55" t="str">
        <x:v>—</x:v>
      </x:c>
      <x:c r="E822" s="55" t="inlineStr">
        <x:is>
          <x:t>原始水靈（靜默之丘、擎空壁壘、獅堡軍事區）；禍翼巨龍（擎空壁壘、凱旋廣場）</x:t>
        </x:is>
      </x:c>
    </x:row>
    <x:row r="823" ht="75" customHeight="1">
      <x:c r="A823" s="55" t="str">
        <x:v>禱告法杖</x:v>
      </x:c>
      <x:c r="B823" s="55" t="str">
        <x:v>—</x:v>
      </x:c>
      <x:c r="C823" s="55" t="str">
        <x:v>祁州打鐵舖、玄州打鐵舖</x:v>
      </x:c>
      <x:c r="D823" s="55" t="str">
        <x:v>—</x:v>
      </x:c>
      <x:c r="E823" s="55" t="inlineStr">
        <x:is>
          <x:t>傲慢之魔（神臨之地）；&lt;傲慢之魔&gt;（修羅級神臨之地）；帝御飛龍維邦（獅堡軍事區）；北海戰鬼基恩（擎空壁壘）；犯戒僧極樂（飛雲忘野）；雷海神蛟（青龍東殿）；神水領主（聖禱天廳）；真禪修者（四聖祭台）；土行者（異時界‧亂藤林、異時界‧亂藤林南）；疲憊的土行者（異時界‧亂藤林東）；土行鬼王（異時界‧亂藤林南）；玄台岩齡（四聖祭台）；深宮幻蝶（天啟八關）；靨羽蝶后（仙庭玉階、闕真金閣）；墨心神蝶（網站未列地圖）；時真靈狸（天啟八關）；轟原風精（紫雷轟原）</x:t>
        </x:is>
      </x:c>
    </x:row>
    <x:row r="824" ht="120" customHeight="1">
      <x:c r="A824" s="55" t="str">
        <x:v>迴夢禪杖</x:v>
      </x:c>
      <x:c r="B824" s="55" t="str">
        <x:v>—</x:v>
      </x:c>
      <x:c r="C824" s="55" t="str">
        <x:v>祁州打鐵舖、玄州打鐵舖</x:v>
      </x:c>
      <x:c r="D824" s="55" t="str">
        <x:v>—</x:v>
      </x:c>
      <x:c r="E824" s="55" t="inlineStr">
        <x:is>
          <x:t>天劫刀夜叉（魔君天都）；鬼界魔獅將（魔君天都）；&lt;天劫刀夜叉&gt;（修羅級魔君天都）；&lt;鬼界魔獅將&gt;（修羅級魔君天都）；光耀神凰（朱雀南殿）；天尊獅座（白虎西殿）；刑天戰狂（異時界‧亂藤林）；疲憊的刑天戰士（異時界‧亂藤林東）；靈芝精‧強（殘雲天境）；陌形幻僧（時沒邊界）；重絕泰斗（玄武北殿）；太古天風‧強（殘雲天境）；雀翼燼火（朱雀南殿）；妄想非僧（異時界‧葬日沼澤）；亡邪巨靈殭魔（異時界‧葬日沼北）；夸父猛者（異時界‧葬日沼南）；土行刺客（異時界‧修羅窟）；五毒蜘蛛精（異時界‧夜叉嶺）；至毒蜈蚣（異時界‧亂藤林南）；牽亡妖將（異時界‧亂藤林西）；幻業僧魔（無限鬥界）；&lt;幻業僧魔&gt;（修羅級無限鬥界）；無限‧窮奇（無限鬥界）；&lt;無限‧窮奇&gt;（修羅級無限鬥界）；業障僧者（無限鬥界）；&lt;業障僧者&gt;（修羅級無限鬥界）；巨靈魔山王（異時界‧摘星嶺）；百眼大長老（異時界‧毒龍潭）</x:t>
        </x:is>
      </x:c>
    </x:row>
    <x:row r="825" ht="45" customHeight="1">
      <x:c r="A825" s="55" t="str">
        <x:v>巖禪杖</x:v>
      </x:c>
      <x:c r="B825" s="55" t="str">
        <x:v>—</x:v>
      </x:c>
      <x:c r="C825" s="55" t="str">
        <x:v>祁州打鐵舖、玄州打鐵舖</x:v>
      </x:c>
      <x:c r="D825" s="55" t="str">
        <x:v>—</x:v>
      </x:c>
      <x:c r="E825" s="55" t="inlineStr">
        <x:is>
          <x:t>虛空妖龍（終末之塔第8層、終末之塔第9層）；百轉天誣（音無晶宇）；碎岩大獸（音無晶宇）；陰骸骨弓（觀無巽宇）；不法骨怪（觀無巽宇）；沉迭巨猿（覺無洋宇）；重嵐勁蛟（星群碎道）；天影犄麟（星群碎道）；邪角贔屭（不解迴路）；冥虛長使（虛空渦心）</x:t>
        </x:is>
      </x:c>
    </x:row>
    <x:row r="826" ht="30" customHeight="1">
      <x:c r="A826" s="55" t="str">
        <x:v>紫月星空杖</x:v>
      </x:c>
      <x:c r="B826" s="55" t="str">
        <x:v>—</x:v>
      </x:c>
      <x:c r="C826" s="55" t="str">
        <x:v>—</x:v>
      </x:c>
      <x:c r="D826" s="55" t="str">
        <x:v>—</x:v>
      </x:c>
      <x:c r="E826" s="55" t="inlineStr">
        <x:is>
          <x:t>沙野夜叉（終末之塔第41層）；虛潛獸（終末之塔第12層、終末之塔第15層）；招靈巫祀（終末之塔第34層）；艾濟巡督（太陽神大道）</x:t>
        </x:is>
      </x:c>
    </x:row>
    <x:row r="827" ht="15" customHeight="1">
      <x:c r="A827" s="55" t="str">
        <x:v>紫月明熙杖</x:v>
      </x:c>
      <x:c r="B827" s="55" t="str">
        <x:v>—</x:v>
      </x:c>
      <x:c r="C827" s="55" t="str">
        <x:v>—</x:v>
      </x:c>
      <x:c r="D827" s="55" t="str">
        <x:v>—</x:v>
      </x:c>
      <x:c r="E827" s="55" t="inlineStr">
        <x:is>
          <x:t>聖谷王司（托勒密山麓）</x:t>
        </x:is>
      </x:c>
    </x:row>
    <x:row r="828" ht="60" customHeight="1">
      <x:c r="A828" s="55" t="str">
        <x:v>聖木杖</x:v>
      </x:c>
      <x:c r="B828" s="55" t="str">
        <x:v>—</x:v>
      </x:c>
      <x:c r="C828" s="55" t="str">
        <x:v>—</x:v>
      </x:c>
      <x:c r="D828" s="55" t="str">
        <x:v>—</x:v>
      </x:c>
      <x:c r="E828" s="55" t="inlineStr">
        <x:is>
          <x:t>虛空布道使（黃龍秘殿）；&lt;虛空布道使&gt;（修羅級黃龍秘殿）；火武機關兵（藏意武窟）；一杖虛導（終末之塔第79層）；倒懸心魔（終末之塔第84層、終末之塔第85層）；東庭古木（東宮碧庭）；東陣獵鷹（東校場）；踏雲頂俠宗（西校場）；龍脈神蔘（東宮碧庭）；踏雲頂俠宗（西校場）；武冠勇軍（皇城）；長疆靈貂（山海長疆）；藤索花魔（鷗揚浪嶼）；蔓行藤（殊雁峽）；巨顎陸行鯊（琉瑯岩灣）</x:t>
        </x:is>
      </x:c>
    </x:row>
    <x:row r="829" ht="45" customHeight="1">
      <x:c r="A829" s="55" t="str">
        <x:v>蛇陵杖</x:v>
      </x:c>
      <x:c r="B829" s="55" t="str">
        <x:v>—</x:v>
      </x:c>
      <x:c r="C829" s="55" t="str">
        <x:v>—</x:v>
      </x:c>
      <x:c r="D829" s="55" t="str">
        <x:v>—</x:v>
      </x:c>
      <x:c r="E829" s="55" t="inlineStr">
        <x:is>
          <x:t>怨咒靈車（終末之塔第95層、終末之塔第96層）；亡者火（濟馬島）；遊鬥客（山海長疆、東海道）；東海溺靈（東海道）；蠑螈（臺興中州）；萬變天蛾（璇鶯鎮）；啼血哀鳳（終末之塔第104層、終末之塔第108層）；淪劫尸骨（終末之塔第112層、終末之塔第118層、終末之塔第113層）；合成蛛女（葭雲廣原）；輻射花（白苗峽岸）</x:t>
        </x:is>
      </x:c>
    </x:row>
    <x:row r="830" ht="45" customHeight="1">
      <x:c r="A830" s="55" t="str">
        <x:v>巨樹杖</x:v>
      </x:c>
      <x:c r="B830" s="55" t="str">
        <x:v>—</x:v>
      </x:c>
      <x:c r="C830" s="55" t="str">
        <x:v>—</x:v>
      </x:c>
      <x:c r="D830" s="55" t="str">
        <x:v>—</x:v>
      </x:c>
      <x:c r="E830" s="55" t="inlineStr">
        <x:is>
          <x:t>食人魔花（燕蕩嶺）；煉獄火蟆（始祖巨林．西）；噬肉活苞（始祖巨林）；玉娃魚（始祖巨林．東）；林口活蔓（始祖巨林）；棄禪邪僧（祥鷺古街）；原鳳蝶精（泰源大社）；複合蛛女（風竹塹、龍池大社）；低語枯榕（南瞻聖地）；八敗命陀（終末之塔第128層）；換血戰兵（終末之塔第143層、終末之塔第144層）</x:t>
        </x:is>
      </x:c>
    </x:row>
    <x:row r="831" ht="75" customHeight="1">
      <x:c r="A831" s="55" t="str">
        <x:v>晶石禪杖</x:v>
      </x:c>
      <x:c r="B831" s="55" t="str">
        <x:v>—</x:v>
      </x:c>
      <x:c r="C831" s="55" t="str">
        <x:v>—</x:v>
      </x:c>
      <x:c r="D831" s="55" t="str">
        <x:v>—</x:v>
      </x:c>
      <x:c r="E831" s="55" t="inlineStr">
        <x:is>
          <x:t>免費測試寶盒（網站未列地圖）；晶石兵器寶盒（網站未列地圖）；喜兔武器錦囊‧壹（網站未列地圖）；三轉錦囊（網站未列地圖）；朱戈幫屠夫（網站未列地圖）；海魅（東方海域）；林魅（桃花林、桃花林西方、掩月松林）；山魅（瀰煙山道、半天岩）；林魅（盤蛇洞、掩月松林）；山魅（盤蛇洞、半天岩）；山魔（桃花林西方）；林魔（桃花林西方）；花精（亂藤林、亂藤林南方、葬日沼澤、葬日沼澤北方）；綠林花妖（網站未列地圖）；千年花精（亂藤林南方、葬日沼澤北方）；[千年花精]（網站未列地圖）；屍花精（五派禁地）</x:t>
        </x:is>
      </x:c>
    </x:row>
    <x:row r="832" ht="30" customHeight="1">
      <x:c r="A832" s="55" t="str">
        <x:v>凝晶玉禪杖</x:v>
      </x:c>
      <x:c r="B832" s="55" t="str">
        <x:v>—</x:v>
      </x:c>
      <x:c r="C832" s="55" t="str">
        <x:v>—</x:v>
      </x:c>
      <x:c r="D832" s="55" t="str">
        <x:v>—</x:v>
      </x:c>
      <x:c r="E832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833" ht="15" customHeight="1">
      <x:c r="A833" s="55" t="str">
        <x:v>卓越禪杖</x:v>
      </x:c>
      <x:c r="B833" s="55" t="str">
        <x:v>—</x:v>
      </x:c>
      <x:c r="C833" s="55" t="str">
        <x:v>—</x:v>
      </x:c>
      <x:c r="D833" s="55" t="str">
        <x:v>—</x:v>
      </x:c>
      <x:c r="E833" s="55" t="inlineStr">
        <x:is>
          <x:t>卓越兵器寶盒（網站未列地圖）</x:t>
        </x:is>
      </x:c>
    </x:row>
    <x:row r="834" ht="15" customHeight="1">
      <x:c r="A834" s="55" t="str">
        <x:v>萬佛法杖</x:v>
      </x:c>
      <x:c r="B834" s="55" t="str">
        <x:v>—</x:v>
      </x:c>
      <x:c r="C834" s="55" t="str">
        <x:v>祁州打鐵舖、玄州打鐵舖</x:v>
      </x:c>
      <x:c r="D834" s="55" t="str">
        <x:v>—</x:v>
      </x:c>
      <x:c r="E834" s="55" t="inlineStr">
        <x:is>
          <x:t>—</x:t>
        </x:is>
      </x:c>
    </x:row>
    <x:row r="835" ht="45" customHeight="1">
      <x:c r="A835" s="55" t="str">
        <x:v>普羅法杖</x:v>
      </x:c>
      <x:c r="B835" s="55" t="str">
        <x:v>—</x:v>
      </x:c>
      <x:c r="C835" s="55" t="str">
        <x:v>—</x:v>
      </x:c>
      <x:c r="D835" s="55" t="str">
        <x:v>—</x:v>
      </x:c>
      <x:c r="E835" s="55" t="inlineStr">
        <x:is>
          <x:t>死靈殭屍（網站未列地圖）；吸精鬼屍（五派禁地）；惡靈殭屍（五派禁地）；吸血殭屍（猛鬼窟第二層、萬人塚第三層、樓蘭遺址）；[吸血殭屍]（網站未列地圖）；千年蟾蜍精（百妖穴第二層）；[千年蟾蜍精]（網站未列地圖）；蟾蜍精（百妖穴第一層、百妖穴第二層、盤蛇洞）</x:t>
        </x:is>
      </x:c>
    </x:row>
    <x:row r="836" ht="75" customHeight="1">
      <x:c r="A836" s="55" t="str">
        <x:v>明王法杖</x:v>
      </x:c>
      <x:c r="B836" s="55" t="str">
        <x:v>—</x:v>
      </x:c>
      <x:c r="C836" s="55" t="str">
        <x:v>—</x:v>
      </x:c>
      <x:c r="D836" s="55" t="str">
        <x:v>明王法杖配方</x:v>
      </x:c>
      <x:c r="E836" s="55" t="inlineStr">
        <x:is>
          <x:t>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</x:t>
        </x:is>
      </x:c>
    </x:row>
    <x:row r="837" ht="60" customHeight="1">
      <x:c r="A837" s="55" t="str">
        <x:v>金鋼法杖</x:v>
      </x:c>
      <x:c r="B837" s="55" t="str">
        <x:v>—</x:v>
      </x:c>
      <x:c r="C837" s="55" t="str">
        <x:v>—</x:v>
      </x:c>
      <x:c r="D837" s="55" t="str">
        <x:v>金鋼法杖配方</x:v>
      </x:c>
      <x:c r="E837" s="55" t="inlineStr">
        <x:is>
          <x:t>中原神兵錦囊（網站未列地圖）；蒼龍神兵錦囊（網站未列地圖）；喜兔武器錦囊‧壹（網站未列地圖）；神來裝樂透卡之一（網站未列地圖）；招財聚寶袋（網站未列地圖）；輕車將軍錦囊（網站未列地圖）；吸精鬼屍（五派禁地）；惡靈殭屍（五派禁地）；死靈殭屍（網站未列地圖）；吸血殭屍（猛鬼窟第二層、萬人塚第三層、樓蘭遺址）；[吸血殭屍]（網站未列地圖）</x:t>
        </x:is>
      </x:c>
    </x:row>
    <x:row r="838" ht="15" customHeight="1">
      <x:c r="A838" s="55" t="str">
        <x:v>絕世金鋼法杖</x:v>
      </x:c>
      <x:c r="B838" s="55" t="str">
        <x:v>—</x:v>
      </x:c>
      <x:c r="C838" s="55" t="str">
        <x:v>—</x:v>
      </x:c>
      <x:c r="D838" s="55" t="str">
        <x:v>—</x:v>
      </x:c>
      <x:c r="E838" s="55" t="inlineStr">
        <x:is>
          <x:t>絕世中原錦囊（網站未列地圖）；蒼龍神兵錦囊（網站未列地圖）</x:t>
        </x:is>
      </x:c>
    </x:row>
    <x:row r="839" ht="15" customHeight="1">
      <x:c r="A839" s="55" t="str">
        <x:v>丹陽禪杖</x:v>
      </x:c>
      <x:c r="B839" s="55" t="str">
        <x:v>—</x:v>
      </x:c>
      <x:c r="C839" s="55" t="str">
        <x:v>維摩洞天-仙島工匠</x:v>
      </x:c>
      <x:c r="D839" s="55" t="str">
        <x:v>—</x:v>
      </x:c>
      <x:c r="E839" s="55" t="inlineStr">
        <x:is>
          <x:t>—</x:t>
        </x:is>
      </x:c>
    </x:row>
    <x:row r="840" ht="15" customHeight="1">
      <x:c r="A840" s="55" t="str">
        <x:v>護心禪杖</x:v>
      </x:c>
      <x:c r="B840" s="55" t="str">
        <x:v>—</x:v>
      </x:c>
      <x:c r="C840" s="55" t="str">
        <x:v>維摩洞天-仙島工匠</x:v>
      </x:c>
      <x:c r="D840" s="55" t="str">
        <x:v>—</x:v>
      </x:c>
      <x:c r="E840" s="55" t="inlineStr">
        <x:is>
          <x:t>—</x:t>
        </x:is>
      </x:c>
    </x:row>
    <x:row r="841" ht="15" customHeight="1">
      <x:c r="A841" s="55" t="str">
        <x:v>慈航法杖</x:v>
      </x:c>
      <x:c r="B841" s="55" t="str">
        <x:v>—</x:v>
      </x:c>
      <x:c r="C841" s="55" t="str">
        <x:v>釣日村武器店長</x:v>
      </x:c>
      <x:c r="D841" s="55" t="str">
        <x:v>—</x:v>
      </x:c>
      <x:c r="E841" s="55" t="inlineStr">
        <x:is>
          <x:t>—</x:t>
        </x:is>
      </x:c>
    </x:row>
    <x:row r="842" ht="15" customHeight="1">
      <x:c r="A842" s="55" t="str">
        <x:v>願渡法杖</x:v>
      </x:c>
      <x:c r="B842" s="55" t="str">
        <x:v>—</x:v>
      </x:c>
      <x:c r="C842" s="55" t="str">
        <x:v>釣日村武器店長</x:v>
      </x:c>
      <x:c r="D842" s="55" t="str">
        <x:v>—</x:v>
      </x:c>
      <x:c r="E842" s="55" t="inlineStr">
        <x:is>
          <x:t>—</x:t>
        </x:is>
      </x:c>
    </x:row>
    <x:row r="843" ht="15" customHeight="1">
      <x:c r="A843" s="55" t="str">
        <x:v>淨天法杖</x:v>
      </x:c>
      <x:c r="B843" s="55" t="str">
        <x:v>—</x:v>
      </x:c>
      <x:c r="C843" s="55" t="str">
        <x:v>維摩洞天-仙島工匠</x:v>
      </x:c>
      <x:c r="D843" s="55" t="str">
        <x:v>—</x:v>
      </x:c>
      <x:c r="E843" s="55" t="inlineStr">
        <x:is>
          <x:t>—</x:t>
        </x:is>
      </x:c>
    </x:row>
    <x:row r="844" ht="45" customHeight="1">
      <x:c r="A844" s="55" t="str">
        <x:v>玉羅金杖</x:v>
      </x:c>
      <x:c r="B844" s="55" t="str">
        <x:v>—</x:v>
      </x:c>
      <x:c r="C844" s="55" t="str">
        <x:v>—</x:v>
      </x:c>
      <x:c r="D844" s="55" t="str">
        <x:v>—</x:v>
      </x:c>
      <x:c r="E844" s="55" t="inlineStr">
        <x:is>
          <x:t>蒼龍神兵錦囊（網站未列地圖）；輕車將軍錦囊（網站未列地圖）；2轉僧影（五派禁地）；2轉女僧影（五派禁地）；1轉僧影（五派禁地）；隱者狸仙（網站未列地圖）；[隱者狸仙]（網站未列地圖）；傭兵女戰士（疾風谷、大汗陵墓、古北大營、統萬大營）；叢林黑豹（千佛遺跡西側）</x:t>
        </x:is>
      </x:c>
    </x:row>
    <x:row r="845" ht="45" customHeight="1">
      <x:c r="A845" s="55" t="str">
        <x:v>玉佛寶杖</x:v>
      </x:c>
      <x:c r="B845" s="55" t="str">
        <x:v>—</x:v>
      </x:c>
      <x:c r="C845" s="55" t="str">
        <x:v>—</x:v>
      </x:c>
      <x:c r="D845" s="55" t="str">
        <x:v>—</x:v>
      </x:c>
      <x:c r="E845" s="55" t="inlineStr">
        <x:is>
          <x:t>驃騎將軍錦囊（網站未列地圖）；御行神兵錦囊（網站未列地圖）；神來裝樂透卡之二（網站未列地圖）；絕代兵器錦囊（網站未列地圖）；新絕代兵器錦囊（網站未列地圖）；喜兔武器錦囊‧貳（網站未列地圖）；雷靈珠（網站未列地圖）；1轉女僧影（五派禁地）；長野海賊（長野沙濱）</x:t>
        </x:is>
      </x:c>
    </x:row>
    <x:row r="846" ht="60" customHeight="1">
      <x:c r="A846" s="55" t="str">
        <x:v>梵天法杖</x:v>
      </x:c>
      <x:c r="B846" s="55" t="str">
        <x:v>—</x:v>
      </x:c>
      <x:c r="C846" s="55" t="str">
        <x:v>—</x:v>
      </x:c>
      <x:c r="D846" s="55" t="str">
        <x:v>—</x:v>
      </x:c>
      <x:c r="E846" s="55" t="inlineStr">
        <x:is>
          <x:t>天界戰匣（網站未列地圖）；喜兔武器錦囊‧參（網站未列地圖）；掠奪武器包裹（網站未列地圖）；羅剎寶袋（網站未列地圖）；神來裝樂透卡之三（網站未列地圖）；騰龍錦囊（網站未列地圖）；蒼狼族女王（蒼狼大營）；拉薩跳神（疾風谷、古北大營）；2轉僧影（五派禁地）；2轉女僧影（五派禁地）；無念僧（千佛遺跡西側、摩羅國境）；夜帝之僕（網站未列地圖）</x:t>
        </x:is>
      </x:c>
    </x:row>
    <x:row r="847" ht="15" customHeight="1">
      <x:c r="A847" s="55" t="str">
        <x:v>絕世梵天法杖</x:v>
      </x:c>
      <x:c r="B847" s="55" t="str">
        <x:v>—</x:v>
      </x:c>
      <x:c r="C847" s="55" t="str">
        <x:v>—</x:v>
      </x:c>
      <x:c r="D847" s="55" t="str">
        <x:v>—</x:v>
      </x:c>
      <x:c r="E847" s="55" t="inlineStr">
        <x:is>
          <x:t>絕世天界戰匣（網站未列地圖）</x:t>
        </x:is>
      </x:c>
    </x:row>
    <x:row r="848" ht="75" customHeight="1">
      <x:c r="A848" s="55" t="str">
        <x:v>菩提法杖</x:v>
      </x:c>
      <x:c r="B848" s="55" t="str">
        <x:v>—</x:v>
      </x:c>
      <x:c r="C848" s="55" t="str">
        <x:v>—</x:v>
      </x:c>
      <x:c r="D848" s="55" t="str">
        <x:v>菩提法杖配方</x:v>
      </x:c>
      <x:c r="E848" s="55" t="inlineStr">
        <x:is>
          <x:t>喜兔武器錦囊‧參（網站未列地圖）；掠奪武器包裹（網站未列地圖）；羅剎寶袋（網站未列地圖）；神來裝樂透卡之三（網站未列地圖）；騰龍錦囊（網站未列地圖）；威震神州錦囊（網站未列地圖）；蒼狼族女王（蒼狼大營）；獵人頭祭司（亂石林、大汗陵墓）；祭司幻影（亂石林）；鬼修羅（五派禁地）；蒼狼千夫長（網站未列地圖）；激雷鐮鼬（長野沙濱、葉隱蒼林、神室關所、天照不二峰）；[激雷鐮鼬]（網站未列地圖）；激雷鐮鼬（長野沙濱、葉隱蒼林、神室關所、天照不二峰）</x:t>
        </x:is>
      </x:c>
    </x:row>
    <x:row r="849" ht="15" customHeight="1">
      <x:c r="A849" s="55" t="str">
        <x:v>絕世菩提法杖</x:v>
      </x:c>
      <x:c r="B849" s="55" t="str">
        <x:v>—</x:v>
      </x:c>
      <x:c r="C849" s="55" t="str">
        <x:v>—</x:v>
      </x:c>
      <x:c r="D849" s="55" t="str">
        <x:v>—</x:v>
      </x:c>
      <x:c r="E849" s="55" t="inlineStr">
        <x:is>
          <x:t>絕世天界戰匣（網站未列地圖）</x:t>
        </x:is>
      </x:c>
    </x:row>
    <x:row r="850" ht="45" customHeight="1">
      <x:c r="A850" s="55" t="str">
        <x:v>達摩法杖</x:v>
      </x:c>
      <x:c r="B850" s="55" t="str">
        <x:v>—</x:v>
      </x:c>
      <x:c r="C850" s="55" t="str">
        <x:v>—</x:v>
      </x:c>
      <x:c r="D850" s="55" t="str">
        <x:v>達摩法杖配方</x:v>
      </x:c>
      <x:c r="E850" s="55" t="inlineStr">
        <x:is>
          <x:t>喜兔武器錦囊‧參（網站未列地圖）；掠奪武器包裹（網站未列地圖）；羅剎寶袋（網站未列地圖）；神來裝樂透卡之三（網站未列地圖）；祥龍錦囊（網站未列地圖）；天界戰匣（網站未列地圖）；蒼狼族女王（蒼狼大營）；獵人頭祭司（亂石林、大汗陵墓）；祭司幻影（亂石林）；天外神僧（五派禁地）</x:t>
        </x:is>
      </x:c>
    </x:row>
    <x:row r="851" ht="15" customHeight="1">
      <x:c r="A851" s="55" t="str">
        <x:v>絕世達摩法杖</x:v>
      </x:c>
      <x:c r="B851" s="55" t="str">
        <x:v>—</x:v>
      </x:c>
      <x:c r="C851" s="55" t="str">
        <x:v>—</x:v>
      </x:c>
      <x:c r="D851" s="55" t="str">
        <x:v>—</x:v>
      </x:c>
      <x:c r="E851" s="55" t="inlineStr">
        <x:is>
          <x:t>絕世天界戰匣（網站未列地圖）</x:t>
        </x:is>
      </x:c>
    </x:row>
    <x:row r="852" ht="60" customHeight="1">
      <x:c r="A852" s="55" t="str">
        <x:v>光焰寶杖</x:v>
      </x:c>
      <x:c r="B852" s="55" t="str">
        <x:v>—</x:v>
      </x:c>
      <x:c r="C852" s="55" t="str">
        <x:v>—</x:v>
      </x:c>
      <x:c r="D852" s="55" t="str">
        <x:v>光焰寶杖配方</x:v>
      </x:c>
      <x:c r="E852" s="55" t="inlineStr">
        <x:is>
          <x:t>幻蠱妖煞（網站未列地圖）；幻雷妖煞（網站未列地圖）；侏人神兵錦囊（網站未列地圖）；喜兔武器錦囊‧肆（網站未列地圖）；神來裝樂透卡之四（網站未列地圖）；御行神兵錦囊（網站未列地圖）；侏人祭司（網站未列地圖）；侏人護法（蕈菇林西方）；地穴樹精（蕈菇林東方、蕈菇林西方、晶湖水道）；萬年樹精（神兵塚）；灰侏人護法（地下水道、水晶礦坑）；魔侏人祭司（神兵塚）；灰侏人祭司（網站未列地圖）；叢林黑豹（千佛遺跡西側）</x:t>
        </x:is>
      </x:c>
    </x:row>
    <x:row r="853" ht="60" customHeight="1">
      <x:c r="A853" s="55" t="str">
        <x:v>光焰聖火杖</x:v>
      </x:c>
      <x:c r="B853" s="55" t="str">
        <x:v>—</x:v>
      </x:c>
      <x:c r="C853" s="55" t="str">
        <x:v>—</x:v>
      </x:c>
      <x:c r="D853" s="55" t="str">
        <x:v>光焰聖杖配方</x:v>
      </x:c>
      <x:c r="E853" s="55" t="inlineStr">
        <x:is>
          <x:t>喜兔武器錦囊‧肆（網站未列地圖）；神來裝樂透卡之四（網站未列地圖）；侏人神兵錦囊（網站未列地圖）；幻蠱妖煞（網站未列地圖）；幻雷妖煞（網站未列地圖）；侏人祭司（網站未列地圖）；地穴樹精（蕈菇林東方、蕈菇林西方、晶湖水道）；萬年樹精（神兵塚）；拘魂使（恨生不歸途、三途之都、枉死之城）；魔侏人祭司（神兵塚）；灰侏人祭司（網站未列地圖）</x:t>
        </x:is>
      </x:c>
    </x:row>
    <x:row r="854" ht="15" customHeight="1">
      <x:c r="A854" s="55" t="str">
        <x:v>絕世光焰聖火杖</x:v>
      </x:c>
      <x:c r="B854" s="55" t="str">
        <x:v>—</x:v>
      </x:c>
      <x:c r="C854" s="55" t="str">
        <x:v>—</x:v>
      </x:c>
      <x:c r="D854" s="55" t="str">
        <x:v>—</x:v>
      </x:c>
      <x:c r="E854" s="55" t="inlineStr">
        <x:is>
          <x:t>地火絕世錦囊（網站未列地圖）</x:t>
        </x:is>
      </x:c>
    </x:row>
    <x:row r="855" ht="45" customHeight="1">
      <x:c r="A855" s="55" t="str">
        <x:v>羅剎禪杖</x:v>
      </x:c>
      <x:c r="B855" s="55" t="str">
        <x:v>—</x:v>
      </x:c>
      <x:c r="C855" s="55" t="str">
        <x:v>—</x:v>
      </x:c>
      <x:c r="D855" s="55" t="str">
        <x:v>羅剎禪杖配方</x:v>
      </x:c>
      <x:c r="E855" s="55" t="inlineStr">
        <x:is>
          <x:t>西域神器錦囊（網站未列地圖）；侯氏百兵錦囊（網站未列地圖）；黑天神兵元靈（網站未列地圖）；征西僧侶錦囊（網站未列地圖）；血槍幫小頭目（高昌郡）；血槍幫響馬（高昌郡）；[冰執鐮鼬]（網站未列地圖）；冰執鐮鼬（內崎埠原、外崎埠原、十津原樹海）；火岩龜（火焰山）；礫岩龜（塔干沙漠南方、塔干沙漠西方）</x:t>
        </x:is>
      </x:c>
    </x:row>
    <x:row r="856" ht="45" customHeight="1">
      <x:c r="A856" s="55" t="str">
        <x:v>黑天禪杖</x:v>
      </x:c>
      <x:c r="B856" s="55" t="str">
        <x:v>—</x:v>
      </x:c>
      <x:c r="C856" s="55" t="str">
        <x:v>—</x:v>
      </x:c>
      <x:c r="D856" s="55" t="str">
        <x:v>—</x:v>
      </x:c>
      <x:c r="E856" s="55" t="inlineStr">
        <x:is>
          <x:t>西域神器錦囊（網站未列地圖）；黑天神兵元靈（網站未列地圖）；&lt;荒水真帝靈&gt;（真七寶仙境　貳）；布衣幫首領（高昌郡）；布衣幫小頭目（高昌郡）；噴焰巨龜（火焰山）；銅石龜（塔干沙漠南方、塔干沙漠西方、樓蘭遺址）；[銅石龜]（網站未列地圖）</x:t>
        </x:is>
      </x:c>
    </x:row>
    <x:row r="857" ht="45" customHeight="1">
      <x:c r="A857" s="55" t="str">
        <x:v>大羅剎寶杖</x:v>
      </x:c>
      <x:c r="B857" s="55" t="str">
        <x:v>—</x:v>
      </x:c>
      <x:c r="C857" s="55" t="str">
        <x:v>—</x:v>
      </x:c>
      <x:c r="D857" s="55" t="str">
        <x:v>大羅剎杖配方</x:v>
      </x:c>
      <x:c r="E857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日昇僧侶錦囊（網站未列地圖）；聖靈僧侶錦囊（網站未列地圖）；樓蘭僧侶錦囊（網站未列地圖）</x:t>
        </x:is>
      </x:c>
    </x:row>
    <x:row r="858" ht="45" customHeight="1">
      <x:c r="A858" s="55" t="str">
        <x:v>大黑天寶杖</x:v>
      </x:c>
      <x:c r="B858" s="55" t="str">
        <x:v>—</x:v>
      </x:c>
      <x:c r="C858" s="55" t="str">
        <x:v>—</x:v>
      </x:c>
      <x:c r="D858" s="55" t="str">
        <x:v>—</x:v>
      </x:c>
      <x:c r="E858" s="55" t="inlineStr">
        <x:is>
          <x:t>西域神器錦囊（網站未列地圖）；西域真武錦囊（網站未列地圖）；喜兔武器錦囊‧伍（網站未列地圖）；黑天神兵元靈（網站未列地圖）；神來裝樂透卡之五（網站未列地圖）；日昇僧侶錦囊（網站未列地圖）；聖靈僧侶錦囊（網站未列地圖）；樓蘭僧侶錦囊（網站未列地圖）</x:t>
        </x:is>
      </x:c>
    </x:row>
    <x:row r="859" ht="90" customHeight="1">
      <x:c r="A859" s="55" t="str">
        <x:v>安佐禪杖</x:v>
      </x:c>
      <x:c r="B859" s="55" t="str">
        <x:v>—</x:v>
      </x:c>
      <x:c r="C859" s="55" t="str">
        <x:v>—</x:v>
      </x:c>
      <x:c r="D859" s="55" t="str">
        <x:v>安佐禪杖配方</x:v>
      </x:c>
      <x:c r="E859" s="55" t="inlineStr">
        <x:is>
          <x:t>東瀛神兵桐箱（網站未列地圖）；東瀛神兵寶箱（網站未列地圖）；東瀛萬神兵匣（網站未列地圖）；御行神兵錦囊（網站未列地圖）；天照僧侶錦囊（網站未列地圖）；日昇僧侶錦囊（網站未列地圖）；酆都遊魂（三途之都、枉死之城）；往生血眼（懸空仙嶺、青藏高原）；鬼將青面般若（伊取川大陣）；飛塵風靈（黃塵荒漠）；煞獄風魔（網站未列地圖）；武尊浪人（古皇陵近郊）；武尊浪人（伊取川大陣）；鬼牙開眼（枉死之城、永劫刑場、九曲邪徑）；三途棺差（恨生不歸途、三途之都、枉死之城）；[三途棺差]（網站未列地圖）；惡鬼（古皇陵近郊、內崎埠原、八荒古墳）；惡鬼（內崎埠原、八荒古墳）；[惡鬼]（網站未列地圖）；夜帝勇士（網站未列地圖）</x:t>
        </x:is>
      </x:c>
    </x:row>
    <x:row r="860" ht="45" customHeight="1">
      <x:c r="A860" s="55" t="str">
        <x:v>堀路禪杖</x:v>
      </x:c>
      <x:c r="B860" s="55" t="str">
        <x:v>—</x:v>
      </x:c>
      <x:c r="C860" s="55" t="str">
        <x:v>—</x:v>
      </x:c>
      <x:c r="D860" s="55" t="str">
        <x:v>堀路禪杖配方</x:v>
      </x:c>
      <x:c r="E860" s="55" t="inlineStr">
        <x:is>
          <x:t>東瀛萬神兵匣（網站未列地圖）；東瀛神兵寶箱（網站未列地圖）；喜兔武器錦囊‧陸（網站未列地圖）；神來裝樂透卡之六（網站未列地圖）；天照僧侶錦囊（網站未列地圖）；萬刑惡靈（枉死之城、悲歡渡口）；夜帝之僕（網站未列地圖）；無念僧（千佛遺跡西側、摩羅國境）</x:t>
        </x:is>
      </x:c>
    </x:row>
    <x:row r="861" ht="30" customHeight="1">
      <x:c r="A861" s="55" t="str">
        <x:v>尊能禪杖</x:v>
      </x:c>
      <x:c r="B861" s="55" t="str">
        <x:v>—</x:v>
      </x:c>
      <x:c r="C861" s="55" t="str">
        <x:v>—</x:v>
      </x:c>
      <x:c r="D861" s="55" t="str">
        <x:v>尊能禪杖配方</x:v>
      </x:c>
      <x:c r="E861" s="55" t="inlineStr">
        <x:is>
          <x:t>賀歲神兵禮盒（網站未列地圖）；東瀛萬神兵匣（網站未列地圖）；八卦僧侶錦囊（網站未列地圖）；赤壇喇嘛（青藏高原、大梵聖湖、萬岳聖峰、香格里拉聖路、香格里拉神廟）</x:t>
        </x:is>
      </x:c>
    </x:row>
    <x:row r="862" ht="60" customHeight="1">
      <x:c r="A862" s="55" t="str">
        <x:v>彌方禪杖</x:v>
      </x:c>
      <x:c r="B862" s="55" t="str">
        <x:v>—</x:v>
      </x:c>
      <x:c r="C862" s="55" t="str">
        <x:v>—</x:v>
      </x:c>
      <x:c r="D862" s="55" t="str">
        <x:v>彌方禪杖配方</x:v>
      </x:c>
      <x:c r="E862" s="55" t="inlineStr">
        <x:is>
          <x:t>東瀛究極武箱（網站未列地圖）；喜兔武器錦囊‧柒（網站未列地圖）；神來裝樂透卡之七（網站未列地圖）；東瀛萬神兵匣（網站未列地圖）；八卦僧侶錦囊（網站未列地圖）；鬼牙開眼（枉死之城、永劫刑場、九曲邪徑）；酆都遊魂（三途之都、枉死之城）；黑教僧兵（登天棧道、懸空仙嶺、大梵聖湖）；旱野蛇魔（菩提聖原、大梵河岸、金霄佛寺）</x:t>
        </x:is>
      </x:c>
    </x:row>
    <x:row r="863" ht="30" customHeight="1">
      <x:c r="A863" s="55" t="str">
        <x:v>千羽禪杖</x:v>
      </x:c>
      <x:c r="B863" s="55" t="str">
        <x:v>—</x:v>
      </x:c>
      <x:c r="C863" s="55" t="str">
        <x:v>—</x:v>
      </x:c>
      <x:c r="D863" s="55" t="str">
        <x:v>—</x:v>
      </x:c>
      <x:c r="E863" s="55" t="inlineStr">
        <x:is>
          <x:t>東瀛神兵寶匣（網站未列地圖）；喜兔武器錦囊‧陸（網站未列地圖）；神來裝樂透卡之六（網站未列地圖）；夜帝化身（網站未列地圖）；鬼將妖河童（伊取川大陣）</x:t>
        </x:is>
      </x:c>
    </x:row>
    <x:row r="864" ht="30" customHeight="1">
      <x:c r="A864" s="55" t="str">
        <x:v>金閣禪杖</x:v>
      </x:c>
      <x:c r="B864" s="55" t="str">
        <x:v>—</x:v>
      </x:c>
      <x:c r="C864" s="55" t="str">
        <x:v>—</x:v>
      </x:c>
      <x:c r="D864" s="55" t="str">
        <x:v>—</x:v>
      </x:c>
      <x:c r="E864" s="55" t="inlineStr">
        <x:is>
          <x:t>東瀛神兵寶匣（網站未列地圖）；喜兔武器錦囊‧陸（網站未列地圖）；神來裝樂透卡之六（網站未列地圖）；夜帝化身（網站未列地圖）；鬼將妖河童（伊取川大陣）</x:t>
        </x:is>
      </x:c>
    </x:row>
    <x:row r="865" ht="30" customHeight="1">
      <x:c r="A865" s="55" t="str">
        <x:v>天聲禪杖</x:v>
      </x:c>
      <x:c r="B865" s="55" t="str">
        <x:v>—</x:v>
      </x:c>
      <x:c r="C865" s="55" t="str">
        <x:v>—</x:v>
      </x:c>
      <x:c r="D865" s="55" t="str">
        <x:v>—</x:v>
      </x:c>
      <x:c r="E865" s="55" t="inlineStr">
        <x:is>
          <x:t>東瀛神兵寶匣（網站未列地圖）；喜兔武器錦囊‧陸（網站未列地圖）；神來裝樂透卡之六（網站未列地圖）；夜帝化身（網站未列地圖）；天照僧侶錦囊（網站未列地圖）；鬼將妖河童（伊取川大陣）</x:t>
        </x:is>
      </x:c>
    </x:row>
    <x:row r="866" ht="60" customHeight="1">
      <x:c r="A866" s="55" t="str">
        <x:v>彌勒禪杖</x:v>
      </x:c>
      <x:c r="B866" s="55" t="str">
        <x:v>—</x:v>
      </x:c>
      <x:c r="C866" s="55" t="str">
        <x:v>—</x:v>
      </x:c>
      <x:c r="D866" s="55" t="str">
        <x:v>彌勒禪杖配方</x:v>
      </x:c>
      <x:c r="E866" s="55" t="inlineStr">
        <x:is>
          <x:t>天佛神兵錦囊（網站未列地圖）；釋尊神兵檀箱（網站未列地圖）；夜帝化身（網站未列地圖）；佛都僧侶錦囊（網站未列地圖）；八卦僧侶錦囊（網站未列地圖）；索命牛頭（九曲邪徑、寒愴冰獄）；[索命牛頭]（網站未列地圖）；陰司牛頭（網站未列地圖）；飛塵風靈（黃塵荒漠）；煞獄風魔（網站未列地圖）；魔道行者（菩提聖原、大梵河岸、金霄佛寺）</x:t>
        </x:is>
      </x:c>
    </x:row>
    <x:row r="867" ht="60" customHeight="1">
      <x:c r="A867" s="55" t="str">
        <x:v>諸法空相杖</x:v>
      </x:c>
      <x:c r="B867" s="55" t="str">
        <x:v>—</x:v>
      </x:c>
      <x:c r="C867" s="55" t="str">
        <x:v>—</x:v>
      </x:c>
      <x:c r="D867" s="55" t="str">
        <x:v>諸法禪杖配方</x:v>
      </x:c>
      <x:c r="E867" s="55" t="inlineStr">
        <x:is>
          <x:t>喜兔武器錦囊‧捌（網站未列地圖）；神來裝樂透卡之八（網站未列地圖）；天佛神兵錦囊（網站未列地圖）；釋尊神兵檀箱（網站未列地圖）；佛都僧侶錦囊（網站未列地圖）；金剛仁波切（吐蕃集鎮、香格里拉聖路、香格里拉神廟、天授之間）；九瞋喇嘛（網站未列地圖）；弔靈八王爺（森羅閻殿、奈落紅川、荒禍殘墟）；奪魄黑死將（天戮魔殿）；滅界邪陀（金霄佛寺、濕婆神廟）；血靈禪尊（網站未列地圖）</x:t>
        </x:is>
      </x:c>
    </x:row>
    <x:row r="868" ht="60" customHeight="1">
      <x:c r="A868" s="55" t="str">
        <x:v>不生不滅杖</x:v>
      </x:c>
      <x:c r="B868" s="55" t="str">
        <x:v>—</x:v>
      </x:c>
      <x:c r="C868" s="55" t="str">
        <x:v>—</x:v>
      </x:c>
      <x:c r="D868" s="55" t="str">
        <x:v>—</x:v>
      </x:c>
      <x:c r="E868" s="55" t="inlineStr">
        <x:is>
          <x:t>喜兔武器錦囊‧捌（網站未列地圖）；神來裝樂透卡之八（網站未列地圖）；天佛神兵錦囊（網站未列地圖）；釋尊神兵檀箱（網站未列地圖）；涅槃神兵聖匣（網站未列地圖）；佛都僧侶錦囊（網站未列地圖）；業火獅王（荒禍殘墟）；藏地氂牛（登天棧道、懸空仙嶺、青藏高原）；[藏地氂牛]（網站未列地圖）；雲霓戰牛（網站未列地圖）；喪魂邪屍（濕婆神廟）</x:t>
        </x:is>
      </x:c>
    </x:row>
    <x:row r="869" ht="75" customHeight="1">
      <x:c r="A869" s="55" t="str">
        <x:v>如來聖杖</x:v>
      </x:c>
      <x:c r="B869" s="55" t="str">
        <x:v>—</x:v>
      </x:c>
      <x:c r="C869" s="55" t="str">
        <x:v>—</x:v>
      </x:c>
      <x:c r="D869" s="55" t="str">
        <x:v>如來聖杖配方</x:v>
      </x:c>
      <x:c r="E869" s="55" t="inlineStr">
        <x:is>
          <x:t>釋尊真武檀箱（網站未列地圖）；釋尊神兵檀箱（網站未列地圖）；涅槃神兵聖匣（網站未列地圖）；喜兔武器錦囊‧捌（網站未列地圖）；神來裝樂透卡之八（網站未列地圖）；衰神爺（網站未列地圖）；騰湧之水（飛簷頂徑、波斯西市、法誡參道）；[騰湧之水]（網站未列地圖）；掀濤水妖（網站未列地圖）；十字軍（止戰邊境、豐穗平原）；報喪七王爺（森羅閻殿、奈落紅川、荒禍殘墟）；掠魂白死將（天戮魔殿）；赤壇喇嘛（青藏高原、大梵聖湖、萬岳聖峰、香格里拉聖路、香格里拉神廟）；赤日火靈（聖域之門、清教院街）；狂獄火魔（網站未列地圖）</x:t>
        </x:is>
      </x:c>
    </x:row>
    <x:row r="870" ht="15" customHeight="1">
      <x:c r="A870" s="55" t="str">
        <x:v>究竟涅槃杖</x:v>
      </x:c>
      <x:c r="B870" s="55" t="str">
        <x:v>—</x:v>
      </x:c>
      <x:c r="C870" s="55" t="str">
        <x:v>—</x:v>
      </x:c>
      <x:c r="D870" s="55" t="str">
        <x:v>涅槃禪杖配方</x:v>
      </x:c>
      <x:c r="E870" s="55" t="inlineStr">
        <x:is>
          <x:t>涅槃真武聖匣（網站未列地圖）；涅槃神兵聖匣（網站未列地圖）</x:t>
        </x:is>
      </x:c>
    </x:row>
    <x:row r="871" ht="30" customHeight="1">
      <x:c r="A871" s="55" t="str">
        <x:v>大日梵天杖</x:v>
      </x:c>
      <x:c r="B871" s="55" t="str">
        <x:v>—</x:v>
      </x:c>
      <x:c r="C871" s="55" t="str">
        <x:v>—</x:v>
      </x:c>
      <x:c r="D871" s="55" t="str">
        <x:v>—</x:v>
      </x:c>
      <x:c r="E871" s="55" t="inlineStr">
        <x:is>
          <x:t>涅槃真武聖匣（網站未列地圖）；涅槃神兵聖匣（網站未列地圖）；吞天梵鬼（網站未列地圖）；輪迴外邪（懸空仙嶺、青藏高原、大梵聖湖、萬岳聖峰、香格里拉聖路）；[輪迴外邪]（網站未列地圖）</x:t>
        </x:is>
      </x:c>
    </x:row>
    <x:row r="872" ht="15" customHeight="1">
      <x:c r="A872" s="55" t="str">
        <x:v>破邪顯正杖</x:v>
      </x:c>
      <x:c r="B872" s="55" t="str">
        <x:v>—</x:v>
      </x:c>
      <x:c r="C872" s="55" t="str">
        <x:v>—</x:v>
      </x:c>
      <x:c r="D872" s="55" t="str">
        <x:v>—</x:v>
      </x:c>
      <x:c r="E872" s="55" t="inlineStr">
        <x:is>
          <x:t>東煌神兵寶匣（網站未列地圖）；喜兔武器錦囊‧柒（網站未列地圖）；神來裝樂透卡之七（網站未列地圖）</x:t>
        </x:is>
      </x:c>
    </x:row>
    <x:row r="873" ht="15" customHeight="1">
      <x:c r="A873" s="55" t="str">
        <x:v>天孫降臨杖</x:v>
      </x:c>
      <x:c r="B873" s="55" t="str">
        <x:v>—</x:v>
      </x:c>
      <x:c r="C873" s="55" t="str">
        <x:v>—</x:v>
      </x:c>
      <x:c r="D873" s="55" t="str">
        <x:v>—</x:v>
      </x:c>
      <x:c r="E873" s="55" t="inlineStr">
        <x:is>
          <x:t>東煌神兵寶匣（網站未列地圖）；喜兔武器錦囊‧柒（網站未列地圖）；神來裝樂透卡之七（網站未列地圖）</x:t>
        </x:is>
      </x:c>
    </x:row>
    <x:row r="874" ht="45" customHeight="1">
      <x:c r="A874" s="55" t="str">
        <x:v>獄門邪杖</x:v>
      </x:c>
      <x:c r="B874" s="55" t="str">
        <x:v>—</x:v>
      </x:c>
      <x:c r="C874" s="55" t="str">
        <x:v>—</x:v>
      </x:c>
      <x:c r="D874" s="55" t="str">
        <x:v>—</x:v>
      </x:c>
      <x:c r="E874" s="55" t="inlineStr">
        <x:is>
          <x:t>喜兔武器錦囊‧玖（網站未列地圖）；傾天絕邪（寒愴冰獄）；煉獄邪兵戰匣（網站未列地圖）；神來裝樂透卡之九（網站未列地圖）；征鬼僧侶錦囊（網站未列地圖）；白懺大喪神（枉死之城）；亡骸弓箭手（血鴉嶺）；阿鼻霸鬼（荒禍殘墟）</x:t>
        </x:is>
      </x:c>
    </x:row>
    <x:row r="875" ht="30" customHeight="1">
      <x:c r="A875" s="55" t="str">
        <x:v>永絕輪迴杖</x:v>
      </x:c>
      <x:c r="B875" s="55" t="str">
        <x:v>—</x:v>
      </x:c>
      <x:c r="C875" s="55" t="str">
        <x:v>—</x:v>
      </x:c>
      <x:c r="D875" s="55" t="str">
        <x:v>—</x:v>
      </x:c>
      <x:c r="E875" s="55" t="inlineStr">
        <x:is>
          <x:t>阿鼻邪兵戰匣（網站未列地圖）；煉獄邪兵戰匣（網站未列地圖）；征鬼僧侶錦囊（網站未列地圖）；冷血狂蜥（血鴉嶺、靜默之丘、獅堡軍事區）</x:t>
        </x:is>
      </x:c>
    </x:row>
    <x:row r="876" ht="15" customHeight="1">
      <x:c r="A876" s="55" t="str">
        <x:v>焦土魔靨杖</x:v>
      </x:c>
      <x:c r="B876" s="55" t="str">
        <x:v>—</x:v>
      </x:c>
      <x:c r="C876" s="55" t="str">
        <x:v>—</x:v>
      </x:c>
      <x:c r="D876" s="55" t="str">
        <x:v>—</x:v>
      </x:c>
      <x:c r="E876" s="55" t="inlineStr">
        <x:is>
          <x:t>阿鼻邪兵戰匣（網站未列地圖）；煉獄邪兵戰匣（網站未列地圖）；掀濤水靈（漆黑水路、真知寺）</x:t>
        </x:is>
      </x:c>
    </x:row>
    <x:row r="877" ht="45" customHeight="1">
      <x:c r="A877" s="55" t="str">
        <x:v>天儀幡杖</x:v>
      </x:c>
      <x:c r="B877" s="55" t="str">
        <x:v>—</x:v>
      </x:c>
      <x:c r="C877" s="55" t="str">
        <x:v>—</x:v>
      </x:c>
      <x:c r="D877" s="55" t="str">
        <x:v>—</x:v>
      </x:c>
      <x:c r="E877" s="55" t="inlineStr">
        <x:is>
          <x:t>無間邪兵戰匣（網站未列地圖）；傾天絕邪（寒愴冰獄）；阿鼻邪兵戰匣（網站未列地圖）；征鬼僧侶錦囊（網站未列地圖）；騰湧之水（飛簷頂徑、波斯西市、法誡參道）；[騰湧之水]（網站未列地圖）；掀濤水妖（網站未列地圖）；黑袍魔女（止戰邊境、血鴉嶺）；黑袍魔女（豐穗平原）</x:t>
        </x:is>
      </x:c>
    </x:row>
    <x:row r="878" ht="30" customHeight="1">
      <x:c r="A878" s="55" t="str">
        <x:v>極樂往生杖</x:v>
      </x:c>
      <x:c r="B878" s="55" t="str">
        <x:v>—</x:v>
      </x:c>
      <x:c r="C878" s="55" t="str">
        <x:v>—</x:v>
      </x:c>
      <x:c r="D878" s="55" t="str">
        <x:v>—</x:v>
      </x:c>
      <x:c r="E878" s="55" t="inlineStr">
        <x:is>
          <x:t>無間邪兵戰匣（網站未列地圖）；無間邪兵戰匣（網站未列地圖）；傾天絕邪（寒愴冰獄）；征鬼僧侶錦囊（網站未列地圖）</x:t>
        </x:is>
      </x:c>
    </x:row>
    <x:row r="879" ht="30" customHeight="1">
      <x:c r="A879" s="55" t="str">
        <x:v>淨土大幡杖</x:v>
      </x:c>
      <x:c r="B879" s="55" t="str">
        <x:v>—</x:v>
      </x:c>
      <x:c r="C879" s="55" t="str">
        <x:v>—</x:v>
      </x:c>
      <x:c r="D879" s="55" t="str">
        <x:v>—</x:v>
      </x:c>
      <x:c r="E879" s="55" t="inlineStr">
        <x:is>
          <x:t>無間邪兵戰匣（網站未列地圖）；無間邪兵戰匣（網站未列地圖）；傾天絕邪（寒愴冰獄）；瀚水聖靈（萬識聖宮）；太古水靈（網站未列地圖）</x:t>
        </x:is>
      </x:c>
    </x:row>
    <x:row r="880" ht="15" customHeight="1">
      <x:c r="A880" s="55" t="str">
        <x:v>妖滅天殛魔杖</x:v>
      </x:c>
      <x:c r="B880" s="55" t="str">
        <x:v>—</x:v>
      </x:c>
      <x:c r="C880" s="55" t="str">
        <x:v>—</x:v>
      </x:c>
      <x:c r="D880" s="55" t="str">
        <x:v>—</x:v>
      </x:c>
      <x:c r="E880" s="55" t="inlineStr">
        <x:is>
          <x:t>天殛邪器錦囊（網站未列地圖）</x:t>
        </x:is>
      </x:c>
    </x:row>
    <x:row r="881" ht="15" customHeight="1">
      <x:c r="A881" s="55" t="str">
        <x:v>邪破天殛魔杖</x:v>
      </x:c>
      <x:c r="B881" s="55" t="str">
        <x:v>—</x:v>
      </x:c>
      <x:c r="C881" s="55" t="str">
        <x:v>—</x:v>
      </x:c>
      <x:c r="D881" s="55" t="str">
        <x:v>—</x:v>
      </x:c>
      <x:c r="E881" s="55" t="inlineStr">
        <x:is>
          <x:t>天殛邪器錦囊（網站未列地圖）</x:t>
        </x:is>
      </x:c>
    </x:row>
    <x:row r="882" ht="15" customHeight="1">
      <x:c r="A882" s="55" t="str">
        <x:v>惡斬天殛魔杖</x:v>
      </x:c>
      <x:c r="B882" s="55" t="str">
        <x:v>—</x:v>
      </x:c>
      <x:c r="C882" s="55" t="str">
        <x:v>—</x:v>
      </x:c>
      <x:c r="D882" s="55" t="str">
        <x:v>—</x:v>
      </x:c>
      <x:c r="E882" s="55" t="inlineStr">
        <x:is>
          <x:t>天殛邪器錦囊（網站未列地圖）</x:t>
        </x:is>
      </x:c>
    </x:row>
    <x:row r="883" ht="15" customHeight="1">
      <x:c r="A883" s="55" t="str">
        <x:v>獸殺天殛魔杖</x:v>
      </x:c>
      <x:c r="B883" s="55" t="str">
        <x:v>—</x:v>
      </x:c>
      <x:c r="C883" s="55" t="str">
        <x:v>—</x:v>
      </x:c>
      <x:c r="D883" s="55" t="str">
        <x:v>—</x:v>
      </x:c>
      <x:c r="E883" s="55" t="inlineStr">
        <x:is>
          <x:t>天殛邪器錦囊（網站未列地圖）</x:t>
        </x:is>
      </x:c>
    </x:row>
    <x:row r="884" ht="30" customHeight="1">
      <x:c r="A884" s="55" t="str">
        <x:v>藏宗禪杖</x:v>
      </x:c>
      <x:c r="B884" s="55" t="str">
        <x:v>—</x:v>
      </x:c>
      <x:c r="C884" s="55" t="str">
        <x:v>—</x:v>
      </x:c>
      <x:c r="D884" s="55" t="str">
        <x:v>—</x:v>
      </x:c>
      <x:c r="E884" s="55" t="inlineStr">
        <x:is>
          <x:t>頂峰神兵錦囊（網站未列地圖）；天藏僧侶錦囊（網站未列地圖）；天鬼神羅奢薩（神煉之間）；豬痴妖（登龍道、凌風修境、繚空碎島）；紫羽災后（凱旋廣場、聖禱天廳）；掀濤水靈（漆黑水路、真知寺）</x:t>
        </x:is>
      </x:c>
    </x:row>
    <x:row r="885" ht="30" customHeight="1">
      <x:c r="A885" s="55" t="str">
        <x:v>太古藏宗禪杖</x:v>
      </x:c>
      <x:c r="B885" s="55" t="str">
        <x:v>—</x:v>
      </x:c>
      <x:c r="C885" s="55" t="str">
        <x:v>—</x:v>
      </x:c>
      <x:c r="D885" s="55" t="str">
        <x:v>—</x:v>
      </x:c>
      <x:c r="E885" s="55" t="inlineStr">
        <x:is>
          <x:t>天藏太古神兵聖箱（網站未列地圖）；兔兒皇（網站未列地圖）；九華神曜龍（天授之間）；金剛仁波切（吐蕃集鎮、香格里拉聖路、香格里拉神廟、天授之間）；九瞋喇嘛（網站未列地圖）</x:t>
        </x:is>
      </x:c>
    </x:row>
    <x:row r="886" ht="30" customHeight="1">
      <x:c r="A886" s="55" t="str">
        <x:v>藏宗大明禪杖</x:v>
      </x:c>
      <x:c r="B886" s="55" t="str">
        <x:v>—</x:v>
      </x:c>
      <x:c r="C886" s="55" t="str">
        <x:v>—</x:v>
      </x:c>
      <x:c r="D886" s="55" t="str">
        <x:v>—</x:v>
      </x:c>
      <x:c r="E886" s="55" t="inlineStr">
        <x:is>
          <x:t>聖路神兵聖箱（網站未列地圖）；神來裝樂透卡之十（網站未列地圖）；香格里拉武匣（網站未列地圖）；天藏僧侶錦囊（網站未列地圖）；巡天遊龍（登龍道）</x:t>
        </x:is>
      </x:c>
    </x:row>
    <x:row r="887" ht="30" customHeight="1">
      <x:c r="A887" s="55" t="str">
        <x:v>藏宗真言禪杖</x:v>
      </x:c>
      <x:c r="B887" s="55" t="str">
        <x:v>—</x:v>
      </x:c>
      <x:c r="C887" s="55" t="str">
        <x:v>—</x:v>
      </x:c>
      <x:c r="D887" s="55" t="str">
        <x:v>—</x:v>
      </x:c>
      <x:c r="E887" s="55" t="inlineStr">
        <x:is>
          <x:t>聖路神兵聖箱（網站未列地圖）；神來裝樂透卡之十（網站未列地圖）；香格里拉武匣（網站未列地圖）；天藏僧侶錦囊（網站未列地圖）；冷血狂蜥（血鴉嶺、靜默之丘、獅堡軍事區）</x:t>
        </x:is>
      </x:c>
    </x:row>
    <x:row r="888" ht="15" customHeight="1">
      <x:c r="A888" s="55" t="str">
        <x:v>天樓禪杖</x:v>
      </x:c>
      <x:c r="B888" s="55" t="str">
        <x:v>—</x:v>
      </x:c>
      <x:c r="C888" s="55" t="str">
        <x:v>—</x:v>
      </x:c>
      <x:c r="D888" s="55" t="str">
        <x:v>—</x:v>
      </x:c>
      <x:c r="E888" s="55" t="inlineStr">
        <x:is>
          <x:t>天光神兵聖匣（網站未列地圖）；神水領主（聖禱天廳）</x:t>
        </x:is>
      </x:c>
    </x:row>
    <x:row r="889" ht="30" customHeight="1">
      <x:c r="A889" s="55" t="str">
        <x:v>太古天樓禪杖</x:v>
      </x:c>
      <x:c r="B889" s="55" t="str">
        <x:v>—</x:v>
      </x:c>
      <x:c r="C889" s="55" t="str">
        <x:v>—</x:v>
      </x:c>
      <x:c r="D889" s="55" t="str">
        <x:v>—</x:v>
      </x:c>
      <x:c r="E889" s="55" t="inlineStr">
        <x:is>
          <x:t>天藏太古神兵聖箱（網站未列地圖）；查拉欽（飛昇大廳）；&lt;查拉欽&gt;（真七寶仙境　貳）；荒水真帝靈（飛昇大廳）；&lt;荒水真帝靈&gt;（真七寶仙境　貳）；瀚水聖靈（萬識聖宮）；太古水靈（網站未列地圖）</x:t>
        </x:is>
      </x:c>
    </x:row>
    <x:row r="890" ht="15" customHeight="1">
      <x:c r="A890" s="55" t="str">
        <x:v>三界天樓禪杖</x:v>
      </x:c>
      <x:c r="B890" s="55" t="str">
        <x:v>—</x:v>
      </x:c>
      <x:c r="C890" s="55" t="str">
        <x:v>—</x:v>
      </x:c>
      <x:c r="D890" s="55" t="str">
        <x:v>—</x:v>
      </x:c>
      <x:c r="E890" s="55" t="inlineStr">
        <x:is>
          <x:t>顛峰神兵聖匣（網站未列地圖）；香格里拉武匣（網站未列地圖）；千斤豬狂（飛雲忘野、橫劍天關）</x:t>
        </x:is>
      </x:c>
    </x:row>
    <x:row r="891" ht="15" customHeight="1">
      <x:c r="A891" s="55" t="str">
        <x:v>九重天樓禪杖</x:v>
      </x:c>
      <x:c r="B891" s="55" t="str">
        <x:v>—</x:v>
      </x:c>
      <x:c r="C891" s="55" t="str">
        <x:v>—</x:v>
      </x:c>
      <x:c r="D891" s="55" t="str">
        <x:v>—</x:v>
      </x:c>
      <x:c r="E891" s="55" t="inlineStr">
        <x:is>
          <x:t>顛峰神兵聖匣（網站未列地圖）；香格里拉武匣（網站未列地圖）</x:t>
        </x:is>
      </x:c>
    </x:row>
    <x:row r="892" ht="15" customHeight="1">
      <x:c r="A892" s="55" t="str">
        <x:v>伽藍尊王杖</x:v>
      </x:c>
      <x:c r="B892" s="55" t="str">
        <x:v>—</x:v>
      </x:c>
      <x:c r="C892" s="55" t="str">
        <x:v>—</x:v>
      </x:c>
      <x:c r="D892" s="55" t="str">
        <x:v>—</x:v>
      </x:c>
      <x:c r="E892" s="55" t="inlineStr">
        <x:is>
          <x:t>聖魔永劫戰匣（網站未列地圖）</x:t>
        </x:is>
      </x:c>
    </x:row>
    <x:row r="893" ht="15" customHeight="1">
      <x:c r="A893" s="55" t="str">
        <x:v>訶利帝母杖</x:v>
      </x:c>
      <x:c r="B893" s="55" t="str">
        <x:v>—</x:v>
      </x:c>
      <x:c r="C893" s="55" t="str">
        <x:v>—</x:v>
      </x:c>
      <x:c r="D893" s="55" t="str">
        <x:v>—</x:v>
      </x:c>
      <x:c r="E893" s="55" t="inlineStr">
        <x:is>
          <x:t>聖魔永劫戰匣（網站未列地圖）</x:t>
        </x:is>
      </x:c>
    </x:row>
    <x:row r="894" ht="15" customHeight="1">
      <x:c r="A894" s="55" t="str">
        <x:v>真知權杖</x:v>
      </x:c>
      <x:c r="B894" s="55" t="str">
        <x:v>—</x:v>
      </x:c>
      <x:c r="C894" s="55" t="str">
        <x:v>—</x:v>
      </x:c>
      <x:c r="D894" s="55" t="str">
        <x:v>—</x:v>
      </x:c>
      <x:c r="E894" s="55" t="inlineStr">
        <x:is>
          <x:t>波斯神兵寶箱（網站未列地圖）；豬痴妖（登龍道、凌風修境、繚空碎島）；紫羽災后（凱旋廣場、聖禱天廳）</x:t>
        </x:is>
      </x:c>
    </x:row>
    <x:row r="895" ht="15" customHeight="1">
      <x:c r="A895" s="55" t="str">
        <x:v>太古真知權杖</x:v>
      </x:c>
      <x:c r="B895" s="55" t="str">
        <x:v>—</x:v>
      </x:c>
      <x:c r="C895" s="55" t="str">
        <x:v>—</x:v>
      </x:c>
      <x:c r="D895" s="55" t="str">
        <x:v>—</x:v>
      </x:c>
      <x:c r="E895" s="55" t="inlineStr">
        <x:is>
          <x:t>波斯太古神兵聖箱（網站未列地圖）；幻魔‧海蛇（神臨之地）；&lt;幻魔‧海蛇&gt;（修羅級神臨之地）</x:t>
        </x:is>
      </x:c>
    </x:row>
    <x:row r="896" ht="30" customHeight="1">
      <x:c r="A896" s="55" t="str">
        <x:v>輝煌天權杖</x:v>
      </x:c>
      <x:c r="B896" s="55" t="str">
        <x:v>—</x:v>
      </x:c>
      <x:c r="C896" s="55" t="str">
        <x:v>—</x:v>
      </x:c>
      <x:c r="D896" s="55" t="str">
        <x:v>—</x:v>
      </x:c>
      <x:c r="E896" s="55" t="inlineStr">
        <x:is>
          <x:t>真知神兵金盒（網站未列地圖）；波斯千武印箱（網站未列地圖）；萬識飛升聖匣（網站未列地圖）；巡天遊龍（登龍道）</x:t>
        </x:is>
      </x:c>
    </x:row>
    <x:row r="897" ht="30" customHeight="1">
      <x:c r="A897" s="55" t="str">
        <x:v>碧耀神律杖</x:v>
      </x:c>
      <x:c r="B897" s="55" t="str">
        <x:v>—</x:v>
      </x:c>
      <x:c r="C897" s="55" t="str">
        <x:v>—</x:v>
      </x:c>
      <x:c r="D897" s="55" t="str">
        <x:v>—</x:v>
      </x:c>
      <x:c r="E897" s="55" t="inlineStr">
        <x:is>
          <x:t>真知神兵金盒（網站未列地圖）；波斯千武印箱（網站未列地圖）；萬識飛升聖匣（網站未列地圖）；太初劍魄（橫劍天關）</x:t>
        </x:is>
      </x:c>
    </x:row>
    <x:row r="898" ht="30" customHeight="1">
      <x:c r="A898" s="55" t="str">
        <x:v>星宮聖杖</x:v>
      </x:c>
      <x:c r="B898" s="55" t="str">
        <x:v>—</x:v>
      </x:c>
      <x:c r="C898" s="55" t="str">
        <x:v>—</x:v>
      </x:c>
      <x:c r="D898" s="55" t="str">
        <x:v>—</x:v>
      </x:c>
      <x:c r="E898" s="55" t="inlineStr">
        <x:is>
          <x:t>武皇神兵寶箱（網站未列地圖）；波斯千武印箱（網站未列地圖）；酒肉豬仙（仙庭玉階、闕真金閣）；天地散仙（網站未列地圖）；&lt;荒水真帝靈&gt;（真七寶仙境　貳）；神水領主（聖禱天廳）</x:t>
        </x:is>
      </x:c>
    </x:row>
    <x:row r="899" ht="30" customHeight="1">
      <x:c r="A899" s="55" t="str">
        <x:v>太古星宮聖杖</x:v>
      </x:c>
      <x:c r="B899" s="55" t="str">
        <x:v>—</x:v>
      </x:c>
      <x:c r="C899" s="55" t="str">
        <x:v>—</x:v>
      </x:c>
      <x:c r="D899" s="55" t="str">
        <x:v>—</x:v>
      </x:c>
      <x:c r="E899" s="55" t="inlineStr">
        <x:is>
          <x:t>年大媽（網站未列地圖）；波斯太古神兵聖箱（網站未列地圖）；地獄鷹身女（神臨之地）；&lt;地獄鷹身女&gt;（修羅級神臨之地）</x:t>
        </x:is>
      </x:c>
    </x:row>
    <x:row r="900" ht="15" customHeight="1">
      <x:c r="A900" s="55" t="str">
        <x:v>紫宿雙流杖</x:v>
      </x:c>
      <x:c r="B900" s="55" t="str">
        <x:v>—</x:v>
      </x:c>
      <x:c r="C900" s="55" t="str">
        <x:v>—</x:v>
      </x:c>
      <x:c r="D900" s="55" t="str">
        <x:v>—</x:v>
      </x:c>
      <x:c r="E900" s="55" t="inlineStr">
        <x:is>
          <x:t>巴比倫神兵寶箱（網站未列地圖）；萬識飛升聖匣（網站未列地圖）；千斤豬狂（飛雲忘野、橫劍天關）</x:t>
        </x:is>
      </x:c>
    </x:row>
    <x:row r="901" ht="15" customHeight="1">
      <x:c r="A901" s="55" t="str">
        <x:v>慧軫天羊杖</x:v>
      </x:c>
      <x:c r="B901" s="55" t="str">
        <x:v>—</x:v>
      </x:c>
      <x:c r="C901" s="55" t="str">
        <x:v>—</x:v>
      </x:c>
      <x:c r="D901" s="55" t="str">
        <x:v>—</x:v>
      </x:c>
      <x:c r="E901" s="55" t="inlineStr">
        <x:is>
          <x:t>巴比倫神兵寶箱（網站未列地圖）；萬識飛升聖匣（網站未列地圖）；風伯（凌風修境、繚空碎島）</x:t>
        </x:is>
      </x:c>
    </x:row>
    <x:row r="902" ht="15" customHeight="1">
      <x:c r="A902" s="55" t="str">
        <x:v>獄魔杖</x:v>
      </x:c>
      <x:c r="B902" s="55" t="str">
        <x:v>—</x:v>
      </x:c>
      <x:c r="C902" s="55" t="str">
        <x:v>—</x:v>
      </x:c>
      <x:c r="D902" s="55" t="str">
        <x:v>—</x:v>
      </x:c>
      <x:c r="E902" s="55" t="inlineStr">
        <x:is>
          <x:t>帝國神兵寶箱（網站未列地圖）；肅狄夷公（天啟八關）；金閣天龍將（闕真金閣）</x:t>
        </x:is>
      </x:c>
    </x:row>
    <x:row r="903" ht="15" customHeight="1">
      <x:c r="A903" s="55" t="str">
        <x:v>太古獄魔杖</x:v>
      </x:c>
      <x:c r="B903" s="55" t="str">
        <x:v>—</x:v>
      </x:c>
      <x:c r="C903" s="55" t="str">
        <x:v>—</x:v>
      </x:c>
      <x:c r="D903" s="55" t="str">
        <x:v>—</x:v>
      </x:c>
      <x:c r="E903" s="55" t="inlineStr">
        <x:is>
          <x:t>帝國太古神兵聖箱（網站未列地圖）；典藏神臨寶箱（網站未列地圖）；蒼白達苟士（凱旋廣場）</x:t>
        </x:is>
      </x:c>
    </x:row>
    <x:row r="904" ht="15" customHeight="1">
      <x:c r="A904" s="55" t="str">
        <x:v>煉獄魔導杖</x:v>
      </x:c>
      <x:c r="B904" s="55" t="str">
        <x:v>—</x:v>
      </x:c>
      <x:c r="C904" s="55" t="str">
        <x:v>—</x:v>
      </x:c>
      <x:c r="D904" s="55" t="str">
        <x:v>—</x:v>
      </x:c>
      <x:c r="E904" s="55" t="inlineStr">
        <x:is>
          <x:t>獅皇神兵寶箱（網站未列地圖）；太初劍魄（橫劍天關）</x:t>
        </x:is>
      </x:c>
    </x:row>
    <x:row r="905" ht="15" customHeight="1">
      <x:c r="A905" s="55" t="str">
        <x:v>妖骸禁咒杖</x:v>
      </x:c>
      <x:c r="B905" s="55" t="str">
        <x:v>—</x:v>
      </x:c>
      <x:c r="C905" s="55" t="str">
        <x:v>—</x:v>
      </x:c>
      <x:c r="D905" s="55" t="str">
        <x:v>—</x:v>
      </x:c>
      <x:c r="E905" s="55" t="inlineStr">
        <x:is>
          <x:t>獅皇神兵寶箱（網站未列地圖）</x:t>
        </x:is>
      </x:c>
    </x:row>
    <x:row r="906" ht="30" customHeight="1">
      <x:c r="A906" s="55" t="str">
        <x:v>天羽杖</x:v>
      </x:c>
      <x:c r="B906" s="55" t="str">
        <x:v>—</x:v>
      </x:c>
      <x:c r="C906" s="55" t="str">
        <x:v>—</x:v>
      </x:c>
      <x:c r="D906" s="55" t="str">
        <x:v>—</x:v>
      </x:c>
      <x:c r="E906" s="55" t="inlineStr">
        <x:is>
          <x:t>歐帝神兵寶箱（網站未列地圖）；佑天神僧（紫雷轟原）；酒肉豬仙（仙庭玉階、闕真金閣）；天地散仙（網站未列地圖）</x:t>
        </x:is>
      </x:c>
    </x:row>
    <x:row r="907" ht="15" customHeight="1">
      <x:c r="A907" s="55" t="str">
        <x:v>太古天羽杖</x:v>
      </x:c>
      <x:c r="B907" s="55" t="str">
        <x:v>—</x:v>
      </x:c>
      <x:c r="C907" s="55" t="str">
        <x:v>—</x:v>
      </x:c>
      <x:c r="D907" s="55" t="str">
        <x:v>—</x:v>
      </x:c>
      <x:c r="E907" s="55" t="inlineStr">
        <x:is>
          <x:t>帝國太古神兵聖箱（網站未列地圖）；武神（網站未列地圖）；錦袍仙丞（九霄天樓）</x:t>
        </x:is>
      </x:c>
    </x:row>
    <x:row r="908" ht="15" customHeight="1">
      <x:c r="A908" s="55" t="str">
        <x:v>天國福音杖</x:v>
      </x:c>
      <x:c r="B908" s="55" t="str">
        <x:v>—</x:v>
      </x:c>
      <x:c r="C908" s="55" t="str">
        <x:v>—</x:v>
      </x:c>
      <x:c r="D908" s="55" t="str">
        <x:v>—</x:v>
      </x:c>
      <x:c r="E908" s="55" t="inlineStr">
        <x:is>
          <x:t>君臨神兵寶箱（網站未列地圖）；虎台白吼（四聖祭台）</x:t>
        </x:is>
      </x:c>
    </x:row>
    <x:row r="909" ht="45" customHeight="1">
      <x:c r="A909" s="55" t="str">
        <x:v>聖翼極光杖</x:v>
      </x:c>
      <x:c r="B909" s="55" t="str">
        <x:v>—</x:v>
      </x:c>
      <x:c r="C909" s="55" t="str">
        <x:v>—</x:v>
      </x:c>
      <x:c r="D909" s="55" t="str">
        <x:v>—</x:v>
      </x:c>
      <x:c r="E909" s="55" t="inlineStr">
        <x:is>
          <x:t>君臨神兵寶箱（網站未列地圖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x:t>
        </x:is>
      </x:c>
    </x:row>
    <x:row r="910" ht="15" customHeight="1">
      <x:c r="A910" s="55" t="str">
        <x:v>斬惡聖衛權杖</x:v>
      </x:c>
      <x:c r="B910" s="55" t="str">
        <x:v>—</x:v>
      </x:c>
      <x:c r="C910" s="55" t="str">
        <x:v>—</x:v>
      </x:c>
      <x:c r="D910" s="55" t="str">
        <x:v>—</x:v>
      </x:c>
      <x:c r="E910" s="55" t="inlineStr">
        <x:is>
          <x:t>霸武聖兵寶樞（網站未列地圖）</x:t>
        </x:is>
      </x:c>
    </x:row>
    <x:row r="911" ht="15" customHeight="1">
      <x:c r="A911" s="55" t="str">
        <x:v>誅魔聖衛權杖</x:v>
      </x:c>
      <x:c r="B911" s="55" t="str">
        <x:v>—</x:v>
      </x:c>
      <x:c r="C911" s="55" t="str">
        <x:v>—</x:v>
      </x:c>
      <x:c r="D911" s="55" t="str">
        <x:v>—</x:v>
      </x:c>
      <x:c r="E911" s="55" t="inlineStr">
        <x:is>
          <x:t>霸武聖兵寶樞（網站未列地圖）</x:t>
        </x:is>
      </x:c>
    </x:row>
    <x:row r="912" ht="15" customHeight="1">
      <x:c r="A912" s="55" t="str">
        <x:v>伏妖聖衛權杖</x:v>
      </x:c>
      <x:c r="B912" s="55" t="str">
        <x:v>—</x:v>
      </x:c>
      <x:c r="C912" s="55" t="str">
        <x:v>—</x:v>
      </x:c>
      <x:c r="D912" s="55" t="str">
        <x:v>—</x:v>
      </x:c>
      <x:c r="E912" s="55" t="inlineStr">
        <x:is>
          <x:t>霸武聖兵寶樞（網站未列地圖）</x:t>
        </x:is>
      </x:c>
    </x:row>
    <x:row r="913" ht="15" customHeight="1">
      <x:c r="A913" s="55" t="str">
        <x:v>獸魂聖衛權杖</x:v>
      </x:c>
      <x:c r="B913" s="55" t="str">
        <x:v>—</x:v>
      </x:c>
      <x:c r="C913" s="55" t="str">
        <x:v>—</x:v>
      </x:c>
      <x:c r="D913" s="55" t="str">
        <x:v>—</x:v>
      </x:c>
      <x:c r="E913" s="55" t="inlineStr">
        <x:is>
          <x:t>霸武聖兵寶樞（網站未列地圖）</x:t>
        </x:is>
      </x:c>
    </x:row>
    <x:row r="914" ht="15" customHeight="1">
      <x:c r="A914" s="55" t="str">
        <x:v>影凰杖</x:v>
      </x:c>
      <x:c r="B914" s="55" t="str">
        <x:v>—</x:v>
      </x:c>
      <x:c r="C914" s="55" t="str">
        <x:v>—</x:v>
      </x:c>
      <x:c r="D914" s="55" t="str">
        <x:v>—</x:v>
      </x:c>
      <x:c r="E914" s="55" t="inlineStr">
        <x:is>
          <x:t>九天神兵寶箱（網站未列地圖）；拂雲崩龍（青龍東殿）；金閣天龍將（闕真金閣）；穹天千戶（天啟八關）</x:t>
        </x:is>
      </x:c>
    </x:row>
    <x:row r="915" ht="30" customHeight="1">
      <x:c r="A915" s="55" t="str">
        <x:v>太古影凰杖</x:v>
      </x:c>
      <x:c r="B915" s="55" t="str">
        <x:v>—</x:v>
      </x:c>
      <x:c r="C915" s="55" t="str">
        <x:v>—</x:v>
      </x:c>
      <x:c r="D915" s="55" t="str">
        <x:v>—</x:v>
      </x:c>
      <x:c r="E915" s="55" t="inlineStr">
        <x:is>
          <x:t>九天太古神兵聖箱（網站未列地圖）；犯戒僧極樂（飛雲忘野）；仙典九天寶箱（網站未列地圖）；&lt;錦袍仙丞&gt;（修羅級九霄天樓）</x:t>
        </x:is>
      </x:c>
    </x:row>
    <x:row r="916" ht="15" customHeight="1">
      <x:c r="A916" s="55" t="str">
        <x:v>太陰鳳麟杖</x:v>
      </x:c>
      <x:c r="B916" s="55" t="str">
        <x:v>—</x:v>
      </x:c>
      <x:c r="C916" s="55" t="str">
        <x:v>—</x:v>
      </x:c>
      <x:c r="D916" s="55" t="str">
        <x:v>—</x:v>
      </x:c>
      <x:c r="E916" s="55" t="inlineStr">
        <x:is>
          <x:t>飛仙神兵寶箱（網站未列地圖）；星虎白皇（白虎西殿）</x:t>
        </x:is>
      </x:c>
    </x:row>
    <x:row r="917" ht="15" customHeight="1">
      <x:c r="A917" s="55" t="str">
        <x:v>月影夜凰杖</x:v>
      </x:c>
      <x:c r="B917" s="55" t="str">
        <x:v>—</x:v>
      </x:c>
      <x:c r="C917" s="55" t="str">
        <x:v>—</x:v>
      </x:c>
      <x:c r="D917" s="55" t="str">
        <x:v>—</x:v>
      </x:c>
      <x:c r="E917" s="55" t="inlineStr">
        <x:is>
          <x:t>飛仙神兵寶箱（網站未列地圖）；褐紋天虎（白虎西殿）</x:t>
        </x:is>
      </x:c>
    </x:row>
    <x:row r="918" ht="15" customHeight="1">
      <x:c r="A918" s="55" t="str">
        <x:v>松明杖</x:v>
      </x:c>
      <x:c r="B918" s="55" t="str">
        <x:v>—</x:v>
      </x:c>
      <x:c r="C918" s="55" t="str">
        <x:v>—</x:v>
      </x:c>
      <x:c r="D918" s="55" t="str">
        <x:v>—</x:v>
      </x:c>
      <x:c r="E918" s="55" t="inlineStr">
        <x:is>
          <x:t>仙庭神兵寶箱（網站未列地圖）；轟原風精（紫雷轟原）</x:t>
        </x:is>
      </x:c>
    </x:row>
    <x:row r="919" ht="15" customHeight="1">
      <x:c r="A919" s="55" t="str">
        <x:v>太古松明杖</x:v>
      </x:c>
      <x:c r="B919" s="55" t="str">
        <x:v>—</x:v>
      </x:c>
      <x:c r="C919" s="55" t="str">
        <x:v>—</x:v>
      </x:c>
      <x:c r="D919" s="55" t="str">
        <x:v>—</x:v>
      </x:c>
      <x:c r="E919" s="55" t="inlineStr">
        <x:is>
          <x:t>九天太古神兵聖箱（網站未列地圖）；仙典真九天寶箱（網站未列地圖）</x:t>
        </x:is>
      </x:c>
    </x:row>
    <x:row r="920" ht="45" customHeight="1">
      <x:c r="A920" s="55" t="str">
        <x:v>皇樓天燈杖</x:v>
      </x:c>
      <x:c r="B920" s="55" t="str">
        <x:v>—</x:v>
      </x:c>
      <x:c r="C920" s="55" t="str">
        <x:v>—</x:v>
      </x:c>
      <x:c r="D920" s="55" t="str">
        <x:v>—</x:v>
      </x:c>
      <x:c r="E920" s="55" t="inlineStr">
        <x:is>
          <x:t>修真神兵寶箱（網站未列地圖）；鎮國象神（白虎西殿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x:t>
        </x:is>
      </x:c>
    </x:row>
    <x:row r="921" ht="30" customHeight="1">
      <x:c r="A921" s="55" t="str">
        <x:v>普照九華杖</x:v>
      </x:c>
      <x:c r="B921" s="55" t="str">
        <x:v>—</x:v>
      </x:c>
      <x:c r="C921" s="55" t="str">
        <x:v>—</x:v>
      </x:c>
      <x:c r="D921" s="55" t="str">
        <x:v>—</x:v>
      </x:c>
      <x:c r="E921" s="55" t="inlineStr">
        <x:is>
          <x:t>修真神兵寶箱（網站未列地圖）；強襲飛龍（青龍東殿）；虎台白吼（四聖祭台）；護火聖像（朱雀南殿）；截拳虎衛（白虎西殿）</x:t>
        </x:is>
      </x:c>
    </x:row>
    <x:row r="922" ht="15" customHeight="1">
      <x:c r="A922" s="55" t="str">
        <x:v>恆杖明王尊</x:v>
      </x:c>
      <x:c r="B922" s="55" t="str">
        <x:v>—</x:v>
      </x:c>
      <x:c r="C922" s="55" t="str">
        <x:v>—</x:v>
      </x:c>
      <x:c r="D922" s="55" t="str">
        <x:v>—</x:v>
      </x:c>
      <x:c r="E922" s="55" t="inlineStr">
        <x:is>
          <x:t>浩陽神兵寶匣（網站未列地圖）</x:t>
        </x:is>
      </x:c>
    </x:row>
    <x:row r="923" ht="15" customHeight="1">
      <x:c r="A923" s="55" t="str">
        <x:v>毗盧遮那杖</x:v>
      </x:c>
      <x:c r="B923" s="55" t="str">
        <x:v>—</x:v>
      </x:c>
      <x:c r="C923" s="55" t="str">
        <x:v>—</x:v>
      </x:c>
      <x:c r="D923" s="55" t="str">
        <x:v>—</x:v>
      </x:c>
      <x:c r="E923" s="55" t="inlineStr">
        <x:is>
          <x:t>浩陽神兵寶匣（網站未列地圖）</x:t>
        </x:is>
      </x:c>
    </x:row>
    <x:row r="924" ht="30" customHeight="1">
      <x:c r="A924" s="55" t="str">
        <x:v>天鍛‧釋迦杖</x:v>
      </x:c>
      <x:c r="B924" s="55" t="str">
        <x:v>—</x:v>
      </x:c>
      <x:c r="C924" s="55" t="str">
        <x:v>—</x:v>
      </x:c>
      <x:c r="D924" s="55" t="str">
        <x:v>—</x:v>
      </x:c>
      <x:c r="E924" s="55" t="inlineStr">
        <x:is>
          <x:t>無限神兵寶箱（網站未列地圖）；玄武甲龜（玄武北殿）；太白無常（異時界‧亂藤林西）；銳牙大鱷（異時界‧亂藤林南）；天尊獅座（白虎西殿）；刑天戰狂（異時界‧亂藤林）；疲憊的刑天戰士（異時界‧亂藤林東）</x:t>
        </x:is>
      </x:c>
    </x:row>
    <x:row r="925" ht="30" customHeight="1">
      <x:c r="A925" s="55" t="str">
        <x:v>仙鑄‧釋迦杖</x:v>
      </x:c>
      <x:c r="B925" s="55" t="str">
        <x:v>—</x:v>
      </x:c>
      <x:c r="C925" s="55" t="str">
        <x:v>—</x:v>
      </x:c>
      <x:c r="D925" s="55" t="str">
        <x:v>—</x:v>
      </x:c>
      <x:c r="E925" s="55" t="inlineStr">
        <x:is>
          <x:t>大無限神兵寶箱（網站未列地圖）；侯氏兵甲福袋2015（網站未列地圖）；亡邪夸父戰尸（異時界‧葬日沼北）；亡邪巨靈殭魔（異時界‧葬日沼北）；魔山狂猿（異時界‧夜叉嶺）；亡邪阿修羅鬼（異時界‧葬日沼北）</x:t>
        </x:is>
      </x:c>
    </x:row>
    <x:row r="926" ht="30" customHeight="1">
      <x:c r="A926" s="55" t="str">
        <x:v>神煉‧釋迦杖</x:v>
      </x:c>
      <x:c r="B926" s="55" t="str">
        <x:v>—</x:v>
      </x:c>
      <x:c r="C926" s="55" t="str">
        <x:v>—</x:v>
      </x:c>
      <x:c r="D926" s="55" t="str">
        <x:v>—</x:v>
      </x:c>
      <x:c r="E926" s="55" t="inlineStr">
        <x:is>
          <x:t>超無限神兵寶箱（網站未列地圖）；三之極限福袋（網站未列地圖）；射命虛狸（網站未列地圖）；人蔘精‧強（殘雲天境）；迴影殺犬（時沒邊界）</x:t>
        </x:is>
      </x:c>
    </x:row>
    <x:row r="927" ht="30" customHeight="1">
      <x:c r="A927" s="55" t="str">
        <x:v>宇傲‧釋迦杖</x:v>
      </x:c>
      <x:c r="B927" s="55" t="str">
        <x:v>—</x:v>
      </x:c>
      <x:c r="C927" s="55" t="str">
        <x:v>—</x:v>
      </x:c>
      <x:c r="D927" s="55" t="str">
        <x:v>—</x:v>
      </x:c>
      <x:c r="E927" s="55" t="inlineStr">
        <x:is>
          <x:t>極無限神兵寶箱（網站未列地圖）；侯氏兵甲福袋2016（網站未列地圖）；荒火虛魂（音無晶宇）；陰骸骨刀（觀無巽宇）；沉迭巨猿（覺無洋宇）；百變蛇魅（覺無洋宇）；陌形幻僧（時沒邊界）</x:t>
        </x:is>
      </x:c>
    </x:row>
    <x:row r="928" ht="30" customHeight="1">
      <x:c r="A928" s="55" t="str">
        <x:v>峻霆‧釋迦杖</x:v>
      </x:c>
      <x:c r="B928" s="55" t="str">
        <x:v>—</x:v>
      </x:c>
      <x:c r="C928" s="55" t="str">
        <x:v>—</x:v>
      </x:c>
      <x:c r="D928" s="55" t="str">
        <x:v>—</x:v>
      </x:c>
      <x:c r="E928" s="55" t="inlineStr">
        <x:is>
          <x:t>絕無限神兵寶箱（網站未列地圖）；幻晶巨儡（音無晶宇）；六首邪鱗（星群碎道）；重嵐勁蛟（星群碎道）；厲陰魔相（不解迴路）；空宙兇風（不解迴路）</x:t>
        </x:is>
      </x:c>
    </x:row>
    <x:row r="929" ht="30" customHeight="1">
      <x:c r="A929" s="55" t="str">
        <x:v>窮極‧釋迦杖</x:v>
      </x:c>
      <x:c r="B929" s="55" t="str">
        <x:v>—</x:v>
      </x:c>
      <x:c r="C929" s="55" t="str">
        <x:v>—</x:v>
      </x:c>
      <x:c r="D929" s="55" t="str">
        <x:v>—</x:v>
      </x:c>
      <x:c r="E929" s="55" t="inlineStr">
        <x:is>
          <x:t>無無限神兵寶箱（網站未列地圖）；搗蛋天鬼神（網站未列地圖）；賀歲大金雞（網站未列地圖）；沒世飛司祭（虛空渦心）；冥虛長使（虛空渦心）</x:t>
        </x:is>
      </x:c>
    </x:row>
    <x:row r="930" ht="15" customHeight="1">
      <x:c r="A930" s="55" t="str">
        <x:v>元宙‧釋迦杖</x:v>
      </x:c>
      <x:c r="B930" s="55" t="str">
        <x:v>—</x:v>
      </x:c>
      <x:c r="C930" s="55" t="str">
        <x:v>—</x:v>
      </x:c>
      <x:c r="D930" s="55" t="str">
        <x:v>—</x:v>
      </x:c>
      <x:c r="E930" s="55" t="inlineStr">
        <x:is>
          <x:t>帝無限神兵寶箱（網站未列地圖）；惡行犯（終末之塔第11層）</x:t>
        </x:is>
      </x:c>
    </x:row>
    <x:row r="931" ht="30" customHeight="1">
      <x:c r="A931" s="55" t="str">
        <x:v>真宇傲釋迦杖</x:v>
      </x:c>
      <x:c r="B931" s="55" t="str">
        <x:v>—</x:v>
      </x:c>
      <x:c r="C931" s="55" t="str">
        <x:v>—</x:v>
      </x:c>
      <x:c r="D931" s="55" t="str">
        <x:v>—</x:v>
      </x:c>
      <x:c r="E931" s="55" t="inlineStr">
        <x:is>
          <x:t>終無限神兵寶箱（網站未列地圖）；虛海獵叉（終末之塔第37層、終末之塔第35層）；窮兇極鱷（終末之塔第43層、終末之塔第46層）；塵泥羊巫（古翰大沙漠）</x:t>
        </x:is>
      </x:c>
    </x:row>
    <x:row r="932" ht="30" customHeight="1">
      <x:c r="A932" s="55" t="str">
        <x:v>瀚辰杖★</x:v>
      </x:c>
      <x:c r="B932" s="55" t="str">
        <x:v>—</x:v>
      </x:c>
      <x:c r="C932" s="55" t="str">
        <x:v>—</x:v>
      </x:c>
      <x:c r="D932" s="55" t="str">
        <x:v>—</x:v>
      </x:c>
      <x:c r="E932" s="55" t="inlineStr">
        <x:is>
          <x:t>仙星神兵寶箱（網站未列地圖）；天罪僧侶錦囊（網站未列地圖）；艾濟巡督（太陽神大道）；親衛獸將（王都盧索）；聖谷王司（托勒密山麓）</x:t>
        </x:is>
      </x:c>
    </x:row>
    <x:row r="933" ht="15" customHeight="1">
      <x:c r="A933" s="55" t="str">
        <x:v>瀚辰杖★★</x:v>
      </x:c>
      <x:c r="B933" s="55" t="str">
        <x:v>—</x:v>
      </x:c>
      <x:c r="C933" s="55" t="str">
        <x:v>—</x:v>
      </x:c>
      <x:c r="D933" s="55" t="str">
        <x:v>—</x:v>
      </x:c>
      <x:c r="E933" s="55" t="inlineStr">
        <x:is>
          <x:t>真‧仙星神兵寶箱（網站未列地圖）；罪赦僧侶錦囊（網站未列地圖）；托特（荷魯斯聖祠）</x:t>
        </x:is>
      </x:c>
    </x:row>
    <x:row r="934" ht="30" customHeight="1">
      <x:c r="A934" s="55" t="str">
        <x:v>瀚辰杖★★★</x:v>
      </x:c>
      <x:c r="B934" s="55" t="str">
        <x:v>—</x:v>
      </x:c>
      <x:c r="C934" s="55" t="str">
        <x:v>—</x:v>
      </x:c>
      <x:c r="D934" s="55" t="str">
        <x:v>—</x:v>
      </x:c>
      <x:c r="E934" s="55" t="inlineStr">
        <x:is>
          <x:t>超‧仙星神兵寶箱（網站未列地圖）；終罪僧侶錦囊（網站未列地圖）；倒懸心魔（終末之塔第84層、終末之塔第85層）；木乃伊（終末之塔第71層）</x:t>
        </x:is>
      </x:c>
    </x:row>
    <x:row r="935" ht="30" customHeight="1">
      <x:c r="A935" s="55" t="str">
        <x:v>列肆杖☆</x:v>
      </x:c>
      <x:c r="B935" s="55" t="str">
        <x:v>—</x:v>
      </x:c>
      <x:c r="C935" s="55" t="str">
        <x:v>—</x:v>
      </x:c>
      <x:c r="D935" s="55" t="str">
        <x:v>—</x:v>
      </x:c>
      <x:c r="E935" s="55" t="inlineStr">
        <x:is>
          <x:t>煌星神兵寶箱（網站未列地圖）；天罪僧侶錦囊（網站未列地圖）；終塔妖狐（終末之塔第108層、終末之塔第101層、終末之塔第102層、終末之塔第106層）；虛念頭陀（終末之塔第99層）</x:t>
        </x:is>
      </x:c>
    </x:row>
    <x:row r="936" ht="60" customHeight="1">
      <x:c r="A936" s="55" t="str">
        <x:v>列肆杖☆☆</x:v>
      </x:c>
      <x:c r="B936" s="55" t="str">
        <x:v>—</x:v>
      </x:c>
      <x:c r="C936" s="55" t="str">
        <x:v>—</x:v>
      </x:c>
      <x:c r="D936" s="55" t="str">
        <x:v>—</x:v>
      </x:c>
      <x:c r="E936" s="55" t="inlineStr">
        <x:is>
          <x:t>真‧煌星神兵寶箱（網站未列地圖）；罪赦僧侶錦囊（網站未列地圖）；淪劫尸骨（終末之塔第112層、終末之塔第118層、終末之塔第113層）；八敗命陀（終末之塔第128層）；咒殼蠕蝸（終末之塔第134層、終末之塔第133層、終末之塔第139層、終末之塔第138層、終末之塔第131層、終末之塔第135層、終末之塔第136層、終末之塔第137層）</x:t>
        </x:is>
      </x:c>
    </x:row>
    <x:row r="937" ht="30" customHeight="1">
      <x:c r="A937" s="55" t="str">
        <x:v>列肆杖☆☆☆</x:v>
      </x:c>
      <x:c r="B937" s="55" t="str">
        <x:v>—</x:v>
      </x:c>
      <x:c r="C937" s="55" t="str">
        <x:v>—</x:v>
      </x:c>
      <x:c r="D937" s="55" t="str">
        <x:v>—</x:v>
      </x:c>
      <x:c r="E937" s="55" t="inlineStr">
        <x:is>
          <x:t>超‧煌星神兵寶箱（網站未列地圖）；終罪僧侶錦囊（網站未列地圖）；青綸邪士（終末之塔第147層、終末之塔第144層、終末之塔第141層）</x:t>
        </x:is>
      </x:c>
    </x:row>
    <x:row r="938" ht="15" customHeight="1">
      <x:c r="A938" s="55" t="str">
        <x:v>御天杖☆</x:v>
      </x:c>
      <x:c r="B938" s="55" t="str">
        <x:v>—</x:v>
      </x:c>
      <x:c r="C938" s="55" t="str">
        <x:v>—</x:v>
      </x:c>
      <x:c r="D938" s="55" t="str">
        <x:v>—</x:v>
      </x:c>
      <x:c r="E938" s="55" t="inlineStr">
        <x:is>
          <x:t>帝星神兵寶箱（網站未列地圖）；扶疏樹精（東宮碧庭）</x:t>
        </x:is>
      </x:c>
    </x:row>
    <x:row r="939" ht="15" customHeight="1">
      <x:c r="A939" s="55" t="str">
        <x:v>御天杖★</x:v>
      </x:c>
      <x:c r="B939" s="55" t="str">
        <x:v>—</x:v>
      </x:c>
      <x:c r="C939" s="55" t="str">
        <x:v>—</x:v>
      </x:c>
      <x:c r="D939" s="55" t="str">
        <x:v>—</x:v>
      </x:c>
      <x:c r="E939" s="55" t="inlineStr">
        <x:is>
          <x:t>真‧帝星神兵寶箱（網站未列地圖）</x:t>
        </x:is>
      </x:c>
    </x:row>
    <x:row r="940" ht="15" customHeight="1">
      <x:c r="A940" s="55" t="str">
        <x:v>御天杖★☆</x:v>
      </x:c>
      <x:c r="B940" s="55" t="str">
        <x:v>—</x:v>
      </x:c>
      <x:c r="C940" s="55" t="str">
        <x:v>—</x:v>
      </x:c>
      <x:c r="D940" s="55" t="str">
        <x:v>—</x:v>
      </x:c>
      <x:c r="E940" s="55" t="inlineStr">
        <x:is>
          <x:t>超‧帝星神兵寶箱（網站未列地圖）；武冠僧侶錦囊（網站未列地圖）；北妖蔘（山海長疆、太安道）</x:t>
        </x:is>
      </x:c>
    </x:row>
    <x:row r="941" ht="15" customHeight="1">
      <x:c r="A941" s="55" t="str">
        <x:v>御天杖★★</x:v>
      </x:c>
      <x:c r="B941" s="55" t="str">
        <x:v>—</x:v>
      </x:c>
      <x:c r="C941" s="55" t="str">
        <x:v>—</x:v>
      </x:c>
      <x:c r="D941" s="55" t="str">
        <x:v>—</x:v>
      </x:c>
      <x:c r="E941" s="55" t="inlineStr">
        <x:is>
          <x:t>極‧帝星神兵寶箱（網站未列地圖）；亡者火（濟馬島）</x:t>
        </x:is>
      </x:c>
    </x:row>
    <x:row r="942" ht="15" customHeight="1">
      <x:c r="A942" s="55" t="str">
        <x:v>御天杖★★☆</x:v>
      </x:c>
      <x:c r="B942" s="55" t="str">
        <x:v>—</x:v>
      </x:c>
      <x:c r="C942" s="55" t="str">
        <x:v>—</x:v>
      </x:c>
      <x:c r="D942" s="55" t="str">
        <x:v>—</x:v>
      </x:c>
      <x:c r="E942" s="55" t="inlineStr">
        <x:is>
          <x:t>絕‧帝星神兵寶箱（網站未列地圖）；原鳳蝶精（泰源大社）</x:t>
        </x:is>
      </x:c>
    </x:row>
    <x:row r="943" ht="15" customHeight="1">
      <x:c r="A943" s="55" t="str">
        <x:v>御天杖★★★</x:v>
      </x:c>
      <x:c r="B943" s="55" t="str">
        <x:v>—</x:v>
      </x:c>
      <x:c r="C943" s="55" t="str">
        <x:v>—</x:v>
      </x:c>
      <x:c r="D943" s="55" t="str">
        <x:v>—</x:v>
      </x:c>
      <x:c r="E943" s="55" t="inlineStr">
        <x:is>
          <x:t>神‧帝星神兵寶箱（網站未列地圖）；天元僧侶錦囊（網站未列地圖）；玉娃魚（始祖巨林．東）</x:t>
        </x:is>
      </x:c>
    </x:row>
    <x:row r="944" ht="15" customHeight="1">
      <x:c r="A944" s="55" t="str">
        <x:v>七寶聖佛杖</x:v>
      </x:c>
      <x:c r="B944" s="55" t="str">
        <x:v>—</x:v>
      </x:c>
      <x:c r="C944" s="55" t="str">
        <x:v>—</x:v>
      </x:c>
      <x:c r="D944" s="55" t="str">
        <x:v>—</x:v>
      </x:c>
      <x:c r="E944" s="55" t="inlineStr">
        <x:is>
          <x:t>尊佛極兵聖匣（網站未列地圖）；神武之岩（網站未列地圖）</x:t>
        </x:is>
      </x:c>
    </x:row>
    <x:row r="945" ht="30" customHeight="1">
      <x:c r="A945" s="55" t="str">
        <x:v>大眾平等杖</x:v>
      </x:c>
      <x:c r="B945" s="55" t="str">
        <x:v>—</x:v>
      </x:c>
      <x:c r="C945" s="55" t="str">
        <x:v>—</x:v>
      </x:c>
      <x:c r="D945" s="55" t="str">
        <x:v>—</x:v>
      </x:c>
      <x:c r="E945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946" ht="15" customHeight="1">
      <x:c r="A946" s="55" t="str">
        <x:v>寰宇雷峰杖</x:v>
      </x:c>
      <x:c r="B946" s="55" t="str">
        <x:v>—</x:v>
      </x:c>
      <x:c r="C946" s="55" t="str">
        <x:v>—</x:v>
      </x:c>
      <x:c r="D946" s="55" t="str">
        <x:v>—</x:v>
      </x:c>
      <x:c r="E946" s="55" t="inlineStr">
        <x:is>
          <x:t>仙魔極兵聖箱（網站未列地圖）；新‧神武之岩（網站未列地圖）；神武之岩（網站未列地圖）</x:t>
        </x:is>
      </x:c>
    </x:row>
    <x:row r="947" ht="15" customHeight="1">
      <x:c r="A947" s="55" t="str">
        <x:v>紫鯉龍門杖</x:v>
      </x:c>
      <x:c r="B947" s="55" t="str">
        <x:v>—</x:v>
      </x:c>
      <x:c r="C947" s="55" t="str">
        <x:v>—</x:v>
      </x:c>
      <x:c r="D947" s="55" t="str">
        <x:v>—</x:v>
      </x:c>
      <x:c r="E947" s="55" t="inlineStr">
        <x:is>
          <x:t>盡宇絕兵聖箱（網站未列地圖）；新‧神武之岩（網站未列地圖）；年大媽（網站未列地圖）</x:t>
        </x:is>
      </x:c>
    </x:row>
    <x:row r="948" ht="15" customHeight="1">
      <x:c r="A948" s="55" t="str">
        <x:v>維納斯羽杖</x:v>
      </x:c>
      <x:c r="B948" s="55" t="str">
        <x:v>—</x:v>
      </x:c>
      <x:c r="C948" s="55" t="str">
        <x:v>—</x:v>
      </x:c>
      <x:c r="D948" s="55" t="str">
        <x:v>—</x:v>
      </x:c>
      <x:c r="E948" s="55" t="inlineStr">
        <x:is>
          <x:t>奧林帕斯神兵聖櫃（網站未列地圖）</x:t>
        </x:is>
      </x:c>
    </x:row>
    <x:row r="949" ht="15" customHeight="1">
      <x:c r="A949" s="55" t="str">
        <x:v>維納斯羽杖</x:v>
      </x:c>
      <x:c r="B949" s="55" t="str">
        <x:v>—</x:v>
      </x:c>
      <x:c r="C949" s="55" t="str">
        <x:v>—</x:v>
      </x:c>
      <x:c r="D949" s="55" t="str">
        <x:v>—</x:v>
      </x:c>
      <x:c r="E949" s="55" t="inlineStr">
        <x:is>
          <x:t>奧林帕斯神兵聖櫃（網站未列地圖）</x:t>
        </x:is>
      </x:c>
    </x:row>
    <x:row r="950" ht="15" customHeight="1">
      <x:c r="A950" s="55" t="str">
        <x:v>瀛洲仙華杖</x:v>
      </x:c>
      <x:c r="B950" s="55" t="str">
        <x:v>—</x:v>
      </x:c>
      <x:c r="C950" s="55" t="str">
        <x:v>—</x:v>
      </x:c>
      <x:c r="D950" s="55" t="str">
        <x:v>—</x:v>
      </x:c>
      <x:c r="E950" s="55" t="inlineStr">
        <x:is>
          <x:t>仙儀丹曦帝武玉匣（網站未列地圖）</x:t>
        </x:is>
      </x:c>
    </x:row>
    <x:row r="951" ht="15" customHeight="1">
      <x:c r="A951" s="55" t="str">
        <x:v>瀛洲仙華杖</x:v>
      </x:c>
      <x:c r="B951" s="55" t="str">
        <x:v>—</x:v>
      </x:c>
      <x:c r="C951" s="55" t="str">
        <x:v>—</x:v>
      </x:c>
      <x:c r="D951" s="55" t="str">
        <x:v>—</x:v>
      </x:c>
      <x:c r="E951" s="55" t="inlineStr">
        <x:is>
          <x:t>仙儀丹曦帝武玉匣（網站未列地圖）</x:t>
        </x:is>
      </x:c>
    </x:row>
    <x:row r="952" ht="15" customHeight="1">
      <x:c r="A952" s="55" t="str">
        <x:v>廉貞玉衡杖</x:v>
      </x:c>
      <x:c r="B952" s="55" t="str">
        <x:v>—</x:v>
      </x:c>
      <x:c r="C952" s="55" t="str">
        <x:v>—</x:v>
      </x:c>
      <x:c r="D952" s="55" t="str">
        <x:v>—</x:v>
      </x:c>
      <x:c r="E952" s="55" t="inlineStr">
        <x:is>
          <x:t>天尊帝宿超武神匣（網站未列地圖）</x:t>
        </x:is>
      </x:c>
    </x:row>
    <x:row r="953" ht="15" customHeight="1">
      <x:c r="A953" s="55" t="str">
        <x:v>雲獸宮八龍杖</x:v>
      </x:c>
      <x:c r="B953" s="55" t="str">
        <x:v>—</x:v>
      </x:c>
      <x:c r="C953" s="55" t="str">
        <x:v>—</x:v>
      </x:c>
      <x:c r="D953" s="55" t="str">
        <x:v>—</x:v>
      </x:c>
      <x:c r="E953" s="55" t="inlineStr">
        <x:is>
          <x:t>鎮天聖守星武神匣（網站未列地圖）</x:t>
        </x:is>
      </x:c>
    </x:row>
    <x:row r="954" ht="15" customHeight="1">
      <x:c r="A954" s="55" t="str">
        <x:v>西王司天杖</x:v>
      </x:c>
      <x:c r="B954" s="55" t="str">
        <x:v>—</x:v>
      </x:c>
      <x:c r="C954" s="55" t="str">
        <x:v>—</x:v>
      </x:c>
      <x:c r="D954" s="55" t="str">
        <x:v>—</x:v>
      </x:c>
      <x:c r="E954" s="55" t="inlineStr">
        <x:is>
          <x:t>永恆山海唯武神匣（網站未列地圖）</x:t>
        </x:is>
      </x:c>
    </x:row>
    <x:row r="955" ht="15" customHeight="1">
      <x:c r="A955" s="55" t="str">
        <x:v>人殊杖‧最上</x:v>
      </x:c>
      <x:c r="B955" s="55" t="str">
        <x:v>—</x:v>
      </x:c>
      <x:c r="C955" s="55" t="str">
        <x:v>—</x:v>
      </x:c>
      <x:c r="D955" s="55" t="str">
        <x:v>—</x:v>
      </x:c>
      <x:c r="E955" s="55" t="inlineStr">
        <x:is>
          <x:t>創宇諸恆極兵神匣（網站未列地圖）</x:t>
        </x:is>
      </x:c>
    </x:row>
    <x:row r="956" ht="15" customHeight="1">
      <x:c r="A956" s="55" t="str">
        <x:v>銀杖‧米斯汀</x:v>
      </x:c>
      <x:c r="B956" s="55" t="str">
        <x:v>—</x:v>
      </x:c>
      <x:c r="C956" s="55" t="str">
        <x:v>—</x:v>
      </x:c>
      <x:c r="D956" s="55" t="str">
        <x:v>—</x:v>
      </x:c>
      <x:c r="E956" s="55" t="inlineStr">
        <x:is>
          <x:t>阿薩群鋒巨武神匣（網站未列地圖）</x:t>
        </x:is>
      </x:c>
    </x:row>
    <x:row r="957" ht="15" customHeight="1">
      <x:c r="A957" s="55" t="str">
        <x:v>銀杖‧米斯汀</x:v>
      </x:c>
      <x:c r="B957" s="55" t="str">
        <x:v>—</x:v>
      </x:c>
      <x:c r="C957" s="55" t="str">
        <x:v>—</x:v>
      </x:c>
      <x:c r="D957" s="55" t="str">
        <x:v>—</x:v>
      </x:c>
      <x:c r="E957" s="55" t="inlineStr">
        <x:is>
          <x:t>阿薩群鋒巨武神匣（網站未列地圖）；罪赦僧侶錦囊（網站未列地圖）</x:t>
        </x:is>
      </x:c>
    </x:row>
    <x:row r="958" ht="15" customHeight="1">
      <x:c r="A958" s="55" t="str">
        <x:v>輝杖瑪‧亞特</x:v>
      </x:c>
      <x:c r="B958" s="55" t="str">
        <x:v>—</x:v>
      </x:c>
      <x:c r="C958" s="55" t="str">
        <x:v>—</x:v>
      </x:c>
      <x:c r="D958" s="55" t="str">
        <x:v>—</x:v>
      </x:c>
      <x:c r="E958" s="55" t="inlineStr">
        <x:is>
          <x:t>—</x:t>
        </x:is>
      </x:c>
    </x:row>
    <x:row r="959" ht="15" customHeight="1">
      <x:c r="A959" s="55" t="str">
        <x:v>輝杖瑪‧亞特</x:v>
      </x:c>
      <x:c r="B959" s="55" t="str">
        <x:v>—</x:v>
      </x:c>
      <x:c r="C959" s="55" t="str">
        <x:v>—</x:v>
      </x:c>
      <x:c r="D959" s="55" t="str">
        <x:v>—</x:v>
      </x:c>
      <x:c r="E959" s="55" t="inlineStr">
        <x:is>
          <x:t>冥府皇統法老征匣（網站未列地圖）；終罪僧侶錦囊（網站未列地圖）</x:t>
        </x:is>
      </x:c>
    </x:row>
    <x:row r="960" ht="15" customHeight="1">
      <x:c r="A960" s="55" t="str">
        <x:v>夏禹九鼎杖</x:v>
      </x:c>
      <x:c r="B960" s="55" t="str">
        <x:v>—</x:v>
      </x:c>
      <x:c r="C960" s="55" t="str">
        <x:v>—</x:v>
      </x:c>
      <x:c r="D960" s="55" t="str">
        <x:v>—</x:v>
      </x:c>
      <x:c r="E960" s="55" t="inlineStr">
        <x:is>
          <x:t>萬帝天尊極武神匣（網站未列地圖）</x:t>
        </x:is>
      </x:c>
    </x:row>
    <x:row r="961" ht="15" customHeight="1">
      <x:c r="A961" s="55" t="str">
        <x:v>夏禹九鼎杖</x:v>
      </x:c>
      <x:c r="B961" s="55" t="str">
        <x:v>—</x:v>
      </x:c>
      <x:c r="C961" s="55" t="str">
        <x:v>—</x:v>
      </x:c>
      <x:c r="D961" s="55" t="str">
        <x:v>—</x:v>
      </x:c>
      <x:c r="E961" s="55" t="inlineStr">
        <x:is>
          <x:t>萬帝天尊極武神匣（網站未列地圖）</x:t>
        </x:is>
      </x:c>
    </x:row>
    <x:row r="962" ht="15" customHeight="1">
      <x:c r="A962" s="55" t="str">
        <x:v>日月五峰杖</x:v>
      </x:c>
      <x:c r="B962" s="55" t="str">
        <x:v>—</x:v>
      </x:c>
      <x:c r="C962" s="55" t="str">
        <x:v>—</x:v>
      </x:c>
      <x:c r="D962" s="55" t="str">
        <x:v>—</x:v>
      </x:c>
      <x:c r="E962" s="55" t="inlineStr">
        <x:is>
          <x:t>東明開天釋達神匣（網站未列地圖）</x:t>
        </x:is>
      </x:c>
    </x:row>
    <x:row r="963" ht="15" customHeight="1">
      <x:c r="A963" s="55" t="str">
        <x:v>日月五峰杖</x:v>
      </x:c>
      <x:c r="B963" s="55" t="str">
        <x:v>—</x:v>
      </x:c>
      <x:c r="C963" s="55" t="str">
        <x:v>—</x:v>
      </x:c>
      <x:c r="D963" s="55" t="str">
        <x:v>—</x:v>
      </x:c>
      <x:c r="E963" s="55" t="inlineStr">
        <x:is>
          <x:t>東明開天釋達神匣（網站未列地圖）</x:t>
        </x:is>
      </x:c>
    </x:row>
    <x:row r="964" ht="15" customHeight="1">
      <x:c r="A964" s="55" t="str">
        <x:v>新星之菩釋杖</x:v>
      </x:c>
      <x:c r="B964" s="55" t="str">
        <x:v>—</x:v>
      </x:c>
      <x:c r="C964" s="55" t="str">
        <x:v>—</x:v>
      </x:c>
      <x:c r="D964" s="55" t="str">
        <x:v>—</x:v>
      </x:c>
      <x:c r="E964" s="55" t="inlineStr">
        <x:is>
          <x:t>—</x:t>
        </x:is>
      </x:c>
    </x:row>
    <x:row r="965" ht="15" customHeight="1">
      <x:c r="A965" s="55" t="str">
        <x:v>九界杖</x:v>
      </x:c>
      <x:c r="B965" s="55" t="str">
        <x:v>—</x:v>
      </x:c>
      <x:c r="C965" s="55" t="str">
        <x:v>—</x:v>
      </x:c>
      <x:c r="D965" s="55" t="str">
        <x:v>—</x:v>
      </x:c>
      <x:c r="E965" s="55" t="inlineStr">
        <x:is>
          <x:t>龍池特戰區長（龍池大社）；科技戰兵RYU（王統新市）；方舟鉻熊（桃谷縱道）；法師塔學徒（龍池大社）</x:t>
        </x:is>
      </x:c>
    </x:row>
    <x:row r="966" ht="15" customHeight="1">
      <x:c r="A966" s="55" t="str">
        <x:v>明露鴻杖Ⅰ</x:v>
      </x:c>
      <x:c r="B966" s="55" t="str">
        <x:v>—</x:v>
      </x:c>
      <x:c r="C966" s="55" t="str">
        <x:v>—</x:v>
      </x:c>
      <x:c r="D966" s="55" t="str">
        <x:v>—</x:v>
      </x:c>
      <x:c r="E966" s="55" t="inlineStr">
        <x:is>
          <x:t>噬肉活苞（始祖巨林）</x:t>
        </x:is>
      </x:c>
    </x:row>
    <x:row r="967" ht="15" customHeight="1">
      <x:c r="A967" s="55" t="str">
        <x:v>明露鴻杖Ⅱ</x:v>
      </x:c>
      <x:c r="B967" s="55" t="str">
        <x:v>—</x:v>
      </x:c>
      <x:c r="C967" s="55" t="str">
        <x:v>—</x:v>
      </x:c>
      <x:c r="D967" s="55" t="str">
        <x:v>—</x:v>
      </x:c>
      <x:c r="E967" s="55" t="inlineStr">
        <x:is>
          <x:t>幻三虞冰錦囊（網站未列地圖）；神島僧侶錦囊（網站未列地圖）</x:t>
        </x:is>
      </x:c>
    </x:row>
    <x:row r="968" ht="15" customHeight="1">
      <x:c r="A968" s="55" t="str">
        <x:v>明露鴻杖Ⅲ</x:v>
      </x:c>
      <x:c r="B968" s="55" t="str">
        <x:v>—</x:v>
      </x:c>
      <x:c r="C968" s="55" t="str">
        <x:v>—</x:v>
      </x:c>
      <x:c r="D968" s="55" t="str">
        <x:v>—</x:v>
      </x:c>
      <x:c r="E968" s="55" t="inlineStr">
        <x:is>
          <x:t>—</x:t>
        </x:is>
      </x:c>
    </x:row>
    <x:row r="969" ht="15" customHeight="1">
      <x:c r="A969" s="55" t="str">
        <x:v>明露鴻杖Ⅳ</x:v>
      </x:c>
      <x:c r="B969" s="55" t="str">
        <x:v>—</x:v>
      </x:c>
      <x:c r="C969" s="55" t="str">
        <x:v>—</x:v>
      </x:c>
      <x:c r="D969" s="55" t="str">
        <x:v>—</x:v>
      </x:c>
      <x:c r="E969" s="55" t="inlineStr">
        <x:is>
          <x:t>—</x:t>
        </x:is>
      </x:c>
    </x:row>
    <x:row r="970" ht="15" customHeight="1">
      <x:c r="A970" s="55" t="str">
        <x:v>明露鴻杖Ⅴ</x:v>
      </x:c>
      <x:c r="B970" s="55" t="str">
        <x:v>—</x:v>
      </x:c>
      <x:c r="C970" s="55" t="str">
        <x:v>—</x:v>
      </x:c>
      <x:c r="D970" s="55" t="str">
        <x:v>—</x:v>
      </x:c>
      <x:c r="E970" s="55" t="inlineStr">
        <x:is>
          <x:t>幻三黃帝錦囊（網站未列地圖）</x:t>
        </x:is>
      </x:c>
    </x:row>
    <x:row r="971" ht="15" customHeight="1">
      <x:c r="A971" s="55" t="str">
        <x:v>正見天機杖</x:v>
      </x:c>
      <x:c r="B971" s="55" t="str">
        <x:v>—</x:v>
      </x:c>
      <x:c r="C971" s="55" t="str">
        <x:v>—</x:v>
      </x:c>
      <x:c r="D971" s="55" t="str">
        <x:v>—</x:v>
      </x:c>
      <x:c r="E971" s="55" t="inlineStr">
        <x:is>
          <x:t>南辰時祿機神兵匣（網站未列地圖）</x:t>
        </x:is>
      </x:c>
    </x:row>
    <x:row r="972" ht="15" customHeight="1">
      <x:c r="A972" s="55" t="str">
        <x:v>正見天機杖</x:v>
      </x:c>
      <x:c r="B972" s="55" t="str">
        <x:v>—</x:v>
      </x:c>
      <x:c r="C972" s="55" t="str">
        <x:v>—</x:v>
      </x:c>
      <x:c r="D972" s="55" t="str">
        <x:v>—</x:v>
      </x:c>
      <x:c r="E972" s="55" t="inlineStr">
        <x:is>
          <x:t>南辰時祿機神兵匣（網站未列地圖）</x:t>
        </x:is>
      </x:c>
    </x:row>
    <x:row r="973" ht="15" customHeight="1">
      <x:c r="A973" s="55" t="str">
        <x:v>黃天當立杖</x:v>
      </x:c>
      <x:c r="B973" s="55" t="str">
        <x:v>—</x:v>
      </x:c>
      <x:c r="C973" s="55" t="str">
        <x:v>—</x:v>
      </x:c>
      <x:c r="D973" s="55" t="str">
        <x:v>—</x:v>
      </x:c>
      <x:c r="E973" s="55" t="inlineStr">
        <x:is>
          <x:t>三分鼎鋒真王武匣（網站未列地圖）</x:t>
        </x:is>
      </x:c>
    </x:row>
    <x:row r="974" ht="15" customHeight="1">
      <x:c r="A974" s="55" t="str">
        <x:v>黃天當立杖</x:v>
      </x:c>
      <x:c r="B974" s="55" t="str">
        <x:v>—</x:v>
      </x:c>
      <x:c r="C974" s="55" t="str">
        <x:v>—</x:v>
      </x:c>
      <x:c r="D974" s="55" t="str">
        <x:v>—</x:v>
      </x:c>
      <x:c r="E974" s="55" t="inlineStr">
        <x:is>
          <x:t>三分鼎鋒真王武匣（網站未列地圖）</x:t>
        </x:is>
      </x:c>
    </x:row>
    <x:row r="975" ht="15" customHeight="1">
      <x:c r="A975" s="55" t="str">
        <x:v>沉思之杖</x:v>
      </x:c>
      <x:c r="B975" s="55" t="str">
        <x:v>—</x:v>
      </x:c>
      <x:c r="C975" s="55" t="str">
        <x:v>—</x:v>
      </x:c>
      <x:c r="D975" s="55" t="str">
        <x:v>—</x:v>
      </x:c>
      <x:c r="E975" s="55" t="inlineStr">
        <x:is>
          <x:t>古文明東西霸武匣（網站未列地圖）</x:t>
        </x:is>
      </x:c>
    </x:row>
    <x:row r="976" ht="15" customHeight="1">
      <x:c r="A976" s="55" t="str">
        <x:v>沉思之杖</x:v>
      </x:c>
      <x:c r="B976" s="55" t="str">
        <x:v>—</x:v>
      </x:c>
      <x:c r="C976" s="55" t="str">
        <x:v>—</x:v>
      </x:c>
      <x:c r="D976" s="55" t="str">
        <x:v>—</x:v>
      </x:c>
      <x:c r="E976" s="55" t="inlineStr">
        <x:is>
          <x:t>古文明東西霸武匣（網站未列地圖）</x:t>
        </x:is>
      </x:c>
    </x:row>
    <x:row r="977" ht="15" customHeight="1">
      <x:c r="A977" s="55" t="str">
        <x:v>鐘吼蹬天杖</x:v>
      </x:c>
      <x:c r="B977" s="55" t="str">
        <x:v>—</x:v>
      </x:c>
      <x:c r="C977" s="55" t="str">
        <x:v>—</x:v>
      </x:c>
      <x:c r="D977" s="55" t="str">
        <x:v>—</x:v>
      </x:c>
      <x:c r="E977" s="55" t="inlineStr">
        <x:is>
          <x:t>龍涉大川繼鱗武匣（網站未列地圖）；麻辣神杖錦囊（網站未列地圖）</x:t>
        </x:is>
      </x:c>
    </x:row>
    <x:row r="978" ht="15" customHeight="1">
      <x:c r="A978" s="55" t="str">
        <x:v>鐘吼蹬天杖</x:v>
      </x:c>
      <x:c r="B978" s="55" t="str">
        <x:v>—</x:v>
      </x:c>
      <x:c r="C978" s="55" t="str">
        <x:v>—</x:v>
      </x:c>
      <x:c r="D978" s="55" t="str">
        <x:v>—</x:v>
      </x:c>
      <x:c r="E978" s="55" t="inlineStr">
        <x:is>
          <x:t>龍涉大川繼鱗武匣（網站未列地圖）</x:t>
        </x:is>
      </x:c>
    </x:row>
    <x:row r="979" ht="15" customHeight="1">
      <x:c r="A979" s="55" t="str">
        <x:v>渡鴉瞳杖Ⅰ</x:v>
      </x:c>
      <x:c r="B979" s="55" t="str">
        <x:v>—</x:v>
      </x:c>
      <x:c r="C979" s="55" t="str">
        <x:v>—</x:v>
      </x:c>
      <x:c r="D979" s="55" t="str">
        <x:v>—</x:v>
      </x:c>
      <x:c r="E979" s="55" t="inlineStr">
        <x:is>
          <x:t>玄宙神兵寶箱（網站未列地圖）</x:t>
        </x:is>
      </x:c>
    </x:row>
    <x:row r="980" ht="15" customHeight="1">
      <x:c r="A980" s="55" t="str">
        <x:v>渡鴉瞳杖Ⅱ</x:v>
      </x:c>
      <x:c r="B980" s="55" t="str">
        <x:v>—</x:v>
      </x:c>
      <x:c r="C980" s="55" t="str">
        <x:v>—</x:v>
      </x:c>
      <x:c r="D980" s="55" t="str">
        <x:v>—</x:v>
      </x:c>
      <x:c r="E980" s="55" t="inlineStr">
        <x:is>
          <x:t>真．玄宙神兵寶箱（網站未列地圖）</x:t>
        </x:is>
      </x:c>
    </x:row>
    <x:row r="981" ht="15" customHeight="1">
      <x:c r="A981" s="55" t="str">
        <x:v>渡鴉瞳杖Ⅲ</x:v>
      </x:c>
      <x:c r="B981" s="55" t="str">
        <x:v>—</x:v>
      </x:c>
      <x:c r="C981" s="55" t="str">
        <x:v>—</x:v>
      </x:c>
      <x:c r="D981" s="55" t="str">
        <x:v>—</x:v>
      </x:c>
      <x:c r="E981" s="55" t="inlineStr">
        <x:is>
          <x:t>超．玄宙神兵寶箱（網站未列地圖）；活俠夏侯蘭錦囊（網站未列地圖）</x:t>
        </x:is>
      </x:c>
    </x:row>
    <x:row r="982" ht="15" customHeight="1">
      <x:c r="A982" s="55" t="str">
        <x:v>渡鴉瞳杖Ⅳ</x:v>
      </x:c>
      <x:c r="B982" s="55" t="str">
        <x:v>—</x:v>
      </x:c>
      <x:c r="C982" s="55" t="str">
        <x:v>—</x:v>
      </x:c>
      <x:c r="D982" s="55" t="str">
        <x:v>—</x:v>
      </x:c>
      <x:c r="E982" s="55" t="inlineStr">
        <x:is>
          <x:t>極．玄宙神兵寶箱（網站未列地圖）</x:t>
        </x:is>
      </x:c>
    </x:row>
    <x:row r="983" ht="15" customHeight="1">
      <x:c r="A983" s="55" t="str">
        <x:v>渡鴉瞳杖Ⅴ</x:v>
      </x:c>
      <x:c r="B983" s="55" t="str">
        <x:v>—</x:v>
      </x:c>
      <x:c r="C983" s="55" t="str">
        <x:v>—</x:v>
      </x:c>
      <x:c r="D983" s="55" t="str">
        <x:v>—</x:v>
      </x:c>
      <x:c r="E983" s="55" t="inlineStr">
        <x:is>
          <x:t>神．玄宙神兵寶箱（網站未列地圖）</x:t>
        </x:is>
      </x:c>
    </x:row>
    <x:row r="984" ht="30" customHeight="1">
      <x:c r="A984" s="55" t="str">
        <x:v>長槍</x:v>
      </x:c>
      <x:c r="B984" s="55" t="str">
        <x:v>—</x:v>
      </x:c>
      <x:c r="C984" s="55" t="str">
        <x:v>義勇軍校場買賣人、京城打鐵舖、祁州打鐵舖</x:v>
      </x:c>
      <x:c r="D984" s="55" t="str">
        <x:v>—</x:v>
      </x:c>
      <x:c r="E984" s="55" t="inlineStr">
        <x:is>
          <x:t>蟾蜍（黑水潭地龍穴、試煉之窟）</x:t>
        </x:is>
      </x:c>
    </x:row>
    <x:row r="985" ht="75" customHeight="1">
      <x:c r="A985" s="55" t="str">
        <x:v>蛇矛</x:v>
      </x:c>
      <x:c r="B985" s="55" t="str">
        <x:v>—</x:v>
      </x:c>
      <x:c r="C985" s="55" t="str">
        <x:v>祁州打鐵舖、玄州打鐵舖、釣日村武器店長</x:v>
      </x:c>
      <x:c r="D985" s="55" t="str">
        <x:v>—</x:v>
      </x:c>
      <x:c r="E985" s="55" t="inlineStr">
        <x:is>
          <x:t>嘯槍鬼馬（三途之都、枉死之城、悲歡渡口）；夜帝侍衛（網站未列地圖）；南蠻女戰士（千佛遺跡西側、摩羅國境）；固勒（網站未列地圖）；詛咒骸骨兵（血鴉嶺）；金冑聖象衛（飛昇大廳）；&lt;金冑聖象衛&gt;（真七寶仙境　貳）；聖宮砂王龍（萬識聖宮）；波斯步卒（聖域之門、清教院街）；虎威戰神（真知寺、萬識聖宮）；聖虎衛士（網站未列地圖）；穿峽禿鷹（登天棧道、青藏高原）；巡天舞將（凌風修境、繚空碎島）；巡天監（登龍道、凌風修境、繚空碎島）；魏基（獅堡軍事區）</x:t>
        </x:is>
      </x:c>
    </x:row>
    <x:row r="986" ht="15" customHeight="1">
      <x:c r="A986" s="55" t="str">
        <x:v>精鋼蛇矛</x:v>
      </x:c>
      <x:c r="B986" s="55" t="str">
        <x:v>—</x:v>
      </x:c>
      <x:c r="C986" s="55" t="str">
        <x:v>釣日村武器店長</x:v>
      </x:c>
      <x:c r="D986" s="55" t="str">
        <x:v>—</x:v>
      </x:c>
      <x:c r="E986" s="55" t="inlineStr">
        <x:is>
          <x:t>—</x:t>
        </x:is>
      </x:c>
    </x:row>
    <x:row r="987" ht="15" customHeight="1">
      <x:c r="A987" s="55" t="str">
        <x:v>長戟</x:v>
      </x:c>
      <x:c r="B987" s="55" t="str">
        <x:v>—</x:v>
      </x:c>
      <x:c r="C987" s="55" t="str">
        <x:v>玄州打鐵舖、釣日村武器店長</x:v>
      </x:c>
      <x:c r="D987" s="55" t="str">
        <x:v>—</x:v>
      </x:c>
      <x:c r="E987" s="55" t="inlineStr">
        <x:is>
          <x:t>蜥蜴人（豐穗平原、血鴉嶺）；巡天遊龍（登龍道）</x:t>
        </x:is>
      </x:c>
    </x:row>
    <x:row r="988" ht="30" customHeight="1">
      <x:c r="A988" s="55" t="str">
        <x:v>精鋼戰戟</x:v>
      </x:c>
      <x:c r="B988" s="55" t="str">
        <x:v>—</x:v>
      </x:c>
      <x:c r="C988" s="55" t="str">
        <x:v>釣日村武器店長</x:v>
      </x:c>
      <x:c r="D988" s="55" t="str">
        <x:v>—</x:v>
      </x:c>
      <x:c r="E988" s="55" t="inlineStr">
        <x:is>
          <x:t>鬼曹馬面（網站未列地圖）；追魂馬面（九曲邪徑、寒愴冰獄）；[追魂馬面]（網站未列地圖）；衝天馬魔將（森羅閻殿、奈落紅川、荒禍殘墟）；血河馬魔神（天戮魔殿）；摩羅女武侍（大梵河岸、金霄佛寺）</x:t>
        </x:is>
      </x:c>
    </x:row>
    <x:row r="989" ht="75" customHeight="1">
      <x:c r="A989" s="55" t="str">
        <x:v>方天畫戟</x:v>
      </x:c>
      <x:c r="B989" s="55" t="str">
        <x:v>—</x:v>
      </x:c>
      <x:c r="C989" s="55" t="str">
        <x:v>祁州打鐵舖、玄州打鐵舖</x:v>
      </x:c>
      <x:c r="D989" s="55" t="str">
        <x:v>—</x:v>
      </x:c>
      <x:c r="E989" s="55" t="inlineStr">
        <x:is>
          <x:t>南冥鐵騎（璇鶯鎮）；吞龍獄狼（燕蕩嶺）；絕峰禿鷹（香格里拉聖路）；霧城巨獅（網站未列地圖）；歐陸雄獅（靜默之丘、擎空壁壘、獅堡軍事區、凱旋廣場）；嵐荒天虎神（網站未列地圖）；彪虎古戰神（飛昇大廳）；&lt;彪虎古戰神&gt;（真七寶仙境　貳）；紅蓮女戰將（濕婆神廟）；千手妖姬（濕婆神廟）；阿喇耶尊者（濕婆神廟）；喪途羅將（網站未列地圖）；黃泉大元帥（森羅閻殿、奈落紅川）；地斗大元帥（天戮魔殿）；檮杌（繚空碎島、飛雲忘野）</x:t>
        </x:is>
      </x:c>
    </x:row>
    <x:row r="990" ht="15" customHeight="1">
      <x:c r="A990" s="55" t="str">
        <x:v>冰牙戰戟</x:v>
      </x:c>
      <x:c r="B990" s="55" t="str">
        <x:v>—</x:v>
      </x:c>
      <x:c r="C990" s="55" t="str">
        <x:v>—</x:v>
      </x:c>
      <x:c r="D990" s="55" t="str">
        <x:v>冰牙戰戟配方</x:v>
      </x:c>
      <x:c r="E990" s="55" t="inlineStr">
        <x:is>
          <x:t>水元素神將（萬識聖宮）；荒水真帝靈（飛昇大廳）；&lt;荒水真帝靈&gt;（真七寶仙境　貳）</x:t>
        </x:is>
      </x:c>
    </x:row>
    <x:row r="991" ht="15" customHeight="1">
      <x:c r="A991" s="55" t="str">
        <x:v>火牙戰戟</x:v>
      </x:c>
      <x:c r="B991" s="55" t="str">
        <x:v>—</x:v>
      </x:c>
      <x:c r="C991" s="55" t="str">
        <x:v>—</x:v>
      </x:c>
      <x:c r="D991" s="55" t="str">
        <x:v>火牙戰戟配方</x:v>
      </x:c>
      <x:c r="E991" s="55" t="inlineStr">
        <x:is>
          <x:t>—</x:t>
        </x:is>
      </x:c>
    </x:row>
    <x:row r="992" ht="15" customHeight="1">
      <x:c r="A992" s="55" t="str">
        <x:v>雷牙戰戟</x:v>
      </x:c>
      <x:c r="B992" s="55" t="str">
        <x:v>—</x:v>
      </x:c>
      <x:c r="C992" s="55" t="str">
        <x:v>—</x:v>
      </x:c>
      <x:c r="D992" s="55" t="str">
        <x:v>雷牙戰戟配方</x:v>
      </x:c>
      <x:c r="E992" s="55" t="inlineStr">
        <x:is>
          <x:t>—</x:t>
        </x:is>
      </x:c>
    </x:row>
    <x:row r="993" ht="15" customHeight="1">
      <x:c r="A993" s="55" t="str">
        <x:v>惡牙戰戟</x:v>
      </x:c>
      <x:c r="B993" s="55" t="str">
        <x:v>—</x:v>
      </x:c>
      <x:c r="C993" s="55" t="str">
        <x:v>—</x:v>
      </x:c>
      <x:c r="D993" s="55" t="str">
        <x:v>惡牙戰戟配方</x:v>
      </x:c>
      <x:c r="E993" s="55" t="inlineStr">
        <x:is>
          <x:t>—</x:t>
        </x:is>
      </x:c>
    </x:row>
    <x:row r="994" ht="15" customHeight="1">
      <x:c r="A994" s="55" t="str">
        <x:v>鎌鉤槍</x:v>
      </x:c>
      <x:c r="B994" s="55" t="str">
        <x:v>—</x:v>
      </x:c>
      <x:c r="C994" s="55" t="str">
        <x:v>祁州打鐵舖</x:v>
      </x:c>
      <x:c r="D994" s="55" t="str">
        <x:v>—</x:v>
      </x:c>
      <x:c r="E994" s="55" t="inlineStr">
        <x:is>
          <x:t>傀儡盜匪頭目（萬佛窟、樓蘭遺址）；盜匪頭目（塔干沙漠南方）</x:t>
        </x:is>
      </x:c>
    </x:row>
    <x:row r="995" ht="15" customHeight="1">
      <x:c r="A995" s="55" t="str">
        <x:v>鎖刃槍</x:v>
      </x:c>
      <x:c r="B995" s="55" t="str">
        <x:v>—</x:v>
      </x:c>
      <x:c r="C995" s="55" t="str">
        <x:v>祁州打鐵舖</x:v>
      </x:c>
      <x:c r="D995" s="55" t="str">
        <x:v>—</x:v>
      </x:c>
      <x:c r="E995" s="55" t="inlineStr">
        <x:is>
          <x:t>—</x:t>
        </x:is>
      </x:c>
    </x:row>
    <x:row r="996" ht="15" customHeight="1">
      <x:c r="A996" s="55" t="str">
        <x:v>紅櫻槍</x:v>
      </x:c>
      <x:c r="B996" s="55" t="str">
        <x:v>—</x:v>
      </x:c>
      <x:c r="C996" s="55" t="str">
        <x:v>維摩洞天-仙島工匠</x:v>
      </x:c>
      <x:c r="D996" s="55" t="str">
        <x:v>—</x:v>
      </x:c>
      <x:c r="E996" s="55" t="inlineStr">
        <x:is>
          <x:t>—</x:t>
        </x:is>
      </x:c>
    </x:row>
    <x:row r="997" ht="15" customHeight="1">
      <x:c r="A997" s="55" t="str">
        <x:v>洛花槍</x:v>
      </x:c>
      <x:c r="B997" s="55" t="str">
        <x:v>—</x:v>
      </x:c>
      <x:c r="C997" s="55" t="str">
        <x:v>維摩洞天-仙島工匠</x:v>
      </x:c>
      <x:c r="D997" s="55" t="str">
        <x:v>—</x:v>
      </x:c>
      <x:c r="E997" s="55" t="inlineStr">
        <x:is>
          <x:t>—</x:t>
        </x:is>
      </x:c>
    </x:row>
    <x:row r="998" ht="15" customHeight="1">
      <x:c r="A998" s="55" t="str">
        <x:v>穿水刺</x:v>
      </x:c>
      <x:c r="B998" s="55" t="str">
        <x:v>—</x:v>
      </x:c>
      <x:c r="C998" s="55" t="str">
        <x:v>釣日村武器店長</x:v>
      </x:c>
      <x:c r="D998" s="55" t="str">
        <x:v>—</x:v>
      </x:c>
      <x:c r="E998" s="55" t="inlineStr">
        <x:is>
          <x:t>—</x:t>
        </x:is>
      </x:c>
    </x:row>
    <x:row r="999" ht="15" customHeight="1">
      <x:c r="A999" s="55" t="str">
        <x:v>雪銀戰戟</x:v>
      </x:c>
      <x:c r="B999" s="55" t="str">
        <x:v>—</x:v>
      </x:c>
      <x:c r="C999" s="55" t="str">
        <x:v>維摩洞天-仙島工匠</x:v>
      </x:c>
      <x:c r="D999" s="55" t="str">
        <x:v>—</x:v>
      </x:c>
      <x:c r="E999" s="55" t="inlineStr">
        <x:is>
          <x:t>—</x:t>
        </x:is>
      </x:c>
    </x:row>
    <x:row r="1000" ht="30" customHeight="1">
      <x:c r="A1000" s="55" t="str">
        <x:v>望星槍</x:v>
      </x:c>
      <x:c r="B1000" s="55" t="str">
        <x:v>—</x:v>
      </x:c>
      <x:c r="C1000" s="55" t="str">
        <x:v>祁州打鐵舖、玄州打鐵舖</x:v>
      </x:c>
      <x:c r="D1000" s="55" t="str">
        <x:v>—</x:v>
      </x:c>
      <x:c r="E1000" s="55" t="inlineStr">
        <x:is>
          <x:t>獅堡聖騎士（網站未列地圖）；神耀十字軍（凱旋廣場、聖禱天廳）；巡天千戶（飛雲忘野、橫劍天關）；玉階飛凰（仙庭玉階）</x:t>
        </x:is>
      </x:c>
    </x:row>
    <x:row r="1001" ht="75" customHeight="1">
      <x:c r="A1001" s="55" t="str">
        <x:v>止境槍</x:v>
      </x:c>
      <x:c r="B1001" s="55" t="str">
        <x:v>—</x:v>
      </x:c>
      <x:c r="C1001" s="55" t="str">
        <x:v>祁州打鐵舖、玄州打鐵舖</x:v>
      </x:c>
      <x:c r="D1001" s="55" t="str">
        <x:v>—</x:v>
      </x:c>
      <x:c r="E1001" s="55" t="inlineStr">
        <x:is>
          <x:t>幻滅巨龍（神臨之地）；&lt;幻滅巨龍&gt;（修羅級神臨之地）；深紅史嘉列（凱旋廣場）；妖三娘翦虹（凌風修境）；八荒碧龍麟（青龍東殿）；拂雲崩龍（青龍東殿）；雀台朱鳳（四聖祭台）；真術修者（四聖祭台）；毒皰蟾蜍（異時界‧亂藤林）；嗇花精（異時界‧亂藤林、異時界‧亂藤林南）；疲憊的鷹族戰士（異時界‧亂藤林東）；大王花精（異時界‧亂藤林南）；雷域金仙（天啟八關）；九天神將（仙庭玉階、闕真金閣）；八界武軍（網站未列地圖）；穹天千戶（天啟八關）；太古戰俑（紫雷轟原）；電影疾鷹（紫雷轟原）；混沌（闕真金閣）</x:t>
        </x:is>
      </x:c>
    </x:row>
    <x:row r="1002" ht="120" customHeight="1">
      <x:c r="A1002" s="55" t="str">
        <x:v>纏仙槍</x:v>
      </x:c>
      <x:c r="B1002" s="55" t="str">
        <x:v>—</x:v>
      </x:c>
      <x:c r="C1002" s="55" t="str">
        <x:v>祁州打鐵舖、玄州打鐵舖</x:v>
      </x:c>
      <x:c r="D1002" s="55" t="str">
        <x:v>—</x:v>
      </x:c>
      <x:c r="E1002" s="55" t="inlineStr">
        <x:is>
          <x:t>天劫巨靈王（魔君天都）；&lt;天劫巨靈王&gt;（修羅級魔君天都）；八熾燹鳳麟（朱雀南殿）；天劫百眼巫（魔君天都）；&lt;天劫百眼巫&gt;（修羅級魔君天都）；截拳虎衛（白虎西殿）；陌形雷手（時沒邊界）；搖風飛蠻（時沒邊界）；女邪蜘蛛‧強（殘雲天境）；嵐荒天虎‧強（殘雲天境）；北天吼霸（玄武北殿）；冰壁蠍（異時界‧摘星嶺）；諸首大蛇（異時界‧葬日沼澤）；喚魂蛇魔（網站未列地圖）；夜叉魔槍者（異時界‧毒龍潭）；夜叉魔槍者（異時界‧修羅窟）；阿修羅戰士（異時界‧修羅窟）；夜叉禍槍鬼（異時界‧夜叉嶺）；殺人蜂（異時界‧亂藤林南）；活獄馬鬼（異時界‧亂藤林西）；亡邪阿修羅鬼（異時界‧葬日沼北）；幻業術魔（無限鬥界）；&lt;幻業術魔&gt;（修羅級無限鬥界）；無限‧檮杌（無限鬥界）；&lt;無限‧檮杌&gt;（修羅級無限鬥界）；業障術士（無限鬥界）；&lt;業障術士&gt;（修羅級無限鬥界）；夜叉王（異時界‧摘星嶺）；刑天殺王（異時界‧葬日沼南）；煉黑巨龍首（異時界‧毒龍潭）</x:t>
        </x:is>
      </x:c>
    </x:row>
    <x:row r="1003" ht="60" customHeight="1">
      <x:c r="A1003" s="55" t="str">
        <x:v>鬼星槍</x:v>
      </x:c>
      <x:c r="B1003" s="55" t="str">
        <x:v>—</x:v>
      </x:c>
      <x:c r="C1003" s="55" t="str">
        <x:v>祁州打鐵舖、玄州打鐵舖</x:v>
      </x:c>
      <x:c r="D1003" s="55" t="str">
        <x:v>—</x:v>
      </x:c>
      <x:c r="E1003" s="55" t="inlineStr">
        <x:is>
          <x:t>終塔衛將（終末之塔第2層、終末之塔第3層）；魔極四叉（終末之塔第4層、終末之塔第5層）；血戈鐵傀（音無晶宇）；擲虛夜叉（觀無巽宇）；空斬般若（觀無巽宇）；渡宇鷹（覺無洋宇）；壞界冥獅（音無晶宇）；雙面刀鬼女（星群碎道）；竭宙兇水（不解迴路）；次元戰虎（不解迴路）；虛熒（虛空渦心）；非議罪棺（觀無巽宇）；永戰幽將（不解迴路）</x:t>
        </x:is>
      </x:c>
    </x:row>
    <x:row r="1004" ht="45" customHeight="1">
      <x:c r="A1004" s="55" t="str">
        <x:v>紫月鬥靈槍</x:v>
      </x:c>
      <x:c r="B1004" s="55" t="str">
        <x:v>—</x:v>
      </x:c>
      <x:c r="C1004" s="55" t="str">
        <x:v>—</x:v>
      </x:c>
      <x:c r="D1004" s="55" t="str">
        <x:v>—</x:v>
      </x:c>
      <x:c r="E1004" s="55" t="inlineStr">
        <x:is>
          <x:t>赤潮王叉（終末之塔第29層）；虛海獵叉（終末之塔第37層、終末之塔第35層）；挑羊點尖（終末之塔第49層）；冷血者（終末之塔第14層、終末之塔第12層）；王谷兵蜂（終末之塔第44層、終末之塔第45層）；虛來屠尖（吉薩走廊）；漠影翼蛇（古翰大沙漠）；雪槍狂豹（太陽神大道）</x:t>
        </x:is>
      </x:c>
    </x:row>
    <x:row r="1005" ht="45" customHeight="1">
      <x:c r="A1005" s="55" t="str">
        <x:v>紫月丹龍槍</x:v>
      </x:c>
      <x:c r="B1005" s="55" t="str">
        <x:v>—</x:v>
      </x:c>
      <x:c r="C1005" s="55" t="str">
        <x:v>—</x:v>
      </x:c>
      <x:c r="D1005" s="55" t="str">
        <x:v>—</x:v>
      </x:c>
      <x:c r="E1005" s="55" t="inlineStr">
        <x:is>
          <x:t>虛空爬行者（神王金字塔）；&lt;虛空爬行者&gt;（修羅級神王金字塔）；艾濟原人（終末之塔第52層、終末之塔第53層）；九毒相柳（終末之塔第68層、終末之塔第69層）；逐日虎人（王都盧索）；鎮祠蒼翼（托勒密山麓）；衛陵煞豹（赫勒神殿遺址）；塞赫麥特（荷魯斯聖祠）</x:t>
        </x:is>
      </x:c>
    </x:row>
    <x:row r="1006" ht="45" customHeight="1">
      <x:c r="A1006" s="55" t="str">
        <x:v>拉拉放蕩銷魂槍</x:v>
      </x:c>
      <x:c r="B1006" s="55" t="str">
        <x:v>—</x:v>
      </x:c>
      <x:c r="C1006" s="55" t="str">
        <x:v>—</x:v>
      </x:c>
      <x:c r="D1006" s="55" t="str">
        <x:v>—</x:v>
      </x:c>
      <x:c r="E1006" s="55" t="inlineStr">
        <x:is>
          <x:t>黑后親衛武姬（神王金字塔）；&lt;黑后親衛武姬&gt;（修羅級神王金字塔）；護柱血爪（終末之塔第55層、終末之塔第56層）；怒裂睚眥（終末之塔第66層、終末之塔第67層）；親衛獸將（王都盧索）；荒山血獵（托勒密山麓）；赤瞳犄角（赫勒神殿遺址）；庫努牡（荷魯斯聖祠）</x:t>
        </x:is>
      </x:c>
    </x:row>
    <x:row r="1007" ht="60" customHeight="1">
      <x:c r="A1007" s="55" t="str">
        <x:v>龍牙槍</x:v>
      </x:c>
      <x:c r="B1007" s="55" t="str">
        <x:v>—</x:v>
      </x:c>
      <x:c r="C1007" s="55" t="str">
        <x:v>—</x:v>
      </x:c>
      <x:c r="D1007" s="55" t="str">
        <x:v>—</x:v>
      </x:c>
      <x:c r="E1007" s="55" t="inlineStr">
        <x:is>
          <x:t>武窟先銳（藏意武窟）；失序亂兵（終末之塔第85層、終末之塔第86層）；紅櫻藝者（西宮翠苑）；金蓮碧手（西宮翠苑）；東校精衛（皇城）；東校場鎮軍（東校場）；深靈化水（東宮碧庭）；薙首夜叉（濟馬島）；征疆散兵（山海長疆、太安道）；虛行影虎（終末之塔第76層）；木乃伊（終末之塔第71層）；武列雲貂（殊雁峽）；寒洞蟒（琉瑯岩灣）</x:t>
        </x:is>
      </x:c>
    </x:row>
    <x:row r="1008" ht="60" customHeight="1">
      <x:c r="A1008" s="55" t="str">
        <x:v>閼英槍</x:v>
      </x:c>
      <x:c r="B1008" s="55" t="str">
        <x:v>—</x:v>
      </x:c>
      <x:c r="C1008" s="55" t="str">
        <x:v>—</x:v>
      </x:c>
      <x:c r="D1008" s="55" t="str">
        <x:v>—</x:v>
      </x:c>
      <x:c r="E1008" s="55" t="inlineStr">
        <x:is>
          <x:t>星淵潛狂（終末之塔第91層、終末之塔第100層、終末之塔第93層）；跆拳魔人（溥山新郡、漢京首府）；鳴梁霸腿（濟馬島）；幻殺修羅（終末之塔第102層、終末之塔第103層、終末之塔第104層）；泰源翡雀（旭陽山徑）；紅冠獵女（璇鶯鎮、祥鷺古街）；南冥鐵騎（璇鶯鎮）；後里駿馬（臺興中州）；歐印白狐（終末之塔第117層、終末之塔第112層、終末之塔第118層）；合成豹人（葭雲廣原）；岷白山羌（白苗峽岸）</x:t>
        </x:is>
      </x:c>
    </x:row>
    <x:row r="1009" ht="45" customHeight="1">
      <x:c r="A1009" s="55" t="str">
        <x:v>群雨槍</x:v>
      </x:c>
      <x:c r="B1009" s="55" t="str">
        <x:v>—</x:v>
      </x:c>
      <x:c r="C1009" s="55" t="str">
        <x:v>—</x:v>
      </x:c>
      <x:c r="D1009" s="55" t="str">
        <x:v>—</x:v>
      </x:c>
      <x:c r="E1009" s="55" t="inlineStr">
        <x:is>
          <x:t>九廢金剛（終末之塔第129層、終末之塔第126層）；玉旭幼龍（始祖巨林）；峭影山凶（燕蕩嶺）；天門殘兇（始祖巨林．西）；神谷藍鵲（泰源大社）；腐化蠑螈（風竹塹）；明潭水靈（始祖巨林．東）；合成馬蟻（終末之塔第145層）；合成兵蜂（南瞻聖地）；衛塔戰偶（終末之塔第131層、終末之塔第132層）</x:t>
        </x:is>
      </x:c>
    </x:row>
    <x:row r="1010" ht="15" customHeight="1">
      <x:c r="A1010" s="55" t="str">
        <x:v>屠狼槍</x:v>
      </x:c>
      <x:c r="B1010" s="55" t="str">
        <x:v>尋找遺失獵具</x:v>
      </x:c>
      <x:c r="C1010" s="55" t="str">
        <x:v>—</x:v>
      </x:c>
      <x:c r="D1010" s="55" t="str">
        <x:v>—</x:v>
      </x:c>
      <x:c r="E1010" s="55" t="inlineStr">
        <x:is>
          <x:t>—</x:t>
        </x:is>
      </x:c>
    </x:row>
    <x:row r="1011" ht="15" customHeight="1">
      <x:c r="A1011" s="55" t="str">
        <x:v>范家銀槍</x:v>
      </x:c>
      <x:c r="B1011" s="55" t="str">
        <x:v>證明神槍范達已死</x:v>
      </x:c>
      <x:c r="C1011" s="55" t="str">
        <x:v>—</x:v>
      </x:c>
      <x:c r="D1011" s="55" t="str">
        <x:v>—</x:v>
      </x:c>
      <x:c r="E1011" s="55" t="inlineStr">
        <x:is>
          <x:t>—</x:t>
        </x:is>
      </x:c>
    </x:row>
    <x:row r="1012" ht="45" customHeight="1">
      <x:c r="A1012" s="55" t="str">
        <x:v>獵豬長戟</x:v>
      </x:c>
      <x:c r="B1012" s="55" t="str">
        <x:v>—</x:v>
      </x:c>
      <x:c r="C1012" s="55" t="str">
        <x:v>—</x:v>
      </x:c>
      <x:c r="D1012" s="55" t="str">
        <x:v>—</x:v>
      </x:c>
      <x:c r="E1012" s="55" t="inlineStr">
        <x:is>
          <x:t>大山豬（惡狼林、古皇陵近郊、猢猻嶺、封神臺、亂藤林西方、鷹翅族部落）；大山豬（惡狼林、古皇陵近郊、猢猻嶺、封神臺、試煉之窟、亂藤林西方、鷹翅族部落）；野馬（八達嶺、古北口、塞北草原、河西谷地）；大山豬（試煉之窟）</x:t>
        </x:is>
      </x:c>
    </x:row>
    <x:row r="1013" ht="15" customHeight="1">
      <x:c r="A1013" s="55" t="str">
        <x:v>無銘雙叉槍</x:v>
      </x:c>
      <x:c r="B1013" s="55" t="str">
        <x:v>惡海復仇記</x:v>
      </x:c>
      <x:c r="C1013" s="55" t="str">
        <x:v>—</x:v>
      </x:c>
      <x:c r="D1013" s="55" t="str">
        <x:v>—</x:v>
      </x:c>
      <x:c r="E1013" s="55" t="inlineStr">
        <x:is>
          <x:t>—</x:t>
        </x:is>
      </x:c>
    </x:row>
    <x:row r="1014" ht="15" customHeight="1">
      <x:c r="A1014" s="55" t="str">
        <x:v>皇衛龍槍</x:v>
      </x:c>
      <x:c r="B1014" s="55" t="str">
        <x:v>皇城主線</x:v>
      </x:c>
      <x:c r="C1014" s="55" t="str">
        <x:v>—</x:v>
      </x:c>
      <x:c r="D1014" s="55" t="str">
        <x:v>—</x:v>
      </x:c>
      <x:c r="E1014" s="55" t="inlineStr">
        <x:is>
          <x:t>—</x:t>
        </x:is>
      </x:c>
    </x:row>
    <x:row r="1015" ht="45" customHeight="1">
      <x:c r="A1015" s="55" t="str">
        <x:v>晶石戰戟</x:v>
      </x:c>
      <x:c r="B1015" s="55" t="str">
        <x:v>—</x:v>
      </x:c>
      <x:c r="C1015" s="55" t="str">
        <x:v>—</x:v>
      </x:c>
      <x:c r="D1015" s="55" t="str">
        <x:v>—</x:v>
      </x:c>
      <x:c r="E1015" s="55" t="inlineStr">
        <x:is>
          <x:t>晶石兵器寶盒（網站未列地圖）；喜兔武器錦囊‧壹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</x:t>
        </x:is>
      </x:c>
    </x:row>
    <x:row r="1016" ht="30" customHeight="1">
      <x:c r="A1016" s="55" t="str">
        <x:v>凝晶穿岩戟</x:v>
      </x:c>
      <x:c r="B1016" s="55" t="str">
        <x:v>—</x:v>
      </x:c>
      <x:c r="C1016" s="55" t="str">
        <x:v>—</x:v>
      </x:c>
      <x:c r="D1016" s="55" t="str">
        <x:v>—</x:v>
      </x:c>
      <x:c r="E1016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017" ht="15" customHeight="1">
      <x:c r="A1017" s="55" t="str">
        <x:v>卓越長槍</x:v>
      </x:c>
      <x:c r="B1017" s="55" t="str">
        <x:v>—</x:v>
      </x:c>
      <x:c r="C1017" s="55" t="str">
        <x:v>—</x:v>
      </x:c>
      <x:c r="D1017" s="55" t="str">
        <x:v>—</x:v>
      </x:c>
      <x:c r="E1017" s="55" t="inlineStr">
        <x:is>
          <x:t>卓越兵器寶盒（網站未列地圖）</x:t>
        </x:is>
      </x:c>
    </x:row>
    <x:row r="1018" ht="30" customHeight="1">
      <x:c r="A1018" s="55" t="str">
        <x:v>海龍槍</x:v>
      </x:c>
      <x:c r="B1018" s="55" t="str">
        <x:v>—</x:v>
      </x:c>
      <x:c r="C1018" s="55" t="str">
        <x:v>—</x:v>
      </x:c>
      <x:c r="D1018" s="55" t="str">
        <x:v>—</x:v>
      </x:c>
      <x:c r="E1018" s="55" t="inlineStr">
        <x:is>
          <x:t>蒼龍神兵錦囊（網站未列地圖）；新絕代兵器錦囊（網站未列地圖）；神州英傑錦囊（網站未列地圖）；龍王錦囊（網站未列地圖）；神龍將（龍宮八層廣場）；龍駻將（龍宮八層一隅、龍宮八層廣場）</x:t>
        </x:is>
      </x:c>
    </x:row>
    <x:row r="1019" ht="15" customHeight="1">
      <x:c r="A1019" s="55" t="str">
        <x:v>海皇槍</x:v>
      </x:c>
      <x:c r="B1019" s="55" t="str">
        <x:v>—</x:v>
      </x:c>
      <x:c r="C1019" s="55" t="str">
        <x:v>—</x:v>
      </x:c>
      <x:c r="D1019" s="55" t="str">
        <x:v>海皇槍配方</x:v>
      </x:c>
      <x:c r="E1019" s="55" t="inlineStr">
        <x:is>
          <x:t>—</x:t>
        </x:is>
      </x:c>
    </x:row>
    <x:row r="1020" ht="30" customHeight="1">
      <x:c r="A1020" s="55" t="str">
        <x:v>冥皇海龍槍</x:v>
      </x:c>
      <x:c r="B1020" s="55" t="str">
        <x:v>—</x:v>
      </x:c>
      <x:c r="C1020" s="55" t="str">
        <x:v>—</x:v>
      </x:c>
      <x:c r="D1020" s="55" t="str">
        <x:v>—</x:v>
      </x:c>
      <x:c r="E1020" s="55" t="inlineStr">
        <x:is>
          <x:t>稀奇裝備箱．丙式（網站未列地圖）；真‧迎龍錦囊（網站未列地圖）；龍騰福袋（網站未列地圖）；合成龍獸（南瞻聖地）；鬼雷驚爪（終末之塔第94層、終末之塔第95層）</x:t>
        </x:is>
      </x:c>
    </x:row>
    <x:row r="1021" ht="30" customHeight="1">
      <x:c r="A1021" s="55" t="str">
        <x:v>纏花槍</x:v>
      </x:c>
      <x:c r="B1021" s="55" t="str">
        <x:v>—</x:v>
      </x:c>
      <x:c r="C1021" s="55" t="str">
        <x:v>—</x:v>
      </x:c>
      <x:c r="D1021" s="55" t="str">
        <x:v>—</x:v>
      </x:c>
      <x:c r="E1021" s="55" t="inlineStr">
        <x:is>
          <x:t>稀奇裝備箱．丙式（網站未列地圖）；[女王蜂]（網站未列地圖）；女王蜂（桃花林、桃花林西方、桃花林南方）；叢林黑豹（千佛遺跡西側）；石窟戈俑（五派禁地）；屍靈戈俑（古皇陵密室）</x:t>
        </x:is>
      </x:c>
    </x:row>
    <x:row r="1022" ht="45" customHeight="1">
      <x:c r="A1022" s="55" t="str">
        <x:v>破浪槍</x:v>
      </x:c>
      <x:c r="B1022" s="55" t="str">
        <x:v>—</x:v>
      </x:c>
      <x:c r="C1022" s="55" t="str">
        <x:v>—</x:v>
      </x:c>
      <x:c r="D1022" s="55" t="str">
        <x:v>—</x:v>
      </x:c>
      <x:c r="E1022" s="55" t="inlineStr">
        <x:is>
          <x:t>掠奪武器包裹（網站未列地圖）；羅剎寶袋（網站未列地圖）；藍鯊兵（龍宮第六層、龍宮第七層、龍宮八層一隅、龍宮八層廣場）；巨鉗蟹將（龍宮第七層、龍宮八層一隅、龍宮八層廣場）；鯊將軍（龍宮八層一隅、龍宮八層廣場）</x:t>
        </x:is>
      </x:c>
    </x:row>
    <x:row r="1023" ht="45" customHeight="1">
      <x:c r="A1023" s="55" t="str">
        <x:v>狂浪戟</x:v>
      </x:c>
      <x:c r="B1023" s="55" t="str">
        <x:v>—</x:v>
      </x:c>
      <x:c r="C1023" s="55" t="str">
        <x:v>—</x:v>
      </x:c>
      <x:c r="D1023" s="55" t="str">
        <x:v>—</x:v>
      </x:c>
      <x:c r="E1023" s="55" t="inlineStr">
        <x:is>
          <x:t>御行神兵錦囊（網站未列地圖）；掠奪武器包裹（網站未列地圖）；羅剎寶袋（網站未列地圖）；絕代兵器錦囊（網站未列地圖）；新絕代兵器錦囊（網站未列地圖）；神龍將（龍宮八層廣場）；龍駻將（龍宮八層一隅、龍宮八層廣場）；巨鉗蟹將（龍宮第七層、龍宮八層一隅、龍宮八層廣場）；鯊將軍（龍宮八層一隅、龍宮八層廣場）</x:t>
        </x:is>
      </x:c>
    </x:row>
    <x:row r="1024" ht="60" customHeight="1">
      <x:c r="A1024" s="55" t="str">
        <x:v>斷魂槍</x:v>
      </x:c>
      <x:c r="B1024" s="55" t="str">
        <x:v>—</x:v>
      </x:c>
      <x:c r="C1024" s="55" t="str">
        <x:v>—</x:v>
      </x:c>
      <x:c r="D1024" s="55" t="str">
        <x:v>斷魂槍配方</x:v>
      </x:c>
      <x:c r="E1024" s="55" t="inlineStr">
        <x:is>
          <x:t>霸王神兵錦囊（網站未列地圖）；喜兔武器錦囊‧參（網站未列地圖）；掠奪武器包裹（網站未列地圖）；羅剎寶袋（網站未列地圖）；神來裝樂透卡之三（網站未列地圖）；龍鳳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</x:t>
        </x:is>
      </x:c>
    </x:row>
    <x:row r="1025" ht="15" customHeight="1">
      <x:c r="A1025" s="55" t="str">
        <x:v>絕世斷魂槍</x:v>
      </x:c>
      <x:c r="B1025" s="55" t="str">
        <x:v>—</x:v>
      </x:c>
      <x:c r="C1025" s="55" t="str">
        <x:v>—</x:v>
      </x:c>
      <x:c r="D1025" s="55" t="str">
        <x:v>—</x:v>
      </x:c>
      <x:c r="E1025" s="55" t="inlineStr">
        <x:is>
          <x:t>絕世天界戰匣（網站未列地圖）</x:t>
        </x:is>
      </x:c>
    </x:row>
    <x:row r="1026" ht="90" customHeight="1">
      <x:c r="A1026" s="55" t="str">
        <x:v>霸王槍</x:v>
      </x:c>
      <x:c r="B1026" s="55" t="str">
        <x:v>—</x:v>
      </x:c>
      <x:c r="C1026" s="55" t="str">
        <x:v>—</x:v>
      </x:c>
      <x:c r="D1026" s="55" t="str">
        <x:v>霸王槍配方</x:v>
      </x:c>
      <x:c r="E1026" s="55" t="inlineStr">
        <x:is>
          <x:t>天界戰匣（網站未列地圖）；喜兔武器錦囊‧參（網站未列地圖）；掠奪武器包裹（網站未列地圖）；羅剎寶袋（網站未列地圖）；神來裝樂透卡之三（網站未列地圖）；龍紋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；北斗星君（五派禁地）；南蠻女戰士（千佛遺跡西側、摩羅國境）；嘯槍鬼馬（三途之都、枉死之城、悲歡渡口）；夜帝侍衛（網站未列地圖）；護衛侍（長野沙濱、葉隱蒼林、神室關所、內崎埠原、外崎埠原）</x:t>
        </x:is>
      </x:c>
    </x:row>
    <x:row r="1027" ht="15" customHeight="1">
      <x:c r="A1027" s="55" t="str">
        <x:v>絕世霸王槍</x:v>
      </x:c>
      <x:c r="B1027" s="55" t="str">
        <x:v>—</x:v>
      </x:c>
      <x:c r="C1027" s="55" t="str">
        <x:v>—</x:v>
      </x:c>
      <x:c r="D1027" s="55" t="str">
        <x:v>—</x:v>
      </x:c>
      <x:c r="E1027" s="55" t="inlineStr">
        <x:is>
          <x:t>絕世天界戰匣（網站未列地圖）</x:t>
        </x:is>
      </x:c>
    </x:row>
    <x:row r="1028" ht="75" customHeight="1">
      <x:c r="A1028" s="55" t="str">
        <x:v>蛇脊矛</x:v>
      </x:c>
      <x:c r="B1028" s="55" t="str">
        <x:v>—</x:v>
      </x:c>
      <x:c r="C1028" s="55" t="str">
        <x:v>—</x:v>
      </x:c>
      <x:c r="D1028" s="55" t="str">
        <x:v>蛇脊矛配方</x:v>
      </x:c>
      <x:c r="E1028" s="55" t="inlineStr">
        <x:is>
          <x:t>幻蠱妖煞（網站未列地圖）；幻雷妖煞（網站未列地圖）；侏人神兵錦囊（網站未列地圖）；喜兔武器錦囊‧肆（網站未列地圖）；神來裝樂透卡之四（網站未列地圖）；侏人狂戰士（蕈菇林西方）；玄陰地靈元靈（幽玄靈界）；玄陰地靈（晶湖水道、水晶礦坑、神兵塚）；林間老屍（千佛遺跡西側）；幼犀元靈（幽玄靈界）；嘯地幼犀（蕈菇林東方、蕈菇林西方、晶湖水道、地下水道）；[嘯地幼犀]（網站未列地圖）；魔侏人狂戰士（神兵塚）；灰侏人狂戰士（地下水道、水晶礦坑）</x:t>
        </x:is>
      </x:c>
    </x:row>
    <x:row r="1029" ht="45" customHeight="1">
      <x:c r="A1029" s="55" t="str">
        <x:v>地靈蛇脊矛</x:v>
      </x:c>
      <x:c r="B1029" s="55" t="str">
        <x:v>—</x:v>
      </x:c>
      <x:c r="C1029" s="55" t="str">
        <x:v>—</x:v>
      </x:c>
      <x:c r="D1029" s="55" t="str">
        <x:v>地靈蛇矛配方</x:v>
      </x:c>
      <x:c r="E1029" s="55" t="inlineStr">
        <x:is>
          <x:t>喜兔武器錦囊‧肆（網站未列地圖）；神來裝樂透卡之四（網站未列地圖）；侏人神兵錦囊（網站未列地圖）；幻蠱妖煞（網站未列地圖）；幻雷妖煞（網站未列地圖）；地煞幻影（神兵塚）；侏人狂戰將（礦坑戰場）；地煞（神兵塚）；[地煞]（網站未列地圖）；灰侏人狂戰將（網站未列地圖）</x:t>
        </x:is>
      </x:c>
    </x:row>
    <x:row r="1030" ht="15" customHeight="1">
      <x:c r="A1030" s="55" t="str">
        <x:v>無雙蛇脊矛</x:v>
      </x:c>
      <x:c r="B1030" s="55" t="str">
        <x:v>追本溯源</x:v>
      </x:c>
      <x:c r="C1030" s="55" t="str">
        <x:v>—</x:v>
      </x:c>
      <x:c r="D1030" s="55" t="str">
        <x:v>—</x:v>
      </x:c>
      <x:c r="E1030" s="55" t="inlineStr">
        <x:is>
          <x:t>無雙神兵錦囊（網站未列地圖）</x:t>
        </x:is>
      </x:c>
    </x:row>
    <x:row r="1031" ht="15" customHeight="1">
      <x:c r="A1031" s="55" t="str">
        <x:v>絕世地靈蛇脊矛</x:v>
      </x:c>
      <x:c r="B1031" s="55" t="str">
        <x:v>—</x:v>
      </x:c>
      <x:c r="C1031" s="55" t="str">
        <x:v>—</x:v>
      </x:c>
      <x:c r="D1031" s="55" t="str">
        <x:v>—</x:v>
      </x:c>
      <x:c r="E1031" s="55" t="inlineStr">
        <x:is>
          <x:t>地火絕世錦囊（網站未列地圖）</x:t>
        </x:is>
      </x:c>
    </x:row>
    <x:row r="1032" ht="60" customHeight="1">
      <x:c r="A1032" s="55" t="str">
        <x:v>離火槍</x:v>
      </x:c>
      <x:c r="B1032" s="55" t="str">
        <x:v>—</x:v>
      </x:c>
      <x:c r="C1032" s="55" t="str">
        <x:v>—</x:v>
      </x:c>
      <x:c r="D1032" s="55" t="str">
        <x:v>離火槍配方</x:v>
      </x:c>
      <x:c r="E1032" s="55" t="inlineStr">
        <x:is>
          <x:t>幻蠱妖煞（網站未列地圖）；幻雷妖煞（網站未列地圖）；侏人神兵錦囊（網站未列地圖）；喜兔武器錦囊‧肆（網站未列地圖）；神來裝樂透卡之四（網站未列地圖）；晶石巨怪（水晶礦坑）；晶石巨魔（神兵塚）；侏人戰將（蕈菇林西方）；魔侏人戰士（神兵塚）；灰侏人戰士（晶湖水道、地下水道、水晶礦坑）；玄陰地靈元靈（幽玄靈界）；玄陰地靈（晶湖水道、水晶礦坑、神兵塚）；焚風禿鷹（菩提聖原）</x:t>
        </x:is>
      </x:c>
    </x:row>
    <x:row r="1033" ht="45" customHeight="1">
      <x:c r="A1033" s="55" t="str">
        <x:v>天晶離火槍</x:v>
      </x:c>
      <x:c r="B1033" s="55" t="str">
        <x:v>—</x:v>
      </x:c>
      <x:c r="C1033" s="55" t="str">
        <x:v>—</x:v>
      </x:c>
      <x:c r="D1033" s="55" t="str">
        <x:v>天晶火槍配方</x:v>
      </x:c>
      <x:c r="E1033" s="55" t="inlineStr">
        <x:is>
          <x:t>喜兔武器錦囊‧肆（網站未列地圖）；神來裝樂透卡之四（網站未列地圖）；侏人神兵錦囊（網站未列地圖）；幻蠱妖煞（網站未列地圖）；幻雷妖煞（網站未列地圖）；魔侏人戰將（神兵塚）；灰侏人戰將（地下水道、水晶礦坑）；三途棺差（恨生不歸途、三途之都、枉死之城）；[三途棺差]（網站未列地圖）；灰侏人狂戰將（網站未列地圖）</x:t>
        </x:is>
      </x:c>
    </x:row>
    <x:row r="1034" ht="15" customHeight="1">
      <x:c r="A1034" s="55" t="str">
        <x:v>無雙離火槍</x:v>
      </x:c>
      <x:c r="B1034" s="55" t="str">
        <x:v>追本溯源</x:v>
      </x:c>
      <x:c r="C1034" s="55" t="str">
        <x:v>—</x:v>
      </x:c>
      <x:c r="D1034" s="55" t="str">
        <x:v>—</x:v>
      </x:c>
      <x:c r="E1034" s="55" t="inlineStr">
        <x:is>
          <x:t>無雙神兵錦囊（網站未列地圖）</x:t>
        </x:is>
      </x:c>
    </x:row>
    <x:row r="1035" ht="15" customHeight="1">
      <x:c r="A1035" s="55" t="str">
        <x:v>絕世天晶離火槍</x:v>
      </x:c>
      <x:c r="B1035" s="55" t="str">
        <x:v>—</x:v>
      </x:c>
      <x:c r="C1035" s="55" t="str">
        <x:v>—</x:v>
      </x:c>
      <x:c r="D1035" s="55" t="str">
        <x:v>—</x:v>
      </x:c>
      <x:c r="E1035" s="55" t="inlineStr">
        <x:is>
          <x:t>地火絕世錦囊（網站未列地圖）</x:t>
        </x:is>
      </x:c>
    </x:row>
    <x:row r="1036" ht="30" customHeight="1">
      <x:c r="A1036" s="55" t="str">
        <x:v>噬魂槍</x:v>
      </x:c>
      <x:c r="B1036" s="55" t="str">
        <x:v>—</x:v>
      </x:c>
      <x:c r="C1036" s="55" t="str">
        <x:v>—</x:v>
      </x:c>
      <x:c r="D1036" s="55" t="str">
        <x:v>噬魂槍配方</x:v>
      </x:c>
      <x:c r="E1036" s="55" t="inlineStr">
        <x:is>
          <x:t>黑天神兵元靈（網站未列地圖）；西域神兵錦囊（網站未列地圖）；血槍幫小頭目（高昌郡）；執怨般若（十津原樹海、天照不二峰）；羅剎槍士（塔干沙漠西方）；傀儡羅剎槍士（網站未列地圖）；羅剎槍士遊魂（網站未列地圖）</x:t>
        </x:is>
      </x:c>
    </x:row>
    <x:row r="1037" ht="75" customHeight="1">
      <x:c r="A1037" s="55" t="str">
        <x:v>驚邪槍</x:v>
      </x:c>
      <x:c r="B1037" s="55" t="str">
        <x:v>—</x:v>
      </x:c>
      <x:c r="C1037" s="55" t="str">
        <x:v>—</x:v>
      </x:c>
      <x:c r="D1037" s="55" t="str">
        <x:v>驚邪槍配方</x:v>
      </x:c>
      <x:c r="E1037" s="55" t="inlineStr">
        <x:is>
          <x:t>西域真武錦囊（網站未列地圖）；黑天神兵元靈（網站未列地圖）；西域神兵錦囊（網站未列地圖）；喜兔武器錦囊‧伍（網站未列地圖）；神來裝樂透卡之五（網站未列地圖）；&lt;彪虎古戰神&gt;（真七寶仙境　貳）；血槍幫首領（高昌郡）；大黑天幻影（萬佛窟）；大黑天尊者（樓蘭遺址、火焰山）；大黑天（萬佛窟、火焰山）；嵐荒天虎神（網站未列地圖）；黑天妖魔（萬佛窟、火焰山）；[黑天妖魔]（網站未列地圖）；溺誘河童（內崎埠原、外崎埠原、十津原樹海）</x:t>
        </x:is>
      </x:c>
    </x:row>
    <x:row r="1038" ht="15" customHeight="1">
      <x:c r="A1038" s="55" t="str">
        <x:v>無雙驚邪槍</x:v>
      </x:c>
      <x:c r="B1038" s="55" t="str">
        <x:v>—</x:v>
      </x:c>
      <x:c r="C1038" s="55" t="str">
        <x:v>—</x:v>
      </x:c>
      <x:c r="D1038" s="55" t="str">
        <x:v>—</x:v>
      </x:c>
      <x:c r="E1038" s="55" t="inlineStr">
        <x:is>
          <x:t>西域無雙錦囊（網站未列地圖）</x:t>
        </x:is>
      </x:c>
    </x:row>
    <x:row r="1039" ht="75" customHeight="1">
      <x:c r="A1039" s="55" t="str">
        <x:v>宇十文字槍</x:v>
      </x:c>
      <x:c r="B1039" s="55" t="str">
        <x:v>—</x:v>
      </x:c>
      <x:c r="C1039" s="55" t="str">
        <x:v>—</x:v>
      </x:c>
      <x:c r="D1039" s="55" t="str">
        <x:v>十文字槍配方</x:v>
      </x:c>
      <x:c r="E1039" s="55" t="inlineStr">
        <x:is>
          <x:t>東瀛神兵桐箱（網站未列地圖）；東瀛神兵寶箱（網站未列地圖）；御行神兵錦囊（網站未列地圖）；黑教侍衛（登天棧道、懸空仙嶺、青藏高原、大梵聖湖）；冥戶永德（八荒古墳）；波斯戰象（黃塵荒漠）；烏羽天狗（網站未列地圖）；[鴉天狗]（網站未列地圖）；鴉天狗（天照不二峰、八荒古墳）；白靈石獅（恨生不歸途、三途之都、枉死之城）；[白靈石獅]（網站未列地圖）；夜帝侍衛（網站未列地圖）；南蠻女戰士（千佛遺跡西側、摩羅國境）；鴉（網站未列地圖）</x:t>
        </x:is>
      </x:c>
    </x:row>
    <x:row r="1040" ht="15" customHeight="1">
      <x:c r="A1040" s="55" t="str">
        <x:v>無雙十文字槍</x:v>
      </x:c>
      <x:c r="B1040" s="55" t="str">
        <x:v>—</x:v>
      </x:c>
      <x:c r="C1040" s="55" t="str">
        <x:v>—</x:v>
      </x:c>
      <x:c r="D1040" s="55" t="str">
        <x:v>—</x:v>
      </x:c>
      <x:c r="E1040" s="55" t="inlineStr">
        <x:is>
          <x:t>東瀛無雙錦囊（網站未列地圖）</x:t>
        </x:is>
      </x:c>
    </x:row>
    <x:row r="1041" ht="45" customHeight="1">
      <x:c r="A1041" s="55" t="str">
        <x:v>菊宗澤紋槍</x:v>
      </x:c>
      <x:c r="B1041" s="55" t="str">
        <x:v>—</x:v>
      </x:c>
      <x:c r="C1041" s="55" t="str">
        <x:v>—</x:v>
      </x:c>
      <x:c r="D1041" s="55" t="str">
        <x:v>菊宗紋槍配方</x:v>
      </x:c>
      <x:c r="E1041" s="55" t="inlineStr">
        <x:is>
          <x:t>賀歲神兵禮盒（網站未列地圖）；萬岳囂異（青藏高原、大梵聖湖、萬岳聖峰）；波斯步卒（聖域之門、清教院街）；半身虎人（黃塵荒漠、聖域之門、飛簷頂徑）；[半身虎人]（網站未列地圖）；鼻高天狗（天照不二峰）；酆神陣頭（三途之都、枉死之城、悲歡渡口、永劫刑場）；巨象騎兵（金霄佛寺）</x:t>
        </x:is>
      </x:c>
    </x:row>
    <x:row r="1042" ht="30" customHeight="1">
      <x:c r="A1042" s="55" t="str">
        <x:v>灼焰紅蓮槍</x:v>
      </x:c>
      <x:c r="B1042" s="55" t="str">
        <x:v>—</x:v>
      </x:c>
      <x:c r="C1042" s="55" t="str">
        <x:v>—</x:v>
      </x:c>
      <x:c r="D1042" s="55" t="str">
        <x:v>—</x:v>
      </x:c>
      <x:c r="E1042" s="55" t="inlineStr">
        <x:is>
          <x:t>東瀛神兵寶匣（網站未列地圖）；喜兔武器錦囊‧陸（網站未列地圖）；神來裝樂透卡之六（網站未列地圖）；夜帝化身（網站未列地圖）；鬼將青面般若（伊取川大陣）</x:t>
        </x:is>
      </x:c>
    </x:row>
    <x:row r="1043" ht="30" customHeight="1">
      <x:c r="A1043" s="55" t="str">
        <x:v>稻妻蒼雷槍</x:v>
      </x:c>
      <x:c r="B1043" s="55" t="str">
        <x:v>—</x:v>
      </x:c>
      <x:c r="C1043" s="55" t="str">
        <x:v>—</x:v>
      </x:c>
      <x:c r="D1043" s="55" t="str">
        <x:v>—</x:v>
      </x:c>
      <x:c r="E1043" s="55" t="inlineStr">
        <x:is>
          <x:t>東瀛神兵寶匣（網站未列地圖）；喜兔武器錦囊‧陸（網站未列地圖）；神來裝樂透卡之六（網站未列地圖）；夜帝化身（網站未列地圖）；鬼將青面般若（伊取川大陣）</x:t>
        </x:is>
      </x:c>
    </x:row>
    <x:row r="1044" ht="30" customHeight="1">
      <x:c r="A1044" s="55" t="str">
        <x:v>金龍衝霄槍</x:v>
      </x:c>
      <x:c r="B1044" s="55" t="str">
        <x:v>—</x:v>
      </x:c>
      <x:c r="C1044" s="55" t="str">
        <x:v>—</x:v>
      </x:c>
      <x:c r="D1044" s="55" t="str">
        <x:v>金龍神槍配方</x:v>
      </x:c>
      <x:c r="E1044" s="55" t="inlineStr">
        <x:is>
          <x:t>天佛神兵錦囊（網站未列地圖）；冰獄獠鬼（寒愴冰獄）；黑教侍衛（登天棧道、懸空仙嶺、青藏高原、大梵聖湖）；波斯戰象（黃塵荒漠）；摩羅女武侍（大梵河岸、金霄佛寺）</x:t>
        </x:is>
      </x:c>
    </x:row>
    <x:row r="1045" ht="15" customHeight="1">
      <x:c r="A1045" s="55" t="str">
        <x:v>無雙金龍衝霄槍</x:v>
      </x:c>
      <x:c r="B1045" s="55" t="str">
        <x:v>—</x:v>
      </x:c>
      <x:c r="C1045" s="55" t="str">
        <x:v>—</x:v>
      </x:c>
      <x:c r="D1045" s="55" t="str">
        <x:v>—</x:v>
      </x:c>
      <x:c r="E1045" s="55" t="inlineStr">
        <x:is>
          <x:t>摩羅無雙錦囊（網站未列地圖）</x:t>
        </x:is>
      </x:c>
    </x:row>
    <x:row r="1046" ht="60" customHeight="1">
      <x:c r="A1046" s="55" t="str">
        <x:v>伐樓拿聖戟</x:v>
      </x:c>
      <x:c r="B1046" s="55" t="str">
        <x:v>—</x:v>
      </x:c>
      <x:c r="C1046" s="55" t="str">
        <x:v>—</x:v>
      </x:c>
      <x:c r="D1046" s="55" t="str">
        <x:v>伐樓拿戟配方</x:v>
      </x:c>
      <x:c r="E1046" s="55" t="inlineStr">
        <x:is>
          <x:t>釋尊真武檀箱（網站未列地圖）；釋尊神兵檀箱（網站未列地圖）；涅槃神兵聖匣（網站未列地圖）；喜兔武器錦囊‧捌（網站未列地圖）；衰神爺（網站未列地圖）；聖血戰虎（波斯西市、法誡參道、漆黑水路）；萬岳囂異（青藏高原、大梵聖湖、萬岳聖峰）；波斯步卒（聖域之門、清教院街）；半身虎人（黃塵荒漠、聖域之門、飛簷頂徑）；[半身虎人]（網站未列地圖）</x:t>
        </x:is>
      </x:c>
    </x:row>
    <x:row r="1047" ht="30" customHeight="1">
      <x:c r="A1047" s="55" t="str">
        <x:v>衝煞妖龍槍</x:v>
      </x:c>
      <x:c r="B1047" s="55" t="str">
        <x:v>—</x:v>
      </x:c>
      <x:c r="C1047" s="55" t="str">
        <x:v>—</x:v>
      </x:c>
      <x:c r="D1047" s="55" t="str">
        <x:v>—</x:v>
      </x:c>
      <x:c r="E1047" s="55" t="inlineStr">
        <x:is>
          <x:t>喜兔武器錦囊‧玖（網站未列地圖）；煉獄邪兵戰匣（網站未列地圖）；神來裝樂透卡之九（網站未列地圖）；扶乩大喪神（荒禍殘墟）；火之精靈（靜默之丘）；虎威戰神（真知寺、萬識聖宮）；聖虎衛士（網站未列地圖）</x:t>
        </x:is>
      </x:c>
    </x:row>
    <x:row r="1048" ht="15" customHeight="1">
      <x:c r="A1048" s="55" t="str">
        <x:v>無雙妖龍槍</x:v>
      </x:c>
      <x:c r="B1048" s="55" t="str">
        <x:v>—</x:v>
      </x:c>
      <x:c r="C1048" s="55" t="str">
        <x:v>—</x:v>
      </x:c>
      <x:c r="D1048" s="55" t="str">
        <x:v>—</x:v>
      </x:c>
      <x:c r="E1048" s="55" t="inlineStr">
        <x:is>
          <x:t>煉獄無雙錦囊（網站未列地圖）</x:t>
        </x:is>
      </x:c>
    </x:row>
    <x:row r="1049" ht="30" customHeight="1">
      <x:c r="A1049" s="55" t="str">
        <x:v>皇邪戮神槍</x:v>
      </x:c>
      <x:c r="B1049" s="55" t="str">
        <x:v>—</x:v>
      </x:c>
      <x:c r="C1049" s="55" t="str">
        <x:v>—</x:v>
      </x:c>
      <x:c r="D1049" s="55" t="str">
        <x:v>—</x:v>
      </x:c>
      <x:c r="E1049" s="55" t="inlineStr">
        <x:is>
          <x:t>無間邪兵戰匣（網站未列地圖）；阿鼻邪兵戰匣（網站未列地圖）；傾天絕邪（寒愴冰獄）；霧城巨獅（網站未列地圖）；歐陸雄獅（靜默之丘、擎空壁壘、獅堡軍事區、凱旋廣場）；聖血戰虎（波斯西市、法誡參道、漆黑水路）</x:t>
        </x:is>
      </x:c>
    </x:row>
    <x:row r="1050" ht="15" customHeight="1">
      <x:c r="A1050" s="55" t="str">
        <x:v>妖滅天殛魔槍</x:v>
      </x:c>
      <x:c r="B1050" s="55" t="str">
        <x:v>—</x:v>
      </x:c>
      <x:c r="C1050" s="55" t="str">
        <x:v>—</x:v>
      </x:c>
      <x:c r="D1050" s="55" t="str">
        <x:v>—</x:v>
      </x:c>
      <x:c r="E1050" s="55" t="inlineStr">
        <x:is>
          <x:t>天殛邪兵錦囊（網站未列地圖）</x:t>
        </x:is>
      </x:c>
    </x:row>
    <x:row r="1051" ht="15" customHeight="1">
      <x:c r="A1051" s="55" t="str">
        <x:v>凶亡天殛魔槍</x:v>
      </x:c>
      <x:c r="B1051" s="55" t="str">
        <x:v>—</x:v>
      </x:c>
      <x:c r="C1051" s="55" t="str">
        <x:v>—</x:v>
      </x:c>
      <x:c r="D1051" s="55" t="str">
        <x:v>—</x:v>
      </x:c>
      <x:c r="E1051" s="55" t="inlineStr">
        <x:is>
          <x:t>天殛邪兵錦囊（網站未列地圖）</x:t>
        </x:is>
      </x:c>
    </x:row>
    <x:row r="1052" ht="15" customHeight="1">
      <x:c r="A1052" s="55" t="str">
        <x:v>惡斬天殛魔槍</x:v>
      </x:c>
      <x:c r="B1052" s="55" t="str">
        <x:v>—</x:v>
      </x:c>
      <x:c r="C1052" s="55" t="str">
        <x:v>—</x:v>
      </x:c>
      <x:c r="D1052" s="55" t="str">
        <x:v>—</x:v>
      </x:c>
      <x:c r="E1052" s="55" t="inlineStr">
        <x:is>
          <x:t>天殛邪兵錦囊（網站未列地圖）</x:t>
        </x:is>
      </x:c>
    </x:row>
    <x:row r="1053" ht="15" customHeight="1">
      <x:c r="A1053" s="55" t="str">
        <x:v>獸殺天殛魔槍</x:v>
      </x:c>
      <x:c r="B1053" s="55" t="str">
        <x:v>—</x:v>
      </x:c>
      <x:c r="C1053" s="55" t="str">
        <x:v>—</x:v>
      </x:c>
      <x:c r="D1053" s="55" t="str">
        <x:v>—</x:v>
      </x:c>
      <x:c r="E1053" s="55" t="inlineStr">
        <x:is>
          <x:t>天殛邪兵錦囊（網站未列地圖）</x:t>
        </x:is>
      </x:c>
    </x:row>
    <x:row r="1054" ht="30" customHeight="1">
      <x:c r="A1054" s="55" t="str">
        <x:v>天嶄五煞槍</x:v>
      </x:c>
      <x:c r="B1054" s="55" t="str">
        <x:v>—</x:v>
      </x:c>
      <x:c r="C1054" s="55" t="str">
        <x:v>—</x:v>
      </x:c>
      <x:c r="D1054" s="55" t="str">
        <x:v>—</x:v>
      </x:c>
      <x:c r="E1054" s="55" t="inlineStr">
        <x:is>
          <x:t>頂峰神兵錦囊（網站未列地圖）；天鬼神羅奢薩（神煉之間）；闇夜死神（擎空壁壘）；火之精靈（靜默之丘）；虎威戰神（真知寺、萬識聖宮）；聖虎衛士（網站未列地圖）</x:t>
        </x:is>
      </x:c>
    </x:row>
    <x:row r="1055" ht="30" customHeight="1">
      <x:c r="A1055" s="55" t="str">
        <x:v>太古天嶄五煞槍</x:v>
      </x:c>
      <x:c r="B1055" s="55" t="str">
        <x:v>—</x:v>
      </x:c>
      <x:c r="C1055" s="55" t="str">
        <x:v>—</x:v>
      </x:c>
      <x:c r="D1055" s="55" t="str">
        <x:v>—</x:v>
      </x:c>
      <x:c r="E1055" s="55" t="inlineStr">
        <x:is>
          <x:t>天藏太古神兵聖箱（網站未列地圖）；兔兒皇（網站未列地圖）；九華神曜龍（天授之間）；傲霜飛龍（吐蕃集鎮、萬岳聖峰、香格里拉聖路、香格里拉神廟）</x:t>
        </x:is>
      </x:c>
    </x:row>
    <x:row r="1056" ht="15" customHeight="1">
      <x:c r="A1056" s="55" t="str">
        <x:v>無雙五煞槍</x:v>
      </x:c>
      <x:c r="B1056" s="55" t="str">
        <x:v>—</x:v>
      </x:c>
      <x:c r="C1056" s="55" t="str">
        <x:v>—</x:v>
      </x:c>
      <x:c r="D1056" s="55" t="str">
        <x:v>—</x:v>
      </x:c>
      <x:c r="E1056" s="55" t="inlineStr">
        <x:is>
          <x:t>天藏無雙錦囊（網站未列地圖）</x:t>
        </x:is>
      </x:c>
    </x:row>
    <x:row r="1057" ht="30" customHeight="1">
      <x:c r="A1057" s="55" t="str">
        <x:v>碎峰鬥仙槍</x:v>
      </x:c>
      <x:c r="B1057" s="55" t="str">
        <x:v>—</x:v>
      </x:c>
      <x:c r="C1057" s="55" t="str">
        <x:v>—</x:v>
      </x:c>
      <x:c r="D1057" s="55" t="str">
        <x:v>—</x:v>
      </x:c>
      <x:c r="E1057" s="55" t="inlineStr">
        <x:is>
          <x:t>天光神兵聖匣（網站未列地圖）；香格里拉武匣（網站未列地圖）；雲蛟衛（登龍道、凌風修境、繚空碎島）；霧城巨獅（網站未列地圖）；歐陸雄獅（靜默之丘、擎空壁壘、獅堡軍事區、凱旋廣場）</x:t>
        </x:is>
      </x:c>
    </x:row>
    <x:row r="1058" ht="30" customHeight="1">
      <x:c r="A1058" s="55" t="str">
        <x:v>太古碎峰鬥仙槍</x:v>
      </x:c>
      <x:c r="B1058" s="55" t="str">
        <x:v>—</x:v>
      </x:c>
      <x:c r="C1058" s="55" t="str">
        <x:v>—</x:v>
      </x:c>
      <x:c r="D1058" s="55" t="str">
        <x:v>—</x:v>
      </x:c>
      <x:c r="E1058" s="55" t="inlineStr">
        <x:is>
          <x:t>天藏太古神兵聖箱（網站未列地圖）；查拉欽（飛昇大廳）；&lt;查拉欽&gt;（真七寶仙境　貳）；四聖位化神（飛昇大廳）；&lt;四聖位化神&gt;（真七寶仙境　貳）；水元素神將（萬識聖宮）；真知神烈將（真知寺、萬識聖宮）</x:t>
        </x:is>
      </x:c>
    </x:row>
    <x:row r="1059" ht="15" customHeight="1">
      <x:c r="A1059" s="55" t="str">
        <x:v>聖槍天龍八部</x:v>
      </x:c>
      <x:c r="B1059" s="55" t="str">
        <x:v>—</x:v>
      </x:c>
      <x:c r="C1059" s="55" t="str">
        <x:v>—</x:v>
      </x:c>
      <x:c r="D1059" s="55" t="str">
        <x:v>—</x:v>
      </x:c>
      <x:c r="E1059" s="55" t="inlineStr">
        <x:is>
          <x:t>聖魔永劫戰匣（網站未列地圖）</x:t>
        </x:is>
      </x:c>
    </x:row>
    <x:row r="1060" ht="15" customHeight="1">
      <x:c r="A1060" s="55" t="str">
        <x:v>魔戟跋伊羅婆</x:v>
      </x:c>
      <x:c r="B1060" s="55" t="str">
        <x:v>—</x:v>
      </x:c>
      <x:c r="C1060" s="55" t="str">
        <x:v>—</x:v>
      </x:c>
      <x:c r="D1060" s="55" t="str">
        <x:v>—</x:v>
      </x:c>
      <x:c r="E1060" s="55" t="inlineStr">
        <x:is>
          <x:t>聖魔永劫戰匣（網站未列地圖）</x:t>
        </x:is>
      </x:c>
    </x:row>
    <x:row r="1061" ht="15" customHeight="1">
      <x:c r="A1061" s="55" t="str">
        <x:v>不敗神冕槍</x:v>
      </x:c>
      <x:c r="B1061" s="55" t="str">
        <x:v>—</x:v>
      </x:c>
      <x:c r="C1061" s="55" t="str">
        <x:v>—</x:v>
      </x:c>
      <x:c r="D1061" s="55" t="str">
        <x:v>—</x:v>
      </x:c>
      <x:c r="E1061" s="55" t="inlineStr">
        <x:is>
          <x:t>波斯神兵寶箱（網站未列地圖）；雲蛟巨將（九霄天樓）；闇夜死神（擎空壁壘）</x:t>
        </x:is>
      </x:c>
    </x:row>
    <x:row r="1062" ht="15" customHeight="1">
      <x:c r="A1062" s="55" t="str">
        <x:v>太古不敗神冕槍</x:v>
      </x:c>
      <x:c r="B1062" s="55" t="str">
        <x:v>—</x:v>
      </x:c>
      <x:c r="C1062" s="55" t="str">
        <x:v>—</x:v>
      </x:c>
      <x:c r="D1062" s="55" t="str">
        <x:v>—</x:v>
      </x:c>
      <x:c r="E1062" s="55" t="inlineStr">
        <x:is>
          <x:t>波斯太古神兵聖箱（網站未列地圖）；幻魔‧火鐮（神臨之地）；&lt;幻魔‧火鐮&gt;（修羅級神臨之地）</x:t>
        </x:is>
      </x:c>
    </x:row>
    <x:row r="1063" ht="15" customHeight="1">
      <x:c r="A1063" s="55" t="str">
        <x:v>無雙不敗神槍</x:v>
      </x:c>
      <x:c r="B1063" s="55" t="str">
        <x:v>—</x:v>
      </x:c>
      <x:c r="C1063" s="55" t="str">
        <x:v>—</x:v>
      </x:c>
      <x:c r="D1063" s="55" t="str">
        <x:v>—</x:v>
      </x:c>
      <x:c r="E1063" s="55" t="inlineStr">
        <x:is>
          <x:t>波斯無雙錦囊（網站未列地圖）</x:t>
        </x:is>
      </x:c>
    </x:row>
    <x:row r="1064" ht="30" customHeight="1">
      <x:c r="A1064" s="55" t="str">
        <x:v>絕震武皇槍</x:v>
      </x:c>
      <x:c r="B1064" s="55" t="str">
        <x:v>—</x:v>
      </x:c>
      <x:c r="C1064" s="55" t="str">
        <x:v>—</x:v>
      </x:c>
      <x:c r="D1064" s="55" t="str">
        <x:v>—</x:v>
      </x:c>
      <x:c r="E1064" s="55" t="inlineStr">
        <x:is>
          <x:t>武皇神兵寶箱（網站未列地圖）；波斯千武印箱（網站未列地圖）；&lt;彪虎古戰神&gt;（真七寶仙境　貳）；雲蛟衛（登龍道、凌風修境、繚空碎島）；嵐荒天虎神（網站未列地圖）</x:t>
        </x:is>
      </x:c>
    </x:row>
    <x:row r="1065" ht="30" customHeight="1">
      <x:c r="A1065" s="55" t="str">
        <x:v>太古絕震武皇槍</x:v>
      </x:c>
      <x:c r="B1065" s="55" t="str">
        <x:v>—</x:v>
      </x:c>
      <x:c r="C1065" s="55" t="str">
        <x:v>—</x:v>
      </x:c>
      <x:c r="D1065" s="55" t="str">
        <x:v>—</x:v>
      </x:c>
      <x:c r="E1065" s="55" t="inlineStr">
        <x:is>
          <x:t>年大媽（網站未列地圖）；波斯太古神兵聖箱（網站未列地圖）；貪慾之魔（神臨之地）；&lt;貪慾之魔&gt;（修羅級神臨之地）</x:t>
        </x:is>
      </x:c>
    </x:row>
    <x:row r="1066" ht="15" customHeight="1">
      <x:c r="A1066" s="55" t="str">
        <x:v>破獄光陣槍</x:v>
      </x:c>
      <x:c r="B1066" s="55" t="str">
        <x:v>—</x:v>
      </x:c>
      <x:c r="C1066" s="55" t="str">
        <x:v>—</x:v>
      </x:c>
      <x:c r="D1066" s="55" t="str">
        <x:v>—</x:v>
      </x:c>
      <x:c r="E1066" s="55" t="inlineStr">
        <x:is>
          <x:t>帝國神兵寶箱（網站未列地圖）；穹天千戶（天啟八關）；雲蛟巨將（九霄天樓）</x:t>
        </x:is>
      </x:c>
    </x:row>
    <x:row r="1067" ht="15" customHeight="1">
      <x:c r="A1067" s="55" t="str">
        <x:v>太古破獄光陣槍</x:v>
      </x:c>
      <x:c r="B1067" s="55" t="str">
        <x:v>—</x:v>
      </x:c>
      <x:c r="C1067" s="55" t="str">
        <x:v>—</x:v>
      </x:c>
      <x:c r="D1067" s="55" t="str">
        <x:v>—</x:v>
      </x:c>
      <x:c r="E1067" s="55" t="inlineStr">
        <x:is>
          <x:t>帝國太古神兵聖箱（網站未列地圖）；典藏神臨寶箱（網站未列地圖）；十字總將普萊斯（凱旋廣場）</x:t>
        </x:is>
      </x:c>
    </x:row>
    <x:row r="1068" ht="15" customHeight="1">
      <x:c r="A1068" s="55" t="str">
        <x:v>無雙光陣槍</x:v>
      </x:c>
      <x:c r="B1068" s="55" t="str">
        <x:v>—</x:v>
      </x:c>
      <x:c r="C1068" s="55" t="str">
        <x:v>—</x:v>
      </x:c>
      <x:c r="D1068" s="55" t="str">
        <x:v>—</x:v>
      </x:c>
      <x:c r="E1068" s="55" t="inlineStr">
        <x:is>
          <x:t>帝國無雙錦囊（網站未列地圖）</x:t>
        </x:is>
      </x:c>
    </x:row>
    <x:row r="1069" ht="15" customHeight="1">
      <x:c r="A1069" s="55" t="str">
        <x:v>魔絕天法槍</x:v>
      </x:c>
      <x:c r="B1069" s="55" t="str">
        <x:v>—</x:v>
      </x:c>
      <x:c r="C1069" s="55" t="str">
        <x:v>—</x:v>
      </x:c>
      <x:c r="D1069" s="55" t="str">
        <x:v>—</x:v>
      </x:c>
      <x:c r="E1069" s="55" t="inlineStr">
        <x:is>
          <x:t>歐帝神兵寶箱（網站未列地圖）；太古戰俑（紫雷轟原）</x:t>
        </x:is>
      </x:c>
    </x:row>
    <x:row r="1070" ht="15" customHeight="1">
      <x:c r="A1070" s="55" t="str">
        <x:v>太古魔絕天法槍</x:v>
      </x:c>
      <x:c r="B1070" s="55" t="str">
        <x:v>—</x:v>
      </x:c>
      <x:c r="C1070" s="55" t="str">
        <x:v>—</x:v>
      </x:c>
      <x:c r="D1070" s="55" t="str">
        <x:v>—</x:v>
      </x:c>
      <x:c r="E1070" s="55" t="inlineStr">
        <x:is>
          <x:t>帝國太古神兵聖箱（網站未列地圖）；武神（網站未列地圖）；天龍驃龍神（九霄天樓）</x:t>
        </x:is>
      </x:c>
    </x:row>
    <x:row r="1071" ht="15" customHeight="1">
      <x:c r="A1071" s="55" t="str">
        <x:v>斬惡聖衛長槍</x:v>
      </x:c>
      <x:c r="B1071" s="55" t="str">
        <x:v>—</x:v>
      </x:c>
      <x:c r="C1071" s="55" t="str">
        <x:v>—</x:v>
      </x:c>
      <x:c r="D1071" s="55" t="str">
        <x:v>—</x:v>
      </x:c>
      <x:c r="E1071" s="55" t="inlineStr">
        <x:is>
          <x:t>雄武聖兵寶樞（網站未列地圖）</x:t>
        </x:is>
      </x:c>
    </x:row>
    <x:row r="1072" ht="15" customHeight="1">
      <x:c r="A1072" s="55" t="str">
        <x:v>誅魔聖衛長槍</x:v>
      </x:c>
      <x:c r="B1072" s="55" t="str">
        <x:v>—</x:v>
      </x:c>
      <x:c r="C1072" s="55" t="str">
        <x:v>—</x:v>
      </x:c>
      <x:c r="D1072" s="55" t="str">
        <x:v>—</x:v>
      </x:c>
      <x:c r="E1072" s="55" t="inlineStr">
        <x:is>
          <x:t>雄武聖兵寶樞（網站未列地圖）</x:t>
        </x:is>
      </x:c>
    </x:row>
    <x:row r="1073" ht="15" customHeight="1">
      <x:c r="A1073" s="55" t="str">
        <x:v>滅元聖衛長槍</x:v>
      </x:c>
      <x:c r="B1073" s="55" t="str">
        <x:v>—</x:v>
      </x:c>
      <x:c r="C1073" s="55" t="str">
        <x:v>—</x:v>
      </x:c>
      <x:c r="D1073" s="55" t="str">
        <x:v>—</x:v>
      </x:c>
      <x:c r="E1073" s="55" t="inlineStr">
        <x:is>
          <x:t>雄武聖兵寶樞（網站未列地圖）</x:t>
        </x:is>
      </x:c>
    </x:row>
    <x:row r="1074" ht="15" customHeight="1">
      <x:c r="A1074" s="55" t="str">
        <x:v>屠龍聖衛長槍</x:v>
      </x:c>
      <x:c r="B1074" s="55" t="str">
        <x:v>—</x:v>
      </x:c>
      <x:c r="C1074" s="55" t="str">
        <x:v>—</x:v>
      </x:c>
      <x:c r="D1074" s="55" t="str">
        <x:v>—</x:v>
      </x:c>
      <x:c r="E1074" s="55" t="inlineStr">
        <x:is>
          <x:t>雄武聖兵寶樞（網站未列地圖）</x:t>
        </x:is>
      </x:c>
    </x:row>
    <x:row r="1075" ht="30" customHeight="1">
      <x:c r="A1075" s="55" t="str">
        <x:v>炬龍鱗尖</x:v>
      </x:c>
      <x:c r="B1075" s="55" t="str">
        <x:v>—</x:v>
      </x:c>
      <x:c r="C1075" s="55" t="str">
        <x:v>—</x:v>
      </x:c>
      <x:c r="D1075" s="55" t="str">
        <x:v>—</x:v>
      </x:c>
      <x:c r="E1075" s="55" t="inlineStr">
        <x:is>
          <x:t>九天神兵寶箱（網站未列地圖）；雷海神蛟（青龍東殿）；天海神蛟（仙庭玉階、闕真金閣）；紫雷蠻蛟（網站未列地圖）；深宮幻蝶（天啟八關）</x:t>
        </x:is>
      </x:c>
    </x:row>
    <x:row r="1076" ht="30" customHeight="1">
      <x:c r="A1076" s="55" t="str">
        <x:v>太古炬龍鱗尖</x:v>
      </x:c>
      <x:c r="B1076" s="55" t="str">
        <x:v>—</x:v>
      </x:c>
      <x:c r="C1076" s="55" t="str">
        <x:v>—</x:v>
      </x:c>
      <x:c r="D1076" s="55" t="str">
        <x:v>—</x:v>
      </x:c>
      <x:c r="E1076" s="55" t="inlineStr">
        <x:is>
          <x:t>九天太古神兵聖箱（網站未列地圖）；妖三娘翦虹（凌風修境）；仙典九天寶箱（網站未列地圖）；&lt;天龍驃龍神&gt;（修羅級九霄天樓）</x:t>
        </x:is>
      </x:c>
    </x:row>
    <x:row r="1077" ht="15" customHeight="1">
      <x:c r="A1077" s="55" t="str">
        <x:v>燦天煌龍尖</x:v>
      </x:c>
      <x:c r="B1077" s="55" t="str">
        <x:v>—</x:v>
      </x:c>
      <x:c r="C1077" s="55" t="str">
        <x:v>—</x:v>
      </x:c>
      <x:c r="D1077" s="55" t="str">
        <x:v>—</x:v>
      </x:c>
      <x:c r="E1077" s="55" t="inlineStr">
        <x:is>
          <x:t>仙庭神兵寶箱（網站未列地圖）；天柱巨靈（紫雷轟原）</x:t>
        </x:is>
      </x:c>
    </x:row>
    <x:row r="1078" ht="15" customHeight="1">
      <x:c r="A1078" s="55" t="str">
        <x:v>太古燦天煌龍尖</x:v>
      </x:c>
      <x:c r="B1078" s="55" t="str">
        <x:v>—</x:v>
      </x:c>
      <x:c r="C1078" s="55" t="str">
        <x:v>—</x:v>
      </x:c>
      <x:c r="D1078" s="55" t="str">
        <x:v>—</x:v>
      </x:c>
      <x:c r="E1078" s="55" t="inlineStr">
        <x:is>
          <x:t>九天太古神兵聖箱（網站未列地圖）；仙典真九天寶箱（網站未列地圖）</x:t>
        </x:is>
      </x:c>
    </x:row>
    <x:row r="1079" ht="15" customHeight="1">
      <x:c r="A1079" s="55" t="str">
        <x:v>聖樂空行槍</x:v>
      </x:c>
      <x:c r="B1079" s="55" t="str">
        <x:v>—</x:v>
      </x:c>
      <x:c r="C1079" s="55" t="str">
        <x:v>—</x:v>
      </x:c>
      <x:c r="D1079" s="55" t="str">
        <x:v>—</x:v>
      </x:c>
      <x:c r="E1079" s="55" t="inlineStr">
        <x:is>
          <x:t>浩陽神兵寶匣（網站未列地圖）</x:t>
        </x:is>
      </x:c>
    </x:row>
    <x:row r="1080" ht="15" customHeight="1">
      <x:c r="A1080" s="55" t="str">
        <x:v>六嚴龍樹槍</x:v>
      </x:c>
      <x:c r="B1080" s="55" t="str">
        <x:v>—</x:v>
      </x:c>
      <x:c r="C1080" s="55" t="str">
        <x:v>—</x:v>
      </x:c>
      <x:c r="D1080" s="55" t="str">
        <x:v>—</x:v>
      </x:c>
      <x:c r="E1080" s="55" t="inlineStr">
        <x:is>
          <x:t>浩陽神兵寶匣（網站未列地圖）</x:t>
        </x:is>
      </x:c>
    </x:row>
    <x:row r="1081" ht="30" customHeight="1">
      <x:c r="A1081" s="55" t="str">
        <x:v>天鍛‧冰王槍</x:v>
      </x:c>
      <x:c r="B1081" s="55" t="str">
        <x:v>—</x:v>
      </x:c>
      <x:c r="C1081" s="55" t="str">
        <x:v>—</x:v>
      </x:c>
      <x:c r="D1081" s="55" t="str">
        <x:v>—</x:v>
      </x:c>
      <x:c r="E1081" s="55" t="inlineStr">
        <x:is>
          <x:t>無限神兵寶箱（網站未列地圖）；光耀神凰（朱雀南殿）；綠林蜥蜴（異時界‧亂藤林南）；活獄馬鬼（異時界‧亂藤林西）；重絕泰斗（玄武北殿）</x:t>
        </x:is>
      </x:c>
    </x:row>
    <x:row r="1082" ht="45" customHeight="1">
      <x:c r="A1082" s="55" t="str">
        <x:v>仙鑄‧冰王槍</x:v>
      </x:c>
      <x:c r="B1082" s="55" t="str">
        <x:v>—</x:v>
      </x:c>
      <x:c r="C1082" s="55" t="str">
        <x:v>—</x:v>
      </x:c>
      <x:c r="D1082" s="55" t="str">
        <x:v>—</x:v>
      </x:c>
      <x:c r="E1082" s="55" t="inlineStr">
        <x:is>
          <x:t>大無限神兵寶箱（網站未列地圖）；侯氏兵甲福袋2015（網站未列地圖）；細瘴蛇（異時界‧葬日沼南）；夜叉魔槍者（異時界‧毒龍潭）；火咬鱷（異時界‧毒龍潭）；毒嚙鱷（異時界‧毒龍潭）；夜叉魔槍者（異時界‧修羅窟）；巨靈煞（異時界‧修羅窟）；鬼界獅鬥將（異時界‧修羅窟）；夜叉禍槍鬼（異時界‧夜叉嶺）</x:t>
        </x:is>
      </x:c>
    </x:row>
    <x:row r="1083" ht="15" customHeight="1">
      <x:c r="A1083" s="55" t="str">
        <x:v>神煉‧冰王槍</x:v>
      </x:c>
      <x:c r="B1083" s="55" t="str">
        <x:v>—</x:v>
      </x:c>
      <x:c r="C1083" s="55" t="str">
        <x:v>—</x:v>
      </x:c>
      <x:c r="D1083" s="55" t="str">
        <x:v>—</x:v>
      </x:c>
      <x:c r="E1083" s="55" t="inlineStr">
        <x:is>
          <x:t>超無限神兵寶箱（網站未列地圖）；三之極限福袋（網站未列地圖）；搖風飛蠻（時沒邊界）；黑豹‧強（殘雲天境）</x:t>
        </x:is>
      </x:c>
    </x:row>
    <x:row r="1084" ht="30" customHeight="1">
      <x:c r="A1084" s="55" t="str">
        <x:v>宇傲‧冰王槍</x:v>
      </x:c>
      <x:c r="B1084" s="55" t="str">
        <x:v>—</x:v>
      </x:c>
      <x:c r="C1084" s="55" t="str">
        <x:v>—</x:v>
      </x:c>
      <x:c r="D1084" s="55" t="str">
        <x:v>—</x:v>
      </x:c>
      <x:c r="E1084" s="55" t="inlineStr">
        <x:is>
          <x:t>極無限神兵寶箱（網站未列地圖）；侯氏兵甲福袋2016（網站未列地圖）；血戈鐵傀（音無晶宇）；空斬般若（觀無巽宇）；渡宇鷹（覺無洋宇）</x:t>
        </x:is>
      </x:c>
    </x:row>
    <x:row r="1085" ht="15" customHeight="1">
      <x:c r="A1085" s="55" t="str">
        <x:v>峻霆‧冰王槍</x:v>
      </x:c>
      <x:c r="B1085" s="55" t="str">
        <x:v>—</x:v>
      </x:c>
      <x:c r="C1085" s="55" t="str">
        <x:v>—</x:v>
      </x:c>
      <x:c r="D1085" s="55" t="str">
        <x:v>—</x:v>
      </x:c>
      <x:c r="E1085" s="55" t="inlineStr">
        <x:is>
          <x:t>絕無限神兵寶箱（網站未列地圖）；雙面刀鬼女（星群碎道）；次元戰虎（不解迴路）</x:t>
        </x:is>
      </x:c>
    </x:row>
    <x:row r="1086" ht="30" customHeight="1">
      <x:c r="A1086" s="55" t="str">
        <x:v>窮極‧冰王槍</x:v>
      </x:c>
      <x:c r="B1086" s="55" t="str">
        <x:v>—</x:v>
      </x:c>
      <x:c r="C1086" s="55" t="str">
        <x:v>—</x:v>
      </x:c>
      <x:c r="D1086" s="55" t="str">
        <x:v>—</x:v>
      </x:c>
      <x:c r="E1086" s="55" t="inlineStr">
        <x:is>
          <x:t>無無限神兵寶箱（網站未列地圖）；搗蛋天鬼神（網站未列地圖）；賀歲大金雞（網站未列地圖）；終塔衛將（終末之塔第2層、終末之塔第3層）</x:t>
        </x:is>
      </x:c>
    </x:row>
    <x:row r="1087" ht="45" customHeight="1">
      <x:c r="A1087" s="55" t="str">
        <x:v>元宙‧冰王槍</x:v>
      </x:c>
      <x:c r="B1087" s="55" t="str">
        <x:v>—</x:v>
      </x:c>
      <x:c r="C1087" s="55" t="str">
        <x:v>—</x:v>
      </x:c>
      <x:c r="D1087" s="55" t="str">
        <x:v>—</x:v>
      </x:c>
      <x:c r="E1087" s="55" t="inlineStr">
        <x:is>
          <x:t>帝無限神兵寶箱（網站未列地圖）；赤潮王叉（終末之塔第29層）；冷血者（終末之塔第14層、終末之塔第12層）；血腥者（終末之塔第18層、終末之塔第19層、終末之塔第11層）；魔極四叉（終末之塔第4層、終末之塔第5層）；虛來屠尖（吉薩走廊）</x:t>
        </x:is>
      </x:c>
    </x:row>
    <x:row r="1088" ht="30" customHeight="1">
      <x:c r="A1088" s="55" t="str">
        <x:v>真宇傲冰王槍</x:v>
      </x:c>
      <x:c r="B1088" s="55" t="str">
        <x:v>—</x:v>
      </x:c>
      <x:c r="C1088" s="55" t="str">
        <x:v>—</x:v>
      </x:c>
      <x:c r="D1088" s="55" t="str">
        <x:v>—</x:v>
      </x:c>
      <x:c r="E1088" s="55" t="inlineStr">
        <x:is>
          <x:t>終無限神兵寶箱（網站未列地圖）；怒咆穢猿（終末之塔第31層、終末之塔第32層）；峽谷矮靈（終末之塔第41層、終末之塔第42層）；古翰沙蟲（古翰大沙漠）</x:t>
        </x:is>
      </x:c>
    </x:row>
    <x:row r="1089" ht="30" customHeight="1">
      <x:c r="A1089" s="55" t="str">
        <x:v>商宿槍★</x:v>
      </x:c>
      <x:c r="B1089" s="55" t="str">
        <x:v>—</x:v>
      </x:c>
      <x:c r="C1089" s="55" t="str">
        <x:v>—</x:v>
      </x:c>
      <x:c r="D1089" s="55" t="str">
        <x:v>—</x:v>
      </x:c>
      <x:c r="E1089" s="55" t="inlineStr">
        <x:is>
          <x:t>仙星神兵寶箱（網站未列地圖）；天罪術者錦囊（網站未列地圖）；霸虛雄獅（終末之塔第57層、終末之塔第58層）；港灣鱷人（太陽神大道）；逐日虎人（王都盧索）；荒山血獵（托勒密山麓）</x:t>
        </x:is>
      </x:c>
    </x:row>
    <x:row r="1090" ht="45" customHeight="1">
      <x:c r="A1090" s="55" t="str">
        <x:v>商宿槍★★</x:v>
      </x:c>
      <x:c r="B1090" s="55" t="str">
        <x:v>—</x:v>
      </x:c>
      <x:c r="C1090" s="55" t="str">
        <x:v>—</x:v>
      </x:c>
      <x:c r="D1090" s="55" t="str">
        <x:v>—</x:v>
      </x:c>
      <x:c r="E1090" s="55" t="inlineStr">
        <x:is>
          <x:t>真‧仙星神兵寶箱（網站未列地圖）；罪赦術者錦囊（網站未列地圖）；怒裂睚眥（終末之塔第66層、終末之塔第67層）；諸肢惡樓（終末之塔第69層）；造亂思魅（終末之塔第82層、終末之塔第81層）；赤瞳犄角（赫勒神殿遺址）；衛陵煞豹（赫勒神殿遺址）；庫努牡（荷魯斯聖祠）</x:t>
        </x:is>
      </x:c>
    </x:row>
    <x:row r="1091" ht="30" customHeight="1">
      <x:c r="A1091" s="55" t="str">
        <x:v>商宿槍★★★</x:v>
      </x:c>
      <x:c r="B1091" s="55" t="str">
        <x:v>—</x:v>
      </x:c>
      <x:c r="C1091" s="55" t="str">
        <x:v>—</x:v>
      </x:c>
      <x:c r="D1091" s="55" t="str">
        <x:v>—</x:v>
      </x:c>
      <x:c r="E1091" s="55" t="inlineStr">
        <x:is>
          <x:t>超‧仙星神兵寶箱（網站未列地圖）；終罪術者錦囊（網站未列地圖）；星淵潛狂（終末之塔第91層、終末之塔第100層、終末之塔第93層）；禍患造者（終末之塔第88層、終末之塔第89層）；虛行影虎（終末之塔第76層）</x:t>
        </x:is>
      </x:c>
    </x:row>
    <x:row r="1092" ht="30" customHeight="1">
      <x:c r="A1092" s="55" t="str">
        <x:v>貫索槍☆</x:v>
      </x:c>
      <x:c r="B1092" s="55" t="str">
        <x:v>—</x:v>
      </x:c>
      <x:c r="C1092" s="55" t="str">
        <x:v>—</x:v>
      </x:c>
      <x:c r="D1092" s="55" t="str">
        <x:v>—</x:v>
      </x:c>
      <x:c r="E1092" s="55" t="inlineStr">
        <x:is>
          <x:t>煌星神兵寶箱（網站未列地圖）；天罪術者錦囊（網站未列地圖）；歐印白狐（終末之塔第117層、終末之塔第112層、終末之塔第118層）；吞虛兇鱷（終末之塔第102層、終末之塔第103層）</x:t>
        </x:is>
      </x:c>
    </x:row>
    <x:row r="1093" ht="30" customHeight="1">
      <x:c r="A1093" s="55" t="str">
        <x:v>貫索槍☆☆</x:v>
      </x:c>
      <x:c r="B1093" s="55" t="str">
        <x:v>—</x:v>
      </x:c>
      <x:c r="C1093" s="55" t="str">
        <x:v>—</x:v>
      </x:c>
      <x:c r="D1093" s="55" t="str">
        <x:v>—</x:v>
      </x:c>
      <x:c r="E1093" s="55" t="inlineStr">
        <x:is>
          <x:t>真‧煌星神兵寶箱（網站未列地圖）；九廢金剛（終末之塔第129層、終末之塔第126層）；衛塔戰偶（終末之塔第131層、終末之塔第132層）</x:t>
        </x:is>
      </x:c>
    </x:row>
    <x:row r="1094" ht="15" customHeight="1">
      <x:c r="A1094" s="55" t="str">
        <x:v>貫索槍☆☆☆</x:v>
      </x:c>
      <x:c r="B1094" s="55" t="str">
        <x:v>—</x:v>
      </x:c>
      <x:c r="C1094" s="55" t="str">
        <x:v>—</x:v>
      </x:c>
      <x:c r="D1094" s="55" t="str">
        <x:v>—</x:v>
      </x:c>
      <x:c r="E1094" s="55" t="inlineStr">
        <x:is>
          <x:t>超‧煌星神兵寶箱（網站未列地圖）</x:t>
        </x:is>
      </x:c>
    </x:row>
    <x:row r="1095" ht="15" customHeight="1">
      <x:c r="A1095" s="55" t="str">
        <x:v>權霸槍☆</x:v>
      </x:c>
      <x:c r="B1095" s="55" t="str">
        <x:v>—</x:v>
      </x:c>
      <x:c r="C1095" s="55" t="str">
        <x:v>—</x:v>
      </x:c>
      <x:c r="D1095" s="55" t="str">
        <x:v>—</x:v>
      </x:c>
      <x:c r="E1095" s="55" t="inlineStr">
        <x:is>
          <x:t>帝星神兵寶箱（網站未列地圖）；深靈化水（東宮碧庭）</x:t>
        </x:is>
      </x:c>
    </x:row>
    <x:row r="1096" ht="15" customHeight="1">
      <x:c r="A1096" s="55" t="str">
        <x:v>權霸槍★</x:v>
      </x:c>
      <x:c r="B1096" s="55" t="str">
        <x:v>—</x:v>
      </x:c>
      <x:c r="C1096" s="55" t="str">
        <x:v>—</x:v>
      </x:c>
      <x:c r="D1096" s="55" t="str">
        <x:v>—</x:v>
      </x:c>
      <x:c r="E1096" s="55" t="inlineStr">
        <x:is>
          <x:t>真‧帝星神兵寶箱（網站未列地圖）；武冠劍俠錦囊（網站未列地圖）；武冠術者錦囊（網站未列地圖）</x:t>
        </x:is>
      </x:c>
    </x:row>
    <x:row r="1097" ht="15" customHeight="1">
      <x:c r="A1097" s="55" t="str">
        <x:v>權霸槍★☆</x:v>
      </x:c>
      <x:c r="B1097" s="55" t="str">
        <x:v>—</x:v>
      </x:c>
      <x:c r="C1097" s="55" t="str">
        <x:v>—</x:v>
      </x:c>
      <x:c r="D1097" s="55" t="str">
        <x:v>—</x:v>
      </x:c>
      <x:c r="E1097" s="55" t="inlineStr">
        <x:is>
          <x:t>超‧帝星神兵寶箱（網站未列地圖）；蒼狼疾麗（齊襄道）</x:t>
        </x:is>
      </x:c>
    </x:row>
    <x:row r="1098" ht="15" customHeight="1">
      <x:c r="A1098" s="55" t="str">
        <x:v>權霸槍★★</x:v>
      </x:c>
      <x:c r="B1098" s="55" t="str">
        <x:v>—</x:v>
      </x:c>
      <x:c r="C1098" s="55" t="str">
        <x:v>—</x:v>
      </x:c>
      <x:c r="D1098" s="55" t="str">
        <x:v>—</x:v>
      </x:c>
      <x:c r="E1098" s="55" t="inlineStr">
        <x:is>
          <x:t>極‧帝星神兵寶箱（網站未列地圖）</x:t>
        </x:is>
      </x:c>
    </x:row>
    <x:row r="1099" ht="30" customHeight="1">
      <x:c r="A1099" s="55" t="str">
        <x:v>權霸槍★★☆</x:v>
      </x:c>
      <x:c r="B1099" s="55" t="str">
        <x:v>—</x:v>
      </x:c>
      <x:c r="C1099" s="55" t="str">
        <x:v>—</x:v>
      </x:c>
      <x:c r="D1099" s="55" t="str">
        <x:v>—</x:v>
      </x:c>
      <x:c r="E1099" s="55" t="inlineStr">
        <x:is>
          <x:t>絕‧帝星神兵寶箱（網站未列地圖）；天元劍俠錦囊（網站未列地圖）；天元術者錦囊（網站未列地圖）；落燕豹騎（燕蕩嶺）；跆拳魔人（溥山新郡、漢京首府）</x:t>
        </x:is>
      </x:c>
    </x:row>
    <x:row r="1100" ht="15" customHeight="1">
      <x:c r="A1100" s="55" t="str">
        <x:v>權霸槍★★★</x:v>
      </x:c>
      <x:c r="B1100" s="55" t="str">
        <x:v>—</x:v>
      </x:c>
      <x:c r="C1100" s="55" t="str">
        <x:v>—</x:v>
      </x:c>
      <x:c r="D1100" s="55" t="str">
        <x:v>—</x:v>
      </x:c>
      <x:c r="E1100" s="55" t="inlineStr">
        <x:is>
          <x:t>神‧帝星神兵寶箱（網站未列地圖）；天門殘兇（始祖巨林．西）</x:t>
        </x:is>
      </x:c>
    </x:row>
    <x:row r="1101" ht="15" customHeight="1">
      <x:c r="A1101" s="55" t="str">
        <x:v>八葉定慧槍</x:v>
      </x:c>
      <x:c r="B1101" s="55" t="str">
        <x:v>—</x:v>
      </x:c>
      <x:c r="C1101" s="55" t="str">
        <x:v>—</x:v>
      </x:c>
      <x:c r="D1101" s="55" t="str">
        <x:v>—</x:v>
      </x:c>
      <x:c r="E1101" s="55" t="inlineStr">
        <x:is>
          <x:t>尊佛極兵聖匣（網站未列地圖）</x:t>
        </x:is>
      </x:c>
    </x:row>
    <x:row r="1102" ht="30" customHeight="1">
      <x:c r="A1102" s="55" t="str">
        <x:v>天狼滅牙槍</x:v>
      </x:c>
      <x:c r="B1102" s="55" t="str">
        <x:v>—</x:v>
      </x:c>
      <x:c r="C1102" s="55" t="str">
        <x:v>—</x:v>
      </x:c>
      <x:c r="D1102" s="55" t="str">
        <x:v>—</x:v>
      </x:c>
      <x:c r="E1102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1103" ht="15" customHeight="1">
      <x:c r="A1103" s="55" t="str">
        <x:v>裂界五絕槍</x:v>
      </x:c>
      <x:c r="B1103" s="55" t="str">
        <x:v>—</x:v>
      </x:c>
      <x:c r="C1103" s="55" t="str">
        <x:v>—</x:v>
      </x:c>
      <x:c r="D1103" s="55" t="str">
        <x:v>—</x:v>
      </x:c>
      <x:c r="E1103" s="55" t="inlineStr">
        <x:is>
          <x:t>仙魔極兵聖箱（網站未列地圖）；新‧神武之岩（網站未列地圖）；神武之岩（網站未列地圖）</x:t>
        </x:is>
      </x:c>
    </x:row>
    <x:row r="1104" ht="15" customHeight="1">
      <x:c r="A1104" s="55" t="str">
        <x:v>星駒翔雷槍</x:v>
      </x:c>
      <x:c r="B1104" s="55" t="str">
        <x:v>—</x:v>
      </x:c>
      <x:c r="C1104" s="55" t="str">
        <x:v>—</x:v>
      </x:c>
      <x:c r="D1104" s="55" t="str">
        <x:v>—</x:v>
      </x:c>
      <x:c r="E1104" s="55" t="inlineStr">
        <x:is>
          <x:t>盡宇絕兵聖箱（網站未列地圖）；新‧神武之岩（網站未列地圖）；年大媽（網站未列地圖）</x:t>
        </x:is>
      </x:c>
    </x:row>
    <x:row r="1105" ht="15" customHeight="1">
      <x:c r="A1105" s="55" t="str">
        <x:v>阿瑞斯霸槍</x:v>
      </x:c>
      <x:c r="B1105" s="55" t="str">
        <x:v>—</x:v>
      </x:c>
      <x:c r="C1105" s="55" t="str">
        <x:v>—</x:v>
      </x:c>
      <x:c r="D1105" s="55" t="str">
        <x:v>—</x:v>
      </x:c>
      <x:c r="E1105" s="55" t="inlineStr">
        <x:is>
          <x:t>奧林帕斯神兵聖櫃（網站未列地圖）</x:t>
        </x:is>
      </x:c>
    </x:row>
    <x:row r="1106" ht="15" customHeight="1">
      <x:c r="A1106" s="55" t="str">
        <x:v>阿瑞斯霸槍</x:v>
      </x:c>
      <x:c r="B1106" s="55" t="str">
        <x:v>—</x:v>
      </x:c>
      <x:c r="C1106" s="55" t="str">
        <x:v>—</x:v>
      </x:c>
      <x:c r="D1106" s="55" t="str">
        <x:v>—</x:v>
      </x:c>
      <x:c r="E1106" s="55" t="inlineStr">
        <x:is>
          <x:t>奧林帕斯神兵聖櫃（網站未列地圖）</x:t>
        </x:is>
      </x:c>
    </x:row>
    <x:row r="1107" ht="15" customHeight="1">
      <x:c r="A1107" s="55" t="str">
        <x:v>荒神蚩尤槍</x:v>
      </x:c>
      <x:c r="B1107" s="55" t="str">
        <x:v>—</x:v>
      </x:c>
      <x:c r="C1107" s="55" t="str">
        <x:v>—</x:v>
      </x:c>
      <x:c r="D1107" s="55" t="str">
        <x:v>—</x:v>
      </x:c>
      <x:c r="E1107" s="55" t="inlineStr">
        <x:is>
          <x:t>仙儀丹曦帝武玉匣（網站未列地圖）</x:t>
        </x:is>
      </x:c>
    </x:row>
    <x:row r="1108" ht="15" customHeight="1">
      <x:c r="A1108" s="55" t="str">
        <x:v>荒神蚩尤槍</x:v>
      </x:c>
      <x:c r="B1108" s="55" t="str">
        <x:v>—</x:v>
      </x:c>
      <x:c r="C1108" s="55" t="str">
        <x:v>—</x:v>
      </x:c>
      <x:c r="D1108" s="55" t="str">
        <x:v>—</x:v>
      </x:c>
      <x:c r="E1108" s="55" t="inlineStr">
        <x:is>
          <x:t>仙儀丹曦帝武玉匣（網站未列地圖）</x:t>
        </x:is>
      </x:c>
    </x:row>
    <x:row r="1109" ht="15" customHeight="1">
      <x:c r="A1109" s="55" t="str">
        <x:v>破軍瑤光槍</x:v>
      </x:c>
      <x:c r="B1109" s="55" t="str">
        <x:v>—</x:v>
      </x:c>
      <x:c r="C1109" s="55" t="str">
        <x:v>—</x:v>
      </x:c>
      <x:c r="D1109" s="55" t="str">
        <x:v>—</x:v>
      </x:c>
      <x:c r="E1109" s="55" t="inlineStr">
        <x:is>
          <x:t>天尊帝宿超武神匣（網站未列地圖）</x:t>
        </x:is>
      </x:c>
    </x:row>
    <x:row r="1110" ht="15" customHeight="1">
      <x:c r="A1110" s="55" t="str">
        <x:v>銀豹宮快雪槍</x:v>
      </x:c>
      <x:c r="B1110" s="55" t="str">
        <x:v>—</x:v>
      </x:c>
      <x:c r="C1110" s="55" t="str">
        <x:v>—</x:v>
      </x:c>
      <x:c r="D1110" s="55" t="str">
        <x:v>—</x:v>
      </x:c>
      <x:c r="E1110" s="55" t="inlineStr">
        <x:is>
          <x:t>鎮天聖守星武神匣（網站未列地圖）</x:t>
        </x:is>
      </x:c>
    </x:row>
    <x:row r="1111" ht="15" customHeight="1">
      <x:c r="A1111" s="55" t="str">
        <x:v>堂庭白金槍</x:v>
      </x:c>
      <x:c r="B1111" s="55" t="str">
        <x:v>—</x:v>
      </x:c>
      <x:c r="C1111" s="55" t="str">
        <x:v>—</x:v>
      </x:c>
      <x:c r="D1111" s="55" t="str">
        <x:v>—</x:v>
      </x:c>
      <x:c r="E1111" s="55" t="inlineStr">
        <x:is>
          <x:t>永恆山海唯武神匣（網站未列地圖）</x:t>
        </x:is>
      </x:c>
    </x:row>
    <x:row r="1112" ht="15" customHeight="1">
      <x:c r="A1112" s="55" t="str">
        <x:v>神暘槍‧逆宇</x:v>
      </x:c>
      <x:c r="B1112" s="55" t="str">
        <x:v>—</x:v>
      </x:c>
      <x:c r="C1112" s="55" t="str">
        <x:v>—</x:v>
      </x:c>
      <x:c r="D1112" s="55" t="str">
        <x:v>—</x:v>
      </x:c>
      <x:c r="E1112" s="55" t="inlineStr">
        <x:is>
          <x:t>創宇諸恆極兵神匣（網站未列地圖）；金旺旺開工禮袋（網站未列地圖）</x:t>
        </x:is>
      </x:c>
    </x:row>
    <x:row r="1113" ht="30" customHeight="1">
      <x:c r="A1113" s="55" t="str">
        <x:v>至槍‧岡古尼</x:v>
      </x:c>
      <x:c r="B1113" s="55" t="str">
        <x:v>—</x:v>
      </x:c>
      <x:c r="C1113" s="55" t="str">
        <x:v>—</x:v>
      </x:c>
      <x:c r="D1113" s="55" t="str">
        <x:v>—</x:v>
      </x:c>
      <x:c r="E1113" s="55" t="inlineStr">
        <x:is>
          <x:t>阿薩群鋒巨武神匣（網站未列地圖）；夏辰頂天錦囊（網站未列地圖）；極‧大秘境寶箱（網站未列地圖）；極大秘境寶箱（網站未列地圖）</x:t>
        </x:is>
      </x:c>
    </x:row>
    <x:row r="1114" ht="15" customHeight="1">
      <x:c r="A1114" s="55" t="str">
        <x:v>至槍‧岡古尼</x:v>
      </x:c>
      <x:c r="B1114" s="55" t="str">
        <x:v>—</x:v>
      </x:c>
      <x:c r="C1114" s="55" t="str">
        <x:v>—</x:v>
      </x:c>
      <x:c r="D1114" s="55" t="str">
        <x:v>—</x:v>
      </x:c>
      <x:c r="E1114" s="55" t="inlineStr">
        <x:is>
          <x:t>阿薩群鋒巨武神匣（網站未列地圖）</x:t>
        </x:is>
      </x:c>
    </x:row>
    <x:row r="1115" ht="15" customHeight="1">
      <x:c r="A1115" s="55" t="str">
        <x:v>泣槍奈‧芙蒂</x:v>
      </x:c>
      <x:c r="B1115" s="55" t="str">
        <x:v>—</x:v>
      </x:c>
      <x:c r="C1115" s="55" t="str">
        <x:v>—</x:v>
      </x:c>
      <x:c r="D1115" s="55" t="str">
        <x:v>—</x:v>
      </x:c>
      <x:c r="E1115" s="55" t="inlineStr">
        <x:is>
          <x:t>侯氏兵甲福袋2020（網站未列地圖）；大秘境寶箱（網站未列地圖）</x:t>
        </x:is>
      </x:c>
    </x:row>
    <x:row r="1116" ht="15" customHeight="1">
      <x:c r="A1116" s="55" t="str">
        <x:v>泣槍奈‧芙蒂</x:v>
      </x:c>
      <x:c r="B1116" s="55" t="str">
        <x:v>—</x:v>
      </x:c>
      <x:c r="C1116" s="55" t="str">
        <x:v>—</x:v>
      </x:c>
      <x:c r="D1116" s="55" t="str">
        <x:v>—</x:v>
      </x:c>
      <x:c r="E1116" s="55" t="inlineStr">
        <x:is>
          <x:t>冥府皇統法老征匣（網站未列地圖）</x:t>
        </x:is>
      </x:c>
    </x:row>
    <x:row r="1117" ht="15" customHeight="1">
      <x:c r="A1117" s="55" t="str">
        <x:v>天汗蒼狼槍</x:v>
      </x:c>
      <x:c r="B1117" s="55" t="str">
        <x:v>—</x:v>
      </x:c>
      <x:c r="C1117" s="55" t="str">
        <x:v>—</x:v>
      </x:c>
      <x:c r="D1117" s="55" t="str">
        <x:v>—</x:v>
      </x:c>
      <x:c r="E1117" s="55" t="inlineStr">
        <x:is>
          <x:t>萬帝天尊極武神匣（網站未列地圖）；侯氏兵甲福袋2021（網站未列地圖）</x:t>
        </x:is>
      </x:c>
    </x:row>
    <x:row r="1118" ht="15" customHeight="1">
      <x:c r="A1118" s="55" t="str">
        <x:v>天汗蒼狼槍</x:v>
      </x:c>
      <x:c r="B1118" s="55" t="str">
        <x:v>—</x:v>
      </x:c>
      <x:c r="C1118" s="55" t="str">
        <x:v>—</x:v>
      </x:c>
      <x:c r="D1118" s="55" t="str">
        <x:v>—</x:v>
      </x:c>
      <x:c r="E1118" s="55" t="inlineStr">
        <x:is>
          <x:t>萬帝天尊極武神匣（網站未列地圖）</x:t>
        </x:is>
      </x:c>
    </x:row>
    <x:row r="1119" ht="15" customHeight="1">
      <x:c r="A1119" s="55" t="str">
        <x:v>南解雲帝槍</x:v>
      </x:c>
      <x:c r="B1119" s="55" t="str">
        <x:v>—</x:v>
      </x:c>
      <x:c r="C1119" s="55" t="str">
        <x:v>—</x:v>
      </x:c>
      <x:c r="D1119" s="55" t="str">
        <x:v>—</x:v>
      </x:c>
      <x:c r="E1119" s="55" t="inlineStr">
        <x:is>
          <x:t>東明開天釋達神匣（網站未列地圖）</x:t>
        </x:is>
      </x:c>
    </x:row>
    <x:row r="1120" ht="15" customHeight="1">
      <x:c r="A1120" s="55" t="str">
        <x:v>南解雲帝槍</x:v>
      </x:c>
      <x:c r="B1120" s="55" t="str">
        <x:v>—</x:v>
      </x:c>
      <x:c r="C1120" s="55" t="str">
        <x:v>—</x:v>
      </x:c>
      <x:c r="D1120" s="55" t="str">
        <x:v>—</x:v>
      </x:c>
      <x:c r="E1120" s="55" t="inlineStr">
        <x:is>
          <x:t>東明開天釋達神匣（網站未列地圖）</x:t>
        </x:is>
      </x:c>
    </x:row>
    <x:row r="1121" ht="15" customHeight="1">
      <x:c r="A1121" s="55" t="str">
        <x:v>六滅化神槍</x:v>
      </x:c>
      <x:c r="B1121" s="55" t="str">
        <x:v>—</x:v>
      </x:c>
      <x:c r="C1121" s="55" t="str">
        <x:v>—</x:v>
      </x:c>
      <x:c r="D1121" s="55" t="str">
        <x:v>—</x:v>
      </x:c>
      <x:c r="E1121" s="55" t="inlineStr">
        <x:is>
          <x:t>—</x:t>
        </x:is>
      </x:c>
    </x:row>
    <x:row r="1122" ht="15" customHeight="1">
      <x:c r="A1122" s="55" t="str">
        <x:v>真六滅化神槍</x:v>
      </x:c>
      <x:c r="B1122" s="55" t="str">
        <x:v>—</x:v>
      </x:c>
      <x:c r="C1122" s="55" t="str">
        <x:v>—</x:v>
      </x:c>
      <x:c r="D1122" s="55" t="str">
        <x:v>—</x:v>
      </x:c>
      <x:c r="E1122" s="55" t="inlineStr">
        <x:is>
          <x:t>—</x:t>
        </x:is>
      </x:c>
    </x:row>
    <x:row r="1123" ht="15" customHeight="1">
      <x:c r="A1123" s="55" t="str">
        <x:v>超六滅化神槍</x:v>
      </x:c>
      <x:c r="B1123" s="55" t="str">
        <x:v>—</x:v>
      </x:c>
      <x:c r="C1123" s="55" t="str">
        <x:v>—</x:v>
      </x:c>
      <x:c r="D1123" s="55" t="str">
        <x:v>—</x:v>
      </x:c>
      <x:c r="E1123" s="55" t="inlineStr">
        <x:is>
          <x:t>—</x:t>
        </x:is>
      </x:c>
    </x:row>
    <x:row r="1124" ht="15" customHeight="1">
      <x:c r="A1124" s="55" t="str">
        <x:v>絕六滅化神槍</x:v>
      </x:c>
      <x:c r="B1124" s="55" t="str">
        <x:v>—</x:v>
      </x:c>
      <x:c r="C1124" s="55" t="str">
        <x:v>—</x:v>
      </x:c>
      <x:c r="D1124" s="55" t="str">
        <x:v>—</x:v>
      </x:c>
      <x:c r="E1124" s="55" t="inlineStr">
        <x:is>
          <x:t>—</x:t>
        </x:is>
      </x:c>
    </x:row>
    <x:row r="1125" ht="15" customHeight="1">
      <x:c r="A1125" s="55" t="str">
        <x:v>無六滅化神槍</x:v>
      </x:c>
      <x:c r="B1125" s="55" t="str">
        <x:v>—</x:v>
      </x:c>
      <x:c r="C1125" s="55" t="str">
        <x:v>—</x:v>
      </x:c>
      <x:c r="D1125" s="55" t="str">
        <x:v>—</x:v>
      </x:c>
      <x:c r="E1125" s="55" t="inlineStr">
        <x:is>
          <x:t>—</x:t>
        </x:is>
      </x:c>
    </x:row>
    <x:row r="1126" ht="15" customHeight="1">
      <x:c r="A1126" s="55" t="str">
        <x:v>帝六滅化神槍</x:v>
      </x:c>
      <x:c r="B1126" s="55" t="str">
        <x:v>—</x:v>
      </x:c>
      <x:c r="C1126" s="55" t="str">
        <x:v>—</x:v>
      </x:c>
      <x:c r="D1126" s="55" t="str">
        <x:v>—</x:v>
      </x:c>
      <x:c r="E1126" s="55" t="inlineStr">
        <x:is>
          <x:t>—</x:t>
        </x:is>
      </x:c>
    </x:row>
    <x:row r="1127" ht="15" customHeight="1">
      <x:c r="A1127" s="55" t="str">
        <x:v>終六滅化神槍</x:v>
      </x:c>
      <x:c r="B1127" s="55" t="str">
        <x:v>—</x:v>
      </x:c>
      <x:c r="C1127" s="55" t="str">
        <x:v>—</x:v>
      </x:c>
      <x:c r="D1127" s="55" t="str">
        <x:v>—</x:v>
      </x:c>
      <x:c r="E1127" s="55" t="inlineStr">
        <x:is>
          <x:t>—</x:t>
        </x:is>
      </x:c>
    </x:row>
    <x:row r="1128" ht="15" customHeight="1">
      <x:c r="A1128" s="55" t="str">
        <x:v>創六滅化神槍</x:v>
      </x:c>
      <x:c r="B1128" s="55" t="str">
        <x:v>—</x:v>
      </x:c>
      <x:c r="C1128" s="55" t="str">
        <x:v>—</x:v>
      </x:c>
      <x:c r="D1128" s="55" t="str">
        <x:v>—</x:v>
      </x:c>
      <x:c r="E1128" s="55" t="inlineStr">
        <x:is>
          <x:t>—</x:t>
        </x:is>
      </x:c>
    </x:row>
    <x:row r="1129" ht="15" customHeight="1">
      <x:c r="A1129" s="55" t="str">
        <x:v>星六滅化神槍</x:v>
      </x:c>
      <x:c r="B1129" s="55" t="str">
        <x:v>—</x:v>
      </x:c>
      <x:c r="C1129" s="55" t="str">
        <x:v>—</x:v>
      </x:c>
      <x:c r="D1129" s="55" t="str">
        <x:v>—</x:v>
      </x:c>
      <x:c r="E1129" s="55" t="inlineStr">
        <x:is>
          <x:t>—</x:t>
        </x:is>
      </x:c>
    </x:row>
    <x:row r="1130" ht="15" customHeight="1">
      <x:c r="A1130" s="55" t="str">
        <x:v>皇六滅化神槍</x:v>
      </x:c>
      <x:c r="B1130" s="55" t="str">
        <x:v>—</x:v>
      </x:c>
      <x:c r="C1130" s="55" t="str">
        <x:v>—</x:v>
      </x:c>
      <x:c r="D1130" s="55" t="str">
        <x:v>—</x:v>
      </x:c>
      <x:c r="E1130" s="55" t="inlineStr">
        <x:is>
          <x:t>—</x:t>
        </x:is>
      </x:c>
    </x:row>
    <x:row r="1131" ht="15" customHeight="1">
      <x:c r="A1131" s="55" t="str">
        <x:v>終極六滅神槍</x:v>
      </x:c>
      <x:c r="B1131" s="55" t="str">
        <x:v>—</x:v>
      </x:c>
      <x:c r="C1131" s="55" t="str">
        <x:v>—</x:v>
      </x:c>
      <x:c r="D1131" s="55" t="str">
        <x:v>—</x:v>
      </x:c>
      <x:c r="E1131" s="55" t="inlineStr">
        <x:is>
          <x:t>—</x:t>
        </x:is>
      </x:c>
    </x:row>
    <x:row r="1132" ht="15" customHeight="1">
      <x:c r="A1132" s="55" t="str">
        <x:v>新星之冰爵槍</x:v>
      </x:c>
      <x:c r="B1132" s="55" t="str">
        <x:v>—</x:v>
      </x:c>
      <x:c r="C1132" s="55" t="str">
        <x:v>—</x:v>
      </x:c>
      <x:c r="D1132" s="55" t="str">
        <x:v>—</x:v>
      </x:c>
      <x:c r="E1132" s="55" t="inlineStr">
        <x:is>
          <x:t>—</x:t>
        </x:is>
      </x:c>
    </x:row>
    <x:row r="1133" ht="15" customHeight="1">
      <x:c r="A1133" s="55" t="str">
        <x:v>神族槍</x:v>
      </x:c>
      <x:c r="B1133" s="55" t="str">
        <x:v>—</x:v>
      </x:c>
      <x:c r="C1133" s="55" t="str">
        <x:v>—</x:v>
      </x:c>
      <x:c r="D1133" s="55" t="str">
        <x:v>—</x:v>
      </x:c>
      <x:c r="E1133" s="55" t="inlineStr">
        <x:is>
          <x:t>科技戰兵FLM（王統新市）；方舟翼衛（桃谷縱道）</x:t>
        </x:is>
      </x:c>
    </x:row>
    <x:row r="1134" ht="15" customHeight="1">
      <x:c r="A1134" s="55" t="str">
        <x:v>赤鴉裂槍Ⅰ</x:v>
      </x:c>
      <x:c r="B1134" s="55" t="str">
        <x:v>—</x:v>
      </x:c>
      <x:c r="C1134" s="55" t="str">
        <x:v>—</x:v>
      </x:c>
      <x:c r="D1134" s="55" t="str">
        <x:v>—</x:v>
      </x:c>
      <x:c r="E1134" s="55" t="inlineStr">
        <x:is>
          <x:t>神島劍俠錦囊（網站未列地圖）；神島術者錦囊（網站未列地圖）；合成兵蜂（南瞻聖地）</x:t>
        </x:is>
      </x:c>
    </x:row>
    <x:row r="1135" ht="15" customHeight="1">
      <x:c r="A1135" s="55" t="str">
        <x:v>赤鴉裂槍Ⅱ</x:v>
      </x:c>
      <x:c r="B1135" s="55" t="str">
        <x:v>—</x:v>
      </x:c>
      <x:c r="C1135" s="55" t="str">
        <x:v>—</x:v>
      </x:c>
      <x:c r="D1135" s="55" t="str">
        <x:v>—</x:v>
      </x:c>
      <x:c r="E1135" s="55" t="inlineStr">
        <x:is>
          <x:t>幻三趙雲錦囊（網站未列地圖）；基改戰兵RYU（桃谷縱道）</x:t>
        </x:is>
      </x:c>
    </x:row>
    <x:row r="1136" ht="15" customHeight="1">
      <x:c r="A1136" s="55" t="str">
        <x:v>赤鴉裂槍Ⅲ</x:v>
      </x:c>
      <x:c r="B1136" s="55" t="str">
        <x:v>—</x:v>
      </x:c>
      <x:c r="C1136" s="55" t="str">
        <x:v>—</x:v>
      </x:c>
      <x:c r="D1136" s="55" t="str">
        <x:v>—</x:v>
      </x:c>
      <x:c r="E1136" s="55" t="inlineStr">
        <x:is>
          <x:t>—</x:t>
        </x:is>
      </x:c>
    </x:row>
    <x:row r="1137" ht="15" customHeight="1">
      <x:c r="A1137" s="55" t="str">
        <x:v>赤鴉裂槍Ⅳ</x:v>
      </x:c>
      <x:c r="B1137" s="55" t="str">
        <x:v>—</x:v>
      </x:c>
      <x:c r="C1137" s="55" t="str">
        <x:v>—</x:v>
      </x:c>
      <x:c r="D1137" s="55" t="str">
        <x:v>—</x:v>
      </x:c>
      <x:c r="E1137" s="55" t="inlineStr">
        <x:is>
          <x:t>—</x:t>
        </x:is>
      </x:c>
    </x:row>
    <x:row r="1138" ht="15" customHeight="1">
      <x:c r="A1138" s="55" t="str">
        <x:v>赤鴉裂槍Ⅴ</x:v>
      </x:c>
      <x:c r="B1138" s="55" t="str">
        <x:v>—</x:v>
      </x:c>
      <x:c r="C1138" s="55" t="str">
        <x:v>—</x:v>
      </x:c>
      <x:c r="D1138" s="55" t="str">
        <x:v>—</x:v>
      </x:c>
      <x:c r="E1138" s="55" t="inlineStr">
        <x:is>
          <x:t>—</x:t>
        </x:is>
      </x:c>
    </x:row>
    <x:row r="1139" ht="15" customHeight="1">
      <x:c r="A1139" s="55" t="str">
        <x:v>袚燈笠雲槍</x:v>
      </x:c>
      <x:c r="B1139" s="55" t="str">
        <x:v>—</x:v>
      </x:c>
      <x:c r="C1139" s="55" t="str">
        <x:v>—</x:v>
      </x:c>
      <x:c r="D1139" s="55" t="str">
        <x:v>—</x:v>
      </x:c>
      <x:c r="E1139" s="55" t="inlineStr">
        <x:is>
          <x:t>南辰時祿機神兵匣（網站未列地圖）；熱風麻辣錦囊（網站未列地圖）</x:t>
        </x:is>
      </x:c>
    </x:row>
    <x:row r="1140" ht="15" customHeight="1">
      <x:c r="A1140" s="55" t="str">
        <x:v>袚燈笠雲槍</x:v>
      </x:c>
      <x:c r="B1140" s="55" t="str">
        <x:v>—</x:v>
      </x:c>
      <x:c r="C1140" s="55" t="str">
        <x:v>—</x:v>
      </x:c>
      <x:c r="D1140" s="55" t="str">
        <x:v>—</x:v>
      </x:c>
      <x:c r="E1140" s="55" t="inlineStr">
        <x:is>
          <x:t>南辰時祿機神兵匣（網站未列地圖）</x:t>
        </x:is>
      </x:c>
    </x:row>
    <x:row r="1141" ht="15" customHeight="1">
      <x:c r="A1141" s="55" t="str">
        <x:v>飛將霸流戟</x:v>
      </x:c>
      <x:c r="B1141" s="55" t="str">
        <x:v>—</x:v>
      </x:c>
      <x:c r="C1141" s="55" t="str">
        <x:v>—</x:v>
      </x:c>
      <x:c r="D1141" s="55" t="str">
        <x:v>—</x:v>
      </x:c>
      <x:c r="E1141" s="55" t="inlineStr">
        <x:is>
          <x:t>三分鼎鋒真王武匣（網站未列地圖）</x:t>
        </x:is>
      </x:c>
    </x:row>
    <x:row r="1142" ht="15" customHeight="1">
      <x:c r="A1142" s="55" t="str">
        <x:v>飛將霸流戟</x:v>
      </x:c>
      <x:c r="B1142" s="55" t="str">
        <x:v>—</x:v>
      </x:c>
      <x:c r="C1142" s="55" t="str">
        <x:v>—</x:v>
      </x:c>
      <x:c r="D1142" s="55" t="str">
        <x:v>—</x:v>
      </x:c>
      <x:c r="E1142" s="55" t="inlineStr">
        <x:is>
          <x:t>三分鼎鋒真王武匣（網站未列地圖）</x:t>
        </x:is>
      </x:c>
    </x:row>
    <x:row r="1143" ht="15" customHeight="1">
      <x:c r="A1143" s="55" t="str">
        <x:v>修羅夜叉戟</x:v>
      </x:c>
      <x:c r="B1143" s="55" t="str">
        <x:v>—</x:v>
      </x:c>
      <x:c r="C1143" s="55" t="str">
        <x:v>—</x:v>
      </x:c>
      <x:c r="D1143" s="55" t="str">
        <x:v>—</x:v>
      </x:c>
      <x:c r="E1143" s="55" t="inlineStr">
        <x:is>
          <x:t>古文明東西霸武匣（網站未列地圖）；大秘境寶箱（網站未列地圖）；通寶院麗寶箱（網站未列地圖）</x:t>
        </x:is>
      </x:c>
    </x:row>
    <x:row r="1144" ht="15" customHeight="1">
      <x:c r="A1144" s="55" t="str">
        <x:v>修羅夜叉戟</x:v>
      </x:c>
      <x:c r="B1144" s="55" t="str">
        <x:v>—</x:v>
      </x:c>
      <x:c r="C1144" s="55" t="str">
        <x:v>—</x:v>
      </x:c>
      <x:c r="D1144" s="55" t="str">
        <x:v>—</x:v>
      </x:c>
      <x:c r="E1144" s="55" t="inlineStr">
        <x:is>
          <x:t>古文明東西霸武匣（網站未列地圖）</x:t>
        </x:is>
      </x:c>
    </x:row>
    <x:row r="1145" ht="15" customHeight="1">
      <x:c r="A1145" s="55" t="str">
        <x:v>囚牛月弦槍</x:v>
      </x:c>
      <x:c r="B1145" s="55" t="str">
        <x:v>—</x:v>
      </x:c>
      <x:c r="C1145" s="55" t="str">
        <x:v>—</x:v>
      </x:c>
      <x:c r="D1145" s="55" t="str">
        <x:v>—</x:v>
      </x:c>
      <x:c r="E1145" s="55" t="inlineStr">
        <x:is>
          <x:t>龍涉大川繼鱗武匣（網站未列地圖）；超‧大秘境寶箱（網站未列地圖）</x:t>
        </x:is>
      </x:c>
    </x:row>
    <x:row r="1146" ht="15" customHeight="1">
      <x:c r="A1146" s="55" t="str">
        <x:v>囚牛月弦槍</x:v>
      </x:c>
      <x:c r="B1146" s="55" t="str">
        <x:v>—</x:v>
      </x:c>
      <x:c r="C1146" s="55" t="str">
        <x:v>—</x:v>
      </x:c>
      <x:c r="D1146" s="55" t="str">
        <x:v>—</x:v>
      </x:c>
      <x:c r="E1146" s="55" t="inlineStr">
        <x:is>
          <x:t>龍涉大川繼鱗武匣（網站未列地圖）</x:t>
        </x:is>
      </x:c>
    </x:row>
    <x:row r="1147" ht="15" customHeight="1">
      <x:c r="A1147" s="55" t="str">
        <x:v>羅將烈槍Ⅰ</x:v>
      </x:c>
      <x:c r="B1147" s="55" t="str">
        <x:v>—</x:v>
      </x:c>
      <x:c r="C1147" s="55" t="str">
        <x:v>—</x:v>
      </x:c>
      <x:c r="D1147" s="55" t="str">
        <x:v>—</x:v>
      </x:c>
      <x:c r="E1147" s="55" t="inlineStr">
        <x:is>
          <x:t>玄宙神兵寶箱（網站未列地圖）</x:t>
        </x:is>
      </x:c>
    </x:row>
    <x:row r="1148" ht="15" customHeight="1">
      <x:c r="A1148" s="55" t="str">
        <x:v>羅將烈槍Ⅱ</x:v>
      </x:c>
      <x:c r="B1148" s="55" t="str">
        <x:v>—</x:v>
      </x:c>
      <x:c r="C1148" s="55" t="str">
        <x:v>—</x:v>
      </x:c>
      <x:c r="D1148" s="55" t="str">
        <x:v>—</x:v>
      </x:c>
      <x:c r="E1148" s="55" t="inlineStr">
        <x:is>
          <x:t>真．玄宙神兵寶箱（網站未列地圖）</x:t>
        </x:is>
      </x:c>
    </x:row>
    <x:row r="1149" ht="15" customHeight="1">
      <x:c r="A1149" s="55" t="str">
        <x:v>羅將烈槍Ⅲ</x:v>
      </x:c>
      <x:c r="B1149" s="55" t="str">
        <x:v>—</x:v>
      </x:c>
      <x:c r="C1149" s="55" t="str">
        <x:v>—</x:v>
      </x:c>
      <x:c r="D1149" s="55" t="str">
        <x:v>—</x:v>
      </x:c>
      <x:c r="E1149" s="55" t="inlineStr">
        <x:is>
          <x:t>超．玄宙神兵寶箱（網站未列地圖）；活俠唐默鈴錦囊（網站未列地圖）</x:t>
        </x:is>
      </x:c>
    </x:row>
    <x:row r="1150" ht="15" customHeight="1">
      <x:c r="A1150" s="55" t="str">
        <x:v>羅將烈槍Ⅳ</x:v>
      </x:c>
      <x:c r="B1150" s="55" t="str">
        <x:v>—</x:v>
      </x:c>
      <x:c r="C1150" s="55" t="str">
        <x:v>—</x:v>
      </x:c>
      <x:c r="D1150" s="55" t="str">
        <x:v>—</x:v>
      </x:c>
      <x:c r="E1150" s="55" t="inlineStr">
        <x:is>
          <x:t>極．玄宙神兵寶箱（網站未列地圖）</x:t>
        </x:is>
      </x:c>
    </x:row>
    <x:row r="1151" ht="15" customHeight="1">
      <x:c r="A1151" s="55" t="str">
        <x:v>羅將烈槍Ⅴ</x:v>
      </x:c>
      <x:c r="B1151" s="55" t="str">
        <x:v>—</x:v>
      </x:c>
      <x:c r="C1151" s="55" t="str">
        <x:v>—</x:v>
      </x:c>
      <x:c r="D1151" s="55" t="str">
        <x:v>—</x:v>
      </x:c>
      <x:c r="E1151" s="55" t="inlineStr">
        <x:is>
          <x:t>神．玄宙神兵寶箱（網站未列地圖）</x:t>
        </x:is>
      </x:c>
    </x:row>
    <x:row r="1152" ht="30" customHeight="1">
      <x:c r="A1152" s="55" t="str">
        <x:v>齊眉棍</x:v>
      </x:c>
      <x:c r="B1152" s="55" t="str">
        <x:v>—</x:v>
      </x:c>
      <x:c r="C1152" s="55" t="str">
        <x:v>義勇軍校場買賣人、京城打鐵舖、祁州打鐵舖</x:v>
      </x:c>
      <x:c r="D1152" s="55" t="str">
        <x:v>—</x:v>
      </x:c>
      <x:c r="E1152" s="55" t="inlineStr">
        <x:is>
          <x:t>—</x:t>
        </x:is>
      </x:c>
    </x:row>
    <x:row r="1153" ht="45" customHeight="1">
      <x:c r="A1153" s="55" t="str">
        <x:v>打狗棒</x:v>
      </x:c>
      <x:c r="B1153" s="55" t="str">
        <x:v>—</x:v>
      </x:c>
      <x:c r="C1153" s="55" t="str">
        <x:v>—</x:v>
      </x:c>
      <x:c r="D1153" s="55" t="str">
        <x:v>—</x:v>
      </x:c>
      <x:c r="E1153" s="55" t="inlineStr">
        <x:is>
          <x:t>屍犬（平西關、望星坡、鬼城、猛鬼窟第一層、萬人塚第一層、萬人塚第二層）；幽冥犬（猛鬼窟第一層、萬人塚第二層、萬人塚第三層）；山寨大王（塞北關、映月泊、封神臺、亂藤林東方）；長林惡匪（長林谷）；流亡叛軍隊長（八達嶺、古北口、古北大營）</x:t>
        </x:is>
      </x:c>
    </x:row>
    <x:row r="1154" ht="90" customHeight="1">
      <x:c r="A1154" s="55" t="str">
        <x:v>靈木棍</x:v>
      </x:c>
      <x:c r="B1154" s="55" t="str">
        <x:v>—</x:v>
      </x:c>
      <x:c r="C1154" s="55" t="str">
        <x:v>—</x:v>
      </x:c>
      <x:c r="D1154" s="55" t="str">
        <x:v>—</x:v>
      </x:c>
      <x:c r="E1154" s="55" t="inlineStr">
        <x:is>
          <x:t>巨靈魔（獄門峽）；千年樹精（瀰煙山道、掩月松林、不老峰）；千年樹精（葬日沼澤、葬日沼澤北方、千佛遺跡東側）；[千年樹精]（網站未列地圖）；邪樹妖（瘴癘靈界裂隙）；邪木（網站未列地圖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山寨大王（塞北關、映月泊、封神臺、亂藤林東方）</x:t>
        </x:is>
      </x:c>
    </x:row>
    <x:row r="1155" ht="30" customHeight="1">
      <x:c r="A1155" s="55" t="str">
        <x:v>渾鐵棍</x:v>
      </x:c>
      <x:c r="B1155" s="55" t="str">
        <x:v>—</x:v>
      </x:c>
      <x:c r="C1155" s="55" t="str">
        <x:v>祁州打鐵舖、玄州打鐵舖</x:v>
      </x:c>
      <x:c r="D1155" s="55" t="str">
        <x:v>—</x:v>
      </x:c>
      <x:c r="E1155" s="55" t="inlineStr">
        <x:is>
          <x:t>血瘤眼（恨生不歸途、三途之都）；[血瘤眼]（網站未列地圖）；南蠻狂戰士（千佛遺跡東側、千佛遺跡西側、摩羅國境）；穿雲聖牛（大梵聖湖、萬岳聖峰、香格里拉聖路）；魔喚使者（黃塵荒漠、聖域之門、清教院街）</x:t>
        </x:is>
      </x:c>
    </x:row>
    <x:row r="1156" ht="60" customHeight="1">
      <x:c r="A1156" s="55" t="str">
        <x:v>狼牙棒</x:v>
      </x:c>
      <x:c r="B1156" s="55" t="str">
        <x:v>—</x:v>
      </x:c>
      <x:c r="C1156" s="55" t="str">
        <x:v>—</x:v>
      </x:c>
      <x:c r="D1156" s="55" t="str">
        <x:v>—</x:v>
      </x:c>
      <x:c r="E1156" s="55" t="inlineStr">
        <x:is>
          <x:t>超巨靈魔王（獄門峽）；巨靈魔（獄門峽）；豬痴妖（登龍道、凌風修境、繚空碎島）；巨靈魔（亂藤林、毒龍潭、摘星嶺、魔君陵墓）；食日巨靈（五派禁地）；力士俑（古皇陵第二層、古皇陵第三層）；{力士俑}（古皇陵密室）；巨靈魔王（摘星嶺、魔君陵墓、魔君陵寢一層、修羅窟）；山寨大王（塞北關、映月泊、封神臺、亂藤林東方）</x:t>
        </x:is>
      </x:c>
    </x:row>
    <x:row r="1157" ht="15" customHeight="1">
      <x:c r="A1157" s="55" t="str">
        <x:v>天狼棒</x:v>
      </x:c>
      <x:c r="B1157" s="55" t="str">
        <x:v>—</x:v>
      </x:c>
      <x:c r="C1157" s="55" t="str">
        <x:v>—</x:v>
      </x:c>
      <x:c r="D1157" s="55" t="str">
        <x:v>—</x:v>
      </x:c>
      <x:c r="E1157" s="55" t="inlineStr">
        <x:is>
          <x:t>超巨靈魔王（獄門峽）；食日巨靈（五派禁地）；大汗親兵（亂石林、黑城遺跡、疾風谷、大汗陵墓、統萬大營）</x:t>
        </x:is>
      </x:c>
    </x:row>
    <x:row r="1158" ht="45" customHeight="1">
      <x:c r="A1158" s="55" t="str">
        <x:v>寒鐵棍</x:v>
      </x:c>
      <x:c r="B1158" s="55" t="str">
        <x:v>—</x:v>
      </x:c>
      <x:c r="C1158" s="55" t="str">
        <x:v>祁州打鐵舖、玄州打鐵舖</x:v>
      </x:c>
      <x:c r="D1158" s="55" t="str">
        <x:v>—</x:v>
      </x:c>
      <x:c r="E1158" s="55" t="inlineStr">
        <x:is>
          <x:t>落燕豹騎（燕蕩嶺）；血鞭騎兵（祥鷺古街）；虹輝聖狸（始祖巨林）；合成獵手（葭雲廣原）；蒼炎怒獅（永劫刑場、九曲邪徑、寒愴冰獄）；聖十字軍（靜默之丘、擎空壁壘、獅堡軍事區）；鋼冑聖騎（網站未列地圖）；水之精靈（豐穗平原、血鴉嶺）；吐蕃行者（登天棧道、懸空仙嶺）；窮奇（登龍道、凌風修境）；巨象騎兵（金霄佛寺）</x:t>
        </x:is>
      </x:c>
    </x:row>
    <x:row r="1159" ht="15" customHeight="1">
      <x:c r="A1159" s="55" t="str">
        <x:v>冰環鋼棍</x:v>
      </x:c>
      <x:c r="B1159" s="55" t="str">
        <x:v>—</x:v>
      </x:c>
      <x:c r="C1159" s="55" t="str">
        <x:v>—</x:v>
      </x:c>
      <x:c r="D1159" s="55" t="str">
        <x:v>冰環鋼棍配方</x:v>
      </x:c>
      <x:c r="E1159" s="55" t="inlineStr">
        <x:is>
          <x:t>百眼族大魔王（網站未列地圖）；小龍珠寶箱（網站未列地圖）</x:t>
        </x:is>
      </x:c>
    </x:row>
    <x:row r="1160" ht="45" customHeight="1">
      <x:c r="A1160" s="55" t="str">
        <x:v>火環鋼棍</x:v>
      </x:c>
      <x:c r="B1160" s="55" t="str">
        <x:v>—</x:v>
      </x:c>
      <x:c r="C1160" s="55" t="str">
        <x:v>—</x:v>
      </x:c>
      <x:c r="D1160" s="55" t="str">
        <x:v>火環鋼棍配方</x:v>
      </x:c>
      <x:c r="E1160" s="55" t="inlineStr">
        <x:is>
          <x:t>業火獅王（荒禍殘墟）；破陣鬼騎（悲歡渡口、九曲邪徑）；八路王將（永劫刑場、九曲邪徑、寒愴冰獄、奈落紅川）；天谷禿鷹（青藏高原、大梵聖湖）；酆神陣頭（三途之都、枉死之城、悲歡渡口、永劫刑場）；摩羅御軍戰士（菩提聖原、大梵河岸）；象騎兵（摩羅國境、菩提聖原）</x:t>
        </x:is>
      </x:c>
    </x:row>
    <x:row r="1161" ht="60" customHeight="1">
      <x:c r="A1161" s="55" t="str">
        <x:v>雷環鋼棍</x:v>
      </x:c>
      <x:c r="B1161" s="55" t="str">
        <x:v>—</x:v>
      </x:c>
      <x:c r="C1161" s="55" t="str">
        <x:v>—</x:v>
      </x:c>
      <x:c r="D1161" s="55" t="str">
        <x:v>雷環鋼棍配方</x:v>
      </x:c>
      <x:c r="E1161" s="55" t="inlineStr">
        <x:is>
          <x:t>夜叉族大魔王（網站未列地圖）；幽使無定（網站未列地圖）；拘魂白無常（悲歡渡口、永劫刑場、九曲邪徑）；[拘魂白無常]（網站未列地圖）；穿峽禿鷹（登天棧道、青藏高原）；風元素神將（萬識聖宮）；剎風真帝靈（飛昇大廳）；&lt;剎風真帝靈&gt;（真七寶仙境　貳）；酆神陣頭（三途之都、枉死之城、悲歡渡口、永劫刑場）；摩羅御軍戰士（菩提聖原、大梵河岸）；象騎兵（摩羅國境、菩提聖原）</x:t>
        </x:is>
      </x:c>
    </x:row>
    <x:row r="1162" ht="15" customHeight="1">
      <x:c r="A1162" s="55" t="str">
        <x:v>紫環鋼棍</x:v>
      </x:c>
      <x:c r="B1162" s="55" t="str">
        <x:v>—</x:v>
      </x:c>
      <x:c r="C1162" s="55" t="str">
        <x:v>—</x:v>
      </x:c>
      <x:c r="D1162" s="55" t="str">
        <x:v>紫環鋼棍配方</x:v>
      </x:c>
      <x:c r="E1162" s="55" t="inlineStr">
        <x:is>
          <x:t>蛇女包裹（網站未列地圖）；鬼城包裹（網站未列地圖）；陰間冥包（網站未列地圖）</x:t>
        </x:is>
      </x:c>
    </x:row>
    <x:row r="1163" ht="15" customHeight="1">
      <x:c r="A1163" s="55" t="str">
        <x:v>入雲棍</x:v>
      </x:c>
      <x:c r="B1163" s="55" t="str">
        <x:v>—</x:v>
      </x:c>
      <x:c r="C1163" s="55" t="str">
        <x:v>祁州打鐵舖、玄州打鐵舖</x:v>
      </x:c>
      <x:c r="D1163" s="55" t="str">
        <x:v>—</x:v>
      </x:c>
      <x:c r="E1163" s="55" t="inlineStr">
        <x:is>
          <x:t>紫羽災后（凱旋廣場、聖禱天廳）；千斤豬狂（飛雲忘野、橫劍天關）；金閣天龍將（闕真金閣）</x:t>
        </x:is>
      </x:c>
    </x:row>
    <x:row r="1164" ht="45" customHeight="1">
      <x:c r="A1164" s="55" t="str">
        <x:v>征軍棍</x:v>
      </x:c>
      <x:c r="B1164" s="55" t="str">
        <x:v>—</x:v>
      </x:c>
      <x:c r="C1164" s="55" t="str">
        <x:v>祁州打鐵舖、玄州打鐵舖</x:v>
      </x:c>
      <x:c r="D1164" s="55" t="str">
        <x:v>—</x:v>
      </x:c>
      <x:c r="E1164" s="55" t="inlineStr">
        <x:is>
          <x:t>貪慾之魔（神臨之地）；&lt;貪慾之魔&gt;（修羅級神臨之地）；文誅筆妄言（飛雲忘野）；神火領主（凱旋廣場、聖禱天廳）；飲歲羅蛟（青龍東殿）；亂界雷鬼（紫雷轟原）；酒肉豬仙（仙庭玉階、闕真金閣）；天地散仙（網站未列地圖）；肅狄夷公（天啟八關）；太古射俑（紫雷轟原）</x:t>
        </x:is>
      </x:c>
    </x:row>
    <x:row r="1165" ht="45" customHeight="1">
      <x:c r="A1165" s="55" t="str">
        <x:v>凌風棍</x:v>
      </x:c>
      <x:c r="B1165" s="55" t="str">
        <x:v>—</x:v>
      </x:c>
      <x:c r="C1165" s="55" t="str">
        <x:v>祁州打鐵舖、玄州打鐵舖</x:v>
      </x:c>
      <x:c r="D1165" s="55" t="str">
        <x:v>—</x:v>
      </x:c>
      <x:c r="E1165" s="55" t="inlineStr">
        <x:is>
          <x:t>碎時狂虎（白虎西殿）；銀霜神牛（白虎西殿）；焚劫厲將（朱雀南殿）；空靈虛狐（時沒邊界）；飄魂禿鷹（時沒邊界）；巖崴魔魁（玄武北殿）；濕婆軍狂戰士（異時界‧葬日沼澤）；亡邪百眼死巫（異時界‧葬日沼北）；綠林蜥蜴（異時界‧亂藤林南）；蔭爪魔棺（異時界‧亂藤林西）；界之聖護（無限鬥界）；&lt;界之聖護&gt;（修羅級無限鬥界）</x:t>
        </x:is>
      </x:c>
    </x:row>
    <x:row r="1166" ht="30" customHeight="1">
      <x:c r="A1166" s="55" t="str">
        <x:v>螢墟棍</x:v>
      </x:c>
      <x:c r="B1166" s="55" t="str">
        <x:v>—</x:v>
      </x:c>
      <x:c r="C1166" s="55" t="str">
        <x:v>祁州打鐵舖、玄州打鐵舖</x:v>
      </x:c>
      <x:c r="D1166" s="55" t="str">
        <x:v>—</x:v>
      </x:c>
      <x:c r="E1166" s="55" t="inlineStr">
        <x:is>
          <x:t>虛化修羅（不解迴路）；裂箭鐵傀（音無晶宇）；玄虛戰士（觀無巽宇）；弒空之螯（覺無洋宇）；百變蛇魅（覺無洋宇）；變態蟲人（不解迴路）；虛嵐（虛空渦心）；暗風追翼（星群碎道）</x:t>
        </x:is>
      </x:c>
    </x:row>
    <x:row r="1167" ht="30" customHeight="1">
      <x:c r="A1167" s="55" t="str">
        <x:v>紫月伏魔棍</x:v>
      </x:c>
      <x:c r="B1167" s="55" t="str">
        <x:v>—</x:v>
      </x:c>
      <x:c r="C1167" s="55" t="str">
        <x:v>—</x:v>
      </x:c>
      <x:c r="D1167" s="55" t="str">
        <x:v>—</x:v>
      </x:c>
      <x:c r="E1167" s="55" t="inlineStr">
        <x:is>
          <x:t>魔空邪祀（終末之塔第23層、終末之塔第24層）；惡浪狂獵（終末之塔第50層）；爬脊獸（終末之塔第14層）；烈日行蜴（古翰大沙漠）；港灣鱷人（太陽神大道）</x:t>
        </x:is>
      </x:c>
    </x:row>
    <x:row r="1168" ht="15" customHeight="1">
      <x:c r="A1168" s="55" t="str">
        <x:v>紫月沉金棍</x:v>
      </x:c>
      <x:c r="B1168" s="55" t="str">
        <x:v>—</x:v>
      </x:c>
      <x:c r="C1168" s="55" t="str">
        <x:v>—</x:v>
      </x:c>
      <x:c r="D1168" s="55" t="str">
        <x:v>—</x:v>
      </x:c>
      <x:c r="E1168" s="55" t="inlineStr">
        <x:is>
          <x:t>凱貝潔特（神王金字塔）；&lt;凱貝潔特&gt;（修羅級神王金字塔）；盧索警司（王都盧索）；奈赫貝特（荷魯斯聖祠）</x:t>
        </x:is>
      </x:c>
    </x:row>
    <x:row r="1169" ht="45" customHeight="1">
      <x:c r="A1169" s="55" t="str">
        <x:v>拉拉黯然銷魂棍</x:v>
      </x:c>
      <x:c r="B1169" s="55" t="str">
        <x:v>—</x:v>
      </x:c>
      <x:c r="C1169" s="55" t="str">
        <x:v>—</x:v>
      </x:c>
      <x:c r="D1169" s="55" t="str">
        <x:v>—</x:v>
      </x:c>
      <x:c r="E1169" s="55" t="inlineStr">
        <x:is>
          <x:t>艾姆謝特（神王金字塔）；&lt;艾姆謝特&gt;（修羅級神王金字塔）；虛無十字軍（終末之塔第51層、終末之塔第52層）；咒殺修陀（終末之塔第63層、終末之塔第62層）；眾靈妖祭（托勒密山麓）；鎮碑儀主（赫勒神殿遺址）；托特（荷魯斯聖祠）</x:t>
        </x:is>
      </x:c>
    </x:row>
    <x:row r="1170" ht="45" customHeight="1">
      <x:c r="A1170" s="55" t="str">
        <x:v>蓮雨棍</x:v>
      </x:c>
      <x:c r="B1170" s="55" t="str">
        <x:v>—</x:v>
      </x:c>
      <x:c r="C1170" s="55" t="str">
        <x:v>—</x:v>
      </x:c>
      <x:c r="D1170" s="55" t="str">
        <x:v>—</x:v>
      </x:c>
      <x:c r="E1170" s="55" t="inlineStr">
        <x:is>
          <x:t>武窟精衛（藏意武窟）；瘡痍行者（終末之塔第89層）；東校鎮軍（皇城）；東校場精衛（東校場）；磐石精（東宮碧庭）；北原俠女（西宮翠苑）；襲關姝（山海長疆、太安道）；吞虛兇鱷（終末之塔第102層、終末之塔第103層）；奔潮鹿（鷗揚浪嶼）；劫貨惡棍（殊雁峽）；童魚（琉瑯岩灣）；雨陽蜥（琉瑯岩灣）</x:t>
        </x:is>
      </x:c>
    </x:row>
    <x:row r="1171" ht="45" customHeight="1">
      <x:c r="A1171" s="55" t="str">
        <x:v>吐解棍</x:v>
      </x:c>
      <x:c r="B1171" s="55" t="str">
        <x:v>—</x:v>
      </x:c>
      <x:c r="C1171" s="55" t="str">
        <x:v>—</x:v>
      </x:c>
      <x:c r="D1171" s="55" t="str">
        <x:v>—</x:v>
      </x:c>
      <x:c r="E1171" s="55" t="inlineStr">
        <x:is>
          <x:t>華蹴鬥士（齊襄道、東海道、溥山新郡）；降駕狂戰（臺興中州）；戰嵐拳士（旭陽山徑）；天門教徒（璇鶯鎮）；秩騷謎兔（終末之塔第117層、終末之塔第115層、終末之塔第116層）；低語魔樹（葭雲廣原）；合成鷹人（白苗峽岸）</x:t>
        </x:is>
      </x:c>
    </x:row>
    <x:row r="1172" ht="45" customHeight="1">
      <x:c r="A1172" s="55" t="str">
        <x:v>天候棍</x:v>
      </x:c>
      <x:c r="B1172" s="55" t="str">
        <x:v>—</x:v>
      </x:c>
      <x:c r="C1172" s="55" t="str">
        <x:v>—</x:v>
      </x:c>
      <x:c r="D1172" s="55" t="str">
        <x:v>—</x:v>
      </x:c>
      <x:c r="E1172" s="55" t="inlineStr">
        <x:is>
          <x:t>鎧蜘蛛（燕蕩嶺）；炎池潛蠑（始祖巨林．西）；雲霓花狸（始祖巨林）；太古沉風（風竹塹）；巨峰蛤蟆（泰源大社）；方舟空拍機（南瞻聖地）；劫掠布盜（終末之塔第121層、終末之塔第125層、終末之塔第128層）；泅水青龍（始祖巨林．東）；衛塔金獸（終末之塔第143層、終末之塔第146層）</x:t>
        </x:is>
      </x:c>
    </x:row>
    <x:row r="1173" ht="15" customHeight="1">
      <x:c r="A1173" s="55" t="str">
        <x:v>地鐵杖</x:v>
      </x:c>
      <x:c r="B1173" s="55" t="str">
        <x:v>地火神兵-重組器靈現神兵</x:v>
      </x:c>
      <x:c r="C1173" s="55" t="str">
        <x:v>—</x:v>
      </x:c>
      <x:c r="D1173" s="55" t="str">
        <x:v>—</x:v>
      </x:c>
      <x:c r="E1173" s="55" t="inlineStr">
        <x:is>
          <x:t>小蕈傘人（地靈穴、蕈菇林、蕈菇林東方、蕈菇林西方、侏人部落、神兵塚）；小蕈傘人元靈（幽玄靈界）</x:t>
        </x:is>
      </x:c>
    </x:row>
    <x:row r="1174" ht="15" customHeight="1">
      <x:c r="A1174" s="55" t="str">
        <x:v>艾濟儀仗</x:v>
      </x:c>
      <x:c r="B1174" s="55" t="str">
        <x:v>艾濟主線</x:v>
      </x:c>
      <x:c r="C1174" s="55" t="str">
        <x:v>—</x:v>
      </x:c>
      <x:c r="D1174" s="55" t="str">
        <x:v>—</x:v>
      </x:c>
      <x:c r="E1174" s="55" t="inlineStr">
        <x:is>
          <x:t>—</x:t>
        </x:is>
      </x:c>
    </x:row>
    <x:row r="1175" ht="15" customHeight="1">
      <x:c r="A1175" s="55" t="str">
        <x:v>長疆霸棍</x:v>
      </x:c>
      <x:c r="B1175" s="55" t="str">
        <x:v>長疆主線</x:v>
      </x:c>
      <x:c r="C1175" s="55" t="str">
        <x:v>—</x:v>
      </x:c>
      <x:c r="D1175" s="55" t="str">
        <x:v>—</x:v>
      </x:c>
      <x:c r="E1175" s="55" t="inlineStr">
        <x:is>
          <x:t>小野狼（網站未列地圖）</x:t>
        </x:is>
      </x:c>
    </x:row>
    <x:row r="1176" ht="15" customHeight="1">
      <x:c r="A1176" s="55" t="str">
        <x:v>南遼衛棍</x:v>
      </x:c>
      <x:c r="B1176" s="55" t="str">
        <x:v>神州2主線</x:v>
      </x:c>
      <x:c r="C1176" s="55" t="str">
        <x:v>—</x:v>
      </x:c>
      <x:c r="D1176" s="55" t="str">
        <x:v>—</x:v>
      </x:c>
      <x:c r="E1176" s="55" t="inlineStr">
        <x:is>
          <x:t>—</x:t>
        </x:is>
      </x:c>
    </x:row>
    <x:row r="1177" ht="45" customHeight="1">
      <x:c r="A1177" s="55" t="str">
        <x:v>晶石狼牙棒</x:v>
      </x:c>
      <x:c r="B1177" s="55" t="str">
        <x:v>—</x:v>
      </x:c>
      <x:c r="C1177" s="55" t="str">
        <x:v>—</x:v>
      </x:c>
      <x:c r="D1177" s="55" t="str">
        <x:v>—</x:v>
      </x:c>
      <x:c r="E1177" s="55" t="inlineStr">
        <x:is>
          <x:t>晶石兵器寶盒（網站未列地圖）；喜兔武器錦囊‧壹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</x:t>
        </x:is>
      </x:c>
    </x:row>
    <x:row r="1178" ht="30" customHeight="1">
      <x:c r="A1178" s="55" t="str">
        <x:v>凝晶如意棒</x:v>
      </x:c>
      <x:c r="B1178" s="55" t="str">
        <x:v>—</x:v>
      </x:c>
      <x:c r="C1178" s="55" t="str">
        <x:v>—</x:v>
      </x:c>
      <x:c r="D1178" s="55" t="str">
        <x:v>—</x:v>
      </x:c>
      <x:c r="E1178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179" ht="15" customHeight="1">
      <x:c r="A1179" s="55" t="str">
        <x:v>卓越之棍</x:v>
      </x:c>
      <x:c r="B1179" s="55" t="str">
        <x:v>—</x:v>
      </x:c>
      <x:c r="C1179" s="55" t="str">
        <x:v>—</x:v>
      </x:c>
      <x:c r="D1179" s="55" t="str">
        <x:v>—</x:v>
      </x:c>
      <x:c r="E1179" s="55" t="inlineStr">
        <x:is>
          <x:t>卓越兵器寶盒（網站未列地圖）</x:t>
        </x:is>
      </x:c>
    </x:row>
    <x:row r="1180" ht="30" customHeight="1">
      <x:c r="A1180" s="55" t="str">
        <x:v>鼠棍</x:v>
      </x:c>
      <x:c r="B1180" s="55" t="str">
        <x:v>—</x:v>
      </x:c>
      <x:c r="C1180" s="55" t="str">
        <x:v>—</x:v>
      </x:c>
      <x:c r="D1180" s="55" t="str">
        <x:v>—</x:v>
      </x:c>
      <x:c r="E1180" s="55" t="inlineStr">
        <x:is>
          <x:t>食屍巨鼠（古皇陵第一層、古皇陵第二層、鎮南關密道、魔君陵寢一層、魔君陵寢二層、古皇陵第三層）；巨鼠（古皇陵第一層）；巨灰鼠（古皇陵第一層、古皇陵第二層、鎮南關密道、魔君陵寢一層、魔君陵寢二層、恨生不歸途）</x:t>
        </x:is>
      </x:c>
    </x:row>
    <x:row r="1181" ht="30" customHeight="1">
      <x:c r="A1181" s="55" t="str">
        <x:v>寒陰棍</x:v>
      </x:c>
      <x:c r="B1181" s="55" t="str">
        <x:v>—</x:v>
      </x:c>
      <x:c r="C1181" s="55" t="str">
        <x:v>—</x:v>
      </x:c>
      <x:c r="D1181" s="55" t="str">
        <x:v>—</x:v>
      </x:c>
      <x:c r="E1181" s="55" t="inlineStr">
        <x:is>
          <x:t>百眼族大魔王（網站未列地圖）；真武神兵錦囊（網站未列地圖）；怒雪麒麟（怒雪洞府）；怒雪麒麟（怒雪修煉場）；[怒雪麒麟]（網站未列地圖）；冰麟獸（怒雪靈界通道、怒雪洞府）；小龍珠寶箱（網站未列地圖）</x:t>
        </x:is>
      </x:c>
    </x:row>
    <x:row r="1182" ht="60" customHeight="1">
      <x:c r="A1182" s="55" t="str">
        <x:v>焚陽棍</x:v>
      </x:c>
      <x:c r="B1182" s="55" t="str">
        <x:v>—</x:v>
      </x:c>
      <x:c r="C1182" s="55" t="str">
        <x:v>—</x:v>
      </x:c>
      <x:c r="D1182" s="55" t="str">
        <x:v>—</x:v>
      </x:c>
      <x:c r="E1182" s="55" t="inlineStr">
        <x:is>
          <x:t>真武神兵錦囊（網站未列地圖）；火雲麒麟（火雲洞府）；火雲麒麟（烈火修煉場）；[火雲麒麟]（網站未列地圖）；真火鳳凰（鳳凰台）；真火鳳凰（鳳凰台）；泣命煉首（網站未列地圖）；紫燄影凰（網站未列地圖）；鳳凰（棲鳳崖、鳳凰台）；火鳳凰（棲鳳崖）；火麟獸（烈火靈界通道、火雲洞府）；鳳凰（棲鳳崖、鳳凰台）；[鳳凰]（網站未列地圖）</x:t>
        </x:is>
      </x:c>
    </x:row>
    <x:row r="1183" ht="30" customHeight="1">
      <x:c r="A1183" s="55" t="str">
        <x:v>雷門棍</x:v>
      </x:c>
      <x:c r="B1183" s="55" t="str">
        <x:v>—</x:v>
      </x:c>
      <x:c r="C1183" s="55" t="str">
        <x:v>—</x:v>
      </x:c>
      <x:c r="D1183" s="55" t="str">
        <x:v>—</x:v>
      </x:c>
      <x:c r="E1183" s="55" t="inlineStr">
        <x:is>
          <x:t>夜叉族大魔王（網站未列地圖）；真武神兵錦囊（網站未列地圖）；道觀寶物（網站未列地圖）；賊寇頭目（鎮南關密道）；江洋大盜（碧波幽谷、朝天觀、亂藤林東方）；長林惡棍（長林谷）</x:t>
        </x:is>
      </x:c>
    </x:row>
    <x:row r="1184" ht="45" customHeight="1">
      <x:c r="A1184" s="55" t="str">
        <x:v>地冥棍</x:v>
      </x:c>
      <x:c r="B1184" s="55" t="str">
        <x:v>—</x:v>
      </x:c>
      <x:c r="C1184" s="55" t="str">
        <x:v>—</x:v>
      </x:c>
      <x:c r="D1184" s="55" t="str">
        <x:v>—</x:v>
      </x:c>
      <x:c r="E1184" s="55" t="inlineStr">
        <x:is>
          <x:t>真武神兵錦囊（網站未列地圖）；蠱毒麒麟（蠱毒洞府）；蠱毒麒麟（瘴癘修煉場）；[蠱毒麒麟]（網站未列地圖）；鬼城包裹（網站未列地圖）；蛇女包裹（網站未列地圖）；毒麟獸（瘴癘靈界通道、蠱毒洞府）；陰間冥包（網站未列地圖）</x:t>
        </x:is>
      </x:c>
    </x:row>
    <x:row r="1185" ht="30" customHeight="1">
      <x:c r="A1185" s="55" t="str">
        <x:v>纏雲棍</x:v>
      </x:c>
      <x:c r="B1185" s="55" t="str">
        <x:v>—</x:v>
      </x:c>
      <x:c r="C1185" s="55" t="str">
        <x:v>—</x:v>
      </x:c>
      <x:c r="D1185" s="55" t="str">
        <x:v>—</x:v>
      </x:c>
      <x:c r="E1185" s="55" t="inlineStr">
        <x:is>
          <x:t>稀奇裝備箱．丙式（網站未列地圖）；火雲麒麟（火雲洞府）；火雲麒麟（烈火修煉場）；[火雲麒麟]（網站未列地圖）；火麟獸（烈火靈界通道、火雲洞府）</x:t>
        </x:is>
      </x:c>
    </x:row>
    <x:row r="1186" ht="30" customHeight="1">
      <x:c r="A1186" s="55" t="str">
        <x:v>封魔棍</x:v>
      </x:c>
      <x:c r="B1186" s="55" t="str">
        <x:v>—</x:v>
      </x:c>
      <x:c r="C1186" s="55" t="str">
        <x:v>—</x:v>
      </x:c>
      <x:c r="D1186" s="55" t="str">
        <x:v>—</x:v>
      </x:c>
      <x:c r="E1186" s="55" t="inlineStr">
        <x:is>
          <x:t>稀奇裝備箱．丙式（網站未列地圖）；蠱毒麒麟（蠱毒洞府）；蠱毒麒麟（瘴癘修煉場）；[蠱毒麒麟]（網站未列地圖）；蛇女包裹（網站未列地圖）；毒麟獸（瘴癘靈界通道、蠱毒洞府）</x:t>
        </x:is>
      </x:c>
    </x:row>
    <x:row r="1187" ht="45" customHeight="1">
      <x:c r="A1187" s="55" t="str">
        <x:v>黑雲棍</x:v>
      </x:c>
      <x:c r="B1187" s="55" t="str">
        <x:v>—</x:v>
      </x:c>
      <x:c r="C1187" s="55" t="str">
        <x:v>—</x:v>
      </x:c>
      <x:c r="D1187" s="55" t="str">
        <x:v>—</x:v>
      </x:c>
      <x:c r="E1187" s="55" t="inlineStr">
        <x:is>
          <x:t>稀奇裝備箱．丙式（網站未列地圖）；仙女錦囊（網站未列地圖）；怒雪麒麟（怒雪洞府）；怒雪麒麟（怒雪修煉場）；[怒雪麒麟]（網站未列地圖）；鳳凰（棲鳳崖、鳳凰台）；[鳳凰]（網站未列地圖）；冰麟獸（怒雪靈界通道、怒雪洞府）</x:t>
        </x:is>
      </x:c>
    </x:row>
    <x:row r="1188" ht="60" customHeight="1">
      <x:c r="A1188" s="55" t="str">
        <x:v>五毒棍</x:v>
      </x:c>
      <x:c r="B1188" s="55" t="str">
        <x:v>—</x:v>
      </x:c>
      <x:c r="C1188" s="55" t="str">
        <x:v>—</x:v>
      </x:c>
      <x:c r="D1188" s="55" t="str">
        <x:v>—</x:v>
      </x:c>
      <x:c r="E1188" s="55" t="inlineStr">
        <x:is>
          <x:t>稀奇裝備箱．丁式（網站未列地圖）；千年花精（亂藤林南方、葬日沼澤北方）；[千年花精]（網站未列地圖）；屍花精（五派禁地）；花精（亂藤林、亂藤林南方、葬日沼澤、葬日沼澤北方）；綠林花妖（網站未列地圖）；千年樹精（瀰煙山道、掩月松林、不老峰）；千年樹精（葬日沼澤、葬日沼澤北方、千佛遺跡東側）；[千年樹精]（網站未列地圖）；叢林毒蠍（千佛遺跡東側）</x:t>
        </x:is>
      </x:c>
    </x:row>
    <x:row r="1189" ht="30" customHeight="1">
      <x:c r="A1189" s="55" t="str">
        <x:v>玉竹棍</x:v>
      </x:c>
      <x:c r="B1189" s="55" t="str">
        <x:v>—</x:v>
      </x:c>
      <x:c r="C1189" s="55" t="str">
        <x:v>祁州打鐵舖</x:v>
      </x:c>
      <x:c r="D1189" s="55" t="str">
        <x:v>—</x:v>
      </x:c>
      <x:c r="E1189" s="55" t="inlineStr">
        <x:is>
          <x:t>千年樹精（瀰煙山道、掩月松林、不老峰）；千年樹精（葬日沼澤、葬日沼澤北方、千佛遺跡東側）；[千年樹精]（網站未列地圖）</x:t>
        </x:is>
      </x:c>
    </x:row>
    <x:row r="1190" ht="15" customHeight="1">
      <x:c r="A1190" s="55" t="str">
        <x:v>平海棍</x:v>
      </x:c>
      <x:c r="B1190" s="55" t="str">
        <x:v>—</x:v>
      </x:c>
      <x:c r="C1190" s="55" t="str">
        <x:v>—</x:v>
      </x:c>
      <x:c r="D1190" s="55" t="str">
        <x:v>—</x:v>
      </x:c>
      <x:c r="E1190" s="55" t="inlineStr">
        <x:is>
          <x:t>八爪海怪（龍宮第七層、龍宮八層一隅、龍宮八層廣場）；海賊章魚（龍宮第六層、龍宮第七層、龍宮八層廣場）</x:t>
        </x:is>
      </x:c>
    </x:row>
    <x:row r="1191" ht="15" customHeight="1">
      <x:c r="A1191" s="55" t="str">
        <x:v>定海棍</x:v>
      </x:c>
      <x:c r="B1191" s="55" t="str">
        <x:v>—</x:v>
      </x:c>
      <x:c r="C1191" s="55" t="str">
        <x:v>—</x:v>
      </x:c>
      <x:c r="D1191" s="55" t="str">
        <x:v>—</x:v>
      </x:c>
      <x:c r="E1191" s="55" t="inlineStr">
        <x:is>
          <x:t>八爪海怪（龍宮第七層、龍宮八層一隅、龍宮八層廣場）；海賊章魚（龍宮第六層、龍宮第七層、龍宮八層廣場）</x:t>
        </x:is>
      </x:c>
    </x:row>
    <x:row r="1192" ht="15" customHeight="1">
      <x:c r="A1192" s="55" t="str">
        <x:v>紅蓮棍</x:v>
      </x:c>
      <x:c r="B1192" s="55" t="str">
        <x:v>—</x:v>
      </x:c>
      <x:c r="C1192" s="55" t="str">
        <x:v>維摩洞天-仙島工匠</x:v>
      </x:c>
      <x:c r="D1192" s="55" t="str">
        <x:v>—</x:v>
      </x:c>
      <x:c r="E1192" s="55" t="inlineStr">
        <x:is>
          <x:t>—</x:t>
        </x:is>
      </x:c>
    </x:row>
    <x:row r="1193" ht="15" customHeight="1">
      <x:c r="A1193" s="55" t="str">
        <x:v>洛花棍</x:v>
      </x:c>
      <x:c r="B1193" s="55" t="str">
        <x:v>—</x:v>
      </x:c>
      <x:c r="C1193" s="55" t="str">
        <x:v>維摩洞天-仙島工匠</x:v>
      </x:c>
      <x:c r="D1193" s="55" t="str">
        <x:v>—</x:v>
      </x:c>
      <x:c r="E1193" s="55" t="inlineStr">
        <x:is>
          <x:t>—</x:t>
        </x:is>
      </x:c>
    </x:row>
    <x:row r="1194" ht="15" customHeight="1">
      <x:c r="A1194" s="55" t="str">
        <x:v>平風棍</x:v>
      </x:c>
      <x:c r="B1194" s="55" t="str">
        <x:v>—</x:v>
      </x:c>
      <x:c r="C1194" s="55" t="str">
        <x:v>釣日村武器店長</x:v>
      </x:c>
      <x:c r="D1194" s="55" t="str">
        <x:v>—</x:v>
      </x:c>
      <x:c r="E1194" s="55" t="inlineStr">
        <x:is>
          <x:t>—</x:t>
        </x:is>
      </x:c>
    </x:row>
    <x:row r="1195" ht="15" customHeight="1">
      <x:c r="A1195" s="55" t="str">
        <x:v>赤鐵棍</x:v>
      </x:c>
      <x:c r="B1195" s="55" t="str">
        <x:v>—</x:v>
      </x:c>
      <x:c r="C1195" s="55" t="str">
        <x:v>釣日村武器店長、維摩洞天-仙島工匠</x:v>
      </x:c>
      <x:c r="D1195" s="55" t="str">
        <x:v>—</x:v>
      </x:c>
      <x:c r="E1195" s="55" t="inlineStr">
        <x:is>
          <x:t>—</x:t>
        </x:is>
      </x:c>
    </x:row>
    <x:row r="1196" ht="30" customHeight="1">
      <x:c r="A1196" s="55" t="str">
        <x:v>翻花棍</x:v>
      </x:c>
      <x:c r="B1196" s="55" t="str">
        <x:v>—</x:v>
      </x:c>
      <x:c r="C1196" s="55" t="str">
        <x:v>—</x:v>
      </x:c>
      <x:c r="D1196" s="55" t="str">
        <x:v>—</x:v>
      </x:c>
      <x:c r="E1196" s="55" t="inlineStr">
        <x:is>
          <x:t>稀奇裝備箱．丁式（網站未列地圖）；[女王蜂]（網站未列地圖）；女王蜂（桃花林、桃花林西方、桃花林南方）；覷命射手（終末之塔第145層、終末之塔第144層、終末之塔第146層）</x:t>
        </x:is>
      </x:c>
    </x:row>
    <x:row r="1197" ht="15" customHeight="1">
      <x:c r="A1197" s="55" t="str">
        <x:v>驚風棍</x:v>
      </x:c>
      <x:c r="B1197" s="55" t="str">
        <x:v>—</x:v>
      </x:c>
      <x:c r="C1197" s="55" t="str">
        <x:v>—</x:v>
      </x:c>
      <x:c r="D1197" s="55" t="str">
        <x:v>—</x:v>
      </x:c>
      <x:c r="E1197" s="55" t="inlineStr">
        <x:is>
          <x:t>合成馬蟻（終末之塔第145層）</x:t>
        </x:is>
      </x:c>
    </x:row>
    <x:row r="1198" ht="30" customHeight="1">
      <x:c r="A1198" s="55" t="str">
        <x:v>虎妖棍</x:v>
      </x:c>
      <x:c r="B1198" s="55" t="str">
        <x:v>—</x:v>
      </x:c>
      <x:c r="C1198" s="55" t="str">
        <x:v>—</x:v>
      </x:c>
      <x:c r="D1198" s="55" t="str">
        <x:v>—</x:v>
      </x:c>
      <x:c r="E1198" s="55" t="inlineStr">
        <x:is>
          <x:t>絕代兵器錦囊（網站未列地圖）；新絕代兵器錦囊（網站未列地圖）；喜兔武器錦囊‧貳（網站未列地圖）；虎霸王（掩月松林）；[虎霸王]（網站未列地圖）</x:t>
        </x:is>
      </x:c>
    </x:row>
    <x:row r="1199" ht="30" customHeight="1">
      <x:c r="A1199" s="55" t="str">
        <x:v>鎮海杵</x:v>
      </x:c>
      <x:c r="B1199" s="55" t="str">
        <x:v>—</x:v>
      </x:c>
      <x:c r="C1199" s="55" t="str">
        <x:v>—</x:v>
      </x:c>
      <x:c r="D1199" s="55" t="str">
        <x:v>—</x:v>
      </x:c>
      <x:c r="E1199" s="55" t="inlineStr">
        <x:is>
          <x:t>御行神兵錦囊（網站未列地圖）；掠奪武器包裹（網站未列地圖）；羅剎寶袋（網站未列地圖）；八爪海怪（龍宮第七層、龍宮八層一隅、龍宮八層廣場）</x:t>
        </x:is>
      </x:c>
    </x:row>
    <x:row r="1200" ht="30" customHeight="1">
      <x:c r="A1200" s="55" t="str">
        <x:v>烏金棍</x:v>
      </x:c>
      <x:c r="B1200" s="55" t="str">
        <x:v>—</x:v>
      </x:c>
      <x:c r="C1200" s="55" t="str">
        <x:v>—</x:v>
      </x:c>
      <x:c r="D1200" s="55" t="str">
        <x:v>—</x:v>
      </x:c>
      <x:c r="E1200" s="55" t="inlineStr">
        <x:is>
          <x:t>絕代兵器錦囊（網站未列地圖）；新絕代兵器錦囊（網站未列地圖）；掠奪武器包裹（網站未列地圖）；羅剎寶袋（網站未列地圖）；八爪海怪（龍宮第七層、龍宮八層一隅、龍宮八層廣場）</x:t>
        </x:is>
      </x:c>
    </x:row>
    <x:row r="1201" ht="45" customHeight="1">
      <x:c r="A1201" s="55" t="str">
        <x:v>平沙棍</x:v>
      </x:c>
      <x:c r="B1201" s="55" t="str">
        <x:v>—</x:v>
      </x:c>
      <x:c r="C1201" s="55" t="str">
        <x:v>—</x:v>
      </x:c>
      <x:c r="D1201" s="55" t="str">
        <x:v>—</x:v>
      </x:c>
      <x:c r="E1201" s="55" t="inlineStr">
        <x:is>
          <x:t>天界戰匣（網站未列地圖）；黑天神兵元靈（網站未列地圖）；西域神兵錦囊（網站未列地圖）；禿鷹幫響馬（高昌郡）；海賊迅忍（長野沙濱）；西域沙蟲（塔干沙漠東方、樓蘭遺址）；岩龜（塔干沙漠東方、塔干沙漠南方、樓蘭遺址）；跳鼠（塔干沙漠東方、樓蘭遺址）；禿鷹（塔干沙漠東方、塔干沙漠南方、樓蘭遺址、火焰山）</x:t>
        </x:is>
      </x:c>
    </x:row>
    <x:row r="1202" ht="30" customHeight="1">
      <x:c r="A1202" s="55" t="str">
        <x:v>碧羅棍</x:v>
      </x:c>
      <x:c r="B1202" s="55" t="str">
        <x:v>—</x:v>
      </x:c>
      <x:c r="C1202" s="55" t="str">
        <x:v>—</x:v>
      </x:c>
      <x:c r="D1202" s="55" t="str">
        <x:v>—</x:v>
      </x:c>
      <x:c r="E1202" s="55" t="inlineStr">
        <x:is>
          <x:t>黑天神兵元靈（網站未列地圖）；西域神兵錦囊（網站未列地圖）；南蠻狂戰士（千佛遺跡東側、千佛遺跡西側、摩羅國境）；禿鷹幫響馬（高昌郡）</x:t>
        </x:is>
      </x:c>
    </x:row>
    <x:row r="1203" ht="45" customHeight="1">
      <x:c r="A1203" s="55" t="str">
        <x:v>旋龍棍</x:v>
      </x:c>
      <x:c r="B1203" s="55" t="str">
        <x:v>—</x:v>
      </x:c>
      <x:c r="C1203" s="55" t="str">
        <x:v>—</x:v>
      </x:c>
      <x:c r="D1203" s="55" t="str">
        <x:v>—</x:v>
      </x:c>
      <x:c r="E1203" s="55" t="inlineStr">
        <x:is>
          <x:t>黑天神兵元靈（網站未列地圖）；西域神兵錦囊（網站未列地圖）；血槍幫首領（高昌郡）；初陰陽師（神室關所、內崎埠原）；羅剎鞭手遊魂（網站未列地圖）；傀儡羅剎鞭手（網站未列地圖）；羅剎鞭子手（塔干沙漠西方）；布衣幫響馬（高昌郡）</x:t>
        </x:is>
      </x:c>
    </x:row>
    <x:row r="1204" ht="45" customHeight="1">
      <x:c r="A1204" s="55" t="str">
        <x:v>金鋼杖</x:v>
      </x:c>
      <x:c r="B1204" s="55" t="str">
        <x:v>—</x:v>
      </x:c>
      <x:c r="C1204" s="55" t="str">
        <x:v>—</x:v>
      </x:c>
      <x:c r="D1204" s="55" t="str">
        <x:v>—</x:v>
      </x:c>
      <x:c r="E1204" s="55" t="inlineStr">
        <x:is>
          <x:t>黑天神兵元靈（網站未列地圖）；西域神兵錦囊（網站未列地圖）；大黑天幻影（萬佛窟）；大黑天尊者（樓蘭遺址、火焰山）；大黑天（萬佛窟、火焰山）；天狗（葉隱蒼林、十津原樹海、天照不二峰）；[天狗]（網站未列地圖）；天狗（葉隱蒼林、十津原樹海、天照不二峰）；黑天妖魔（萬佛窟、火焰山）；[黑天妖魔]（網站未列地圖）</x:t>
        </x:is>
      </x:c>
    </x:row>
    <x:row r="1205" ht="45" customHeight="1">
      <x:c r="A1205" s="55" t="str">
        <x:v>浪沙棍</x:v>
      </x:c>
      <x:c r="B1205" s="55" t="str">
        <x:v>—</x:v>
      </x:c>
      <x:c r="C1205" s="55" t="str">
        <x:v>—</x:v>
      </x:c>
      <x:c r="D1205" s="55" t="str">
        <x:v>—</x:v>
      </x:c>
      <x:c r="E1205" s="55" t="inlineStr">
        <x:is>
          <x:t>西域真武錦囊（網站未列地圖）；黑天神兵元靈（網站未列地圖）；西域神兵錦囊（網站未列地圖）；喜兔武器錦囊‧伍（網站未列地圖）；&lt;裂土真帝靈&gt;（真七寶仙境　貳）；大黑天幻影（萬佛窟）；大黑天尊者（樓蘭遺址、火焰山）；大黑天（萬佛窟、火焰山）</x:t>
        </x:is>
      </x:c>
    </x:row>
    <x:row r="1206" ht="60" customHeight="1">
      <x:c r="A1206" s="55" t="str">
        <x:v>芥夜棍</x:v>
      </x:c>
      <x:c r="B1206" s="55" t="str">
        <x:v>—</x:v>
      </x:c>
      <x:c r="C1206" s="55" t="str">
        <x:v>—</x:v>
      </x:c>
      <x:c r="D1206" s="55" t="str">
        <x:v>—</x:v>
      </x:c>
      <x:c r="E1206" s="55" t="inlineStr">
        <x:is>
          <x:t>東瀛神兵桐箱（網站未列地圖）；東瀛神兵寶箱（網站未列地圖）；喜兔武器錦囊‧伍（網站未列地圖）；神來裝樂透卡之五（網站未列地圖）；御行神兵錦囊（網站未列地圖）；黑教僧兵（登天棧道、懸空仙嶺、大梵聖湖）；宇都宮長齋（內崎埠原）；邪骨河童（十津原樹海、八荒古墳）；咒法陰陽師（外崎埠原、十津原樹海、八荒古墳）；南蠻狂戰士（千佛遺跡東側、千佛遺跡西側、摩羅國境）；大黑天（萬佛窟、火焰山）</x:t>
        </x:is>
      </x:c>
    </x:row>
    <x:row r="1207" ht="15" customHeight="1">
      <x:c r="A1207" s="55" t="str">
        <x:v>無雙芥夜棍</x:v>
      </x:c>
      <x:c r="B1207" s="55" t="str">
        <x:v>—</x:v>
      </x:c>
      <x:c r="C1207" s="55" t="str">
        <x:v>—</x:v>
      </x:c>
      <x:c r="D1207" s="55" t="str">
        <x:v>—</x:v>
      </x:c>
      <x:c r="E1207" s="55" t="inlineStr">
        <x:is>
          <x:t>東瀛無雙錦囊（網站未列地圖）</x:t>
        </x:is>
      </x:c>
    </x:row>
    <x:row r="1208" ht="45" customHeight="1">
      <x:c r="A1208" s="55" t="str">
        <x:v>川岐棍</x:v>
      </x:c>
      <x:c r="B1208" s="55" t="str">
        <x:v>—</x:v>
      </x:c>
      <x:c r="C1208" s="55" t="str">
        <x:v>—</x:v>
      </x:c>
      <x:c r="D1208" s="55" t="str">
        <x:v>—</x:v>
      </x:c>
      <x:c r="E1208" s="55" t="inlineStr">
        <x:is>
          <x:t>東瀛神兵寶箱（網站未列地圖）；喜兔武器錦囊‧陸（網站未列地圖）；神來裝樂透卡之六（網站未列地圖）；斬斧牛妖（三途之都、枉死之城、悲歡渡口）；伏毒地蟒（恨生不歸途）；萬刑惡靈（枉死之城、悲歡渡口）；赤日火靈（聖域之門、清教院街）；狂獄火魔（網站未列地圖）；摩羅御軍戰士（菩提聖原、大梵河岸）</x:t>
        </x:is>
      </x:c>
    </x:row>
    <x:row r="1209" ht="15" customHeight="1">
      <x:c r="A1209" s="55" t="str">
        <x:v>奇稻田櫛棍</x:v>
      </x:c>
      <x:c r="B1209" s="55" t="str">
        <x:v>—</x:v>
      </x:c>
      <x:c r="C1209" s="55" t="str">
        <x:v>—</x:v>
      </x:c>
      <x:c r="D1209" s="55" t="str">
        <x:v>—</x:v>
      </x:c>
      <x:c r="E1209" s="55" t="inlineStr">
        <x:is>
          <x:t>八歧大蛇（天照不二峰）</x:t>
        </x:is>
      </x:c>
    </x:row>
    <x:row r="1210" ht="15" customHeight="1">
      <x:c r="A1210" s="55" t="str">
        <x:v>仁王碎鋼棍</x:v>
      </x:c>
      <x:c r="B1210" s="55" t="str">
        <x:v>—</x:v>
      </x:c>
      <x:c r="C1210" s="55" t="str">
        <x:v>—</x:v>
      </x:c>
      <x:c r="D1210" s="55" t="str">
        <x:v>—</x:v>
      </x:c>
      <x:c r="E1210" s="55" t="inlineStr">
        <x:is>
          <x:t>東煌神兵寶匣（網站未列地圖）；喜兔武器錦囊‧柒（網站未列地圖）；神來裝樂透卡之七（網站未列地圖）</x:t>
        </x:is>
      </x:c>
    </x:row>
    <x:row r="1211" ht="15" customHeight="1">
      <x:c r="A1211" s="55" t="str">
        <x:v>明王破岩棍</x:v>
      </x:c>
      <x:c r="B1211" s="55" t="str">
        <x:v>—</x:v>
      </x:c>
      <x:c r="C1211" s="55" t="str">
        <x:v>—</x:v>
      </x:c>
      <x:c r="D1211" s="55" t="str">
        <x:v>—</x:v>
      </x:c>
      <x:c r="E1211" s="55" t="inlineStr">
        <x:is>
          <x:t>東煌神兵寶匣（網站未列地圖）；喜兔武器錦囊‧柒（網站未列地圖）；神來裝樂透卡之七（網站未列地圖）</x:t>
        </x:is>
      </x:c>
    </x:row>
    <x:row r="1212" ht="30" customHeight="1">
      <x:c r="A1212" s="55" t="str">
        <x:v>亡骨兇骸棍</x:v>
      </x:c>
      <x:c r="B1212" s="55" t="str">
        <x:v>—</x:v>
      </x:c>
      <x:c r="C1212" s="55" t="str">
        <x:v>—</x:v>
      </x:c>
      <x:c r="D1212" s="55" t="str">
        <x:v>—</x:v>
      </x:c>
      <x:c r="E1212" s="55" t="inlineStr">
        <x:is>
          <x:t>喜兔武器錦囊‧玖（網站未列地圖）；煉獄邪兵戰匣（網站未列地圖）；神來裝樂透卡之九（網站未列地圖）；牛頭大喪神（奈落紅川）；水之精靈（豐穗平原、血鴉嶺）</x:t>
        </x:is>
      </x:c>
    </x:row>
    <x:row r="1213" ht="30" customHeight="1">
      <x:c r="A1213" s="55" t="str">
        <x:v>絕魂滅魄棍</x:v>
      </x:c>
      <x:c r="B1213" s="55" t="str">
        <x:v>—</x:v>
      </x:c>
      <x:c r="C1213" s="55" t="str">
        <x:v>—</x:v>
      </x:c>
      <x:c r="D1213" s="55" t="str">
        <x:v>—</x:v>
      </x:c>
      <x:c r="E1213" s="55" t="inlineStr">
        <x:is>
          <x:t>無間邪兵戰匣（網站未列地圖）；阿鼻邪兵戰匣（網站未列地圖）；銀鱗飛龍（豐穗平原、血鴉嶺、靜默之丘、獅堡軍事區）；天戮三滅視（香格里拉聖路）；十字軍（止戰邊境、豐穗平原）</x:t>
        </x:is>
      </x:c>
    </x:row>
    <x:row r="1214" ht="15" customHeight="1">
      <x:c r="A1214" s="55" t="str">
        <x:v>妖滅天殛魔棍</x:v>
      </x:c>
      <x:c r="B1214" s="55" t="str">
        <x:v>—</x:v>
      </x:c>
      <x:c r="C1214" s="55" t="str">
        <x:v>—</x:v>
      </x:c>
      <x:c r="D1214" s="55" t="str">
        <x:v>—</x:v>
      </x:c>
      <x:c r="E1214" s="55" t="inlineStr">
        <x:is>
          <x:t>天殛邪兵錦囊（網站未列地圖）</x:t>
        </x:is>
      </x:c>
    </x:row>
    <x:row r="1215" ht="15" customHeight="1">
      <x:c r="A1215" s="55" t="str">
        <x:v>凶亡天殛魔棍</x:v>
      </x:c>
      <x:c r="B1215" s="55" t="str">
        <x:v>—</x:v>
      </x:c>
      <x:c r="C1215" s="55" t="str">
        <x:v>—</x:v>
      </x:c>
      <x:c r="D1215" s="55" t="str">
        <x:v>—</x:v>
      </x:c>
      <x:c r="E1215" s="55" t="inlineStr">
        <x:is>
          <x:t>天殛邪兵錦囊（網站未列地圖）</x:t>
        </x:is>
      </x:c>
    </x:row>
    <x:row r="1216" ht="15" customHeight="1">
      <x:c r="A1216" s="55" t="str">
        <x:v>惡斬天殛魔棍</x:v>
      </x:c>
      <x:c r="B1216" s="55" t="str">
        <x:v>—</x:v>
      </x:c>
      <x:c r="C1216" s="55" t="str">
        <x:v>—</x:v>
      </x:c>
      <x:c r="D1216" s="55" t="str">
        <x:v>—</x:v>
      </x:c>
      <x:c r="E1216" s="55" t="inlineStr">
        <x:is>
          <x:t>天殛邪兵錦囊（網站未列地圖）</x:t>
        </x:is>
      </x:c>
    </x:row>
    <x:row r="1217" ht="15" customHeight="1">
      <x:c r="A1217" s="55" t="str">
        <x:v>獸殺天殛魔棍</x:v>
      </x:c>
      <x:c r="B1217" s="55" t="str">
        <x:v>—</x:v>
      </x:c>
      <x:c r="C1217" s="55" t="str">
        <x:v>—</x:v>
      </x:c>
      <x:c r="D1217" s="55" t="str">
        <x:v>—</x:v>
      </x:c>
      <x:c r="E1217" s="55" t="inlineStr">
        <x:is>
          <x:t>天殛邪兵錦囊（網站未列地圖）</x:t>
        </x:is>
      </x:c>
    </x:row>
    <x:row r="1218" ht="30" customHeight="1">
      <x:c r="A1218" s="55" t="str">
        <x:v>貫雲雙雷棍</x:v>
      </x:c>
      <x:c r="B1218" s="55" t="str">
        <x:v>—</x:v>
      </x:c>
      <x:c r="C1218" s="55" t="str">
        <x:v>—</x:v>
      </x:c>
      <x:c r="D1218" s="55" t="str">
        <x:v>—</x:v>
      </x:c>
      <x:c r="E1218" s="55" t="inlineStr">
        <x:is>
          <x:t>頂峰神兵錦囊（網站未列地圖）；天鬼神羅奢薩（神煉之間）；煉獄魔梟（凱旋廣場、聖禱天廳）；水之精靈（豐穗平原、血鴉嶺）；剎羽風靈（法誡參道、漆黑水路、真知寺）</x:t>
        </x:is>
      </x:c>
    </x:row>
    <x:row r="1219" ht="30" customHeight="1">
      <x:c r="A1219" s="55" t="str">
        <x:v>太古貫雲雙雷棍</x:v>
      </x:c>
      <x:c r="B1219" s="55" t="str">
        <x:v>—</x:v>
      </x:c>
      <x:c r="C1219" s="55" t="str">
        <x:v>—</x:v>
      </x:c>
      <x:c r="D1219" s="55" t="str">
        <x:v>—</x:v>
      </x:c>
      <x:c r="E1219" s="55" t="inlineStr">
        <x:is>
          <x:t>天藏太古神兵聖箱（網站未列地圖）；兔兒皇（網站未列地圖）；九華神曜龍（天授之間）；聖峰白虎（萬岳聖峰、香格里拉聖路）</x:t>
        </x:is>
      </x:c>
    </x:row>
    <x:row r="1220" ht="15" customHeight="1">
      <x:c r="A1220" s="55" t="str">
        <x:v>無雙貫雲棍</x:v>
      </x:c>
      <x:c r="B1220" s="55" t="str">
        <x:v>—</x:v>
      </x:c>
      <x:c r="C1220" s="55" t="str">
        <x:v>—</x:v>
      </x:c>
      <x:c r="D1220" s="55" t="str">
        <x:v>—</x:v>
      </x:c>
      <x:c r="E1220" s="55" t="inlineStr">
        <x:is>
          <x:t>天藏無雙錦囊（網站未列地圖）</x:t>
        </x:is>
      </x:c>
    </x:row>
    <x:row r="1221" ht="30" customHeight="1">
      <x:c r="A1221" s="55" t="str">
        <x:v>擎天雙龍棍</x:v>
      </x:c>
      <x:c r="B1221" s="55" t="str">
        <x:v>—</x:v>
      </x:c>
      <x:c r="C1221" s="55" t="str">
        <x:v>—</x:v>
      </x:c>
      <x:c r="D1221" s="55" t="str">
        <x:v>—</x:v>
      </x:c>
      <x:c r="E1221" s="55" t="inlineStr">
        <x:is>
          <x:t>天光神兵聖匣（網站未列地圖）；香格里拉武匣（網站未列地圖）；風伯（凌風修境、繚空碎島）；銀鱗飛龍（豐穗平原、血鴉嶺、靜默之丘、獅堡軍事區）</x:t>
        </x:is>
      </x:c>
    </x:row>
    <x:row r="1222" ht="30" customHeight="1">
      <x:c r="A1222" s="55" t="str">
        <x:v>太古擎天雙龍棍</x:v>
      </x:c>
      <x:c r="B1222" s="55" t="str">
        <x:v>—</x:v>
      </x:c>
      <x:c r="C1222" s="55" t="str">
        <x:v>—</x:v>
      </x:c>
      <x:c r="D1222" s="55" t="str">
        <x:v>—</x:v>
      </x:c>
      <x:c r="E1222" s="55" t="inlineStr">
        <x:is>
          <x:t>天藏太古神兵聖箱（網站未列地圖）；查拉欽（飛昇大廳）；彪虎古戰神（飛昇大廳）；&lt;彪虎古戰神&gt;（真七寶仙境　貳）；火元素神將（萬識聖宮）；真知聖御將（法誡參道、真知寺、萬識聖宮）；嵐荒天虎神（網站未列地圖）</x:t>
        </x:is>
      </x:c>
    </x:row>
    <x:row r="1223" ht="15" customHeight="1">
      <x:c r="A1223" s="55" t="str">
        <x:v>無雙兇骸棍</x:v>
      </x:c>
      <x:c r="B1223" s="55" t="str">
        <x:v>—</x:v>
      </x:c>
      <x:c r="C1223" s="55" t="str">
        <x:v>—</x:v>
      </x:c>
      <x:c r="D1223" s="55" t="str">
        <x:v>—</x:v>
      </x:c>
      <x:c r="E1223" s="55" t="inlineStr">
        <x:is>
          <x:t>煉獄無雙錦囊（網站未列地圖）</x:t>
        </x:is>
      </x:c>
    </x:row>
    <x:row r="1224" ht="15" customHeight="1">
      <x:c r="A1224" s="55" t="str">
        <x:v>執金剛神杵</x:v>
      </x:c>
      <x:c r="B1224" s="55" t="str">
        <x:v>—</x:v>
      </x:c>
      <x:c r="C1224" s="55" t="str">
        <x:v>—</x:v>
      </x:c>
      <x:c r="D1224" s="55" t="str">
        <x:v>—</x:v>
      </x:c>
      <x:c r="E1224" s="55" t="inlineStr">
        <x:is>
          <x:t>聖魔永劫戰匣（網站未列地圖）</x:t>
        </x:is>
      </x:c>
    </x:row>
    <x:row r="1225" ht="15" customHeight="1">
      <x:c r="A1225" s="55" t="str">
        <x:v>瓦爾那刑棍</x:v>
      </x:c>
      <x:c r="B1225" s="55" t="str">
        <x:v>—</x:v>
      </x:c>
      <x:c r="C1225" s="55" t="str">
        <x:v>—</x:v>
      </x:c>
      <x:c r="D1225" s="55" t="str">
        <x:v>—</x:v>
      </x:c>
      <x:c r="E1225" s="55" t="inlineStr">
        <x:is>
          <x:t>聖魔永劫戰匣（網站未列地圖）</x:t>
        </x:is>
      </x:c>
    </x:row>
    <x:row r="1226" ht="15" customHeight="1">
      <x:c r="A1226" s="55" t="str">
        <x:v>四尊歸元棍</x:v>
      </x:c>
      <x:c r="B1226" s="55" t="str">
        <x:v>—</x:v>
      </x:c>
      <x:c r="C1226" s="55" t="str">
        <x:v>—</x:v>
      </x:c>
      <x:c r="D1226" s="55" t="str">
        <x:v>—</x:v>
      </x:c>
      <x:c r="E1226" s="55" t="inlineStr">
        <x:is>
          <x:t>波斯神兵寶箱（網站未列地圖）；巡天舞將（凌風修境、繚空碎島）；煉獄魔梟（凱旋廣場、聖禱天廳）</x:t>
        </x:is>
      </x:c>
    </x:row>
    <x:row r="1227" ht="30" customHeight="1">
      <x:c r="A1227" s="55" t="str">
        <x:v>太古四尊歸元棍</x:v>
      </x:c>
      <x:c r="B1227" s="55" t="str">
        <x:v>—</x:v>
      </x:c>
      <x:c r="C1227" s="55" t="str">
        <x:v>—</x:v>
      </x:c>
      <x:c r="D1227" s="55" t="str">
        <x:v>—</x:v>
      </x:c>
      <x:c r="E1227" s="55" t="inlineStr">
        <x:is>
          <x:t>波斯太古神兵聖箱（網站未列地圖）；煉獄淑女（神臨之地）；幻魔‧海蛇（神臨之地）；&lt;煉獄淑女&gt;（修羅級神臨之地）；&lt;幻魔‧海蛇&gt;（修羅級神臨之地）</x:t>
        </x:is>
      </x:c>
    </x:row>
    <x:row r="1228" ht="15" customHeight="1">
      <x:c r="A1228" s="55" t="str">
        <x:v>無雙四尊元棍</x:v>
      </x:c>
      <x:c r="B1228" s="55" t="str">
        <x:v>—</x:v>
      </x:c>
      <x:c r="C1228" s="55" t="str">
        <x:v>—</x:v>
      </x:c>
      <x:c r="D1228" s="55" t="str">
        <x:v>—</x:v>
      </x:c>
      <x:c r="E1228" s="55" t="inlineStr">
        <x:is>
          <x:t>波斯無雙錦囊（網站未列地圖）</x:t>
        </x:is>
      </x:c>
    </x:row>
    <x:row r="1229" ht="30" customHeight="1">
      <x:c r="A1229" s="55" t="str">
        <x:v>琉璃天君棍</x:v>
      </x:c>
      <x:c r="B1229" s="55" t="str">
        <x:v>—</x:v>
      </x:c>
      <x:c r="C1229" s="55" t="str">
        <x:v>—</x:v>
      </x:c>
      <x:c r="D1229" s="55" t="str">
        <x:v>—</x:v>
      </x:c>
      <x:c r="E1229" s="55" t="inlineStr">
        <x:is>
          <x:t>武皇神兵寶箱（網站未列地圖）；波斯千武印箱（網站未列地圖）；暴風尊者（飛雲忘野、橫劍天關、仙庭玉階）；&lt;裂土真帝靈&gt;（真七寶仙境　貳）</x:t>
        </x:is>
      </x:c>
    </x:row>
    <x:row r="1230" ht="30" customHeight="1">
      <x:c r="A1230" s="55" t="str">
        <x:v>太古琉璃天君棍</x:v>
      </x:c>
      <x:c r="B1230" s="55" t="str">
        <x:v>—</x:v>
      </x:c>
      <x:c r="C1230" s="55" t="str">
        <x:v>—</x:v>
      </x:c>
      <x:c r="D1230" s="55" t="str">
        <x:v>—</x:v>
      </x:c>
      <x:c r="E1230" s="55" t="inlineStr">
        <x:is>
          <x:t>年大媽（網站未列地圖）；波斯太古神兵聖箱（網站未列地圖）；地獄狂獅王（神臨之地）；&lt;地獄狂獅王&gt;（修羅級神臨之地）</x:t>
        </x:is>
      </x:c>
    </x:row>
    <x:row r="1231" ht="30" customHeight="1">
      <x:c r="A1231" s="55" t="str">
        <x:v>炎龍雙舞棍</x:v>
      </x:c>
      <x:c r="B1231" s="55" t="str">
        <x:v>—</x:v>
      </x:c>
      <x:c r="C1231" s="55" t="str">
        <x:v>—</x:v>
      </x:c>
      <x:c r="D1231" s="55" t="str">
        <x:v>—</x:v>
      </x:c>
      <x:c r="E1231" s="55" t="inlineStr">
        <x:is>
          <x:t>帝國神兵寶箱（網站未列地圖）；深宮幻蝶（天啟八關）；挪宇大風神（闕真金閣）；嘯風天尊（網站未列地圖）；巡天舞將（凌風修境、繚空碎島）</x:t>
        </x:is>
      </x:c>
    </x:row>
    <x:row r="1232" ht="15" customHeight="1">
      <x:c r="A1232" s="55" t="str">
        <x:v>太古炎龍雙舞棍</x:v>
      </x:c>
      <x:c r="B1232" s="55" t="str">
        <x:v>—</x:v>
      </x:c>
      <x:c r="C1232" s="55" t="str">
        <x:v>—</x:v>
      </x:c>
      <x:c r="D1232" s="55" t="str">
        <x:v>—</x:v>
      </x:c>
      <x:c r="E1232" s="55" t="inlineStr">
        <x:is>
          <x:t>帝國太古神兵聖箱（網站未列地圖）；深紅史嘉列（凱旋廣場）；蒼白達苟士（凱旋廣場）</x:t>
        </x:is>
      </x:c>
    </x:row>
    <x:row r="1233" ht="15" customHeight="1">
      <x:c r="A1233" s="55" t="str">
        <x:v>無雙炎龍棍</x:v>
      </x:c>
      <x:c r="B1233" s="55" t="str">
        <x:v>—</x:v>
      </x:c>
      <x:c r="C1233" s="55" t="str">
        <x:v>—</x:v>
      </x:c>
      <x:c r="D1233" s="55" t="str">
        <x:v>—</x:v>
      </x:c>
      <x:c r="E1233" s="55" t="inlineStr">
        <x:is>
          <x:t>帝國無雙錦囊（網站未列地圖）</x:t>
        </x:is>
      </x:c>
    </x:row>
    <x:row r="1234" ht="15" customHeight="1">
      <x:c r="A1234" s="55" t="str">
        <x:v>龍喉吼天棍</x:v>
      </x:c>
      <x:c r="B1234" s="55" t="str">
        <x:v>—</x:v>
      </x:c>
      <x:c r="C1234" s="55" t="str">
        <x:v>—</x:v>
      </x:c>
      <x:c r="D1234" s="55" t="str">
        <x:v>—</x:v>
      </x:c>
      <x:c r="E1234" s="55" t="inlineStr">
        <x:is>
          <x:t>歐帝神兵寶箱（網站未列地圖）；八天右風王（紫雷轟原）；暴風尊者（飛雲忘野、橫劍天關、仙庭玉階）</x:t>
        </x:is>
      </x:c>
    </x:row>
    <x:row r="1235" ht="15" customHeight="1">
      <x:c r="A1235" s="55" t="str">
        <x:v>太古龍喉吼天棍</x:v>
      </x:c>
      <x:c r="B1235" s="55" t="str">
        <x:v>—</x:v>
      </x:c>
      <x:c r="C1235" s="55" t="str">
        <x:v>—</x:v>
      </x:c>
      <x:c r="D1235" s="55" t="str">
        <x:v>—</x:v>
      </x:c>
      <x:c r="E1235" s="55" t="inlineStr">
        <x:is>
          <x:t>帝國太古神兵聖箱（網站未列地圖）；武神（網站未列地圖）；錦袍仙丞（九霄天樓）</x:t>
        </x:is>
      </x:c>
    </x:row>
    <x:row r="1236" ht="15" customHeight="1">
      <x:c r="A1236" s="55" t="str">
        <x:v>正法聖衛執棍</x:v>
      </x:c>
      <x:c r="B1236" s="55" t="str">
        <x:v>—</x:v>
      </x:c>
      <x:c r="C1236" s="55" t="str">
        <x:v>—</x:v>
      </x:c>
      <x:c r="D1236" s="55" t="str">
        <x:v>—</x:v>
      </x:c>
      <x:c r="E1236" s="55" t="inlineStr">
        <x:is>
          <x:t>雄武聖兵寶樞（網站未列地圖）</x:t>
        </x:is>
      </x:c>
    </x:row>
    <x:row r="1237" ht="15" customHeight="1">
      <x:c r="A1237" s="55" t="str">
        <x:v>伏妖聖衛執棍</x:v>
      </x:c>
      <x:c r="B1237" s="55" t="str">
        <x:v>—</x:v>
      </x:c>
      <x:c r="C1237" s="55" t="str">
        <x:v>—</x:v>
      </x:c>
      <x:c r="D1237" s="55" t="str">
        <x:v>—</x:v>
      </x:c>
      <x:c r="E1237" s="55" t="inlineStr">
        <x:is>
          <x:t>雄武聖兵寶樞（網站未列地圖）</x:t>
        </x:is>
      </x:c>
    </x:row>
    <x:row r="1238" ht="15" customHeight="1">
      <x:c r="A1238" s="55" t="str">
        <x:v>淨穢聖衛執棍</x:v>
      </x:c>
      <x:c r="B1238" s="55" t="str">
        <x:v>—</x:v>
      </x:c>
      <x:c r="C1238" s="55" t="str">
        <x:v>—</x:v>
      </x:c>
      <x:c r="D1238" s="55" t="str">
        <x:v>—</x:v>
      </x:c>
      <x:c r="E1238" s="55" t="inlineStr">
        <x:is>
          <x:t>雄武聖兵寶樞（網站未列地圖）</x:t>
        </x:is>
      </x:c>
    </x:row>
    <x:row r="1239" ht="15" customHeight="1">
      <x:c r="A1239" s="55" t="str">
        <x:v>落鳳聖衛執棍</x:v>
      </x:c>
      <x:c r="B1239" s="55" t="str">
        <x:v>—</x:v>
      </x:c>
      <x:c r="C1239" s="55" t="str">
        <x:v>—</x:v>
      </x:c>
      <x:c r="D1239" s="55" t="str">
        <x:v>—</x:v>
      </x:c>
      <x:c r="E1239" s="55" t="inlineStr">
        <x:is>
          <x:t>雄武聖兵寶樞（網站未列地圖）</x:t>
        </x:is>
      </x:c>
    </x:row>
    <x:row r="1240" ht="30" customHeight="1">
      <x:c r="A1240" s="55" t="str">
        <x:v>華蝶翠棍</x:v>
      </x:c>
      <x:c r="B1240" s="55" t="str">
        <x:v>—</x:v>
      </x:c>
      <x:c r="C1240" s="55" t="str">
        <x:v>—</x:v>
      </x:c>
      <x:c r="D1240" s="55" t="str">
        <x:v>—</x:v>
      </x:c>
      <x:c r="E1240" s="55" t="inlineStr">
        <x:is>
          <x:t>九天神兵寶箱（網站未列地圖）；破日鬥龍（青龍東殿）；疲憊的夸父戰士（異時界‧亂藤林東）；挪宇大風神（闕真金閣）；嘯風天尊（網站未列地圖）；滄浪隱劍（天啟八關）</x:t>
        </x:is>
      </x:c>
    </x:row>
    <x:row r="1241" ht="30" customHeight="1">
      <x:c r="A1241" s="55" t="str">
        <x:v>太古華蝶翠棍</x:v>
      </x:c>
      <x:c r="B1241" s="55" t="str">
        <x:v>—</x:v>
      </x:c>
      <x:c r="C1241" s="55" t="str">
        <x:v>—</x:v>
      </x:c>
      <x:c r="D1241" s="55" t="str">
        <x:v>—</x:v>
      </x:c>
      <x:c r="E1241" s="55" t="inlineStr">
        <x:is>
          <x:t>九天太古神兵聖箱（網站未列地圖）；犯戒僧極樂（飛雲忘野）；文誅筆妄言（飛雲忘野）；仙典九天寶箱（網站未列地圖）；&lt;錦袍仙丞&gt;（修羅級九霄天樓）</x:t>
        </x:is>
      </x:c>
    </x:row>
    <x:row r="1242" ht="15" customHeight="1">
      <x:c r="A1242" s="55" t="str">
        <x:v>影蝶逸蹤棍</x:v>
      </x:c>
      <x:c r="B1242" s="55" t="str">
        <x:v>—</x:v>
      </x:c>
      <x:c r="C1242" s="55" t="str">
        <x:v>—</x:v>
      </x:c>
      <x:c r="D1242" s="55" t="str">
        <x:v>—</x:v>
      </x:c>
      <x:c r="E1242" s="55" t="inlineStr">
        <x:is>
          <x:t>仙庭神兵寶箱（網站未列地圖）；雀翼燼火（朱雀南殿）；八天左雷王（紫雷轟原）</x:t>
        </x:is>
      </x:c>
    </x:row>
    <x:row r="1243" ht="15" customHeight="1">
      <x:c r="A1243" s="55" t="str">
        <x:v>太古影蝶逸蹤棍</x:v>
      </x:c>
      <x:c r="B1243" s="55" t="str">
        <x:v>—</x:v>
      </x:c>
      <x:c r="C1243" s="55" t="str">
        <x:v>—</x:v>
      </x:c>
      <x:c r="D1243" s="55" t="str">
        <x:v>—</x:v>
      </x:c>
      <x:c r="E1243" s="55" t="inlineStr">
        <x:is>
          <x:t>九天太古神兵聖箱（網站未列地圖）；仙典真九天寶箱（網站未列地圖）</x:t>
        </x:is>
      </x:c>
    </x:row>
    <x:row r="1244" ht="15" customHeight="1">
      <x:c r="A1244" s="55" t="str">
        <x:v>羯磨壇城棍</x:v>
      </x:c>
      <x:c r="B1244" s="55" t="str">
        <x:v>—</x:v>
      </x:c>
      <x:c r="C1244" s="55" t="str">
        <x:v>—</x:v>
      </x:c>
      <x:c r="D1244" s="55" t="str">
        <x:v>—</x:v>
      </x:c>
      <x:c r="E1244" s="55" t="inlineStr">
        <x:is>
          <x:t>浩陽神兵寶匣（網站未列地圖）</x:t>
        </x:is>
      </x:c>
    </x:row>
    <x:row r="1245" ht="15" customHeight="1">
      <x:c r="A1245" s="55" t="str">
        <x:v>雙界輪圓棍</x:v>
      </x:c>
      <x:c r="B1245" s="55" t="str">
        <x:v>—</x:v>
      </x:c>
      <x:c r="C1245" s="55" t="str">
        <x:v>—</x:v>
      </x:c>
      <x:c r="D1245" s="55" t="str">
        <x:v>—</x:v>
      </x:c>
      <x:c r="E1245" s="55" t="inlineStr">
        <x:is>
          <x:t>浩陽神兵寶匣（網站未列地圖）</x:t>
        </x:is>
      </x:c>
    </x:row>
    <x:row r="1246" ht="60" customHeight="1">
      <x:c r="A1246" s="55" t="str">
        <x:v>天鍛‧織霧棍</x:v>
      </x:c>
      <x:c r="B1246" s="55" t="str">
        <x:v>—</x:v>
      </x:c>
      <x:c r="C1246" s="55" t="str">
        <x:v>—</x:v>
      </x:c>
      <x:c r="D1246" s="55" t="str">
        <x:v>—</x:v>
      </x:c>
      <x:c r="E1246" s="55" t="inlineStr">
        <x:is>
          <x:t>無限神兵寶箱（網站未列地圖）；憾山拳熊（玄武北殿）；幻業道魔（無限鬥界）；幻業僧魔（無限鬥界）；&lt;幻業道魔&gt;（修羅級無限鬥界）；&lt;幻業僧魔&gt;（修羅級無限鬥界）；猛蜈蚣（異時界‧亂藤林）；牽亡妖將（異時界‧亂藤林西）；真劍修者（四聖祭台）；新等制255劍俠（網站未列地圖）；新等制280劍俠（網站未列地圖）；小夜叉士兵（異時界‧亂藤林、異時界‧亂藤林西）；疲憊的夜叉士兵（異時界‧亂藤林東）</x:t>
        </x:is>
      </x:c>
    </x:row>
    <x:row r="1247" ht="75" customHeight="1">
      <x:c r="A1247" s="55" t="str">
        <x:v>仙鑄‧織霧棍</x:v>
      </x:c>
      <x:c r="B1247" s="55" t="str">
        <x:v>—</x:v>
      </x:c>
      <x:c r="C1247" s="55" t="str">
        <x:v>—</x:v>
      </x:c>
      <x:c r="D1247" s="55" t="str">
        <x:v>—</x:v>
      </x:c>
      <x:c r="E1247" s="55" t="inlineStr">
        <x:is>
          <x:t>大無限神兵寶箱（網站未列地圖）；侯氏兵甲福袋2015（網站未列地圖）；鷹族精兵（異時界‧摘星嶺）；冰壁蠍（異時界‧摘星嶺）；璽毒蠍（異時界‧摘星嶺）；濕婆軍強弓手（異時界‧葬日沼澤）；夷林巨象（異時界‧葬日沼澤）；破斬象妖（異時界‧葬日沼澤）；亡邪鷹族喪兵（異時界‧葬日沼北）；亡邪百眼死巫（異時界‧葬日沼北）；食尸巨鱷（異時界‧葬日沼北）；夜叉鬼斧者（異時界‧毒龍潭）；百眼巫妖（異時界‧毒龍潭）；百眼巫妖（異時界‧修羅窟）；冰封蜘蛛精（異時界‧夜叉嶺）</x:t>
        </x:is>
      </x:c>
    </x:row>
    <x:row r="1248" ht="15" customHeight="1">
      <x:c r="A1248" s="55" t="str">
        <x:v>神煉‧織霧棍</x:v>
      </x:c>
      <x:c r="B1248" s="55" t="str">
        <x:v>—</x:v>
      </x:c>
      <x:c r="C1248" s="55" t="str">
        <x:v>—</x:v>
      </x:c>
      <x:c r="D1248" s="55" t="str">
        <x:v>—</x:v>
      </x:c>
      <x:c r="E1248" s="55" t="inlineStr">
        <x:is>
          <x:t>超無限神兵寶箱（網站未列地圖）；三之極限福袋（網站未列地圖）；空靈虛狐（時沒邊界）；獵鷹‧強（殘雲天境）</x:t>
        </x:is>
      </x:c>
    </x:row>
    <x:row r="1249" ht="30" customHeight="1">
      <x:c r="A1249" s="55" t="str">
        <x:v>宇傲‧織霧棍</x:v>
      </x:c>
      <x:c r="B1249" s="55" t="str">
        <x:v>—</x:v>
      </x:c>
      <x:c r="C1249" s="55" t="str">
        <x:v>—</x:v>
      </x:c>
      <x:c r="D1249" s="55" t="str">
        <x:v>—</x:v>
      </x:c>
      <x:c r="E1249" s="55" t="inlineStr">
        <x:is>
          <x:t>極無限神兵寶箱（網站未列地圖）；侯氏兵甲福袋2016（網站未列地圖）；蕩水虛魂（音無晶宇）；虛遊之魂（觀無巽宇）；釧刀鼬（覺無洋宇）；非議罪棺（觀無巽宇）；陌形隱道（時沒邊界）</x:t>
        </x:is>
      </x:c>
    </x:row>
    <x:row r="1250" ht="30" customHeight="1">
      <x:c r="A1250" s="55" t="str">
        <x:v>峻霆‧織霧棍</x:v>
      </x:c>
      <x:c r="B1250" s="55" t="str">
        <x:v>—</x:v>
      </x:c>
      <x:c r="C1250" s="55" t="str">
        <x:v>—</x:v>
      </x:c>
      <x:c r="D1250" s="55" t="str">
        <x:v>—</x:v>
      </x:c>
      <x:c r="E1250" s="55" t="inlineStr">
        <x:is>
          <x:t>絕無限神兵寶箱（網站未列地圖）；碎岩大獸（音無晶宇）；穿虛異蟲（星群碎道）；黑死冥蝶（星群碎道）；分宙兇土（不解迴路）；變態蟲人（不解迴路）；虛熒（虛空渦心）；暗風追翼（星群碎道）</x:t>
        </x:is>
      </x:c>
    </x:row>
    <x:row r="1251" ht="15" customHeight="1">
      <x:c r="A1251" s="55" t="str">
        <x:v>窮極‧織霧棍</x:v>
      </x:c>
      <x:c r="B1251" s="55" t="str">
        <x:v>—</x:v>
      </x:c>
      <x:c r="C1251" s="55" t="str">
        <x:v>—</x:v>
      </x:c>
      <x:c r="D1251" s="55" t="str">
        <x:v>—</x:v>
      </x:c>
      <x:c r="E1251" s="55" t="inlineStr">
        <x:is>
          <x:t>無無限神兵寶箱（網站未列地圖）；冥虛判官（虛空渦心）</x:t>
        </x:is>
      </x:c>
    </x:row>
    <x:row r="1252" ht="30" customHeight="1">
      <x:c r="A1252" s="55" t="str">
        <x:v>元宙‧織霧棍</x:v>
      </x:c>
      <x:c r="B1252" s="55" t="str">
        <x:v>—</x:v>
      </x:c>
      <x:c r="C1252" s="55" t="str">
        <x:v>—</x:v>
      </x:c>
      <x:c r="D1252" s="55" t="str">
        <x:v>—</x:v>
      </x:c>
      <x:c r="E1252" s="55" t="inlineStr">
        <x:is>
          <x:t>帝無限神兵寶箱（網站未列地圖）；完銷紀念寶箱（網站未列地圖）；魔空邪祀（終末之塔第23層、終末之塔第24層）；爬脊獸（終末之塔第14層）；防攻鐵獅（終末之塔第17層）</x:t>
        </x:is>
      </x:c>
    </x:row>
    <x:row r="1253" ht="30" customHeight="1">
      <x:c r="A1253" s="55" t="str">
        <x:v>真宇傲織霧棍</x:v>
      </x:c>
      <x:c r="B1253" s="55" t="str">
        <x:v>—</x:v>
      </x:c>
      <x:c r="C1253" s="55" t="str">
        <x:v>—</x:v>
      </x:c>
      <x:c r="D1253" s="55" t="str">
        <x:v>—</x:v>
      </x:c>
      <x:c r="E1253" s="55" t="inlineStr">
        <x:is>
          <x:t>終無限神兵寶箱（網站未列地圖）；枯血鬼爪（終末之塔第39層）；惡浪狂獵（終末之塔第50層）；枯血鬼爪（終末之塔第38層）；採石奴（吉薩走廊）</x:t>
        </x:is>
      </x:c>
    </x:row>
    <x:row r="1254" ht="45" customHeight="1">
      <x:c r="A1254" s="55" t="str">
        <x:v>太微棍★</x:v>
      </x:c>
      <x:c r="B1254" s="55" t="str">
        <x:v>—</x:v>
      </x:c>
      <x:c r="C1254" s="55" t="str">
        <x:v>—</x:v>
      </x:c>
      <x:c r="D1254" s="55" t="str">
        <x:v>—</x:v>
      </x:c>
      <x:c r="E1254" s="55" t="inlineStr">
        <x:is>
          <x:t>仙星神兵寶箱（網站未列地圖）；天罪道人錦囊（網站未列地圖）；虛無十字軍（終末之塔第51層、終末之塔第52層）；畫蛇似蛟（終末之塔第49層、終末之塔第50層）；沙漠矮靈（太陽神大道）；穿雲鐵鷹（太陽神大道）；衛城鬃獅（王都盧索）；鎮祠蒼翼（托勒密山麓）</x:t>
        </x:is>
      </x:c>
    </x:row>
    <x:row r="1255" ht="30" customHeight="1">
      <x:c r="A1255" s="55" t="str">
        <x:v>太微棍★★</x:v>
      </x:c>
      <x:c r="B1255" s="55" t="str">
        <x:v>—</x:v>
      </x:c>
      <x:c r="C1255" s="55" t="str">
        <x:v>—</x:v>
      </x:c>
      <x:c r="D1255" s="55" t="str">
        <x:v>—</x:v>
      </x:c>
      <x:c r="E1255" s="55" t="inlineStr">
        <x:is>
          <x:t>真‧仙星神兵寶箱（網站未列地圖）；罪赦道人錦囊（網站未列地圖）；咒殺修陀（終末之塔第63層、終末之塔第62層）；鎮碑儀主（赫勒神殿遺址）；奈赫貝特（荷魯斯聖祠）</x:t>
        </x:is>
      </x:c>
    </x:row>
    <x:row r="1256" ht="30" customHeight="1">
      <x:c r="A1256" s="55" t="str">
        <x:v>太微棍★★★</x:v>
      </x:c>
      <x:c r="B1256" s="55" t="str">
        <x:v>—</x:v>
      </x:c>
      <x:c r="C1256" s="55" t="str">
        <x:v>—</x:v>
      </x:c>
      <x:c r="D1256" s="55" t="str">
        <x:v>—</x:v>
      </x:c>
      <x:c r="E1256" s="55" t="inlineStr">
        <x:is>
          <x:t>超‧仙星神兵寶箱（網站未列地圖）；終罪道人錦囊（網站未列地圖）；瘡痍行者（終末之塔第89層）；一杖虛導（終末之塔第79層）</x:t>
        </x:is>
      </x:c>
    </x:row>
    <x:row r="1257" ht="30" customHeight="1">
      <x:c r="A1257" s="55" t="str">
        <x:v>市樓棍☆</x:v>
      </x:c>
      <x:c r="B1257" s="55" t="str">
        <x:v>—</x:v>
      </x:c>
      <x:c r="C1257" s="55" t="str">
        <x:v>—</x:v>
      </x:c>
      <x:c r="D1257" s="55" t="str">
        <x:v>—</x:v>
      </x:c>
      <x:c r="E1257" s="55" t="inlineStr">
        <x:is>
          <x:t>煌星神兵寶箱（網站未列地圖）；天罪道人錦囊（網站未列地圖）；兆嗔惡靈（終末之塔第108層、終末之塔第109層、終末之塔第104層）</x:t>
        </x:is>
      </x:c>
    </x:row>
    <x:row r="1258" ht="30" customHeight="1">
      <x:c r="A1258" s="55" t="str">
        <x:v>市樓棍☆☆</x:v>
      </x:c>
      <x:c r="B1258" s="55" t="str">
        <x:v>—</x:v>
      </x:c>
      <x:c r="C1258" s="55" t="str">
        <x:v>—</x:v>
      </x:c>
      <x:c r="D1258" s="55" t="str">
        <x:v>—</x:v>
      </x:c>
      <x:c r="E1258" s="55" t="inlineStr">
        <x:is>
          <x:t>真‧煌星神兵寶箱（網站未列地圖）；劫掠布盜（終末之塔第121層、終末之塔第125層、終末之塔第128層）；紫啼童魚（終末之塔第132層、終末之塔第131層）</x:t>
        </x:is>
      </x:c>
    </x:row>
    <x:row r="1259" ht="15" customHeight="1">
      <x:c r="A1259" s="55" t="str">
        <x:v>市樓棍☆☆☆</x:v>
      </x:c>
      <x:c r="B1259" s="55" t="str">
        <x:v>—</x:v>
      </x:c>
      <x:c r="C1259" s="55" t="str">
        <x:v>—</x:v>
      </x:c>
      <x:c r="D1259" s="55" t="str">
        <x:v>—</x:v>
      </x:c>
      <x:c r="E1259" s="55" t="inlineStr">
        <x:is>
          <x:t>超‧煌星神兵寶箱（網站未列地圖）；吸魄蛛精（終末之塔第143層、終末之塔第146層）</x:t>
        </x:is>
      </x:c>
    </x:row>
    <x:row r="1260" ht="15" customHeight="1">
      <x:c r="A1260" s="55" t="str">
        <x:v>傾城棍☆</x:v>
      </x:c>
      <x:c r="B1260" s="55" t="str">
        <x:v>—</x:v>
      </x:c>
      <x:c r="C1260" s="55" t="str">
        <x:v>—</x:v>
      </x:c>
      <x:c r="D1260" s="55" t="str">
        <x:v>—</x:v>
      </x:c>
      <x:c r="E1260" s="55" t="inlineStr">
        <x:is>
          <x:t>帝星神兵寶箱（網站未列地圖）；蔚奇園鼠（東宮碧庭）</x:t>
        </x:is>
      </x:c>
    </x:row>
    <x:row r="1261" ht="30" customHeight="1">
      <x:c r="A1261" s="55" t="str">
        <x:v>傾城棍★</x:v>
      </x:c>
      <x:c r="B1261" s="55" t="str">
        <x:v>—</x:v>
      </x:c>
      <x:c r="C1261" s="55" t="str">
        <x:v>—</x:v>
      </x:c>
      <x:c r="D1261" s="55" t="str">
        <x:v>—</x:v>
      </x:c>
      <x:c r="E1261" s="55" t="inlineStr">
        <x:is>
          <x:t>真‧帝星神兵寶箱（網站未列地圖）；武冠術者錦囊（網站未列地圖）；武冠道人錦囊（網站未列地圖）；武冠僧侶錦囊（網站未列地圖）</x:t>
        </x:is>
      </x:c>
    </x:row>
    <x:row r="1262" ht="15" customHeight="1">
      <x:c r="A1262" s="55" t="str">
        <x:v>傾城棍★☆</x:v>
      </x:c>
      <x:c r="B1262" s="55" t="str">
        <x:v>—</x:v>
      </x:c>
      <x:c r="C1262" s="55" t="str">
        <x:v>—</x:v>
      </x:c>
      <x:c r="D1262" s="55" t="str">
        <x:v>—</x:v>
      </x:c>
      <x:c r="E1262" s="55" t="inlineStr">
        <x:is>
          <x:t>超‧帝星神兵寶箱（網站未列地圖）；斬神風鼬（太安道、東海道）</x:t>
        </x:is>
      </x:c>
    </x:row>
    <x:row r="1263" ht="15" customHeight="1">
      <x:c r="A1263" s="55" t="str">
        <x:v>傾城棍★★</x:v>
      </x:c>
      <x:c r="B1263" s="55" t="str">
        <x:v>—</x:v>
      </x:c>
      <x:c r="C1263" s="55" t="str">
        <x:v>—</x:v>
      </x:c>
      <x:c r="D1263" s="55" t="str">
        <x:v>—</x:v>
      </x:c>
      <x:c r="E1263" s="55" t="inlineStr">
        <x:is>
          <x:t>極‧帝星神兵寶箱（網站未列地圖）；薙首夜叉（濟馬島）</x:t>
        </x:is>
      </x:c>
    </x:row>
    <x:row r="1264" ht="30" customHeight="1">
      <x:c r="A1264" s="55" t="str">
        <x:v>傾城棍★★☆</x:v>
      </x:c>
      <x:c r="B1264" s="55" t="str">
        <x:v>—</x:v>
      </x:c>
      <x:c r="C1264" s="55" t="str">
        <x:v>—</x:v>
      </x:c>
      <x:c r="D1264" s="55" t="str">
        <x:v>—</x:v>
      </x:c>
      <x:c r="E1264" s="55" t="inlineStr">
        <x:is>
          <x:t>絕‧帝星神兵寶箱（網站未列地圖）；天元術者錦囊（網站未列地圖）；天元道人錦囊（網站未列地圖）；天元僧侶錦囊（網站未列地圖）；鎧蜘蛛（燕蕩嶺）；寄生上嬪（漢京首府）</x:t>
        </x:is>
      </x:c>
    </x:row>
    <x:row r="1265" ht="15" customHeight="1">
      <x:c r="A1265" s="55" t="str">
        <x:v>傾城棍★★★</x:v>
      </x:c>
      <x:c r="B1265" s="55" t="str">
        <x:v>—</x:v>
      </x:c>
      <x:c r="C1265" s="55" t="str">
        <x:v>—</x:v>
      </x:c>
      <x:c r="D1265" s="55" t="str">
        <x:v>—</x:v>
      </x:c>
      <x:c r="E1265" s="55" t="inlineStr">
        <x:is>
          <x:t>神‧帝星神兵寶箱（網站未列地圖）；泅水青龍（始祖巨林．東）</x:t>
        </x:is>
      </x:c>
    </x:row>
    <x:row r="1266" ht="15" customHeight="1">
      <x:c r="A1266" s="55" t="str">
        <x:v>四諦歸真棍</x:v>
      </x:c>
      <x:c r="B1266" s="55" t="str">
        <x:v>—</x:v>
      </x:c>
      <x:c r="C1266" s="55" t="str">
        <x:v>—</x:v>
      </x:c>
      <x:c r="D1266" s="55" t="str">
        <x:v>—</x:v>
      </x:c>
      <x:c r="E1266" s="55" t="inlineStr">
        <x:is>
          <x:t>尊佛極兵聖匣（網站未列地圖）；神武之岩（網站未列地圖）</x:t>
        </x:is>
      </x:c>
    </x:row>
    <x:row r="1267" ht="30" customHeight="1">
      <x:c r="A1267" s="55" t="str">
        <x:v>地獄禁絕棍</x:v>
      </x:c>
      <x:c r="B1267" s="55" t="str">
        <x:v>—</x:v>
      </x:c>
      <x:c r="C1267" s="55" t="str">
        <x:v>—</x:v>
      </x:c>
      <x:c r="D1267" s="55" t="str">
        <x:v>—</x:v>
      </x:c>
      <x:c r="E1267" s="55" t="inlineStr">
        <x:is>
          <x:t>開元極兵聖匣（網站未列地圖）；真‧傾天絕邪（網站未列地圖）；神武之岩（網站未列地圖）；超凡尚寶寶箱（網站未列地圖）</x:t>
        </x:is>
      </x:c>
    </x:row>
    <x:row r="1268" ht="15" customHeight="1">
      <x:c r="A1268" s="55" t="str">
        <x:v>燦光極星棍</x:v>
      </x:c>
      <x:c r="B1268" s="55" t="str">
        <x:v>—</x:v>
      </x:c>
      <x:c r="C1268" s="55" t="str">
        <x:v>—</x:v>
      </x:c>
      <x:c r="D1268" s="55" t="str">
        <x:v>—</x:v>
      </x:c>
      <x:c r="E1268" s="55" t="inlineStr">
        <x:is>
          <x:t>仙魔極兵聖箱（網站未列地圖）；新‧神武之岩（網站未列地圖）；神武之岩（網站未列地圖）</x:t>
        </x:is>
      </x:c>
    </x:row>
    <x:row r="1269" ht="15" customHeight="1">
      <x:c r="A1269" s="55" t="str">
        <x:v>金秤規天棍</x:v>
      </x:c>
      <x:c r="B1269" s="55" t="str">
        <x:v>—</x:v>
      </x:c>
      <x:c r="C1269" s="55" t="str">
        <x:v>—</x:v>
      </x:c>
      <x:c r="D1269" s="55" t="str">
        <x:v>—</x:v>
      </x:c>
      <x:c r="E1269" s="55" t="inlineStr">
        <x:is>
          <x:t>盡宇絕兵聖箱（網站未列地圖）；新‧神武之岩（網站未列地圖）；年大媽（網站未列地圖）</x:t>
        </x:is>
      </x:c>
    </x:row>
    <x:row r="1270" ht="15" customHeight="1">
      <x:c r="A1270" s="55" t="str">
        <x:v>阿波羅煌棍</x:v>
      </x:c>
      <x:c r="B1270" s="55" t="str">
        <x:v>—</x:v>
      </x:c>
      <x:c r="C1270" s="55" t="str">
        <x:v>—</x:v>
      </x:c>
      <x:c r="D1270" s="55" t="str">
        <x:v>—</x:v>
      </x:c>
      <x:c r="E1270" s="55" t="inlineStr">
        <x:is>
          <x:t>奧林帕斯神兵聖櫃（網站未列地圖）</x:t>
        </x:is>
      </x:c>
    </x:row>
    <x:row r="1271" ht="15" customHeight="1">
      <x:c r="A1271" s="55" t="str">
        <x:v>阿波羅煌棍</x:v>
      </x:c>
      <x:c r="B1271" s="55" t="str">
        <x:v>—</x:v>
      </x:c>
      <x:c r="C1271" s="55" t="str">
        <x:v>—</x:v>
      </x:c>
      <x:c r="D1271" s="55" t="str">
        <x:v>—</x:v>
      </x:c>
      <x:c r="E1271" s="55" t="inlineStr">
        <x:is>
          <x:t>奧林帕斯神兵聖櫃（網站未列地圖）</x:t>
        </x:is>
      </x:c>
    </x:row>
    <x:row r="1272" ht="15" customHeight="1">
      <x:c r="A1272" s="55" t="str">
        <x:v>四海蓬萊棍</x:v>
      </x:c>
      <x:c r="B1272" s="55" t="str">
        <x:v>—</x:v>
      </x:c>
      <x:c r="C1272" s="55" t="str">
        <x:v>—</x:v>
      </x:c>
      <x:c r="D1272" s="55" t="str">
        <x:v>—</x:v>
      </x:c>
      <x:c r="E1272" s="55" t="inlineStr">
        <x:is>
          <x:t>仙儀丹曦帝武玉匣（網站未列地圖）</x:t>
        </x:is>
      </x:c>
    </x:row>
    <x:row r="1273" ht="15" customHeight="1">
      <x:c r="A1273" s="55" t="str">
        <x:v>四海蓬萊棍</x:v>
      </x:c>
      <x:c r="B1273" s="55" t="str">
        <x:v>—</x:v>
      </x:c>
      <x:c r="C1273" s="55" t="str">
        <x:v>—</x:v>
      </x:c>
      <x:c r="D1273" s="55" t="str">
        <x:v>—</x:v>
      </x:c>
      <x:c r="E1273" s="55" t="inlineStr">
        <x:is>
          <x:t>仙儀丹曦帝武玉匣（網站未列地圖）</x:t>
        </x:is>
      </x:c>
    </x:row>
    <x:row r="1274" ht="15" customHeight="1">
      <x:c r="A1274" s="55" t="str">
        <x:v>武曲開陽棍</x:v>
      </x:c>
      <x:c r="B1274" s="55" t="str">
        <x:v>—</x:v>
      </x:c>
      <x:c r="C1274" s="55" t="str">
        <x:v>—</x:v>
      </x:c>
      <x:c r="D1274" s="55" t="str">
        <x:v>—</x:v>
      </x:c>
      <x:c r="E1274" s="55" t="inlineStr">
        <x:is>
          <x:t>天尊帝宿超武神匣（網站未列地圖）</x:t>
        </x:is>
      </x:c>
    </x:row>
    <x:row r="1275" ht="15" customHeight="1">
      <x:c r="A1275" s="55" t="str">
        <x:v>神猿宮疾星棍</x:v>
      </x:c>
      <x:c r="B1275" s="55" t="str">
        <x:v>—</x:v>
      </x:c>
      <x:c r="C1275" s="55" t="str">
        <x:v>—</x:v>
      </x:c>
      <x:c r="D1275" s="55" t="str">
        <x:v>—</x:v>
      </x:c>
      <x:c r="E1275" s="55" t="inlineStr">
        <x:is>
          <x:t>鎮天聖守星武神匣（網站未列地圖）</x:t>
        </x:is>
      </x:c>
    </x:row>
    <x:row r="1276" ht="15" customHeight="1">
      <x:c r="A1276" s="55" t="str">
        <x:v>五藏奇山棍</x:v>
      </x:c>
      <x:c r="B1276" s="55" t="str">
        <x:v>—</x:v>
      </x:c>
      <x:c r="C1276" s="55" t="str">
        <x:v>—</x:v>
      </x:c>
      <x:c r="D1276" s="55" t="str">
        <x:v>—</x:v>
      </x:c>
      <x:c r="E1276" s="55" t="inlineStr">
        <x:is>
          <x:t>永恆山海唯武神匣（網站未列地圖）</x:t>
        </x:is>
      </x:c>
    </x:row>
    <x:row r="1277" ht="15" customHeight="1">
      <x:c r="A1277" s="55" t="str">
        <x:v>魔驚棍‧拜邪</x:v>
      </x:c>
      <x:c r="B1277" s="55" t="str">
        <x:v>—</x:v>
      </x:c>
      <x:c r="C1277" s="55" t="str">
        <x:v>—</x:v>
      </x:c>
      <x:c r="D1277" s="55" t="str">
        <x:v>—</x:v>
      </x:c>
      <x:c r="E1277" s="55" t="inlineStr">
        <x:is>
          <x:t>創宇諸恆極兵神匣（網站未列地圖）；秋頌佳茗禮包（網站未列地圖）；旺來福寶箱（網站未列地圖）</x:t>
        </x:is>
      </x:c>
    </x:row>
    <x:row r="1278" ht="15" customHeight="1">
      <x:c r="A1278" s="55" t="str">
        <x:v>歿棍‧納吉法</x:v>
      </x:c>
      <x:c r="B1278" s="55" t="str">
        <x:v>—</x:v>
      </x:c>
      <x:c r="C1278" s="55" t="str">
        <x:v>—</x:v>
      </x:c>
      <x:c r="D1278" s="55" t="str">
        <x:v>—</x:v>
      </x:c>
      <x:c r="E1278" s="55" t="inlineStr">
        <x:is>
          <x:t>阿薩群鋒巨武神匣（網站未列地圖）；大秘境寶箱（網站未列地圖）</x:t>
        </x:is>
      </x:c>
    </x:row>
    <x:row r="1279" ht="15" customHeight="1">
      <x:c r="A1279" s="55" t="str">
        <x:v>歿棍‧納吉法</x:v>
      </x:c>
      <x:c r="B1279" s="55" t="str">
        <x:v>—</x:v>
      </x:c>
      <x:c r="C1279" s="55" t="str">
        <x:v>—</x:v>
      </x:c>
      <x:c r="D1279" s="55" t="str">
        <x:v>—</x:v>
      </x:c>
      <x:c r="E1279" s="55" t="inlineStr">
        <x:is>
          <x:t>阿薩群鋒巨武神匣（網站未列地圖）</x:t>
        </x:is>
      </x:c>
    </x:row>
    <x:row r="1280" ht="15" customHeight="1">
      <x:c r="A1280" s="55" t="str">
        <x:v>獅棍泰‧芙努</x:v>
      </x:c>
      <x:c r="B1280" s="55" t="str">
        <x:v>—</x:v>
      </x:c>
      <x:c r="C1280" s="55" t="str">
        <x:v>—</x:v>
      </x:c>
      <x:c r="D1280" s="55" t="str">
        <x:v>—</x:v>
      </x:c>
      <x:c r="E1280" s="55" t="inlineStr">
        <x:is>
          <x:t>端午天師寶箱（網站未列地圖）</x:t>
        </x:is>
      </x:c>
    </x:row>
    <x:row r="1281" ht="15" customHeight="1">
      <x:c r="A1281" s="55" t="str">
        <x:v>獅棍泰‧芙努</x:v>
      </x:c>
      <x:c r="B1281" s="55" t="str">
        <x:v>—</x:v>
      </x:c>
      <x:c r="C1281" s="55" t="str">
        <x:v>—</x:v>
      </x:c>
      <x:c r="D1281" s="55" t="str">
        <x:v>—</x:v>
      </x:c>
      <x:c r="E1281" s="55" t="inlineStr">
        <x:is>
          <x:t>冥府皇統法老征匣（網站未列地圖）</x:t>
        </x:is>
      </x:c>
    </x:row>
    <x:row r="1282" ht="15" customHeight="1">
      <x:c r="A1282" s="55" t="str">
        <x:v>泰始宇弘棍</x:v>
      </x:c>
      <x:c r="B1282" s="55" t="str">
        <x:v>—</x:v>
      </x:c>
      <x:c r="C1282" s="55" t="str">
        <x:v>—</x:v>
      </x:c>
      <x:c r="D1282" s="55" t="str">
        <x:v>—</x:v>
      </x:c>
      <x:c r="E1282" s="55" t="inlineStr">
        <x:is>
          <x:t>萬帝天尊極武神匣（網站未列地圖）；極‧大秘境寶箱（網站未列地圖）</x:t>
        </x:is>
      </x:c>
    </x:row>
    <x:row r="1283" ht="15" customHeight="1">
      <x:c r="A1283" s="55" t="str">
        <x:v>泰始宇弘棍</x:v>
      </x:c>
      <x:c r="B1283" s="55" t="str">
        <x:v>—</x:v>
      </x:c>
      <x:c r="C1283" s="55" t="str">
        <x:v>—</x:v>
      </x:c>
      <x:c r="D1283" s="55" t="str">
        <x:v>—</x:v>
      </x:c>
      <x:c r="E1283" s="55" t="inlineStr">
        <x:is>
          <x:t>萬帝天尊極武神匣（網站未列地圖）</x:t>
        </x:is>
      </x:c>
    </x:row>
    <x:row r="1284" ht="15" customHeight="1">
      <x:c r="A1284" s="55" t="str">
        <x:v>龍飛御天棍</x:v>
      </x:c>
      <x:c r="B1284" s="55" t="str">
        <x:v>—</x:v>
      </x:c>
      <x:c r="C1284" s="55" t="str">
        <x:v>—</x:v>
      </x:c>
      <x:c r="D1284" s="55" t="str">
        <x:v>—</x:v>
      </x:c>
      <x:c r="E1284" s="55" t="inlineStr">
        <x:is>
          <x:t>東明開天釋達神匣（網站未列地圖）</x:t>
        </x:is>
      </x:c>
    </x:row>
    <x:row r="1285" ht="15" customHeight="1">
      <x:c r="A1285" s="55" t="str">
        <x:v>龍飛御天棍</x:v>
      </x:c>
      <x:c r="B1285" s="55" t="str">
        <x:v>—</x:v>
      </x:c>
      <x:c r="C1285" s="55" t="str">
        <x:v>—</x:v>
      </x:c>
      <x:c r="D1285" s="55" t="str">
        <x:v>—</x:v>
      </x:c>
      <x:c r="E1285" s="55" t="inlineStr">
        <x:is>
          <x:t>東明開天釋達神匣（網站未列地圖）</x:t>
        </x:is>
      </x:c>
    </x:row>
    <x:row r="1286" ht="15" customHeight="1">
      <x:c r="A1286" s="55" t="str">
        <x:v>六滅化神棍</x:v>
      </x:c>
      <x:c r="B1286" s="55" t="str">
        <x:v>—</x:v>
      </x:c>
      <x:c r="C1286" s="55" t="str">
        <x:v>—</x:v>
      </x:c>
      <x:c r="D1286" s="55" t="str">
        <x:v>—</x:v>
      </x:c>
      <x:c r="E1286" s="55" t="inlineStr">
        <x:is>
          <x:t>—</x:t>
        </x:is>
      </x:c>
    </x:row>
    <x:row r="1287" ht="15" customHeight="1">
      <x:c r="A1287" s="55" t="str">
        <x:v>真六滅化神棍</x:v>
      </x:c>
      <x:c r="B1287" s="55" t="str">
        <x:v>—</x:v>
      </x:c>
      <x:c r="C1287" s="55" t="str">
        <x:v>—</x:v>
      </x:c>
      <x:c r="D1287" s="55" t="str">
        <x:v>—</x:v>
      </x:c>
      <x:c r="E1287" s="55" t="inlineStr">
        <x:is>
          <x:t>—</x:t>
        </x:is>
      </x:c>
    </x:row>
    <x:row r="1288" ht="15" customHeight="1">
      <x:c r="A1288" s="55" t="str">
        <x:v>超六滅化神棍</x:v>
      </x:c>
      <x:c r="B1288" s="55" t="str">
        <x:v>—</x:v>
      </x:c>
      <x:c r="C1288" s="55" t="str">
        <x:v>—</x:v>
      </x:c>
      <x:c r="D1288" s="55" t="str">
        <x:v>—</x:v>
      </x:c>
      <x:c r="E1288" s="55" t="inlineStr">
        <x:is>
          <x:t>—</x:t>
        </x:is>
      </x:c>
    </x:row>
    <x:row r="1289" ht="15" customHeight="1">
      <x:c r="A1289" s="55" t="str">
        <x:v>絕六滅化神棍</x:v>
      </x:c>
      <x:c r="B1289" s="55" t="str">
        <x:v>—</x:v>
      </x:c>
      <x:c r="C1289" s="55" t="str">
        <x:v>—</x:v>
      </x:c>
      <x:c r="D1289" s="55" t="str">
        <x:v>—</x:v>
      </x:c>
      <x:c r="E1289" s="55" t="inlineStr">
        <x:is>
          <x:t>—</x:t>
        </x:is>
      </x:c>
    </x:row>
    <x:row r="1290" ht="15" customHeight="1">
      <x:c r="A1290" s="55" t="str">
        <x:v>無六滅化神棍</x:v>
      </x:c>
      <x:c r="B1290" s="55" t="str">
        <x:v>—</x:v>
      </x:c>
      <x:c r="C1290" s="55" t="str">
        <x:v>—</x:v>
      </x:c>
      <x:c r="D1290" s="55" t="str">
        <x:v>—</x:v>
      </x:c>
      <x:c r="E1290" s="55" t="inlineStr">
        <x:is>
          <x:t>—</x:t>
        </x:is>
      </x:c>
    </x:row>
    <x:row r="1291" ht="15" customHeight="1">
      <x:c r="A1291" s="55" t="str">
        <x:v>帝六滅化神棍</x:v>
      </x:c>
      <x:c r="B1291" s="55" t="str">
        <x:v>—</x:v>
      </x:c>
      <x:c r="C1291" s="55" t="str">
        <x:v>—</x:v>
      </x:c>
      <x:c r="D1291" s="55" t="str">
        <x:v>—</x:v>
      </x:c>
      <x:c r="E1291" s="55" t="inlineStr">
        <x:is>
          <x:t>—</x:t>
        </x:is>
      </x:c>
    </x:row>
    <x:row r="1292" ht="15" customHeight="1">
      <x:c r="A1292" s="55" t="str">
        <x:v>終六滅化神棍</x:v>
      </x:c>
      <x:c r="B1292" s="55" t="str">
        <x:v>—</x:v>
      </x:c>
      <x:c r="C1292" s="55" t="str">
        <x:v>—</x:v>
      </x:c>
      <x:c r="D1292" s="55" t="str">
        <x:v>—</x:v>
      </x:c>
      <x:c r="E1292" s="55" t="inlineStr">
        <x:is>
          <x:t>—</x:t>
        </x:is>
      </x:c>
    </x:row>
    <x:row r="1293" ht="15" customHeight="1">
      <x:c r="A1293" s="55" t="str">
        <x:v>創六滅化神棍</x:v>
      </x:c>
      <x:c r="B1293" s="55" t="str">
        <x:v>—</x:v>
      </x:c>
      <x:c r="C1293" s="55" t="str">
        <x:v>—</x:v>
      </x:c>
      <x:c r="D1293" s="55" t="str">
        <x:v>—</x:v>
      </x:c>
      <x:c r="E1293" s="55" t="inlineStr">
        <x:is>
          <x:t>—</x:t>
        </x:is>
      </x:c>
    </x:row>
    <x:row r="1294" ht="15" customHeight="1">
      <x:c r="A1294" s="55" t="str">
        <x:v>星六滅化神棍</x:v>
      </x:c>
      <x:c r="B1294" s="55" t="str">
        <x:v>—</x:v>
      </x:c>
      <x:c r="C1294" s="55" t="str">
        <x:v>—</x:v>
      </x:c>
      <x:c r="D1294" s="55" t="str">
        <x:v>—</x:v>
      </x:c>
      <x:c r="E1294" s="55" t="inlineStr">
        <x:is>
          <x:t>—</x:t>
        </x:is>
      </x:c>
    </x:row>
    <x:row r="1295" ht="15" customHeight="1">
      <x:c r="A1295" s="55" t="str">
        <x:v>皇六滅化神棍</x:v>
      </x:c>
      <x:c r="B1295" s="55" t="str">
        <x:v>—</x:v>
      </x:c>
      <x:c r="C1295" s="55" t="str">
        <x:v>—</x:v>
      </x:c>
      <x:c r="D1295" s="55" t="str">
        <x:v>—</x:v>
      </x:c>
      <x:c r="E1295" s="55" t="inlineStr">
        <x:is>
          <x:t>—</x:t>
        </x:is>
      </x:c>
    </x:row>
    <x:row r="1296" ht="15" customHeight="1">
      <x:c r="A1296" s="55" t="str">
        <x:v>終極六滅神棍</x:v>
      </x:c>
      <x:c r="B1296" s="55" t="str">
        <x:v>—</x:v>
      </x:c>
      <x:c r="C1296" s="55" t="str">
        <x:v>—</x:v>
      </x:c>
      <x:c r="D1296" s="55" t="str">
        <x:v>—</x:v>
      </x:c>
      <x:c r="E1296" s="55" t="inlineStr">
        <x:is>
          <x:t>—</x:t>
        </x:is>
      </x:c>
    </x:row>
    <x:row r="1297" ht="15" customHeight="1">
      <x:c r="A1297" s="55" t="str">
        <x:v>新星之紡霧棍</x:v>
      </x:c>
      <x:c r="B1297" s="55" t="str">
        <x:v>—</x:v>
      </x:c>
      <x:c r="C1297" s="55" t="str">
        <x:v>—</x:v>
      </x:c>
      <x:c r="D1297" s="55" t="str">
        <x:v>—</x:v>
      </x:c>
      <x:c r="E1297" s="55" t="inlineStr">
        <x:is>
          <x:t>—</x:t>
        </x:is>
      </x:c>
    </x:row>
    <x:row r="1298" ht="15" customHeight="1">
      <x:c r="A1298" s="55" t="str">
        <x:v>泰源衛棍</x:v>
      </x:c>
      <x:c r="B1298" s="55" t="str">
        <x:v>神州2II主線</x:v>
      </x:c>
      <x:c r="C1298" s="55" t="str">
        <x:v>—</x:v>
      </x:c>
      <x:c r="D1298" s="55" t="str">
        <x:v>—</x:v>
      </x:c>
      <x:c r="E1298" s="55" t="inlineStr">
        <x:is>
          <x:t>—</x:t>
        </x:is>
      </x:c>
    </x:row>
    <x:row r="1299" ht="15" customHeight="1">
      <x:c r="A1299" s="55" t="str">
        <x:v>龍池荻棍</x:v>
      </x:c>
      <x:c r="B1299" s="55" t="str">
        <x:v>六宇浮上主線</x:v>
      </x:c>
      <x:c r="C1299" s="55" t="str">
        <x:v>—</x:v>
      </x:c>
      <x:c r="D1299" s="55" t="str">
        <x:v>—</x:v>
      </x:c>
      <x:c r="E1299" s="55" t="inlineStr">
        <x:is>
          <x:t>—</x:t>
        </x:is>
      </x:c>
    </x:row>
    <x:row r="1300" ht="15" customHeight="1">
      <x:c r="A1300" s="55" t="str">
        <x:v>方舟棒</x:v>
      </x:c>
      <x:c r="B1300" s="55" t="str">
        <x:v>—</x:v>
      </x:c>
      <x:c r="C1300" s="55" t="str">
        <x:v>—</x:v>
      </x:c>
      <x:c r="D1300" s="55" t="str">
        <x:v>—</x:v>
      </x:c>
      <x:c r="E1300" s="55" t="inlineStr">
        <x:is>
          <x:t>原碼改造機兵（王統新市）</x:t>
        </x:is>
      </x:c>
    </x:row>
    <x:row r="1301" ht="15" customHeight="1">
      <x:c r="A1301" s="55" t="str">
        <x:v>綻虹鳳棒Ⅰ</x:v>
      </x:c>
      <x:c r="B1301" s="55" t="str">
        <x:v>—</x:v>
      </x:c>
      <x:c r="C1301" s="55" t="str">
        <x:v>—</x:v>
      </x:c>
      <x:c r="D1301" s="55" t="str">
        <x:v>—</x:v>
      </x:c>
      <x:c r="E1301" s="55" t="inlineStr">
        <x:is>
          <x:t>神島術者錦囊（網站未列地圖）；神島道人錦囊（網站未列地圖）；神島僧侶錦囊（網站未列地圖）</x:t>
        </x:is>
      </x:c>
    </x:row>
    <x:row r="1302" ht="15" customHeight="1">
      <x:c r="A1302" s="55" t="str">
        <x:v>綻虹鳳棒Ⅱ</x:v>
      </x:c>
      <x:c r="B1302" s="55" t="str">
        <x:v>—</x:v>
      </x:c>
      <x:c r="C1302" s="55" t="str">
        <x:v>—</x:v>
      </x:c>
      <x:c r="D1302" s="55" t="str">
        <x:v>—</x:v>
      </x:c>
      <x:c r="E1302" s="55" t="inlineStr">
        <x:is>
          <x:t>幻三百玥錦囊（網站未列地圖）；法師塔學徒（龍池大社）</x:t>
        </x:is>
      </x:c>
    </x:row>
    <x:row r="1303" ht="15" customHeight="1">
      <x:c r="A1303" s="55" t="str">
        <x:v>綻虹鳳棒Ⅲ</x:v>
      </x:c>
      <x:c r="B1303" s="55" t="str">
        <x:v>—</x:v>
      </x:c>
      <x:c r="C1303" s="55" t="str">
        <x:v>—</x:v>
      </x:c>
      <x:c r="D1303" s="55" t="str">
        <x:v>—</x:v>
      </x:c>
      <x:c r="E1303" s="55" t="inlineStr">
        <x:is>
          <x:t>—</x:t>
        </x:is>
      </x:c>
    </x:row>
    <x:row r="1304" ht="15" customHeight="1">
      <x:c r="A1304" s="55" t="str">
        <x:v>綻虹鳳棒Ⅳ</x:v>
      </x:c>
      <x:c r="B1304" s="55" t="str">
        <x:v>—</x:v>
      </x:c>
      <x:c r="C1304" s="55" t="str">
        <x:v>—</x:v>
      </x:c>
      <x:c r="D1304" s="55" t="str">
        <x:v>—</x:v>
      </x:c>
      <x:c r="E1304" s="55" t="inlineStr">
        <x:is>
          <x:t>—</x:t>
        </x:is>
      </x:c>
    </x:row>
    <x:row r="1305" ht="15" customHeight="1">
      <x:c r="A1305" s="55" t="str">
        <x:v>綻虹鳳棒Ⅴ</x:v>
      </x:c>
      <x:c r="B1305" s="55" t="str">
        <x:v>—</x:v>
      </x:c>
      <x:c r="C1305" s="55" t="str">
        <x:v>—</x:v>
      </x:c>
      <x:c r="D1305" s="55" t="str">
        <x:v>—</x:v>
      </x:c>
      <x:c r="E1305" s="55" t="inlineStr">
        <x:is>
          <x:t>—</x:t>
        </x:is>
      </x:c>
    </x:row>
    <x:row r="1306" ht="15" customHeight="1">
      <x:c r="A1306" s="55" t="str">
        <x:v>神翔萬雷棍</x:v>
      </x:c>
      <x:c r="B1306" s="55" t="str">
        <x:v>—</x:v>
      </x:c>
      <x:c r="C1306" s="55" t="str">
        <x:v>—</x:v>
      </x:c>
      <x:c r="D1306" s="55" t="str">
        <x:v>—</x:v>
      </x:c>
      <x:c r="E1306" s="55" t="inlineStr">
        <x:is>
          <x:t>南辰時祿機神兵匣（網站未列地圖）；侯氏兵甲福袋2023（網站未列地圖）</x:t>
        </x:is>
      </x:c>
    </x:row>
    <x:row r="1307" ht="15" customHeight="1">
      <x:c r="A1307" s="55" t="str">
        <x:v>神翔萬雷棍</x:v>
      </x:c>
      <x:c r="B1307" s="55" t="str">
        <x:v>—</x:v>
      </x:c>
      <x:c r="C1307" s="55" t="str">
        <x:v>—</x:v>
      </x:c>
      <x:c r="D1307" s="55" t="str">
        <x:v>—</x:v>
      </x:c>
      <x:c r="E1307" s="55" t="inlineStr">
        <x:is>
          <x:t>南辰時祿機神兵匣（網站未列地圖）</x:t>
        </x:is>
      </x:c>
    </x:row>
    <x:row r="1308" ht="15" customHeight="1">
      <x:c r="A1308" s="55" t="str">
        <x:v>亂舞南荒棍</x:v>
      </x:c>
      <x:c r="B1308" s="55" t="str">
        <x:v>—</x:v>
      </x:c>
      <x:c r="C1308" s="55" t="str">
        <x:v>—</x:v>
      </x:c>
      <x:c r="D1308" s="55" t="str">
        <x:v>—</x:v>
      </x:c>
      <x:c r="E1308" s="55" t="inlineStr">
        <x:is>
          <x:t>三分鼎鋒真王武匣（網站未列地圖）；麻辣白砂錦囊（網站未列地圖）</x:t>
        </x:is>
      </x:c>
    </x:row>
    <x:row r="1309" ht="15" customHeight="1">
      <x:c r="A1309" s="55" t="str">
        <x:v>亂舞南荒棍</x:v>
      </x:c>
      <x:c r="B1309" s="55" t="str">
        <x:v>—</x:v>
      </x:c>
      <x:c r="C1309" s="55" t="str">
        <x:v>—</x:v>
      </x:c>
      <x:c r="D1309" s="55" t="str">
        <x:v>—</x:v>
      </x:c>
      <x:c r="E1309" s="55" t="inlineStr">
        <x:is>
          <x:t>三分鼎鋒真王武匣（網站未列地圖）</x:t>
        </x:is>
      </x:c>
    </x:row>
    <x:row r="1310" ht="15" customHeight="1">
      <x:c r="A1310" s="55" t="str">
        <x:v>觀音杵</x:v>
      </x:c>
      <x:c r="B1310" s="55" t="str">
        <x:v>—</x:v>
      </x:c>
      <x:c r="C1310" s="55" t="str">
        <x:v>—</x:v>
      </x:c>
      <x:c r="D1310" s="55" t="str">
        <x:v>—</x:v>
      </x:c>
      <x:c r="E1310" s="55" t="inlineStr">
        <x:is>
          <x:t>古文明東西霸武匣（網站未列地圖）；風馳麻辣錦囊（網站未列地圖）</x:t>
        </x:is>
      </x:c>
    </x:row>
    <x:row r="1311" ht="15" customHeight="1">
      <x:c r="A1311" s="55" t="str">
        <x:v>觀音杵</x:v>
      </x:c>
      <x:c r="B1311" s="55" t="str">
        <x:v>—</x:v>
      </x:c>
      <x:c r="C1311" s="55" t="str">
        <x:v>—</x:v>
      </x:c>
      <x:c r="D1311" s="55" t="str">
        <x:v>—</x:v>
      </x:c>
      <x:c r="E1311" s="55" t="inlineStr">
        <x:is>
          <x:t>古文明東西霸武匣（網站未列地圖）</x:t>
        </x:is>
      </x:c>
    </x:row>
    <x:row r="1312" ht="15" customHeight="1">
      <x:c r="A1312" s="55" t="str">
        <x:v>蒲牢震嶽棍</x:v>
      </x:c>
      <x:c r="B1312" s="55" t="str">
        <x:v>—</x:v>
      </x:c>
      <x:c r="C1312" s="55" t="str">
        <x:v>—</x:v>
      </x:c>
      <x:c r="D1312" s="55" t="str">
        <x:v>—</x:v>
      </x:c>
      <x:c r="E1312" s="55" t="inlineStr">
        <x:is>
          <x:t>龍涉大川繼鱗武匣（網站未列地圖）；極‧大秘境寶箱（網站未列地圖）</x:t>
        </x:is>
      </x:c>
    </x:row>
    <x:row r="1313" ht="15" customHeight="1">
      <x:c r="A1313" s="55" t="str">
        <x:v>蒲牢震嶽棍</x:v>
      </x:c>
      <x:c r="B1313" s="55" t="str">
        <x:v>—</x:v>
      </x:c>
      <x:c r="C1313" s="55" t="str">
        <x:v>—</x:v>
      </x:c>
      <x:c r="D1313" s="55" t="str">
        <x:v>—</x:v>
      </x:c>
      <x:c r="E1313" s="55" t="inlineStr">
        <x:is>
          <x:t>龍涉大川繼鱗武匣（網站未列地圖）</x:t>
        </x:is>
      </x:c>
    </x:row>
    <x:row r="1314" ht="15" customHeight="1">
      <x:c r="A1314" s="55" t="str">
        <x:v>血腥屠夫Ⅰ</x:v>
      </x:c>
      <x:c r="B1314" s="55" t="str">
        <x:v>—</x:v>
      </x:c>
      <x:c r="C1314" s="55" t="str">
        <x:v>—</x:v>
      </x:c>
      <x:c r="D1314" s="55" t="str">
        <x:v>—</x:v>
      </x:c>
      <x:c r="E1314" s="55" t="inlineStr">
        <x:is>
          <x:t>玄宙神兵寶箱（網站未列地圖）</x:t>
        </x:is>
      </x:c>
    </x:row>
    <x:row r="1315" ht="15" customHeight="1">
      <x:c r="A1315" s="55" t="str">
        <x:v>血腥屠夫Ⅱ</x:v>
      </x:c>
      <x:c r="B1315" s="55" t="str">
        <x:v>—</x:v>
      </x:c>
      <x:c r="C1315" s="55" t="str">
        <x:v>—</x:v>
      </x:c>
      <x:c r="D1315" s="55" t="str">
        <x:v>—</x:v>
      </x:c>
      <x:c r="E1315" s="55" t="inlineStr">
        <x:is>
          <x:t>真．玄宙神兵寶箱（網站未列地圖）</x:t>
        </x:is>
      </x:c>
    </x:row>
    <x:row r="1316" ht="15" customHeight="1">
      <x:c r="A1316" s="55" t="str">
        <x:v>血腥屠夫Ⅲ</x:v>
      </x:c>
      <x:c r="B1316" s="55" t="str">
        <x:v>—</x:v>
      </x:c>
      <x:c r="C1316" s="55" t="str">
        <x:v>—</x:v>
      </x:c>
      <x:c r="D1316" s="55" t="str">
        <x:v>—</x:v>
      </x:c>
      <x:c r="E1316" s="55" t="inlineStr">
        <x:is>
          <x:t>超．玄宙神兵寶箱（網站未列地圖）</x:t>
        </x:is>
      </x:c>
    </x:row>
    <x:row r="1317" ht="15" customHeight="1">
      <x:c r="A1317" s="55" t="str">
        <x:v>血腥屠夫Ⅳ</x:v>
      </x:c>
      <x:c r="B1317" s="55" t="str">
        <x:v>—</x:v>
      </x:c>
      <x:c r="C1317" s="55" t="str">
        <x:v>—</x:v>
      </x:c>
      <x:c r="D1317" s="55" t="str">
        <x:v>—</x:v>
      </x:c>
      <x:c r="E1317" s="55" t="inlineStr">
        <x:is>
          <x:t>極．玄宙神兵寶箱（網站未列地圖）</x:t>
        </x:is>
      </x:c>
    </x:row>
    <x:row r="1318" ht="15" customHeight="1">
      <x:c r="A1318" s="55" t="str">
        <x:v>血腥屠夫Ⅴ</x:v>
      </x:c>
      <x:c r="B1318" s="55" t="str">
        <x:v>—</x:v>
      </x:c>
      <x:c r="C1318" s="55" t="str">
        <x:v>—</x:v>
      </x:c>
      <x:c r="D1318" s="55" t="str">
        <x:v>—</x:v>
      </x:c>
      <x:c r="E1318" s="55" t="inlineStr">
        <x:is>
          <x:t>神．玄宙神兵寶箱（網站未列地圖）</x:t>
        </x:is>
      </x:c>
    </x:row>
    <x:row r="1319" ht="30" customHeight="1">
      <x:c r="A1319" s="55" t="str">
        <x:v>圓鐵錘</x:v>
      </x:c>
      <x:c r="B1319" s="55" t="str">
        <x:v>—</x:v>
      </x:c>
      <x:c r="C1319" s="55" t="str">
        <x:v>義勇軍校場買賣人、京城打鐵舖、祁州打鐵舖</x:v>
      </x:c>
      <x:c r="D1319" s="55" t="str">
        <x:v>—</x:v>
      </x:c>
      <x:c r="E1319" s="55" t="inlineStr">
        <x:is>
          <x:t>—</x:t>
        </x:is>
      </x:c>
    </x:row>
    <x:row r="1320" ht="60" customHeight="1">
      <x:c r="A1320" s="55" t="str">
        <x:v>破岩錘</x:v>
      </x:c>
      <x:c r="B1320" s="55" t="str">
        <x:v>—</x:v>
      </x:c>
      <x:c r="C1320" s="55" t="str">
        <x:v>—</x:v>
      </x:c>
      <x:c r="D1320" s="55" t="str">
        <x:v>—</x:v>
      </x:c>
      <x:c r="E1320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巨靈魔（亂藤林、毒龍潭、摘星嶺、魔君陵墓）；巨靈魔王（摘星嶺、魔君陵墓、魔君陵寢一層、修羅窟）</x:t>
        </x:is>
      </x:c>
    </x:row>
    <x:row r="1321" ht="30" customHeight="1">
      <x:c r="A1321" s="55" t="str">
        <x:v>蒜頭錘</x:v>
      </x:c>
      <x:c r="B1321" s="55" t="str">
        <x:v>—</x:v>
      </x:c>
      <x:c r="C1321" s="55" t="str">
        <x:v>祁州打鐵舖、玄州打鐵舖、釣日村武器店長</x:v>
      </x:c>
      <x:c r="D1321" s="55" t="str">
        <x:v>—</x:v>
      </x:c>
      <x:c r="E1321" s="55" t="inlineStr">
        <x:is>
          <x:t>巨錘猴精（千佛遺跡東側、千佛遺跡西側）；[巨錘猴精]（網站未列地圖）</x:t>
        </x:is>
      </x:c>
    </x:row>
    <x:row r="1322" ht="15" customHeight="1">
      <x:c r="A1322" s="55" t="str">
        <x:v>精鋼錘</x:v>
      </x:c>
      <x:c r="B1322" s="55" t="str">
        <x:v>—</x:v>
      </x:c>
      <x:c r="C1322" s="55" t="str">
        <x:v>釣日村武器店長</x:v>
      </x:c>
      <x:c r="D1322" s="55" t="str">
        <x:v>—</x:v>
      </x:c>
      <x:c r="E1322" s="55" t="inlineStr">
        <x:is>
          <x:t>—</x:t>
        </x:is>
      </x:c>
    </x:row>
    <x:row r="1323" ht="105" customHeight="1">
      <x:c r="A1323" s="55" t="str">
        <x:v>菱角錘</x:v>
      </x:c>
      <x:c r="B1323" s="55" t="str">
        <x:v>—</x:v>
      </x:c>
      <x:c r="C1323" s="55" t="str">
        <x:v>玄州打鐵舖、釣日村武器店長</x:v>
      </x:c>
      <x:c r="D1323" s="55" t="str">
        <x:v>—</x:v>
      </x:c>
      <x:c r="E1323" s="55" t="inlineStr">
        <x:is>
          <x:t>白靈石獅（恨生不歸途、三途之都、枉死之城）；[白靈石獅]（網站未列地圖）；三途棺差（恨生不歸途、三途之都、枉死之城）；[三途棺差]（網站未列地圖）；巨靈悍匪（千佛遺跡東側）；靈使無常（網站未列地圖）；弔靈八王爺（森羅閻殿、奈落紅川、荒禍殘墟）；冥土鬼爪（悲歡渡口、永劫刑場）；奪魄黑死將（天戮魔殿）；提刑黑無常（悲歡渡口、永劫刑場、九曲邪徑）；[提刑黑無常]（網站未列地圖）；金鎧靈猴（菩提聖原、大梵河岸）；白夜帝猿（網站未列地圖）；赫丕族女（止戰邊境、豐穗平原）；聖峰雪獸（網站未列地圖）；雪峰野人（登天棧道、懸空仙嶺、青藏高原）；[雪峰野人]（網站未列地圖）；象騎射手（摩羅國境、菩提聖原）；巨象騎射手（金霄佛寺）；風伯（凌風修境、繚空碎島）</x:t>
        </x:is>
      </x:c>
    </x:row>
    <x:row r="1324" ht="15" customHeight="1">
      <x:c r="A1324" s="55" t="str">
        <x:v>精鋼戰錘</x:v>
      </x:c>
      <x:c r="B1324" s="55" t="str">
        <x:v>—</x:v>
      </x:c>
      <x:c r="C1324" s="55" t="str">
        <x:v>釣日村武器店長</x:v>
      </x:c>
      <x:c r="D1324" s="55" t="str">
        <x:v>—</x:v>
      </x:c>
      <x:c r="E1324" s="55" t="inlineStr">
        <x:is>
          <x:t>—</x:t>
        </x:is>
      </x:c>
    </x:row>
    <x:row r="1325" ht="45" customHeight="1">
      <x:c r="A1325" s="55" t="str">
        <x:v>碎骨釘錘</x:v>
      </x:c>
      <x:c r="B1325" s="55" t="str">
        <x:v>—</x:v>
      </x:c>
      <x:c r="C1325" s="55" t="str">
        <x:v>祁州打鐵舖、玄州打鐵舖</x:v>
      </x:c>
      <x:c r="D1325" s="55" t="str">
        <x:v>—</x:v>
      </x:c>
      <x:c r="E1325" s="55" t="inlineStr">
        <x:is>
          <x:t>衛遼神獸（祥鷺古街）；黑巨蛟（東方海域）；掠空兇翼（血鴉嶺、靜默之丘、擎空壁壘）；原始土靈（獅堡軍事區）；雲眉鷹后（網站未列地圖）；白猿鬥神（金霄佛寺、濕婆神廟）；阿鼻霸鬼（荒禍殘墟）；長林惡匪（長林谷）；流亡叛軍隊長（八達嶺、古北口、古北大營）</x:t>
        </x:is>
      </x:c>
    </x:row>
    <x:row r="1326" ht="15" customHeight="1">
      <x:c r="A1326" s="55" t="str">
        <x:v>冰石釘錘</x:v>
      </x:c>
      <x:c r="B1326" s="55" t="str">
        <x:v>—</x:v>
      </x:c>
      <x:c r="C1326" s="55" t="str">
        <x:v>—</x:v>
      </x:c>
      <x:c r="D1326" s="55" t="str">
        <x:v>冰石釘錘配方</x:v>
      </x:c>
      <x:c r="E1326" s="55" t="inlineStr">
        <x:is>
          <x:t>—</x:t>
        </x:is>
      </x:c>
    </x:row>
    <x:row r="1327" ht="15" customHeight="1">
      <x:c r="A1327" s="55" t="str">
        <x:v>火石釘錘</x:v>
      </x:c>
      <x:c r="B1327" s="55" t="str">
        <x:v>—</x:v>
      </x:c>
      <x:c r="C1327" s="55" t="str">
        <x:v>—</x:v>
      </x:c>
      <x:c r="D1327" s="55" t="str">
        <x:v>火石釘錘配方</x:v>
      </x:c>
      <x:c r="E1327" s="55" t="inlineStr">
        <x:is>
          <x:t>—</x:t>
        </x:is>
      </x:c>
    </x:row>
    <x:row r="1328" ht="15" customHeight="1">
      <x:c r="A1328" s="55" t="str">
        <x:v>雷石釘錘</x:v>
      </x:c>
      <x:c r="B1328" s="55" t="str">
        <x:v>—</x:v>
      </x:c>
      <x:c r="C1328" s="55" t="str">
        <x:v>—</x:v>
      </x:c>
      <x:c r="D1328" s="55" t="str">
        <x:v>雷石釘錘配方</x:v>
      </x:c>
      <x:c r="E1328" s="55" t="inlineStr">
        <x:is>
          <x:t>—</x:t>
        </x:is>
      </x:c>
    </x:row>
    <x:row r="1329" ht="15" customHeight="1">
      <x:c r="A1329" s="55" t="str">
        <x:v>墓石釘錘</x:v>
      </x:c>
      <x:c r="B1329" s="55" t="str">
        <x:v>—</x:v>
      </x:c>
      <x:c r="C1329" s="55" t="str">
        <x:v>—</x:v>
      </x:c>
      <x:c r="D1329" s="55" t="str">
        <x:v>墓石釘錘配方</x:v>
      </x:c>
      <x:c r="E1329" s="55" t="inlineStr">
        <x:is>
          <x:t>土元素神將（萬識聖宮）；裂土真帝靈（飛昇大廳）；&lt;裂土真帝靈&gt;（真七寶仙境　貳）</x:t>
        </x:is>
      </x:c>
    </x:row>
    <x:row r="1330" ht="15" customHeight="1">
      <x:c r="A1330" s="55" t="str">
        <x:v>惡狼錘</x:v>
      </x:c>
      <x:c r="B1330" s="55" t="str">
        <x:v>—</x:v>
      </x:c>
      <x:c r="C1330" s="55" t="str">
        <x:v>祁州打鐵舖、玄州打鐵舖</x:v>
      </x:c>
      <x:c r="D1330" s="55" t="str">
        <x:v>—</x:v>
      </x:c>
      <x:c r="E1330" s="55" t="inlineStr">
        <x:is>
          <x:t>神土領主（凱旋廣場、聖禱天廳）；霸戰獅王（聖禱天廳）；暴風尊者（飛雲忘野、橫劍天關、仙庭玉階）</x:t>
        </x:is>
      </x:c>
    </x:row>
    <x:row r="1331" ht="45" customHeight="1">
      <x:c r="A1331" s="55" t="str">
        <x:v>破甲錘</x:v>
      </x:c>
      <x:c r="B1331" s="55" t="str">
        <x:v>—</x:v>
      </x:c>
      <x:c r="C1331" s="55" t="str">
        <x:v>祁州打鐵舖、玄州打鐵舖</x:v>
      </x:c>
      <x:c r="D1331" s="55" t="str">
        <x:v>—</x:v>
      </x:c>
      <x:c r="E1331" s="55" t="inlineStr">
        <x:is>
          <x:t>終末巨龍（神臨之地）；&lt;終末巨龍&gt;（修羅級神臨之地）；蒼白達苟士（凱旋廣場）；破日鬥龍（青龍東殿）；疲憊的夸父戰士（異時界‧亂藤林東）；四聖劍仙（四聖祭台）；裂軀王龍（青龍東殿）；驚雷鴻蛟（天啟八關）；挪宇大風神（闕真金閣）；嘯風天尊（網站未列地圖）；天柱巨靈（紫雷轟原）；八天右風王（紫雷轟原）</x:t>
        </x:is>
      </x:c>
    </x:row>
    <x:row r="1332" ht="105" customHeight="1">
      <x:c r="A1332" s="55" t="str">
        <x:v>掠天錘</x:v>
      </x:c>
      <x:c r="B1332" s="55" t="str">
        <x:v>—</x:v>
      </x:c>
      <x:c r="C1332" s="55" t="str">
        <x:v>祁州打鐵舖、玄州打鐵舖</x:v>
      </x:c>
      <x:c r="D1332" s="55" t="str">
        <x:v>—</x:v>
      </x:c>
      <x:c r="E1332" s="55" t="inlineStr">
        <x:is>
          <x:t>天劫百眼王（魔君天都）；&lt;天劫百眼王&gt;（修羅級魔君天都）；八卦戰虎王（白虎西殿）；八極凜冰麟（玄武北殿）；天劫擊夜叉（魔君天都）；天劫夸父（魔君天都）；&lt;天劫擊夜叉&gt;（修羅級魔君天都）；&lt;天劫夸父&gt;（修羅級魔君天都）；虛影刺客（時沒邊界）；盪霧影鼠（時沒邊界）；闢地巨獸（玄武北殿）；大黑天‧強（殘雲天境）；太古土魁‧強（殘雲天境）；萬炎殺顱（朱雀南殿）；魔心殺猿（異時界‧葬日沼澤）；夜叉血斧手（異時界‧摘星嶺）；金岩怪（異時界‧摘星嶺）；夷林巨象（異時界‧葬日沼澤）；亡邪血斧夜叉（異時界‧葬日沼北）；毒嚙鱷（異時界‧毒龍潭）；巨靈煞（異時界‧毒龍潭）；巨靈煞（異時界‧修羅窟）；夜叉邪棒妖（異時界‧夜叉嶺）；食人狂猿（異時界‧亂藤林南）；死牢牛鬼（異時界‧亂藤林西）；土行魔王（異時界‧葬日沼南）</x:t>
        </x:is>
      </x:c>
    </x:row>
    <x:row r="1333" ht="45" customHeight="1">
      <x:c r="A1333" s="55" t="str">
        <x:v>魑妖錘</x:v>
      </x:c>
      <x:c r="B1333" s="55" t="str">
        <x:v>—</x:v>
      </x:c>
      <x:c r="C1333" s="55" t="str">
        <x:v>祁州打鐵舖、玄州打鐵舖</x:v>
      </x:c>
      <x:c r="D1333" s="55" t="str">
        <x:v>—</x:v>
      </x:c>
      <x:c r="E1333" s="55" t="inlineStr">
        <x:is>
          <x:t>雙雷轟手（終末之塔第3層、終末之塔第4層）；天慧爆錘（終末之塔第7層、終末之塔第8層）；殘影龍形（音無晶宇）；三徊朽靈（觀無巽宇）；半截戰狂（觀無巽宇）；廢土犁者（覺無洋宇）；綻鐵巨龜（覺無洋宇）；奠甲鬥士（星群碎道）；鬼棒狩命（星群碎道）；鬼都玄龍（不解迴路）；虛淵鬥靈（虛空渦心）；虛雷天尊（虛空渦心）</x:t>
        </x:is>
      </x:c>
    </x:row>
    <x:row r="1334" ht="60" customHeight="1">
      <x:c r="A1334" s="55" t="str">
        <x:v>紫月盾峰錘</x:v>
      </x:c>
      <x:c r="B1334" s="55" t="str">
        <x:v>—</x:v>
      </x:c>
      <x:c r="C1334" s="55" t="str">
        <x:v>—</x:v>
      </x:c>
      <x:c r="D1334" s="55" t="str">
        <x:v>—</x:v>
      </x:c>
      <x:c r="E1334" s="55" t="inlineStr">
        <x:is>
          <x:t>萬鈞碎錘（終末之塔第30層、終末之塔第23層）；大滅霸（終末之塔第25層、終末之塔第27層）；怒咆穢猿（終末之塔第31層、終末之塔第32層）；峽谷矮靈（終末之塔第41層、終末之塔第42層）；虛無狩鬼（終末之塔第50層、終末之塔第46層）；虐殺犯（終末之塔第11層）；防攻鐵獅（終末之塔第17層）；白金之猩（終末之塔第44層、終末之塔第43層）；艾濟矮靈（吉薩走廊）；鑽岩鋼蛇（古翰大沙漠）</x:t>
        </x:is>
      </x:c>
    </x:row>
    <x:row r="1335" ht="45" customHeight="1">
      <x:c r="A1335" s="55" t="str">
        <x:v>紫月幽陵錘</x:v>
      </x:c>
      <x:c r="B1335" s="55" t="str">
        <x:v>—</x:v>
      </x:c>
      <x:c r="C1335" s="55" t="str">
        <x:v>—</x:v>
      </x:c>
      <x:c r="D1335" s="55" t="str">
        <x:v>—</x:v>
      </x:c>
      <x:c r="E1335" s="55" t="inlineStr">
        <x:is>
          <x:t>霸虛雄獅（終末之塔第57層、終末之塔第58層）；碎魂金鬼（終末之塔第63層、終末之塔第64層）；壯脂鑿齒（終末之塔第68層、終末之塔第67層）；衛城鬃獅（王都盧索）；盜墓侏賊（赫勒神殿遺址）；殉王木乃伊（赫勒神殿遺址）；貝斯（荷魯斯聖祠）</x:t>
        </x:is>
      </x:c>
    </x:row>
    <x:row r="1336" ht="60" customHeight="1">
      <x:c r="A1336" s="55" t="str">
        <x:v>定疆錘</x:v>
      </x:c>
      <x:c r="B1336" s="55" t="str">
        <x:v>—</x:v>
      </x:c>
      <x:c r="C1336" s="55" t="str">
        <x:v>—</x:v>
      </x:c>
      <x:c r="D1336" s="55" t="str">
        <x:v>—</x:v>
      </x:c>
      <x:c r="E1336" s="55" t="inlineStr">
        <x:is>
          <x:t>雷武機關兵（藏意武窟）；迷竅幻鬼（終末之塔第83層、終末之塔第84層）；幽閉怒獸（終末之塔第91層、終末之塔第100層）；皇城武衛（皇城）；東陣悍馬（東校場）；朱燕后衛（西宮翠苑）；長疆大蟲（山海長疆）；虛行蜴魔（終末之塔第76層）；尸薩滿（終末之塔第71層）；扞河龐蟹（終末之塔第107層、終末之塔第108層）；裂變鬼兵（終末之塔第101層）；紅傘花妖（鷗揚浪嶼）；巨蠶（殊雁峽）；海蝸牛（琉瑯岩灣）；珠蟾蜍（琉瑯岩灣）</x:t>
        </x:is>
      </x:c>
    </x:row>
    <x:row r="1337" ht="30" customHeight="1">
      <x:c r="A1337" s="55" t="str">
        <x:v>新羅錘</x:v>
      </x:c>
      <x:c r="B1337" s="55" t="str">
        <x:v>—</x:v>
      </x:c>
      <x:c r="C1337" s="55" t="str">
        <x:v>—</x:v>
      </x:c>
      <x:c r="D1337" s="55" t="str">
        <x:v>—</x:v>
      </x:c>
      <x:c r="E1337" s="55" t="inlineStr">
        <x:is>
          <x:t>黃泉軍（濟馬島）；飢戰海妖（東海道）；護城貓熊（璇鶯鎮）；泰源巨猿（旭陽山徑）；尊主山豬（臺興中州）；魔幻蜘蛛（終末之塔第113層、終末之塔第114層、終末之塔第112層）；合成蜥人（白苗峽岸）</x:t>
        </x:is>
      </x:c>
    </x:row>
    <x:row r="1338" ht="90" customHeight="1">
      <x:c r="A1338" s="55" t="str">
        <x:v>鬼瓦錘</x:v>
      </x:c>
      <x:c r="B1338" s="55" t="str">
        <x:v>—</x:v>
      </x:c>
      <x:c r="C1338" s="55" t="str">
        <x:v>—</x:v>
      </x:c>
      <x:c r="D1338" s="55" t="str">
        <x:v>—</x:v>
      </x:c>
      <x:c r="E1338" s="55" t="inlineStr">
        <x:is>
          <x:t>南瞻常戰區長（南瞻聖地）；玉火鳳凰（始祖巨林．西）；澄清水蟆（始祖巨林．東）；怒拳狼王（始祖巨林）；處刑機兵（燕蕩嶺）；綠影遊蝸（始祖巨林）；合成豬人（風竹塹）；走卒獸人（風竹塹）；血鞭騎兵（祥鷺古街）；衛遼神獸（祥鷺古街）；鉑皮械熊（終末之塔第142層、終末之塔第149層、終末之塔第148層、終末之塔第146層）；方舟鐵熊（南瞻聖地）；凝水晶體（始祖巨林．東）；腐化暴熊（葭雲廣原）；怪物大王（終末之塔第128層、終末之塔第124層）；鋼皮巨犀（終末之塔第134層、終末之塔第133層、終末之塔第139層、終末之塔第138層、終末之塔第131層、終末之塔第137層、終末之塔第135層、終末之塔第136層）</x:t>
        </x:is>
      </x:c>
    </x:row>
    <x:row r="1339" ht="15" customHeight="1">
      <x:c r="A1339" s="55" t="str">
        <x:v>玄金寶錘</x:v>
      </x:c>
      <x:c r="B1339" s="55" t="str">
        <x:v>研究天外密石</x:v>
      </x:c>
      <x:c r="C1339" s="55" t="str">
        <x:v>—</x:v>
      </x:c>
      <x:c r="D1339" s="55" t="str">
        <x:v>—</x:v>
      </x:c>
      <x:c r="E1339" s="55" t="inlineStr">
        <x:is>
          <x:t>—</x:t>
        </x:is>
      </x:c>
    </x:row>
    <x:row r="1340" ht="15" customHeight="1">
      <x:c r="A1340" s="55" t="str">
        <x:v>玄金靈錘</x:v>
      </x:c>
      <x:c r="B1340" s="55" t="str">
        <x:v>研究天外密石</x:v>
      </x:c>
      <x:c r="C1340" s="55" t="str">
        <x:v>—</x:v>
      </x:c>
      <x:c r="D1340" s="55" t="str">
        <x:v>—</x:v>
      </x:c>
      <x:c r="E1340" s="55" t="inlineStr">
        <x:is>
          <x:t>—</x:t>
        </x:is>
      </x:c>
    </x:row>
    <x:row r="1341" ht="15" customHeight="1">
      <x:c r="A1341" s="55" t="str">
        <x:v>萬年玄金錘</x:v>
      </x:c>
      <x:c r="B1341" s="55" t="str">
        <x:v>研究天外密石</x:v>
      </x:c>
      <x:c r="C1341" s="55" t="str">
        <x:v>—</x:v>
      </x:c>
      <x:c r="D1341" s="55" t="str">
        <x:v>—</x:v>
      </x:c>
      <x:c r="E1341" s="55" t="inlineStr">
        <x:is>
          <x:t>—</x:t>
        </x:is>
      </x:c>
    </x:row>
    <x:row r="1342" ht="75" customHeight="1">
      <x:c r="A1342" s="55" t="str">
        <x:v>晶石錘</x:v>
      </x:c>
      <x:c r="B1342" s="55" t="str">
        <x:v>—</x:v>
      </x:c>
      <x:c r="C1342" s="55" t="str">
        <x:v>—</x:v>
      </x:c>
      <x:c r="D1342" s="55" t="str">
        <x:v>—</x:v>
      </x:c>
      <x:c r="E1342" s="55" t="inlineStr">
        <x:is>
          <x:t>晶石兵器寶盒（網站未列地圖）；喜兔武器錦囊‧壹（網站未列地圖）；朱戈幫屠夫（網站未列地圖）；巨靈魔王（摘星嶺、魔君陵墓、魔君陵寢一層、修羅窟）；大力熊（桃花林西方、桃花林南方、不老峰）；土行鬼王（亂藤林、亂藤林南方、葬日沼澤、魔君陵墓、靖南古道、修羅窟）；覓蜜熊（桃花林、桃花林西方、桃花林南方）；[熊武者]（網站未列地圖）；熊武者（桃花林西方、不老峰）；巨靈魔（亂藤林、毒龍潭、摘星嶺、魔君陵墓）；土行者（亂藤林、亂藤林東方、亂藤林南方、葬日沼澤、魔君陵墓、靖南古道、修羅窟、千佛遺跡東側）；土行者（試煉之窟）</x:t>
        </x:is>
      </x:c>
    </x:row>
    <x:row r="1343" ht="30" customHeight="1">
      <x:c r="A1343" s="55" t="str">
        <x:v>凝晶覆嶽錘</x:v>
      </x:c>
      <x:c r="B1343" s="55" t="str">
        <x:v>—</x:v>
      </x:c>
      <x:c r="C1343" s="55" t="str">
        <x:v>—</x:v>
      </x:c>
      <x:c r="D1343" s="55" t="str">
        <x:v>—</x:v>
      </x:c>
      <x:c r="E1343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344" ht="15" customHeight="1">
      <x:c r="A1344" s="55" t="str">
        <x:v>卓越戰錘</x:v>
      </x:c>
      <x:c r="B1344" s="55" t="str">
        <x:v>—</x:v>
      </x:c>
      <x:c r="C1344" s="55" t="str">
        <x:v>—</x:v>
      </x:c>
      <x:c r="D1344" s="55" t="str">
        <x:v>—</x:v>
      </x:c>
      <x:c r="E1344" s="55" t="inlineStr">
        <x:is>
          <x:t>卓越兵器寶盒（網站未列地圖）</x:t>
        </x:is>
      </x:c>
    </x:row>
    <x:row r="1345" ht="15" customHeight="1">
      <x:c r="A1345" s="55" t="str">
        <x:v>破山錘</x:v>
      </x:c>
      <x:c r="B1345" s="55" t="str">
        <x:v>—</x:v>
      </x:c>
      <x:c r="C1345" s="55" t="str">
        <x:v>夸父-打鐵夸父</x:v>
      </x:c>
      <x:c r="D1345" s="55" t="str">
        <x:v>—</x:v>
      </x:c>
      <x:c r="E1345" s="55" t="inlineStr">
        <x:is>
          <x:t>長林惡匪（長林谷）；流亡叛軍隊長（八達嶺、古北口、古北大營）</x:t>
        </x:is>
      </x:c>
    </x:row>
    <x:row r="1346" ht="30" customHeight="1">
      <x:c r="A1346" s="55" t="str">
        <x:v>震地錘</x:v>
      </x:c>
      <x:c r="B1346" s="55" t="str">
        <x:v>—</x:v>
      </x:c>
      <x:c r="C1346" s="55" t="str">
        <x:v>—</x:v>
      </x:c>
      <x:c r="D1346" s="55" t="str">
        <x:v>—</x:v>
      </x:c>
      <x:c r="E1346" s="55" t="inlineStr">
        <x:is>
          <x:t>輕車將軍錦囊（網站未列地圖）；巨靈魔王（摘星嶺、魔君陵墓、魔君陵寢一層、修羅窟）；巨靈魔（亂藤林、毒龍潭、摘星嶺、魔君陵墓）</x:t>
        </x:is>
      </x:c>
    </x:row>
    <x:row r="1347" ht="15" customHeight="1">
      <x:c r="A1347" s="55" t="str">
        <x:v>赤震錘</x:v>
      </x:c>
      <x:c r="B1347" s="55" t="str">
        <x:v>—</x:v>
      </x:c>
      <x:c r="C1347" s="55" t="str">
        <x:v>維摩洞天-仙島工匠</x:v>
      </x:c>
      <x:c r="D1347" s="55" t="str">
        <x:v>—</x:v>
      </x:c>
      <x:c r="E1347" s="55" t="inlineStr">
        <x:is>
          <x:t>—</x:t>
        </x:is>
      </x:c>
    </x:row>
    <x:row r="1348" ht="15" customHeight="1">
      <x:c r="A1348" s="55" t="str">
        <x:v>赤震鋼錘</x:v>
      </x:c>
      <x:c r="B1348" s="55" t="str">
        <x:v>—</x:v>
      </x:c>
      <x:c r="C1348" s="55" t="str">
        <x:v>維摩洞天-仙島工匠</x:v>
      </x:c>
      <x:c r="D1348" s="55" t="str">
        <x:v>—</x:v>
      </x:c>
      <x:c r="E1348" s="55" t="inlineStr">
        <x:is>
          <x:t>沙蟲蠱王（樓蘭遺址）</x:t>
        </x:is>
      </x:c>
    </x:row>
    <x:row r="1349" ht="30" customHeight="1">
      <x:c r="A1349" s="55" t="str">
        <x:v>巨人錘</x:v>
      </x:c>
      <x:c r="B1349" s="55" t="str">
        <x:v>—</x:v>
      </x:c>
      <x:c r="C1349" s="55" t="str">
        <x:v>—</x:v>
      </x:c>
      <x:c r="D1349" s="55" t="str">
        <x:v>—</x:v>
      </x:c>
      <x:c r="E1349" s="55" t="inlineStr">
        <x:is>
          <x:t>稀奇裝備箱．丙式（網站未列地圖）；[熊武者]（網站未列地圖）；熊武者（桃花林西方、不老峰）；石窟雙錘俑（五派禁地）；屍靈雙錘俑（古皇陵密室）；覓蜜熊（桃花林、桃花林西方、桃花林南方）</x:t>
        </x:is>
      </x:c>
    </x:row>
    <x:row r="1350" ht="30" customHeight="1">
      <x:c r="A1350" s="55" t="str">
        <x:v>力震錘</x:v>
      </x:c>
      <x:c r="B1350" s="55" t="str">
        <x:v>—</x:v>
      </x:c>
      <x:c r="C1350" s="55" t="str">
        <x:v>—</x:v>
      </x:c>
      <x:c r="D1350" s="55" t="str">
        <x:v>—</x:v>
      </x:c>
      <x:c r="E1350" s="55" t="inlineStr">
        <x:is>
          <x:t>紫靈貂（呼倫草原、貝爾草原、亂石林、疾風谷）；虎霸王（掩月松林）；[虎霸王]（網站未列地圖）；虎鬥士（瀰煙山道、掩月松林）；石窟雙錘俑（五派禁地）；屍靈雙錘俑（古皇陵密室）</x:t>
        </x:is>
      </x:c>
    </x:row>
    <x:row r="1351" ht="15" customHeight="1">
      <x:c r="A1351" s="55" t="str">
        <x:v>龍刺錘</x:v>
      </x:c>
      <x:c r="B1351" s="55" t="str">
        <x:v>—</x:v>
      </x:c>
      <x:c r="C1351" s="55" t="str">
        <x:v>—</x:v>
      </x:c>
      <x:c r="D1351" s="55" t="str">
        <x:v>—</x:v>
      </x:c>
      <x:c r="E1351" s="55" t="inlineStr">
        <x:is>
          <x:t>絕代兵器錦囊（網站未列地圖）；新絕代兵器錦囊（網站未列地圖）；黑巨蛟（東方海域）；海巨蛟（東方海域）</x:t>
        </x:is>
      </x:c>
    </x:row>
    <x:row r="1352" ht="30" customHeight="1">
      <x:c r="A1352" s="55" t="str">
        <x:v>龍星錘</x:v>
      </x:c>
      <x:c r="B1352" s="55" t="str">
        <x:v>—</x:v>
      </x:c>
      <x:c r="C1352" s="55" t="str">
        <x:v>—</x:v>
      </x:c>
      <x:c r="D1352" s="55" t="str">
        <x:v>—</x:v>
      </x:c>
      <x:c r="E1352" s="55" t="inlineStr">
        <x:is>
          <x:t>御行神兵錦囊（網站未列地圖）；絕代兵器錦囊（網站未列地圖）；新絕代兵器錦囊（網站未列地圖）；喜兔武器錦囊‧貳（網站未列地圖）；龍珠（網站未列地圖）</x:t>
        </x:is>
      </x:c>
    </x:row>
    <x:row r="1353" ht="75" customHeight="1">
      <x:c r="A1353" s="55" t="str">
        <x:v>雷神錘</x:v>
      </x:c>
      <x:c r="B1353" s="55" t="str">
        <x:v>—</x:v>
      </x:c>
      <x:c r="C1353" s="55" t="str">
        <x:v>—</x:v>
      </x:c>
      <x:c r="D1353" s="55" t="str">
        <x:v>—</x:v>
      </x:c>
      <x:c r="E1353" s="55" t="inlineStr">
        <x:is>
          <x:t>霸王神兵錦囊（網站未列地圖）；天界戰匣（網站未列地圖）；喜兔武器錦囊‧參（網站未列地圖）；掠奪武器包裹（網站未列地圖）；羅剎寶袋（網站未列地圖）；神來裝樂透卡之三（網站未列地圖）；龍紋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；[傘鬼]（網站未列地圖）；傘鬼（長野沙濱、葉隱蒼林、八荒古墳）</x:t>
        </x:is>
      </x:c>
    </x:row>
    <x:row r="1354" ht="15" customHeight="1">
      <x:c r="A1354" s="55" t="str">
        <x:v>絕世雷神錘</x:v>
      </x:c>
      <x:c r="B1354" s="55" t="str">
        <x:v>—</x:v>
      </x:c>
      <x:c r="C1354" s="55" t="str">
        <x:v>—</x:v>
      </x:c>
      <x:c r="D1354" s="55" t="str">
        <x:v>—</x:v>
      </x:c>
      <x:c r="E1354" s="55" t="inlineStr">
        <x:is>
          <x:t>絕世天界戰匣（網站未列地圖）</x:t>
        </x:is>
      </x:c>
    </x:row>
    <x:row r="1355" ht="30" customHeight="1">
      <x:c r="A1355" s="55" t="str">
        <x:v>鎮妖錘</x:v>
      </x:c>
      <x:c r="B1355" s="55" t="str">
        <x:v>—</x:v>
      </x:c>
      <x:c r="C1355" s="55" t="str">
        <x:v>—</x:v>
      </x:c>
      <x:c r="D1355" s="55" t="str">
        <x:v>—</x:v>
      </x:c>
      <x:c r="E1355" s="55" t="inlineStr">
        <x:is>
          <x:t>水鬼（映月泊、萬人塚第二層、朝天觀、萬人塚第三層）；{水鬼}（桃花林東方、桃花林西方）；幽冥水鬼（網站未列地圖）</x:t>
        </x:is>
      </x:c>
    </x:row>
    <x:row r="1356" ht="60" customHeight="1">
      <x:c r="A1356" s="55" t="str">
        <x:v>神武錘</x:v>
      </x:c>
      <x:c r="B1356" s="55" t="str">
        <x:v>—</x:v>
      </x:c>
      <x:c r="C1356" s="55" t="str">
        <x:v>—</x:v>
      </x:c>
      <x:c r="D1356" s="55" t="str">
        <x:v>—</x:v>
      </x:c>
      <x:c r="E1356" s="55" t="inlineStr">
        <x:is>
          <x:t>黑天神兵元靈（網站未列地圖）；西域神兵錦囊（網站未列地圖）；血槍幫小頭目（高昌郡）；布衣幫首領（高昌郡）；傀儡盜匪頭目（萬佛窟、樓蘭遺址）；邪神勇士（火焰山）；巨錘猴精（千佛遺跡東側、千佛遺跡西側）；[巨錘猴精]（網站未列地圖）；黑天妖魔（萬佛窟、火焰山）；[黑天妖魔]（網站未列地圖）；盜匪頭目（塔干沙漠南方）</x:t>
        </x:is>
      </x:c>
    </x:row>
    <x:row r="1357" ht="60" customHeight="1">
      <x:c r="A1357" s="55" t="str">
        <x:v>天罡錘</x:v>
      </x:c>
      <x:c r="B1357" s="55" t="str">
        <x:v>—</x:v>
      </x:c>
      <x:c r="C1357" s="55" t="str">
        <x:v>—</x:v>
      </x:c>
      <x:c r="D1357" s="55" t="str">
        <x:v>—</x:v>
      </x:c>
      <x:c r="E1357" s="55" t="inlineStr">
        <x:is>
          <x:t>黑天神兵元靈（網站未列地圖）；西域神兵錦囊（網站未列地圖）；&lt;金冑聖象衛&gt;（真七寶仙境　貳）；血槍幫小頭目（高昌郡）；大黑天幻影（萬佛窟）；大黑天尊者（樓蘭遺址、火焰山）；布衣幫首領（高昌郡）；邪神勇士鬼魂（火焰山）；傀儡盜匪頭目（萬佛窟、樓蘭遺址）；大黑天（萬佛窟、火焰山）；巨錘猴精（千佛遺跡東側、千佛遺跡西側）；[巨錘猴精]（網站未列地圖）；盜匪頭目（塔干沙漠南方）</x:t>
        </x:is>
      </x:c>
    </x:row>
    <x:row r="1358" ht="30" customHeight="1">
      <x:c r="A1358" s="55" t="str">
        <x:v>混世魔王錘</x:v>
      </x:c>
      <x:c r="B1358" s="55" t="str">
        <x:v>—</x:v>
      </x:c>
      <x:c r="C1358" s="55" t="str">
        <x:v>—</x:v>
      </x:c>
      <x:c r="D1358" s="55" t="str">
        <x:v>—</x:v>
      </x:c>
      <x:c r="E1358" s="55" t="inlineStr">
        <x:is>
          <x:t>喜兔武器錦囊‧玖（網站未列地圖）；煉獄邪兵戰匣（網站未列地圖）；神來裝樂透卡之九（網站未列地圖）；馬面大喪神（永劫刑場）；悍野獅（止戰邊境、豐穗平原）；夜鴆鱗莽（波斯西市、漆黑水路）</x:t>
        </x:is>
      </x:c>
    </x:row>
    <x:row r="1359" ht="15" customHeight="1">
      <x:c r="A1359" s="55" t="str">
        <x:v>無雙混世錘</x:v>
      </x:c>
      <x:c r="B1359" s="55" t="str">
        <x:v>—</x:v>
      </x:c>
      <x:c r="C1359" s="55" t="str">
        <x:v>—</x:v>
      </x:c>
      <x:c r="D1359" s="55" t="str">
        <x:v>—</x:v>
      </x:c>
      <x:c r="E1359" s="55" t="inlineStr">
        <x:is>
          <x:t>煉獄無雙錦囊（網站未列地圖）</x:t>
        </x:is>
      </x:c>
    </x:row>
    <x:row r="1360" ht="30" customHeight="1">
      <x:c r="A1360" s="55" t="str">
        <x:v>鬼神爆碎錘</x:v>
      </x:c>
      <x:c r="B1360" s="55" t="str">
        <x:v>—</x:v>
      </x:c>
      <x:c r="C1360" s="55" t="str">
        <x:v>—</x:v>
      </x:c>
      <x:c r="D1360" s="55" t="str">
        <x:v>—</x:v>
      </x:c>
      <x:c r="E1360" s="55" t="inlineStr">
        <x:is>
          <x:t>無間邪兵戰匣（網站未列地圖）；阿鼻邪兵戰匣（網站未列地圖）；原始土靈（獅堡軍事區）；夜鴆鱗莽（波斯西市、漆黑水路）</x:t>
        </x:is>
      </x:c>
    </x:row>
    <x:row r="1361" ht="30" customHeight="1">
      <x:c r="A1361" s="55" t="str">
        <x:v>梵邪霸吼錘</x:v>
      </x:c>
      <x:c r="B1361" s="55" t="str">
        <x:v>—</x:v>
      </x:c>
      <x:c r="C1361" s="55" t="str">
        <x:v>—</x:v>
      </x:c>
      <x:c r="D1361" s="55" t="str">
        <x:v>—</x:v>
      </x:c>
      <x:c r="E1361" s="55" t="inlineStr">
        <x:is>
          <x:t>天鬼神羅奢薩（神煉之間）；闇心滅宗（神煉之間）；絕邪皇蠻（神煉之間）；祭邪大魔牛（神煉之間）；碎峰大梵鬼（神煉之間）；超生化骸（神煉之間）</x:t>
        </x:is>
      </x:c>
    </x:row>
    <x:row r="1362" ht="15" customHeight="1">
      <x:c r="A1362" s="55" t="str">
        <x:v>孽禍咆哮錘</x:v>
      </x:c>
      <x:c r="B1362" s="55" t="str">
        <x:v>—</x:v>
      </x:c>
      <x:c r="C1362" s="55" t="str">
        <x:v>—</x:v>
      </x:c>
      <x:c r="D1362" s="55" t="str">
        <x:v>—</x:v>
      </x:c>
      <x:c r="E1362" s="55" t="inlineStr">
        <x:is>
          <x:t>—</x:t>
        </x:is>
      </x:c>
    </x:row>
    <x:row r="1363" ht="15" customHeight="1">
      <x:c r="A1363" s="55" t="str">
        <x:v>太荒創始錘</x:v>
      </x:c>
      <x:c r="B1363" s="55" t="str">
        <x:v>—</x:v>
      </x:c>
      <x:c r="C1363" s="55" t="str">
        <x:v>—</x:v>
      </x:c>
      <x:c r="D1363" s="55" t="str">
        <x:v>—</x:v>
      </x:c>
      <x:c r="E1363" s="55" t="inlineStr">
        <x:is>
          <x:t>波斯神兵寶箱（網站未列地圖）；禍翼巨龍（擎空壁壘、凱旋廣場）</x:t>
        </x:is>
      </x:c>
    </x:row>
    <x:row r="1364" ht="15" customHeight="1">
      <x:c r="A1364" s="55" t="str">
        <x:v>太古太荒創始錘</x:v>
      </x:c>
      <x:c r="B1364" s="55" t="str">
        <x:v>—</x:v>
      </x:c>
      <x:c r="C1364" s="55" t="str">
        <x:v>—</x:v>
      </x:c>
      <x:c r="D1364" s="55" t="str">
        <x:v>—</x:v>
      </x:c>
      <x:c r="E1364" s="55" t="inlineStr">
        <x:is>
          <x:t>波斯太古神兵聖箱（網站未列地圖）；原罪十字軍（神臨之地）；&lt;原罪十字軍&gt;（修羅級神臨之地）</x:t>
        </x:is>
      </x:c>
    </x:row>
    <x:row r="1365" ht="30" customHeight="1">
      <x:c r="A1365" s="55" t="str">
        <x:v>創世聖王錘</x:v>
      </x:c>
      <x:c r="B1365" s="55" t="str">
        <x:v>—</x:v>
      </x:c>
      <x:c r="C1365" s="55" t="str">
        <x:v>—</x:v>
      </x:c>
      <x:c r="D1365" s="55" t="str">
        <x:v>—</x:v>
      </x:c>
      <x:c r="E1365" s="55" t="inlineStr">
        <x:is>
          <x:t>武皇神兵寶箱（網站未列地圖）；波斯千武印箱（網站未列地圖）；怒雷尊者（飛雲忘野、橫劍天關、仙庭玉階）；&lt;金冑聖象衛&gt;（真七寶仙境　貳）</x:t>
        </x:is>
      </x:c>
    </x:row>
    <x:row r="1366" ht="30" customHeight="1">
      <x:c r="A1366" s="55" t="str">
        <x:v>太古創世聖王錘</x:v>
      </x:c>
      <x:c r="B1366" s="55" t="str">
        <x:v>—</x:v>
      </x:c>
      <x:c r="C1366" s="55" t="str">
        <x:v>—</x:v>
      </x:c>
      <x:c r="D1366" s="55" t="str">
        <x:v>—</x:v>
      </x:c>
      <x:c r="E1366" s="55" t="inlineStr">
        <x:is>
          <x:t>年大媽（網站未列地圖）；波斯太古神兵聖箱（網站未列地圖）；地獄蜥蜴人（神臨之地）；&lt;地獄蜥蜴人&gt;（修羅級神臨之地）</x:t>
        </x:is>
      </x:c>
    </x:row>
    <x:row r="1367" ht="45" customHeight="1">
      <x:c r="A1367" s="55" t="str">
        <x:v>闢海神使錘</x:v>
      </x:c>
      <x:c r="B1367" s="55" t="str">
        <x:v>—</x:v>
      </x:c>
      <x:c r="C1367" s="55" t="str">
        <x:v>—</x:v>
      </x:c>
      <x:c r="D1367" s="55" t="str">
        <x:v>—</x:v>
      </x:c>
      <x:c r="E1367" s="55" t="inlineStr">
        <x:is>
          <x:t>終末巨龍（神臨之地）；幻滅巨龍（神臨之地）；原罪十字軍（神臨之地）；煉獄淑女（神臨之地）；幻魔‧火鐮（神臨之地）；幻魔‧海蛇（神臨之地）；米諾陶勒斯（神臨之地）；地獄蜥蜴人（神臨之地）；地獄鷹身女（神臨之地）；地獄狂獅王（神臨之地）；傲慢之魔（神臨之地）；狂怒之魔（神臨之地）；貪慾之魔（神臨之地）</x:t>
        </x:is>
      </x:c>
    </x:row>
    <x:row r="1368" ht="60" customHeight="1">
      <x:c r="A1368" s="55" t="str">
        <x:v>泰坦降誕錘</x:v>
      </x:c>
      <x:c r="B1368" s="55" t="str">
        <x:v>—</x:v>
      </x:c>
      <x:c r="C1368" s="55" t="str">
        <x:v>—</x:v>
      </x:c>
      <x:c r="D1368" s="55" t="str">
        <x:v>—</x:v>
      </x:c>
      <x:c r="E1368" s="55" t="inlineStr">
        <x:is>
          <x:t>&lt;終末巨龍&gt;（修羅級神臨之地）；&lt;幻滅巨龍&gt;（修羅級神臨之地）；&lt;原罪十字軍&gt;（修羅級神臨之地）；&lt;煉獄淑女&gt;（修羅級神臨之地）；&lt;幻魔‧火鐮&gt;（修羅級神臨之地）；&lt;幻魔‧海蛇&gt;（修羅級神臨之地）；&lt;米諾陶勒斯&gt;（修羅級神臨之地）；&lt;地獄蜥蜴人&gt;（修羅級神臨之地）；&lt;地獄鷹身女&gt;（修羅級神臨之地）；&lt;地獄狂獅王&gt;（修羅級神臨之地）；&lt;傲慢之魔&gt;（修羅級神臨之地）；&lt;狂怒之魔&gt;（修羅級神臨之地）；&lt;貪慾之魔&gt;（修羅級神臨之地）</x:t>
        </x:is>
      </x:c>
    </x:row>
    <x:row r="1369" ht="15" customHeight="1">
      <x:c r="A1369" s="55" t="str">
        <x:v>斬惡聖衛鋼錘</x:v>
      </x:c>
      <x:c r="B1369" s="55" t="str">
        <x:v>—</x:v>
      </x:c>
      <x:c r="C1369" s="55" t="str">
        <x:v>—</x:v>
      </x:c>
      <x:c r="D1369" s="55" t="str">
        <x:v>—</x:v>
      </x:c>
      <x:c r="E1369" s="55" t="inlineStr">
        <x:is>
          <x:t>霸武聖兵寶樞（網站未列地圖）</x:t>
        </x:is>
      </x:c>
    </x:row>
    <x:row r="1370" ht="15" customHeight="1">
      <x:c r="A1370" s="55" t="str">
        <x:v>滅元聖衛鋼錘</x:v>
      </x:c>
      <x:c r="B1370" s="55" t="str">
        <x:v>—</x:v>
      </x:c>
      <x:c r="C1370" s="55" t="str">
        <x:v>—</x:v>
      </x:c>
      <x:c r="D1370" s="55" t="str">
        <x:v>—</x:v>
      </x:c>
      <x:c r="E1370" s="55" t="inlineStr">
        <x:is>
          <x:t>霸武聖兵寶樞（網站未列地圖）</x:t>
        </x:is>
      </x:c>
    </x:row>
    <x:row r="1371" ht="15" customHeight="1">
      <x:c r="A1371" s="55" t="str">
        <x:v>碎驅聖衛鋼錘</x:v>
      </x:c>
      <x:c r="B1371" s="55" t="str">
        <x:v>—</x:v>
      </x:c>
      <x:c r="C1371" s="55" t="str">
        <x:v>—</x:v>
      </x:c>
      <x:c r="D1371" s="55" t="str">
        <x:v>—</x:v>
      </x:c>
      <x:c r="E1371" s="55" t="inlineStr">
        <x:is>
          <x:t>霸武聖兵寶樞（網站未列地圖）</x:t>
        </x:is>
      </x:c>
    </x:row>
    <x:row r="1372" ht="15" customHeight="1">
      <x:c r="A1372" s="55" t="str">
        <x:v>獵命聖衛鋼錘</x:v>
      </x:c>
      <x:c r="B1372" s="55" t="str">
        <x:v>—</x:v>
      </x:c>
      <x:c r="C1372" s="55" t="str">
        <x:v>—</x:v>
      </x:c>
      <x:c r="D1372" s="55" t="str">
        <x:v>—</x:v>
      </x:c>
      <x:c r="E1372" s="55" t="inlineStr">
        <x:is>
          <x:t>霸武聖兵寶樞（網站未列地圖）</x:t>
        </x:is>
      </x:c>
    </x:row>
    <x:row r="1373" ht="15" customHeight="1">
      <x:c r="A1373" s="55" t="str">
        <x:v>璇龍麗錘</x:v>
      </x:c>
      <x:c r="B1373" s="55" t="str">
        <x:v>—</x:v>
      </x:c>
      <x:c r="C1373" s="55" t="str">
        <x:v>—</x:v>
      </x:c>
      <x:c r="D1373" s="55" t="str">
        <x:v>—</x:v>
      </x:c>
      <x:c r="E1373" s="55" t="inlineStr">
        <x:is>
          <x:t>九天神兵寶箱（網站未列地圖）；連雲精衛（天啟八關）；劈天大雷神（闕真金閣）；霸雷天尊（網站未列地圖）</x:t>
        </x:is>
      </x:c>
    </x:row>
    <x:row r="1374" ht="30" customHeight="1">
      <x:c r="A1374" s="55" t="str">
        <x:v>太古璇龍麗錘</x:v>
      </x:c>
      <x:c r="B1374" s="55" t="str">
        <x:v>—</x:v>
      </x:c>
      <x:c r="C1374" s="55" t="str">
        <x:v>—</x:v>
      </x:c>
      <x:c r="D1374" s="55" t="str">
        <x:v>—</x:v>
      </x:c>
      <x:c r="E1374" s="55" t="inlineStr">
        <x:is>
          <x:t>九天太古神兵聖箱（網站未列地圖）；魔劍仙無上（繚空碎島）；幻魔忍無鄉（橫劍天關）；仙典九天寶箱（網站未列地圖）；&lt;天樓龍驍將&gt;（修羅級九霄天樓）</x:t>
        </x:is>
      </x:c>
    </x:row>
    <x:row r="1375" ht="15" customHeight="1">
      <x:c r="A1375" s="55" t="str">
        <x:v>玉簇龍晶錘</x:v>
      </x:c>
      <x:c r="B1375" s="55" t="str">
        <x:v>—</x:v>
      </x:c>
      <x:c r="C1375" s="55" t="str">
        <x:v>—</x:v>
      </x:c>
      <x:c r="D1375" s="55" t="str">
        <x:v>—</x:v>
      </x:c>
      <x:c r="E1375" s="55" t="inlineStr">
        <x:is>
          <x:t>仙庭神兵寶箱（網站未列地圖）；太古射俑（紫雷轟原）</x:t>
        </x:is>
      </x:c>
    </x:row>
    <x:row r="1376" ht="15" customHeight="1">
      <x:c r="A1376" s="55" t="str">
        <x:v>太古玉簇龍晶錘</x:v>
      </x:c>
      <x:c r="B1376" s="55" t="str">
        <x:v>—</x:v>
      </x:c>
      <x:c r="C1376" s="55" t="str">
        <x:v>—</x:v>
      </x:c>
      <x:c r="D1376" s="55" t="str">
        <x:v>—</x:v>
      </x:c>
      <x:c r="E1376" s="55" t="inlineStr">
        <x:is>
          <x:t>九天太古神兵聖箱（網站未列地圖）</x:t>
        </x:is>
      </x:c>
    </x:row>
    <x:row r="1377" ht="45" customHeight="1">
      <x:c r="A1377" s="55" t="str">
        <x:v>天鍛‧轟雷錘</x:v>
      </x:c>
      <x:c r="B1377" s="55" t="str">
        <x:v>—</x:v>
      </x:c>
      <x:c r="C1377" s="55" t="str">
        <x:v>—</x:v>
      </x:c>
      <x:c r="D1377" s="55" t="str">
        <x:v>—</x:v>
      </x:c>
      <x:c r="E1377" s="55" t="inlineStr">
        <x:is>
          <x:t>無限神兵寶箱（網站未列地圖）；怒疆霸龍（青龍東殿）；疲憊的阿修羅戰士（異時界‧亂藤林東）；幻業術魔（無限鬥界）；&lt;幻業術魔&gt;（修羅級無限鬥界）；北天吼霸（玄武北殿）；食人狂猿（異時界‧亂藤林南）；舞墓白獅（異時界‧亂藤林西）</x:t>
        </x:is>
      </x:c>
    </x:row>
    <x:row r="1378" ht="60" customHeight="1">
      <x:c r="A1378" s="55" t="str">
        <x:v>仙鑄‧轟雷錘</x:v>
      </x:c>
      <x:c r="B1378" s="55" t="str">
        <x:v>—</x:v>
      </x:c>
      <x:c r="C1378" s="55" t="str">
        <x:v>—</x:v>
      </x:c>
      <x:c r="D1378" s="55" t="str">
        <x:v>—</x:v>
      </x:c>
      <x:c r="E1378" s="55" t="inlineStr">
        <x:is>
          <x:t>大無限神兵寶箱（網站未列地圖）；侯氏兵甲福袋2015（網站未列地圖）；魔心殺猿（異時界‧葬日沼澤）；夜叉獵矛手（異時界‧摘星嶺）；夜叉血斧手（異時界‧摘星嶺）；金岩怪（異時界‧摘星嶺）；妄想非僧（異時界‧葬日沼澤）；亡邪獵矛夜叉（異時界‧葬日沼北）；亡邪土行骸（異時界‧葬日沼北）；鷹翅天衛（異時界‧修羅窟）；夜叉邪棒妖（異時界‧夜叉嶺）</x:t>
        </x:is>
      </x:c>
    </x:row>
    <x:row r="1379" ht="30" customHeight="1">
      <x:c r="A1379" s="55" t="str">
        <x:v>神煉‧轟雷錘</x:v>
      </x:c>
      <x:c r="B1379" s="55" t="str">
        <x:v>—</x:v>
      </x:c>
      <x:c r="C1379" s="55" t="str">
        <x:v>—</x:v>
      </x:c>
      <x:c r="D1379" s="55" t="str">
        <x:v>—</x:v>
      </x:c>
      <x:c r="E1379" s="55" t="inlineStr">
        <x:is>
          <x:t>超無限神兵寶箱（網站未列地圖）；三之極限福袋（網站未列地圖）；虛影刺客（時沒邊界）；影石魔（時沒邊界）；盪霧影鼠（時沒邊界）；鋼冑聖騎‧強（殘雲天境）</x:t>
        </x:is>
      </x:c>
    </x:row>
    <x:row r="1380" ht="30" customHeight="1">
      <x:c r="A1380" s="55" t="str">
        <x:v>宇傲‧轟雷錘</x:v>
      </x:c>
      <x:c r="B1380" s="55" t="str">
        <x:v>—</x:v>
      </x:c>
      <x:c r="C1380" s="55" t="str">
        <x:v>—</x:v>
      </x:c>
      <x:c r="D1380" s="55" t="str">
        <x:v>—</x:v>
      </x:c>
      <x:c r="E1380" s="55" t="inlineStr">
        <x:is>
          <x:t>極無限神兵寶箱（網站未列地圖）；侯氏兵甲福袋2016（網站未列地圖）；殘影龍形（音無晶宇）；三徊朽靈（觀無巽宇）；沒日夸父（觀無巽宇）；影妖狐（覺無洋宇）；陌形雷手（時沒邊界）</x:t>
        </x:is>
      </x:c>
    </x:row>
    <x:row r="1381" ht="30" customHeight="1">
      <x:c r="A1381" s="55" t="str">
        <x:v>峻霆‧轟雷錘</x:v>
      </x:c>
      <x:c r="B1381" s="55" t="str">
        <x:v>—</x:v>
      </x:c>
      <x:c r="C1381" s="55" t="str">
        <x:v>—</x:v>
      </x:c>
      <x:c r="D1381" s="55" t="str">
        <x:v>—</x:v>
      </x:c>
      <x:c r="E1381" s="55" t="inlineStr">
        <x:is>
          <x:t>絕無限神兵寶箱（網站未列地圖）；黑宇怒龍（音無晶宇）；奠甲鬥士（星群碎道）；鬼棒狩命（星群碎道）；斃法巫孺（不解迴路）；鬼都玄龍（不解迴路）；虛淵鬥靈（虛空渦心）</x:t>
        </x:is>
      </x:c>
    </x:row>
    <x:row r="1382" ht="15" customHeight="1">
      <x:c r="A1382" s="55" t="str">
        <x:v>窮極‧轟雷錘</x:v>
      </x:c>
      <x:c r="B1382" s="55" t="str">
        <x:v>—</x:v>
      </x:c>
      <x:c r="C1382" s="55" t="str">
        <x:v>—</x:v>
      </x:c>
      <x:c r="D1382" s="55" t="str">
        <x:v>—</x:v>
      </x:c>
      <x:c r="E1382" s="55" t="inlineStr">
        <x:is>
          <x:t>無無限神兵寶箱（網站未列地圖）；雙雷轟手（終末之塔第3層、終末之塔第4層）；冥虛短使（虛空渦心）</x:t>
        </x:is>
      </x:c>
    </x:row>
    <x:row r="1383" ht="45" customHeight="1">
      <x:c r="A1383" s="55" t="str">
        <x:v>元宙‧轟雷錘</x:v>
      </x:c>
      <x:c r="B1383" s="55" t="str">
        <x:v>—</x:v>
      </x:c>
      <x:c r="C1383" s="55" t="str">
        <x:v>—</x:v>
      </x:c>
      <x:c r="D1383" s="55" t="str">
        <x:v>—</x:v>
      </x:c>
      <x:c r="E1383" s="55" t="inlineStr">
        <x:is>
          <x:t>帝無限神兵寶箱（網站未列地圖）；萬鈞碎錘（終末之塔第30層、終末之塔第23層）；大滅霸（終末之塔第25層、終末之塔第27層）；虛潛獸（終末之塔第12層、終末之塔第15層）；天慧爆錘（終末之塔第7層、終末之塔第8層）；虛來轟錘（吉薩走廊）</x:t>
        </x:is>
      </x:c>
    </x:row>
    <x:row r="1384" ht="30" customHeight="1">
      <x:c r="A1384" s="55" t="str">
        <x:v>真宇傲轟雷錘</x:v>
      </x:c>
      <x:c r="B1384" s="55" t="str">
        <x:v>—</x:v>
      </x:c>
      <x:c r="C1384" s="55" t="str">
        <x:v>—</x:v>
      </x:c>
      <x:c r="D1384" s="55" t="str">
        <x:v>—</x:v>
      </x:c>
      <x:c r="E1384" s="55" t="inlineStr">
        <x:is>
          <x:t>終無限神兵寶箱（網站未列地圖）；萬金錘蜴（終末之塔第32層、終末之塔第33層）；金奇電鼠（終末之塔第42層、終末之塔第45層）；鑽岩鋼蛇（古翰大沙漠）；艾濟矮靈（吉薩走廊）</x:t>
        </x:is>
      </x:c>
    </x:row>
    <x:row r="1385" ht="45" customHeight="1">
      <x:c r="A1385" s="55" t="str">
        <x:v>九河錘★</x:v>
      </x:c>
      <x:c r="B1385" s="55" t="str">
        <x:v>—</x:v>
      </x:c>
      <x:c r="C1385" s="55" t="str">
        <x:v>—</x:v>
      </x:c>
      <x:c r="D1385" s="55" t="str">
        <x:v>—</x:v>
      </x:c>
      <x:c r="E1385" s="55" t="inlineStr">
        <x:is>
          <x:t>仙星神兵寶箱（網站未列地圖）；天罪僧侶錦囊（網站未列地圖）；柱末腐豚（終末之塔第56層、終末之塔第57層）；烈日行蜴（古翰大沙漠）；尼絡女鬥士（太陽神大道）；雪槍狂豹（太陽神大道）；盧索警司（王都盧索）；眾靈妖祭（托勒密山麓）</x:t>
        </x:is>
      </x:c>
    </x:row>
    <x:row r="1386" ht="30" customHeight="1">
      <x:c r="A1386" s="55" t="str">
        <x:v>九河錘★★</x:v>
      </x:c>
      <x:c r="B1386" s="55" t="str">
        <x:v>—</x:v>
      </x:c>
      <x:c r="C1386" s="55" t="str">
        <x:v>—</x:v>
      </x:c>
      <x:c r="D1386" s="55" t="str">
        <x:v>—</x:v>
      </x:c>
      <x:c r="E1386" s="55" t="inlineStr">
        <x:is>
          <x:t>真‧仙星神兵寶箱（網站未列地圖）；罪赦僧侶錦囊（網站未列地圖）；碎魂金鬼（終末之塔第63層、終末之塔第64層）；盜墓侏賊（赫勒神殿遺址）；殉王木乃伊（赫勒神殿遺址）；貝斯（荷魯斯聖祠）</x:t>
        </x:is>
      </x:c>
    </x:row>
    <x:row r="1387" ht="30" customHeight="1">
      <x:c r="A1387" s="55" t="str">
        <x:v>九河錘★★★</x:v>
      </x:c>
      <x:c r="B1387" s="55" t="str">
        <x:v>—</x:v>
      </x:c>
      <x:c r="C1387" s="55" t="str">
        <x:v>—</x:v>
      </x:c>
      <x:c r="D1387" s="55" t="str">
        <x:v>—</x:v>
      </x:c>
      <x:c r="E1387" s="55" t="inlineStr">
        <x:is>
          <x:t>超‧仙星神兵寶箱（網站未列地圖）；終罪僧侶錦囊（網站未列地圖）；幽閉怒獸（終末之塔第91層、終末之塔第100層）</x:t>
        </x:is>
      </x:c>
    </x:row>
    <x:row r="1388" ht="30" customHeight="1">
      <x:c r="A1388" s="55" t="str">
        <x:v>侯欽錘☆</x:v>
      </x:c>
      <x:c r="B1388" s="55" t="str">
        <x:v>—</x:v>
      </x:c>
      <x:c r="C1388" s="55" t="str">
        <x:v>—</x:v>
      </x:c>
      <x:c r="D1388" s="55" t="str">
        <x:v>—</x:v>
      </x:c>
      <x:c r="E1388" s="55" t="inlineStr">
        <x:is>
          <x:t>煌星神兵寶箱（網站未列地圖）；天罪僧侶錦囊（網站未列地圖）；魔幻蜘蛛（終末之塔第113層、終末之塔第114層、終末之塔第112層）；扞河龐蟹（終末之塔第107層、終末之塔第108層）；星墜重隕（終末之塔第97層）</x:t>
        </x:is>
      </x:c>
    </x:row>
    <x:row r="1389" ht="15" customHeight="1">
      <x:c r="A1389" s="55" t="str">
        <x:v>侯欽錘☆☆</x:v>
      </x:c>
      <x:c r="B1389" s="55" t="str">
        <x:v>—</x:v>
      </x:c>
      <x:c r="C1389" s="55" t="str">
        <x:v>—</x:v>
      </x:c>
      <x:c r="D1389" s="55" t="str">
        <x:v>—</x:v>
      </x:c>
      <x:c r="E1389" s="55" t="inlineStr">
        <x:is>
          <x:t>真‧煌星神兵寶箱（網站未列地圖）；怪物大王（終末之塔第128層、終末之塔第124層）</x:t>
        </x:is>
      </x:c>
    </x:row>
    <x:row r="1390" ht="30" customHeight="1">
      <x:c r="A1390" s="55" t="str">
        <x:v>侯欽錘☆☆☆</x:v>
      </x:c>
      <x:c r="B1390" s="55" t="str">
        <x:v>—</x:v>
      </x:c>
      <x:c r="C1390" s="55" t="str">
        <x:v>—</x:v>
      </x:c>
      <x:c r="D1390" s="55" t="str">
        <x:v>—</x:v>
      </x:c>
      <x:c r="E1390" s="55" t="inlineStr">
        <x:is>
          <x:t>超‧煌星神兵寶箱（網站未列地圖）；鉑皮械熊（終末之塔第142層、終末之塔第149層、終末之塔第148層、終末之塔第146層）</x:t>
        </x:is>
      </x:c>
    </x:row>
    <x:row r="1391" ht="15" customHeight="1">
      <x:c r="A1391" s="55" t="str">
        <x:v>界王錘☆</x:v>
      </x:c>
      <x:c r="B1391" s="55" t="str">
        <x:v>—</x:v>
      </x:c>
      <x:c r="C1391" s="55" t="str">
        <x:v>—</x:v>
      </x:c>
      <x:c r="D1391" s="55" t="str">
        <x:v>—</x:v>
      </x:c>
      <x:c r="E1391" s="55" t="inlineStr">
        <x:is>
          <x:t>帝星神兵寶箱（網站未列地圖）；山林地俠宗（西校場）</x:t>
        </x:is>
      </x:c>
    </x:row>
    <x:row r="1392" ht="30" customHeight="1">
      <x:c r="A1392" s="55" t="str">
        <x:v>界王錘★</x:v>
      </x:c>
      <x:c r="B1392" s="55" t="str">
        <x:v>—</x:v>
      </x:c>
      <x:c r="C1392" s="55" t="str">
        <x:v>—</x:v>
      </x:c>
      <x:c r="D1392" s="55" t="str">
        <x:v>—</x:v>
      </x:c>
      <x:c r="E1392" s="55" t="inlineStr">
        <x:is>
          <x:t>真‧帝星神兵寶箱（網站未列地圖）；武冠劍俠錦囊（網站未列地圖）；武冠道人錦囊（網站未列地圖）；武冠僧侶錦囊（網站未列地圖）</x:t>
        </x:is>
      </x:c>
    </x:row>
    <x:row r="1393" ht="15" customHeight="1">
      <x:c r="A1393" s="55" t="str">
        <x:v>界王錘★☆</x:v>
      </x:c>
      <x:c r="B1393" s="55" t="str">
        <x:v>—</x:v>
      </x:c>
      <x:c r="C1393" s="55" t="str">
        <x:v>—</x:v>
      </x:c>
      <x:c r="D1393" s="55" t="str">
        <x:v>—</x:v>
      </x:c>
      <x:c r="E1393" s="55" t="inlineStr">
        <x:is>
          <x:t>超‧帝星神兵寶箱（網站未列地圖）；草獅精（齊襄道、太安道、東海道）</x:t>
        </x:is>
      </x:c>
    </x:row>
    <x:row r="1394" ht="15" customHeight="1">
      <x:c r="A1394" s="55" t="str">
        <x:v>界王錘★★</x:v>
      </x:c>
      <x:c r="B1394" s="55" t="str">
        <x:v>—</x:v>
      </x:c>
      <x:c r="C1394" s="55" t="str">
        <x:v>—</x:v>
      </x:c>
      <x:c r="D1394" s="55" t="str">
        <x:v>—</x:v>
      </x:c>
      <x:c r="E1394" s="55" t="inlineStr">
        <x:is>
          <x:t>極‧帝星神兵寶箱（網站未列地圖）；黃泉軍（濟馬島）</x:t>
        </x:is>
      </x:c>
    </x:row>
    <x:row r="1395" ht="30" customHeight="1">
      <x:c r="A1395" s="55" t="str">
        <x:v>界王錘★★☆</x:v>
      </x:c>
      <x:c r="B1395" s="55" t="str">
        <x:v>—</x:v>
      </x:c>
      <x:c r="C1395" s="55" t="str">
        <x:v>—</x:v>
      </x:c>
      <x:c r="D1395" s="55" t="str">
        <x:v>—</x:v>
      </x:c>
      <x:c r="E1395" s="55" t="inlineStr">
        <x:is>
          <x:t>絕‧帝星神兵寶箱（網站未列地圖）；天元劍俠錦囊（網站未列地圖）；天元道人錦囊（網站未列地圖）；天元僧侶錦囊（網站未列地圖）；處刑機兵（燕蕩嶺）</x:t>
        </x:is>
      </x:c>
    </x:row>
    <x:row r="1396" ht="15" customHeight="1">
      <x:c r="A1396" s="55" t="str">
        <x:v>界王錘★★★</x:v>
      </x:c>
      <x:c r="B1396" s="55" t="str">
        <x:v>—</x:v>
      </x:c>
      <x:c r="C1396" s="55" t="str">
        <x:v>—</x:v>
      </x:c>
      <x:c r="D1396" s="55" t="str">
        <x:v>—</x:v>
      </x:c>
      <x:c r="E1396" s="55" t="inlineStr">
        <x:is>
          <x:t>神‧帝星神兵寶箱（網站未列地圖）；綠影遊蝸（始祖巨林）</x:t>
        </x:is>
      </x:c>
    </x:row>
    <x:row r="1397" ht="15" customHeight="1">
      <x:c r="A1397" s="55" t="str">
        <x:v>聖女天禱錘</x:v>
      </x:c>
      <x:c r="B1397" s="55" t="str">
        <x:v>—</x:v>
      </x:c>
      <x:c r="C1397" s="55" t="str">
        <x:v>—</x:v>
      </x:c>
      <x:c r="D1397" s="55" t="str">
        <x:v>—</x:v>
      </x:c>
      <x:c r="E1397" s="55" t="inlineStr">
        <x:is>
          <x:t>盡宇絕兵聖箱（網站未列地圖）；新‧神武之岩（網站未列地圖）；年大媽（網站未列地圖）</x:t>
        </x:is>
      </x:c>
    </x:row>
    <x:row r="1398" ht="15" customHeight="1">
      <x:c r="A1398" s="55" t="str">
        <x:v>赫菲煉炎錘</x:v>
      </x:c>
      <x:c r="B1398" s="55" t="str">
        <x:v>—</x:v>
      </x:c>
      <x:c r="C1398" s="55" t="str">
        <x:v>—</x:v>
      </x:c>
      <x:c r="D1398" s="55" t="str">
        <x:v>—</x:v>
      </x:c>
      <x:c r="E1398" s="55" t="inlineStr">
        <x:is>
          <x:t>奧林帕斯神兵聖櫃（網站未列地圖）；武冠千軍錦囊（網站未列地圖）</x:t>
        </x:is>
      </x:c>
    </x:row>
    <x:row r="1399" ht="15" customHeight="1">
      <x:c r="A1399" s="55" t="str">
        <x:v>赫菲煉炎錘</x:v>
      </x:c>
      <x:c r="B1399" s="55" t="str">
        <x:v>—</x:v>
      </x:c>
      <x:c r="C1399" s="55" t="str">
        <x:v>—</x:v>
      </x:c>
      <x:c r="D1399" s="55" t="str">
        <x:v>—</x:v>
      </x:c>
      <x:c r="E1399" s="55" t="inlineStr">
        <x:is>
          <x:t>奧林帕斯神兵聖櫃（網站未列地圖）</x:t>
        </x:is>
      </x:c>
    </x:row>
    <x:row r="1400" ht="15" customHeight="1">
      <x:c r="A1400" s="55" t="str">
        <x:v>六爻初陽錘</x:v>
      </x:c>
      <x:c r="B1400" s="55" t="str">
        <x:v>—</x:v>
      </x:c>
      <x:c r="C1400" s="55" t="str">
        <x:v>—</x:v>
      </x:c>
      <x:c r="D1400" s="55" t="str">
        <x:v>—</x:v>
      </x:c>
      <x:c r="E1400" s="55" t="inlineStr">
        <x:is>
          <x:t>仙藏天寶鑑兵匣（網站未列地圖）；仙儀丹曦帝武玉匣（網站未列地圖）</x:t>
        </x:is>
      </x:c>
    </x:row>
    <x:row r="1401" ht="15" customHeight="1">
      <x:c r="A1401" s="55" t="str">
        <x:v>六爻初陽錘</x:v>
      </x:c>
      <x:c r="B1401" s="55" t="str">
        <x:v>—</x:v>
      </x:c>
      <x:c r="C1401" s="55" t="str">
        <x:v>—</x:v>
      </x:c>
      <x:c r="D1401" s="55" t="str">
        <x:v>—</x:v>
      </x:c>
      <x:c r="E1401" s="55" t="inlineStr">
        <x:is>
          <x:t>仙儀丹曦帝武玉匣（網站未列地圖）</x:t>
        </x:is>
      </x:c>
    </x:row>
    <x:row r="1402" ht="30" customHeight="1">
      <x:c r="A1402" s="55" t="str">
        <x:v>鳳閣紅鸞錘</x:v>
      </x:c>
      <x:c r="B1402" s="55" t="str">
        <x:v>—</x:v>
      </x:c>
      <x:c r="C1402" s="55" t="str">
        <x:v>—</x:v>
      </x:c>
      <x:c r="D1402" s="55" t="str">
        <x:v>—</x:v>
      </x:c>
      <x:c r="E1402" s="55" t="inlineStr">
        <x:is>
          <x:t>天尊帝宿超武神匣（網站未列地圖）；蓋世無雙錦囊（網站未列地圖）；宿敵錦囊（網站未列地圖）；仙之極境錦囊（網站未列地圖）</x:t>
        </x:is>
      </x:c>
    </x:row>
    <x:row r="1403" ht="60" customHeight="1">
      <x:c r="A1403" s="55" t="str">
        <x:v>朱雀宮魔流擊</x:v>
      </x:c>
      <x:c r="B1403" s="55" t="str">
        <x:v>—</x:v>
      </x:c>
      <x:c r="C1403" s="55" t="str">
        <x:v>—</x:v>
      </x:c>
      <x:c r="D1403" s="55" t="str">
        <x:v>—</x:v>
      </x:c>
      <x:c r="E1403" s="55" t="inlineStr">
        <x:is>
          <x:t>鎮天聖守星武神匣（網站未列地圖）；超級旗開得勝錦囊（網站未列地圖）；出奇制勝錦囊（網站未列地圖）；百勝稱雄錦囊（網站未列地圖）；〈松齡聖龜〉（真七寶仙境　壹）；〈妙捷跳鼠〉（真七寶仙境　壹）；《松齡聖龜》（真七寶仙境　壹）；《妙捷跳鼠》（真七寶仙境　壹）；【松齡聖龜】（真七寶仙境　壹）；【妙捷跳鼠】（真七寶仙境　壹）；貪吃蝦兵（網站未列地圖）</x:t>
        </x:is>
      </x:c>
    </x:row>
    <x:row r="1404" ht="45" customHeight="1">
      <x:c r="A1404" s="55" t="str">
        <x:v>英招虎翼碎</x:v>
      </x:c>
      <x:c r="B1404" s="55" t="str">
        <x:v>—</x:v>
      </x:c>
      <x:c r="C1404" s="55" t="str">
        <x:v>—</x:v>
      </x:c>
      <x:c r="D1404" s="55" t="str">
        <x:v>—</x:v>
      </x:c>
      <x:c r="E1404" s="55" t="inlineStr">
        <x:is>
          <x:t>永恆山海唯武神匣（網站未列地圖）；完銷紀念寶箱（網站未列地圖）；○松齡聖龜○（超七寶仙境　壹）；○妙捷跳鼠○（超七寶仙境　壹）；◎松齡聖龜◎（超七寶仙境　壹）；◎妙捷跳鼠◎（超七寶仙境　壹）；●松齡聖龜●（超七寶仙境　壹）；●妙捷跳鼠●（超七寶仙境　壹）</x:t>
        </x:is>
      </x:c>
    </x:row>
    <x:row r="1405" ht="30" customHeight="1">
      <x:c r="A1405" s="55" t="str">
        <x:v>夜龍擊‧殺風</x:v>
      </x:c>
      <x:c r="B1405" s="55" t="str">
        <x:v>—</x:v>
      </x:c>
      <x:c r="C1405" s="55" t="str">
        <x:v>—</x:v>
      </x:c>
      <x:c r="D1405" s="55" t="str">
        <x:v>—</x:v>
      </x:c>
      <x:c r="E1405" s="55" t="inlineStr">
        <x:is>
          <x:t>創宇諸恆極兵神匣（網站未列地圖）；地冠獨行錦囊（網站未列地圖）；侯氏兵甲福袋2018（網站未列地圖）；旺來獻吉福袋（網站未列地圖）；金旺犬刮刮樂（網站未列地圖）；金犬刮刮樂（網站未列地圖）</x:t>
        </x:is>
      </x:c>
    </x:row>
    <x:row r="1406" ht="45" customHeight="1">
      <x:c r="A1406" s="55" t="str">
        <x:v>神槌‧妙尼爾</x:v>
      </x:c>
      <x:c r="B1406" s="55" t="str">
        <x:v>—</x:v>
      </x:c>
      <x:c r="C1406" s="55" t="str">
        <x:v>—</x:v>
      </x:c>
      <x:c r="D1406" s="55" t="str">
        <x:v>—</x:v>
      </x:c>
      <x:c r="E1406" s="55" t="inlineStr">
        <x:is>
          <x:t>阿薩群鋒巨武神匣（網站未列地圖）；侯氏兵甲福袋2019（網站未列地圖）；世紀縱橫錦囊（網站未列地圖）；真‧大秘境寶箱（網站未列地圖）；真大秘境寶箱（網站未列地圖）；金豬刮刮樂（網站未列地圖）；通寶院珍寶箱（網站未列地圖）</x:t>
        </x:is>
      </x:c>
    </x:row>
    <x:row r="1407" ht="15" customHeight="1">
      <x:c r="A1407" s="55" t="str">
        <x:v>神槌‧妙尼爾</x:v>
      </x:c>
      <x:c r="B1407" s="55" t="str">
        <x:v>—</x:v>
      </x:c>
      <x:c r="C1407" s="55" t="str">
        <x:v>—</x:v>
      </x:c>
      <x:c r="D1407" s="55" t="str">
        <x:v>—</x:v>
      </x:c>
      <x:c r="E1407" s="55" t="inlineStr">
        <x:is>
          <x:t>阿薩群鋒巨武神匣（網站未列地圖）</x:t>
        </x:is>
      </x:c>
    </x:row>
    <x:row r="1408" ht="45" customHeight="1">
      <x:c r="A1408" s="55" t="str">
        <x:v>甦錘納‧努特</x:v>
      </x:c>
      <x:c r="B1408" s="55" t="str">
        <x:v>—</x:v>
      </x:c>
      <x:c r="C1408" s="55" t="str">
        <x:v>—</x:v>
      </x:c>
      <x:c r="D1408" s="55" t="str">
        <x:v>—</x:v>
      </x:c>
      <x:c r="E1408" s="55" t="inlineStr">
        <x:is>
          <x:t>法皇罪裁錦囊（網站未列地圖）；麻辣天罪錦囊（網站未列地圖）；真‧大秘境寶箱（網站未列地圖）；金鼠刮刮樂（網站未列地圖）；★仙露花精★（極七寶仙境　壹）；★霧隱忍武★（極七寶仙境　壹）；☆仙露花精☆（極七寶仙境　壹）；☆霧隱忍武☆（極七寶仙境　壹）；⊕仙露花精⊕（極七寶仙境　壹）；⊕霧隱忍武⊕（極七寶仙境　壹）</x:t>
        </x:is>
      </x:c>
    </x:row>
    <x:row r="1409" ht="15" customHeight="1">
      <x:c r="A1409" s="55" t="str">
        <x:v>甦錘納‧努特</x:v>
      </x:c>
      <x:c r="B1409" s="55" t="str">
        <x:v>—</x:v>
      </x:c>
      <x:c r="C1409" s="55" t="str">
        <x:v>—</x:v>
      </x:c>
      <x:c r="D1409" s="55" t="str">
        <x:v>—</x:v>
      </x:c>
      <x:c r="E1409" s="55" t="inlineStr">
        <x:is>
          <x:t>冥府皇統法老征匣（網站未列地圖）</x:t>
        </x:is>
      </x:c>
    </x:row>
    <x:row r="1410" ht="15" customHeight="1">
      <x:c r="A1410" s="55" t="str">
        <x:v>莽王新朝錘</x:v>
      </x:c>
      <x:c r="B1410" s="55" t="str">
        <x:v>—</x:v>
      </x:c>
      <x:c r="C1410" s="55" t="str">
        <x:v>—</x:v>
      </x:c>
      <x:c r="D1410" s="55" t="str">
        <x:v>—</x:v>
      </x:c>
      <x:c r="E1410" s="55" t="inlineStr">
        <x:is>
          <x:t>萬帝天尊極武神匣（網站未列地圖）；侯氏兵甲福袋2021（網站未列地圖）</x:t>
        </x:is>
      </x:c>
    </x:row>
    <x:row r="1411" ht="15" customHeight="1">
      <x:c r="A1411" s="55" t="str">
        <x:v>莽王新朝錘</x:v>
      </x:c>
      <x:c r="B1411" s="55" t="str">
        <x:v>—</x:v>
      </x:c>
      <x:c r="C1411" s="55" t="str">
        <x:v>—</x:v>
      </x:c>
      <x:c r="D1411" s="55" t="str">
        <x:v>—</x:v>
      </x:c>
      <x:c r="E1411" s="55" t="inlineStr">
        <x:is>
          <x:t>萬帝天尊極武神匣（網站未列地圖）</x:t>
        </x:is>
      </x:c>
    </x:row>
    <x:row r="1412" ht="45" customHeight="1">
      <x:c r="A1412" s="55" t="str">
        <x:v>首露伽耶錘</x:v>
      </x:c>
      <x:c r="B1412" s="55" t="str">
        <x:v>—</x:v>
      </x:c>
      <x:c r="C1412" s="55" t="str">
        <x:v>—</x:v>
      </x:c>
      <x:c r="D1412" s="55" t="str">
        <x:v>—</x:v>
      </x:c>
      <x:c r="E1412" s="55" t="inlineStr">
        <x:is>
          <x:t>東明開天釋達神匣（網站未列地圖）；黑武狂戰士（網站未列地圖）；超‧大秘境寶箱（網站未列地圖）；絕七寶仙境寶箱（網站未列地圖）；◥松齡聖龜◤（絕七寶仙境　參）；◥來世象尊◤（絕七寶仙境　參）；◢松齡聖龜◣（絕七寶仙境　參）；◢來世象尊◣（絕七寶仙境　參）；▓松齡聖龜▓（絕七寶仙境　參）；▓來世象尊▓（絕七寶仙境　參）</x:t>
        </x:is>
      </x:c>
    </x:row>
    <x:row r="1413" ht="15" customHeight="1">
      <x:c r="A1413" s="55" t="str">
        <x:v>首露伽耶錘</x:v>
      </x:c>
      <x:c r="B1413" s="55" t="str">
        <x:v>—</x:v>
      </x:c>
      <x:c r="C1413" s="55" t="str">
        <x:v>—</x:v>
      </x:c>
      <x:c r="D1413" s="55" t="str">
        <x:v>—</x:v>
      </x:c>
      <x:c r="E1413" s="55" t="inlineStr">
        <x:is>
          <x:t>東明開天釋達神匣（網站未列地圖）</x:t>
        </x:is>
      </x:c>
    </x:row>
    <x:row r="1414" ht="15" customHeight="1">
      <x:c r="A1414" s="55" t="str">
        <x:v>新星之鳴雷錘</x:v>
      </x:c>
      <x:c r="B1414" s="55" t="str">
        <x:v>—</x:v>
      </x:c>
      <x:c r="C1414" s="55" t="str">
        <x:v>—</x:v>
      </x:c>
      <x:c r="D1414" s="55" t="str">
        <x:v>—</x:v>
      </x:c>
      <x:c r="E1414" s="55" t="inlineStr">
        <x:is>
          <x:t>—</x:t>
        </x:is>
      </x:c>
    </x:row>
    <x:row r="1415" ht="15" customHeight="1">
      <x:c r="A1415" s="55" t="str">
        <x:v>奇眼錘</x:v>
      </x:c>
      <x:c r="B1415" s="55" t="str">
        <x:v>—</x:v>
      </x:c>
      <x:c r="C1415" s="55" t="str">
        <x:v>—</x:v>
      </x:c>
      <x:c r="D1415" s="55" t="str">
        <x:v>—</x:v>
      </x:c>
      <x:c r="E1415" s="55" t="inlineStr">
        <x:is>
          <x:t>原碼改造電眼（王統新市）；基改戰兵RYU（桃谷縱道）；合成巨猿（桃谷縱道）；克拉罕巨魔（龍池大社）</x:t>
        </x:is>
      </x:c>
    </x:row>
    <x:row r="1416" ht="15" customHeight="1">
      <x:c r="A1416" s="55" t="str">
        <x:v>鵑雪傾錘Ⅰ</x:v>
      </x:c>
      <x:c r="B1416" s="55" t="str">
        <x:v>—</x:v>
      </x:c>
      <x:c r="C1416" s="55" t="str">
        <x:v>—</x:v>
      </x:c>
      <x:c r="D1416" s="55" t="str">
        <x:v>—</x:v>
      </x:c>
      <x:c r="E1416" s="55" t="inlineStr">
        <x:is>
          <x:t>神島劍俠錦囊（網站未列地圖）；神島道人錦囊（網站未列地圖）；神島僧侶錦囊（網站未列地圖）</x:t>
        </x:is>
      </x:c>
    </x:row>
    <x:row r="1417" ht="15" customHeight="1">
      <x:c r="A1417" s="55" t="str">
        <x:v>鵑雪傾錘Ⅱ</x:v>
      </x:c>
      <x:c r="B1417" s="55" t="str">
        <x:v>—</x:v>
      </x:c>
      <x:c r="C1417" s="55" t="str">
        <x:v>—</x:v>
      </x:c>
      <x:c r="D1417" s="55" t="str">
        <x:v>—</x:v>
      </x:c>
      <x:c r="E1417" s="55" t="inlineStr">
        <x:is>
          <x:t>—</x:t>
        </x:is>
      </x:c>
    </x:row>
    <x:row r="1418" ht="15" customHeight="1">
      <x:c r="A1418" s="55" t="str">
        <x:v>鵑雪傾錘Ⅲ</x:v>
      </x:c>
      <x:c r="B1418" s="55" t="str">
        <x:v>—</x:v>
      </x:c>
      <x:c r="C1418" s="55" t="str">
        <x:v>—</x:v>
      </x:c>
      <x:c r="D1418" s="55" t="str">
        <x:v>—</x:v>
      </x:c>
      <x:c r="E1418" s="55" t="inlineStr">
        <x:is>
          <x:t>科技戰兵FLM（王統新市）</x:t>
        </x:is>
      </x:c>
    </x:row>
    <x:row r="1419" ht="15" customHeight="1">
      <x:c r="A1419" s="55" t="str">
        <x:v>鵑雪傾錘Ⅳ</x:v>
      </x:c>
      <x:c r="B1419" s="55" t="str">
        <x:v>—</x:v>
      </x:c>
      <x:c r="C1419" s="55" t="str">
        <x:v>—</x:v>
      </x:c>
      <x:c r="D1419" s="55" t="str">
        <x:v>—</x:v>
      </x:c>
      <x:c r="E1419" s="55" t="inlineStr">
        <x:is>
          <x:t>—</x:t>
        </x:is>
      </x:c>
    </x:row>
    <x:row r="1420" ht="15" customHeight="1">
      <x:c r="A1420" s="55" t="str">
        <x:v>鵑雪傾錘Ⅴ</x:v>
      </x:c>
      <x:c r="B1420" s="55" t="str">
        <x:v>—</x:v>
      </x:c>
      <x:c r="C1420" s="55" t="str">
        <x:v>—</x:v>
      </x:c>
      <x:c r="D1420" s="55" t="str">
        <x:v>—</x:v>
      </x:c>
      <x:c r="E1420" s="55" t="inlineStr">
        <x:is>
          <x:t>幻三蚩呂錦囊（網站未列地圖）</x:t>
        </x:is>
      </x:c>
    </x:row>
    <x:row r="1421" ht="15" customHeight="1">
      <x:c r="A1421" s="55" t="str">
        <x:v>六仙流轉錘</x:v>
      </x:c>
      <x:c r="B1421" s="55" t="str">
        <x:v>—</x:v>
      </x:c>
      <x:c r="C1421" s="55" t="str">
        <x:v>—</x:v>
      </x:c>
      <x:c r="D1421" s="55" t="str">
        <x:v>—</x:v>
      </x:c>
      <x:c r="E1421" s="55" t="inlineStr">
        <x:is>
          <x:t>南辰時祿秘兵匣（網站未列地圖）；南辰時祿機神兵匣（網站未列地圖）；侯氏兵甲福袋2023（網站未列地圖）</x:t>
        </x:is>
      </x:c>
    </x:row>
    <x:row r="1422" ht="15" customHeight="1">
      <x:c r="A1422" s="55" t="str">
        <x:v>六仙流轉錘</x:v>
      </x:c>
      <x:c r="B1422" s="55" t="str">
        <x:v>—</x:v>
      </x:c>
      <x:c r="C1422" s="55" t="str">
        <x:v>—</x:v>
      </x:c>
      <x:c r="D1422" s="55" t="str">
        <x:v>—</x:v>
      </x:c>
      <x:c r="E1422" s="55" t="inlineStr">
        <x:is>
          <x:t>南辰時祿秘兵匣（網站未列地圖）；南辰時祿機神兵匣（網站未列地圖）</x:t>
        </x:is>
      </x:c>
    </x:row>
    <x:row r="1423" ht="60" customHeight="1">
      <x:c r="A1423" s="55" t="str">
        <x:v>輝譽三公錘</x:v>
      </x:c>
      <x:c r="B1423" s="55" t="str">
        <x:v>—</x:v>
      </x:c>
      <x:c r="C1423" s="55" t="str">
        <x:v>—</x:v>
      </x:c>
      <x:c r="D1423" s="55" t="str">
        <x:v>—</x:v>
      </x:c>
      <x:c r="E1423" s="55" t="inlineStr">
        <x:is>
          <x:t>三分鼎鋒真王武匣（網站未列地圖）；侯氏兵甲福袋2024（網站未列地圖）；二十活龍錦囊（網站未列地圖）；大秘境寶箱（網站未列地圖）；帝．松齡聖龜（帝七寶仙境　壹）；帝．來世象尊（帝七寶仙境　壹）；〈帝〉松齡聖龜（帝七寶仙境　壹）；〈帝〉來世象尊（帝七寶仙境　壹）；《帝》松齡聖龜（帝七寶仙境　壹）；《帝》來世象尊（帝七寶仙境　壹）</x:t>
        </x:is>
      </x:c>
    </x:row>
    <x:row r="1424" ht="15" customHeight="1">
      <x:c r="A1424" s="55" t="str">
        <x:v>輝譽三公錘</x:v>
      </x:c>
      <x:c r="B1424" s="55" t="str">
        <x:v>—</x:v>
      </x:c>
      <x:c r="C1424" s="55" t="str">
        <x:v>—</x:v>
      </x:c>
      <x:c r="D1424" s="55" t="str">
        <x:v>—</x:v>
      </x:c>
      <x:c r="E1424" s="55" t="inlineStr">
        <x:is>
          <x:t>三分鼎鋒真王武匣（網站未列地圖）</x:t>
        </x:is>
      </x:c>
    </x:row>
    <x:row r="1425" ht="30" customHeight="1">
      <x:c r="A1425" s="55" t="str">
        <x:v>地獄守門者</x:v>
      </x:c>
      <x:c r="B1425" s="55" t="str">
        <x:v>—</x:v>
      </x:c>
      <x:c r="C1425" s="55" t="str">
        <x:v>—</x:v>
      </x:c>
      <x:c r="D1425" s="55" t="str">
        <x:v>—</x:v>
      </x:c>
      <x:c r="E1425" s="55" t="inlineStr">
        <x:is>
          <x:t>古文明東西霸武匣（網站未列地圖）；侯氏兵甲福袋2025（網站未列地圖）；浮宇驚塵錦囊（網站未列地圖）；超大秘境寶箱（網站未列地圖）</x:t>
        </x:is>
      </x:c>
    </x:row>
    <x:row r="1426" ht="15" customHeight="1">
      <x:c r="A1426" s="55" t="str">
        <x:v>地獄守門者</x:v>
      </x:c>
      <x:c r="B1426" s="55" t="str">
        <x:v>—</x:v>
      </x:c>
      <x:c r="C1426" s="55" t="str">
        <x:v>—</x:v>
      </x:c>
      <x:c r="D1426" s="55" t="str">
        <x:v>—</x:v>
      </x:c>
      <x:c r="E1426" s="55" t="inlineStr">
        <x:is>
          <x:t>古文明東西霸武匣（網站未列地圖）</x:t>
        </x:is>
      </x:c>
    </x:row>
    <x:row r="1427" ht="45" customHeight="1">
      <x:c r="A1427" s="55" t="str">
        <x:v>嘲風逐黎錘</x:v>
      </x:c>
      <x:c r="B1427" s="55" t="str">
        <x:v>—</x:v>
      </x:c>
      <x:c r="C1427" s="55" t="str">
        <x:v>—</x:v>
      </x:c>
      <x:c r="D1427" s="55" t="str">
        <x:v>—</x:v>
      </x:c>
      <x:c r="E1427" s="55" t="inlineStr">
        <x:is>
          <x:t>龍涉大川繼鱗武匣（網站未列地圖）；麻辣爆刃錦囊（網站未列地圖）；神．萬曆星將（神七寶仙境　壹）；神．妙捷跳鼠（神七寶仙境　壹）；〈神〉萬曆星將（神七寶仙境　壹）；〈神〉妙捷跳鼠（神七寶仙境　壹）；《神》萬曆星將（神七寶仙境　壹）；《神》妙捷跳鼠（神七寶仙境　壹）</x:t>
        </x:is>
      </x:c>
    </x:row>
    <x:row r="1428" ht="15" customHeight="1">
      <x:c r="A1428" s="55" t="str">
        <x:v>嘲風逐黎錘</x:v>
      </x:c>
      <x:c r="B1428" s="55" t="str">
        <x:v>—</x:v>
      </x:c>
      <x:c r="C1428" s="55" t="str">
        <x:v>—</x:v>
      </x:c>
      <x:c r="D1428" s="55" t="str">
        <x:v>—</x:v>
      </x:c>
      <x:c r="E1428" s="55" t="inlineStr">
        <x:is>
          <x:t>龍涉大川繼鱗武匣（網站未列地圖）</x:t>
        </x:is>
      </x:c>
    </x:row>
    <x:row r="1429" ht="15" customHeight="1">
      <x:c r="A1429" s="55" t="str">
        <x:v>破魔獨錘Ⅰ</x:v>
      </x:c>
      <x:c r="B1429" s="55" t="str">
        <x:v>—</x:v>
      </x:c>
      <x:c r="C1429" s="55" t="str">
        <x:v>—</x:v>
      </x:c>
      <x:c r="D1429" s="55" t="str">
        <x:v>—</x:v>
      </x:c>
      <x:c r="E1429" s="55" t="inlineStr">
        <x:is>
          <x:t>玄宙神兵寶箱（網站未列地圖）</x:t>
        </x:is>
      </x:c>
    </x:row>
    <x:row r="1430" ht="15" customHeight="1">
      <x:c r="A1430" s="55" t="str">
        <x:v>破魔獨錘Ⅱ</x:v>
      </x:c>
      <x:c r="B1430" s="55" t="str">
        <x:v>—</x:v>
      </x:c>
      <x:c r="C1430" s="55" t="str">
        <x:v>—</x:v>
      </x:c>
      <x:c r="D1430" s="55" t="str">
        <x:v>—</x:v>
      </x:c>
      <x:c r="E1430" s="55" t="inlineStr">
        <x:is>
          <x:t>真．玄宙神兵寶箱（網站未列地圖）</x:t>
        </x:is>
      </x:c>
    </x:row>
    <x:row r="1431" ht="15" customHeight="1">
      <x:c r="A1431" s="55" t="str">
        <x:v>破魔獨錘Ⅲ</x:v>
      </x:c>
      <x:c r="B1431" s="55" t="str">
        <x:v>—</x:v>
      </x:c>
      <x:c r="C1431" s="55" t="str">
        <x:v>—</x:v>
      </x:c>
      <x:c r="D1431" s="55" t="str">
        <x:v>—</x:v>
      </x:c>
      <x:c r="E1431" s="55" t="inlineStr">
        <x:is>
          <x:t>超．玄宙神兵寶箱（網站未列地圖）</x:t>
        </x:is>
      </x:c>
    </x:row>
    <x:row r="1432" ht="15" customHeight="1">
      <x:c r="A1432" s="55" t="str">
        <x:v>破魔獨錘Ⅳ</x:v>
      </x:c>
      <x:c r="B1432" s="55" t="str">
        <x:v>—</x:v>
      </x:c>
      <x:c r="C1432" s="55" t="str">
        <x:v>—</x:v>
      </x:c>
      <x:c r="D1432" s="55" t="str">
        <x:v>—</x:v>
      </x:c>
      <x:c r="E1432" s="55" t="inlineStr">
        <x:is>
          <x:t>極．玄宙神兵寶箱（網站未列地圖）</x:t>
        </x:is>
      </x:c>
    </x:row>
    <x:row r="1433" ht="15" customHeight="1">
      <x:c r="A1433" s="55" t="str">
        <x:v>破魔獨錘Ⅴ</x:v>
      </x:c>
      <x:c r="B1433" s="55" t="str">
        <x:v>—</x:v>
      </x:c>
      <x:c r="C1433" s="55" t="str">
        <x:v>—</x:v>
      </x:c>
      <x:c r="D1433" s="55" t="str">
        <x:v>—</x:v>
      </x:c>
      <x:c r="E1433" s="55" t="inlineStr">
        <x:is>
          <x:t>神．玄宙神兵寶箱（網站未列地圖）</x:t>
        </x:is>
      </x:c>
    </x:row>
    <x:row r="1434" ht="30" customHeight="1">
      <x:c r="A1434" s="55" t="str">
        <x:v>手斧</x:v>
      </x:c>
      <x:c r="B1434" s="55" t="str">
        <x:v>—</x:v>
      </x:c>
      <x:c r="C1434" s="55" t="str">
        <x:v>義勇軍校場買賣人、京城打鐵舖、祁州打鐵舖</x:v>
      </x:c>
      <x:c r="D1434" s="55" t="str">
        <x:v>—</x:v>
      </x:c>
      <x:c r="E1434" s="55" t="inlineStr">
        <x:is>
          <x:t>土匪（碧波幽谷、朝天觀、亂藤林東方）；藍方捍衛者（網站未列地圖）；土匪（試煉之窟）</x:t>
        </x:is>
      </x:c>
    </x:row>
    <x:row r="1435" ht="60" customHeight="1">
      <x:c r="A1435" s="55" t="str">
        <x:v>滅魔斧</x:v>
      </x:c>
      <x:c r="B1435" s="55" t="str">
        <x:v>—</x:v>
      </x:c>
      <x:c r="C1435" s="55" t="str">
        <x:v>—</x:v>
      </x:c>
      <x:c r="D1435" s="55" t="str">
        <x:v>—</x:v>
      </x:c>
      <x:c r="E1435" s="55" t="inlineStr">
        <x:is>
          <x:t>超巨靈魔王（獄門峽）；巨靈魔（獄門峽）；夜叉王（玄州城、獄門峽）；夜叉王（摘星嶺、夜叉嶺）；夜叉王（玄州城、獄門峽、摘星嶺、夜叉嶺、異時界‧摘星嶺）；夜叉刺客（鎮南關）；食日巨靈（五派禁地）；大汗親兵（亂石林、黑城遺跡、疾風谷、大汗陵墓、統萬大營）；巨靈魔（亂藤林、毒龍潭、摘星嶺、魔君陵墓）；巨靈魔王（摘星嶺、魔君陵墓、魔君陵寢一層、修羅窟）</x:t>
        </x:is>
      </x:c>
    </x:row>
    <x:row r="1436" ht="30" customHeight="1">
      <x:c r="A1436" s="55" t="str">
        <x:v>大斧</x:v>
      </x:c>
      <x:c r="B1436" s="55" t="str">
        <x:v>—</x:v>
      </x:c>
      <x:c r="C1436" s="55" t="str">
        <x:v>祁州打鐵舖、玄州打鐵舖、釣日村武器店長</x:v>
      </x:c>
      <x:c r="D1436" s="55" t="str">
        <x:v>—</x:v>
      </x:c>
      <x:c r="E1436" s="55" t="inlineStr">
        <x:is>
          <x:t>拔山象妖（摩羅國境、菩提聖原）；[拔山象妖]（網站未列地圖）</x:t>
        </x:is>
      </x:c>
    </x:row>
    <x:row r="1437" ht="15" customHeight="1">
      <x:c r="A1437" s="55" t="str">
        <x:v>精鋼斧</x:v>
      </x:c>
      <x:c r="B1437" s="55" t="str">
        <x:v>—</x:v>
      </x:c>
      <x:c r="C1437" s="55" t="str">
        <x:v>釣日村武器店長</x:v>
      </x:c>
      <x:c r="D1437" s="55" t="str">
        <x:v>—</x:v>
      </x:c>
      <x:c r="E1437" s="55" t="inlineStr">
        <x:is>
          <x:t>—</x:t>
        </x:is>
      </x:c>
    </x:row>
    <x:row r="1438" ht="60" customHeight="1">
      <x:c r="A1438" s="55" t="str">
        <x:v>戰斧</x:v>
      </x:c>
      <x:c r="B1438" s="55" t="str">
        <x:v>—</x:v>
      </x:c>
      <x:c r="C1438" s="55" t="str">
        <x:v>玄州打鐵舖、釣日村武器店長</x:v>
      </x:c>
      <x:c r="D1438" s="55" t="str">
        <x:v>—</x:v>
      </x:c>
      <x:c r="E1438" s="55" t="inlineStr">
        <x:is>
          <x:t>斬斧牛妖（三途之都、枉死之城、悲歡渡口）；酆都鬼役（三途之都、枉死之城）；奈落邪鬼（奈落紅川）；化屍大魔棺（森羅閻殿、九曲邪徑、奈落紅川、荒禍殘墟）；奈落邪鬼（永劫刑場）；冰獄獠鬼（寒愴冰獄）；亡骸弓箭手（血鴉嶺）；赤壇喇嘛（青藏高原、大梵聖湖、萬岳聖峰、香格里拉聖路、香格里拉神廟）；十勝象王（網站未列地圖）；蓋世象魔（大梵河岸、金霄佛寺）</x:t>
        </x:is>
      </x:c>
    </x:row>
    <x:row r="1439" ht="45" customHeight="1">
      <x:c r="A1439" s="55" t="str">
        <x:v>精鋼戰斧</x:v>
      </x:c>
      <x:c r="B1439" s="55" t="str">
        <x:v>—</x:v>
      </x:c>
      <x:c r="C1439" s="55" t="str">
        <x:v>釣日村武器店長</x:v>
      </x:c>
      <x:c r="D1439" s="55" t="str">
        <x:v>—</x:v>
      </x:c>
      <x:c r="E1439" s="55" t="inlineStr">
        <x:is>
          <x:t>陰司牛頭（網站未列地圖）；索命牛頭（九曲邪徑、寒愴冰獄）；[索命牛頭]（網站未列地圖）；開山牛魔將（森羅閻殿、奈落紅川、荒禍殘墟）；劍山牛魔神（天戮魔殿）；[熊武者]（網站未列地圖）；熊武者（桃花林西方、不老峰）</x:t>
        </x:is>
      </x:c>
    </x:row>
    <x:row r="1440" ht="15" customHeight="1">
      <x:c r="A1440" s="55" t="str">
        <x:v>冰刃鋼斧</x:v>
      </x:c>
      <x:c r="B1440" s="55" t="str">
        <x:v>—</x:v>
      </x:c>
      <x:c r="C1440" s="55" t="str">
        <x:v>—</x:v>
      </x:c>
      <x:c r="D1440" s="55" t="str">
        <x:v>冰刃鋼斧配方</x:v>
      </x:c>
      <x:c r="E1440" s="55" t="inlineStr">
        <x:is>
          <x:t>—</x:t>
        </x:is>
      </x:c>
    </x:row>
    <x:row r="1441" ht="15" customHeight="1">
      <x:c r="A1441" s="55" t="str">
        <x:v>火刃鋼斧</x:v>
      </x:c>
      <x:c r="B1441" s="55" t="str">
        <x:v>—</x:v>
      </x:c>
      <x:c r="C1441" s="55" t="str">
        <x:v>—</x:v>
      </x:c>
      <x:c r="D1441" s="55" t="str">
        <x:v>火刃鋼斧配方</x:v>
      </x:c>
      <x:c r="E1441" s="55" t="inlineStr">
        <x:is>
          <x:t>—</x:t>
        </x:is>
      </x:c>
    </x:row>
    <x:row r="1442" ht="15" customHeight="1">
      <x:c r="A1442" s="55" t="str">
        <x:v>雷刃鋼斧</x:v>
      </x:c>
      <x:c r="B1442" s="55" t="str">
        <x:v>—</x:v>
      </x:c>
      <x:c r="C1442" s="55" t="str">
        <x:v>—</x:v>
      </x:c>
      <x:c r="D1442" s="55" t="str">
        <x:v>雷刃鋼斧配方</x:v>
      </x:c>
      <x:c r="E1442" s="55" t="inlineStr">
        <x:is>
          <x:t>—</x:t>
        </x:is>
      </x:c>
    </x:row>
    <x:row r="1443" ht="15" customHeight="1">
      <x:c r="A1443" s="55" t="str">
        <x:v>鬼刃鋼斧</x:v>
      </x:c>
      <x:c r="B1443" s="55" t="str">
        <x:v>—</x:v>
      </x:c>
      <x:c r="C1443" s="55" t="str">
        <x:v>—</x:v>
      </x:c>
      <x:c r="D1443" s="55" t="str">
        <x:v>鬼刃鋼斧配方</x:v>
      </x:c>
      <x:c r="E1443" s="55" t="inlineStr">
        <x:is>
          <x:t>—</x:t>
        </x:is>
      </x:c>
    </x:row>
    <x:row r="1444" ht="15" customHeight="1">
      <x:c r="A1444" s="55" t="str">
        <x:v>長林斧</x:v>
      </x:c>
      <x:c r="B1444" s="55" t="str">
        <x:v>—</x:v>
      </x:c>
      <x:c r="C1444" s="55" t="str">
        <x:v>祁州打鐵舖、玄州打鐵舖</x:v>
      </x:c>
      <x:c r="D1444" s="55" t="str">
        <x:v>—</x:v>
      </x:c>
      <x:c r="E1444" s="55" t="inlineStr">
        <x:is>
          <x:t>原始火靈（獅堡軍事區）；怒雷尊者（飛雲忘野、橫劍天關、仙庭玉階）</x:t>
        </x:is>
      </x:c>
    </x:row>
    <x:row r="1445" ht="30" customHeight="1">
      <x:c r="A1445" s="55" t="str">
        <x:v>衝鋒斧</x:v>
      </x:c>
      <x:c r="B1445" s="55" t="str">
        <x:v>—</x:v>
      </x:c>
      <x:c r="C1445" s="55" t="str">
        <x:v>祁州打鐵舖、玄州打鐵舖</x:v>
      </x:c>
      <x:c r="D1445" s="55" t="str">
        <x:v>—</x:v>
      </x:c>
      <x:c r="E1445" s="55" t="inlineStr">
        <x:is>
          <x:t>狂怒之魔（神臨之地）；&lt;狂怒之魔&gt;（修羅級神臨之地）；幻色蜥蜴（異時界‧亂藤林）；滄浪隱劍（天啟八關）；劈天大雷神（闕真金閣）；霸雷天尊（網站未列地圖）；八天左雷王（紫雷轟原）</x:t>
        </x:is>
      </x:c>
    </x:row>
    <x:row r="1446" ht="90" customHeight="1">
      <x:c r="A1446" s="55" t="str">
        <x:v>雲蛟斧</x:v>
      </x:c>
      <x:c r="B1446" s="55" t="str">
        <x:v>—</x:v>
      </x:c>
      <x:c r="C1446" s="55" t="str">
        <x:v>祁州打鐵舖、玄州打鐵舖</x:v>
      </x:c>
      <x:c r="D1446" s="55" t="str">
        <x:v>—</x:v>
      </x:c>
      <x:c r="E1446" s="55" t="inlineStr">
        <x:is>
          <x:t>天劫夜叉斧鬼（魔君天都）；&lt;天劫夜叉斧鬼&gt;（修羅級魔君天都）；雀殿闇凰（朱雀南殿）；影石魔（時沒邊界）；陌形武宗（時沒邊界）；幽空飛龍‧強（殘雲天境）；紫雷蠻蛟‧強（殘雲天境）；鎮國象神（白虎西殿）；動界武犢（玄武北殿）；灰魁蟒（異時界‧亂藤林）；破斬象妖（異時界‧葬日沼澤）；亡邪刑天戰骸（異時界‧葬日沼北）；亡邪鷹族喪兵（異時界‧葬日沼北）；夜叉鬼斧者（異時界‧毒龍潭）；夜叉鬼斧者（異時界‧修羅窟）；夜叉殺斧妖（異時界‧夜叉嶺）；襲影鬼虎（異時界‧亂藤林南）；時之天守（無限鬥界）；&lt;時之天守&gt;（修羅級無限鬥界）；金毛鷹王（異時界‧摘星嶺）</x:t>
        </x:is>
      </x:c>
    </x:row>
    <x:row r="1447" ht="45" customHeight="1">
      <x:c r="A1447" s="55" t="str">
        <x:v>幻魔斧</x:v>
      </x:c>
      <x:c r="B1447" s="55" t="str">
        <x:v>—</x:v>
      </x:c>
      <x:c r="C1447" s="55" t="str">
        <x:v>祁州打鐵舖、玄州打鐵舖</x:v>
      </x:c>
      <x:c r="D1447" s="55" t="str">
        <x:v>—</x:v>
      </x:c>
      <x:c r="E1447" s="55" t="inlineStr">
        <x:is>
          <x:t>禍玄兇猩（終末之塔第1層）；荒火虛魂（音無晶宇）；黑宇怒龍（音無晶宇）；玄虛射手（觀無巽宇）；沒日夸父（觀無巽宇）；射命虛狸（網站未列地圖）；幻鬼虎（覺無洋宇）；降禍邪孽（覺無洋宇）；六首邪鱗（星群碎道）；晶嶽巨像（星群碎道）；厲陰魔相（不解迴路）；冥海力牛（不解迴路）；冥虛短使（虛空渦心）</x:t>
        </x:is>
      </x:c>
    </x:row>
    <x:row r="1448" ht="30" customHeight="1">
      <x:c r="A1448" s="55" t="str">
        <x:v>紫月蒼空斧</x:v>
      </x:c>
      <x:c r="B1448" s="55" t="str">
        <x:v>—</x:v>
      </x:c>
      <x:c r="C1448" s="55" t="str">
        <x:v>—</x:v>
      </x:c>
      <x:c r="D1448" s="55" t="str">
        <x:v>—</x:v>
      </x:c>
      <x:c r="E1448" s="55" t="inlineStr">
        <x:is>
          <x:t>危城巨猩（終末之塔第24層、終末之塔第25層）；枯血鬼爪（終末之塔第39層）；枯血鬼爪（終末之塔第38層）；切割者（終末之塔第19層）；殺傷跳鼠（古翰大沙漠）</x:t>
        </x:is>
      </x:c>
    </x:row>
    <x:row r="1449" ht="30" customHeight="1">
      <x:c r="A1449" s="55" t="str">
        <x:v>紫月分海斧</x:v>
      </x:c>
      <x:c r="B1449" s="55" t="str">
        <x:v>—</x:v>
      </x:c>
      <x:c r="C1449" s="55" t="str">
        <x:v>—</x:v>
      </x:c>
      <x:c r="D1449" s="55" t="str">
        <x:v>—</x:v>
      </x:c>
      <x:c r="E1449" s="55" t="inlineStr">
        <x:is>
          <x:t>暴拳狌狌（終末之塔第64層、終末之塔第65層）；皇家聖衛（王都盧索）；沙暴先鋒隊長（古翰大沙漠）；皇家聖衛（托勒密山麓）；金斧皇將（托勒密山麓）；護棺刃鱷（赫勒神殿遺址）；多姆泰夫（荷魯斯聖祠）</x:t>
        </x:is>
      </x:c>
    </x:row>
    <x:row r="1450" ht="75" customHeight="1">
      <x:c r="A1450" s="55" t="str">
        <x:v>翰祚斧</x:v>
      </x:c>
      <x:c r="B1450" s="55" t="str">
        <x:v>—</x:v>
      </x:c>
      <x:c r="C1450" s="55" t="str">
        <x:v>—</x:v>
      </x:c>
      <x:c r="D1450" s="55" t="str">
        <x:v>—</x:v>
      </x:c>
      <x:c r="E1450" s="55" t="inlineStr">
        <x:is>
          <x:t>虛無行者．拳（修羅級黃龍秘殿）；雷霸機關長（藏意武窟）；八顛虛兇（終末之塔第79層）；國破兇卒（終末之塔第87層、終末之塔第88層）；百劫屠者（終末之塔第93層、終末之塔第94層）；南境蒔花（東宮碧庭）；皇城駐軍（皇城）；東陣黑豹（東校場）；西苑花侍（西宮翠苑）；征疆浪客（山海長疆、齊襄道、太安道）；駭人怪惡（漢京首府）；新郡白虎（溥山新郡）；炙紋飛狐（璇鶯鎮）；部落戰虎（旭陽山徑）；浪嶼角龜（鷗揚浪嶼）；落羽棕熊（殊雁峽）；部落獒犬（琉瑯岩灣）</x:t>
        </x:is>
      </x:c>
    </x:row>
    <x:row r="1451" ht="30" customHeight="1">
      <x:c r="A1451" s="55" t="str">
        <x:v>乙那斧</x:v>
      </x:c>
      <x:c r="B1451" s="55" t="str">
        <x:v>—</x:v>
      </x:c>
      <x:c r="C1451" s="55" t="str">
        <x:v>—</x:v>
      </x:c>
      <x:c r="D1451" s="55" t="str">
        <x:v>—</x:v>
      </x:c>
      <x:c r="E1451" s="55" t="inlineStr">
        <x:is>
          <x:t>血潤狂蔘（濟馬島、漢京首府）；冰冑鎧狼（鷗揚浪嶼）；泰源黑熊（旭陽山徑）；戰嵐敗兵（葭雲廣原）；岷白戰士（白苗峽岸）</x:t>
        </x:is>
      </x:c>
    </x:row>
    <x:row r="1452" ht="60" customHeight="1">
      <x:c r="A1452" s="55" t="str">
        <x:v>綠星斧</x:v>
      </x:c>
      <x:c r="B1452" s="55" t="str">
        <x:v>—</x:v>
      </x:c>
      <x:c r="C1452" s="55" t="str">
        <x:v>—</x:v>
      </x:c>
      <x:c r="D1452" s="55" t="str">
        <x:v>—</x:v>
      </x:c>
      <x:c r="E1452" s="55" t="inlineStr">
        <x:is>
          <x:t>虹輝聖狸（始祖巨林）；吞龍獄狼（燕蕩嶺）；遠古樹人（始祖巨林）；極沸蠑螈（始祖巨林．西）；基改戰兵BJL（風竹塹、龍池大社）；京師叛軍（祥鷺古街）；斬塔罪刀（終末之塔第109層）；吞星大饕（終末之塔第148層、終末之塔第149層）；太古魔手（南瞻聖地）；七災鬼侯（終末之塔第125層、終末之塔第127層）；紫啼童魚（終末之塔第132層、終末之塔第131層）</x:t>
        </x:is>
      </x:c>
    </x:row>
    <x:row r="1453" ht="15" customHeight="1">
      <x:c r="A1453" s="55" t="str">
        <x:v>玄鐵寶斧</x:v>
      </x:c>
      <x:c r="B1453" s="55" t="str">
        <x:v>研究天外密石</x:v>
      </x:c>
      <x:c r="C1453" s="55" t="str">
        <x:v>—</x:v>
      </x:c>
      <x:c r="D1453" s="55" t="str">
        <x:v>—</x:v>
      </x:c>
      <x:c r="E1453" s="55" t="inlineStr">
        <x:is>
          <x:t>—</x:t>
        </x:is>
      </x:c>
    </x:row>
    <x:row r="1454" ht="15" customHeight="1">
      <x:c r="A1454" s="55" t="str">
        <x:v>玄鐵靈斧</x:v>
      </x:c>
      <x:c r="B1454" s="55" t="str">
        <x:v>研究天外密石</x:v>
      </x:c>
      <x:c r="C1454" s="55" t="str">
        <x:v>—</x:v>
      </x:c>
      <x:c r="D1454" s="55" t="str">
        <x:v>—</x:v>
      </x:c>
      <x:c r="E1454" s="55" t="inlineStr">
        <x:is>
          <x:t>—</x:t>
        </x:is>
      </x:c>
    </x:row>
    <x:row r="1455" ht="15" customHeight="1">
      <x:c r="A1455" s="55" t="str">
        <x:v>萬年玄鐵斧</x:v>
      </x:c>
      <x:c r="B1455" s="55" t="str">
        <x:v>研究天外密石</x:v>
      </x:c>
      <x:c r="C1455" s="55" t="str">
        <x:v>—</x:v>
      </x:c>
      <x:c r="D1455" s="55" t="str">
        <x:v>—</x:v>
      </x:c>
      <x:c r="E1455" s="55" t="inlineStr">
        <x:is>
          <x:t>—</x:t>
        </x:is>
      </x:c>
    </x:row>
    <x:row r="1456" ht="15" customHeight="1">
      <x:c r="A1456" s="55" t="str">
        <x:v>謝家板斧</x:v>
      </x:c>
      <x:c r="B1456" s="55" t="str">
        <x:v>證明鬼斧謝騰已死</x:v>
      </x:c>
      <x:c r="C1456" s="55" t="str">
        <x:v>—</x:v>
      </x:c>
      <x:c r="D1456" s="55" t="str">
        <x:v>—</x:v>
      </x:c>
      <x:c r="E1456" s="55" t="inlineStr">
        <x:is>
          <x:t>—</x:t>
        </x:is>
      </x:c>
    </x:row>
    <x:row r="1457" ht="15" customHeight="1">
      <x:c r="A1457" s="55" t="str">
        <x:v>滅象巨斧</x:v>
      </x:c>
      <x:c r="B1457" s="55" t="str">
        <x:v>—</x:v>
      </x:c>
      <x:c r="C1457" s="55" t="str">
        <x:v>—</x:v>
      </x:c>
      <x:c r="D1457" s="55" t="str">
        <x:v>—</x:v>
      </x:c>
      <x:c r="E1457" s="55" t="inlineStr">
        <x:is>
          <x:t>怒威象神（濕婆神廟）；三霸象皇（濕婆神廟）；十勝象王（網站未列地圖）；蓋世象魔（大梵河岸、金霄佛寺）</x:t>
        </x:is>
      </x:c>
    </x:row>
    <x:row r="1458" ht="90" customHeight="1">
      <x:c r="A1458" s="55" t="str">
        <x:v>晶石斧</x:v>
      </x:c>
      <x:c r="B1458" s="55" t="str">
        <x:v>—</x:v>
      </x:c>
      <x:c r="C1458" s="55" t="str">
        <x:v>—</x:v>
      </x:c>
      <x:c r="D1458" s="55" t="str">
        <x:v>—</x:v>
      </x:c>
      <x:c r="E1458" s="55" t="inlineStr">
        <x:is>
          <x:t>晶石兵器寶盒（網站未列地圖）；喜兔武器錦囊‧壹（網站未列地圖）；朱戈幫屠夫（網站未列地圖）；刑天魔王（葬日沼澤南方）；大力熊（桃花林西方、桃花林南方、不老峰）；土行鬼王（亂藤林、亂藤林南方、葬日沼澤、魔君陵墓、靖南古道、修羅窟）；覓蜜熊（桃花林、桃花林西方、桃花林南方）；[熊武者]（網站未列地圖）；熊武者（桃花林西方、不老峰）；刑天戰狂（亂藤林、葬日沼澤、葬日沼澤南方）；刑天戰狂（亂藤林、葬日沼澤、葬日沼澤南方、異時界‧亂藤林）；土行者（亂藤林、亂藤林東方、亂藤林南方、葬日沼澤、魔君陵墓、靖南古道、修羅窟、千佛遺跡東側）；土行者（試煉之窟）</x:t>
        </x:is>
      </x:c>
    </x:row>
    <x:row r="1459" ht="30" customHeight="1">
      <x:c r="A1459" s="55" t="str">
        <x:v>凝晶巨斧</x:v>
      </x:c>
      <x:c r="B1459" s="55" t="str">
        <x:v>—</x:v>
      </x:c>
      <x:c r="C1459" s="55" t="str">
        <x:v>—</x:v>
      </x:c>
      <x:c r="D1459" s="55" t="str">
        <x:v>—</x:v>
      </x:c>
      <x:c r="E1459" s="55" t="inlineStr">
        <x:is>
          <x:t>進化晶兵寶盒（網站未列地圖）；喜兔武器錦囊‧貳（網站未列地圖）；神來裝樂透卡之二（網站未列地圖）；神來裝樂透卡之一（網站未列地圖）</x:t>
        </x:is>
      </x:c>
    </x:row>
    <x:row r="1460" ht="15" customHeight="1">
      <x:c r="A1460" s="55" t="str">
        <x:v>卓越巨斧</x:v>
      </x:c>
      <x:c r="B1460" s="55" t="str">
        <x:v>—</x:v>
      </x:c>
      <x:c r="C1460" s="55" t="str">
        <x:v>—</x:v>
      </x:c>
      <x:c r="D1460" s="55" t="str">
        <x:v>—</x:v>
      </x:c>
      <x:c r="E1460" s="55" t="inlineStr">
        <x:is>
          <x:t>卓越兵器寶盒（網站未列地圖）</x:t>
        </x:is>
      </x:c>
    </x:row>
    <x:row r="1461" ht="45" customHeight="1">
      <x:c r="A1461" s="55" t="str">
        <x:v>狼嚎戰斧</x:v>
      </x:c>
      <x:c r="B1461" s="55" t="str">
        <x:v>—</x:v>
      </x:c>
      <x:c r="C1461" s="55" t="str">
        <x:v>—</x:v>
      </x:c>
      <x:c r="D1461" s="55" t="str">
        <x:v>—</x:v>
      </x:c>
      <x:c r="E1461" s="55" t="inlineStr">
        <x:is>
          <x:t>黃牛（塞北草原、呼倫草原、貝爾草原）；雪狼（入雲道、塞北關、惡狼林、天山雪道）；劍齒狼（試煉之窟）；劍齒狼（入雲道、塞北關、惡狼林、瀰煙山道、八達嶺、古北口、塞北草原）；野狼（試煉之窟）；野狼（入雲道、塞北關、惡狼林）</x:t>
        </x:is>
      </x:c>
    </x:row>
    <x:row r="1462" ht="60" customHeight="1">
      <x:c r="A1462" s="55" t="str">
        <x:v>鳳頭斧</x:v>
      </x:c>
      <x:c r="B1462" s="55" t="str">
        <x:v>—</x:v>
      </x:c>
      <x:c r="C1462" s="55" t="str">
        <x:v>祁州打鐵舖、玄州打鐵舖</x:v>
      </x:c>
      <x:c r="D1462" s="55" t="str">
        <x:v>—</x:v>
      </x:c>
      <x:c r="E1462" s="55" t="inlineStr">
        <x:is>
          <x:t>縱岳神龍（燕蕩嶺）；京師叛軍（祥鷺古街）；玉旭幼龍（始祖巨林）；銀鱗飛龍（豐穗平原、血鴉嶺、靜默之丘、獅堡軍事區）；怒威象神（濕婆神廟）；三霸象皇（濕婆神廟）；雷公（凌風修境、繚空碎島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1463" ht="30" customHeight="1">
      <x:c r="A1463" s="55" t="str">
        <x:v>虎形斧</x:v>
      </x:c>
      <x:c r="B1463" s="55" t="str">
        <x:v>—</x:v>
      </x:c>
      <x:c r="C1463" s="55" t="str">
        <x:v>—</x:v>
      </x:c>
      <x:c r="D1463" s="55" t="str">
        <x:v>—</x:v>
      </x:c>
      <x:c r="E1463" s="55" t="inlineStr">
        <x:is>
          <x:t>刑天魔王（葬日沼澤南方）；刑天戰狂（亂藤林、葬日沼澤、葬日沼澤南方）；刑天戰狂（亂藤林、葬日沼澤、葬日沼澤南方、異時界‧亂藤林）</x:t>
        </x:is>
      </x:c>
    </x:row>
    <x:row r="1464" ht="30" customHeight="1">
      <x:c r="A1464" s="55" t="str">
        <x:v>獵頭斧</x:v>
      </x:c>
      <x:c r="B1464" s="55" t="str">
        <x:v>—</x:v>
      </x:c>
      <x:c r="C1464" s="55" t="str">
        <x:v>刑天-劍齒鱷</x:v>
      </x:c>
      <x:c r="D1464" s="55" t="str">
        <x:v>—</x:v>
      </x:c>
      <x:c r="E1464" s="55" t="inlineStr">
        <x:is>
          <x:t>刑天魔王（葬日沼澤南方）；刑天戰狂（亂藤林、葬日沼澤、葬日沼澤南方）；刑天戰狂（亂藤林、葬日沼澤、葬日沼澤南方、異時界‧亂藤林）</x:t>
        </x:is>
      </x:c>
    </x:row>
    <x:row r="1465" ht="15" customHeight="1">
      <x:c r="A1465" s="55" t="str">
        <x:v>赤刃斧</x:v>
      </x:c>
      <x:c r="B1465" s="55" t="str">
        <x:v>—</x:v>
      </x:c>
      <x:c r="C1465" s="55" t="str">
        <x:v>維摩洞天-仙島工匠</x:v>
      </x:c>
      <x:c r="D1465" s="55" t="str">
        <x:v>—</x:v>
      </x:c>
      <x:c r="E1465" s="55" t="inlineStr">
        <x:is>
          <x:t>—</x:t>
        </x:is>
      </x:c>
    </x:row>
    <x:row r="1466" ht="15" customHeight="1">
      <x:c r="A1466" s="55" t="str">
        <x:v>赤板斧</x:v>
      </x:c>
      <x:c r="B1466" s="55" t="str">
        <x:v>—</x:v>
      </x:c>
      <x:c r="C1466" s="55" t="str">
        <x:v>維摩洞天-仙島工匠</x:v>
      </x:c>
      <x:c r="D1466" s="55" t="str">
        <x:v>—</x:v>
      </x:c>
      <x:c r="E1466" s="55" t="inlineStr">
        <x:is>
          <x:t>—</x:t>
        </x:is>
      </x:c>
    </x:row>
    <x:row r="1467" ht="15" customHeight="1">
      <x:c r="A1467" s="55" t="str">
        <x:v>破浪斧</x:v>
      </x:c>
      <x:c r="B1467" s="55" t="str">
        <x:v>—</x:v>
      </x:c>
      <x:c r="C1467" s="55" t="str">
        <x:v>釣日村武器店長</x:v>
      </x:c>
      <x:c r="D1467" s="55" t="str">
        <x:v>—</x:v>
      </x:c>
      <x:c r="E1467" s="55" t="inlineStr">
        <x:is>
          <x:t>石窟雙斧俑（五派禁地）；屍靈雙斧俑（古皇陵密室）</x:t>
        </x:is>
      </x:c>
    </x:row>
    <x:row r="1468" ht="15" customHeight="1">
      <x:c r="A1468" s="55" t="str">
        <x:v>百裂斧</x:v>
      </x:c>
      <x:c r="B1468" s="55" t="str">
        <x:v>—</x:v>
      </x:c>
      <x:c r="C1468" s="55" t="str">
        <x:v>維摩洞天-仙島工匠</x:v>
      </x:c>
      <x:c r="D1468" s="55" t="str">
        <x:v>—</x:v>
      </x:c>
      <x:c r="E1468" s="55" t="inlineStr">
        <x:is>
          <x:t>—</x:t>
        </x:is>
      </x:c>
    </x:row>
    <x:row r="1469" ht="30" customHeight="1">
      <x:c r="A1469" s="55" t="str">
        <x:v>鐵鎖斧</x:v>
      </x:c>
      <x:c r="B1469" s="55" t="str">
        <x:v>—</x:v>
      </x:c>
      <x:c r="C1469" s="55" t="str">
        <x:v>—</x:v>
      </x:c>
      <x:c r="D1469" s="55" t="str">
        <x:v>—</x:v>
      </x:c>
      <x:c r="E1469" s="55" t="inlineStr">
        <x:is>
          <x:t>紫靈貂（呼倫草原、貝爾草原、亂石林、疾風谷）；虎霸王（掩月松林）；[虎霸王]（網站未列地圖）；虎鬥士（瀰煙山道、掩月松林）</x:t>
        </x:is>
      </x:c>
    </x:row>
    <x:row r="1470" ht="60" customHeight="1">
      <x:c r="A1470" s="55" t="str">
        <x:v>盤古斧</x:v>
      </x:c>
      <x:c r="B1470" s="55" t="str">
        <x:v>—</x:v>
      </x:c>
      <x:c r="C1470" s="55" t="str">
        <x:v>—</x:v>
      </x:c>
      <x:c r="D1470" s="55" t="str">
        <x:v>—</x:v>
      </x:c>
      <x:c r="E1470" s="55" t="inlineStr">
        <x:is>
          <x:t>御行神兵錦囊（網站未列地圖）；絕代兵器錦囊（網站未列地圖）；新絕代兵器錦囊（網站未列地圖）；喜兔武器錦囊‧貳（網站未列地圖）；流亡叛軍頭目（邊關要塞）；流亡叛軍頭目（八達嶺、古北口）；石窟武士俑（五派禁地）；屍靈武士俑（古皇陵密室）；[熊武者]（網站未列地圖）；熊武者（桃花林西方、不老峰）；石窟雙斧俑（五派禁地）；屍靈雙斧俑（古皇陵密室）</x:t>
        </x:is>
      </x:c>
    </x:row>
    <x:row r="1471" ht="30" customHeight="1">
      <x:c r="A1471" s="55" t="str">
        <x:v>斷水斧</x:v>
      </x:c>
      <x:c r="B1471" s="55" t="str">
        <x:v>—</x:v>
      </x:c>
      <x:c r="C1471" s="55" t="str">
        <x:v>—</x:v>
      </x:c>
      <x:c r="D1471" s="55" t="str">
        <x:v>—</x:v>
      </x:c>
      <x:c r="E1471" s="55" t="inlineStr">
        <x:is>
          <x:t>絕代兵器錦囊（網站未列地圖）；新絕代兵器錦囊（網站未列地圖）；掠奪武器包裹（網站未列地圖）；羅剎寶袋（網站未列地圖）；龍駻將（龍宮八層一隅、龍宮八層廣場）；鯊將軍（龍宮八層一隅、龍宮八層廣場）</x:t>
        </x:is>
      </x:c>
    </x:row>
    <x:row r="1472" ht="60" customHeight="1">
      <x:c r="A1472" s="55" t="str">
        <x:v>黃泉斧</x:v>
      </x:c>
      <x:c r="B1472" s="55" t="str">
        <x:v>—</x:v>
      </x:c>
      <x:c r="C1472" s="55" t="str">
        <x:v>—</x:v>
      </x:c>
      <x:c r="D1472" s="55" t="str">
        <x:v>—</x:v>
      </x:c>
      <x:c r="E1472" s="55" t="inlineStr">
        <x:is>
          <x:t>霸王神兵錦囊（網站未列地圖）；天界戰匣（網站未列地圖）；喜兔武器錦囊‧參（網站未列地圖）；神來裝樂透卡之三（網站未列地圖）；龍鳳錦囊（網站未列地圖）；威震神州錦囊（網站未列地圖）；蒼狼族大汗（大汗陵墓、統萬大營）；流亡叛軍頭目（邊關要塞）；石窟武士俑（五派禁地）；屍靈武士俑（古皇陵密室）；流亡叛軍頭目（八達嶺、古北口）</x:t>
        </x:is>
      </x:c>
    </x:row>
    <x:row r="1473" ht="15" customHeight="1">
      <x:c r="A1473" s="55" t="str">
        <x:v>絕世黃泉斧</x:v>
      </x:c>
      <x:c r="B1473" s="55" t="str">
        <x:v>—</x:v>
      </x:c>
      <x:c r="C1473" s="55" t="str">
        <x:v>—</x:v>
      </x:c>
      <x:c r="D1473" s="55" t="str">
        <x:v>—</x:v>
      </x:c>
      <x:c r="E1473" s="55" t="inlineStr">
        <x:is>
          <x:t>絕世天界戰匣（網站未列地圖）</x:t>
        </x:is>
      </x:c>
    </x:row>
    <x:row r="1474" ht="30" customHeight="1">
      <x:c r="A1474" s="55" t="str">
        <x:v>分沙斧</x:v>
      </x:c>
      <x:c r="B1474" s="55" t="str">
        <x:v>—</x:v>
      </x:c>
      <x:c r="C1474" s="55" t="str">
        <x:v>—</x:v>
      </x:c>
      <x:c r="D1474" s="55" t="str">
        <x:v>—</x:v>
      </x:c>
      <x:c r="E1474" s="55" t="inlineStr">
        <x:is>
          <x:t>黑天神兵元靈（網站未列地圖）；西域神兵錦囊（網站未列地圖）；血槍幫響馬（高昌郡）；布衣幫小頭目（高昌郡）；禿鷹幫首領（高昌郡）</x:t>
        </x:is>
      </x:c>
    </x:row>
    <x:row r="1475" ht="45" customHeight="1">
      <x:c r="A1475" s="55" t="str">
        <x:v>獵影斧</x:v>
      </x:c>
      <x:c r="B1475" s="55" t="str">
        <x:v>—</x:v>
      </x:c>
      <x:c r="C1475" s="55" t="str">
        <x:v>—</x:v>
      </x:c>
      <x:c r="D1475" s="55" t="str">
        <x:v>—</x:v>
      </x:c>
      <x:c r="E1475" s="55" t="inlineStr">
        <x:is>
          <x:t>黑天神兵元靈（網站未列地圖）；西域神兵錦囊（網站未列地圖）；血槍幫響馬（高昌郡）；布衣幫小頭目（高昌郡）；禿鷹幫首領（高昌郡）；魅亂傘鬼（內崎埠原、外崎埠原、十津原樹海）；[魅亂傘鬼]（網站未列地圖）；魅亂傘鬼（內崎埠原、外崎埠原、十津原樹海）</x:t>
        </x:is>
      </x:c>
    </x:row>
    <x:row r="1476" ht="30" customHeight="1">
      <x:c r="A1476" s="55" t="str">
        <x:v>九陰化尸斧</x:v>
      </x:c>
      <x:c r="B1476" s="55" t="str">
        <x:v>—</x:v>
      </x:c>
      <x:c r="C1476" s="55" t="str">
        <x:v>—</x:v>
      </x:c>
      <x:c r="D1476" s="55" t="str">
        <x:v>—</x:v>
      </x:c>
      <x:c r="E1476" s="55" t="inlineStr">
        <x:is>
          <x:t>稀奇裝備箱．乙式（網站未列地圖）；扶乩大喪神（荒禍殘墟）；白懺大喪神（枉死之城）；黑尸大喪神（悲歡渡口）；馬面大喪神（永劫刑場）；牛頭大喪神（奈落紅川）；鬼虎殺手（法誡參道、漆黑水路）</x:t>
        </x:is>
      </x:c>
    </x:row>
    <x:row r="1477" ht="30" customHeight="1">
      <x:c r="A1477" s="55" t="str">
        <x:v>奈落冥斬斧</x:v>
      </x:c>
      <x:c r="B1477" s="55" t="str">
        <x:v>—</x:v>
      </x:c>
      <x:c r="C1477" s="55" t="str">
        <x:v>—</x:v>
      </x:c>
      <x:c r="D1477" s="55" t="str">
        <x:v>—</x:v>
      </x:c>
      <x:c r="E1477" s="55" t="inlineStr">
        <x:is>
          <x:t>稀奇裝備箱．丙式（網站未列地圖）；掠魂白死將（天戮魔殿）；奪魄黑死將（天戮魔殿）；劍山牛魔神（天戮魔殿）；血河馬魔神（天戮魔殿）；地斗大元帥（天戮魔殿）；森羅大殿主（天戮魔殿）</x:t>
        </x:is>
      </x:c>
    </x:row>
    <x:row r="1478" ht="30" customHeight="1">
      <x:c r="A1478" s="55" t="str">
        <x:v>破邪衝冠斧</x:v>
      </x:c>
      <x:c r="B1478" s="55" t="str">
        <x:v>—</x:v>
      </x:c>
      <x:c r="C1478" s="55" t="str">
        <x:v>—</x:v>
      </x:c>
      <x:c r="D1478" s="55" t="str">
        <x:v>—</x:v>
      </x:c>
      <x:c r="E1478" s="55" t="inlineStr">
        <x:is>
          <x:t>頂峰神兵錦囊（網站未列地圖）；天鬼神羅奢薩（神煉之間）；悍野獅（止戰邊境、豐穗平原）；鬼虎殺手（法誡參道、漆黑水路）</x:t>
        </x:is>
      </x:c>
    </x:row>
    <x:row r="1479" ht="45" customHeight="1">
      <x:c r="A1479" s="55" t="str">
        <x:v>太古破邪衝冠斧</x:v>
      </x:c>
      <x:c r="B1479" s="55" t="str">
        <x:v>—</x:v>
      </x:c>
      <x:c r="C1479" s="55" t="str">
        <x:v>—</x:v>
      </x:c>
      <x:c r="D1479" s="55" t="str">
        <x:v>—</x:v>
      </x:c>
      <x:c r="E1479" s="55" t="inlineStr">
        <x:is>
          <x:t>天藏太古神兵聖箱（網站未列地圖）；兔兒皇（網站未列地圖）；九華神曜龍（天授之間）；魔蠹屍龍（神煉之間）；梵煞金陀烈瑪（香格里拉聖路）；闇天九龍蛇（神煉之間）；闇心滅宗（神煉之間）；絕邪皇蠻（神煉之間）；雷吼聖將（香格里拉神廟、天授之間）</x:t>
        </x:is>
      </x:c>
    </x:row>
    <x:row r="1480" ht="15" customHeight="1">
      <x:c r="A1480" s="55" t="str">
        <x:v>天鬼怒瀑斧</x:v>
      </x:c>
      <x:c r="B1480" s="55" t="str">
        <x:v>—</x:v>
      </x:c>
      <x:c r="C1480" s="55" t="str">
        <x:v>—</x:v>
      </x:c>
      <x:c r="D1480" s="55" t="str">
        <x:v>—</x:v>
      </x:c>
      <x:c r="E1480" s="55" t="inlineStr">
        <x:is>
          <x:t>天光神兵聖匣（網站未列地圖）；香格里拉武匣（網站未列地圖）；原始土靈（獅堡軍事區）</x:t>
        </x:is>
      </x:c>
    </x:row>
    <x:row r="1481" ht="45" customHeight="1">
      <x:c r="A1481" s="55" t="str">
        <x:v>太古天鬼怒瀑斧</x:v>
      </x:c>
      <x:c r="B1481" s="55" t="str">
        <x:v>—</x:v>
      </x:c>
      <x:c r="C1481" s="55" t="str">
        <x:v>—</x:v>
      </x:c>
      <x:c r="D1481" s="55" t="str">
        <x:v>—</x:v>
      </x:c>
      <x:c r="E1481" s="55" t="inlineStr">
        <x:is>
          <x:t>天藏太古神兵聖箱（網站未列地圖）；查拉欽（飛昇大廳）；&lt;查拉欽&gt;（真七寶仙境　貳）；固勒（網站未列地圖）；金冑聖象衛（飛昇大廳）；&lt;金冑聖象衛&gt;（真七寶仙境　貳）；風元素神將（萬識聖宮）；真知神烈將（真知寺、萬識聖宮）</x:t>
        </x:is>
      </x:c>
    </x:row>
    <x:row r="1482" ht="45" customHeight="1">
      <x:c r="A1482" s="55" t="str">
        <x:v>砂嵐削塵斧</x:v>
      </x:c>
      <x:c r="B1482" s="55" t="str">
        <x:v>—</x:v>
      </x:c>
      <x:c r="C1482" s="55" t="str">
        <x:v>—</x:v>
      </x:c>
      <x:c r="D1482" s="55" t="str">
        <x:v>—</x:v>
      </x:c>
      <x:c r="E1482" s="55" t="inlineStr">
        <x:is>
          <x:t>金冑聖象衛（飛昇大廳）；&lt;金冑聖象衛&gt;（真七寶仙境　貳）；四聖位化神（飛昇大廳）；固勒（網站未列地圖）；真知太聖衛（飛昇大廳）；彪虎古戰神（飛昇大廳）；神御輝鎧駝（飛昇大廳）；熾火真帝靈（飛昇大廳）；荒水真帝靈（飛昇大廳）；裂土真帝靈（飛昇大廳）；剎風真帝靈（飛昇大廳）</x:t>
        </x:is>
      </x:c>
    </x:row>
    <x:row r="1483" ht="60" customHeight="1">
      <x:c r="A1483" s="55" t="str">
        <x:v>羅剎滅斬斧</x:v>
      </x:c>
      <x:c r="B1483" s="55" t="str">
        <x:v>—</x:v>
      </x:c>
      <x:c r="C1483" s="55" t="str">
        <x:v>—</x:v>
      </x:c>
      <x:c r="D1483" s="55" t="str">
        <x:v>—</x:v>
      </x:c>
      <x:c r="E1483" s="55" t="inlineStr">
        <x:is>
          <x:t>破壞神寶箱（網站未列地圖）；&lt;四聖位化神&gt;（真七寶仙境　貳）；&lt;真知太聖衛&gt;（真七寶仙境　貳）；&lt;彪虎古戰神&gt;（真七寶仙境　貳）；&lt;神御輝鎧駝&gt;（真七寶仙境　貳）；&lt;熾火真帝靈&gt;（真七寶仙境　貳）；&lt;荒水真帝靈&gt;（真七寶仙境　貳）；&lt;裂土真帝靈&gt;（真七寶仙境　貳）；&lt;剎風真帝靈&gt;（真七寶仙境　貳）；&lt;金冑聖象衛&gt;（真七寶仙境　貳）；嵐荒天虎神（網站未列地圖）</x:t>
        </x:is>
      </x:c>
    </x:row>
    <x:row r="1484" ht="15" customHeight="1">
      <x:c r="A1484" s="55" t="str">
        <x:v>永凍冰河斧</x:v>
      </x:c>
      <x:c r="B1484" s="55" t="str">
        <x:v>—</x:v>
      </x:c>
      <x:c r="C1484" s="55" t="str">
        <x:v>—</x:v>
      </x:c>
      <x:c r="D1484" s="55" t="str">
        <x:v>—</x:v>
      </x:c>
      <x:c r="E1484" s="55" t="inlineStr">
        <x:is>
          <x:t>帝國神兵寶箱（網站未列地圖）；穹天軍長（天啟八關）；劈天大雷神（闕真金閣）；霸雷天尊（網站未列地圖）</x:t>
        </x:is>
      </x:c>
    </x:row>
    <x:row r="1485" ht="30" customHeight="1">
      <x:c r="A1485" s="55" t="str">
        <x:v>太古永凍冰河斧</x:v>
      </x:c>
      <x:c r="B1485" s="55" t="str">
        <x:v>—</x:v>
      </x:c>
      <x:c r="C1485" s="55" t="str">
        <x:v>—</x:v>
      </x:c>
      <x:c r="D1485" s="55" t="str">
        <x:v>—</x:v>
      </x:c>
      <x:c r="E1485" s="55" t="inlineStr">
        <x:is>
          <x:t>帝國太古神兵聖箱（網站未列地圖）；燬天女魔后（聖禱天廳）；典藏神臨寶箱（網站未列地圖）；北海戰鬼基恩（擎空壁壘）</x:t>
        </x:is>
      </x:c>
    </x:row>
    <x:row r="1486" ht="15" customHeight="1">
      <x:c r="A1486" s="55" t="str">
        <x:v>悲霜邪王斧</x:v>
      </x:c>
      <x:c r="B1486" s="55" t="str">
        <x:v>—</x:v>
      </x:c>
      <x:c r="C1486" s="55" t="str">
        <x:v>—</x:v>
      </x:c>
      <x:c r="D1486" s="55" t="str">
        <x:v>—</x:v>
      </x:c>
      <x:c r="E1486" s="55" t="inlineStr">
        <x:is>
          <x:t>歐帝神兵寶箱（網站未列地圖）；亂界雷鬼（紫雷轟原）；怒雷尊者（飛雲忘野、橫劍天關、仙庭玉階）</x:t>
        </x:is>
      </x:c>
    </x:row>
    <x:row r="1487" ht="15" customHeight="1">
      <x:c r="A1487" s="55" t="str">
        <x:v>太古悲霜邪王斧</x:v>
      </x:c>
      <x:c r="B1487" s="55" t="str">
        <x:v>—</x:v>
      </x:c>
      <x:c r="C1487" s="55" t="str">
        <x:v>—</x:v>
      </x:c>
      <x:c r="D1487" s="55" t="str">
        <x:v>—</x:v>
      </x:c>
      <x:c r="E1487" s="55" t="inlineStr">
        <x:is>
          <x:t>帝國太古神兵聖箱（網站未列地圖）；武神（網站未列地圖）；天樓龍驍將（九霄天樓）</x:t>
        </x:is>
      </x:c>
    </x:row>
    <x:row r="1488" ht="30" customHeight="1">
      <x:c r="A1488" s="55" t="str">
        <x:v>遊雲征斧</x:v>
      </x:c>
      <x:c r="B1488" s="55" t="str">
        <x:v>—</x:v>
      </x:c>
      <x:c r="C1488" s="55" t="str">
        <x:v>—</x:v>
      </x:c>
      <x:c r="D1488" s="55" t="str">
        <x:v>—</x:v>
      </x:c>
      <x:c r="E1488" s="55" t="inlineStr">
        <x:is>
          <x:t>天樓龍驍將（九霄天樓）；迴天九翼蝶（九霄天樓）；錦袍仙丞（九霄天樓）；雲蛟巨將（九霄天樓）；天龍驃龍神（九霄天樓）；時之天守（無限鬥界）；&lt;時之天守&gt;（修羅級無限鬥界）</x:t>
        </x:is>
      </x:c>
    </x:row>
    <x:row r="1489" ht="30" customHeight="1">
      <x:c r="A1489" s="55" t="str">
        <x:v>天河星崗斧</x:v>
      </x:c>
      <x:c r="B1489" s="55" t="str">
        <x:v>—</x:v>
      </x:c>
      <x:c r="C1489" s="55" t="str">
        <x:v>—</x:v>
      </x:c>
      <x:c r="D1489" s="55" t="str">
        <x:v>—</x:v>
      </x:c>
      <x:c r="E1489" s="55" t="inlineStr">
        <x:is>
          <x:t>&lt;天樓龍驍將&gt;（修羅級九霄天樓）；&lt;迴天九翼蝶&gt;（修羅級九霄天樓）；&lt;錦袍仙丞&gt;（修羅級九霄天樓）；&lt;雲蛟巨將&gt;（修羅級九霄天樓）；&lt;天龍驃龍神&gt;（修羅級九霄天樓）</x:t>
        </x:is>
      </x:c>
    </x:row>
    <x:row r="1490" ht="45" customHeight="1">
      <x:c r="A1490" s="55" t="str">
        <x:v>天鍛‧龍塵斧</x:v>
      </x:c>
      <x:c r="B1490" s="55" t="str">
        <x:v>—</x:v>
      </x:c>
      <x:c r="C1490" s="55" t="str">
        <x:v>—</x:v>
      </x:c>
      <x:c r="D1490" s="55" t="str">
        <x:v>—</x:v>
      </x:c>
      <x:c r="E1490" s="55" t="inlineStr">
        <x:is>
          <x:t>無限神兵寶箱（網站未列地圖）；幻業劍魔（無限鬥界）；&lt;幻業劍魔&gt;（修羅級無限鬥界）；八荒碧龍麟（青龍東殿）；盤古石尊（玄武北殿）；至毒蜈蚣（異時界‧亂藤林南）；甚黑無常（異時界‧亂藤林西）；小夜叉飛斧手（異時界‧亂藤林、異時界‧亂藤林西）；疲憊的夜叉斧手（異時界‧亂藤林東）</x:t>
        </x:is>
      </x:c>
    </x:row>
    <x:row r="1491" ht="45" customHeight="1">
      <x:c r="A1491" s="55" t="str">
        <x:v>仙鑄‧龍塵斧</x:v>
      </x:c>
      <x:c r="B1491" s="55" t="str">
        <x:v>—</x:v>
      </x:c>
      <x:c r="C1491" s="55" t="str">
        <x:v>—</x:v>
      </x:c>
      <x:c r="D1491" s="55" t="str">
        <x:v>—</x:v>
      </x:c>
      <x:c r="E1491" s="55" t="inlineStr">
        <x:is>
          <x:t>大無限神兵寶箱（網站未列地圖）；侯氏兵甲福袋2015（網站未列地圖）；巨靈魔衛（異時界‧摘星嶺）；纏火蠍（異時界‧摘星嶺）；亡邪血斧夜叉（異時界‧葬日沼北）；亡邪刑天戰骸（異時界‧葬日沼北）；沼巨蟒（異時界‧葬日沼南）；夜叉鬼斧者（異時界‧修羅窟）；土行刺客（異時界‧修羅窟）；夜叉殺斧妖（異時界‧夜叉嶺）</x:t>
        </x:is>
      </x:c>
    </x:row>
    <x:row r="1492" ht="30" customHeight="1">
      <x:c r="A1492" s="55" t="str">
        <x:v>神煉‧龍塵斧</x:v>
      </x:c>
      <x:c r="B1492" s="55" t="str">
        <x:v>—</x:v>
      </x:c>
      <x:c r="C1492" s="55" t="str">
        <x:v>—</x:v>
      </x:c>
      <x:c r="D1492" s="55" t="str">
        <x:v>—</x:v>
      </x:c>
      <x:c r="E1492" s="55" t="inlineStr">
        <x:is>
          <x:t>超無限神兵寶箱（網站未列地圖）；三之極限福袋（網站未列地圖）；無影蜘蛛（時沒邊界）；紫雷蠻蛟‧強（殘雲天境）</x:t>
        </x:is>
      </x:c>
    </x:row>
    <x:row r="1493" ht="30" customHeight="1">
      <x:c r="A1493" s="55" t="str">
        <x:v>宇傲‧龍塵斧</x:v>
      </x:c>
      <x:c r="B1493" s="55" t="str">
        <x:v>—</x:v>
      </x:c>
      <x:c r="C1493" s="55" t="str">
        <x:v>—</x:v>
      </x:c>
      <x:c r="D1493" s="55" t="str">
        <x:v>—</x:v>
      </x:c>
      <x:c r="E1493" s="55" t="inlineStr">
        <x:is>
          <x:t>極無限神兵寶箱（網站未列地圖）；侯氏兵甲福袋2016（網站未列地圖）；百轉天誣（音無晶宇）；玄虛戰士（觀無巽宇）；天獄刑天（觀無巽宇）；墮虛之翅（覺無洋宇）；降禍邪孽（覺無洋宇）；陌形劍者（時沒邊界）</x:t>
        </x:is>
      </x:c>
    </x:row>
    <x:row r="1494" ht="15" customHeight="1">
      <x:c r="A1494" s="55" t="str">
        <x:v>峻霆‧龍塵斧</x:v>
      </x:c>
      <x:c r="B1494" s="55" t="str">
        <x:v>—</x:v>
      </x:c>
      <x:c r="C1494" s="55" t="str">
        <x:v>—</x:v>
      </x:c>
      <x:c r="D1494" s="55" t="str">
        <x:v>—</x:v>
      </x:c>
      <x:c r="E1494" s="55" t="inlineStr">
        <x:is>
          <x:t>絕無限神兵寶箱（網站未列地圖）；王嚎金鋼（星群碎道）；焦宙兇火（不解迴路）；邪角贔屭（不解迴路）</x:t>
        </x:is>
      </x:c>
    </x:row>
    <x:row r="1495" ht="15" customHeight="1">
      <x:c r="A1495" s="55" t="str">
        <x:v>窮極‧龍塵斧</x:v>
      </x:c>
      <x:c r="B1495" s="55" t="str">
        <x:v>—</x:v>
      </x:c>
      <x:c r="C1495" s="55" t="str">
        <x:v>—</x:v>
      </x:c>
      <x:c r="D1495" s="55" t="str">
        <x:v>—</x:v>
      </x:c>
      <x:c r="E1495" s="55" t="inlineStr">
        <x:is>
          <x:t>無無限神兵寶箱（網站未列地圖）；虛雷天尊（虛空渦心）</x:t>
        </x:is>
      </x:c>
    </x:row>
    <x:row r="1496" ht="30" customHeight="1">
      <x:c r="A1496" s="55" t="str">
        <x:v>元宙‧龍塵斧</x:v>
      </x:c>
      <x:c r="B1496" s="55" t="str">
        <x:v>—</x:v>
      </x:c>
      <x:c r="C1496" s="55" t="str">
        <x:v>—</x:v>
      </x:c>
      <x:c r="D1496" s="55" t="str">
        <x:v>—</x:v>
      </x:c>
      <x:c r="E1496" s="55" t="inlineStr">
        <x:is>
          <x:t>帝無限神兵寶箱（網站未列地圖）；完銷紀念寶箱（網站未列地圖）；危城巨猩（終末之塔第24層、終末之塔第25層）；虐殺犯（終末之塔第11層）；虛來鳴猩（吉薩走廊）</x:t>
        </x:is>
      </x:c>
    </x:row>
    <x:row r="1497" ht="30" customHeight="1">
      <x:c r="A1497" s="55" t="str">
        <x:v>真宇傲龍塵斧</x:v>
      </x:c>
      <x:c r="B1497" s="55" t="str">
        <x:v>—</x:v>
      </x:c>
      <x:c r="C1497" s="55" t="str">
        <x:v>—</x:v>
      </x:c>
      <x:c r="D1497" s="55" t="str">
        <x:v>—</x:v>
      </x:c>
      <x:c r="E1497" s="55" t="inlineStr">
        <x:is>
          <x:t>終無限神兵寶箱（網站未列地圖）；無旌戰狼（終末之塔第33層、終末之塔第34層）；王谷兵蜂（終末之塔第44層、終末之塔第45層）；人面獅身像（古翰大沙漠）</x:t>
        </x:is>
      </x:c>
    </x:row>
    <x:row r="1498" ht="30" customHeight="1">
      <x:c r="A1498" s="55" t="str">
        <x:v>瑤月斧★</x:v>
      </x:c>
      <x:c r="B1498" s="55" t="str">
        <x:v>—</x:v>
      </x:c>
      <x:c r="C1498" s="55" t="str">
        <x:v>—</x:v>
      </x:c>
      <x:c r="D1498" s="55" t="str">
        <x:v>—</x:v>
      </x:c>
      <x:c r="E1498" s="55" t="inlineStr">
        <x:is>
          <x:t>仙星神兵寶箱（網站未列地圖）；天罪劍俠錦囊（網站未列地圖）；挑羊點尖（終末之塔第49層）；王都石工（太陽神大道）；皇家聖衛（王都盧索）；沙暴先鋒隊長（古翰大沙漠）；金斧皇將（托勒密山麓）</x:t>
        </x:is>
      </x:c>
    </x:row>
    <x:row r="1499" ht="30" customHeight="1">
      <x:c r="A1499" s="55" t="str">
        <x:v>瑤月斧★★</x:v>
      </x:c>
      <x:c r="B1499" s="55" t="str">
        <x:v>—</x:v>
      </x:c>
      <x:c r="C1499" s="55" t="str">
        <x:v>—</x:v>
      </x:c>
      <x:c r="D1499" s="55" t="str">
        <x:v>—</x:v>
      </x:c>
      <x:c r="E1499" s="55" t="inlineStr">
        <x:is>
          <x:t>真‧仙星神兵寶箱（網站未列地圖）；罪赦劍俠錦囊（網站未列地圖）；護棺刃鱷（赫勒神殿遺址）；多姆泰夫（荷魯斯聖祠）</x:t>
        </x:is>
      </x:c>
    </x:row>
    <x:row r="1500" ht="30" customHeight="1">
      <x:c r="A1500" s="55" t="str">
        <x:v>瑤月斧★★★</x:v>
      </x:c>
      <x:c r="B1500" s="55" t="str">
        <x:v>—</x:v>
      </x:c>
      <x:c r="C1500" s="55" t="str">
        <x:v>—</x:v>
      </x:c>
      <x:c r="D1500" s="55" t="str">
        <x:v>—</x:v>
      </x:c>
      <x:c r="E1500" s="55" t="inlineStr">
        <x:is>
          <x:t>超‧仙星神兵寶箱（網站未列地圖）；終罪劍俠錦囊（網站未列地圖）；百劫屠者（終末之塔第93層、終末之塔第94層）；迷竅幻鬼（終末之塔第83層、終末之塔第84層）</x:t>
        </x:is>
      </x:c>
    </x:row>
    <x:row r="1501" ht="30" customHeight="1">
      <x:c r="A1501" s="55" t="str">
        <x:v>帛度斧☆</x:v>
      </x:c>
      <x:c r="B1501" s="55" t="str">
        <x:v>—</x:v>
      </x:c>
      <x:c r="C1501" s="55" t="str">
        <x:v>—</x:v>
      </x:c>
      <x:c r="D1501" s="55" t="str">
        <x:v>—</x:v>
      </x:c>
      <x:c r="E1501" s="55" t="inlineStr">
        <x:is>
          <x:t>煌星神兵寶箱（網站未列地圖）；天罪劍俠錦囊（網站未列地圖）；怨咒靈車（終末之塔第95層、終末之塔第96層）；斬塔罪刀（終末之塔第109層）</x:t>
        </x:is>
      </x:c>
    </x:row>
    <x:row r="1502" ht="45" customHeight="1">
      <x:c r="A1502" s="55" t="str">
        <x:v>帛度斧☆☆</x:v>
      </x:c>
      <x:c r="B1502" s="55" t="str">
        <x:v>—</x:v>
      </x:c>
      <x:c r="C1502" s="55" t="str">
        <x:v>—</x:v>
      </x:c>
      <x:c r="D1502" s="55" t="str">
        <x:v>—</x:v>
      </x:c>
      <x:c r="E1502" s="55" t="inlineStr">
        <x:is>
          <x:t>真‧煌星神兵寶箱（網站未列地圖）；七災鬼侯（終末之塔第125層、終末之塔第127層）；鋼皮巨犀（終末之塔第134層、終末之塔第133層、終末之塔第139層、終末之塔第138層、終末之塔第131層、終末之塔第137層、終末之塔第135層、終末之塔第136層）</x:t>
        </x:is>
      </x:c>
    </x:row>
    <x:row r="1503" ht="15" customHeight="1">
      <x:c r="A1503" s="55" t="str">
        <x:v>帛度斧☆☆☆</x:v>
      </x:c>
      <x:c r="B1503" s="55" t="str">
        <x:v>—</x:v>
      </x:c>
      <x:c r="C1503" s="55" t="str">
        <x:v>—</x:v>
      </x:c>
      <x:c r="D1503" s="55" t="str">
        <x:v>—</x:v>
      </x:c>
      <x:c r="E1503" s="55" t="inlineStr">
        <x:is>
          <x:t>超‧煌星神兵寶箱（網站未列地圖）；換血戰兵（終末之塔第143層、終末之塔第144層）</x:t>
        </x:is>
      </x:c>
    </x:row>
    <x:row r="1504" ht="15" customHeight="1">
      <x:c r="A1504" s="55" t="str">
        <x:v>河山斧☆</x:v>
      </x:c>
      <x:c r="B1504" s="55" t="str">
        <x:v>—</x:v>
      </x:c>
      <x:c r="C1504" s="55" t="str">
        <x:v>—</x:v>
      </x:c>
      <x:c r="D1504" s="55" t="str">
        <x:v>—</x:v>
      </x:c>
      <x:c r="E1504" s="55" t="inlineStr">
        <x:is>
          <x:t>帝星神兵寶箱（網站未列地圖）；葬劍崖俠宗（西校場）</x:t>
        </x:is>
      </x:c>
    </x:row>
    <x:row r="1505" ht="15" customHeight="1">
      <x:c r="A1505" s="55" t="str">
        <x:v>河山斧★</x:v>
      </x:c>
      <x:c r="B1505" s="55" t="str">
        <x:v>—</x:v>
      </x:c>
      <x:c r="C1505" s="55" t="str">
        <x:v>—</x:v>
      </x:c>
      <x:c r="D1505" s="55" t="str">
        <x:v>—</x:v>
      </x:c>
      <x:c r="E1505" s="55" t="inlineStr">
        <x:is>
          <x:t>真‧帝星神兵寶箱（網站未列地圖）；武冠勇士錦囊（網站未列地圖）</x:t>
        </x:is>
      </x:c>
    </x:row>
    <x:row r="1506" ht="15" customHeight="1">
      <x:c r="A1506" s="55" t="str">
        <x:v>河山斧★☆</x:v>
      </x:c>
      <x:c r="B1506" s="55" t="str">
        <x:v>—</x:v>
      </x:c>
      <x:c r="C1506" s="55" t="str">
        <x:v>—</x:v>
      </x:c>
      <x:c r="D1506" s="55" t="str">
        <x:v>—</x:v>
      </x:c>
      <x:c r="E1506" s="55" t="inlineStr">
        <x:is>
          <x:t>超‧帝星神兵寶箱（網站未列地圖）；鋼鬚殺蔘（齊襄道、東海道、白餘古城）；新郡白虎（溥山新郡）</x:t>
        </x:is>
      </x:c>
    </x:row>
    <x:row r="1507" ht="15" customHeight="1">
      <x:c r="A1507" s="55" t="str">
        <x:v>河山斧★★</x:v>
      </x:c>
      <x:c r="B1507" s="55" t="str">
        <x:v>—</x:v>
      </x:c>
      <x:c r="C1507" s="55" t="str">
        <x:v>—</x:v>
      </x:c>
      <x:c r="D1507" s="55" t="str">
        <x:v>—</x:v>
      </x:c>
      <x:c r="E1507" s="55" t="inlineStr">
        <x:is>
          <x:t>極‧帝星神兵寶箱（網站未列地圖）；血潤狂蔘（濟馬島、漢京首府）</x:t>
        </x:is>
      </x:c>
    </x:row>
    <x:row r="1508" ht="15" customHeight="1">
      <x:c r="A1508" s="55" t="str">
        <x:v>河山斧★★☆</x:v>
      </x:c>
      <x:c r="B1508" s="55" t="str">
        <x:v>—</x:v>
      </x:c>
      <x:c r="C1508" s="55" t="str">
        <x:v>—</x:v>
      </x:c>
      <x:c r="D1508" s="55" t="str">
        <x:v>—</x:v>
      </x:c>
      <x:c r="E1508" s="55" t="inlineStr">
        <x:is>
          <x:t>絕‧帝星神兵寶箱（網站未列地圖）；天元勇士錦囊（網站未列地圖）；部落戰虎（旭陽山徑）</x:t>
        </x:is>
      </x:c>
    </x:row>
    <x:row r="1509" ht="15" customHeight="1">
      <x:c r="A1509" s="55" t="str">
        <x:v>河山斧★★★</x:v>
      </x:c>
      <x:c r="B1509" s="55" t="str">
        <x:v>—</x:v>
      </x:c>
      <x:c r="C1509" s="55" t="str">
        <x:v>—</x:v>
      </x:c>
      <x:c r="D1509" s="55" t="str">
        <x:v>—</x:v>
      </x:c>
      <x:c r="E1509" s="55" t="inlineStr">
        <x:is>
          <x:t>神‧帝星神兵寶箱（網站未列地圖）；極沸蠑螈（始祖巨林．西）</x:t>
        </x:is>
      </x:c>
    </x:row>
    <x:row r="1510" ht="15" customHeight="1">
      <x:c r="A1510" s="55" t="str">
        <x:v>魔蟹碎命斧</x:v>
      </x:c>
      <x:c r="B1510" s="55" t="str">
        <x:v>—</x:v>
      </x:c>
      <x:c r="C1510" s="55" t="str">
        <x:v>—</x:v>
      </x:c>
      <x:c r="D1510" s="55" t="str">
        <x:v>—</x:v>
      </x:c>
      <x:c r="E1510" s="55" t="inlineStr">
        <x:is>
          <x:t>盡宇絕兵聖箱（網站未列地圖）；新‧神武之岩（網站未列地圖）；年大媽（網站未列地圖）</x:t>
        </x:is>
      </x:c>
    </x:row>
    <x:row r="1511" ht="15" customHeight="1">
      <x:c r="A1511" s="55" t="str">
        <x:v>蓋亞碎界斧</x:v>
      </x:c>
      <x:c r="B1511" s="55" t="str">
        <x:v>—</x:v>
      </x:c>
      <x:c r="C1511" s="55" t="str">
        <x:v>—</x:v>
      </x:c>
      <x:c r="D1511" s="55" t="str">
        <x:v>—</x:v>
      </x:c>
      <x:c r="E1511" s="55" t="inlineStr">
        <x:is>
          <x:t>奧林帕斯神兵聖櫃（網站未列地圖）；孤城錦囊（網站未列地圖）；武冠千軍錦囊（網站未列地圖）</x:t>
        </x:is>
      </x:c>
    </x:row>
    <x:row r="1512" ht="15" customHeight="1">
      <x:c r="A1512" s="55" t="str">
        <x:v>蓋亞碎界斧</x:v>
      </x:c>
      <x:c r="B1512" s="55" t="str">
        <x:v>—</x:v>
      </x:c>
      <x:c r="C1512" s="55" t="str">
        <x:v>—</x:v>
      </x:c>
      <x:c r="D1512" s="55" t="str">
        <x:v>—</x:v>
      </x:c>
      <x:c r="E1512" s="55" t="inlineStr">
        <x:is>
          <x:t>奧林帕斯神兵聖櫃（網站未列地圖）</x:t>
        </x:is>
      </x:c>
    </x:row>
    <x:row r="1513" ht="15" customHeight="1">
      <x:c r="A1513" s="55" t="str">
        <x:v>七政太歲斧</x:v>
      </x:c>
      <x:c r="B1513" s="55" t="str">
        <x:v>—</x:v>
      </x:c>
      <x:c r="C1513" s="55" t="str">
        <x:v>—</x:v>
      </x:c>
      <x:c r="D1513" s="55" t="str">
        <x:v>—</x:v>
      </x:c>
      <x:c r="E1513" s="55" t="inlineStr">
        <x:is>
          <x:t>仙藏天寶鑑兵匣（網站未列地圖）；仙儀丹曦帝武玉匣（網站未列地圖）</x:t>
        </x:is>
      </x:c>
    </x:row>
    <x:row r="1514" ht="15" customHeight="1">
      <x:c r="A1514" s="55" t="str">
        <x:v>七政太歲斧</x:v>
      </x:c>
      <x:c r="B1514" s="55" t="str">
        <x:v>—</x:v>
      </x:c>
      <x:c r="C1514" s="55" t="str">
        <x:v>—</x:v>
      </x:c>
      <x:c r="D1514" s="55" t="str">
        <x:v>—</x:v>
      </x:c>
      <x:c r="E1514" s="55" t="inlineStr">
        <x:is>
          <x:t>仙儀丹曦帝武玉匣（網站未列地圖）</x:t>
        </x:is>
      </x:c>
    </x:row>
    <x:row r="1515" ht="60" customHeight="1">
      <x:c r="A1515" s="55" t="str">
        <x:v>龍池天虛斧</x:v>
      </x:c>
      <x:c r="B1515" s="55" t="str">
        <x:v>—</x:v>
      </x:c>
      <x:c r="C1515" s="55" t="str">
        <x:v>—</x:v>
      </x:c>
      <x:c r="D1515" s="55" t="str">
        <x:v>—</x:v>
      </x:c>
      <x:c r="E1515" s="55" t="inlineStr">
        <x:is>
          <x:t>天尊帝宿超武神匣（網站未列地圖）；超‧蓋世無雙錦囊（網站未列地圖）；無敵福袋（網站未列地圖）；宿敵錦囊（網站未列地圖）；天下無敵錦囊（網站未列地圖）；侯氏兵甲福袋2015（網站未列地圖）；仙之極境錦囊（網站未列地圖）；幻月銀狼（七寶仙境　壹）；問頂仙龍（七寶仙境　壹）；[幻月銀狼]（七寶仙境　壹）；[問頂仙龍]（七寶仙境　壹）；&lt;幻月銀狼&gt;（七寶仙境　壹）；&lt;問頂仙龍&gt;（七寶仙境　壹）</x:t>
        </x:is>
      </x:c>
    </x:row>
    <x:row r="1516" ht="60" customHeight="1">
      <x:c r="A1516" s="55" t="str">
        <x:v>赤龍宮天麟斧</x:v>
      </x:c>
      <x:c r="B1516" s="55" t="str">
        <x:v>—</x:v>
      </x:c>
      <x:c r="C1516" s="55" t="str">
        <x:v>—</x:v>
      </x:c>
      <x:c r="D1516" s="55" t="str">
        <x:v>—</x:v>
      </x:c>
      <x:c r="E1516" s="55" t="inlineStr">
        <x:is>
          <x:t>鎮天聖守星武神匣（網站未列地圖）；超級旗開得勝錦囊（網站未列地圖）；出奇制勝錦囊（網站未列地圖）；百戰論皇錦囊（網站未列地圖）；〈步天敖犬〉（真七寶仙境　壹）；〈霧隱忍武〉（真七寶仙境　壹）；《步天敖犬》（真七寶仙境　壹）；《霧隱忍武》（真七寶仙境　壹）；【步天敖犬】（真七寶仙境　壹）；【霧隱忍武】（真七寶仙境　壹）；暴食鯊魚（網站未列地圖）</x:t>
        </x:is>
      </x:c>
    </x:row>
    <x:row r="1517" ht="45" customHeight="1">
      <x:c r="A1517" s="55" t="str">
        <x:v>東皇雷夔斧</x:v>
      </x:c>
      <x:c r="B1517" s="55" t="str">
        <x:v>—</x:v>
      </x:c>
      <x:c r="C1517" s="55" t="str">
        <x:v>—</x:v>
      </x:c>
      <x:c r="D1517" s="55" t="str">
        <x:v>—</x:v>
      </x:c>
      <x:c r="E1517" s="55" t="inlineStr">
        <x:is>
          <x:t>永恆山海唯武神匣（網站未列地圖）；金甲久讚端午香囊（網站未列地圖）；金雞喜開工禮袋（網站未列地圖）；○步天敖犬○（超七寶仙境　壹）；○霧隱忍武○（超七寶仙境　壹）；◎步天敖犬◎（超七寶仙境　壹）；◎霧隱忍武◎（超七寶仙境　壹）；●步天敖犬●（超七寶仙境　壹）；●霧隱忍武●（超七寶仙境　壹）</x:t>
        </x:is>
      </x:c>
    </x:row>
    <x:row r="1518" ht="30" customHeight="1">
      <x:c r="A1518" s="55" t="str">
        <x:v>光鋒斧‧疏狂</x:v>
      </x:c>
      <x:c r="B1518" s="55" t="str">
        <x:v>—</x:v>
      </x:c>
      <x:c r="C1518" s="55" t="str">
        <x:v>—</x:v>
      </x:c>
      <x:c r="D1518" s="55" t="str">
        <x:v>—</x:v>
      </x:c>
      <x:c r="E1518" s="55" t="inlineStr">
        <x:is>
          <x:t>創宇諸恆極兵神匣（網站未列地圖）；侯氏兵甲福袋2018（網站未列地圖）；春日頂天錦囊（網站未列地圖）；粽夏劊手貝魯瑟斯（網站未列地圖）</x:t>
        </x:is>
      </x:c>
    </x:row>
    <x:row r="1519" ht="45" customHeight="1">
      <x:c r="A1519" s="55" t="str">
        <x:v>冥斧‧提爾鋒</x:v>
      </x:c>
      <x:c r="B1519" s="55" t="str">
        <x:v>—</x:v>
      </x:c>
      <x:c r="C1519" s="55" t="str">
        <x:v>—</x:v>
      </x:c>
      <x:c r="D1519" s="55" t="str">
        <x:v>—</x:v>
      </x:c>
      <x:c r="E1519" s="55" t="inlineStr">
        <x:is>
          <x:t>阿薩群鋒巨武神匣（網站未列地圖）；侯氏兵甲福袋2019（網站未列地圖）；諸星報喜福袋（網站未列地圖）；夏星創世錦囊（網站未列地圖）；世紀縱橫錦囊（網站未列地圖）；超‧大秘境寶箱（網站未列地圖）；超大秘境寶箱（網站未列地圖）；超神豬刮刮樂（網站未列地圖）</x:t>
        </x:is>
      </x:c>
    </x:row>
    <x:row r="1520" ht="15" customHeight="1">
      <x:c r="A1520" s="55" t="str">
        <x:v>冥斧‧提爾鋒</x:v>
      </x:c>
      <x:c r="B1520" s="55" t="str">
        <x:v>—</x:v>
      </x:c>
      <x:c r="C1520" s="55" t="str">
        <x:v>—</x:v>
      </x:c>
      <x:c r="D1520" s="55" t="str">
        <x:v>—</x:v>
      </x:c>
      <x:c r="E1520" s="55" t="inlineStr">
        <x:is>
          <x:t>阿薩群鋒巨武神匣（網站未列地圖）</x:t>
        </x:is>
      </x:c>
    </x:row>
    <x:row r="1521" ht="60" customHeight="1">
      <x:c r="A1521" s="55" t="str">
        <x:v>闢斧烏‧涅特</x:v>
      </x:c>
      <x:c r="B1521" s="55" t="str">
        <x:v>—</x:v>
      </x:c>
      <x:c r="C1521" s="55" t="str">
        <x:v>—</x:v>
      </x:c>
      <x:c r="D1521" s="55" t="str">
        <x:v>—</x:v>
      </x:c>
      <x:c r="E1521" s="55" t="inlineStr">
        <x:is>
          <x:t>侯氏兵甲福袋2020（網站未列地圖）；太陽神典錦囊（網站未列地圖）；鼠來寶開工禮袋（網站未列地圖）；超‧大秘境寶箱（網站未列地圖）；黃金鼠刮刮樂（網站未列地圖）；★松齡聖龜★（極七寶仙境　壹）；★問頂仙龍★（極七寶仙境　壹）；☆松齡聖龜☆（極七寶仙境　壹）；☆問頂仙龍☆（極七寶仙境　壹）；⊕松齡聖龜⊕（極七寶仙境　壹）；⊕問頂仙龍⊕（極七寶仙境　壹）</x:t>
        </x:is>
      </x:c>
    </x:row>
    <x:row r="1522" ht="15" customHeight="1">
      <x:c r="A1522" s="55" t="str">
        <x:v>闢斧烏‧涅特</x:v>
      </x:c>
      <x:c r="B1522" s="55" t="str">
        <x:v>—</x:v>
      </x:c>
      <x:c r="C1522" s="55" t="str">
        <x:v>—</x:v>
      </x:c>
      <x:c r="D1522" s="55" t="str">
        <x:v>—</x:v>
      </x:c>
      <x:c r="E1522" s="55" t="inlineStr">
        <x:is>
          <x:t>冥府皇統法老征匣（網站未列地圖）；武神‧異神靈識（殘雲天境）</x:t>
        </x:is>
      </x:c>
    </x:row>
    <x:row r="1523" ht="15" customHeight="1">
      <x:c r="A1523" s="55" t="str">
        <x:v>商紂暴政斧</x:v>
      </x:c>
      <x:c r="B1523" s="55" t="str">
        <x:v>—</x:v>
      </x:c>
      <x:c r="C1523" s="55" t="str">
        <x:v>—</x:v>
      </x:c>
      <x:c r="D1523" s="55" t="str">
        <x:v>—</x:v>
      </x:c>
      <x:c r="E1523" s="55" t="inlineStr">
        <x:is>
          <x:t>萬帝天尊極武神匣（網站未列地圖）；侯氏兵甲福袋2021（網站未列地圖）</x:t>
        </x:is>
      </x:c>
    </x:row>
    <x:row r="1524" ht="15" customHeight="1">
      <x:c r="A1524" s="55" t="str">
        <x:v>商紂暴政斧</x:v>
      </x:c>
      <x:c r="B1524" s="55" t="str">
        <x:v>—</x:v>
      </x:c>
      <x:c r="C1524" s="55" t="str">
        <x:v>—</x:v>
      </x:c>
      <x:c r="D1524" s="55" t="str">
        <x:v>—</x:v>
      </x:c>
      <x:c r="E1524" s="55" t="inlineStr">
        <x:is>
          <x:t>萬帝天尊極武神匣（網站未列地圖）</x:t>
        </x:is>
      </x:c>
    </x:row>
    <x:row r="1525" ht="45" customHeight="1">
      <x:c r="A1525" s="55" t="str">
        <x:v>尼師今尊斧</x:v>
      </x:c>
      <x:c r="B1525" s="55" t="str">
        <x:v>—</x:v>
      </x:c>
      <x:c r="C1525" s="55" t="str">
        <x:v>—</x:v>
      </x:c>
      <x:c r="D1525" s="55" t="str">
        <x:v>—</x:v>
      </x:c>
      <x:c r="E1525" s="55" t="inlineStr">
        <x:is>
          <x:t>東明開天釋達神匣（網站未列地圖）；黑武狂戰士（網站未列地圖）；絕七寶仙境寶箱（網站未列地圖）；◥步天敖犬◤（絕七寶仙境　參）；◥霧隱忍武◤（絕七寶仙境　參）；◢步天敖犬◣（絕七寶仙境　參）；◢霧隱忍武◣（絕七寶仙境　參）；▓步天敖犬▓（絕七寶仙境　參）；▓霧隱忍武▓（絕七寶仙境　參）</x:t>
        </x:is>
      </x:c>
    </x:row>
    <x:row r="1526" ht="15" customHeight="1">
      <x:c r="A1526" s="55" t="str">
        <x:v>尼師今尊斧</x:v>
      </x:c>
      <x:c r="B1526" s="55" t="str">
        <x:v>—</x:v>
      </x:c>
      <x:c r="C1526" s="55" t="str">
        <x:v>—</x:v>
      </x:c>
      <x:c r="D1526" s="55" t="str">
        <x:v>—</x:v>
      </x:c>
      <x:c r="E1526" s="55" t="inlineStr">
        <x:is>
          <x:t>東明開天釋達神匣（網站未列地圖）</x:t>
        </x:is>
      </x:c>
    </x:row>
    <x:row r="1527" ht="15" customHeight="1">
      <x:c r="A1527" s="55" t="str">
        <x:v>新星之昇塵斧</x:v>
      </x:c>
      <x:c r="B1527" s="55" t="str">
        <x:v>—</x:v>
      </x:c>
      <x:c r="C1527" s="55" t="str">
        <x:v>—</x:v>
      </x:c>
      <x:c r="D1527" s="55" t="str">
        <x:v>—</x:v>
      </x:c>
      <x:c r="E1527" s="55" t="inlineStr">
        <x:is>
          <x:t>—</x:t>
        </x:is>
      </x:c>
    </x:row>
    <x:row r="1528" ht="30" customHeight="1">
      <x:c r="A1528" s="55" t="str">
        <x:v>鬥羅斧</x:v>
      </x:c>
      <x:c r="B1528" s="55" t="str">
        <x:v>—</x:v>
      </x:c>
      <x:c r="C1528" s="55" t="str">
        <x:v>—</x:v>
      </x:c>
      <x:c r="D1528" s="55" t="str">
        <x:v>—</x:v>
      </x:c>
      <x:c r="E1528" s="55" t="inlineStr">
        <x:is>
          <x:t>科技戰兵BJL（王統新市）；原碼改造戰熊（王統新市）；強化戰兵BJL（桃谷縱道）；合成象人（桃谷縱道）；複合獅人（龍池大社）</x:t>
        </x:is>
      </x:c>
    </x:row>
    <x:row r="1529" ht="15" customHeight="1">
      <x:c r="A1529" s="55" t="str">
        <x:v>葬月梟斧Ⅰ</x:v>
      </x:c>
      <x:c r="B1529" s="55" t="str">
        <x:v>—</x:v>
      </x:c>
      <x:c r="C1529" s="55" t="str">
        <x:v>—</x:v>
      </x:c>
      <x:c r="D1529" s="55" t="str">
        <x:v>—</x:v>
      </x:c>
      <x:c r="E1529" s="55" t="inlineStr">
        <x:is>
          <x:t>神島勇士錦囊（網站未列地圖）</x:t>
        </x:is>
      </x:c>
    </x:row>
    <x:row r="1530" ht="15" customHeight="1">
      <x:c r="A1530" s="55" t="str">
        <x:v>葬月梟斧Ⅱ</x:v>
      </x:c>
      <x:c r="B1530" s="55" t="str">
        <x:v>—</x:v>
      </x:c>
      <x:c r="C1530" s="55" t="str">
        <x:v>—</x:v>
      </x:c>
      <x:c r="D1530" s="55" t="str">
        <x:v>—</x:v>
      </x:c>
      <x:c r="E1530" s="55" t="inlineStr">
        <x:is>
          <x:t>強化戰兵FLM（龍池大社）</x:t>
        </x:is>
      </x:c>
    </x:row>
    <x:row r="1531" ht="15" customHeight="1">
      <x:c r="A1531" s="55" t="str">
        <x:v>葬月梟斧Ⅲ</x:v>
      </x:c>
      <x:c r="B1531" s="55" t="str">
        <x:v>—</x:v>
      </x:c>
      <x:c r="C1531" s="55" t="str">
        <x:v>—</x:v>
      </x:c>
      <x:c r="D1531" s="55" t="str">
        <x:v>—</x:v>
      </x:c>
      <x:c r="E1531" s="55" t="inlineStr">
        <x:is>
          <x:t>—</x:t>
        </x:is>
      </x:c>
    </x:row>
    <x:row r="1532" ht="15" customHeight="1">
      <x:c r="A1532" s="55" t="str">
        <x:v>葬月梟斧Ⅳ</x:v>
      </x:c>
      <x:c r="B1532" s="55" t="str">
        <x:v>—</x:v>
      </x:c>
      <x:c r="C1532" s="55" t="str">
        <x:v>—</x:v>
      </x:c>
      <x:c r="D1532" s="55" t="str">
        <x:v>—</x:v>
      </x:c>
      <x:c r="E1532" s="55" t="inlineStr">
        <x:is>
          <x:t>—</x:t>
        </x:is>
      </x:c>
    </x:row>
    <x:row r="1533" ht="15" customHeight="1">
      <x:c r="A1533" s="55" t="str">
        <x:v>葬月梟斧Ⅴ</x:v>
      </x:c>
      <x:c r="B1533" s="55" t="str">
        <x:v>—</x:v>
      </x:c>
      <x:c r="C1533" s="55" t="str">
        <x:v>—</x:v>
      </x:c>
      <x:c r="D1533" s="55" t="str">
        <x:v>—</x:v>
      </x:c>
      <x:c r="E1533" s="55" t="inlineStr">
        <x:is>
          <x:t>幻三蚩呂錦囊（網站未列地圖）</x:t>
        </x:is>
      </x:c>
    </x:row>
    <x:row r="1534" ht="30" customHeight="1">
      <x:c r="A1534" s="55" t="str">
        <x:v>八裂叛伐斧</x:v>
      </x:c>
      <x:c r="B1534" s="55" t="str">
        <x:v>—</x:v>
      </x:c>
      <x:c r="C1534" s="55" t="str">
        <x:v>—</x:v>
      </x:c>
      <x:c r="D1534" s="55" t="str">
        <x:v>—</x:v>
      </x:c>
      <x:c r="E1534" s="55" t="inlineStr">
        <x:is>
          <x:t>南辰時祿秘兵匣（網站未列地圖）；南辰時祿機神兵匣（網站未列地圖）；侯氏兵甲福袋2023（網站未列地圖）；通寶院貴寶箱（網站未列地圖）</x:t>
        </x:is>
      </x:c>
    </x:row>
    <x:row r="1535" ht="15" customHeight="1">
      <x:c r="A1535" s="55" t="str">
        <x:v>八裂叛伐斧</x:v>
      </x:c>
      <x:c r="B1535" s="55" t="str">
        <x:v>—</x:v>
      </x:c>
      <x:c r="C1535" s="55" t="str">
        <x:v>—</x:v>
      </x:c>
      <x:c r="D1535" s="55" t="str">
        <x:v>—</x:v>
      </x:c>
      <x:c r="E1535" s="55" t="inlineStr">
        <x:is>
          <x:t>南辰時祿秘兵匣（網站未列地圖）；南辰時祿機神兵匣（網站未列地圖）</x:t>
        </x:is>
      </x:c>
    </x:row>
    <x:row r="1536" ht="45" customHeight="1">
      <x:c r="A1536" s="55" t="str">
        <x:v>奪政無道斧</x:v>
      </x:c>
      <x:c r="B1536" s="55" t="str">
        <x:v>—</x:v>
      </x:c>
      <x:c r="C1536" s="55" t="str">
        <x:v>—</x:v>
      </x:c>
      <x:c r="D1536" s="55" t="str">
        <x:v>—</x:v>
      </x:c>
      <x:c r="E1536" s="55" t="inlineStr">
        <x:is>
          <x:t>三分鼎鋒真王武匣（網站未列地圖）；二十仙境錦囊（網站未列地圖）；麻辣熱浪錦囊（網站未列地圖）；帝．步天敖犬（帝七寶仙境　壹）；帝．霧隱忍武（帝七寶仙境　壹）；〈帝〉步天敖犬（帝七寶仙境　壹）；〈帝〉霧隱忍武（帝七寶仙境　壹）；《帝》步天敖犬（帝七寶仙境　壹）；《帝》霧隱忍武（帝七寶仙境　壹）</x:t>
        </x:is>
      </x:c>
    </x:row>
    <x:row r="1537" ht="15" customHeight="1">
      <x:c r="A1537" s="55" t="str">
        <x:v>奪政無道斧</x:v>
      </x:c>
      <x:c r="B1537" s="55" t="str">
        <x:v>—</x:v>
      </x:c>
      <x:c r="C1537" s="55" t="str">
        <x:v>—</x:v>
      </x:c>
      <x:c r="D1537" s="55" t="str">
        <x:v>—</x:v>
      </x:c>
      <x:c r="E1537" s="55" t="inlineStr">
        <x:is>
          <x:t>三分鼎鋒真王武匣（網站未列地圖）</x:t>
        </x:is>
      </x:c>
    </x:row>
    <x:row r="1538" ht="15" customHeight="1">
      <x:c r="A1538" s="55" t="str">
        <x:v>斧〔魔神破〕</x:v>
      </x:c>
      <x:c r="B1538" s="55" t="str">
        <x:v>—</x:v>
      </x:c>
      <x:c r="C1538" s="55" t="str">
        <x:v>—</x:v>
      </x:c>
      <x:c r="D1538" s="55" t="str">
        <x:v>—</x:v>
      </x:c>
      <x:c r="E1538" s="55" t="inlineStr">
        <x:is>
          <x:t>古文明東西霸武匣（網站未列地圖）；冰酷麻辣錦囊（網站未列地圖）；極大秘境寶箱（網站未列地圖）</x:t>
        </x:is>
      </x:c>
    </x:row>
    <x:row r="1539" ht="15" customHeight="1">
      <x:c r="A1539" s="55" t="str">
        <x:v>斧〔魔神破〕</x:v>
      </x:c>
      <x:c r="B1539" s="55" t="str">
        <x:v>—</x:v>
      </x:c>
      <x:c r="C1539" s="55" t="str">
        <x:v>—</x:v>
      </x:c>
      <x:c r="D1539" s="55" t="str">
        <x:v>—</x:v>
      </x:c>
      <x:c r="E1539" s="55" t="inlineStr">
        <x:is>
          <x:t>古文明東西霸武匣（網站未列地圖）</x:t>
        </x:is>
      </x:c>
    </x:row>
    <x:row r="1540" ht="60" customHeight="1">
      <x:c r="A1540" s="55" t="str">
        <x:v>虎門憲章斧</x:v>
      </x:c>
      <x:c r="B1540" s="55" t="str">
        <x:v>—</x:v>
      </x:c>
      <x:c r="C1540" s="55" t="str">
        <x:v>—</x:v>
      </x:c>
      <x:c r="D1540" s="55" t="str">
        <x:v>—</x:v>
      </x:c>
      <x:c r="E1540" s="55" t="inlineStr">
        <x:is>
          <x:t>龍涉大川繼鱗武匣（網站未列地圖）；侯氏兵甲福袋2026（網站未列地圖）；神州龍馬錦囊（網站未列地圖）；超大秘境寶箱（網站未列地圖）；神．仙露花精（神七寶仙境　壹）；神．問頂仙龍（神七寶仙境　壹）；〈神〉仙露花精（神七寶仙境　壹）；〈神〉問頂仙龍（神七寶仙境　壹）；《神》仙露花精（神七寶仙境　壹）；《神》問頂仙龍（神七寶仙境　壹）</x:t>
        </x:is>
      </x:c>
    </x:row>
    <x:row r="1541" ht="15" customHeight="1">
      <x:c r="A1541" s="55" t="str">
        <x:v>虎門憲章斧</x:v>
      </x:c>
      <x:c r="B1541" s="55" t="str">
        <x:v>—</x:v>
      </x:c>
      <x:c r="C1541" s="55" t="str">
        <x:v>—</x:v>
      </x:c>
      <x:c r="D1541" s="55" t="str">
        <x:v>—</x:v>
      </x:c>
      <x:c r="E1541" s="55" t="inlineStr">
        <x:is>
          <x:t>龍涉大川繼鱗武匣（網站未列地圖）</x:t>
        </x:is>
      </x:c>
    </x:row>
    <x:row r="1542" ht="15" customHeight="1">
      <x:c r="A1542" s="55" t="str">
        <x:v>方舟舵斧Ⅰ</x:v>
      </x:c>
      <x:c r="B1542" s="55" t="str">
        <x:v>—</x:v>
      </x:c>
      <x:c r="C1542" s="55" t="str">
        <x:v>—</x:v>
      </x:c>
      <x:c r="D1542" s="55" t="str">
        <x:v>—</x:v>
      </x:c>
      <x:c r="E1542" s="55" t="inlineStr">
        <x:is>
          <x:t>玄宙神兵寶箱（網站未列地圖）</x:t>
        </x:is>
      </x:c>
    </x:row>
    <x:row r="1543" ht="15" customHeight="1">
      <x:c r="A1543" s="55" t="str">
        <x:v>方舟舵斧Ⅱ</x:v>
      </x:c>
      <x:c r="B1543" s="55" t="str">
        <x:v>—</x:v>
      </x:c>
      <x:c r="C1543" s="55" t="str">
        <x:v>—</x:v>
      </x:c>
      <x:c r="D1543" s="55" t="str">
        <x:v>—</x:v>
      </x:c>
      <x:c r="E1543" s="55" t="inlineStr">
        <x:is>
          <x:t>真．玄宙神兵寶箱（網站未列地圖）；絕代鐵心蘭錦囊（網站未列地圖）</x:t>
        </x:is>
      </x:c>
    </x:row>
    <x:row r="1544" ht="15" customHeight="1">
      <x:c r="A1544" s="55" t="str">
        <x:v>方舟舵斧Ⅲ</x:v>
      </x:c>
      <x:c r="B1544" s="55" t="str">
        <x:v>—</x:v>
      </x:c>
      <x:c r="C1544" s="55" t="str">
        <x:v>—</x:v>
      </x:c>
      <x:c r="D1544" s="55" t="str">
        <x:v>—</x:v>
      </x:c>
      <x:c r="E1544" s="55" t="inlineStr">
        <x:is>
          <x:t>超．玄宙神兵寶箱（網站未列地圖）</x:t>
        </x:is>
      </x:c>
    </x:row>
    <x:row r="1545" ht="15" customHeight="1">
      <x:c r="A1545" s="55" t="str">
        <x:v>方舟舵斧Ⅳ</x:v>
      </x:c>
      <x:c r="B1545" s="55" t="str">
        <x:v>—</x:v>
      </x:c>
      <x:c r="C1545" s="55" t="str">
        <x:v>—</x:v>
      </x:c>
      <x:c r="D1545" s="55" t="str">
        <x:v>—</x:v>
      </x:c>
      <x:c r="E1545" s="55" t="inlineStr">
        <x:is>
          <x:t>極．玄宙神兵寶箱（網站未列地圖）</x:t>
        </x:is>
      </x:c>
    </x:row>
    <x:row r="1546" ht="15" customHeight="1">
      <x:c r="A1546" s="55" t="str">
        <x:v>方舟舵斧Ⅴ</x:v>
      </x:c>
      <x:c r="B1546" s="55" t="str">
        <x:v>—</x:v>
      </x:c>
      <x:c r="C1546" s="55" t="str">
        <x:v>—</x:v>
      </x:c>
      <x:c r="D1546" s="55" t="str">
        <x:v>—</x:v>
      </x:c>
      <x:c r="E1546" s="55" t="inlineStr">
        <x:is>
          <x:t>神．玄宙神兵寶箱（網站未列地圖）</x:t>
        </x:is>
      </x:c>
    </x:row>
    <x:row r="1547" ht="30" customHeight="1">
      <x:c r="A1547" s="55" t="str">
        <x:v>圓盾</x:v>
      </x:c>
      <x:c r="B1547" s="55" t="str">
        <x:v>—</x:v>
      </x:c>
      <x:c r="C1547" s="55" t="str">
        <x:v>勇士村買賣人、京城打鐵舖、祁州打鐵舖</x:v>
      </x:c>
      <x:c r="D1547" s="55" t="str">
        <x:v>—</x:v>
      </x:c>
      <x:c r="E1547" s="55" t="inlineStr">
        <x:is>
          <x:t>骷髏弓手（猛鬼窟第二層、朝天觀）；骷髏士兵（猛鬼窟第二層、朝天觀）；土匪（碧波幽谷、朝天觀、亂藤林東方）；藍方捍衛者（網站未列地圖）；土匪（試煉之窟）</x:t>
        </x:is>
      </x:c>
    </x:row>
    <x:row r="1548" ht="15" customHeight="1">
      <x:c r="A1548" s="55" t="str">
        <x:v>藤盾</x:v>
      </x:c>
      <x:c r="B1548" s="55" t="str">
        <x:v>—</x:v>
      </x:c>
      <x:c r="C1548" s="55" t="str">
        <x:v>京城打鐵舖、祁州打鐵舖、玄州打鐵舖</x:v>
      </x:c>
      <x:c r="D1548" s="55" t="str">
        <x:v>—</x:v>
      </x:c>
      <x:c r="E1548" s="55" t="inlineStr">
        <x:is>
          <x:t>—</x:t>
        </x:is>
      </x:c>
    </x:row>
    <x:row r="1549" ht="15" customHeight="1">
      <x:c r="A1549" s="55" t="str">
        <x:v>燕尾盾</x:v>
      </x:c>
      <x:c r="B1549" s="55" t="str">
        <x:v>—</x:v>
      </x:c>
      <x:c r="C1549" s="55" t="str">
        <x:v>祁州打鐵舖、玄州打鐵舖</x:v>
      </x:c>
      <x:c r="D1549" s="55" t="str">
        <x:v>—</x:v>
      </x:c>
      <x:c r="E1549" s="55" t="inlineStr">
        <x:is>
          <x:t>神御輝鎧駝（飛昇大廳）；&lt;神御輝鎧駝&gt;（真七寶仙境　貳）</x:t>
        </x:is>
      </x:c>
    </x:row>
    <x:row r="1550" ht="15" customHeight="1">
      <x:c r="A1550" s="55" t="str">
        <x:v>長牌盾</x:v>
      </x:c>
      <x:c r="B1550" s="55" t="str">
        <x:v>—</x:v>
      </x:c>
      <x:c r="C1550" s="55" t="str">
        <x:v>玄州打鐵舖</x:v>
      </x:c>
      <x:c r="D1550" s="55" t="str">
        <x:v>—</x:v>
      </x:c>
      <x:c r="E1550" s="55" t="inlineStr">
        <x:is>
          <x:t>—</x:t>
        </x:is>
      </x:c>
    </x:row>
    <x:row r="1551" ht="15" customHeight="1">
      <x:c r="A1551" s="55" t="str">
        <x:v>驅邪盾</x:v>
      </x:c>
      <x:c r="B1551" s="55" t="str">
        <x:v>—</x:v>
      </x:c>
      <x:c r="C1551" s="55" t="str">
        <x:v>釣日村武器店長</x:v>
      </x:c>
      <x:c r="D1551" s="55" t="str">
        <x:v>—</x:v>
      </x:c>
      <x:c r="E1551" s="55" t="inlineStr">
        <x:is>
          <x:t>—</x:t>
        </x:is>
      </x:c>
    </x:row>
    <x:row r="1552" ht="15" customHeight="1">
      <x:c r="A1552" s="55" t="str">
        <x:v>闢邪盾</x:v>
      </x:c>
      <x:c r="B1552" s="55" t="str">
        <x:v>—</x:v>
      </x:c>
      <x:c r="C1552" s="55" t="str">
        <x:v>釣日村武器店長</x:v>
      </x:c>
      <x:c r="D1552" s="55" t="str">
        <x:v>—</x:v>
      </x:c>
      <x:c r="E1552" s="55" t="inlineStr">
        <x:is>
          <x:t>校尉錦囊（網站未列地圖）</x:t>
        </x:is>
      </x:c>
    </x:row>
    <x:row r="1553" ht="15" customHeight="1">
      <x:c r="A1553" s="55" t="str">
        <x:v>鎮邪盾</x:v>
      </x:c>
      <x:c r="B1553" s="55" t="str">
        <x:v>—</x:v>
      </x:c>
      <x:c r="C1553" s="55" t="str">
        <x:v>釣日村武器店長</x:v>
      </x:c>
      <x:c r="D1553" s="55" t="str">
        <x:v>—</x:v>
      </x:c>
      <x:c r="E1553" s="55" t="inlineStr">
        <x:is>
          <x:t>—</x:t>
        </x:is>
      </x:c>
    </x:row>
    <x:row r="1554" ht="15" customHeight="1">
      <x:c r="A1554" s="55" t="str">
        <x:v>鬼王石牌</x:v>
      </x:c>
      <x:c r="B1554" s="55" t="str">
        <x:v>—</x:v>
      </x:c>
      <x:c r="C1554" s="55" t="str">
        <x:v>夸父-打鐵夸父</x:v>
      </x:c>
      <x:c r="D1554" s="55" t="str">
        <x:v>—</x:v>
      </x:c>
      <x:c r="E1554" s="55" t="inlineStr">
        <x:is>
          <x:t>—</x:t>
        </x:is>
      </x:c>
    </x:row>
    <x:row r="1555" ht="15" customHeight="1">
      <x:c r="A1555" s="55" t="str">
        <x:v>刑天藤牌</x:v>
      </x:c>
      <x:c r="B1555" s="55" t="str">
        <x:v>—</x:v>
      </x:c>
      <x:c r="C1555" s="55" t="str">
        <x:v>刑天-劍齒鱷</x:v>
      </x:c>
      <x:c r="D1555" s="55" t="str">
        <x:v>—</x:v>
      </x:c>
      <x:c r="E1555" s="55" t="inlineStr">
        <x:is>
          <x:t>—</x:t>
        </x:is>
      </x:c>
    </x:row>
    <x:row r="1556" ht="15" customHeight="1">
      <x:c r="A1556" s="55" t="str">
        <x:v>礁石盾</x:v>
      </x:c>
      <x:c r="B1556" s="55" t="str">
        <x:v>—</x:v>
      </x:c>
      <x:c r="C1556" s="55" t="str">
        <x:v>釣日村武器店長</x:v>
      </x:c>
      <x:c r="D1556" s="55" t="str">
        <x:v>—</x:v>
      </x:c>
      <x:c r="E1556" s="55" t="inlineStr">
        <x:is>
          <x:t>—</x:t>
        </x:is>
      </x:c>
    </x:row>
    <x:row r="1557" ht="15" customHeight="1">
      <x:c r="A1557" s="55" t="str">
        <x:v>玄金盾</x:v>
      </x:c>
      <x:c r="B1557" s="55" t="str">
        <x:v>—</x:v>
      </x:c>
      <x:c r="C1557" s="55" t="str">
        <x:v>維摩洞天-仙島工匠</x:v>
      </x:c>
      <x:c r="D1557" s="55" t="str">
        <x:v>—</x:v>
      </x:c>
      <x:c r="E1557" s="55" t="inlineStr">
        <x:is>
          <x:t>石窟劍俑（五派禁地）；石窟戈俑（五派禁地）；屍靈劍俑（古皇陵密室）；屍靈戈俑（古皇陵密室）</x:t>
        </x:is>
      </x:c>
    </x:row>
    <x:row r="1558" ht="15" customHeight="1">
      <x:c r="A1558" s="55" t="str">
        <x:v>圓葉盾</x:v>
      </x:c>
      <x:c r="B1558" s="55" t="str">
        <x:v>—</x:v>
      </x:c>
      <x:c r="C1558" s="55" t="str">
        <x:v>京城打鐵舖</x:v>
      </x:c>
      <x:c r="D1558" s="55" t="str">
        <x:v>—</x:v>
      </x:c>
      <x:c r="E1558" s="55" t="inlineStr">
        <x:is>
          <x:t>—</x:t>
        </x:is>
      </x:c>
    </x:row>
    <x:row r="1559" ht="120" customHeight="1">
      <x:c r="A1559" s="55" t="str">
        <x:v>穹天盾</x:v>
      </x:c>
      <x:c r="B1559" s="55" t="str">
        <x:v>—</x:v>
      </x:c>
      <x:c r="C1559" s="55" t="str">
        <x:v>祁州打鐵舖、玄州打鐵舖</x:v>
      </x:c>
      <x:c r="D1559" s="55" t="str">
        <x:v>—</x:v>
      </x:c>
      <x:c r="E1559" s="55" t="inlineStr">
        <x:is>
          <x:t>天劫夜叉王（魔君天都）；&lt;天劫夜叉王&gt;（修羅級魔君天都）；天劫鷹翅軍（魔君天都）；天劫刑天（魔君天都）；天劫花精（魔君天都）；&lt;天劫鷹翅軍&gt;（修羅級魔君天都）；&lt;天劫刑天&gt;（修羅級魔君天都）；&lt;天劫花精&gt;（修羅級魔君天都）；無影蜘蛛（時沒邊界）；眩惑之眼（時沒邊界）；黑豹‧強（殘雲天境）；鋼冑聖騎‧強（殘雲天境）；太古火尊‧強（殘雲天境）；星虎白皇（白虎西殿）；護火聖像（朱雀南殿）；盤古石尊（玄武北殿）；纏火蠍（異時界‧摘星嶺）；食尸巨鱷（異時界‧葬日沼北）；巨靈魔侍（異時界‧葬日沼南）；土行魔（異時界‧葬日沼南）；冰噬鱷（異時界‧毒龍潭）；夸父狂魔（異時界‧修羅窟）；火影蜘蛛精（異時界‧夜叉嶺）；魔山狂猿（異時界‧夜叉嶺）；甚黑無常（異時界‧亂藤林西）；造殺判官（異時界‧亂藤林西）；無限‧混沌（無限鬥界）；&lt;無限‧混沌&gt;（修羅級無限鬥界）；夸父戰神王（異時界‧修羅窟）</x:t>
        </x:is>
      </x:c>
    </x:row>
    <x:row r="1560" ht="30" customHeight="1">
      <x:c r="A1560" s="55" t="str">
        <x:v>殷水盾</x:v>
      </x:c>
      <x:c r="B1560" s="55" t="str">
        <x:v>—</x:v>
      </x:c>
      <x:c r="C1560" s="55" t="str">
        <x:v>祁州打鐵舖、玄州打鐵舖</x:v>
      </x:c>
      <x:c r="D1560" s="55" t="str">
        <x:v>—</x:v>
      </x:c>
      <x:c r="E1560" s="55" t="inlineStr">
        <x:is>
          <x:t>化外猩覺（終末之塔第9層）；王嚎金鋼（星群碎道）；蕩水虛魂（音無晶宇）；鎮土鬼偶（音無晶宇）；幻晶巨儡（音無晶宇）；晶化蕈體（覺無洋宇）；穿虛異蟲（星群碎道）；分宙兇土（不解迴路）；渡虛腳力（虛空渦心）</x:t>
        </x:is>
      </x:c>
    </x:row>
    <x:row r="1561" ht="45" customHeight="1">
      <x:c r="A1561" s="55" t="str">
        <x:v>紫月萬峰阻</x:v>
      </x:c>
      <x:c r="B1561" s="55" t="str">
        <x:v>—</x:v>
      </x:c>
      <x:c r="C1561" s="55" t="str">
        <x:v>—</x:v>
      </x:c>
      <x:c r="D1561" s="55" t="str">
        <x:v>—</x:v>
      </x:c>
      <x:c r="E1561" s="55" t="inlineStr">
        <x:is>
          <x:t>菌侵甲鬼（終末之塔第28層、終末之塔第29層）；萬金錘蜴（終末之塔第32層、終末之塔第33層）；金奇電鼠（終末之塔第42層、終末之塔第45層）；碎骨者（終末之塔第15層、終末之塔第13層）；虛來轟錘（吉薩走廊）；沙暴先鋒（古翰大沙漠）；王都石工（太陽神大道）</x:t>
        </x:is>
      </x:c>
    </x:row>
    <x:row r="1562" ht="30" customHeight="1">
      <x:c r="A1562" s="55" t="str">
        <x:v>紫月拒危盾</x:v>
      </x:c>
      <x:c r="B1562" s="55" t="str">
        <x:v>—</x:v>
      </x:c>
      <x:c r="C1562" s="55" t="str">
        <x:v>—</x:v>
      </x:c>
      <x:c r="D1562" s="55" t="str">
        <x:v>—</x:v>
      </x:c>
      <x:c r="E1562" s="55" t="inlineStr">
        <x:is>
          <x:t>浸幽木乃伊（神王金字塔）；&lt;浸幽木乃伊&gt;（修羅級神王金字塔）；砌塔石奴（終末之塔第61層、終末之塔第62層）；左塞爾巨像（荷魯斯聖祠）</x:t>
        </x:is>
      </x:c>
    </x:row>
    <x:row r="1563" ht="30" customHeight="1">
      <x:c r="A1563" s="55" t="str">
        <x:v>雄闕盾</x:v>
      </x:c>
      <x:c r="B1563" s="55" t="str">
        <x:v>—</x:v>
      </x:c>
      <x:c r="C1563" s="55" t="str">
        <x:v>—</x:v>
      </x:c>
      <x:c r="D1563" s="55" t="str">
        <x:v>—</x:v>
      </x:c>
      <x:c r="E1563" s="55" t="inlineStr">
        <x:is>
          <x:t>虛無行者．獸（修羅級黃龍秘殿）；火霸機關長（藏意武窟）；西校鎮軍（皇城）；東校場司尉（東校場）；扶疏樹精（東宮碧庭）；征疆中忍（太安道、東海道）；銳鱗海蛇（鷗揚浪嶼）；大蛤蟆（琉瑯岩灣）</x:t>
        </x:is>
      </x:c>
    </x:row>
    <x:row r="1564" ht="60" customHeight="1">
      <x:c r="A1564" s="55" t="str">
        <x:v>瓠公盾</x:v>
      </x:c>
      <x:c r="B1564" s="55" t="str">
        <x:v>—</x:v>
      </x:c>
      <x:c r="C1564" s="55" t="str">
        <x:v>—</x:v>
      </x:c>
      <x:c r="D1564" s="55" t="str">
        <x:v>—</x:v>
      </x:c>
      <x:c r="E1564" s="55" t="inlineStr">
        <x:is>
          <x:t>百虛操偶（終末之塔第99層）；草獅精（齊襄道、太安道、東海道）；波臣獅（齊襄道、溥山新郡、白餘古城）；鬼首靈獬（溥山新郡、白餘古城）；靨白幻獅（白餘古城、濟馬島、漢京首府）；京師斥侯（璇鶯鎮）；猛爆毒麟（終末之塔第101層、終末之塔第102層）；厚絨犀（旭陽山徑）；梅花鹿（臺興中州）；自走幽藤（終末之塔第112層、終末之塔第114層）；合成獅人（白苗峽岸）</x:t>
        </x:is>
      </x:c>
    </x:row>
    <x:row r="1565" ht="75" customHeight="1">
      <x:c r="A1565" s="55" t="str">
        <x:v>將軍盾</x:v>
      </x:c>
      <x:c r="B1565" s="55" t="str">
        <x:v>—</x:v>
      </x:c>
      <x:c r="C1565" s="55" t="str">
        <x:v>—</x:v>
      </x:c>
      <x:c r="D1565" s="55" t="str">
        <x:v>—</x:v>
      </x:c>
      <x:c r="E1565" s="55" t="inlineStr">
        <x:is>
          <x:t>太古樹衛（始祖巨林）；縱岳神龍（燕蕩嶺）；披火旱犀（始祖巨林．西）；方舟鋼豹（風竹塹）；紫轅龍龜（祥鷺古街）；太古石龜（南瞻聖地）；萬年龍龜（始祖巨林．東）；月光鋼豹（終末之塔第147層、終末之塔第142層、終末之塔第141層）；低吟澤膠（葭雲廣原）；猙獰角龜（終末之塔第122層）；咒殼蠕蝸（終末之塔第134層、終末之塔第133層、終末之塔第139層、終末之塔第138層、終末之塔第131層、終末之塔第135層、終末之塔第136層、終末之塔第137層）</x:t>
        </x:is>
      </x:c>
    </x:row>
    <x:row r="1566" ht="60" customHeight="1">
      <x:c r="A1566" s="55" t="str">
        <x:v>秘文藤盾</x:v>
      </x:c>
      <x:c r="B1566" s="55" t="str">
        <x:v>—</x:v>
      </x:c>
      <x:c r="C1566" s="55" t="str">
        <x:v>—</x:v>
      </x:c>
      <x:c r="D1566" s="55" t="str">
        <x:v>—</x:v>
      </x:c>
      <x:c r="E1566" s="55" t="inlineStr">
        <x:is>
          <x:t>將軍俑（古皇陵第三層）；[將軍俑]（網站未列地圖）；屍靈將軍俑（古皇陵密室）；士兵俑（古皇陵第二層、古皇陵第三層）；鎖滅黑龍陣（網站未列地圖）；鎖滅銀龍陣（網站未列地圖）；鎖滅石龍陣（網站未列地圖）；終末邪龍鎮（終末之塔第15層）；終末邪龍鎮（終末之塔第24層）；終末邪龍鎮（終末之塔第35層）；終末邪龍鎮（終末之塔第146層）；鎖滅金龍陣（網站未列地圖）；士兵俑（古皇陵第一層、古皇陵第二層、古皇陵第三層）</x:t>
        </x:is>
      </x:c>
    </x:row>
    <x:row r="1567" ht="30" customHeight="1">
      <x:c r="A1567" s="55" t="str">
        <x:v>秘文燕尾盾</x:v>
      </x:c>
      <x:c r="B1567" s="55" t="str">
        <x:v>—</x:v>
      </x:c>
      <x:c r="C1567" s="55" t="str">
        <x:v>—</x:v>
      </x:c>
      <x:c r="D1567" s="55" t="str">
        <x:v>—</x:v>
      </x:c>
      <x:c r="E1567" s="55" t="inlineStr">
        <x:is>
          <x:t>將軍俑（古皇陵第三層）；[將軍俑]（網站未列地圖）；屍靈將軍俑（古皇陵密室）；力士俑（古皇陵第二層、古皇陵第三層）；{力士俑}（古皇陵密室）</x:t>
        </x:is>
      </x:c>
    </x:row>
    <x:row r="1568" ht="15" customHeight="1">
      <x:c r="A1568" s="55" t="str">
        <x:v>秘文長牌盾</x:v>
      </x:c>
      <x:c r="B1568" s="55" t="str">
        <x:v>—</x:v>
      </x:c>
      <x:c r="C1568" s="55" t="str">
        <x:v>—</x:v>
      </x:c>
      <x:c r="D1568" s="55" t="str">
        <x:v>—</x:v>
      </x:c>
      <x:c r="E1568" s="55" t="inlineStr">
        <x:is>
          <x:t>將軍俑（古皇陵第三層）；[將軍俑]（網站未列地圖）；屍靈將軍俑（古皇陵密室）</x:t>
        </x:is>
      </x:c>
    </x:row>
    <x:row r="1569" ht="45" customHeight="1">
      <x:c r="A1569" s="55" t="str">
        <x:v>獸紋戰盾</x:v>
      </x:c>
      <x:c r="B1569" s="55" t="str">
        <x:v>—</x:v>
      </x:c>
      <x:c r="C1569" s="55" t="str">
        <x:v>—</x:v>
      </x:c>
      <x:c r="D1569" s="55" t="str">
        <x:v>—</x:v>
      </x:c>
      <x:c r="E1569" s="55" t="inlineStr">
        <x:is>
          <x:t>黯火鬼卒（烈火靈界裂隙）；蠱毒鬼卒（瘴癘靈界裂隙）；寒冰鬼卒（怒雪靈界裂隙）；血參巫（網站未列地圖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</x:t>
        </x:is>
      </x:c>
    </x:row>
    <x:row r="1570" ht="60" customHeight="1">
      <x:c r="A1570" s="55" t="str">
        <x:v>晶石盾</x:v>
      </x:c>
      <x:c r="B1570" s="55" t="str">
        <x:v>—</x:v>
      </x:c>
      <x:c r="C1570" s="55" t="str">
        <x:v>—</x:v>
      </x:c>
      <x:c r="D1570" s="55" t="str">
        <x:v>—</x:v>
      </x:c>
      <x:c r="E1570" s="55" t="inlineStr">
        <x:is>
          <x:t>免費測試寶盒（網站未列地圖）；晶石兵器寶盒（網站未列地圖）；朱戈幫屠夫（網站未列地圖）；刑天魔王（葬日沼澤南方）；土行鬼王（亂藤林、亂藤林南方、葬日沼澤、魔君陵墓、靖南古道、修羅窟）；刑天戰狂（亂藤林、葬日沼澤、葬日沼澤南方）；刑天戰狂（亂藤林、葬日沼澤、葬日沼澤南方、異時界‧亂藤林）；土行者（亂藤林、亂藤林東方、亂藤林南方、葬日沼澤、魔君陵墓、靖南古道、修羅窟、千佛遺跡東側）；土行者（試煉之窟）</x:t>
        </x:is>
      </x:c>
    </x:row>
    <x:row r="1571" ht="15" customHeight="1">
      <x:c r="A1571" s="55" t="str">
        <x:v>凝晶石盾</x:v>
      </x:c>
      <x:c r="B1571" s="55" t="str">
        <x:v>—</x:v>
      </x:c>
      <x:c r="C1571" s="55" t="str">
        <x:v>—</x:v>
      </x:c>
      <x:c r="D1571" s="55" t="str">
        <x:v>—</x:v>
      </x:c>
      <x:c r="E1571" s="55" t="inlineStr">
        <x:is>
          <x:t>進化晶兵寶盒（網站未列地圖）</x:t>
        </x:is>
      </x:c>
    </x:row>
    <x:row r="1572" ht="15" customHeight="1">
      <x:c r="A1572" s="55" t="str">
        <x:v>卓越之盾</x:v>
      </x:c>
      <x:c r="B1572" s="55" t="str">
        <x:v>—</x:v>
      </x:c>
      <x:c r="C1572" s="55" t="str">
        <x:v>—</x:v>
      </x:c>
      <x:c r="D1572" s="55" t="str">
        <x:v>—</x:v>
      </x:c>
      <x:c r="E1572" s="55" t="inlineStr">
        <x:is>
          <x:t>卓越兵器寶盒（網站未列地圖）</x:t>
        </x:is>
      </x:c>
    </x:row>
    <x:row r="1573" ht="60" customHeight="1">
      <x:c r="A1573" s="55" t="str">
        <x:v>流金盾</x:v>
      </x:c>
      <x:c r="B1573" s="55" t="str">
        <x:v>—</x:v>
      </x:c>
      <x:c r="C1573" s="55" t="str">
        <x:v>—</x:v>
      </x:c>
      <x:c r="D1573" s="55" t="str">
        <x:v>—</x:v>
      </x:c>
      <x:c r="E1573" s="55" t="inlineStr">
        <x:is>
          <x:t>絕代兵器錦囊（網站未列地圖）；新絕代兵器錦囊（網站未列地圖）；2轉勇影（五派禁地）；2轉女勇影（五派禁地）；巨鉗蟹將（龍宮第七層、龍宮八層一隅、龍宮八層廣場）；傭兵重鎚手（黑城遺跡、疾風谷、大汗陵墓、古北大營、高昌郡）；1轉勇影（五派禁地）；利鉗蟹兵（龍宮第六層、龍宮第七層、龍宮八層一隅、龍宮八層廣場）；叢林野象（千佛遺跡西側）；[叢林野象]（網站未列地圖）；天境白象（網站未列地圖）</x:t>
        </x:is>
      </x:c>
    </x:row>
    <x:row r="1574" ht="30" customHeight="1">
      <x:c r="A1574" s="55" t="str">
        <x:v>虎骨盾</x:v>
      </x:c>
      <x:c r="B1574" s="55" t="str">
        <x:v>—</x:v>
      </x:c>
      <x:c r="C1574" s="55" t="str">
        <x:v>—</x:v>
      </x:c>
      <x:c r="D1574" s="55" t="str">
        <x:v>—</x:v>
      </x:c>
      <x:c r="E1574" s="55" t="inlineStr">
        <x:is>
          <x:t>御行神兵錦囊（網站未列地圖）；草原刀盾兵（關外草原）；草原刀盾兵（塞北草原、呼倫草原、亂石林、大汗陵墓、統萬大營）；1轉女勇影（五派禁地）；虎霸王（掩月松林）；[虎霸王]（網站未列地圖）</x:t>
        </x:is>
      </x:c>
    </x:row>
    <x:row r="1575" ht="30" customHeight="1">
      <x:c r="A1575" s="55" t="str">
        <x:v>無影盾</x:v>
      </x:c>
      <x:c r="B1575" s="55" t="str">
        <x:v>—</x:v>
      </x:c>
      <x:c r="C1575" s="55" t="str">
        <x:v>—</x:v>
      </x:c>
      <x:c r="D1575" s="55" t="str">
        <x:v>—</x:v>
      </x:c>
      <x:c r="E1575" s="55" t="inlineStr">
        <x:is>
          <x:t>神射手哲別（塞北草原）；哲別幻影（亂石林）；哲別（大汗陵墓）；神射手哲別（關外草原）；屍靈首（古皇陵密室）</x:t>
        </x:is>
      </x:c>
    </x:row>
    <x:row r="1576" ht="30" customHeight="1">
      <x:c r="A1576" s="55" t="str">
        <x:v>封神盾</x:v>
      </x:c>
      <x:c r="B1576" s="55" t="str">
        <x:v>—</x:v>
      </x:c>
      <x:c r="C1576" s="55" t="str">
        <x:v>—</x:v>
      </x:c>
      <x:c r="D1576" s="55" t="str">
        <x:v>—</x:v>
      </x:c>
      <x:c r="E1576" s="55" t="inlineStr">
        <x:is>
          <x:t>威震神州錦囊（網站未列地圖）；神射手哲別（塞北草原）；哲別幻影（亂石林）；哲別（大汗陵墓）；神射手哲別（關外草原）；天境白象（網站未列地圖）；叢林野象（千佛遺跡西側）；[叢林野象]（網站未列地圖）</x:t>
        </x:is>
      </x:c>
    </x:row>
    <x:row r="1577" ht="60" customHeight="1">
      <x:c r="A1577" s="55" t="str">
        <x:v>紀狩盾</x:v>
      </x:c>
      <x:c r="B1577" s="55" t="str">
        <x:v>—</x:v>
      </x:c>
      <x:c r="C1577" s="55" t="str">
        <x:v>—</x:v>
      </x:c>
      <x:c r="D1577" s="55" t="str">
        <x:v>—</x:v>
      </x:c>
      <x:c r="E1577" s="55" t="inlineStr">
        <x:is>
          <x:t>東瀛勇裝錦囊（網站未列地圖）；東瀛勇裝禮盒（網站未列地圖）；御行神兵錦囊（網站未列地圖）；五年紀念福袋（網站未列地圖）；富田莊八郎（長野沙濱）；高原冰靈（登天棧道、懸空仙嶺）；血刃般若（天照不二峰、八荒古墳）；燃影鐮鼬（外崎埠原、天照不二峰）；蜃樓水靈（聖域之門、清教院街）；墮獄水魔（網站未列地圖）；殮壽靈柩（枉死之城、悲歡渡口、永劫刑場、九曲邪徑）；無間骷髏兵（濕婆神廟）</x:t>
        </x:is>
      </x:c>
    </x:row>
    <x:row r="1578" ht="30" customHeight="1">
      <x:c r="A1578" s="55" t="str">
        <x:v>磐藏盾</x:v>
      </x:c>
      <x:c r="B1578" s="55" t="str">
        <x:v>—</x:v>
      </x:c>
      <x:c r="C1578" s="55" t="str">
        <x:v>—</x:v>
      </x:c>
      <x:c r="D1578" s="55" t="str">
        <x:v>—</x:v>
      </x:c>
      <x:c r="E1578" s="55" t="inlineStr">
        <x:is>
          <x:t>東瀛神兵寶箱（網站未列地圖）；東瀛勇裝禮盒（網站未列地圖）；仙嶺妖禽（懸空仙嶺）；殮壽靈柩（枉死之城、悲歡渡口、永劫刑場、九曲邪徑）</x:t>
        </x:is>
      </x:c>
    </x:row>
    <x:row r="1579" ht="30" customHeight="1">
      <x:c r="A1579" s="55" t="str">
        <x:v>象威巨盾</x:v>
      </x:c>
      <x:c r="B1579" s="55" t="str">
        <x:v>—</x:v>
      </x:c>
      <x:c r="C1579" s="55" t="str">
        <x:v>—</x:v>
      </x:c>
      <x:c r="D1579" s="55" t="str">
        <x:v>—</x:v>
      </x:c>
      <x:c r="E1579" s="55" t="inlineStr">
        <x:is>
          <x:t>摩羅勇裝錦囊（網站未列地圖）；真佛勇裝錦囊（網站未列地圖）；穿雲聖牛（大梵聖湖、萬岳聖峰、香格里拉聖路）；蜃樓水靈（聖域之門、清教院街）；墮獄水魔（網站未列地圖）；怒威象神（濕婆神廟）</x:t>
        </x:is>
      </x:c>
    </x:row>
    <x:row r="1580" ht="15" customHeight="1">
      <x:c r="A1580" s="55" t="str">
        <x:v>格涅沙聖盾</x:v>
      </x:c>
      <x:c r="B1580" s="55" t="str">
        <x:v>—</x:v>
      </x:c>
      <x:c r="C1580" s="55" t="str">
        <x:v>—</x:v>
      </x:c>
      <x:c r="D1580" s="55" t="str">
        <x:v>—</x:v>
      </x:c>
      <x:c r="E1580" s="55" t="inlineStr">
        <x:is>
          <x:t>真佛勇裝錦囊（網站未列地圖）；奇蹟錦囊（網站未列地圖）；波斯猛將（止戰邊境）；波斯亂黨（聖域之門）</x:t>
        </x:is>
      </x:c>
    </x:row>
    <x:row r="1581" ht="30" customHeight="1">
      <x:c r="A1581" s="55" t="str">
        <x:v>喪神盾</x:v>
      </x:c>
      <x:c r="B1581" s="55" t="str">
        <x:v>—</x:v>
      </x:c>
      <x:c r="C1581" s="55" t="str">
        <x:v>—</x:v>
      </x:c>
      <x:c r="D1581" s="55" t="str">
        <x:v>—</x:v>
      </x:c>
      <x:c r="E1581" s="55" t="inlineStr">
        <x:is>
          <x:t>煉獄勇裝錦囊（網站未列地圖）；大奇蹟錦囊（網站未列地圖）；涼夏大寶箱（網站未列地圖）；詛咒骸骨兵（血鴉嶺）；聖十字軍（靜默之丘、擎空壁壘、獅堡軍事區）；鋼冑聖騎（網站未列地圖）</x:t>
        </x:is>
      </x:c>
    </x:row>
    <x:row r="1582" ht="15" customHeight="1">
      <x:c r="A1582" s="55" t="str">
        <x:v>幽顱泣天盾</x:v>
      </x:c>
      <x:c r="B1582" s="55" t="str">
        <x:v>—</x:v>
      </x:c>
      <x:c r="C1582" s="55" t="str">
        <x:v>—</x:v>
      </x:c>
      <x:c r="D1582" s="55" t="str">
        <x:v>—</x:v>
      </x:c>
      <x:c r="E1582" s="55" t="inlineStr">
        <x:is>
          <x:t>魔天勇裝錦囊（網站未列地圖）；侯氏百守錦囊（網站未列地圖）；波斯猛將（止戰邊境）；波斯亂黨（聖域之門）</x:t>
        </x:is>
      </x:c>
    </x:row>
    <x:row r="1583" ht="30" customHeight="1">
      <x:c r="A1583" s="55" t="str">
        <x:v>唐卡繪盾</x:v>
      </x:c>
      <x:c r="B1583" s="55" t="str">
        <x:v>—</x:v>
      </x:c>
      <x:c r="C1583" s="55" t="str">
        <x:v>—</x:v>
      </x:c>
      <x:c r="D1583" s="55" t="str">
        <x:v>—</x:v>
      </x:c>
      <x:c r="E1583" s="55" t="inlineStr">
        <x:is>
          <x:t>天都勇裝錦囊（網站未列地圖）；神跡錦囊（網站未列地圖）；天鬼神羅奢薩（神煉之間）；神土領主（凱旋廣場、聖禱天廳）；聖十字軍（靜默之丘、擎空壁壘、獅堡軍事區）；鋼冑聖騎（網站未列地圖）</x:t>
        </x:is>
      </x:c>
    </x:row>
    <x:row r="1584" ht="45" customHeight="1">
      <x:c r="A1584" s="55" t="str">
        <x:v>太古唐卡繪盾</x:v>
      </x:c>
      <x:c r="B1584" s="55" t="str">
        <x:v>—</x:v>
      </x:c>
      <x:c r="C1584" s="55" t="str">
        <x:v>—</x:v>
      </x:c>
      <x:c r="D1584" s="55" t="str">
        <x:v>—</x:v>
      </x:c>
      <x:c r="E1584" s="55" t="inlineStr">
        <x:is>
          <x:t>天藏太古神兵聖箱（網站未列地圖）；兔兒皇（網站未列地圖）；九華神曜龍（天授之間）；魔蠹屍龍（神煉之間）；赤勒辛（萬岳聖峰）；冥鬼提訥西（青藏高原）；劇鬼貝倫普因（大梵聖湖）；梵煞金陀烈瑪（香格里拉聖路）；闇天九龍蛇（神煉之間）</x:t>
        </x:is>
      </x:c>
    </x:row>
    <x:row r="1585" ht="15" customHeight="1">
      <x:c r="A1585" s="55" t="str">
        <x:v>曼陀羅金盾</x:v>
      </x:c>
      <x:c r="B1585" s="55" t="str">
        <x:v>—</x:v>
      </x:c>
      <x:c r="C1585" s="55" t="str">
        <x:v>—</x:v>
      </x:c>
      <x:c r="D1585" s="55" t="str">
        <x:v>—</x:v>
      </x:c>
      <x:c r="E1585" s="55" t="inlineStr">
        <x:is>
          <x:t>問頂勇裝錦囊（網站未列地圖）；大激慶禮包（網站未列地圖）</x:t>
        </x:is>
      </x:c>
    </x:row>
    <x:row r="1586" ht="45" customHeight="1">
      <x:c r="A1586" s="55" t="str">
        <x:v>太古曼陀羅金盾</x:v>
      </x:c>
      <x:c r="B1586" s="55" t="str">
        <x:v>—</x:v>
      </x:c>
      <x:c r="C1586" s="55" t="str">
        <x:v>—</x:v>
      </x:c>
      <x:c r="D1586" s="55" t="str">
        <x:v>—</x:v>
      </x:c>
      <x:c r="E1586" s="55" t="inlineStr">
        <x:is>
          <x:t>天藏太古神兵聖箱（網站未列地圖）；查拉欽（飛昇大廳）；&lt;查拉欽&gt;（真七寶仙境　貳）；沙嵐狂刀（網站未列地圖）；巴比倫鐵衛（網站未列地圖）；真知太聖衛（飛昇大廳）；&lt;真知太聖衛&gt;（真七寶仙境　貳）；土元素神將（萬識聖宮）；真知神烈將（真知寺、萬識聖宮）</x:t>
        </x:is>
      </x:c>
    </x:row>
    <x:row r="1587" ht="15" customHeight="1">
      <x:c r="A1587" s="55" t="str">
        <x:v>血誓盾</x:v>
      </x:c>
      <x:c r="B1587" s="55" t="str">
        <x:v>—</x:v>
      </x:c>
      <x:c r="C1587" s="55" t="str">
        <x:v>—</x:v>
      </x:c>
      <x:c r="D1587" s="55" t="str">
        <x:v>—</x:v>
      </x:c>
      <x:c r="E1587" s="55" t="inlineStr">
        <x:is>
          <x:t>稀奇裝備箱．乙式（網站未列地圖）；神土領主（凱旋廣場、聖禱天廳）</x:t>
        </x:is>
      </x:c>
    </x:row>
    <x:row r="1588" ht="15" customHeight="1">
      <x:c r="A1588" s="55" t="str">
        <x:v>太古血誓盾</x:v>
      </x:c>
      <x:c r="B1588" s="55" t="str">
        <x:v>—</x:v>
      </x:c>
      <x:c r="C1588" s="55" t="str">
        <x:v>—</x:v>
      </x:c>
      <x:c r="D1588" s="55" t="str">
        <x:v>—</x:v>
      </x:c>
      <x:c r="E1588" s="55" t="inlineStr">
        <x:is>
          <x:t>波斯太古神兵聖箱（網站未列地圖）；米諾陶勒斯（神臨之地）；&lt;米諾陶勒斯&gt;（修羅級神臨之地）</x:t>
        </x:is>
      </x:c>
    </x:row>
    <x:row r="1589" ht="30" customHeight="1">
      <x:c r="A1589" s="55" t="str">
        <x:v>驍武十字盾</x:v>
      </x:c>
      <x:c r="B1589" s="55" t="str">
        <x:v>—</x:v>
      </x:c>
      <x:c r="C1589" s="55" t="str">
        <x:v>—</x:v>
      </x:c>
      <x:c r="D1589" s="55" t="str">
        <x:v>—</x:v>
      </x:c>
      <x:c r="E1589" s="55" t="inlineStr">
        <x:is>
          <x:t>稀奇裝備箱．丙式（網站未列地圖）；驍武勇裝錦囊（網站未列地圖）；&lt;四聖位化神&gt;（真七寶仙境　貳）；雷公（凌風修境、繚空碎島）</x:t>
        </x:is>
      </x:c>
    </x:row>
    <x:row r="1590" ht="30" customHeight="1">
      <x:c r="A1590" s="55" t="str">
        <x:v>太古驍武十字盾</x:v>
      </x:c>
      <x:c r="B1590" s="55" t="str">
        <x:v>—</x:v>
      </x:c>
      <x:c r="C1590" s="55" t="str">
        <x:v>—</x:v>
      </x:c>
      <x:c r="D1590" s="55" t="str">
        <x:v>—</x:v>
      </x:c>
      <x:c r="E1590" s="55" t="inlineStr">
        <x:is>
          <x:t>年大媽（網站未列地圖）；波斯太古神兵聖箱（網站未列地圖）；狂怒之魔（神臨之地）；&lt;狂怒之魔&gt;（修羅級神臨之地）</x:t>
        </x:is>
      </x:c>
    </x:row>
    <x:row r="1591" ht="15" customHeight="1">
      <x:c r="A1591" s="55" t="str">
        <x:v>天赦盾</x:v>
      </x:c>
      <x:c r="B1591" s="55" t="str">
        <x:v>—</x:v>
      </x:c>
      <x:c r="C1591" s="55" t="str">
        <x:v>—</x:v>
      </x:c>
      <x:c r="D1591" s="55" t="str">
        <x:v>—</x:v>
      </x:c>
      <x:c r="E1591" s="55" t="inlineStr">
        <x:is>
          <x:t>稀奇裝備箱．丁式（網站未列地圖）；時真靈狸（天啟八關）</x:t>
        </x:is>
      </x:c>
    </x:row>
    <x:row r="1592" ht="15" customHeight="1">
      <x:c r="A1592" s="55" t="str">
        <x:v>太古天赦盾</x:v>
      </x:c>
      <x:c r="B1592" s="55" t="str">
        <x:v>—</x:v>
      </x:c>
      <x:c r="C1592" s="55" t="str">
        <x:v>—</x:v>
      </x:c>
      <x:c r="D1592" s="55" t="str">
        <x:v>—</x:v>
      </x:c>
      <x:c r="E1592" s="55" t="inlineStr">
        <x:is>
          <x:t>帝國太古神兵聖箱（網站未列地圖）；燬天女魔后（聖禱天廳）；帝御飛龍維邦（獅堡軍事區）</x:t>
        </x:is>
      </x:c>
    </x:row>
    <x:row r="1593" ht="30" customHeight="1">
      <x:c r="A1593" s="55" t="str">
        <x:v>神魔雙極盾</x:v>
      </x:c>
      <x:c r="B1593" s="55" t="str">
        <x:v>—</x:v>
      </x:c>
      <x:c r="C1593" s="55" t="str">
        <x:v>—</x:v>
      </x:c>
      <x:c r="D1593" s="55" t="str">
        <x:v>—</x:v>
      </x:c>
      <x:c r="E1593" s="55" t="inlineStr">
        <x:is>
          <x:t>大靈基福袋（網站未列地圖）；侯氏百守錦囊2013（網站未列地圖）；歐帝勇裝錦囊（網站未列地圖）；八天左雷王（紫雷轟原）；怒雷尊者（飛雲忘野、橫劍天關、仙庭玉階）</x:t>
        </x:is>
      </x:c>
    </x:row>
    <x:row r="1594" ht="15" customHeight="1">
      <x:c r="A1594" s="55" t="str">
        <x:v>太古神魔雙極盾</x:v>
      </x:c>
      <x:c r="B1594" s="55" t="str">
        <x:v>—</x:v>
      </x:c>
      <x:c r="C1594" s="55" t="str">
        <x:v>—</x:v>
      </x:c>
      <x:c r="D1594" s="55" t="str">
        <x:v>—</x:v>
      </x:c>
      <x:c r="E1594" s="55" t="inlineStr">
        <x:is>
          <x:t>帝國太古神兵聖箱（網站未列地圖）；武神（網站未列地圖）；天樓龍驍將（九霄天樓）</x:t>
        </x:is>
      </x:c>
    </x:row>
    <x:row r="1595" ht="30" customHeight="1">
      <x:c r="A1595" s="55" t="str">
        <x:v>龍濤盾</x:v>
      </x:c>
      <x:c r="B1595" s="55" t="str">
        <x:v>—</x:v>
      </x:c>
      <x:c r="C1595" s="55" t="str">
        <x:v>—</x:v>
      </x:c>
      <x:c r="D1595" s="55" t="str">
        <x:v>—</x:v>
      </x:c>
      <x:c r="E1595" s="55" t="inlineStr">
        <x:is>
          <x:t>稀奇裝備箱．丁式（網站未列地圖）；九天勇裝錦囊（網站未列地圖）；東天龍人（青龍東殿）；大黑豹（異時界‧亂藤林南）；劈天大雷神（闕真金閣）；霸雷天尊（網站未列地圖）；時真靈狸（天啟八關）</x:t>
        </x:is>
      </x:c>
    </x:row>
    <x:row r="1596" ht="15" customHeight="1">
      <x:c r="A1596" s="55" t="str">
        <x:v>太古龍濤盾</x:v>
      </x:c>
      <x:c r="B1596" s="55" t="str">
        <x:v>—</x:v>
      </x:c>
      <x:c r="C1596" s="55" t="str">
        <x:v>—</x:v>
      </x:c>
      <x:c r="D1596" s="55" t="str">
        <x:v>—</x:v>
      </x:c>
      <x:c r="E1596" s="55" t="inlineStr">
        <x:is>
          <x:t>九天太古神兵聖箱（網站未列地圖）；&lt;天樓龍驍將&gt;（修羅級九霄天樓）</x:t>
        </x:is>
      </x:c>
    </x:row>
    <x:row r="1597" ht="15" customHeight="1">
      <x:c r="A1597" s="55" t="str">
        <x:v>皇天御龍盾</x:v>
      </x:c>
      <x:c r="B1597" s="55" t="str">
        <x:v>—</x:v>
      </x:c>
      <x:c r="C1597" s="55" t="str">
        <x:v>—</x:v>
      </x:c>
      <x:c r="D1597" s="55" t="str">
        <x:v>—</x:v>
      </x:c>
      <x:c r="E1597" s="55" t="inlineStr">
        <x:is>
          <x:t>仙庭勇裝錦囊（網站未列地圖）；異時遊魔（紫雷轟原）</x:t>
        </x:is>
      </x:c>
    </x:row>
    <x:row r="1598" ht="15" customHeight="1">
      <x:c r="A1598" s="55" t="str">
        <x:v>太古皇天御龍盾</x:v>
      </x:c>
      <x:c r="B1598" s="55" t="str">
        <x:v>—</x:v>
      </x:c>
      <x:c r="C1598" s="55" t="str">
        <x:v>—</x:v>
      </x:c>
      <x:c r="D1598" s="55" t="str">
        <x:v>—</x:v>
      </x:c>
      <x:c r="E1598" s="55" t="inlineStr">
        <x:is>
          <x:t>九天太古神兵聖箱（網站未列地圖）；仙典真九天寶箱（網站未列地圖）</x:t>
        </x:is>
      </x:c>
    </x:row>
    <x:row r="1599" ht="15" customHeight="1">
      <x:c r="A1599" s="55" t="str">
        <x:v>天鍛‧風雷盾</x:v>
      </x:c>
      <x:c r="B1599" s="55" t="str">
        <x:v>—</x:v>
      </x:c>
      <x:c r="C1599" s="55" t="str">
        <x:v>—</x:v>
      </x:c>
      <x:c r="D1599" s="55" t="str">
        <x:v>—</x:v>
      </x:c>
      <x:c r="E1599" s="55" t="inlineStr">
        <x:is>
          <x:t>無限勇裝錦囊（網站未列地圖）；八極凜冰麟（玄武北殿）；蔭爪魔棺（異時界‧亂藤林西）；銀霜神牛（白虎西殿）</x:t>
        </x:is>
      </x:c>
    </x:row>
    <x:row r="1600" ht="30" customHeight="1">
      <x:c r="A1600" s="55" t="str">
        <x:v>仙鑄‧風雷盾</x:v>
      </x:c>
      <x:c r="B1600" s="55" t="str">
        <x:v>—</x:v>
      </x:c>
      <x:c r="C1600" s="55" t="str">
        <x:v>—</x:v>
      </x:c>
      <x:c r="D1600" s="55" t="str">
        <x:v>—</x:v>
      </x:c>
      <x:c r="E1600" s="55" t="inlineStr">
        <x:is>
          <x:t>侯氏兵甲福袋2015（網站未列地圖）；大無限勇裝錦囊（網站未列地圖）；巨靈魔侍（異時界‧葬日沼南）；土行魔（異時界‧葬日沼南）；夜叉荒斧鬼（異時界‧夜叉嶺）</x:t>
        </x:is>
      </x:c>
    </x:row>
    <x:row r="1601" ht="15" customHeight="1">
      <x:c r="A1601" s="55" t="str">
        <x:v>神煉‧風雷盾</x:v>
      </x:c>
      <x:c r="B1601" s="55" t="str">
        <x:v>—</x:v>
      </x:c>
      <x:c r="C1601" s="55" t="str">
        <x:v>—</x:v>
      </x:c>
      <x:c r="D1601" s="55" t="str">
        <x:v>—</x:v>
      </x:c>
      <x:c r="E1601" s="55" t="inlineStr">
        <x:is>
          <x:t>三之極限福袋（網站未列地圖）；超無限勇裝錦囊（網站未列地圖）；弒空之螯（覺無洋宇）</x:t>
        </x:is>
      </x:c>
    </x:row>
    <x:row r="1602" ht="30" customHeight="1">
      <x:c r="A1602" s="55" t="str">
        <x:v>宇傲‧風雷盾</x:v>
      </x:c>
      <x:c r="B1602" s="55" t="str">
        <x:v>—</x:v>
      </x:c>
      <x:c r="C1602" s="55" t="str">
        <x:v>—</x:v>
      </x:c>
      <x:c r="D1602" s="55" t="str">
        <x:v>—</x:v>
      </x:c>
      <x:c r="E1602" s="55" t="inlineStr">
        <x:is>
          <x:t>侯氏兵甲福袋2016（網站未列地圖）；極無限勇裝錦囊（網站未列地圖）；魔劍鐵傀（音無晶宇）；鎮土鬼偶（音無晶宇）；綻鐵巨龜（覺無洋宇）</x:t>
        </x:is>
      </x:c>
    </x:row>
    <x:row r="1603" ht="15" customHeight="1">
      <x:c r="A1603" s="55" t="str">
        <x:v>峻霆‧風雷盾</x:v>
      </x:c>
      <x:c r="B1603" s="55" t="str">
        <x:v>—</x:v>
      </x:c>
      <x:c r="C1603" s="55" t="str">
        <x:v>—</x:v>
      </x:c>
      <x:c r="D1603" s="55" t="str">
        <x:v>—</x:v>
      </x:c>
      <x:c r="E1603" s="55" t="inlineStr">
        <x:is>
          <x:t>絕無限勇裝錦囊（網站未列地圖）；晶嶽巨像（星群碎道）；竭宙兇水（不解迴路）；渡虛腳力（虛空渦心）</x:t>
        </x:is>
      </x:c>
    </x:row>
    <x:row r="1604" ht="15" customHeight="1">
      <x:c r="A1604" s="55" t="str">
        <x:v>窮極‧風雷盾</x:v>
      </x:c>
      <x:c r="B1604" s="55" t="str">
        <x:v>—</x:v>
      </x:c>
      <x:c r="C1604" s="55" t="str">
        <x:v>—</x:v>
      </x:c>
      <x:c r="D1604" s="55" t="str">
        <x:v>—</x:v>
      </x:c>
      <x:c r="E1604" s="55" t="inlineStr">
        <x:is>
          <x:t>無無限勇裝錦囊（網站未列地圖）；禍玄兇猩（終末之塔第1層）；虛風天尊（虛空渦心）</x:t>
        </x:is>
      </x:c>
    </x:row>
    <x:row r="1605" ht="30" customHeight="1">
      <x:c r="A1605" s="55" t="str">
        <x:v>元宙‧風雷盾</x:v>
      </x:c>
      <x:c r="B1605" s="55" t="str">
        <x:v>—</x:v>
      </x:c>
      <x:c r="C1605" s="55" t="str">
        <x:v>—</x:v>
      </x:c>
      <x:c r="D1605" s="55" t="str">
        <x:v>—</x:v>
      </x:c>
      <x:c r="E1605" s="55" t="inlineStr">
        <x:is>
          <x:t>帝無限勇裝錦囊（網站未列地圖）；菌侵甲鬼（終末之塔第28層、終末之塔第29層）；碎骨者（終末之塔第15層、終末之塔第13層）；化外猩覺（終末之塔第9層）</x:t>
        </x:is>
      </x:c>
    </x:row>
    <x:row r="1606" ht="15" customHeight="1">
      <x:c r="A1606" s="55" t="str">
        <x:v>真宇傲風雷盾</x:v>
      </x:c>
      <x:c r="B1606" s="55" t="str">
        <x:v>—</x:v>
      </x:c>
      <x:c r="C1606" s="55" t="str">
        <x:v>—</x:v>
      </x:c>
      <x:c r="D1606" s="55" t="str">
        <x:v>—</x:v>
      </x:c>
      <x:c r="E1606" s="55" t="inlineStr">
        <x:is>
          <x:t>終無限勇裝錦囊（網站未列地圖）；墟漠矮靈（終末之塔第39層）；沙暴先鋒（古翰大沙漠）</x:t>
        </x:is>
      </x:c>
    </x:row>
    <x:row r="1607" ht="30" customHeight="1">
      <x:c r="A1607" s="55" t="str">
        <x:v>傾天盾★</x:v>
      </x:c>
      <x:c r="B1607" s="55" t="str">
        <x:v>—</x:v>
      </x:c>
      <x:c r="C1607" s="55" t="str">
        <x:v>—</x:v>
      </x:c>
      <x:c r="D1607" s="55" t="str">
        <x:v>—</x:v>
      </x:c>
      <x:c r="E1607" s="55" t="inlineStr">
        <x:is>
          <x:t>仙星勇裝錦囊（網站未列地圖）；天罪勇士錦囊（網站未列地圖）；木乃伊（古翰大沙漠）；王都守衛（太陽神大道）；皇家聖衛（托勒密山麓）</x:t>
        </x:is>
      </x:c>
    </x:row>
    <x:row r="1608" ht="30" customHeight="1">
      <x:c r="A1608" s="55" t="str">
        <x:v>傾天盾★★</x:v>
      </x:c>
      <x:c r="B1608" s="55" t="str">
        <x:v>—</x:v>
      </x:c>
      <x:c r="C1608" s="55" t="str">
        <x:v>—</x:v>
      </x:c>
      <x:c r="D1608" s="55" t="str">
        <x:v>—</x:v>
      </x:c>
      <x:c r="E1608" s="55" t="inlineStr">
        <x:is>
          <x:t>真‧仙星勇裝錦囊（網站未列地圖）；罪赦勇士錦囊（網站未列地圖）；砌塔石奴（終末之塔第61層、終末之塔第62層）；左塞爾巨像（荷魯斯聖祠）</x:t>
        </x:is>
      </x:c>
    </x:row>
    <x:row r="1609" ht="30" customHeight="1">
      <x:c r="A1609" s="55" t="str">
        <x:v>傾天盾★★★</x:v>
      </x:c>
      <x:c r="B1609" s="55" t="str">
        <x:v>—</x:v>
      </x:c>
      <x:c r="C1609" s="55" t="str">
        <x:v>—</x:v>
      </x:c>
      <x:c r="D1609" s="55" t="str">
        <x:v>—</x:v>
      </x:c>
      <x:c r="E1609" s="55" t="inlineStr">
        <x:is>
          <x:t>超‧仙星勇裝錦囊（網站未列地圖）；終罪勇士錦囊（網站未列地圖）；國破兇卒（終末之塔第87層、終末之塔第88層）</x:t>
        </x:is>
      </x:c>
    </x:row>
    <x:row r="1610" ht="30" customHeight="1">
      <x:c r="A1610" s="55" t="str">
        <x:v>天紀盾☆</x:v>
      </x:c>
      <x:c r="B1610" s="55" t="str">
        <x:v>—</x:v>
      </x:c>
      <x:c r="C1610" s="55" t="str">
        <x:v>—</x:v>
      </x:c>
      <x:c r="D1610" s="55" t="str">
        <x:v>—</x:v>
      </x:c>
      <x:c r="E1610" s="55" t="inlineStr">
        <x:is>
          <x:t>煌星勇裝錦囊（網站未列地圖）；天罪勇士錦囊（網站未列地圖）；自走幽藤（終末之塔第112層、終末之塔第114層）；百虛操偶（終末之塔第99層）；猛爆毒麟（終末之塔第101層、終末之塔第102層）</x:t>
        </x:is>
      </x:c>
    </x:row>
    <x:row r="1611" ht="15" customHeight="1">
      <x:c r="A1611" s="55" t="str">
        <x:v>天紀盾☆☆</x:v>
      </x:c>
      <x:c r="B1611" s="55" t="str">
        <x:v>—</x:v>
      </x:c>
      <x:c r="C1611" s="55" t="str">
        <x:v>—</x:v>
      </x:c>
      <x:c r="D1611" s="55" t="str">
        <x:v>—</x:v>
      </x:c>
      <x:c r="E1611" s="55" t="inlineStr">
        <x:is>
          <x:t>真‧煌星勇裝錦囊（網站未列地圖）；猙獰角龜（終末之塔第122層）</x:t>
        </x:is>
      </x:c>
    </x:row>
    <x:row r="1612" ht="15" customHeight="1">
      <x:c r="A1612" s="55" t="str">
        <x:v>天紀盾☆☆☆</x:v>
      </x:c>
      <x:c r="B1612" s="55" t="str">
        <x:v>—</x:v>
      </x:c>
      <x:c r="C1612" s="55" t="str">
        <x:v>—</x:v>
      </x:c>
      <x:c r="D1612" s="55" t="str">
        <x:v>—</x:v>
      </x:c>
      <x:c r="E1612" s="55" t="inlineStr">
        <x:is>
          <x:t>超‧煌星勇裝錦囊（網站未列地圖）</x:t>
        </x:is>
      </x:c>
    </x:row>
    <x:row r="1613" ht="15" customHeight="1">
      <x:c r="A1613" s="55" t="str">
        <x:v>疆嶽盾☆</x:v>
      </x:c>
      <x:c r="B1613" s="55" t="str">
        <x:v>—</x:v>
      </x:c>
      <x:c r="C1613" s="55" t="str">
        <x:v>—</x:v>
      </x:c>
      <x:c r="D1613" s="55" t="str">
        <x:v>—</x:v>
      </x:c>
      <x:c r="E1613" s="55" t="inlineStr">
        <x:is>
          <x:t>帝星勇裝錦囊（網站未列地圖）</x:t>
        </x:is>
      </x:c>
    </x:row>
    <x:row r="1614" ht="15" customHeight="1">
      <x:c r="A1614" s="55" t="str">
        <x:v>疆嶽盾★</x:v>
      </x:c>
      <x:c r="B1614" s="55" t="str">
        <x:v>—</x:v>
      </x:c>
      <x:c r="C1614" s="55" t="str">
        <x:v>—</x:v>
      </x:c>
      <x:c r="D1614" s="55" t="str">
        <x:v>—</x:v>
      </x:c>
      <x:c r="E1614" s="55" t="inlineStr">
        <x:is>
          <x:t>真‧帝星勇裝錦囊（網站未列地圖）；武冠勇士錦囊（網站未列地圖）</x:t>
        </x:is>
      </x:c>
    </x:row>
    <x:row r="1615" ht="15" customHeight="1">
      <x:c r="A1615" s="55" t="str">
        <x:v>疆嶽盾★☆</x:v>
      </x:c>
      <x:c r="B1615" s="55" t="str">
        <x:v>—</x:v>
      </x:c>
      <x:c r="C1615" s="55" t="str">
        <x:v>—</x:v>
      </x:c>
      <x:c r="D1615" s="55" t="str">
        <x:v>—</x:v>
      </x:c>
      <x:c r="E1615" s="55" t="inlineStr">
        <x:is>
          <x:t>超‧帝星勇裝錦囊（網站未列地圖）；征疆中忍（太安道、東海道）</x:t>
        </x:is>
      </x:c>
    </x:row>
    <x:row r="1616" ht="15" customHeight="1">
      <x:c r="A1616" s="55" t="str">
        <x:v>疆嶽盾★★</x:v>
      </x:c>
      <x:c r="B1616" s="55" t="str">
        <x:v>—</x:v>
      </x:c>
      <x:c r="C1616" s="55" t="str">
        <x:v>—</x:v>
      </x:c>
      <x:c r="D1616" s="55" t="str">
        <x:v>—</x:v>
      </x:c>
      <x:c r="E1616" s="55" t="inlineStr">
        <x:is>
          <x:t>極‧帝星勇裝錦囊（網站未列地圖）；靨白幻獅（白餘古城、濟馬島、漢京首府）</x:t>
        </x:is>
      </x:c>
    </x:row>
    <x:row r="1617" ht="15" customHeight="1">
      <x:c r="A1617" s="55" t="str">
        <x:v>疆嶽盾★★☆</x:v>
      </x:c>
      <x:c r="B1617" s="55" t="str">
        <x:v>—</x:v>
      </x:c>
      <x:c r="C1617" s="55" t="str">
        <x:v>—</x:v>
      </x:c>
      <x:c r="D1617" s="55" t="str">
        <x:v>—</x:v>
      </x:c>
      <x:c r="E1617" s="55" t="inlineStr">
        <x:is>
          <x:t>絕‧帝星勇裝錦囊（網站未列地圖）；天元勇士錦囊（網站未列地圖）；蝕骨毒蠶（燕蕩嶺）</x:t>
        </x:is>
      </x:c>
    </x:row>
    <x:row r="1618" ht="15" customHeight="1">
      <x:c r="A1618" s="55" t="str">
        <x:v>疆嶽盾★★★</x:v>
      </x:c>
      <x:c r="B1618" s="55" t="str">
        <x:v>—</x:v>
      </x:c>
      <x:c r="C1618" s="55" t="str">
        <x:v>—</x:v>
      </x:c>
      <x:c r="D1618" s="55" t="str">
        <x:v>—</x:v>
      </x:c>
      <x:c r="E1618" s="55" t="inlineStr">
        <x:is>
          <x:t>神‧帝星勇裝錦囊（網站未列地圖）；萬年龍龜（始祖巨林．東）</x:t>
        </x:is>
      </x:c>
    </x:row>
    <x:row r="1619" ht="15" customHeight="1">
      <x:c r="A1619" s="55" t="str">
        <x:v>碧瓶翠印盾</x:v>
      </x:c>
      <x:c r="B1619" s="55" t="str">
        <x:v>—</x:v>
      </x:c>
      <x:c r="C1619" s="55" t="str">
        <x:v>—</x:v>
      </x:c>
      <x:c r="D1619" s="55" t="str">
        <x:v>—</x:v>
      </x:c>
      <x:c r="E1619" s="55" t="inlineStr">
        <x:is>
          <x:t>盡宇絕兵聖箱（網站未列地圖）；新‧神武之岩（網站未列地圖）；年大媽（網站未列地圖）</x:t>
        </x:is>
      </x:c>
    </x:row>
    <x:row r="1620" ht="15" customHeight="1">
      <x:c r="A1620" s="55" t="str">
        <x:v>海克力斯盾</x:v>
      </x:c>
      <x:c r="B1620" s="55" t="str">
        <x:v>—</x:v>
      </x:c>
      <x:c r="C1620" s="55" t="str">
        <x:v>—</x:v>
      </x:c>
      <x:c r="D1620" s="55" t="str">
        <x:v>—</x:v>
      </x:c>
      <x:c r="E1620" s="55" t="inlineStr">
        <x:is>
          <x:t>奧林帕斯神兵聖櫃（網站未列地圖）；大虎躍福袋（網站未列地圖）；文載千秋錦囊（網站未列地圖）</x:t>
        </x:is>
      </x:c>
    </x:row>
    <x:row r="1621" ht="15" customHeight="1">
      <x:c r="A1621" s="55" t="str">
        <x:v>海克力斯盾</x:v>
      </x:c>
      <x:c r="B1621" s="55" t="str">
        <x:v>—</x:v>
      </x:c>
      <x:c r="C1621" s="55" t="str">
        <x:v>—</x:v>
      </x:c>
      <x:c r="D1621" s="55" t="str">
        <x:v>—</x:v>
      </x:c>
      <x:c r="E1621" s="55" t="inlineStr">
        <x:is>
          <x:t>奧林帕斯神兵聖櫃（網站未列地圖）</x:t>
        </x:is>
      </x:c>
    </x:row>
    <x:row r="1622" ht="15" customHeight="1">
      <x:c r="A1622" s="55" t="str">
        <x:v>八卦形意盾</x:v>
      </x:c>
      <x:c r="B1622" s="55" t="str">
        <x:v>—</x:v>
      </x:c>
      <x:c r="C1622" s="55" t="str">
        <x:v>—</x:v>
      </x:c>
      <x:c r="D1622" s="55" t="str">
        <x:v>—</x:v>
      </x:c>
      <x:c r="E1622" s="55" t="inlineStr">
        <x:is>
          <x:t>仙藏天寶鑑兵匣（網站未列地圖）；仙儀丹曦帝武玉匣（網站未列地圖）</x:t>
        </x:is>
      </x:c>
    </x:row>
    <x:row r="1623" ht="15" customHeight="1">
      <x:c r="A1623" s="55" t="str">
        <x:v>八卦形意盾</x:v>
      </x:c>
      <x:c r="B1623" s="55" t="str">
        <x:v>—</x:v>
      </x:c>
      <x:c r="C1623" s="55" t="str">
        <x:v>—</x:v>
      </x:c>
      <x:c r="D1623" s="55" t="str">
        <x:v>—</x:v>
      </x:c>
      <x:c r="E1623" s="55" t="inlineStr">
        <x:is>
          <x:t>仙儀丹曦帝武玉匣（網站未列地圖）</x:t>
        </x:is>
      </x:c>
    </x:row>
    <x:row r="1624" ht="30" customHeight="1">
      <x:c r="A1624" s="55" t="str">
        <x:v>貪狼天樞盾</x:v>
      </x:c>
      <x:c r="B1624" s="55" t="str">
        <x:v>—</x:v>
      </x:c>
      <x:c r="C1624" s="55" t="str">
        <x:v>—</x:v>
      </x:c>
      <x:c r="D1624" s="55" t="str">
        <x:v>—</x:v>
      </x:c>
      <x:c r="E1624" s="55" t="inlineStr">
        <x:is>
          <x:t>天尊帝宿超武神匣（網站未列地圖）；真‧蓋世無雙錦囊（網站未列地圖）；天敵錦囊（網站未列地圖）；仙之極境錦囊（網站未列地圖）</x:t>
        </x:is>
      </x:c>
    </x:row>
    <x:row r="1625" ht="60" customHeight="1">
      <x:c r="A1625" s="55" t="str">
        <x:v>玄武宮古魄盾</x:v>
      </x:c>
      <x:c r="B1625" s="55" t="str">
        <x:v>—</x:v>
      </x:c>
      <x:c r="C1625" s="55" t="str">
        <x:v>—</x:v>
      </x:c>
      <x:c r="D1625" s="55" t="str">
        <x:v>—</x:v>
      </x:c>
      <x:c r="E1625" s="55" t="inlineStr">
        <x:is>
          <x:t>鎮天聖守星武神匣（網站未列地圖）；超級旗開得勝錦囊（網站未列地圖）；百勝稱雄錦囊（網站未列地圖）；出奇制勝錦囊（網站未列地圖）；〈萬曆星將〉（真七寶仙境　壹）；〈來世象尊〉（真七寶仙境　壹）；《萬曆星將》（真七寶仙境　壹）；《來世象尊》（真七寶仙境　壹）；【萬曆星將】（真七寶仙境　壹）；【來世象尊】（真七寶仙境　壹）；垂涎蟹將（網站未列地圖）</x:t>
        </x:is>
      </x:c>
    </x:row>
    <x:row r="1626" ht="45" customHeight="1">
      <x:c r="A1626" s="55" t="str">
        <x:v>平后句龍盾</x:v>
      </x:c>
      <x:c r="B1626" s="55" t="str">
        <x:v>—</x:v>
      </x:c>
      <x:c r="C1626" s="55" t="str">
        <x:v>—</x:v>
      </x:c>
      <x:c r="D1626" s="55" t="str">
        <x:v>—</x:v>
      </x:c>
      <x:c r="E1626" s="55" t="inlineStr">
        <x:is>
          <x:t>永恆山海唯武神匣（網站未列地圖）；完銷紀念寶箱（網站未列地圖）；○萬曆星將○（超七寶仙境　壹）；○來世象尊○（超七寶仙境　壹）；◎萬曆星將◎（超七寶仙境　壹）；◎來世象尊◎（超七寶仙境　壹）；●萬曆星將●（超七寶仙境　壹）；●來世象尊●（超七寶仙境　壹）</x:t>
        </x:is>
      </x:c>
    </x:row>
    <x:row r="1627" ht="15" customHeight="1">
      <x:c r="A1627" s="55" t="str">
        <x:v>浩星盾‧精武</x:v>
      </x:c>
      <x:c r="B1627" s="55" t="str">
        <x:v>—</x:v>
      </x:c>
      <x:c r="C1627" s="55" t="str">
        <x:v>—</x:v>
      </x:c>
      <x:c r="D1627" s="55" t="str">
        <x:v>—</x:v>
      </x:c>
      <x:c r="E1627" s="55" t="inlineStr">
        <x:is>
          <x:t>創宇諸恆極兵神匣（網站未列地圖）；天冠善勝錦囊（網站未列地圖）</x:t>
        </x:is>
      </x:c>
    </x:row>
    <x:row r="1628" ht="30" customHeight="1">
      <x:c r="A1628" s="55" t="str">
        <x:v>恆盾‧梅吉奧</x:v>
      </x:c>
      <x:c r="B1628" s="55" t="str">
        <x:v>—</x:v>
      </x:c>
      <x:c r="C1628" s="55" t="str">
        <x:v>—</x:v>
      </x:c>
      <x:c r="D1628" s="55" t="str">
        <x:v>—</x:v>
      </x:c>
      <x:c r="E1628" s="55" t="inlineStr">
        <x:is>
          <x:t>阿薩群鋒巨武神匣（網站未列地圖）；世紀縱橫錦囊（網站未列地圖）；超‧大秘境寶箱（網站未列地圖）；超大秘境寶箱（網站未列地圖）；金寶珠開工禮袋（網站未列地圖）</x:t>
        </x:is>
      </x:c>
    </x:row>
    <x:row r="1629" ht="15" customHeight="1">
      <x:c r="A1629" s="55" t="str">
        <x:v>恆盾‧梅吉奧</x:v>
      </x:c>
      <x:c r="B1629" s="55" t="str">
        <x:v>—</x:v>
      </x:c>
      <x:c r="C1629" s="55" t="str">
        <x:v>—</x:v>
      </x:c>
      <x:c r="D1629" s="55" t="str">
        <x:v>—</x:v>
      </x:c>
      <x:c r="E1629" s="55" t="inlineStr">
        <x:is>
          <x:t>阿薩群鋒巨武神匣（網站未列地圖）</x:t>
        </x:is>
      </x:c>
    </x:row>
    <x:row r="1630" ht="30" customHeight="1">
      <x:c r="A1630" s="55" t="str">
        <x:v>壑盾伊‧西斯</x:v>
      </x:c>
      <x:c r="B1630" s="55" t="str">
        <x:v>—</x:v>
      </x:c>
      <x:c r="C1630" s="55" t="str">
        <x:v>—</x:v>
      </x:c>
      <x:c r="D1630" s="55" t="str">
        <x:v>—</x:v>
      </x:c>
      <x:c r="E1630" s="55" t="inlineStr">
        <x:is>
          <x:t>★幻月銀狼★（極七寶仙境　壹）；★岩羅角獸★（極七寶仙境　壹）；☆幻月銀狼☆（極七寶仙境　壹）；☆岩羅角獸☆（極七寶仙境　壹）；⊕幻月銀狼⊕（極七寶仙境　壹）；⊕岩羅角獸⊕（極七寶仙境　壹）</x:t>
        </x:is>
      </x:c>
    </x:row>
    <x:row r="1631" ht="15" customHeight="1">
      <x:c r="A1631" s="55" t="str">
        <x:v>壑盾伊‧西斯</x:v>
      </x:c>
      <x:c r="B1631" s="55" t="str">
        <x:v>—</x:v>
      </x:c>
      <x:c r="C1631" s="55" t="str">
        <x:v>—</x:v>
      </x:c>
      <x:c r="D1631" s="55" t="str">
        <x:v>—</x:v>
      </x:c>
      <x:c r="E1631" s="55" t="inlineStr">
        <x:is>
          <x:t>冥府皇統法老征匣（網站未列地圖）；武神‧異神靈識（殘雲天境）</x:t>
        </x:is>
      </x:c>
    </x:row>
    <x:row r="1632" ht="15" customHeight="1">
      <x:c r="A1632" s="55" t="str">
        <x:v>蘭陵破陣盾</x:v>
      </x:c>
      <x:c r="B1632" s="55" t="str">
        <x:v>—</x:v>
      </x:c>
      <x:c r="C1632" s="55" t="str">
        <x:v>—</x:v>
      </x:c>
      <x:c r="D1632" s="55" t="str">
        <x:v>—</x:v>
      </x:c>
      <x:c r="E1632" s="55" t="inlineStr">
        <x:is>
          <x:t>萬帝天尊極武神匣（網站未列地圖）；超‧大秘境寶箱（網站未列地圖）</x:t>
        </x:is>
      </x:c>
    </x:row>
    <x:row r="1633" ht="15" customHeight="1">
      <x:c r="A1633" s="55" t="str">
        <x:v>蘭陵破陣盾</x:v>
      </x:c>
      <x:c r="B1633" s="55" t="str">
        <x:v>—</x:v>
      </x:c>
      <x:c r="C1633" s="55" t="str">
        <x:v>—</x:v>
      </x:c>
      <x:c r="D1633" s="55" t="str">
        <x:v>—</x:v>
      </x:c>
      <x:c r="E1633" s="55" t="inlineStr">
        <x:is>
          <x:t>萬帝天尊極武神匣（網站未列地圖）</x:t>
        </x:is>
      </x:c>
    </x:row>
    <x:row r="1634" ht="45" customHeight="1">
      <x:c r="A1634" s="55" t="str">
        <x:v>東極通鑑盾</x:v>
      </x:c>
      <x:c r="B1634" s="55" t="str">
        <x:v>—</x:v>
      </x:c>
      <x:c r="C1634" s="55" t="str">
        <x:v>—</x:v>
      </x:c>
      <x:c r="D1634" s="55" t="str">
        <x:v>—</x:v>
      </x:c>
      <x:c r="E1634" s="55" t="inlineStr">
        <x:is>
          <x:t>東明開天釋達神匣（網站未列地圖）；黑武狂戰士（網站未列地圖）；絕七寶仙境寶箱（網站未列地圖）；◥萬曆星將◤（絕七寶仙境　參）；◥妙捷跳鼠◤（絕七寶仙境　參）；◢萬曆星將◣（絕七寶仙境　參）；◢妙捷跳鼠◣（絕七寶仙境　參）；▓萬曆星將▓（絕七寶仙境　參）；▓妙捷跳鼠▓（絕七寶仙境　參）</x:t>
        </x:is>
      </x:c>
    </x:row>
    <x:row r="1635" ht="15" customHeight="1">
      <x:c r="A1635" s="55" t="str">
        <x:v>東極通鑑盾</x:v>
      </x:c>
      <x:c r="B1635" s="55" t="str">
        <x:v>—</x:v>
      </x:c>
      <x:c r="C1635" s="55" t="str">
        <x:v>—</x:v>
      </x:c>
      <x:c r="D1635" s="55" t="str">
        <x:v>—</x:v>
      </x:c>
      <x:c r="E1635" s="55" t="inlineStr">
        <x:is>
          <x:t>東明開天釋達神匣（網站未列地圖）</x:t>
        </x:is>
      </x:c>
    </x:row>
    <x:row r="1636" ht="15" customHeight="1">
      <x:c r="A1636" s="55" t="str">
        <x:v>新星之旭霆盾</x:v>
      </x:c>
      <x:c r="B1636" s="55" t="str">
        <x:v>—</x:v>
      </x:c>
      <x:c r="C1636" s="55" t="str">
        <x:v>—</x:v>
      </x:c>
      <x:c r="D1636" s="55" t="str">
        <x:v>—</x:v>
      </x:c>
      <x:c r="E1636" s="55" t="inlineStr">
        <x:is>
          <x:t>—</x:t>
        </x:is>
      </x:c>
    </x:row>
    <x:row r="1637" ht="15" customHeight="1">
      <x:c r="A1637" s="55" t="str">
        <x:v>複合盾</x:v>
      </x:c>
      <x:c r="B1637" s="55" t="str">
        <x:v>—</x:v>
      </x:c>
      <x:c r="C1637" s="55" t="str">
        <x:v>—</x:v>
      </x:c>
      <x:c r="D1637" s="55" t="str">
        <x:v>—</x:v>
      </x:c>
      <x:c r="E1637" s="55" t="inlineStr">
        <x:is>
          <x:t>風竹常戰區長（風竹塹）；科技戰兵BHZ（王統新市）；合成巨犀（桃谷縱道）</x:t>
        </x:is>
      </x:c>
    </x:row>
    <x:row r="1638" ht="15" customHeight="1">
      <x:c r="A1638" s="55" t="str">
        <x:v>鋼鵬衛盾Ⅰ</x:v>
      </x:c>
      <x:c r="B1638" s="55" t="str">
        <x:v>—</x:v>
      </x:c>
      <x:c r="C1638" s="55" t="str">
        <x:v>—</x:v>
      </x:c>
      <x:c r="D1638" s="55" t="str">
        <x:v>—</x:v>
      </x:c>
      <x:c r="E1638" s="55" t="inlineStr">
        <x:is>
          <x:t>神島勇士錦囊（網站未列地圖）；太古石龜（南瞻聖地）</x:t>
        </x:is>
      </x:c>
    </x:row>
    <x:row r="1639" ht="15" customHeight="1">
      <x:c r="A1639" s="55" t="str">
        <x:v>鋼鵬衛盾Ⅱ</x:v>
      </x:c>
      <x:c r="B1639" s="55" t="str">
        <x:v>—</x:v>
      </x:c>
      <x:c r="C1639" s="55" t="str">
        <x:v>—</x:v>
      </x:c>
      <x:c r="D1639" s="55" t="str">
        <x:v>—</x:v>
      </x:c>
      <x:c r="E1639" s="55" t="inlineStr">
        <x:is>
          <x:t>太古樹衛（始祖巨林）</x:t>
        </x:is>
      </x:c>
    </x:row>
    <x:row r="1640" ht="15" customHeight="1">
      <x:c r="A1640" s="55" t="str">
        <x:v>鋼鵬衛盾Ⅲ</x:v>
      </x:c>
      <x:c r="B1640" s="55" t="str">
        <x:v>—</x:v>
      </x:c>
      <x:c r="C1640" s="55" t="str">
        <x:v>—</x:v>
      </x:c>
      <x:c r="D1640" s="55" t="str">
        <x:v>—</x:v>
      </x:c>
      <x:c r="E1640" s="55" t="inlineStr">
        <x:is>
          <x:t>—</x:t>
        </x:is>
      </x:c>
    </x:row>
    <x:row r="1641" ht="15" customHeight="1">
      <x:c r="A1641" s="55" t="str">
        <x:v>鋼鵬衛盾Ⅳ</x:v>
      </x:c>
      <x:c r="B1641" s="55" t="str">
        <x:v>—</x:v>
      </x:c>
      <x:c r="C1641" s="55" t="str">
        <x:v>—</x:v>
      </x:c>
      <x:c r="D1641" s="55" t="str">
        <x:v>—</x:v>
      </x:c>
      <x:c r="E1641" s="55" t="inlineStr">
        <x:is>
          <x:t>—</x:t>
        </x:is>
      </x:c>
    </x:row>
    <x:row r="1642" ht="15" customHeight="1">
      <x:c r="A1642" s="55" t="str">
        <x:v>鋼鵬衛盾Ⅴ</x:v>
      </x:c>
      <x:c r="B1642" s="55" t="str">
        <x:v>—</x:v>
      </x:c>
      <x:c r="C1642" s="55" t="str">
        <x:v>—</x:v>
      </x:c>
      <x:c r="D1642" s="55" t="str">
        <x:v>—</x:v>
      </x:c>
      <x:c r="E1642" s="55" t="inlineStr">
        <x:is>
          <x:t>—</x:t>
        </x:is>
      </x:c>
    </x:row>
    <x:row r="1643" ht="15" customHeight="1">
      <x:c r="A1643" s="55" t="str">
        <x:v>冥淵血鷲盾</x:v>
      </x:c>
      <x:c r="B1643" s="55" t="str">
        <x:v>—</x:v>
      </x:c>
      <x:c r="C1643" s="55" t="str">
        <x:v>—</x:v>
      </x:c>
      <x:c r="D1643" s="55" t="str">
        <x:v>—</x:v>
      </x:c>
      <x:c r="E1643" s="55" t="inlineStr">
        <x:is>
          <x:t>南辰時祿秘兵匣（網站未列地圖）；南辰時祿機神兵匣（網站未列地圖）</x:t>
        </x:is>
      </x:c>
    </x:row>
    <x:row r="1644" ht="15" customHeight="1">
      <x:c r="A1644" s="55" t="str">
        <x:v>冥淵血鷲盾</x:v>
      </x:c>
      <x:c r="B1644" s="55" t="str">
        <x:v>—</x:v>
      </x:c>
      <x:c r="C1644" s="55" t="str">
        <x:v>—</x:v>
      </x:c>
      <x:c r="D1644" s="55" t="str">
        <x:v>—</x:v>
      </x:c>
      <x:c r="E1644" s="55" t="inlineStr">
        <x:is>
          <x:t>南辰時祿秘兵匣（網站未列地圖）；南辰時祿機神兵匣（網站未列地圖）；極大秘境寶箱（網站未列地圖）</x:t>
        </x:is>
      </x:c>
    </x:row>
    <x:row r="1645" ht="45" customHeight="1">
      <x:c r="A1645" s="55" t="str">
        <x:v>撐犁孤屠盾</x:v>
      </x:c>
      <x:c r="B1645" s="55" t="str">
        <x:v>—</x:v>
      </x:c>
      <x:c r="C1645" s="55" t="str">
        <x:v>—</x:v>
      </x:c>
      <x:c r="D1645" s="55" t="str">
        <x:v>—</x:v>
      </x:c>
      <x:c r="E1645" s="55" t="inlineStr">
        <x:is>
          <x:t>三分鼎鋒真王武匣（網站未列地圖）；龍總來開工禮袋（網站未列地圖）；帝．萬曆星將（帝七寶仙境　壹）；帝．妙捷跳鼠（帝七寶仙境　壹）；〈帝〉萬曆星將（帝七寶仙境　壹）；〈帝〉妙捷跳鼠（帝七寶仙境　壹）；《帝》萬曆星將（帝七寶仙境　壹）；《帝》妙捷跳鼠（帝七寶仙境　壹）</x:t>
        </x:is>
      </x:c>
    </x:row>
    <x:row r="1646" ht="15" customHeight="1">
      <x:c r="A1646" s="55" t="str">
        <x:v>撐犁孤屠盾</x:v>
      </x:c>
      <x:c r="B1646" s="55" t="str">
        <x:v>—</x:v>
      </x:c>
      <x:c r="C1646" s="55" t="str">
        <x:v>—</x:v>
      </x:c>
      <x:c r="D1646" s="55" t="str">
        <x:v>—</x:v>
      </x:c>
      <x:c r="E1646" s="55" t="inlineStr">
        <x:is>
          <x:t>三分鼎鋒真王武匣（網站未列地圖）</x:t>
        </x:is>
      </x:c>
    </x:row>
    <x:row r="1647" ht="15" customHeight="1">
      <x:c r="A1647" s="55" t="str">
        <x:v>無極天靈擋</x:v>
      </x:c>
      <x:c r="B1647" s="55" t="str">
        <x:v>—</x:v>
      </x:c>
      <x:c r="C1647" s="55" t="str">
        <x:v>—</x:v>
      </x:c>
      <x:c r="D1647" s="55" t="str">
        <x:v>—</x:v>
      </x:c>
      <x:c r="E1647" s="55" t="inlineStr">
        <x:is>
          <x:t>古文明東西霸武匣（網站未列地圖）；焰騰麻辣錦囊（網站未列地圖）</x:t>
        </x:is>
      </x:c>
    </x:row>
    <x:row r="1648" ht="15" customHeight="1">
      <x:c r="A1648" s="55" t="str">
        <x:v>無極天靈擋</x:v>
      </x:c>
      <x:c r="B1648" s="55" t="str">
        <x:v>—</x:v>
      </x:c>
      <x:c r="C1648" s="55" t="str">
        <x:v>—</x:v>
      </x:c>
      <x:c r="D1648" s="55" t="str">
        <x:v>—</x:v>
      </x:c>
      <x:c r="E1648" s="55" t="inlineStr">
        <x:is>
          <x:t>古文明東西霸武匣（網站未列地圖）</x:t>
        </x:is>
      </x:c>
    </x:row>
    <x:row r="1649" ht="45" customHeight="1">
      <x:c r="A1649" s="55" t="str">
        <x:v>贔屭支天盾</x:v>
      </x:c>
      <x:c r="B1649" s="55" t="str">
        <x:v>—</x:v>
      </x:c>
      <x:c r="C1649" s="55" t="str">
        <x:v>—</x:v>
      </x:c>
      <x:c r="D1649" s="55" t="str">
        <x:v>—</x:v>
      </x:c>
      <x:c r="E1649" s="55" t="inlineStr">
        <x:is>
          <x:t>龍涉大川繼鱗武匣（網站未列地圖）；麻辣衝擊錦囊（網站未列地圖）；超大秘境寶箱（網站未列地圖）；神．松齡聖龜（神七寶仙境　壹）；神．來世象尊（神七寶仙境　壹）；〈神〉松齡聖龜（神七寶仙境　壹）；〈神〉來世象尊（神七寶仙境　壹）；《神》松齡聖龜（神七寶仙境　壹）；《神》來世象尊（神七寶仙境　壹）</x:t>
        </x:is>
      </x:c>
    </x:row>
    <x:row r="1650" ht="15" customHeight="1">
      <x:c r="A1650" s="55" t="str">
        <x:v>贔屭支天盾</x:v>
      </x:c>
      <x:c r="B1650" s="55" t="str">
        <x:v>—</x:v>
      </x:c>
      <x:c r="C1650" s="55" t="str">
        <x:v>—</x:v>
      </x:c>
      <x:c r="D1650" s="55" t="str">
        <x:v>—</x:v>
      </x:c>
      <x:c r="E1650" s="55" t="inlineStr">
        <x:is>
          <x:t>龍涉大川繼鱗武匣（網站未列地圖）</x:t>
        </x:is>
      </x:c>
    </x:row>
    <x:row r="1651" ht="15" customHeight="1">
      <x:c r="A1651" s="55" t="str">
        <x:v>古主臨盾Ⅰ</x:v>
      </x:c>
      <x:c r="B1651" s="55" t="str">
        <x:v>—</x:v>
      </x:c>
      <x:c r="C1651" s="55" t="str">
        <x:v>—</x:v>
      </x:c>
      <x:c r="D1651" s="55" t="str">
        <x:v>—</x:v>
      </x:c>
      <x:c r="E1651" s="55" t="inlineStr">
        <x:is>
          <x:t>玄宙勇裝錦囊（網站未列地圖）</x:t>
        </x:is>
      </x:c>
    </x:row>
    <x:row r="1652" ht="15" customHeight="1">
      <x:c r="A1652" s="55" t="str">
        <x:v>古主臨盾Ⅱ</x:v>
      </x:c>
      <x:c r="B1652" s="55" t="str">
        <x:v>—</x:v>
      </x:c>
      <x:c r="C1652" s="55" t="str">
        <x:v>—</x:v>
      </x:c>
      <x:c r="D1652" s="55" t="str">
        <x:v>—</x:v>
      </x:c>
      <x:c r="E1652" s="55" t="inlineStr">
        <x:is>
          <x:t>真．玄宙勇裝錦囊（網站未列地圖）</x:t>
        </x:is>
      </x:c>
    </x:row>
    <x:row r="1653" ht="15" customHeight="1">
      <x:c r="A1653" s="55" t="str">
        <x:v>古主臨盾Ⅲ</x:v>
      </x:c>
      <x:c r="B1653" s="55" t="str">
        <x:v>—</x:v>
      </x:c>
      <x:c r="C1653" s="55" t="str">
        <x:v>—</x:v>
      </x:c>
      <x:c r="D1653" s="55" t="str">
        <x:v>—</x:v>
      </x:c>
      <x:c r="E1653" s="55" t="inlineStr">
        <x:is>
          <x:t>超．玄宙勇裝錦囊（網站未列地圖）</x:t>
        </x:is>
      </x:c>
    </x:row>
    <x:row r="1654" ht="15" customHeight="1">
      <x:c r="A1654" s="55" t="str">
        <x:v>古主臨盾Ⅳ</x:v>
      </x:c>
      <x:c r="B1654" s="55" t="str">
        <x:v>—</x:v>
      </x:c>
      <x:c r="C1654" s="55" t="str">
        <x:v>—</x:v>
      </x:c>
      <x:c r="D1654" s="55" t="str">
        <x:v>—</x:v>
      </x:c>
      <x:c r="E1654" s="55" t="inlineStr">
        <x:is>
          <x:t>極．玄宙勇裝錦囊（網站未列地圖）</x:t>
        </x:is>
      </x:c>
    </x:row>
    <x:row r="1655" ht="15" customHeight="1">
      <x:c r="A1655" s="55" t="str">
        <x:v>古主臨盾Ⅴ</x:v>
      </x:c>
      <x:c r="B1655" s="55" t="str">
        <x:v>—</x:v>
      </x:c>
      <x:c r="C1655" s="55" t="str">
        <x:v>—</x:v>
      </x:c>
      <x:c r="D1655" s="55" t="str">
        <x:v>—</x:v>
      </x:c>
      <x:c r="E1655" s="55" t="inlineStr">
        <x:is>
          <x:t>神．玄宙勇裝錦囊（網站未列地圖）</x:t>
        </x:is>
      </x:c>
    </x:row>
    <x:row r="1656" ht="30" customHeight="1">
      <x:c r="A1656" s="55" t="str">
        <x:v>道冠</x:v>
      </x:c>
      <x:c r="B1656" s="55" t="str">
        <x:v>—</x:v>
      </x:c>
      <x:c r="C1656" s="55" t="str">
        <x:v>道人村買賣人、義勇軍校場買賣人、京城打鐵舖</x:v>
      </x:c>
      <x:c r="D1656" s="55" t="str">
        <x:v>—</x:v>
      </x:c>
      <x:c r="E1656" s="55" t="inlineStr">
        <x:is>
          <x:t>山犬（紫霞山養心觀、惡狼林、封神臺、試煉之窟）；疫苗盜運客（網站未列地圖）</x:t>
        </x:is>
      </x:c>
    </x:row>
    <x:row r="1657" ht="30" customHeight="1">
      <x:c r="A1657" s="55" t="str">
        <x:v>僧帽</x:v>
      </x:c>
      <x:c r="B1657" s="55" t="str">
        <x:v>—</x:v>
      </x:c>
      <x:c r="C1657" s="55" t="str">
        <x:v>僧侶村買賣人、義勇軍校場買賣人、京城打鐵舖</x:v>
      </x:c>
      <x:c r="D1657" s="55" t="str">
        <x:v>—</x:v>
      </x:c>
      <x:c r="E1657" s="55" t="inlineStr">
        <x:is>
          <x:t>破戒僧（天山雪道、亂藤林東方）；蜘蛛（踏雲頂梵天寺、試煉之窟）；花和尚（天山雪道、亂藤林東方）</x:t>
        </x:is>
      </x:c>
    </x:row>
    <x:row r="1658" ht="15" customHeight="1">
      <x:c r="A1658" s="55" t="str">
        <x:v>頭箍</x:v>
      </x:c>
      <x:c r="B1658" s="55" t="str">
        <x:v>—</x:v>
      </x:c>
      <x:c r="C1658" s="55" t="str">
        <x:v>術者村買賣人、京城打鐵舖</x:v>
      </x:c>
      <x:c r="D1658" s="55" t="str">
        <x:v>—</x:v>
      </x:c>
      <x:c r="E1658" s="55" t="inlineStr">
        <x:is>
          <x:t>蟾蜍（黑水潭地龍穴、試煉之窟）</x:t>
        </x:is>
      </x:c>
    </x:row>
    <x:row r="1659" ht="45" customHeight="1">
      <x:c r="A1659" s="55" t="str">
        <x:v>皮帽</x:v>
      </x:c>
      <x:c r="B1659" s="55" t="str">
        <x:v>—</x:v>
      </x:c>
      <x:c r="C1659" s="55" t="str">
        <x:v>勇士村買賣人、劍俠村買賣人、術者村買賣人、道人村買賣人、僧侶村買賣人、義勇軍校場買賣人、京城打鐵舖</x:v>
      </x:c>
      <x:c r="D1659" s="55" t="str">
        <x:v>—</x:v>
      </x:c>
      <x:c r="E1659" s="55" t="inlineStr">
        <x:is>
          <x:t>豬妖（網站未列地圖）</x:t>
        </x:is>
      </x:c>
    </x:row>
    <x:row r="1660" ht="15" customHeight="1">
      <x:c r="A1660" s="55" t="str">
        <x:v>硬皮盔</x:v>
      </x:c>
      <x:c r="B1660" s="55" t="str">
        <x:v>—</x:v>
      </x:c>
      <x:c r="C1660" s="55" t="str">
        <x:v>義勇軍校場買賣人、京城打鐵舖</x:v>
      </x:c>
      <x:c r="D1660" s="55" t="str">
        <x:v>—</x:v>
      </x:c>
      <x:c r="E1660" s="55" t="inlineStr">
        <x:is>
          <x:t>豬妖（網站未列地圖）</x:t>
        </x:is>
      </x:c>
    </x:row>
    <x:row r="1661" ht="210" customHeight="1">
      <x:c r="A1661" s="55" t="str">
        <x:v>獸骨盔</x:v>
      </x:c>
      <x:c r="B1661" s="55" t="str">
        <x:v>—</x:v>
      </x:c>
      <x:c r="C1661" s="55" t="str">
        <x:v>—</x:v>
      </x:c>
      <x:c r="D1661" s="55" t="str">
        <x:v>—</x:v>
      </x:c>
      <x:c r="E1661" s="55" t="inlineStr">
        <x:is>
          <x:t>[熊武者]（網站未列地圖）；熊武者（桃花林西方、不老峰）；屍犬（平西關、望星坡、鬼城、猛鬼窟第一層、萬人塚第一層、萬人塚第二層）；白鹿（呼倫草原、貝爾草原、蒼狼大營）；白鹿（呼倫草原、貝爾草原、蒼狼大營）；幽冥犬（猛鬼窟第一層、萬人塚第二層、萬人塚第三層）；大狂犬（古皇陵近郊）；大惡犬（古皇陵近郊）；覓蜜熊（桃花林、桃花林西方、桃花林南方）；劍齒狼（入雲道、塞北關、惡狼林、瀰煙山道、八達嶺、古北口、塞北草原）；大山豬（惡狼林、古皇陵近郊、猢猻嶺、封神臺、亂藤林西方、鷹翅族部落）；大山豬（惡狼林、古皇陵近郊、猢猻嶺、封神臺、試煉之窟、亂藤林西方、鷹翅族部落）；劍齒狼（試煉之窟）；黃牛（塞北草原、呼倫草原、貝爾草原）；大山豬（試煉之窟）；大力熊（桃花林西方、桃花林南方、不老峰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野狼（試煉之窟）；惡犬（塞北關、古皇陵近郊、釣日村、平西關、望星坡）；惡犬（塞北關、古皇陵近郊、釣日村、平西關、望星坡、試煉之窟）；罣基妖犬（塞北關）；山豬（惡狼林、古皇陵近郊、望星坡、封神臺、亂藤林西方、鷹翅族部落）；山豬（惡狼林、古皇陵近郊、望星坡、封神臺、試煉之窟、亂藤林西方、鷹翅族部落）；惡犬（試煉之窟）；大山犬（古皇陵近郊、平西關、神室關所）；大山犬（古皇陵近郊、平西關、試煉之窟、神室關所）；山豬（試煉之窟）；大山犬（試煉之窟）；大野豬（古皇陵近郊、釣日村）；大野豬（古皇陵近郊、釣日村、試煉之窟）；大野豬（試煉之窟）</x:t>
        </x:is>
      </x:c>
    </x:row>
    <x:row r="1662" ht="330" customHeight="1">
      <x:c r="A1662" s="55" t="str">
        <x:v>抗毒骨盔</x:v>
      </x:c>
      <x:c r="B1662" s="55" t="str">
        <x:v>—</x:v>
      </x:c>
      <x:c r="C1662" s="55" t="str">
        <x:v>—</x:v>
      </x:c>
      <x:c r="D1662" s="55" t="str">
        <x:v>—</x:v>
      </x:c>
      <x:c r="E1662" s="55" t="inlineStr">
        <x:is>
          <x:t>紫靈貂（呼倫草原、貝爾草原、亂石林、疾風谷）；食人虎（封神臺、亂藤林西方、鷹翅族部落、掩月松林、八達嶺、古北口）；虎霸王（掩月松林）；[虎霸王]（網站未列地圖）；天山食人虎（天山冰池）；[天山食人虎]（網站未列地圖）；白巨虎（天山冰池）；虎鬥士（瀰煙山道、掩月松林）；死靈弓手（魔君陵墓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白鹿（呼倫草原、貝爾草原、蒼狼大營）；白鹿（呼倫草原、貝爾草原、蒼狼大營）；死靈骷髏（魔君陵墓）；小夜叉奴隸（獄門峽、亂藤林西方、摘星嶺、靖南古道、夜叉嶺）；小夜叉奴隸（玄州城、獄門峽、亂藤林西方、摘星嶺、靖南古道、夜叉嶺）；豬妖（網站未列地圖）；夜叉刀斧手（獄門峽、亂藤林西方、毒龍潭、摘星嶺、魔君陵寢一層、夜叉嶺、修羅窟）；野馬（八達嶺、古北口、塞北草原、河西谷地）；雪狼（入雲道、塞北關、惡狼林、天山雪道）；骷髏弓手（猛鬼窟第二層、朝天觀）；天山雪狼（天山冰池）；山羊（塞北草原、呼倫草原、貝爾草原、河西谷地）；骷髏士兵（猛鬼窟第二層、朝天觀）；狼王（天山冰池、八達嶺）；老虎（碧波谷徑、封神臺、亂藤林西方、鷹翅族部落、瀰煙山道、掩月松林、八達嶺、古北口、塞北草原）；天山老虎（天山冰池）；惡靈骷髏兵（五派禁地）；惡靈弓手（五派禁地）；屍犬（平西關、望星坡、鬼城、猛鬼窟第一層、萬人塚第一層、萬人塚第二層）；劍齒狼（入雲道、塞北關、惡狼林、瀰煙山道、八達嶺、古北口、塞北草原）；幽冥犬（猛鬼窟第一層、萬人塚第二層、萬人塚第三層）；劍齒狼（試煉之窟）；黃牛（塞北草原、呼倫草原、貝爾草原）；狂猴（葬劍崖護法院、試煉之窟）；小夜叉奴隸（玄州城、獄門峽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野狼（試煉之窟）；山豬（惡狼林、古皇陵近郊、望星坡、封神臺、亂藤林西方、鷹翅族部落）；山豬（惡狼林、古皇陵近郊、望星坡、封神臺、試煉之窟、亂藤林西方、鷹翅族部落）；山豬（試煉之窟）；大野豬（古皇陵近郊、釣日村）；大野豬（古皇陵近郊、釣日村、試煉之窟）；大野豬（試煉之窟）</x:t>
        </x:is>
      </x:c>
    </x:row>
    <x:row r="1663" ht="360" customHeight="1">
      <x:c r="A1663" s="55" t="str">
        <x:v>附靈骨盔</x:v>
      </x:c>
      <x:c r="B1663" s="55" t="str">
        <x:v>—</x:v>
      </x:c>
      <x:c r="C1663" s="55" t="str">
        <x:v>—</x:v>
      </x:c>
      <x:c r="D1663" s="55" t="str">
        <x:v>—</x:v>
      </x:c>
      <x:c r="E1663" s="55" t="inlineStr">
        <x:is>
          <x:t>紫靈貂（呼倫草原、貝爾草原、亂石林、疾風谷）；白巨虎（天山冰池）；食人虎（封神臺、亂藤林西方、鷹翅族部落、掩月松林、八達嶺、古北口）；虎霸王（掩月松林）；[虎霸王]（網站未列地圖）；天山食人虎（天山冰池）；[天山食人虎]（網站未列地圖）；虎鬥士（瀰煙山道、掩月松林）；白鹿（呼倫草原、貝爾草原、蒼狼大營）；白鹿（呼倫草原、貝爾草原、蒼狼大營）；食人巨猿（猢猻嶺、巨猿洞窟一層、巨猿洞窟二層、八達嶺、古北口）；死靈骷髏（魔君陵墓）；大狂犬（古皇陵近郊）；大惡犬（古皇陵近郊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夜叉刀斧手（獄門峽、亂藤林西方、毒龍潭、摘星嶺、魔君陵寢一層、夜叉嶺、修羅窟）；小夜叉奴隸（獄門峽、亂藤林西方、摘星嶺、靖南古道、夜叉嶺）；小夜叉奴隸（玄州城、獄門峽、亂藤林西方、摘星嶺、靖南古道、夜叉嶺）；野馬（八達嶺、古北口、塞北草原、河西谷地）；雪狼（入雲道、塞北關、惡狼林、天山雪道）；劍齒狼（入雲道、塞北關、惡狼林、瀰煙山道、八達嶺、古北口、塞北草原）；骷髏弓手（猛鬼窟第二層、朝天觀）；天山雪狼（天山冰池）；骷髏士兵（猛鬼窟第二層、朝天觀）；山羊（塞北草原、呼倫草原、貝爾草原、河西谷地）；夜叉長矛手（玄州城、獄門峽）；夜叉刀斧手（玄州城、獄門峽）；狼王（天山冰池、八達嶺）；死靈弓手（魔君陵墓）；劍齒狼（試煉之窟）；黃牛（塞北草原、呼倫草原、貝爾草原）；老虎（碧波谷徑、封神臺、亂藤林西方、鷹翅族部落、瀰煙山道、掩月松林、八達嶺、古北口、塞北草原）；天山老虎（天山冰池）；惡靈骷髏兵（五派禁地）；惡靈弓手（五派禁地）；屍犬（平西關、望星坡、鬼城、猛鬼窟第一層、萬人塚第一層、萬人塚第二層）；野豬（山林地訓練營、試煉之窟）；幽冥犬（猛鬼窟第一層、萬人塚第二層、萬人塚第三層）；小夜叉士兵（玄州城、獄門峽）；小夜叉飛斧手（玄州城、獄門峽）；狂犬（塞北關、古皇陵近郊、釣日村、平西關、萬人塚第一層）；狂犬（塞北關、古皇陵近郊、釣日村、平西關、試煉之窟、萬人塚第一層）；狂犬（試煉之窟）；野狼（入雲道、塞北關、惡狼林）；天山惡狼（天山冰池）；大山犬（古皇陵近郊、平西關、神室關所）；大山犬（古皇陵近郊、平西關、試煉之窟、神室關所）；野狼（試煉之窟）；惡犬（塞北關、古皇陵近郊、釣日村、平西關、望星坡）；惡犬（塞北關、古皇陵近郊、釣日村、平西關、望星坡、試煉之窟）；罣基妖犬（塞北關）；惡犬（試煉之窟）；大山犬（試煉之窟）</x:t>
        </x:is>
      </x:c>
    </x:row>
    <x:row r="1664" ht="195" customHeight="1">
      <x:c r="A1664" s="55" t="str">
        <x:v>藤盔</x:v>
      </x:c>
      <x:c r="B1664" s="55" t="str">
        <x:v>—</x:v>
      </x:c>
      <x:c r="C1664" s="55" t="str">
        <x:v>—</x:v>
      </x:c>
      <x:c r="D1664" s="55" t="str">
        <x:v>—</x:v>
      </x:c>
      <x:c r="E1664" s="55" t="inlineStr">
        <x:is>
          <x:t>巨靈魔王（摘星嶺、魔君陵墓、魔君陵寢一層、修羅窟）；巨靈魔（亂藤林、毒龍潭、摘星嶺、魔君陵墓）；夜叉王（摘星嶺、夜叉嶺）；夜叉王（玄州城、獄門峽、摘星嶺、夜叉嶺、異時界‧摘星嶺）；夜叉刺客（鎮南關）；地穴樹精（蕈菇林東方、蕈菇林西方、晶湖水道）；萬年樹精（神兵塚）；千年樹精（瀰煙山道、掩月松林、不老峰）；千年樹精（葬日沼澤、葬日沼澤北方、千佛遺跡東側）；[千年樹精]（網站未列地圖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夜叉刀斧手（獄門峽、亂藤林西方、毒龍潭、摘星嶺、魔君陵寢一層、夜叉嶺、修羅窟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夜叉長矛手（亂藤林西方、毒龍潭、摘星嶺、魔君陵寢一層、夜叉嶺、修羅窟）；小夜叉奴隸（獄門峽、亂藤林西方、摘星嶺、靖南古道、夜叉嶺）；小夜叉奴隸（玄州城、獄門峽、亂藤林西方、摘星嶺、靖南古道、夜叉嶺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奴隸（玄州城、獄門峽）；小夜叉士兵（玄州城、獄門峽）；小夜叉飛斧手（玄州城、獄門峽）</x:t>
        </x:is>
      </x:c>
    </x:row>
    <x:row r="1665" ht="15" customHeight="1">
      <x:c r="A1665" s="55" t="str">
        <x:v>銅兜帽</x:v>
      </x:c>
      <x:c r="B1665" s="55" t="str">
        <x:v>—</x:v>
      </x:c>
      <x:c r="C1665" s="55" t="str">
        <x:v>京城打鐵舖、祁州打鐵舖</x:v>
      </x:c>
      <x:c r="D1665" s="55" t="str">
        <x:v>—</x:v>
      </x:c>
      <x:c r="E1665" s="55" t="inlineStr">
        <x:is>
          <x:t>豬妖（網站未列地圖）</x:t>
        </x:is>
      </x:c>
    </x:row>
    <x:row r="1666" ht="15" customHeight="1">
      <x:c r="A1666" s="55" t="str">
        <x:v>鐵兜帽</x:v>
      </x:c>
      <x:c r="B1666" s="55" t="str">
        <x:v>—</x:v>
      </x:c>
      <x:c r="C1666" s="55" t="str">
        <x:v>祁州打鐵舖</x:v>
      </x:c>
      <x:c r="D1666" s="55" t="str">
        <x:v>—</x:v>
      </x:c>
      <x:c r="E1666" s="55" t="inlineStr">
        <x:is>
          <x:t>豬妖（網站未列地圖）</x:t>
        </x:is>
      </x:c>
    </x:row>
    <x:row r="1667" ht="15" customHeight="1">
      <x:c r="A1667" s="55" t="str">
        <x:v>精鋼兜帽</x:v>
      </x:c>
      <x:c r="B1667" s="55" t="str">
        <x:v>—</x:v>
      </x:c>
      <x:c r="C1667" s="55" t="str">
        <x:v>祁州打鐵舖</x:v>
      </x:c>
      <x:c r="D1667" s="55" t="str">
        <x:v>—</x:v>
      </x:c>
      <x:c r="E1667" s="55" t="inlineStr">
        <x:is>
          <x:t>—</x:t>
        </x:is>
      </x:c>
    </x:row>
    <x:row r="1668" ht="15" customHeight="1">
      <x:c r="A1668" s="55" t="str">
        <x:v>鐵頭盔</x:v>
      </x:c>
      <x:c r="B1668" s="55" t="str">
        <x:v>—</x:v>
      </x:c>
      <x:c r="C1668" s="55" t="str">
        <x:v>祁州打鐵舖</x:v>
      </x:c>
      <x:c r="D1668" s="55" t="str">
        <x:v>—</x:v>
      </x:c>
      <x:c r="E1668" s="55" t="inlineStr">
        <x:is>
          <x:t>—</x:t>
        </x:is>
      </x:c>
    </x:row>
    <x:row r="1669" ht="15" customHeight="1">
      <x:c r="A1669" s="55" t="str">
        <x:v>精鋼頭盔</x:v>
      </x:c>
      <x:c r="B1669" s="55" t="str">
        <x:v>—</x:v>
      </x:c>
      <x:c r="C1669" s="55" t="str">
        <x:v>玄州打鐵舖</x:v>
      </x:c>
      <x:c r="D1669" s="55" t="str">
        <x:v>—</x:v>
      </x:c>
      <x:c r="E1669" s="55" t="inlineStr">
        <x:is>
          <x:t>—</x:t>
        </x:is>
      </x:c>
    </x:row>
    <x:row r="1670" ht="15" customHeight="1">
      <x:c r="A1670" s="55" t="str">
        <x:v>精鋼戰盔</x:v>
      </x:c>
      <x:c r="B1670" s="55" t="str">
        <x:v>—</x:v>
      </x:c>
      <x:c r="C1670" s="55" t="str">
        <x:v>玄州打鐵舖</x:v>
      </x:c>
      <x:c r="D1670" s="55" t="str">
        <x:v>—</x:v>
      </x:c>
      <x:c r="E1670" s="55" t="inlineStr">
        <x:is>
          <x:t>—</x:t>
        </x:is>
      </x:c>
    </x:row>
    <x:row r="1671" ht="15" customHeight="1">
      <x:c r="A1671" s="55" t="str">
        <x:v>銀甲戰盔</x:v>
      </x:c>
      <x:c r="B1671" s="55" t="str">
        <x:v>—</x:v>
      </x:c>
      <x:c r="C1671" s="55" t="str">
        <x:v>玄州打鐵舖</x:v>
      </x:c>
      <x:c r="D1671" s="55" t="str">
        <x:v>—</x:v>
      </x:c>
      <x:c r="E1671" s="55" t="inlineStr">
        <x:is>
          <x:t>—</x:t>
        </x:is>
      </x:c>
    </x:row>
    <x:row r="1672" ht="15" customHeight="1">
      <x:c r="A1672" s="55" t="str">
        <x:v>明光戰盔</x:v>
      </x:c>
      <x:c r="B1672" s="55" t="str">
        <x:v>—</x:v>
      </x:c>
      <x:c r="C1672" s="55" t="str">
        <x:v>玄州打鐵舖</x:v>
      </x:c>
      <x:c r="D1672" s="55" t="str">
        <x:v>—</x:v>
      </x:c>
      <x:c r="E1672" s="55" t="inlineStr">
        <x:is>
          <x:t>邊關賊寇隊長（邊關要塞）；邊關賊寇隊長（八達嶺、古北口、邊關要塞）；長林大盜（長林谷）</x:t>
        </x:is>
      </x:c>
    </x:row>
    <x:row r="1673" ht="15" customHeight="1">
      <x:c r="A1673" s="55" t="str">
        <x:v>驅邪皮盔</x:v>
      </x:c>
      <x:c r="B1673" s="55" t="str">
        <x:v>—</x:v>
      </x:c>
      <x:c r="C1673" s="55" t="str">
        <x:v>釣日村武器店長</x:v>
      </x:c>
      <x:c r="D1673" s="55" t="str">
        <x:v>—</x:v>
      </x:c>
      <x:c r="E1673" s="55" t="inlineStr">
        <x:is>
          <x:t>—</x:t>
        </x:is>
      </x:c>
    </x:row>
    <x:row r="1674" ht="15" customHeight="1">
      <x:c r="A1674" s="55" t="str">
        <x:v>闢邪兜帽</x:v>
      </x:c>
      <x:c r="B1674" s="55" t="str">
        <x:v>—</x:v>
      </x:c>
      <x:c r="C1674" s="55" t="str">
        <x:v>釣日村武器店長</x:v>
      </x:c>
      <x:c r="D1674" s="55" t="str">
        <x:v>—</x:v>
      </x:c>
      <x:c r="E1674" s="55" t="inlineStr">
        <x:is>
          <x:t>校尉錦囊（網站未列地圖）</x:t>
        </x:is>
      </x:c>
    </x:row>
    <x:row r="1675" ht="30" customHeight="1">
      <x:c r="A1675" s="55" t="str">
        <x:v>鎮邪戰盔</x:v>
      </x:c>
      <x:c r="B1675" s="55" t="str">
        <x:v>—</x:v>
      </x:c>
      <x:c r="C1675" s="55" t="str">
        <x:v>—</x:v>
      </x:c>
      <x:c r="D1675" s="55" t="str">
        <x:v>—</x:v>
      </x:c>
      <x:c r="E1675" s="55" t="inlineStr">
        <x:is>
          <x:t>御史劍裝錦囊（網站未列地圖）；御史勇裝錦囊（網站未列地圖）；力士俑（古皇陵第二層、古皇陵第三層）；{力士俑}（古皇陵密室）</x:t>
        </x:is>
      </x:c>
    </x:row>
    <x:row r="1676" ht="15" customHeight="1">
      <x:c r="A1676" s="55" t="str">
        <x:v>怨靈骨盔</x:v>
      </x:c>
      <x:c r="B1676" s="55" t="str">
        <x:v>—</x:v>
      </x:c>
      <x:c r="C1676" s="55" t="str">
        <x:v>—</x:v>
      </x:c>
      <x:c r="D1676" s="55" t="str">
        <x:v>怨靈骨盔配方</x:v>
      </x:c>
      <x:c r="E1676" s="55" t="inlineStr">
        <x:is>
          <x:t>—</x:t>
        </x:is>
      </x:c>
    </x:row>
    <x:row r="1677" ht="15" customHeight="1">
      <x:c r="A1677" s="55" t="str">
        <x:v>蛛絲僧帽</x:v>
      </x:c>
      <x:c r="B1677" s="55" t="str">
        <x:v>—</x:v>
      </x:c>
      <x:c r="C1677" s="55" t="str">
        <x:v>—</x:v>
      </x:c>
      <x:c r="D1677" s="55" t="str">
        <x:v>蛛絲僧帽配方</x:v>
      </x:c>
      <x:c r="E1677" s="55" t="inlineStr">
        <x:is>
          <x:t>—</x:t>
        </x:is>
      </x:c>
    </x:row>
    <x:row r="1678" ht="15" customHeight="1">
      <x:c r="A1678" s="55" t="str">
        <x:v>蛛絲道冠</x:v>
      </x:c>
      <x:c r="B1678" s="55" t="str">
        <x:v>—</x:v>
      </x:c>
      <x:c r="C1678" s="55" t="str">
        <x:v>—</x:v>
      </x:c>
      <x:c r="D1678" s="55" t="str">
        <x:v>蛛絲道冠配方</x:v>
      </x:c>
      <x:c r="E1678" s="55" t="inlineStr">
        <x:is>
          <x:t>—</x:t>
        </x:is>
      </x:c>
    </x:row>
    <x:row r="1679" ht="15" customHeight="1">
      <x:c r="A1679" s="55" t="str">
        <x:v>合金頭箍</x:v>
      </x:c>
      <x:c r="B1679" s="55" t="str">
        <x:v>—</x:v>
      </x:c>
      <x:c r="C1679" s="55" t="str">
        <x:v>—</x:v>
      </x:c>
      <x:c r="D1679" s="55" t="str">
        <x:v>合金頭箍配方</x:v>
      </x:c>
      <x:c r="E1679" s="55" t="inlineStr">
        <x:is>
          <x:t>—</x:t>
        </x:is>
      </x:c>
    </x:row>
    <x:row r="1680" ht="15" customHeight="1">
      <x:c r="A1680" s="55" t="str">
        <x:v>靈絲僧帽</x:v>
      </x:c>
      <x:c r="B1680" s="55" t="str">
        <x:v>—</x:v>
      </x:c>
      <x:c r="C1680" s="55" t="str">
        <x:v>—</x:v>
      </x:c>
      <x:c r="D1680" s="55" t="str">
        <x:v>靈絲僧帽配方</x:v>
      </x:c>
      <x:c r="E1680" s="55" t="inlineStr">
        <x:is>
          <x:t>校尉錦囊（網站未列地圖）</x:t>
        </x:is>
      </x:c>
    </x:row>
    <x:row r="1681" ht="15" customHeight="1">
      <x:c r="A1681" s="55" t="str">
        <x:v>靈絲道冠</x:v>
      </x:c>
      <x:c r="B1681" s="55" t="str">
        <x:v>—</x:v>
      </x:c>
      <x:c r="C1681" s="55" t="str">
        <x:v>—</x:v>
      </x:c>
      <x:c r="D1681" s="55" t="str">
        <x:v>靈絲道冠配方</x:v>
      </x:c>
      <x:c r="E1681" s="55" t="inlineStr">
        <x:is>
          <x:t>校尉錦囊（網站未列地圖）</x:t>
        </x:is>
      </x:c>
    </x:row>
    <x:row r="1682" ht="15" customHeight="1">
      <x:c r="A1682" s="55" t="str">
        <x:v>天鐵頭箍</x:v>
      </x:c>
      <x:c r="B1682" s="55" t="str">
        <x:v>—</x:v>
      </x:c>
      <x:c r="C1682" s="55" t="str">
        <x:v>—</x:v>
      </x:c>
      <x:c r="D1682" s="55" t="str">
        <x:v>天鐵頭箍配方</x:v>
      </x:c>
      <x:c r="E1682" s="55" t="inlineStr">
        <x:is>
          <x:t>校尉錦囊（網站未列地圖）</x:t>
        </x:is>
      </x:c>
    </x:row>
    <x:row r="1683" ht="15" customHeight="1">
      <x:c r="A1683" s="55" t="str">
        <x:v>銀縷僧帽</x:v>
      </x:c>
      <x:c r="B1683" s="55" t="str">
        <x:v>—</x:v>
      </x:c>
      <x:c r="C1683" s="55" t="str">
        <x:v>—</x:v>
      </x:c>
      <x:c r="D1683" s="55" t="str">
        <x:v>銀縷僧帽配方</x:v>
      </x:c>
      <x:c r="E1683" s="55" t="inlineStr">
        <x:is>
          <x:t>—</x:t>
        </x:is>
      </x:c>
    </x:row>
    <x:row r="1684" ht="15" customHeight="1">
      <x:c r="A1684" s="55" t="str">
        <x:v>銀縷道冠</x:v>
      </x:c>
      <x:c r="B1684" s="55" t="str">
        <x:v>—</x:v>
      </x:c>
      <x:c r="C1684" s="55" t="str">
        <x:v>—</x:v>
      </x:c>
      <x:c r="D1684" s="55" t="str">
        <x:v>銀縷道冠配方</x:v>
      </x:c>
      <x:c r="E1684" s="55" t="inlineStr">
        <x:is>
          <x:t>—</x:t>
        </x:is>
      </x:c>
    </x:row>
    <x:row r="1685" ht="15" customHeight="1">
      <x:c r="A1685" s="55" t="str">
        <x:v>怨靈頭箍</x:v>
      </x:c>
      <x:c r="B1685" s="55" t="str">
        <x:v>—</x:v>
      </x:c>
      <x:c r="C1685" s="55" t="str">
        <x:v>—</x:v>
      </x:c>
      <x:c r="D1685" s="55" t="str">
        <x:v>怨靈頭箍配方</x:v>
      </x:c>
      <x:c r="E1685" s="55" t="inlineStr">
        <x:is>
          <x:t>—</x:t>
        </x:is>
      </x:c>
    </x:row>
    <x:row r="1686" ht="15" customHeight="1">
      <x:c r="A1686" s="55" t="str">
        <x:v>山犬帽</x:v>
      </x:c>
      <x:c r="B1686" s="55" t="str">
        <x:v>—</x:v>
      </x:c>
      <x:c r="C1686" s="55" t="str">
        <x:v>—</x:v>
      </x:c>
      <x:c r="D1686" s="55" t="str">
        <x:v>山犬帽配方</x:v>
      </x:c>
      <x:c r="E1686" s="55" t="inlineStr">
        <x:is>
          <x:t>—</x:t>
        </x:is>
      </x:c>
    </x:row>
    <x:row r="1687" ht="15" customHeight="1">
      <x:c r="A1687" s="55" t="str">
        <x:v>惡狼皮帽</x:v>
      </x:c>
      <x:c r="B1687" s="55" t="str">
        <x:v>—</x:v>
      </x:c>
      <x:c r="C1687" s="55" t="str">
        <x:v>—</x:v>
      </x:c>
      <x:c r="D1687" s="55" t="str">
        <x:v>惡狼皮帽配方</x:v>
      </x:c>
      <x:c r="E1687" s="55" t="inlineStr">
        <x:is>
          <x:t>—</x:t>
        </x:is>
      </x:c>
    </x:row>
    <x:row r="1688" ht="15" customHeight="1">
      <x:c r="A1688" s="55" t="str">
        <x:v>行者斗笠</x:v>
      </x:c>
      <x:c r="B1688" s="55" t="str">
        <x:v>—</x:v>
      </x:c>
      <x:c r="C1688" s="55" t="str">
        <x:v>—</x:v>
      </x:c>
      <x:c r="D1688" s="55" t="str">
        <x:v>—</x:v>
      </x:c>
      <x:c r="E1688" s="55" t="inlineStr">
        <x:is>
          <x:t>嗜血頭陀（天山雪道、亂藤林東方）；秘法僧（天山雪道、亂藤林東方）；長野海賊（長野沙濱）</x:t>
        </x:is>
      </x:c>
    </x:row>
    <x:row r="1689" ht="45" customHeight="1">
      <x:c r="A1689" s="55" t="str">
        <x:v>紫金僧帽</x:v>
      </x:c>
      <x:c r="B1689" s="55" t="str">
        <x:v>—</x:v>
      </x:c>
      <x:c r="C1689" s="55" t="str">
        <x:v>—</x:v>
      </x:c>
      <x:c r="D1689" s="55" t="str">
        <x:v>—</x:v>
      </x:c>
      <x:c r="E1689" s="55" t="inlineStr">
        <x:is>
          <x:t>御史僧裝錦囊（網站未列地圖）；火骨精長老（五派禁地）；冰骨精長老（五派禁地）；冥骨精長老（五派禁地、古皇陵密室）；風雷頭陀（長林谷）；白骨精長老（五派禁地）；獵人頭祭司（亂石林、大汗陵墓）；祭司幻影（亂石林）；嗜血頭陀（天山雪道、亂藤林東方）；秘法僧（天山雪道、亂藤林東方）</x:t>
        </x:is>
      </x:c>
    </x:row>
    <x:row r="1690" ht="30" customHeight="1">
      <x:c r="A1690" s="55" t="str">
        <x:v>天師冠</x:v>
      </x:c>
      <x:c r="B1690" s="55" t="str">
        <x:v>—</x:v>
      </x:c>
      <x:c r="C1690" s="55" t="str">
        <x:v>—</x:v>
      </x:c>
      <x:c r="D1690" s="55" t="str">
        <x:v>—</x:v>
      </x:c>
      <x:c r="E1690" s="55" t="inlineStr">
        <x:is>
          <x:t>御史道裝錦囊（網站未列地圖）；邪魔尊者（飛仙岩、朝天嶺、朝天觀）；邪教道長（飛仙岩、朝天嶺、朝天觀、亂藤林東方）</x:t>
        </x:is>
      </x:c>
    </x:row>
    <x:row r="1691" ht="15" customHeight="1">
      <x:c r="A1691" s="55" t="str">
        <x:v>烏羽冠</x:v>
      </x:c>
      <x:c r="B1691" s="55" t="str">
        <x:v>—</x:v>
      </x:c>
      <x:c r="C1691" s="55" t="str">
        <x:v>維摩洞天-仙島工匠</x:v>
      </x:c>
      <x:c r="D1691" s="55" t="str">
        <x:v>—</x:v>
      </x:c>
      <x:c r="E1691" s="55" t="inlineStr">
        <x:is>
          <x:t>—</x:t>
        </x:is>
      </x:c>
    </x:row>
    <x:row r="1692" ht="15" customHeight="1">
      <x:c r="A1692" s="55" t="str">
        <x:v>將門冠</x:v>
      </x:c>
      <x:c r="B1692" s="55" t="str">
        <x:v>—</x:v>
      </x:c>
      <x:c r="C1692" s="55" t="str">
        <x:v>釣日村武器店長</x:v>
      </x:c>
      <x:c r="D1692" s="55" t="str">
        <x:v>—</x:v>
      </x:c>
      <x:c r="E1692" s="55" t="inlineStr">
        <x:is>
          <x:t>—</x:t>
        </x:is>
      </x:c>
    </x:row>
    <x:row r="1693" ht="30" customHeight="1">
      <x:c r="A1693" s="55" t="str">
        <x:v>五色頭巾</x:v>
      </x:c>
      <x:c r="B1693" s="55" t="str">
        <x:v>—</x:v>
      </x:c>
      <x:c r="C1693" s="55" t="str">
        <x:v>維摩洞天-仙島工匠</x:v>
      </x:c>
      <x:c r="D1693" s="55" t="str">
        <x:v>—</x:v>
      </x:c>
      <x:c r="E1693" s="55" t="inlineStr">
        <x:is>
          <x:t>御史術裝錦囊（網站未列地圖）；羅剎鞭子手（塔干沙漠西方）；傀儡羅剎鞭手（網站未列地圖）；羅剎鞭手遊魂（網站未列地圖）；猴妖（網站未列地圖）</x:t>
        </x:is>
      </x:c>
    </x:row>
    <x:row r="1694" ht="15" customHeight="1">
      <x:c r="A1694" s="55" t="str">
        <x:v>獸角骨盔</x:v>
      </x:c>
      <x:c r="B1694" s="55" t="str">
        <x:v>—</x:v>
      </x:c>
      <x:c r="C1694" s="55" t="str">
        <x:v>刑天-劍齒鱷</x:v>
      </x:c>
      <x:c r="D1694" s="55" t="str">
        <x:v>—</x:v>
      </x:c>
      <x:c r="E1694" s="55" t="inlineStr">
        <x:is>
          <x:t>五毒蜈蚣（葬日沼澤南方、鷹翅族部落、河西谷地）</x:t>
        </x:is>
      </x:c>
    </x:row>
    <x:row r="1695" ht="30" customHeight="1">
      <x:c r="A1695" s="55" t="str">
        <x:v>鬼王面具</x:v>
      </x:c>
      <x:c r="B1695" s="55" t="str">
        <x:v>—</x:v>
      </x:c>
      <x:c r="C1695" s="55" t="str">
        <x:v>夸父-打鐵夸父</x:v>
      </x:c>
      <x:c r="D1695" s="55" t="str">
        <x:v>—</x:v>
      </x:c>
      <x:c r="E1695" s="55" t="inlineStr">
        <x:is>
          <x:t>白猿鬥神（金霄佛寺、濕婆神廟）；食人巨蟒（葬日沼澤、葬日沼澤南方、盤蛇洞、河西谷地）；沙漠巨蟒（塔干沙漠南方）</x:t>
        </x:is>
      </x:c>
    </x:row>
    <x:row r="1696" ht="15" customHeight="1">
      <x:c r="A1696" s="55" t="str">
        <x:v>朱雀道冠</x:v>
      </x:c>
      <x:c r="B1696" s="55" t="str">
        <x:v>—</x:v>
      </x:c>
      <x:c r="C1696" s="55" t="str">
        <x:v>維摩洞天-仙島工匠</x:v>
      </x:c>
      <x:c r="D1696" s="55" t="str">
        <x:v>—</x:v>
      </x:c>
      <x:c r="E1696" s="55" t="inlineStr">
        <x:is>
          <x:t>—</x:t>
        </x:is>
      </x:c>
    </x:row>
    <x:row r="1697" ht="15" customHeight="1">
      <x:c r="A1697" s="55" t="str">
        <x:v>丹陽僧帽</x:v>
      </x:c>
      <x:c r="B1697" s="55" t="str">
        <x:v>—</x:v>
      </x:c>
      <x:c r="C1697" s="55" t="str">
        <x:v>維摩洞天-仙島工匠</x:v>
      </x:c>
      <x:c r="D1697" s="55" t="str">
        <x:v>—</x:v>
      </x:c>
      <x:c r="E1697" s="55" t="inlineStr">
        <x:is>
          <x:t>—</x:t>
        </x:is>
      </x:c>
    </x:row>
    <x:row r="1698" ht="15" customHeight="1">
      <x:c r="A1698" s="55" t="str">
        <x:v>青甲戰盔</x:v>
      </x:c>
      <x:c r="B1698" s="55" t="str">
        <x:v>—</x:v>
      </x:c>
      <x:c r="C1698" s="55" t="str">
        <x:v>釣日村武器店長</x:v>
      </x:c>
      <x:c r="D1698" s="55" t="str">
        <x:v>—</x:v>
      </x:c>
      <x:c r="E1698" s="55" t="inlineStr">
        <x:is>
          <x:t>—</x:t>
        </x:is>
      </x:c>
    </x:row>
    <x:row r="1699" ht="15" customHeight="1">
      <x:c r="A1699" s="55" t="str">
        <x:v>普賢頭箍</x:v>
      </x:c>
      <x:c r="B1699" s="55" t="str">
        <x:v>—</x:v>
      </x:c>
      <x:c r="C1699" s="55" t="str">
        <x:v>釣日村武器店長</x:v>
      </x:c>
      <x:c r="D1699" s="55" t="str">
        <x:v>—</x:v>
      </x:c>
      <x:c r="E1699" s="55" t="inlineStr">
        <x:is>
          <x:t>—</x:t>
        </x:is>
      </x:c>
    </x:row>
    <x:row r="1700" ht="15" customHeight="1">
      <x:c r="A1700" s="55" t="str">
        <x:v>貝鱗戰盔</x:v>
      </x:c>
      <x:c r="B1700" s="55" t="str">
        <x:v>—</x:v>
      </x:c>
      <x:c r="C1700" s="55" t="str">
        <x:v>釣日村武器店長</x:v>
      </x:c>
      <x:c r="D1700" s="55" t="str">
        <x:v>—</x:v>
      </x:c>
      <x:c r="E1700" s="55" t="inlineStr">
        <x:is>
          <x:t>—</x:t>
        </x:is>
      </x:c>
    </x:row>
    <x:row r="1701" ht="15" customHeight="1">
      <x:c r="A1701" s="55" t="str">
        <x:v>道濟僧帽</x:v>
      </x:c>
      <x:c r="B1701" s="55" t="str">
        <x:v>—</x:v>
      </x:c>
      <x:c r="C1701" s="55" t="str">
        <x:v>維摩洞天-仙島工匠</x:v>
      </x:c>
      <x:c r="D1701" s="55" t="str">
        <x:v>—</x:v>
      </x:c>
      <x:c r="E1701" s="55" t="inlineStr">
        <x:is>
          <x:t>—</x:t>
        </x:is>
      </x:c>
    </x:row>
    <x:row r="1702" ht="15" customHeight="1">
      <x:c r="A1702" s="55" t="str">
        <x:v>金甲戰盔</x:v>
      </x:c>
      <x:c r="B1702" s="55" t="str">
        <x:v>—</x:v>
      </x:c>
      <x:c r="C1702" s="55" t="str">
        <x:v>釣日村武器店長</x:v>
      </x:c>
      <x:c r="D1702" s="55" t="str">
        <x:v>—</x:v>
      </x:c>
      <x:c r="E1702" s="55" t="inlineStr">
        <x:is>
          <x:t>—</x:t>
        </x:is>
      </x:c>
    </x:row>
    <x:row r="1703" ht="15" customHeight="1">
      <x:c r="A1703" s="55" t="str">
        <x:v>赤鐵兜帽</x:v>
      </x:c>
      <x:c r="B1703" s="55" t="str">
        <x:v>—</x:v>
      </x:c>
      <x:c r="C1703" s="55" t="str">
        <x:v>維摩洞天-仙島工匠</x:v>
      </x:c>
      <x:c r="D1703" s="55" t="str">
        <x:v>—</x:v>
      </x:c>
      <x:c r="E1703" s="55" t="inlineStr">
        <x:is>
          <x:t>長林大盜（長林谷）</x:t>
        </x:is>
      </x:c>
    </x:row>
    <x:row r="1704" ht="15" customHeight="1">
      <x:c r="A1704" s="55" t="str">
        <x:v>墨鐵兜帽</x:v>
      </x:c>
      <x:c r="B1704" s="55" t="str">
        <x:v>—</x:v>
      </x:c>
      <x:c r="C1704" s="55" t="str">
        <x:v>京城打鐵舖</x:v>
      </x:c>
      <x:c r="D1704" s="55" t="str">
        <x:v>—</x:v>
      </x:c>
      <x:c r="E1704" s="55" t="inlineStr">
        <x:is>
          <x:t>—</x:t>
        </x:is>
      </x:c>
    </x:row>
    <x:row r="1705" ht="15" customHeight="1">
      <x:c r="A1705" s="55" t="str">
        <x:v>雪銀戰盔</x:v>
      </x:c>
      <x:c r="B1705" s="55" t="str">
        <x:v>—</x:v>
      </x:c>
      <x:c r="C1705" s="55" t="str">
        <x:v>釣日村武器店長</x:v>
      </x:c>
      <x:c r="D1705" s="55" t="str">
        <x:v>—</x:v>
      </x:c>
      <x:c r="E1705" s="55" t="inlineStr">
        <x:is>
          <x:t>—</x:t>
        </x:is>
      </x:c>
    </x:row>
    <x:row r="1706" ht="15" customHeight="1">
      <x:c r="A1706" s="55" t="str">
        <x:v>赤蠻頭巾</x:v>
      </x:c>
      <x:c r="B1706" s="55" t="str">
        <x:v>—</x:v>
      </x:c>
      <x:c r="C1706" s="55" t="str">
        <x:v>京城打鐵舖</x:v>
      </x:c>
      <x:c r="D1706" s="55" t="str">
        <x:v>—</x:v>
      </x:c>
      <x:c r="E1706" s="55" t="inlineStr">
        <x:is>
          <x:t>—</x:t>
        </x:is>
      </x:c>
    </x:row>
    <x:row r="1707" ht="15" customHeight="1">
      <x:c r="A1707" s="55" t="str">
        <x:v>追風頭巾</x:v>
      </x:c>
      <x:c r="B1707" s="55" t="str">
        <x:v>—</x:v>
      </x:c>
      <x:c r="C1707" s="55" t="str">
        <x:v>京城打鐵舖</x:v>
      </x:c>
      <x:c r="D1707" s="55" t="str">
        <x:v>—</x:v>
      </x:c>
      <x:c r="E1707" s="55" t="inlineStr">
        <x:is>
          <x:t>—</x:t>
        </x:is>
      </x:c>
    </x:row>
    <x:row r="1708" ht="15" customHeight="1">
      <x:c r="A1708" s="55" t="str">
        <x:v>靈卦道冠</x:v>
      </x:c>
      <x:c r="B1708" s="55" t="str">
        <x:v>—</x:v>
      </x:c>
      <x:c r="C1708" s="55" t="str">
        <x:v>京城打鐵舖</x:v>
      </x:c>
      <x:c r="D1708" s="55" t="str">
        <x:v>—</x:v>
      </x:c>
      <x:c r="E1708" s="55" t="inlineStr">
        <x:is>
          <x:t>—</x:t>
        </x:is>
      </x:c>
    </x:row>
    <x:row r="1709" ht="15" customHeight="1">
      <x:c r="A1709" s="55" t="str">
        <x:v>八仙道冠</x:v>
      </x:c>
      <x:c r="B1709" s="55" t="str">
        <x:v>—</x:v>
      </x:c>
      <x:c r="C1709" s="55" t="str">
        <x:v>京城打鐵舖</x:v>
      </x:c>
      <x:c r="D1709" s="55" t="str">
        <x:v>—</x:v>
      </x:c>
      <x:c r="E1709" s="55" t="inlineStr">
        <x:is>
          <x:t>—</x:t>
        </x:is>
      </x:c>
    </x:row>
    <x:row r="1710" ht="15" customHeight="1">
      <x:c r="A1710" s="55" t="str">
        <x:v>靜思僧帽</x:v>
      </x:c>
      <x:c r="B1710" s="55" t="str">
        <x:v>—</x:v>
      </x:c>
      <x:c r="C1710" s="55" t="str">
        <x:v>京城打鐵舖</x:v>
      </x:c>
      <x:c r="D1710" s="55" t="str">
        <x:v>—</x:v>
      </x:c>
      <x:c r="E1710" s="55" t="inlineStr">
        <x:is>
          <x:t>—</x:t>
        </x:is>
      </x:c>
    </x:row>
    <x:row r="1711" ht="15" customHeight="1">
      <x:c r="A1711" s="55" t="str">
        <x:v>遺失的頭巾</x:v>
      </x:c>
      <x:c r="B1711" s="55" t="str">
        <x:v>尋找遺失頭巾</x:v>
      </x:c>
      <x:c r="C1711" s="55" t="str">
        <x:v>—</x:v>
      </x:c>
      <x:c r="D1711" s="55" t="str">
        <x:v>—</x:v>
      </x:c>
      <x:c r="E1711" s="55" t="inlineStr">
        <x:is>
          <x:t>—</x:t>
        </x:is>
      </x:c>
    </x:row>
    <x:row r="1712" ht="15" customHeight="1">
      <x:c r="A1712" s="55" t="str">
        <x:v>夜叉頭巾</x:v>
      </x:c>
      <x:c r="B1712" s="55" t="str">
        <x:v>千里姻緣紅線牽系列</x:v>
      </x:c>
      <x:c r="C1712" s="55" t="str">
        <x:v>—</x:v>
      </x:c>
      <x:c r="D1712" s="55" t="str">
        <x:v>—</x:v>
      </x:c>
      <x:c r="E1712" s="55" t="inlineStr">
        <x:is>
          <x:t>—</x:t>
        </x:is>
      </x:c>
    </x:row>
    <x:row r="1713" ht="15" customHeight="1">
      <x:c r="A1713" s="55" t="str">
        <x:v>羊骨獸盔</x:v>
      </x:c>
      <x:c r="B1713" s="55" t="str">
        <x:v>跑鏢任務</x:v>
      </x:c>
      <x:c r="C1713" s="55" t="str">
        <x:v>—</x:v>
      </x:c>
      <x:c r="D1713" s="55" t="str">
        <x:v>—</x:v>
      </x:c>
      <x:c r="E1713" s="55" t="inlineStr">
        <x:is>
          <x:t>—</x:t>
        </x:is>
      </x:c>
    </x:row>
    <x:row r="1714" ht="15" customHeight="1">
      <x:c r="A1714" s="55" t="str">
        <x:v>狂戰將面具</x:v>
      </x:c>
      <x:c r="B1714" s="55" t="str">
        <x:v>取得挑戰者資格</x:v>
      </x:c>
      <x:c r="C1714" s="55" t="str">
        <x:v>—</x:v>
      </x:c>
      <x:c r="D1714" s="55" t="str">
        <x:v>—</x:v>
      </x:c>
      <x:c r="E1714" s="55" t="inlineStr">
        <x:is>
          <x:t>—</x:t>
        </x:is>
      </x:c>
    </x:row>
    <x:row r="1715" ht="15" customHeight="1">
      <x:c r="A1715" s="55" t="str">
        <x:v>征西戰帽</x:v>
      </x:c>
      <x:c r="B1715" s="55" t="str">
        <x:v>波斯主線</x:v>
      </x:c>
      <x:c r="C1715" s="55" t="str">
        <x:v>—</x:v>
      </x:c>
      <x:c r="D1715" s="55" t="str">
        <x:v>—</x:v>
      </x:c>
      <x:c r="E1715" s="55" t="inlineStr">
        <x:is>
          <x:t>—</x:t>
        </x:is>
      </x:c>
    </x:row>
    <x:row r="1716" ht="15" customHeight="1">
      <x:c r="A1716" s="55" t="str">
        <x:v>歐風戰帽</x:v>
      </x:c>
      <x:c r="B1716" s="55" t="str">
        <x:v>十字主線</x:v>
      </x:c>
      <x:c r="C1716" s="55" t="str">
        <x:v>—</x:v>
      </x:c>
      <x:c r="D1716" s="55" t="str">
        <x:v>—</x:v>
      </x:c>
      <x:c r="E1716" s="55" t="inlineStr">
        <x:is>
          <x:t>—</x:t>
        </x:is>
      </x:c>
    </x:row>
    <x:row r="1717" ht="15" customHeight="1">
      <x:c r="A1717" s="55" t="str">
        <x:v>異空戰盔</x:v>
      </x:c>
      <x:c r="B1717" s="55" t="str">
        <x:v>破滅主線</x:v>
      </x:c>
      <x:c r="C1717" s="55" t="str">
        <x:v>—</x:v>
      </x:c>
      <x:c r="D1717" s="55" t="str">
        <x:v>—</x:v>
      </x:c>
      <x:c r="E1717" s="55" t="inlineStr">
        <x:is>
          <x:t>—</x:t>
        </x:is>
      </x:c>
    </x:row>
    <x:row r="1718" ht="15" customHeight="1">
      <x:c r="A1718" s="55" t="str">
        <x:v>艾濟儀盔</x:v>
      </x:c>
      <x:c r="B1718" s="55" t="str">
        <x:v>艾濟主線</x:v>
      </x:c>
      <x:c r="C1718" s="55" t="str">
        <x:v>—</x:v>
      </x:c>
      <x:c r="D1718" s="55" t="str">
        <x:v>—</x:v>
      </x:c>
      <x:c r="E1718" s="55" t="inlineStr">
        <x:is>
          <x:t>—</x:t>
        </x:is>
      </x:c>
    </x:row>
    <x:row r="1719" ht="15" customHeight="1">
      <x:c r="A1719" s="55" t="str">
        <x:v>皇衛戰盔</x:v>
      </x:c>
      <x:c r="B1719" s="55" t="str">
        <x:v>皇城主線</x:v>
      </x:c>
      <x:c r="C1719" s="55" t="str">
        <x:v>—</x:v>
      </x:c>
      <x:c r="D1719" s="55" t="str">
        <x:v>—</x:v>
      </x:c>
      <x:c r="E1719" s="55" t="inlineStr">
        <x:is>
          <x:t>—</x:t>
        </x:is>
      </x:c>
    </x:row>
    <x:row r="1720" ht="15" customHeight="1">
      <x:c r="A1720" s="55" t="str">
        <x:v>長疆戰盔</x:v>
      </x:c>
      <x:c r="B1720" s="55" t="str">
        <x:v>長疆主線</x:v>
      </x:c>
      <x:c r="C1720" s="55" t="str">
        <x:v>—</x:v>
      </x:c>
      <x:c r="D1720" s="55" t="str">
        <x:v>—</x:v>
      </x:c>
      <x:c r="E1720" s="55" t="inlineStr">
        <x:is>
          <x:t>—</x:t>
        </x:is>
      </x:c>
    </x:row>
    <x:row r="1721" ht="15" customHeight="1">
      <x:c r="A1721" s="55" t="str">
        <x:v>南遼護盔</x:v>
      </x:c>
      <x:c r="B1721" s="55" t="str">
        <x:v>神州2主線</x:v>
      </x:c>
      <x:c r="C1721" s="55" t="str">
        <x:v>—</x:v>
      </x:c>
      <x:c r="D1721" s="55" t="str">
        <x:v>—</x:v>
      </x:c>
      <x:c r="E1721" s="55" t="inlineStr">
        <x:is>
          <x:t>—</x:t>
        </x:is>
      </x:c>
    </x:row>
    <x:row r="1722" ht="120" customHeight="1">
      <x:c r="A1722" s="55" t="str">
        <x:v>侏人面盔</x:v>
      </x:c>
      <x:c r="B1722" s="55" t="str">
        <x:v>—</x:v>
      </x:c>
      <x:c r="C1722" s="55" t="str">
        <x:v>—</x:v>
      </x:c>
      <x:c r="D1722" s="55" t="str">
        <x:v>—</x:v>
      </x:c>
      <x:c r="E1722" s="55" t="inlineStr">
        <x:is>
          <x:t>魔侏人戰將（神兵塚）；灰侏人戰將（地下水道、水晶礦坑）；侏人戰將（蕈菇林西方）；侏人工鏟兵（蕈菇林、蕈菇林東方、蕈菇林西方）；魔侏人工鏟兵（神兵塚）；侏人工兵鬼魂（幽玄靈界）；侏人鐵鎬兵（蕈菇林、蕈菇林東方、蕈菇林西方）；魔侏人工頭（神兵塚）；灰侏人鐵鎬兵（晶湖水道、地下水道、水晶礦坑）；灰侏人工鏟兵（晶湖水道、地下水道、水晶礦坑）；火蕈傘人（蕈菇林、蕈菇林東方、蕈菇林西方、侏人部落、晶湖水道、神兵塚）；蕈傘魔人（神兵塚）；[火蕈傘人]（網站未列地圖）；魔侏人戰士（神兵塚）；灰侏人戰士（晶湖水道、地下水道、水晶礦坑）；侏人戰士鬼魂（幽玄靈界）；侏人戰士（蕈菇林東方、蕈菇林西方）；地靈（地靈穴、蕈菇林、蕈菇林東方）；兇地靈（地靈穴、蕈菇林、蕈菇林東方）；小火蕈傘人（蕈菇林、蕈菇林東方、蕈菇林西方、侏人部落、神兵塚）</x:t>
        </x:is>
      </x:c>
    </x:row>
    <x:row r="1723" ht="30" customHeight="1">
      <x:c r="A1723" s="55" t="str">
        <x:v>刺客面具</x:v>
      </x:c>
      <x:c r="B1723" s="55" t="str">
        <x:v>—</x:v>
      </x:c>
      <x:c r="C1723" s="55" t="str">
        <x:v>—</x:v>
      </x:c>
      <x:c r="D1723" s="55" t="str">
        <x:v>—</x:v>
      </x:c>
      <x:c r="E1723" s="55" t="inlineStr">
        <x:is>
          <x:t>刑天魔王（葬日沼澤南方）；刑天戰狂（亂藤林、葬日沼澤、葬日沼澤南方）；刑天戰狂（亂藤林、葬日沼澤、葬日沼澤南方、異時界‧亂藤林）</x:t>
        </x:is>
      </x:c>
    </x:row>
    <x:row r="1724" ht="30" customHeight="1">
      <x:c r="A1724" s="55" t="str">
        <x:v>護法頭箍</x:v>
      </x:c>
      <x:c r="B1724" s="55" t="str">
        <x:v>—</x:v>
      </x:c>
      <x:c r="C1724" s="55" t="str">
        <x:v>—</x:v>
      </x:c>
      <x:c r="D1724" s="55" t="str">
        <x:v>—</x:v>
      </x:c>
      <x:c r="E1724" s="55" t="inlineStr">
        <x:is>
          <x:t>百眼長老（摘星嶺、魔君陵墓、魔君陵寢一層、魔君陵寢二層）；百眼巫師（毒龍潭、摘星嶺、魔君陵墓、魔君陵寢一層、魔君陵寢二層、修羅窟）</x:t>
        </x:is>
      </x:c>
    </x:row>
    <x:row r="1725" ht="15" customHeight="1">
      <x:c r="A1725" s="55" t="str">
        <x:v>鷹揚戰盔</x:v>
      </x:c>
      <x:c r="B1725" s="55" t="str">
        <x:v>—</x:v>
      </x:c>
      <x:c r="C1725" s="55" t="str">
        <x:v>—</x:v>
      </x:c>
      <x:c r="D1725" s="55" t="str">
        <x:v>—</x:v>
      </x:c>
      <x:c r="E1725" s="55" t="inlineStr">
        <x:is>
          <x:t>金翅王（鷹翅族部落）；鷹族戰士（葬日沼澤、摘星嶺、鷹翅族部落）</x:t>
        </x:is>
      </x:c>
    </x:row>
    <x:row r="1726" ht="15" customHeight="1">
      <x:c r="A1726" s="55" t="str">
        <x:v>龍紋戰盔</x:v>
      </x:c>
      <x:c r="B1726" s="55" t="str">
        <x:v>—</x:v>
      </x:c>
      <x:c r="C1726" s="55" t="str">
        <x:v>—</x:v>
      </x:c>
      <x:c r="D1726" s="55" t="str">
        <x:v>—</x:v>
      </x:c>
      <x:c r="E1726" s="55" t="inlineStr">
        <x:is>
          <x:t>黑巨蛟（東方海域）；海巨蛟（東方海域）</x:t>
        </x:is>
      </x:c>
    </x:row>
    <x:row r="1727" ht="30" customHeight="1">
      <x:c r="A1727" s="55" t="str">
        <x:v>仙靈道冠</x:v>
      </x:c>
      <x:c r="B1727" s="55" t="str">
        <x:v>—</x:v>
      </x:c>
      <x:c r="C1727" s="55" t="str">
        <x:v>—</x:v>
      </x:c>
      <x:c r="D1727" s="55" t="str">
        <x:v>—</x:v>
      </x:c>
      <x:c r="E1727" s="55" t="inlineStr">
        <x:is>
          <x:t>輕車將軍錦囊（網站未列地圖）；千年靈芝精（天山冰池）；千年蔘精（天山冰池）；[千年靈芝精]（網站未列地圖）；[千年蔘精]（網站未列地圖）</x:t>
        </x:is>
      </x:c>
    </x:row>
    <x:row r="1728" ht="15" customHeight="1">
      <x:c r="A1728" s="55" t="str">
        <x:v>蛇靈頭箍</x:v>
      </x:c>
      <x:c r="B1728" s="55" t="str">
        <x:v>—</x:v>
      </x:c>
      <x:c r="C1728" s="55" t="str">
        <x:v>—</x:v>
      </x:c>
      <x:c r="D1728" s="55" t="str">
        <x:v>—</x:v>
      </x:c>
      <x:c r="E1728" s="55" t="inlineStr">
        <x:is>
          <x:t>蛇魔女王（盤蛇洞）；蛇魔女（盤蛇洞）；[蛇魔女]（網站未列地圖）；怒海狂蛟（極東海域）</x:t>
        </x:is>
      </x:c>
    </x:row>
    <x:row r="1729" ht="30" customHeight="1">
      <x:c r="A1729" s="55" t="str">
        <x:v>桃花僧帽</x:v>
      </x:c>
      <x:c r="B1729" s="55" t="str">
        <x:v>—</x:v>
      </x:c>
      <x:c r="C1729" s="55" t="str">
        <x:v>—</x:v>
      </x:c>
      <x:c r="D1729" s="55" t="str">
        <x:v>—</x:v>
      </x:c>
      <x:c r="E1729" s="55" t="inlineStr">
        <x:is>
          <x:t>輕車將軍錦囊（網站未列地圖）；千年靈芝精（天山冰池）；千年蔘精（天山冰池）；[千年靈芝精]（網站未列地圖）；[千年蔘精]（網站未列地圖）</x:t>
        </x:is>
      </x:c>
    </x:row>
    <x:row r="1730" ht="15" customHeight="1">
      <x:c r="A1730" s="55" t="str">
        <x:v>鯊皮帽</x:v>
      </x:c>
      <x:c r="B1730" s="55" t="str">
        <x:v>—</x:v>
      </x:c>
      <x:c r="C1730" s="55" t="str">
        <x:v>—</x:v>
      </x:c>
      <x:c r="D1730" s="55" t="str">
        <x:v>—</x:v>
      </x:c>
      <x:c r="E1730" s="55" t="inlineStr">
        <x:is>
          <x:t>鯊將軍（龍宮八層一隅、龍宮八層廣場）；藍鯊兵（龍宮第六層、龍宮第七層、龍宮八層一隅、龍宮八層廣場）</x:t>
        </x:is>
      </x:c>
    </x:row>
    <x:row r="1731" ht="30" customHeight="1">
      <x:c r="A1731" s="55" t="str">
        <x:v>紫珊面</x:v>
      </x:c>
      <x:c r="B1731" s="55" t="str">
        <x:v>—</x:v>
      </x:c>
      <x:c r="C1731" s="55" t="str">
        <x:v>—</x:v>
      </x:c>
      <x:c r="D1731" s="55" t="str">
        <x:v>—</x:v>
      </x:c>
      <x:c r="E1731" s="55" t="inlineStr">
        <x:is>
          <x:t>輕車將軍錦囊（網站未列地圖）；怨靈水母（龍宮第二層）；幽靈水母（龍宮第五層、龍宮八層廣場）；死靈水母（龍宮第七層、龍宮八層一隅、龍宮八層廣場）</x:t>
        </x:is>
      </x:c>
    </x:row>
    <x:row r="1732" ht="15" customHeight="1">
      <x:c r="A1732" s="55" t="str">
        <x:v>銅石戰盔</x:v>
      </x:c>
      <x:c r="B1732" s="55" t="str">
        <x:v>—</x:v>
      </x:c>
      <x:c r="C1732" s="55" t="str">
        <x:v>—</x:v>
      </x:c>
      <x:c r="D1732" s="55" t="str">
        <x:v>—</x:v>
      </x:c>
      <x:c r="E1732" s="55" t="inlineStr">
        <x:is>
          <x:t>巨石魔（烈火靈界裂隙、怒雪靈界裂隙、五派禁地）；巨角龜精（網站未列地圖）；巨角龜（桃花林東方）</x:t>
        </x:is>
      </x:c>
    </x:row>
    <x:row r="1733" ht="15" customHeight="1">
      <x:c r="A1733" s="55" t="str">
        <x:v>戰神盔</x:v>
      </x:c>
      <x:c r="B1733" s="55" t="str">
        <x:v>—</x:v>
      </x:c>
      <x:c r="C1733" s="55" t="str">
        <x:v>—</x:v>
      </x:c>
      <x:c r="D1733" s="55" t="str">
        <x:v>—</x:v>
      </x:c>
      <x:c r="E1733" s="55" t="inlineStr">
        <x:is>
          <x:t>稀奇裝備箱．甲式（網站未列地圖）；蛇女包裹（網站未列地圖）</x:t>
        </x:is>
      </x:c>
    </x:row>
    <x:row r="1734" ht="15" customHeight="1">
      <x:c r="A1734" s="55" t="str">
        <x:v>白虎戰盔</x:v>
      </x:c>
      <x:c r="B1734" s="55" t="str">
        <x:v>—</x:v>
      </x:c>
      <x:c r="C1734" s="55" t="str">
        <x:v>—</x:v>
      </x:c>
      <x:c r="D1734" s="55" t="str">
        <x:v>—</x:v>
      </x:c>
      <x:c r="E1734" s="55" t="inlineStr">
        <x:is>
          <x:t>稀奇裝備箱．甲式（網站未列地圖）；虎霸王（掩月松林）；[虎霸王]（網站未列地圖）</x:t>
        </x:is>
      </x:c>
    </x:row>
    <x:row r="1735" ht="45" customHeight="1">
      <x:c r="A1735" s="55" t="str">
        <x:v>九尾頭箍</x:v>
      </x:c>
      <x:c r="B1735" s="55" t="str">
        <x:v>—</x:v>
      </x:c>
      <x:c r="C1735" s="55" t="str">
        <x:v>—</x:v>
      </x:c>
      <x:c r="D1735" s="55" t="str">
        <x:v>—</x:v>
      </x:c>
      <x:c r="E1735" s="55" t="inlineStr">
        <x:is>
          <x:t>月靈珠（網站未列地圖）；2轉女術影（五派禁地）；2轉術影（五派禁地）；烈風戰士（大汗陵墓）；烈風戰士幻影（網站未列地圖）；1轉女術影（五派禁地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36" ht="15" customHeight="1">
      <x:c r="A1736" s="55" t="str">
        <x:v>聖者僧帽</x:v>
      </x:c>
      <x:c r="B1736" s="55" t="str">
        <x:v>—</x:v>
      </x:c>
      <x:c r="C1736" s="55" t="str">
        <x:v>—</x:v>
      </x:c>
      <x:c r="D1736" s="55" t="str">
        <x:v>—</x:v>
      </x:c>
      <x:c r="E1736" s="55" t="inlineStr">
        <x:is>
          <x:t>稀奇裝備箱．乙式（網站未列地圖）；土靈珠（網站未列地圖）</x:t>
        </x:is>
      </x:c>
    </x:row>
    <x:row r="1737" ht="15" customHeight="1">
      <x:c r="A1737" s="55" t="str">
        <x:v>真人羽冠</x:v>
      </x:c>
      <x:c r="B1737" s="55" t="str">
        <x:v>—</x:v>
      </x:c>
      <x:c r="C1737" s="55" t="str">
        <x:v>—</x:v>
      </x:c>
      <x:c r="D1737" s="55" t="str">
        <x:v>—</x:v>
      </x:c>
      <x:c r="E1737" s="55" t="inlineStr">
        <x:is>
          <x:t>稀奇裝備箱．丙式（網站未列地圖）；雷靈珠（網站未列地圖）；1轉女道影（五派禁地）</x:t>
        </x:is>
      </x:c>
    </x:row>
    <x:row r="1738" ht="15" customHeight="1">
      <x:c r="A1738" s="55" t="str">
        <x:v>龍骨盔</x:v>
      </x:c>
      <x:c r="B1738" s="55" t="str">
        <x:v>—</x:v>
      </x:c>
      <x:c r="C1738" s="55" t="str">
        <x:v>—</x:v>
      </x:c>
      <x:c r="D1738" s="55" t="str">
        <x:v>—</x:v>
      </x:c>
      <x:c r="E1738" s="55" t="inlineStr">
        <x:is>
          <x:t>驃騎將軍錦囊（網站未列地圖）；龍王錦囊（網站未列地圖）；龍駻將（龍宮八層一隅、龍宮八層廣場）</x:t>
        </x:is>
      </x:c>
    </x:row>
    <x:row r="1739" ht="30" customHeight="1">
      <x:c r="A1739" s="55" t="str">
        <x:v>黑石戰盔</x:v>
      </x:c>
      <x:c r="B1739" s="55" t="str">
        <x:v>—</x:v>
      </x:c>
      <x:c r="C1739" s="55" t="str">
        <x:v>—</x:v>
      </x:c>
      <x:c r="D1739" s="55" t="str">
        <x:v>—</x:v>
      </x:c>
      <x:c r="E1739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1740" ht="30" customHeight="1">
      <x:c r="A1740" s="55" t="str">
        <x:v>黑武戰盔</x:v>
      </x:c>
      <x:c r="B1740" s="55" t="str">
        <x:v>—</x:v>
      </x:c>
      <x:c r="C1740" s="55" t="str">
        <x:v>—</x:v>
      </x:c>
      <x:c r="D1740" s="55" t="str">
        <x:v>—</x:v>
      </x:c>
      <x:c r="E1740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1741" ht="30" customHeight="1">
      <x:c r="A1741" s="55" t="str">
        <x:v>黑捷戰盔</x:v>
      </x:c>
      <x:c r="B1741" s="55" t="str">
        <x:v>—</x:v>
      </x:c>
      <x:c r="C1741" s="55" t="str">
        <x:v>—</x:v>
      </x:c>
      <x:c r="D1741" s="55" t="str">
        <x:v>—</x:v>
      </x:c>
      <x:c r="E1741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1742" ht="75" customHeight="1">
      <x:c r="A1742" s="55" t="str">
        <x:v>血翼戰盔</x:v>
      </x:c>
      <x:c r="B1742" s="55" t="str">
        <x:v>—</x:v>
      </x:c>
      <x:c r="C1742" s="55" t="str">
        <x:v>—</x:v>
      </x:c>
      <x:c r="D1742" s="55" t="str">
        <x:v>—</x:v>
      </x:c>
      <x:c r="E1742" s="55" t="inlineStr">
        <x:is>
          <x:t>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1743" ht="75" customHeight="1">
      <x:c r="A1743" s="55" t="str">
        <x:v>虎翼戰盔</x:v>
      </x:c>
      <x:c r="B1743" s="55" t="str">
        <x:v>—</x:v>
      </x:c>
      <x:c r="C1743" s="55" t="str">
        <x:v>—</x:v>
      </x:c>
      <x:c r="D1743" s="55" t="str">
        <x:v>—</x:v>
      </x:c>
      <x:c r="E1743" s="55" t="inlineStr">
        <x:is>
          <x:t>御史劍裝錦囊（網站未列地圖）；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1744" ht="75" customHeight="1">
      <x:c r="A1744" s="55" t="str">
        <x:v>風翼戰盔</x:v>
      </x:c>
      <x:c r="B1744" s="55" t="str">
        <x:v>—</x:v>
      </x:c>
      <x:c r="C1744" s="55" t="str">
        <x:v>—</x:v>
      </x:c>
      <x:c r="D1744" s="55" t="str">
        <x:v>—</x:v>
      </x:c>
      <x:c r="E1744" s="55" t="inlineStr">
        <x:is>
          <x:t>劍裝錦囊（網站未列地圖）；御龍錦囊（網站未列地圖）；御史劍裝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1745" ht="60" customHeight="1">
      <x:c r="A1745" s="55" t="str">
        <x:v>蝶紋頭巾</x:v>
      </x:c>
      <x:c r="B1745" s="55" t="str">
        <x:v>—</x:v>
      </x:c>
      <x:c r="C1745" s="55" t="str">
        <x:v>—</x:v>
      </x:c>
      <x:c r="D1745" s="55" t="str">
        <x:v>—</x:v>
      </x:c>
      <x:c r="E1745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46" ht="60" customHeight="1">
      <x:c r="A1746" s="55" t="str">
        <x:v>虎紋頭巾</x:v>
      </x:c>
      <x:c r="B1746" s="55" t="str">
        <x:v>—</x:v>
      </x:c>
      <x:c r="C1746" s="55" t="str">
        <x:v>—</x:v>
      </x:c>
      <x:c r="D1746" s="55" t="str">
        <x:v>—</x:v>
      </x:c>
      <x:c r="E1746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47" ht="60" customHeight="1">
      <x:c r="A1747" s="55" t="str">
        <x:v>豹紋頭巾</x:v>
      </x:c>
      <x:c r="B1747" s="55" t="str">
        <x:v>—</x:v>
      </x:c>
      <x:c r="C1747" s="55" t="str">
        <x:v>—</x:v>
      </x:c>
      <x:c r="D1747" s="55" t="str">
        <x:v>—</x:v>
      </x:c>
      <x:c r="E1747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1748" ht="45" customHeight="1">
      <x:c r="A1748" s="55" t="str">
        <x:v>鳳雉冠</x:v>
      </x:c>
      <x:c r="B1748" s="55" t="str">
        <x:v>—</x:v>
      </x:c>
      <x:c r="C1748" s="55" t="str">
        <x:v>—</x:v>
      </x:c>
      <x:c r="D1748" s="55" t="str">
        <x:v>—</x:v>
      </x:c>
      <x:c r="E1748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1749" ht="45" customHeight="1">
      <x:c r="A1749" s="55" t="str">
        <x:v>雁翎冠</x:v>
      </x:c>
      <x:c r="B1749" s="55" t="str">
        <x:v>—</x:v>
      </x:c>
      <x:c r="C1749" s="55" t="str">
        <x:v>—</x:v>
      </x:c>
      <x:c r="D1749" s="55" t="str">
        <x:v>—</x:v>
      </x:c>
      <x:c r="E1749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1750" ht="45" customHeight="1">
      <x:c r="A1750" s="55" t="str">
        <x:v>千鶴冠</x:v>
      </x:c>
      <x:c r="B1750" s="55" t="str">
        <x:v>—</x:v>
      </x:c>
      <x:c r="C1750" s="55" t="str">
        <x:v>—</x:v>
      </x:c>
      <x:c r="D1750" s="55" t="str">
        <x:v>—</x:v>
      </x:c>
      <x:c r="E1750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1751" ht="30" customHeight="1">
      <x:c r="A1751" s="55" t="str">
        <x:v>擒龍斗笠</x:v>
      </x:c>
      <x:c r="B1751" s="55" t="str">
        <x:v>—</x:v>
      </x:c>
      <x:c r="C1751" s="55" t="str">
        <x:v>—</x:v>
      </x:c>
      <x:c r="D1751" s="55" t="str">
        <x:v>—</x:v>
      </x:c>
      <x:c r="E1751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1752" ht="30" customHeight="1">
      <x:c r="A1752" s="55" t="str">
        <x:v>伏虎斗笠</x:v>
      </x:c>
      <x:c r="B1752" s="55" t="str">
        <x:v>—</x:v>
      </x:c>
      <x:c r="C1752" s="55" t="str">
        <x:v>—</x:v>
      </x:c>
      <x:c r="D1752" s="55" t="str">
        <x:v>—</x:v>
      </x:c>
      <x:c r="E1752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1753" ht="30" customHeight="1">
      <x:c r="A1753" s="55" t="str">
        <x:v>除妖斗笠</x:v>
      </x:c>
      <x:c r="B1753" s="55" t="str">
        <x:v>—</x:v>
      </x:c>
      <x:c r="C1753" s="55" t="str">
        <x:v>—</x:v>
      </x:c>
      <x:c r="D1753" s="55" t="str">
        <x:v>—</x:v>
      </x:c>
      <x:c r="E1753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1754" ht="30" customHeight="1">
      <x:c r="A1754" s="55" t="str">
        <x:v>斬蛟斗笠</x:v>
      </x:c>
      <x:c r="B1754" s="55" t="str">
        <x:v>—</x:v>
      </x:c>
      <x:c r="C1754" s="55" t="str">
        <x:v>—</x:v>
      </x:c>
      <x:c r="D1754" s="55" t="str">
        <x:v>—</x:v>
      </x:c>
      <x:c r="E1754" s="55" t="inlineStr">
        <x:is>
          <x:t>僧裝錦囊（網站未列地圖）；龍紋錦囊（網站未列地圖）；2轉僧影（五派禁地）；天外神僧（五派禁地）；1轉僧影（五派禁地）；傭兵女戰士（疾風谷、大汗陵墓、古北大營、統萬大營）</x:t>
        </x:is>
      </x:c>
    </x:row>
    <x:row r="1755" ht="30" customHeight="1">
      <x:c r="A1755" s="55" t="str">
        <x:v>青鋼兜帽</x:v>
      </x:c>
      <x:c r="B1755" s="55" t="str">
        <x:v>—</x:v>
      </x:c>
      <x:c r="C1755" s="55" t="str">
        <x:v>—</x:v>
      </x:c>
      <x:c r="D1755" s="55" t="str">
        <x:v>—</x:v>
      </x:c>
      <x:c r="E1755" s="55" t="inlineStr">
        <x:is>
          <x:t>西域勇裝錦囊（網站未列地圖）；黑天勇裝元靈（網站未列地圖）；火岩龜（火焰山）；礫岩龜（塔干沙漠南方、塔干沙漠西方）</x:t>
        </x:is>
      </x:c>
    </x:row>
    <x:row r="1756" ht="30" customHeight="1">
      <x:c r="A1756" s="55" t="str">
        <x:v>金鏈盔</x:v>
      </x:c>
      <x:c r="B1756" s="55" t="str">
        <x:v>—</x:v>
      </x:c>
      <x:c r="C1756" s="55" t="str">
        <x:v>—</x:v>
      </x:c>
      <x:c r="D1756" s="55" t="str">
        <x:v>—</x:v>
      </x:c>
      <x:c r="E1756" s="55" t="inlineStr">
        <x:is>
          <x:t>西域劍裝錦囊（網站未列地圖）；黑天劍裝元靈（網站未列地圖）；血咒怨靈（極東海域）；妖化沙蟲（火焰山）；狼斑沙蟲（塔干沙漠東方、萬佛窟、樓蘭遺址）</x:t>
        </x:is>
      </x:c>
    </x:row>
    <x:row r="1757" ht="30" customHeight="1">
      <x:c r="A1757" s="55" t="str">
        <x:v>樓蘭織巾</x:v>
      </x:c>
      <x:c r="B1757" s="55" t="str">
        <x:v>—</x:v>
      </x:c>
      <x:c r="C1757" s="55" t="str">
        <x:v>—</x:v>
      </x:c>
      <x:c r="D1757" s="55" t="str">
        <x:v>—</x:v>
      </x:c>
      <x:c r="E1757" s="55" t="inlineStr">
        <x:is>
          <x:t>西域道裝錦囊（網站未列地圖）；黑天道裝元靈（網站未列地圖）；鬼禿鷹（火焰山）；巨禿鷹（塔干沙漠東方、塔干沙漠南方、萬佛窟、樓蘭遺址、火焰山）；[巨禿鷹]（網站未列地圖）</x:t>
        </x:is>
      </x:c>
    </x:row>
    <x:row r="1758" ht="45" customHeight="1">
      <x:c r="A1758" s="55" t="str">
        <x:v>千手僧帽</x:v>
      </x:c>
      <x:c r="B1758" s="55" t="str">
        <x:v>—</x:v>
      </x:c>
      <x:c r="C1758" s="55" t="str">
        <x:v>—</x:v>
      </x:c>
      <x:c r="D1758" s="55" t="str">
        <x:v>—</x:v>
      </x:c>
      <x:c r="E1758" s="55" t="inlineStr">
        <x:is>
          <x:t>西域僧裝錦囊（網站未列地圖）；黑天僧裝元靈（網站未列地圖）；激雷鐮鼬（長野沙濱、葉隱蒼林、神室關所、天照不二峰）；[激雷鐮鼬]（網站未列地圖）；激雷鐮鼬（長野沙濱、葉隱蒼林、神室關所、天照不二峰）；邪跳鼠（火焰山）；飛毛跳鼠（塔干沙漠東方、塔干沙漠西方、萬佛窟、樓蘭遺址）；[飛毛跳鼠]（網站未列地圖）</x:t>
        </x:is>
      </x:c>
    </x:row>
    <x:row r="1759" ht="45" customHeight="1">
      <x:c r="A1759" s="55" t="str">
        <x:v>羅剎覆面</x:v>
      </x:c>
      <x:c r="B1759" s="55" t="str">
        <x:v>—</x:v>
      </x:c>
      <x:c r="C1759" s="55" t="str">
        <x:v>—</x:v>
      </x:c>
      <x:c r="D1759" s="55" t="str">
        <x:v>—</x:v>
      </x:c>
      <x:c r="E1759" s="55" t="inlineStr">
        <x:is>
          <x:t>西域術裝錦囊（網站未列地圖）；黑天術裝元靈（網站未列地圖）；羅剎男妖（火焰山）；羅剎槍士（塔干沙漠西方）；羅剎鏢客（塔干沙漠西方）；羅剎鏢客遊魂（網站未列地圖）；傀儡羅剎鏢客（網站未列地圖）；傀儡羅剎槍士（網站未列地圖）；羅剎槍士遊魂（網站未列地圖）</x:t>
        </x:is>
      </x:c>
    </x:row>
    <x:row r="1760" ht="60" customHeight="1">
      <x:c r="A1760" s="55" t="str">
        <x:v>玄武戰盔</x:v>
      </x:c>
      <x:c r="B1760" s="55" t="str">
        <x:v>—</x:v>
      </x:c>
      <x:c r="C1760" s="55" t="str">
        <x:v>—</x:v>
      </x:c>
      <x:c r="D1760" s="55" t="str">
        <x:v>—</x:v>
      </x:c>
      <x:c r="E1760" s="55" t="inlineStr">
        <x:is>
          <x:t>西域勇裝錦囊（網站未列地圖）；黑天勇裝元靈（網站未列地圖）；征西勇士錦囊（網站未列地圖）；樓蘭勇士錦囊（網站未列地圖）；魅亂傘鬼（內崎埠原、外崎埠原、十津原樹海）；[魅亂傘鬼]（網站未列地圖）；魅亂傘鬼（內崎埠原、外崎埠原、十津原樹海）；噴焰巨龜（火焰山）；銅石龜（塔干沙漠南方、塔干沙漠西方、樓蘭遺址）；[銅石龜]（網站未列地圖）</x:t>
        </x:is>
      </x:c>
    </x:row>
    <x:row r="1761" ht="30" customHeight="1">
      <x:c r="A1761" s="55" t="str">
        <x:v>玉鱗戰盔</x:v>
      </x:c>
      <x:c r="B1761" s="55" t="str">
        <x:v>—</x:v>
      </x:c>
      <x:c r="C1761" s="55" t="str">
        <x:v>—</x:v>
      </x:c>
      <x:c r="D1761" s="55" t="str">
        <x:v>—</x:v>
      </x:c>
      <x:c r="E1761" s="55" t="inlineStr">
        <x:is>
          <x:t>西域劍裝錦囊（網站未列地圖）；黑天劍裝元靈（網站未列地圖）；征西劍俠錦囊（網站未列地圖）；樓蘭劍俠錦囊（網站未列地圖）；妖煞蟲王（火焰山）；沙蟲蠱王（樓蘭遺址）</x:t>
        </x:is>
      </x:c>
    </x:row>
    <x:row r="1762" ht="45" customHeight="1">
      <x:c r="A1762" s="55" t="str">
        <x:v>翡翠錦冠</x:v>
      </x:c>
      <x:c r="B1762" s="55" t="str">
        <x:v>—</x:v>
      </x:c>
      <x:c r="C1762" s="55" t="str">
        <x:v>—</x:v>
      </x:c>
      <x:c r="D1762" s="55" t="str">
        <x:v>—</x:v>
      </x:c>
      <x:c r="E1762" s="55" t="inlineStr">
        <x:is>
          <x:t>西域道裝錦囊（網站未列地圖）；黑天道裝元靈（網站未列地圖）；征西道人錦囊（網站未列地圖）；樓蘭道人錦囊（網站未列地圖）；疾狩忍者（葉隱蒼林、神室關所、內崎埠原）；血神禿鷹（火焰山）；嗜血禿鷹（塔干沙漠南方）</x:t>
        </x:is>
      </x:c>
    </x:row>
    <x:row r="1763" ht="45" customHeight="1">
      <x:c r="A1763" s="55" t="str">
        <x:v>萬佛禪帽</x:v>
      </x:c>
      <x:c r="B1763" s="55" t="str">
        <x:v>—</x:v>
      </x:c>
      <x:c r="C1763" s="55" t="str">
        <x:v>—</x:v>
      </x:c>
      <x:c r="D1763" s="55" t="str">
        <x:v>—</x:v>
      </x:c>
      <x:c r="E1763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1764" ht="30" customHeight="1">
      <x:c r="A1764" s="55" t="str">
        <x:v>天羅覆面</x:v>
      </x:c>
      <x:c r="B1764" s="55" t="str">
        <x:v>—</x:v>
      </x:c>
      <x:c r="C1764" s="55" t="str">
        <x:v>—</x:v>
      </x:c>
      <x:c r="D1764" s="55" t="str">
        <x:v>—</x:v>
      </x:c>
      <x:c r="E1764" s="55" t="inlineStr">
        <x:is>
          <x:t>西域術裝錦囊（網站未列地圖）；黑天術裝元靈（網站未列地圖）；征西術者錦囊（網站未列地圖）；樓蘭術者錦囊（網站未列地圖）</x:t>
        </x:is>
      </x:c>
    </x:row>
    <x:row r="1765" ht="15" customHeight="1">
      <x:c r="A1765" s="55" t="str">
        <x:v>鴻翼戰盔</x:v>
      </x:c>
      <x:c r="B1765" s="55" t="str">
        <x:v>—</x:v>
      </x:c>
      <x:c r="C1765" s="55" t="str">
        <x:v>—</x:v>
      </x:c>
      <x:c r="D1765" s="55" t="str">
        <x:v>—</x:v>
      </x:c>
      <x:c r="E1765" s="55" t="inlineStr">
        <x:is>
          <x:t>天界神裝錦囊（網站未列地圖）；戰神錦囊（網站未列地圖）</x:t>
        </x:is>
      </x:c>
    </x:row>
    <x:row r="1766" ht="30" customHeight="1">
      <x:c r="A1766" s="55" t="str">
        <x:v>德津戰盔</x:v>
      </x:c>
      <x:c r="B1766" s="55" t="str">
        <x:v>—</x:v>
      </x:c>
      <x:c r="C1766" s="55" t="str">
        <x:v>—</x:v>
      </x:c>
      <x:c r="D1766" s="55" t="str">
        <x:v>—</x:v>
      </x:c>
      <x:c r="E1766" s="55" t="inlineStr">
        <x:is>
          <x:t>東瀛劍裝錦囊（網站未列地圖）；東瀛劍裝禮盒（網站未列地圖）；御史劍裝錦囊（網站未列地圖）；鼻高天狗（天照不二峰）；鬼將酒吞（伊取川大陣）</x:t>
        </x:is>
      </x:c>
    </x:row>
    <x:row r="1767" ht="30" customHeight="1">
      <x:c r="A1767" s="55" t="str">
        <x:v>綱岐戰盔</x:v>
      </x:c>
      <x:c r="B1767" s="55" t="str">
        <x:v>—</x:v>
      </x:c>
      <x:c r="C1767" s="55" t="str">
        <x:v>—</x:v>
      </x:c>
      <x:c r="D1767" s="55" t="str">
        <x:v>—</x:v>
      </x:c>
      <x:c r="E1767" s="55" t="inlineStr">
        <x:is>
          <x:t>東瀛勇裝錦囊（網站未列地圖）；東瀛勇裝禮盒（網站未列地圖）；御史勇裝錦囊（網站未列地圖）；御使陰陽師（天照不二峰、八荒古墳、伊取川大陣）；鬼將青面般若（伊取川大陣）</x:t>
        </x:is>
      </x:c>
    </x:row>
    <x:row r="1768" ht="30" customHeight="1">
      <x:c r="A1768" s="55" t="str">
        <x:v>葵越紋冠</x:v>
      </x:c>
      <x:c r="B1768" s="55" t="str">
        <x:v>—</x:v>
      </x:c>
      <x:c r="C1768" s="55" t="str">
        <x:v>—</x:v>
      </x:c>
      <x:c r="D1768" s="55" t="str">
        <x:v>—</x:v>
      </x:c>
      <x:c r="E1768" s="55" t="inlineStr">
        <x:is>
          <x:t>東瀛道裝錦囊（網站未列地圖）；東瀛道裝禮盒（網站未列地圖）；御史道裝錦囊（網站未列地圖）；赤烈鬼（伊取川大陣）；直島新太郎（外崎埠原）</x:t>
        </x:is>
      </x:c>
    </x:row>
    <x:row r="1769" ht="30" customHeight="1">
      <x:c r="A1769" s="55" t="str">
        <x:v>笠紀禪帽</x:v>
      </x:c>
      <x:c r="B1769" s="55" t="str">
        <x:v>—</x:v>
      </x:c>
      <x:c r="C1769" s="55" t="str">
        <x:v>—</x:v>
      </x:c>
      <x:c r="D1769" s="55" t="str">
        <x:v>—</x:v>
      </x:c>
      <x:c r="E1769" s="55" t="inlineStr">
        <x:is>
          <x:t>東瀛僧裝錦囊（網站未列地圖）；東瀛僧裝禮盒（網站未列地圖）；御史僧裝錦囊（網站未列地圖）；武尊浪人（古皇陵近郊）；武尊浪人（伊取川大陣）；富田莊八郎（長野沙濱）</x:t>
        </x:is>
      </x:c>
    </x:row>
    <x:row r="1770" ht="30" customHeight="1">
      <x:c r="A1770" s="55" t="str">
        <x:v>伏藏頭巾</x:v>
      </x:c>
      <x:c r="B1770" s="55" t="str">
        <x:v>—</x:v>
      </x:c>
      <x:c r="C1770" s="55" t="str">
        <x:v>—</x:v>
      </x:c>
      <x:c r="D1770" s="55" t="str">
        <x:v>—</x:v>
      </x:c>
      <x:c r="E1770" s="55" t="inlineStr">
        <x:is>
          <x:t>東瀛術裝錦囊（網站未列地圖）；東瀛術裝禮盒（網站未列地圖）；御史術裝錦囊（網站未列地圖）；宇都宮長齋（內崎埠原）；燃影鐮鼬（外崎埠原、天照不二峰）</x:t>
        </x:is>
      </x:c>
    </x:row>
    <x:row r="1771" ht="15" customHeight="1">
      <x:c r="A1771" s="55" t="str">
        <x:v>武幕戰盔</x:v>
      </x:c>
      <x:c r="B1771" s="55" t="str">
        <x:v>—</x:v>
      </x:c>
      <x:c r="C1771" s="55" t="str">
        <x:v>—</x:v>
      </x:c>
      <x:c r="D1771" s="55" t="str">
        <x:v>—</x:v>
      </x:c>
      <x:c r="E1771" s="55" t="inlineStr">
        <x:is>
          <x:t>東瀛劍裝禮盒（網站未列地圖）</x:t>
        </x:is>
      </x:c>
    </x:row>
    <x:row r="1772" ht="15" customHeight="1">
      <x:c r="A1772" s="55" t="str">
        <x:v>霸統戰盔</x:v>
      </x:c>
      <x:c r="B1772" s="55" t="str">
        <x:v>—</x:v>
      </x:c>
      <x:c r="C1772" s="55" t="str">
        <x:v>—</x:v>
      </x:c>
      <x:c r="D1772" s="55" t="str">
        <x:v>—</x:v>
      </x:c>
      <x:c r="E1772" s="55" t="inlineStr">
        <x:is>
          <x:t>東瀛勇裝禮盒（網站未列地圖）</x:t>
        </x:is>
      </x:c>
    </x:row>
    <x:row r="1773" ht="15" customHeight="1">
      <x:c r="A1773" s="55" t="str">
        <x:v>陣澤紋冠</x:v>
      </x:c>
      <x:c r="B1773" s="55" t="str">
        <x:v>—</x:v>
      </x:c>
      <x:c r="C1773" s="55" t="str">
        <x:v>—</x:v>
      </x:c>
      <x:c r="D1773" s="55" t="str">
        <x:v>—</x:v>
      </x:c>
      <x:c r="E1773" s="55" t="inlineStr">
        <x:is>
          <x:t>東瀛道裝禮盒（網站未列地圖）</x:t>
        </x:is>
      </x:c>
    </x:row>
    <x:row r="1774" ht="15" customHeight="1">
      <x:c r="A1774" s="55" t="str">
        <x:v>伊幡禪帽</x:v>
      </x:c>
      <x:c r="B1774" s="55" t="str">
        <x:v>—</x:v>
      </x:c>
      <x:c r="C1774" s="55" t="str">
        <x:v>—</x:v>
      </x:c>
      <x:c r="D1774" s="55" t="str">
        <x:v>—</x:v>
      </x:c>
      <x:c r="E1774" s="55" t="inlineStr">
        <x:is>
          <x:t>東瀛僧裝禮盒（網站未列地圖）；穿峽禿鷹（登天棧道、青藏高原）</x:t>
        </x:is>
      </x:c>
    </x:row>
    <x:row r="1775" ht="15" customHeight="1">
      <x:c r="A1775" s="55" t="str">
        <x:v>丸勢頭巾</x:v>
      </x:c>
      <x:c r="B1775" s="55" t="str">
        <x:v>—</x:v>
      </x:c>
      <x:c r="C1775" s="55" t="str">
        <x:v>—</x:v>
      </x:c>
      <x:c r="D1775" s="55" t="str">
        <x:v>—</x:v>
      </x:c>
      <x:c r="E1775" s="55" t="inlineStr">
        <x:is>
          <x:t>東瀛術裝禮盒（網站未列地圖）</x:t>
        </x:is>
      </x:c>
    </x:row>
    <x:row r="1776" ht="30" customHeight="1">
      <x:c r="A1776" s="55" t="str">
        <x:v>月讀紗巾</x:v>
      </x:c>
      <x:c r="B1776" s="55" t="str">
        <x:v>—</x:v>
      </x:c>
      <x:c r="C1776" s="55" t="str">
        <x:v>—</x:v>
      </x:c>
      <x:c r="D1776" s="55" t="str">
        <x:v>—</x:v>
      </x:c>
      <x:c r="E1776" s="55" t="inlineStr">
        <x:is>
          <x:t>東瀛奇甲錦囊（網站未列地圖）；武冠兵甲錦囊．戌（網站未列地圖）；魔極四叉（終末之塔第4層、終末之塔第5層）</x:t>
        </x:is>
      </x:c>
    </x:row>
    <x:row r="1777" ht="15" customHeight="1">
      <x:c r="A1777" s="55" t="str">
        <x:v>烈雷武盔</x:v>
      </x:c>
      <x:c r="B1777" s="55" t="str">
        <x:v>—</x:v>
      </x:c>
      <x:c r="C1777" s="55" t="str">
        <x:v>—</x:v>
      </x:c>
      <x:c r="D1777" s="55" t="str">
        <x:v>—</x:v>
      </x:c>
      <x:c r="E1777" s="55" t="inlineStr">
        <x:is>
          <x:t>平倭勇裝錦囊（網站未列地圖）</x:t>
        </x:is>
      </x:c>
    </x:row>
    <x:row r="1778" ht="15" customHeight="1">
      <x:c r="A1778" s="55" t="str">
        <x:v>震雷武盔</x:v>
      </x:c>
      <x:c r="B1778" s="55" t="str">
        <x:v>—</x:v>
      </x:c>
      <x:c r="C1778" s="55" t="str">
        <x:v>—</x:v>
      </x:c>
      <x:c r="D1778" s="55" t="str">
        <x:v>—</x:v>
      </x:c>
      <x:c r="E1778" s="55" t="inlineStr">
        <x:is>
          <x:t>平倭勇裝錦囊（網站未列地圖）</x:t>
        </x:is>
      </x:c>
    </x:row>
    <x:row r="1779" ht="15" customHeight="1">
      <x:c r="A1779" s="55" t="str">
        <x:v>驚雷武盔</x:v>
      </x:c>
      <x:c r="B1779" s="55" t="str">
        <x:v>—</x:v>
      </x:c>
      <x:c r="C1779" s="55" t="str">
        <x:v>—</x:v>
      </x:c>
      <x:c r="D1779" s="55" t="str">
        <x:v>—</x:v>
      </x:c>
      <x:c r="E1779" s="55" t="inlineStr">
        <x:is>
          <x:t>平倭勇裝錦囊（網站未列地圖）</x:t>
        </x:is>
      </x:c>
    </x:row>
    <x:row r="1780" ht="15" customHeight="1">
      <x:c r="A1780" s="55" t="str">
        <x:v>翔雲戰盔</x:v>
      </x:c>
      <x:c r="B1780" s="55" t="str">
        <x:v>—</x:v>
      </x:c>
      <x:c r="C1780" s="55" t="str">
        <x:v>—</x:v>
      </x:c>
      <x:c r="D1780" s="55" t="str">
        <x:v>—</x:v>
      </x:c>
      <x:c r="E1780" s="55" t="inlineStr">
        <x:is>
          <x:t>平倭劍裝錦囊（網站未列地圖）</x:t>
        </x:is>
      </x:c>
    </x:row>
    <x:row r="1781" ht="15" customHeight="1">
      <x:c r="A1781" s="55" t="str">
        <x:v>瑞雲戰盔</x:v>
      </x:c>
      <x:c r="B1781" s="55" t="str">
        <x:v>—</x:v>
      </x:c>
      <x:c r="C1781" s="55" t="str">
        <x:v>—</x:v>
      </x:c>
      <x:c r="D1781" s="55" t="str">
        <x:v>—</x:v>
      </x:c>
      <x:c r="E1781" s="55" t="inlineStr">
        <x:is>
          <x:t>平倭劍裝錦囊（網站未列地圖）</x:t>
        </x:is>
      </x:c>
    </x:row>
    <x:row r="1782" ht="15" customHeight="1">
      <x:c r="A1782" s="55" t="str">
        <x:v>飛雲戰盔</x:v>
      </x:c>
      <x:c r="B1782" s="55" t="str">
        <x:v>—</x:v>
      </x:c>
      <x:c r="C1782" s="55" t="str">
        <x:v>—</x:v>
      </x:c>
      <x:c r="D1782" s="55" t="str">
        <x:v>—</x:v>
      </x:c>
      <x:c r="E1782" s="55" t="inlineStr">
        <x:is>
          <x:t>平倭劍裝錦囊（網站未列地圖）</x:t>
        </x:is>
      </x:c>
    </x:row>
    <x:row r="1783" ht="15" customHeight="1">
      <x:c r="A1783" s="55" t="str">
        <x:v>新月頭巾</x:v>
      </x:c>
      <x:c r="B1783" s="55" t="str">
        <x:v>—</x:v>
      </x:c>
      <x:c r="C1783" s="55" t="str">
        <x:v>—</x:v>
      </x:c>
      <x:c r="D1783" s="55" t="str">
        <x:v>—</x:v>
      </x:c>
      <x:c r="E1783" s="55" t="inlineStr">
        <x:is>
          <x:t>平倭術裝錦囊（網站未列地圖）</x:t>
        </x:is>
      </x:c>
    </x:row>
    <x:row r="1784" ht="15" customHeight="1">
      <x:c r="A1784" s="55" t="str">
        <x:v>朧月頭巾</x:v>
      </x:c>
      <x:c r="B1784" s="55" t="str">
        <x:v>—</x:v>
      </x:c>
      <x:c r="C1784" s="55" t="str">
        <x:v>—</x:v>
      </x:c>
      <x:c r="D1784" s="55" t="str">
        <x:v>—</x:v>
      </x:c>
      <x:c r="E1784" s="55" t="inlineStr">
        <x:is>
          <x:t>平倭術裝錦囊（網站未列地圖）</x:t>
        </x:is>
      </x:c>
    </x:row>
    <x:row r="1785" ht="15" customHeight="1">
      <x:c r="A1785" s="55" t="str">
        <x:v>殘月頭巾</x:v>
      </x:c>
      <x:c r="B1785" s="55" t="str">
        <x:v>—</x:v>
      </x:c>
      <x:c r="C1785" s="55" t="str">
        <x:v>—</x:v>
      </x:c>
      <x:c r="D1785" s="55" t="str">
        <x:v>—</x:v>
      </x:c>
      <x:c r="E1785" s="55" t="inlineStr">
        <x:is>
          <x:t>平倭術裝錦囊（網站未列地圖）</x:t>
        </x:is>
      </x:c>
    </x:row>
    <x:row r="1786" ht="15" customHeight="1">
      <x:c r="A1786" s="55" t="str">
        <x:v>昇陽紋冠</x:v>
      </x:c>
      <x:c r="B1786" s="55" t="str">
        <x:v>—</x:v>
      </x:c>
      <x:c r="C1786" s="55" t="str">
        <x:v>—</x:v>
      </x:c>
      <x:c r="D1786" s="55" t="str">
        <x:v>—</x:v>
      </x:c>
      <x:c r="E1786" s="55" t="inlineStr">
        <x:is>
          <x:t>平倭道裝錦囊（網站未列地圖）</x:t>
        </x:is>
      </x:c>
    </x:row>
    <x:row r="1787" ht="15" customHeight="1">
      <x:c r="A1787" s="55" t="str">
        <x:v>朝陽紋冠</x:v>
      </x:c>
      <x:c r="B1787" s="55" t="str">
        <x:v>—</x:v>
      </x:c>
      <x:c r="C1787" s="55" t="str">
        <x:v>—</x:v>
      </x:c>
      <x:c r="D1787" s="55" t="str">
        <x:v>—</x:v>
      </x:c>
      <x:c r="E1787" s="55" t="inlineStr">
        <x:is>
          <x:t>平倭道裝錦囊（網站未列地圖）</x:t>
        </x:is>
      </x:c>
    </x:row>
    <x:row r="1788" ht="15" customHeight="1">
      <x:c r="A1788" s="55" t="str">
        <x:v>玄陽紋冠</x:v>
      </x:c>
      <x:c r="B1788" s="55" t="str">
        <x:v>—</x:v>
      </x:c>
      <x:c r="C1788" s="55" t="str">
        <x:v>—</x:v>
      </x:c>
      <x:c r="D1788" s="55" t="str">
        <x:v>—</x:v>
      </x:c>
      <x:c r="E1788" s="55" t="inlineStr">
        <x:is>
          <x:t>平倭道裝錦囊（網站未列地圖）</x:t>
        </x:is>
      </x:c>
    </x:row>
    <x:row r="1789" ht="15" customHeight="1">
      <x:c r="A1789" s="55" t="str">
        <x:v>聖空禪帽</x:v>
      </x:c>
      <x:c r="B1789" s="55" t="str">
        <x:v>—</x:v>
      </x:c>
      <x:c r="C1789" s="55" t="str">
        <x:v>—</x:v>
      </x:c>
      <x:c r="D1789" s="55" t="str">
        <x:v>—</x:v>
      </x:c>
      <x:c r="E1789" s="55" t="inlineStr">
        <x:is>
          <x:t>平倭僧裝錦囊（網站未列地圖）</x:t>
        </x:is>
      </x:c>
    </x:row>
    <x:row r="1790" ht="15" customHeight="1">
      <x:c r="A1790" s="55" t="str">
        <x:v>圓空禪帽</x:v>
      </x:c>
      <x:c r="B1790" s="55" t="str">
        <x:v>—</x:v>
      </x:c>
      <x:c r="C1790" s="55" t="str">
        <x:v>—</x:v>
      </x:c>
      <x:c r="D1790" s="55" t="str">
        <x:v>—</x:v>
      </x:c>
      <x:c r="E1790" s="55" t="inlineStr">
        <x:is>
          <x:t>平倭僧裝錦囊（網站未列地圖）</x:t>
        </x:is>
      </x:c>
    </x:row>
    <x:row r="1791" ht="15" customHeight="1">
      <x:c r="A1791" s="55" t="str">
        <x:v>明空禪帽</x:v>
      </x:c>
      <x:c r="B1791" s="55" t="str">
        <x:v>—</x:v>
      </x:c>
      <x:c r="C1791" s="55" t="str">
        <x:v>—</x:v>
      </x:c>
      <x:c r="D1791" s="55" t="str">
        <x:v>—</x:v>
      </x:c>
      <x:c r="E1791" s="55" t="inlineStr">
        <x:is>
          <x:t>平倭僧裝錦囊（網站未列地圖）</x:t>
        </x:is>
      </x:c>
    </x:row>
    <x:row r="1792" ht="30" customHeight="1">
      <x:c r="A1792" s="55" t="str">
        <x:v>蘭若戰盔</x:v>
      </x:c>
      <x:c r="B1792" s="55" t="str">
        <x:v>—</x:v>
      </x:c>
      <x:c r="C1792" s="55" t="str">
        <x:v>—</x:v>
      </x:c>
      <x:c r="D1792" s="55" t="str">
        <x:v>—</x:v>
      </x:c>
      <x:c r="E1792" s="55" t="inlineStr">
        <x:is>
          <x:t>摩羅劍裝錦囊（網站未列地圖）；真佛劍裝錦囊（網站未列地圖）；摩羅御軍戰士（菩提聖原、大梵河岸）；駱駝（黃塵荒漠、聖域之門）；[駱駝]（網站未列地圖）</x:t>
        </x:is>
      </x:c>
    </x:row>
    <x:row r="1793" ht="30" customHeight="1">
      <x:c r="A1793" s="55" t="str">
        <x:v>戒日塔盔</x:v>
      </x:c>
      <x:c r="B1793" s="55" t="str">
        <x:v>—</x:v>
      </x:c>
      <x:c r="C1793" s="55" t="str">
        <x:v>—</x:v>
      </x:c>
      <x:c r="D1793" s="55" t="str">
        <x:v>—</x:v>
      </x:c>
      <x:c r="E1793" s="55" t="inlineStr">
        <x:is>
          <x:t>摩羅勇裝錦囊（網站未列地圖）；真佛勇裝錦囊（網站未列地圖）；金翅鳥（摩羅國境、菩提聖原、大梵河岸）；金翅鳥（摩羅國境、菩提聖原、大梵河岸）</x:t>
        </x:is>
      </x:c>
    </x:row>
    <x:row r="1794" ht="15" customHeight="1">
      <x:c r="A1794" s="55" t="str">
        <x:v>朱綾織帽</x:v>
      </x:c>
      <x:c r="B1794" s="55" t="str">
        <x:v>—</x:v>
      </x:c>
      <x:c r="C1794" s="55" t="str">
        <x:v>—</x:v>
      </x:c>
      <x:c r="D1794" s="55" t="str">
        <x:v>—</x:v>
      </x:c>
      <x:c r="E1794" s="55" t="inlineStr">
        <x:is>
          <x:t>摩羅術裝錦囊（網站未列地圖）；真佛術裝錦囊（網站未列地圖）；象騎射手（摩羅國境、菩提聖原）</x:t>
        </x:is>
      </x:c>
    </x:row>
    <x:row r="1795" ht="30" customHeight="1">
      <x:c r="A1795" s="55" t="str">
        <x:v>紫懿道冠</x:v>
      </x:c>
      <x:c r="B1795" s="55" t="str">
        <x:v>—</x:v>
      </x:c>
      <x:c r="C1795" s="55" t="str">
        <x:v>—</x:v>
      </x:c>
      <x:c r="D1795" s="55" t="str">
        <x:v>—</x:v>
      </x:c>
      <x:c r="E1795" s="55" t="inlineStr">
        <x:is>
          <x:t>摩羅道裝錦囊（網站未列地圖）；真佛道裝錦囊（網站未列地圖）；魔喚使者（黃塵荒漠、聖域之門、清教院街）；金鎧靈猴（菩提聖原、大梵河岸）；白夜帝猿（網站未列地圖）</x:t>
        </x:is>
      </x:c>
    </x:row>
    <x:row r="1796" ht="30" customHeight="1">
      <x:c r="A1796" s="55" t="str">
        <x:v>正定佛冠</x:v>
      </x:c>
      <x:c r="B1796" s="55" t="str">
        <x:v>—</x:v>
      </x:c>
      <x:c r="C1796" s="55" t="str">
        <x:v>—</x:v>
      </x:c>
      <x:c r="D1796" s="55" t="str">
        <x:v>—</x:v>
      </x:c>
      <x:c r="E1796" s="55" t="inlineStr">
        <x:is>
          <x:t>摩羅僧裝錦囊（網站未列地圖）；真佛僧裝錦囊（網站未列地圖）；黑教僧兵（登天棧道、懸空仙嶺、大梵聖湖）；十勝象王（網站未列地圖）；蓋世象魔（大梵河岸、金霄佛寺）</x:t>
        </x:is>
      </x:c>
    </x:row>
    <x:row r="1797" ht="15" customHeight="1">
      <x:c r="A1797" s="55" t="str">
        <x:v>悉檀戰盔</x:v>
      </x:c>
      <x:c r="B1797" s="55" t="str">
        <x:v>—</x:v>
      </x:c>
      <x:c r="C1797" s="55" t="str">
        <x:v>—</x:v>
      </x:c>
      <x:c r="D1797" s="55" t="str">
        <x:v>—</x:v>
      </x:c>
      <x:c r="E1797" s="55" t="inlineStr">
        <x:is>
          <x:t>真佛劍裝錦囊（網站未列地圖）；邪神殉徒（黃塵荒漠）；往生血眼（懸空仙嶺、青藏高原）</x:t>
        </x:is>
      </x:c>
    </x:row>
    <x:row r="1798" ht="30" customHeight="1">
      <x:c r="A1798" s="55" t="str">
        <x:v>最勝戰盔</x:v>
      </x:c>
      <x:c r="B1798" s="55" t="str">
        <x:v>—</x:v>
      </x:c>
      <x:c r="C1798" s="55" t="str">
        <x:v>—</x:v>
      </x:c>
      <x:c r="D1798" s="55" t="str">
        <x:v>—</x:v>
      </x:c>
      <x:c r="E1798" s="55" t="inlineStr">
        <x:is>
          <x:t>真佛勇裝錦囊（網站未列地圖）；蜃樓水靈（聖域之門、清教院街）；墮獄水魔（網站未列地圖）；萬岳囂異（青藏高原、大梵聖湖、萬岳聖峰）</x:t>
        </x:is>
      </x:c>
    </x:row>
    <x:row r="1799" ht="15" customHeight="1">
      <x:c r="A1799" s="55" t="str">
        <x:v>吠陀紗巾</x:v>
      </x:c>
      <x:c r="B1799" s="55" t="str">
        <x:v>—</x:v>
      </x:c>
      <x:c r="C1799" s="55" t="str">
        <x:v>—</x:v>
      </x:c>
      <x:c r="D1799" s="55" t="str">
        <x:v>—</x:v>
      </x:c>
      <x:c r="E1799" s="55" t="inlineStr">
        <x:is>
          <x:t>真佛術裝錦囊（網站未列地圖）；天谷禿鷹（青藏高原、大梵聖湖）；黑教隱鏢手（青藏高原、大梵聖湖）</x:t>
        </x:is>
      </x:c>
    </x:row>
    <x:row r="1800" ht="15" customHeight="1">
      <x:c r="A1800" s="55" t="str">
        <x:v>煌天道冠</x:v>
      </x:c>
      <x:c r="B1800" s="55" t="str">
        <x:v>—</x:v>
      </x:c>
      <x:c r="C1800" s="55" t="str">
        <x:v>—</x:v>
      </x:c>
      <x:c r="D1800" s="55" t="str">
        <x:v>—</x:v>
      </x:c>
      <x:c r="E1800" s="55" t="inlineStr">
        <x:is>
          <x:t>真佛道裝錦囊（網站未列地圖）</x:t>
        </x:is>
      </x:c>
    </x:row>
    <x:row r="1801" ht="15" customHeight="1">
      <x:c r="A1801" s="55" t="str">
        <x:v>華嚴金冠</x:v>
      </x:c>
      <x:c r="B1801" s="55" t="str">
        <x:v>—</x:v>
      </x:c>
      <x:c r="C1801" s="55" t="str">
        <x:v>—</x:v>
      </x:c>
      <x:c r="D1801" s="55" t="str">
        <x:v>—</x:v>
      </x:c>
      <x:c r="E1801" s="55" t="inlineStr">
        <x:is>
          <x:t>真佛僧裝錦囊（網站未列地圖）</x:t>
        </x:is>
      </x:c>
    </x:row>
    <x:row r="1802" ht="15" customHeight="1">
      <x:c r="A1802" s="55" t="str">
        <x:v>真．鴻翼戰盔</x:v>
      </x:c>
      <x:c r="B1802" s="55" t="str">
        <x:v>—</x:v>
      </x:c>
      <x:c r="C1802" s="55" t="str">
        <x:v>—</x:v>
      </x:c>
      <x:c r="D1802" s="55" t="str">
        <x:v>天極戰盔配方</x:v>
      </x:c>
      <x:c r="E1802" s="55" t="inlineStr">
        <x:is>
          <x:t>真天界神裝錦囊（網站未列地圖）；玄冑之核（網站未列地圖）</x:t>
        </x:is>
      </x:c>
    </x:row>
    <x:row r="1803" ht="30" customHeight="1">
      <x:c r="A1803" s="55" t="str">
        <x:v>驕陽武冠</x:v>
      </x:c>
      <x:c r="B1803" s="55" t="str">
        <x:v>—</x:v>
      </x:c>
      <x:c r="C1803" s="55" t="str">
        <x:v>—</x:v>
      </x:c>
      <x:c r="D1803" s="55" t="str">
        <x:v>—</x:v>
      </x:c>
      <x:c r="E1803" s="55" t="inlineStr">
        <x:is>
          <x:t>煉獄劍裝錦囊（網站未列地圖）；魔天劍裝錦囊（網站未列地圖）；開山牛魔將（森羅閻殿、奈落紅川、荒禍殘墟）；劍山牛魔神（天戮魔殿）</x:t>
        </x:is>
      </x:c>
    </x:row>
    <x:row r="1804" ht="45" customHeight="1">
      <x:c r="A1804" s="55" t="str">
        <x:v>銀蟒面盔</x:v>
      </x:c>
      <x:c r="B1804" s="55" t="str">
        <x:v>—</x:v>
      </x:c>
      <x:c r="C1804" s="55" t="str">
        <x:v>—</x:v>
      </x:c>
      <x:c r="D1804" s="55" t="str">
        <x:v>—</x:v>
      </x:c>
      <x:c r="E1804" s="55" t="inlineStr">
        <x:is>
          <x:t>煉獄勇裝錦囊（網站未列地圖）；魔天勇裝錦囊（網站未列地圖）；衝天馬魔將（森羅閻殿、奈落紅川、荒禍殘墟）；血河馬魔神（天戮魔殿）；真知聖戰士（飛簷頂徑、波斯西市、法誡參道、漆黑水路）；雪山冰靈（萬岳聖峰、香格里拉聖路）</x:t>
        </x:is>
      </x:c>
    </x:row>
    <x:row r="1805" ht="30" customHeight="1">
      <x:c r="A1805" s="55" t="str">
        <x:v>白門術巾</x:v>
      </x:c>
      <x:c r="B1805" s="55" t="str">
        <x:v>—</x:v>
      </x:c>
      <x:c r="C1805" s="55" t="str">
        <x:v>—</x:v>
      </x:c>
      <x:c r="D1805" s="55" t="str">
        <x:v>—</x:v>
      </x:c>
      <x:c r="E1805" s="55" t="inlineStr">
        <x:is>
          <x:t>煉獄術裝錦囊（網站未列地圖）；魔天術裝錦囊（網站未列地圖）；報喪七王爺（森羅閻殿、奈落紅川、荒禍殘墟）；掠魂白死將（天戮魔殿）；樑上飛賊（飛簷頂徑）</x:t>
        </x:is>
      </x:c>
    </x:row>
    <x:row r="1806" ht="30" customHeight="1">
      <x:c r="A1806" s="55" t="str">
        <x:v>三世緋冠</x:v>
      </x:c>
      <x:c r="B1806" s="55" t="str">
        <x:v>—</x:v>
      </x:c>
      <x:c r="C1806" s="55" t="str">
        <x:v>—</x:v>
      </x:c>
      <x:c r="D1806" s="55" t="str">
        <x:v>—</x:v>
      </x:c>
      <x:c r="E1806" s="55" t="inlineStr">
        <x:is>
          <x:t>煉獄道裝錦囊（網站未列地圖）；魔天道裝錦囊（網站未列地圖）；化屍大魔棺（森羅閻殿、九曲邪徑、奈落紅川、荒禍殘墟）；逆反外眼（大梵聖湖、萬岳聖峰）</x:t>
        </x:is>
      </x:c>
    </x:row>
    <x:row r="1807" ht="15" customHeight="1">
      <x:c r="A1807" s="55" t="str">
        <x:v>妙法白笠</x:v>
      </x:c>
      <x:c r="B1807" s="55" t="str">
        <x:v>—</x:v>
      </x:c>
      <x:c r="C1807" s="55" t="str">
        <x:v>—</x:v>
      </x:c>
      <x:c r="D1807" s="55" t="str">
        <x:v>—</x:v>
      </x:c>
      <x:c r="E1807" s="55" t="inlineStr">
        <x:is>
          <x:t>煉獄僧裝錦囊（網站未列地圖）；魔天僧裝錦囊（網站未列地圖）；赦世驃騎（寒愴冰獄、奈落紅川、荒禍殘墟）</x:t>
        </x:is>
      </x:c>
    </x:row>
    <x:row r="1808" ht="30" customHeight="1">
      <x:c r="A1808" s="55" t="str">
        <x:v>蒼烈戰盔</x:v>
      </x:c>
      <x:c r="B1808" s="55" t="str">
        <x:v>—</x:v>
      </x:c>
      <x:c r="C1808" s="55" t="str">
        <x:v>—</x:v>
      </x:c>
      <x:c r="D1808" s="55" t="str">
        <x:v>—</x:v>
      </x:c>
      <x:c r="E1808" s="55" t="inlineStr">
        <x:is>
          <x:t>魔天劍裝錦囊（網站未列地圖）；波斯戰駱（真知寺、萬識聖宮）；華錦戰駝（網站未列地圖）；黃漠力駝（網站未列地圖）；龍磐帝蠻（吐蕃集鎮、香格里拉聖路、香格里拉神廟、天授之間）；凍界蠻王（網站未列地圖）</x:t>
        </x:is>
      </x:c>
    </x:row>
    <x:row r="1809" ht="15" customHeight="1">
      <x:c r="A1809" s="55" t="str">
        <x:v>龍魔鱗盔</x:v>
      </x:c>
      <x:c r="B1809" s="55" t="str">
        <x:v>—</x:v>
      </x:c>
      <x:c r="C1809" s="55" t="str">
        <x:v>—</x:v>
      </x:c>
      <x:c r="D1809" s="55" t="str">
        <x:v>—</x:v>
      </x:c>
      <x:c r="E1809" s="55" t="inlineStr">
        <x:is>
          <x:t>魔天勇裝錦囊（網站未列地圖）；波斯戰士（止戰邊境）</x:t>
        </x:is>
      </x:c>
    </x:row>
    <x:row r="1810" ht="15" customHeight="1">
      <x:c r="A1810" s="55" t="str">
        <x:v>阿鼻邪首</x:v>
      </x:c>
      <x:c r="B1810" s="55" t="str">
        <x:v>—</x:v>
      </x:c>
      <x:c r="C1810" s="55" t="str">
        <x:v>—</x:v>
      </x:c>
      <x:c r="D1810" s="55" t="str">
        <x:v>—</x:v>
      </x:c>
      <x:c r="E1810" s="55" t="inlineStr">
        <x:is>
          <x:t>魔天術裝錦囊（網站未列地圖）</x:t>
        </x:is>
      </x:c>
    </x:row>
    <x:row r="1811" ht="15" customHeight="1">
      <x:c r="A1811" s="55" t="str">
        <x:v>玉清玄冠</x:v>
      </x:c>
      <x:c r="B1811" s="55" t="str">
        <x:v>—</x:v>
      </x:c>
      <x:c r="C1811" s="55" t="str">
        <x:v>—</x:v>
      </x:c>
      <x:c r="D1811" s="55" t="str">
        <x:v>—</x:v>
      </x:c>
      <x:c r="E1811" s="55" t="inlineStr">
        <x:is>
          <x:t>魔天道裝錦囊（網站未列地圖）；風之精靈（止戰邊境、靜默之丘）</x:t>
        </x:is>
      </x:c>
    </x:row>
    <x:row r="1812" ht="30" customHeight="1">
      <x:c r="A1812" s="55" t="str">
        <x:v>轉輪法頂</x:v>
      </x:c>
      <x:c r="B1812" s="55" t="str">
        <x:v>—</x:v>
      </x:c>
      <x:c r="C1812" s="55" t="str">
        <x:v>—</x:v>
      </x:c>
      <x:c r="D1812" s="55" t="str">
        <x:v>—</x:v>
      </x:c>
      <x:c r="E1812" s="55" t="inlineStr">
        <x:is>
          <x:t>魔天僧裝錦囊（網站未列地圖）；騰湧之水（飛簷頂徑、波斯西市、法誡參道）；[騰湧之水]（網站未列地圖）；掀濤水妖（網站未列地圖）；天戮三滅視（香格里拉聖路）</x:t>
        </x:is>
      </x:c>
    </x:row>
    <x:row r="1813" ht="60" customHeight="1">
      <x:c r="A1813" s="55" t="str">
        <x:v>穹蒼無極限</x:v>
      </x:c>
      <x:c r="B1813" s="55" t="str">
        <x:v>—</x:v>
      </x:c>
      <x:c r="C1813" s="55" t="str">
        <x:v>—</x:v>
      </x:c>
      <x:c r="D1813" s="55" t="str">
        <x:v>蒼天戰盔配方</x:v>
      </x:c>
      <x:c r="E1813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鎮祠蒼翼（托勒密山麓）；虛行影虎（終末之塔第76層）</x:t>
        </x:is>
      </x:c>
    </x:row>
    <x:row r="1814" ht="30" customHeight="1">
      <x:c r="A1814" s="55" t="str">
        <x:v>月讀神紗巾</x:v>
      </x:c>
      <x:c r="B1814" s="55" t="str">
        <x:v>—</x:v>
      </x:c>
      <x:c r="C1814" s="55" t="str">
        <x:v>—</x:v>
      </x:c>
      <x:c r="D1814" s="55" t="str">
        <x:v>東瀛神紗配方</x:v>
      </x:c>
      <x:c r="E1814" s="55" t="inlineStr">
        <x:is>
          <x:t>東瀛幻甲錦囊（網站未列地圖）；漠影翼蛇（古翰大沙漠）；虛無真知士（終末之塔第51層）；大滅霸（終末之塔第25層、終末之塔第27層）；峽谷矮靈（終末之塔第41層、終末之塔第42層）</x:t>
        </x:is>
      </x:c>
    </x:row>
    <x:row r="1815" ht="15" customHeight="1">
      <x:c r="A1815" s="55" t="str">
        <x:v>墨武禦巾</x:v>
      </x:c>
      <x:c r="B1815" s="55" t="str">
        <x:v>—</x:v>
      </x:c>
      <x:c r="C1815" s="55" t="str">
        <x:v>—</x:v>
      </x:c>
      <x:c r="D1815" s="55" t="str">
        <x:v>—</x:v>
      </x:c>
      <x:c r="E1815" s="55" t="inlineStr">
        <x:is>
          <x:t>天都劍裝錦囊（網站未列地圖）；土之精靈（止戰邊境、血鴉嶺）</x:t>
        </x:is>
      </x:c>
    </x:row>
    <x:row r="1816" ht="15" customHeight="1">
      <x:c r="A1816" s="55" t="str">
        <x:v>耀宇鬥盔</x:v>
      </x:c>
      <x:c r="B1816" s="55" t="str">
        <x:v>—</x:v>
      </x:c>
      <x:c r="C1816" s="55" t="str">
        <x:v>—</x:v>
      </x:c>
      <x:c r="D1816" s="55" t="str">
        <x:v>—</x:v>
      </x:c>
      <x:c r="E1816" s="55" t="inlineStr">
        <x:is>
          <x:t>天都勇裝錦囊（網站未列地圖）；聖十字軍（靜默之丘、擎空壁壘、獅堡軍事區）；鋼冑聖騎（網站未列地圖）</x:t>
        </x:is>
      </x:c>
    </x:row>
    <x:row r="1817" ht="15" customHeight="1">
      <x:c r="A1817" s="55" t="str">
        <x:v>天鏡幽披</x:v>
      </x:c>
      <x:c r="B1817" s="55" t="str">
        <x:v>—</x:v>
      </x:c>
      <x:c r="C1817" s="55" t="str">
        <x:v>—</x:v>
      </x:c>
      <x:c r="D1817" s="55" t="str">
        <x:v>—</x:v>
      </x:c>
      <x:c r="E1817" s="55" t="inlineStr">
        <x:is>
          <x:t>天都術裝錦囊（網站未列地圖）；真知聖御將（法誡參道、真知寺、萬識聖宮）</x:t>
        </x:is>
      </x:c>
    </x:row>
    <x:row r="1818" ht="15" customHeight="1">
      <x:c r="A1818" s="55" t="str">
        <x:v>納真道冠</x:v>
      </x:c>
      <x:c r="B1818" s="55" t="str">
        <x:v>—</x:v>
      </x:c>
      <x:c r="C1818" s="55" t="str">
        <x:v>—</x:v>
      </x:c>
      <x:c r="D1818" s="55" t="str">
        <x:v>—</x:v>
      </x:c>
      <x:c r="E1818" s="55" t="inlineStr">
        <x:is>
          <x:t>天都道裝錦囊（網站未列地圖）；水之精靈（豐穗平原、血鴉嶺）</x:t>
        </x:is>
      </x:c>
    </x:row>
    <x:row r="1819" ht="15" customHeight="1">
      <x:c r="A1819" s="55" t="str">
        <x:v>三千法幔</x:v>
      </x:c>
      <x:c r="B1819" s="55" t="str">
        <x:v>—</x:v>
      </x:c>
      <x:c r="C1819" s="55" t="str">
        <x:v>—</x:v>
      </x:c>
      <x:c r="D1819" s="55" t="str">
        <x:v>—</x:v>
      </x:c>
      <x:c r="E1819" s="55" t="inlineStr">
        <x:is>
          <x:t>天都僧裝錦囊（網站未列地圖）；冷血狂蜥（血鴉嶺、靜默之丘、獅堡軍事區）</x:t>
        </x:is>
      </x:c>
    </x:row>
    <x:row r="1820" ht="15" customHeight="1">
      <x:c r="A1820" s="55" t="str">
        <x:v>南日碟兜</x:v>
      </x:c>
      <x:c r="B1820" s="55" t="str">
        <x:v>—</x:v>
      </x:c>
      <x:c r="C1820" s="55" t="str">
        <x:v>—</x:v>
      </x:c>
      <x:c r="D1820" s="55" t="str">
        <x:v>—</x:v>
      </x:c>
      <x:c r="E1820" s="55" t="inlineStr">
        <x:is>
          <x:t>問頂劍裝錦囊（網站未列地圖）；獅堡聖騎士（網站未列地圖）；神耀十字軍（凱旋廣場、聖禱天廳）</x:t>
        </x:is>
      </x:c>
    </x:row>
    <x:row r="1821" ht="15" customHeight="1">
      <x:c r="A1821" s="55" t="str">
        <x:v>古茹霸首</x:v>
      </x:c>
      <x:c r="B1821" s="55" t="str">
        <x:v>—</x:v>
      </x:c>
      <x:c r="C1821" s="55" t="str">
        <x:v>—</x:v>
      </x:c>
      <x:c r="D1821" s="55" t="str">
        <x:v>—</x:v>
      </x:c>
      <x:c r="E1821" s="55" t="inlineStr">
        <x:is>
          <x:t>問頂勇裝錦囊（網站未列地圖）</x:t>
        </x:is>
      </x:c>
    </x:row>
    <x:row r="1822" ht="15" customHeight="1">
      <x:c r="A1822" s="55" t="str">
        <x:v>穆赤祭面</x:v>
      </x:c>
      <x:c r="B1822" s="55" t="str">
        <x:v>—</x:v>
      </x:c>
      <x:c r="C1822" s="55" t="str">
        <x:v>—</x:v>
      </x:c>
      <x:c r="D1822" s="55" t="str">
        <x:v>—</x:v>
      </x:c>
      <x:c r="E1822" s="55" t="inlineStr">
        <x:is>
          <x:t>問頂術裝錦囊（網站未列地圖）</x:t>
        </x:is>
      </x:c>
    </x:row>
    <x:row r="1823" ht="15" customHeight="1">
      <x:c r="A1823" s="55" t="str">
        <x:v>朗達瑪冠</x:v>
      </x:c>
      <x:c r="B1823" s="55" t="str">
        <x:v>—</x:v>
      </x:c>
      <x:c r="C1823" s="55" t="str">
        <x:v>—</x:v>
      </x:c>
      <x:c r="D1823" s="55" t="str">
        <x:v>—</x:v>
      </x:c>
      <x:c r="E1823" s="55" t="inlineStr">
        <x:is>
          <x:t>問頂道裝錦囊（網站未列地圖）</x:t>
        </x:is>
      </x:c>
    </x:row>
    <x:row r="1824" ht="15" customHeight="1">
      <x:c r="A1824" s="55" t="str">
        <x:v>牟如禪帽</x:v>
      </x:c>
      <x:c r="B1824" s="55" t="str">
        <x:v>—</x:v>
      </x:c>
      <x:c r="C1824" s="55" t="str">
        <x:v>—</x:v>
      </x:c>
      <x:c r="D1824" s="55" t="str">
        <x:v>—</x:v>
      </x:c>
      <x:c r="E1824" s="55" t="inlineStr">
        <x:is>
          <x:t>問頂僧裝錦囊（網站未列地圖）；原始土靈（獅堡軍事區）</x:t>
        </x:is>
      </x:c>
    </x:row>
    <x:row r="1825" ht="30" customHeight="1">
      <x:c r="A1825" s="55" t="str">
        <x:v>參天神律盔</x:v>
      </x:c>
      <x:c r="B1825" s="55" t="str">
        <x:v>—</x:v>
      </x:c>
      <x:c r="C1825" s="55" t="str">
        <x:v>—</x:v>
      </x:c>
      <x:c r="D1825" s="55" t="str">
        <x:v>天宇戰盔配方</x:v>
      </x:c>
      <x:c r="E1825" s="55" t="inlineStr">
        <x:is>
          <x:t>宇宙神裝錦囊（網站未列地圖）；新‧玄冑之核（網站未列地圖）；玄冑之核（網站未列地圖）；萬炎殺顱（朱雀南殿）</x:t>
        </x:is>
      </x:c>
    </x:row>
    <x:row r="1826" ht="15" customHeight="1">
      <x:c r="A1826" s="55" t="str">
        <x:v>月讀紗巾‧絕</x:v>
      </x:c>
      <x:c r="B1826" s="55" t="str">
        <x:v>—</x:v>
      </x:c>
      <x:c r="C1826" s="55" t="str">
        <x:v>—</x:v>
      </x:c>
      <x:c r="D1826" s="55" t="str">
        <x:v>—</x:v>
      </x:c>
      <x:c r="E1826" s="55" t="inlineStr">
        <x:is>
          <x:t>東瀛絕甲錦囊（網站未列地圖）；無序燭陰（終末之塔第65層、終末之塔第66層）</x:t>
        </x:is>
      </x:c>
    </x:row>
    <x:row r="1827" ht="15" customHeight="1">
      <x:c r="A1827" s="55" t="str">
        <x:v>軍星武盔</x:v>
      </x:c>
      <x:c r="B1827" s="55" t="str">
        <x:v>—</x:v>
      </x:c>
      <x:c r="C1827" s="55" t="str">
        <x:v>—</x:v>
      </x:c>
      <x:c r="D1827" s="55" t="str">
        <x:v>—</x:v>
      </x:c>
      <x:c r="E1827" s="55" t="inlineStr">
        <x:is>
          <x:t>聖魔勇裝錦囊（網站未列地圖）</x:t>
        </x:is>
      </x:c>
    </x:row>
    <x:row r="1828" ht="15" customHeight="1">
      <x:c r="A1828" s="55" t="str">
        <x:v>鐵星武盔</x:v>
      </x:c>
      <x:c r="B1828" s="55" t="str">
        <x:v>—</x:v>
      </x:c>
      <x:c r="C1828" s="55" t="str">
        <x:v>—</x:v>
      </x:c>
      <x:c r="D1828" s="55" t="str">
        <x:v>—</x:v>
      </x:c>
      <x:c r="E1828" s="55" t="inlineStr">
        <x:is>
          <x:t>聖魔勇裝錦囊（網站未列地圖）</x:t>
        </x:is>
      </x:c>
    </x:row>
    <x:row r="1829" ht="15" customHeight="1">
      <x:c r="A1829" s="55" t="str">
        <x:v>武星武盔</x:v>
      </x:c>
      <x:c r="B1829" s="55" t="str">
        <x:v>—</x:v>
      </x:c>
      <x:c r="C1829" s="55" t="str">
        <x:v>—</x:v>
      </x:c>
      <x:c r="D1829" s="55" t="str">
        <x:v>—</x:v>
      </x:c>
      <x:c r="E1829" s="55" t="inlineStr">
        <x:is>
          <x:t>聖魔勇裝錦囊（網站未列地圖）</x:t>
        </x:is>
      </x:c>
    </x:row>
    <x:row r="1830" ht="15" customHeight="1">
      <x:c r="A1830" s="55" t="str">
        <x:v>赫煉戰盔</x:v>
      </x:c>
      <x:c r="B1830" s="55" t="str">
        <x:v>—</x:v>
      </x:c>
      <x:c r="C1830" s="55" t="str">
        <x:v>—</x:v>
      </x:c>
      <x:c r="D1830" s="55" t="str">
        <x:v>—</x:v>
      </x:c>
      <x:c r="E1830" s="55" t="inlineStr">
        <x:is>
          <x:t>聖魔劍裝錦囊（網站未列地圖）</x:t>
        </x:is>
      </x:c>
    </x:row>
    <x:row r="1831" ht="15" customHeight="1">
      <x:c r="A1831" s="55" t="str">
        <x:v>浩煉戰盔</x:v>
      </x:c>
      <x:c r="B1831" s="55" t="str">
        <x:v>—</x:v>
      </x:c>
      <x:c r="C1831" s="55" t="str">
        <x:v>—</x:v>
      </x:c>
      <x:c r="D1831" s="55" t="str">
        <x:v>—</x:v>
      </x:c>
      <x:c r="E1831" s="55" t="inlineStr">
        <x:is>
          <x:t>聖魔劍裝錦囊（網站未列地圖）</x:t>
        </x:is>
      </x:c>
    </x:row>
    <x:row r="1832" ht="15" customHeight="1">
      <x:c r="A1832" s="55" t="str">
        <x:v>騰煉戰盔</x:v>
      </x:c>
      <x:c r="B1832" s="55" t="str">
        <x:v>—</x:v>
      </x:c>
      <x:c r="C1832" s="55" t="str">
        <x:v>—</x:v>
      </x:c>
      <x:c r="D1832" s="55" t="str">
        <x:v>—</x:v>
      </x:c>
      <x:c r="E1832" s="55" t="inlineStr">
        <x:is>
          <x:t>聖魔劍裝錦囊（網站未列地圖）</x:t>
        </x:is>
      </x:c>
    </x:row>
    <x:row r="1833" ht="15" customHeight="1">
      <x:c r="A1833" s="55" t="str">
        <x:v>六虛綸巾</x:v>
      </x:c>
      <x:c r="B1833" s="55" t="str">
        <x:v>—</x:v>
      </x:c>
      <x:c r="C1833" s="55" t="str">
        <x:v>—</x:v>
      </x:c>
      <x:c r="D1833" s="55" t="str">
        <x:v>—</x:v>
      </x:c>
      <x:c r="E1833" s="55" t="inlineStr">
        <x:is>
          <x:t>聖魔術裝錦囊（網站未列地圖）</x:t>
        </x:is>
      </x:c>
    </x:row>
    <x:row r="1834" ht="15" customHeight="1">
      <x:c r="A1834" s="55" t="str">
        <x:v>碧虛綸巾</x:v>
      </x:c>
      <x:c r="B1834" s="55" t="str">
        <x:v>—</x:v>
      </x:c>
      <x:c r="C1834" s="55" t="str">
        <x:v>—</x:v>
      </x:c>
      <x:c r="D1834" s="55" t="str">
        <x:v>—</x:v>
      </x:c>
      <x:c r="E1834" s="55" t="inlineStr">
        <x:is>
          <x:t>聖魔術裝錦囊（網站未列地圖）</x:t>
        </x:is>
      </x:c>
    </x:row>
    <x:row r="1835" ht="15" customHeight="1">
      <x:c r="A1835" s="55" t="str">
        <x:v>太虛綸巾</x:v>
      </x:c>
      <x:c r="B1835" s="55" t="str">
        <x:v>—</x:v>
      </x:c>
      <x:c r="C1835" s="55" t="str">
        <x:v>—</x:v>
      </x:c>
      <x:c r="D1835" s="55" t="str">
        <x:v>—</x:v>
      </x:c>
      <x:c r="E1835" s="55" t="inlineStr">
        <x:is>
          <x:t>聖魔術裝錦囊（網站未列地圖）</x:t>
        </x:is>
      </x:c>
    </x:row>
    <x:row r="1836" ht="15" customHeight="1">
      <x:c r="A1836" s="55" t="str">
        <x:v>鴻緒道冠</x:v>
      </x:c>
      <x:c r="B1836" s="55" t="str">
        <x:v>—</x:v>
      </x:c>
      <x:c r="C1836" s="55" t="str">
        <x:v>—</x:v>
      </x:c>
      <x:c r="D1836" s="55" t="str">
        <x:v>—</x:v>
      </x:c>
      <x:c r="E1836" s="55" t="inlineStr">
        <x:is>
          <x:t>聖魔道裝錦囊（網站未列地圖）</x:t>
        </x:is>
      </x:c>
    </x:row>
    <x:row r="1837" ht="15" customHeight="1">
      <x:c r="A1837" s="55" t="str">
        <x:v>明緒道冠</x:v>
      </x:c>
      <x:c r="B1837" s="55" t="str">
        <x:v>—</x:v>
      </x:c>
      <x:c r="C1837" s="55" t="str">
        <x:v>—</x:v>
      </x:c>
      <x:c r="D1837" s="55" t="str">
        <x:v>—</x:v>
      </x:c>
      <x:c r="E1837" s="55" t="inlineStr">
        <x:is>
          <x:t>聖魔道裝錦囊（網站未列地圖）</x:t>
        </x:is>
      </x:c>
    </x:row>
    <x:row r="1838" ht="15" customHeight="1">
      <x:c r="A1838" s="55" t="str">
        <x:v>正緒道冠</x:v>
      </x:c>
      <x:c r="B1838" s="55" t="str">
        <x:v>—</x:v>
      </x:c>
      <x:c r="C1838" s="55" t="str">
        <x:v>—</x:v>
      </x:c>
      <x:c r="D1838" s="55" t="str">
        <x:v>—</x:v>
      </x:c>
      <x:c r="E1838" s="55" t="inlineStr">
        <x:is>
          <x:t>聖魔道裝錦囊（網站未列地圖）</x:t>
        </x:is>
      </x:c>
    </x:row>
    <x:row r="1839" ht="15" customHeight="1">
      <x:c r="A1839" s="55" t="str">
        <x:v>定恆禪帽</x:v>
      </x:c>
      <x:c r="B1839" s="55" t="str">
        <x:v>—</x:v>
      </x:c>
      <x:c r="C1839" s="55" t="str">
        <x:v>—</x:v>
      </x:c>
      <x:c r="D1839" s="55" t="str">
        <x:v>—</x:v>
      </x:c>
      <x:c r="E1839" s="55" t="inlineStr">
        <x:is>
          <x:t>聖魔僧裝錦囊（網站未列地圖）</x:t>
        </x:is>
      </x:c>
    </x:row>
    <x:row r="1840" ht="15" customHeight="1">
      <x:c r="A1840" s="55" t="str">
        <x:v>常恆禪帽</x:v>
      </x:c>
      <x:c r="B1840" s="55" t="str">
        <x:v>—</x:v>
      </x:c>
      <x:c r="C1840" s="55" t="str">
        <x:v>—</x:v>
      </x:c>
      <x:c r="D1840" s="55" t="str">
        <x:v>—</x:v>
      </x:c>
      <x:c r="E1840" s="55" t="inlineStr">
        <x:is>
          <x:t>聖魔僧裝錦囊（網站未列地圖）</x:t>
        </x:is>
      </x:c>
    </x:row>
    <x:row r="1841" ht="15" customHeight="1">
      <x:c r="A1841" s="55" t="str">
        <x:v>念恆禪帽</x:v>
      </x:c>
      <x:c r="B1841" s="55" t="str">
        <x:v>—</x:v>
      </x:c>
      <x:c r="C1841" s="55" t="str">
        <x:v>—</x:v>
      </x:c>
      <x:c r="D1841" s="55" t="str">
        <x:v>—</x:v>
      </x:c>
      <x:c r="E1841" s="55" t="inlineStr">
        <x:is>
          <x:t>聖魔僧裝錦囊（網站未列地圖）</x:t>
        </x:is>
      </x:c>
    </x:row>
    <x:row r="1842" ht="15" customHeight="1">
      <x:c r="A1842" s="55" t="str">
        <x:v>希亞劍巾</x:v>
      </x:c>
      <x:c r="B1842" s="55" t="str">
        <x:v>—</x:v>
      </x:c>
      <x:c r="C1842" s="55" t="str">
        <x:v>—</x:v>
      </x:c>
      <x:c r="D1842" s="55" t="str">
        <x:v>—</x:v>
      </x:c>
      <x:c r="E1842" s="55" t="inlineStr">
        <x:is>
          <x:t>波斯劍裝錦囊（網站未列地圖）；墮真劍仙（繚空碎島、飛雲忘野）</x:t>
        </x:is>
      </x:c>
    </x:row>
    <x:row r="1843" ht="15" customHeight="1">
      <x:c r="A1843" s="55" t="str">
        <x:v>花剌鋼盔</x:v>
      </x:c>
      <x:c r="B1843" s="55" t="str">
        <x:v>—</x:v>
      </x:c>
      <x:c r="C1843" s="55" t="str">
        <x:v>—</x:v>
      </x:c>
      <x:c r="D1843" s="55" t="str">
        <x:v>—</x:v>
      </x:c>
      <x:c r="E1843" s="55" t="inlineStr">
        <x:is>
          <x:t>波斯勇裝錦囊（網站未列地圖）；神土領主（凱旋廣場、聖禱天廳）</x:t>
        </x:is>
      </x:c>
    </x:row>
    <x:row r="1844" ht="15" customHeight="1">
      <x:c r="A1844" s="55" t="str">
        <x:v>波斯彩幔</x:v>
      </x:c>
      <x:c r="B1844" s="55" t="str">
        <x:v>—</x:v>
      </x:c>
      <x:c r="C1844" s="55" t="str">
        <x:v>—</x:v>
      </x:c>
      <x:c r="D1844" s="55" t="str">
        <x:v>—</x:v>
      </x:c>
      <x:c r="E1844" s="55" t="inlineStr">
        <x:is>
          <x:t>波斯術裝錦囊（網站未列地圖）；霸戰獅王（聖禱天廳）</x:t>
        </x:is>
      </x:c>
    </x:row>
    <x:row r="1845" ht="15" customHeight="1">
      <x:c r="A1845" s="55" t="str">
        <x:v>薩珊修冠</x:v>
      </x:c>
      <x:c r="B1845" s="55" t="str">
        <x:v>—</x:v>
      </x:c>
      <x:c r="C1845" s="55" t="str">
        <x:v>—</x:v>
      </x:c>
      <x:c r="D1845" s="55" t="str">
        <x:v>—</x:v>
      </x:c>
      <x:c r="E1845" s="55" t="inlineStr">
        <x:is>
          <x:t>波斯道裝錦囊（網站未列地圖）；煉獄魔梟（凱旋廣場、聖禱天廳）</x:t>
        </x:is>
      </x:c>
    </x:row>
    <x:row r="1846" ht="15" customHeight="1">
      <x:c r="A1846" s="55" t="str">
        <x:v>兩河釋斗</x:v>
      </x:c>
      <x:c r="B1846" s="55" t="str">
        <x:v>—</x:v>
      </x:c>
      <x:c r="C1846" s="55" t="str">
        <x:v>—</x:v>
      </x:c>
      <x:c r="D1846" s="55" t="str">
        <x:v>—</x:v>
      </x:c>
      <x:c r="E1846" s="55" t="inlineStr">
        <x:is>
          <x:t>波斯僧裝錦囊（網站未列地圖）；闇夜死神（擎空壁壘）</x:t>
        </x:is>
      </x:c>
    </x:row>
    <x:row r="1847" ht="15" customHeight="1">
      <x:c r="A1847" s="55" t="str">
        <x:v>天揚首衛</x:v>
      </x:c>
      <x:c r="B1847" s="55" t="str">
        <x:v>—</x:v>
      </x:c>
      <x:c r="C1847" s="55" t="str">
        <x:v>—</x:v>
      </x:c>
      <x:c r="D1847" s="55" t="str">
        <x:v>—</x:v>
      </x:c>
      <x:c r="E1847" s="55" t="inlineStr">
        <x:is>
          <x:t>驍武劍裝錦囊（網站未列地圖）；朝天妖道（飛雲忘野）</x:t>
        </x:is>
      </x:c>
    </x:row>
    <x:row r="1848" ht="15" customHeight="1">
      <x:c r="A1848" s="55" t="str">
        <x:v>鎢銀戰盔</x:v>
      </x:c>
      <x:c r="B1848" s="55" t="str">
        <x:v>—</x:v>
      </x:c>
      <x:c r="C1848" s="55" t="str">
        <x:v>—</x:v>
      </x:c>
      <x:c r="D1848" s="55" t="str">
        <x:v>—</x:v>
      </x:c>
      <x:c r="E1848" s="55" t="inlineStr">
        <x:is>
          <x:t>驍武勇裝錦囊（網站未列地圖）</x:t>
        </x:is>
      </x:c>
    </x:row>
    <x:row r="1849" ht="15" customHeight="1">
      <x:c r="A1849" s="55" t="str">
        <x:v>逐浪羽巾</x:v>
      </x:c>
      <x:c r="B1849" s="55" t="str">
        <x:v>—</x:v>
      </x:c>
      <x:c r="C1849" s="55" t="str">
        <x:v>—</x:v>
      </x:c>
      <x:c r="D1849" s="55" t="str">
        <x:v>—</x:v>
      </x:c>
      <x:c r="E1849" s="55" t="inlineStr">
        <x:is>
          <x:t>驍武術裝錦囊（網站未列地圖）</x:t>
        </x:is>
      </x:c>
    </x:row>
    <x:row r="1850" ht="15" customHeight="1">
      <x:c r="A1850" s="55" t="str">
        <x:v>星儀天幔</x:v>
      </x:c>
      <x:c r="B1850" s="55" t="str">
        <x:v>—</x:v>
      </x:c>
      <x:c r="C1850" s="55" t="str">
        <x:v>—</x:v>
      </x:c>
      <x:c r="D1850" s="55" t="str">
        <x:v>—</x:v>
      </x:c>
      <x:c r="E1850" s="55" t="inlineStr">
        <x:is>
          <x:t>驍武道裝錦囊（網站未列地圖）</x:t>
        </x:is>
      </x:c>
    </x:row>
    <x:row r="1851" ht="15" customHeight="1">
      <x:c r="A1851" s="55" t="str">
        <x:v>智法禪帽</x:v>
      </x:c>
      <x:c r="B1851" s="55" t="str">
        <x:v>—</x:v>
      </x:c>
      <x:c r="C1851" s="55" t="str">
        <x:v>—</x:v>
      </x:c>
      <x:c r="D1851" s="55" t="str">
        <x:v>—</x:v>
      </x:c>
      <x:c r="E1851" s="55" t="inlineStr">
        <x:is>
          <x:t>驍武僧裝錦囊（網站未列地圖）</x:t>
        </x:is>
      </x:c>
    </x:row>
    <x:row r="1852" ht="15" customHeight="1">
      <x:c r="A1852" s="55" t="str">
        <x:v>圓桌戰盔</x:v>
      </x:c>
      <x:c r="B1852" s="55" t="str">
        <x:v>—</x:v>
      </x:c>
      <x:c r="C1852" s="55" t="str">
        <x:v>—</x:v>
      </x:c>
      <x:c r="D1852" s="55" t="str">
        <x:v>—</x:v>
      </x:c>
      <x:c r="E1852" s="55" t="inlineStr">
        <x:is>
          <x:t>帝國劍裝錦囊（網站未列地圖）</x:t>
        </x:is>
      </x:c>
    </x:row>
    <x:row r="1853" ht="15" customHeight="1">
      <x:c r="A1853" s="55" t="str">
        <x:v>獅王鋼盔</x:v>
      </x:c>
      <x:c r="B1853" s="55" t="str">
        <x:v>—</x:v>
      </x:c>
      <x:c r="C1853" s="55" t="str">
        <x:v>—</x:v>
      </x:c>
      <x:c r="D1853" s="55" t="str">
        <x:v>—</x:v>
      </x:c>
      <x:c r="E1853" s="55" t="inlineStr">
        <x:is>
          <x:t>帝國勇裝錦囊（網站未列地圖）</x:t>
        </x:is>
      </x:c>
    </x:row>
    <x:row r="1854" ht="15" customHeight="1">
      <x:c r="A1854" s="55" t="str">
        <x:v>夜龍羽帽</x:v>
      </x:c>
      <x:c r="B1854" s="55" t="str">
        <x:v>—</x:v>
      </x:c>
      <x:c r="C1854" s="55" t="str">
        <x:v>—</x:v>
      </x:c>
      <x:c r="D1854" s="55" t="str">
        <x:v>—</x:v>
      </x:c>
      <x:c r="E1854" s="55" t="inlineStr">
        <x:is>
          <x:t>帝國術裝錦囊（網站未列地圖）；雲蛟巨將（九霄天樓）</x:t>
        </x:is>
      </x:c>
    </x:row>
    <x:row r="1855" ht="15" customHeight="1">
      <x:c r="A1855" s="55" t="str">
        <x:v>沐聖道罩</x:v>
      </x:c>
      <x:c r="B1855" s="55" t="str">
        <x:v>—</x:v>
      </x:c>
      <x:c r="C1855" s="55" t="str">
        <x:v>—</x:v>
      </x:c>
      <x:c r="D1855" s="55" t="str">
        <x:v>—</x:v>
      </x:c>
      <x:c r="E1855" s="55" t="inlineStr">
        <x:is>
          <x:t>帝國道裝錦囊（網站未列地圖）</x:t>
        </x:is>
      </x:c>
    </x:row>
    <x:row r="1856" ht="15" customHeight="1">
      <x:c r="A1856" s="55" t="str">
        <x:v>典儀禪帽</x:v>
      </x:c>
      <x:c r="B1856" s="55" t="str">
        <x:v>—</x:v>
      </x:c>
      <x:c r="C1856" s="55" t="str">
        <x:v>—</x:v>
      </x:c>
      <x:c r="D1856" s="55" t="str">
        <x:v>—</x:v>
      </x:c>
      <x:c r="E1856" s="55" t="inlineStr">
        <x:is>
          <x:t>帝國僧裝錦囊（網站未列地圖）</x:t>
        </x:is>
      </x:c>
    </x:row>
    <x:row r="1857" ht="15" customHeight="1">
      <x:c r="A1857" s="55" t="str">
        <x:v>龍閣戰盔</x:v>
      </x:c>
      <x:c r="B1857" s="55" t="str">
        <x:v>—</x:v>
      </x:c>
      <x:c r="C1857" s="55" t="str">
        <x:v>—</x:v>
      </x:c>
      <x:c r="D1857" s="55" t="str">
        <x:v>—</x:v>
      </x:c>
      <x:c r="E1857" s="55" t="inlineStr">
        <x:is>
          <x:t>歐帝劍裝錦囊（網站未列地圖）</x:t>
        </x:is>
      </x:c>
    </x:row>
    <x:row r="1858" ht="15" customHeight="1">
      <x:c r="A1858" s="55" t="str">
        <x:v>聖皇鋼盔</x:v>
      </x:c>
      <x:c r="B1858" s="55" t="str">
        <x:v>—</x:v>
      </x:c>
      <x:c r="C1858" s="55" t="str">
        <x:v>—</x:v>
      </x:c>
      <x:c r="D1858" s="55" t="str">
        <x:v>—</x:v>
      </x:c>
      <x:c r="E1858" s="55" t="inlineStr">
        <x:is>
          <x:t>歐帝勇裝錦囊（網站未列地圖）；怒雷尊者（飛雲忘野、橫劍天關、仙庭玉階）</x:t>
        </x:is>
      </x:c>
    </x:row>
    <x:row r="1859" ht="15" customHeight="1">
      <x:c r="A1859" s="55" t="str">
        <x:v>魔滅輕巾</x:v>
      </x:c>
      <x:c r="B1859" s="55" t="str">
        <x:v>—</x:v>
      </x:c>
      <x:c r="C1859" s="55" t="str">
        <x:v>—</x:v>
      </x:c>
      <x:c r="D1859" s="55" t="str">
        <x:v>—</x:v>
      </x:c>
      <x:c r="E1859" s="55" t="inlineStr">
        <x:is>
          <x:t>歐帝術裝錦囊（網站未列地圖）；饕餮（飛雲忘野、橫劍天關、仙庭玉階）</x:t>
        </x:is>
      </x:c>
    </x:row>
    <x:row r="1860" ht="15" customHeight="1">
      <x:c r="A1860" s="55" t="str">
        <x:v>聖庇道冠</x:v>
      </x:c>
      <x:c r="B1860" s="55" t="str">
        <x:v>—</x:v>
      </x:c>
      <x:c r="C1860" s="55" t="str">
        <x:v>—</x:v>
      </x:c>
      <x:c r="D1860" s="55" t="str">
        <x:v>—</x:v>
      </x:c>
      <x:c r="E1860" s="55" t="inlineStr">
        <x:is>
          <x:t>歐帝道裝錦囊（網站未列地圖）</x:t>
        </x:is>
      </x:c>
    </x:row>
    <x:row r="1861" ht="15" customHeight="1">
      <x:c r="A1861" s="55" t="str">
        <x:v>天導禪帽</x:v>
      </x:c>
      <x:c r="B1861" s="55" t="str">
        <x:v>—</x:v>
      </x:c>
      <x:c r="C1861" s="55" t="str">
        <x:v>—</x:v>
      </x:c>
      <x:c r="D1861" s="55" t="str">
        <x:v>—</x:v>
      </x:c>
      <x:c r="E1861" s="55" t="inlineStr">
        <x:is>
          <x:t>歐帝僧裝錦囊（網站未列地圖）</x:t>
        </x:is>
      </x:c>
    </x:row>
    <x:row r="1862" ht="30" customHeight="1">
      <x:c r="A1862" s="55" t="str">
        <x:v>參天真神律盔</x:v>
      </x:c>
      <x:c r="B1862" s="55" t="str">
        <x:v>—</x:v>
      </x:c>
      <x:c r="C1862" s="55" t="str">
        <x:v>—</x:v>
      </x:c>
      <x:c r="D1862" s="55" t="str">
        <x:v>—</x:v>
      </x:c>
      <x:c r="E1862" s="55" t="inlineStr">
        <x:is>
          <x:t>真‧宇宙神裝錦囊（網站未列地圖）；新‧玄冑之核（網站未列地圖）；庫努牡（荷魯斯聖祠）；虛念頭陀（終末之塔第99層）</x:t>
        </x:is>
      </x:c>
    </x:row>
    <x:row r="1863" ht="30" customHeight="1">
      <x:c r="A1863" s="55" t="str">
        <x:v>月讀紗巾‧帝</x:v>
      </x:c>
      <x:c r="B1863" s="55" t="str">
        <x:v>—</x:v>
      </x:c>
      <x:c r="C1863" s="55" t="str">
        <x:v>—</x:v>
      </x:c>
      <x:c r="D1863" s="55" t="str">
        <x:v>東瀛帝紗配方</x:v>
      </x:c>
      <x:c r="E1863" s="55" t="inlineStr">
        <x:is>
          <x:t>東瀛帝甲錦囊（網站未列地圖）；新‧玄冑之核（網站未列地圖）；南天火影（朱雀南殿）；危盪弄臣（終末之塔第86層、終末之塔第87層）</x:t>
        </x:is>
      </x:c>
    </x:row>
    <x:row r="1864" ht="15" customHeight="1">
      <x:c r="A1864" s="55" t="str">
        <x:v>劍宗御冠巾</x:v>
      </x:c>
      <x:c r="B1864" s="55" t="str">
        <x:v>—</x:v>
      </x:c>
      <x:c r="C1864" s="55" t="str">
        <x:v>—</x:v>
      </x:c>
      <x:c r="D1864" s="55" t="str">
        <x:v>—</x:v>
      </x:c>
      <x:c r="E1864" s="55" t="inlineStr">
        <x:is>
          <x:t>仙宗劍裝錦囊（網站未列地圖）；仙宗護具禮盒（網站未列地圖）</x:t>
        </x:is>
      </x:c>
    </x:row>
    <x:row r="1865" ht="15" customHeight="1">
      <x:c r="A1865" s="55" t="str">
        <x:v>武宗尊勇首</x:v>
      </x:c>
      <x:c r="B1865" s="55" t="str">
        <x:v>—</x:v>
      </x:c>
      <x:c r="C1865" s="55" t="str">
        <x:v>—</x:v>
      </x:c>
      <x:c r="D1865" s="55" t="str">
        <x:v>—</x:v>
      </x:c>
      <x:c r="E1865" s="55" t="inlineStr">
        <x:is>
          <x:t>仙宗勇裝錦囊（網站未列地圖）；仙宗護具禮盒（網站未列地圖）</x:t>
        </x:is>
      </x:c>
    </x:row>
    <x:row r="1866" ht="15" customHeight="1">
      <x:c r="A1866" s="55" t="str">
        <x:v>術宗雲隱披</x:v>
      </x:c>
      <x:c r="B1866" s="55" t="str">
        <x:v>—</x:v>
      </x:c>
      <x:c r="C1866" s="55" t="str">
        <x:v>—</x:v>
      </x:c>
      <x:c r="D1866" s="55" t="str">
        <x:v>—</x:v>
      </x:c>
      <x:c r="E1866" s="55" t="inlineStr">
        <x:is>
          <x:t>仙宗術裝錦囊（網站未列地圖）；仙宗護具禮盒（網站未列地圖）</x:t>
        </x:is>
      </x:c>
    </x:row>
    <x:row r="1867" ht="15" customHeight="1">
      <x:c r="A1867" s="55" t="str">
        <x:v>道宗太化冠</x:v>
      </x:c>
      <x:c r="B1867" s="55" t="str">
        <x:v>—</x:v>
      </x:c>
      <x:c r="C1867" s="55" t="str">
        <x:v>—</x:v>
      </x:c>
      <x:c r="D1867" s="55" t="str">
        <x:v>—</x:v>
      </x:c>
      <x:c r="E1867" s="55" t="inlineStr">
        <x:is>
          <x:t>仙宗道裝錦囊（網站未列地圖）；仙宗護具禮盒（網站未列地圖）</x:t>
        </x:is>
      </x:c>
    </x:row>
    <x:row r="1868" ht="15" customHeight="1">
      <x:c r="A1868" s="55" t="str">
        <x:v>禪宗妙法幔</x:v>
      </x:c>
      <x:c r="B1868" s="55" t="str">
        <x:v>—</x:v>
      </x:c>
      <x:c r="C1868" s="55" t="str">
        <x:v>—</x:v>
      </x:c>
      <x:c r="D1868" s="55" t="str">
        <x:v>—</x:v>
      </x:c>
      <x:c r="E1868" s="55" t="inlineStr">
        <x:is>
          <x:t>仙宗僧裝錦囊（網站未列地圖）；仙宗護具禮盒（網站未列地圖）</x:t>
        </x:is>
      </x:c>
    </x:row>
    <x:row r="1869" ht="15" customHeight="1">
      <x:c r="A1869" s="55" t="str">
        <x:v>飛仙雲兜</x:v>
      </x:c>
      <x:c r="B1869" s="55" t="str">
        <x:v>—</x:v>
      </x:c>
      <x:c r="C1869" s="55" t="str">
        <x:v>—</x:v>
      </x:c>
      <x:c r="D1869" s="55" t="str">
        <x:v>—</x:v>
      </x:c>
      <x:c r="E1869" s="55" t="inlineStr">
        <x:is>
          <x:t>九天劍裝錦囊（網站未列地圖）；穹天軍長（天啟八關）</x:t>
        </x:is>
      </x:c>
    </x:row>
    <x:row r="1870" ht="15" customHeight="1">
      <x:c r="A1870" s="55" t="str">
        <x:v>泰山將盔</x:v>
      </x:c>
      <x:c r="B1870" s="55" t="str">
        <x:v>—</x:v>
      </x:c>
      <x:c r="C1870" s="55" t="str">
        <x:v>—</x:v>
      </x:c>
      <x:c r="D1870" s="55" t="str">
        <x:v>—</x:v>
      </x:c>
      <x:c r="E1870" s="55" t="inlineStr">
        <x:is>
          <x:t>九天勇裝錦囊（網站未列地圖）</x:t>
        </x:is>
      </x:c>
    </x:row>
    <x:row r="1871" ht="15" customHeight="1">
      <x:c r="A1871" s="55" t="str">
        <x:v>天蝶覆面</x:v>
      </x:c>
      <x:c r="B1871" s="55" t="str">
        <x:v>—</x:v>
      </x:c>
      <x:c r="C1871" s="55" t="str">
        <x:v>—</x:v>
      </x:c>
      <x:c r="D1871" s="55" t="str">
        <x:v>—</x:v>
      </x:c>
      <x:c r="E1871" s="55" t="inlineStr">
        <x:is>
          <x:t>九天術裝錦囊（網站未列地圖）</x:t>
        </x:is>
      </x:c>
    </x:row>
    <x:row r="1872" ht="15" customHeight="1">
      <x:c r="A1872" s="55" t="str">
        <x:v>重陽聖冠</x:v>
      </x:c>
      <x:c r="B1872" s="55" t="str">
        <x:v>—</x:v>
      </x:c>
      <x:c r="C1872" s="55" t="str">
        <x:v>—</x:v>
      </x:c>
      <x:c r="D1872" s="55" t="str">
        <x:v>—</x:v>
      </x:c>
      <x:c r="E1872" s="55" t="inlineStr">
        <x:is>
          <x:t>九天道裝錦囊（網站未列地圖）</x:t>
        </x:is>
      </x:c>
    </x:row>
    <x:row r="1873" ht="15" customHeight="1">
      <x:c r="A1873" s="55" t="str">
        <x:v>樓至禪頂</x:v>
      </x:c>
      <x:c r="B1873" s="55" t="str">
        <x:v>—</x:v>
      </x:c>
      <x:c r="C1873" s="55" t="str">
        <x:v>—</x:v>
      </x:c>
      <x:c r="D1873" s="55" t="str">
        <x:v>—</x:v>
      </x:c>
      <x:c r="E1873" s="55" t="inlineStr">
        <x:is>
          <x:t>九天僧裝錦囊（網站未列地圖）</x:t>
        </x:is>
      </x:c>
    </x:row>
    <x:row r="1874" ht="15" customHeight="1">
      <x:c r="A1874" s="55" t="str">
        <x:v>剎霆之兜</x:v>
      </x:c>
      <x:c r="B1874" s="55" t="str">
        <x:v>—</x:v>
      </x:c>
      <x:c r="C1874" s="55" t="str">
        <x:v>—</x:v>
      </x:c>
      <x:c r="D1874" s="55" t="str">
        <x:v>—</x:v>
      </x:c>
      <x:c r="E1874" s="55" t="inlineStr">
        <x:is>
          <x:t>仙庭劍裝錦囊（網站未列地圖）</x:t>
        </x:is>
      </x:c>
    </x:row>
    <x:row r="1875" ht="15" customHeight="1">
      <x:c r="A1875" s="55" t="str">
        <x:v>英霸將盔</x:v>
      </x:c>
      <x:c r="B1875" s="55" t="str">
        <x:v>—</x:v>
      </x:c>
      <x:c r="C1875" s="55" t="str">
        <x:v>—</x:v>
      </x:c>
      <x:c r="D1875" s="55" t="str">
        <x:v>—</x:v>
      </x:c>
      <x:c r="E1875" s="55" t="inlineStr">
        <x:is>
          <x:t>仙庭勇裝錦囊（網站未列地圖）；玄台岩齡（四聖祭台）</x:t>
        </x:is>
      </x:c>
    </x:row>
    <x:row r="1876" ht="15" customHeight="1">
      <x:c r="A1876" s="55" t="str">
        <x:v>燕霑護面</x:v>
      </x:c>
      <x:c r="B1876" s="55" t="str">
        <x:v>—</x:v>
      </x:c>
      <x:c r="C1876" s="55" t="str">
        <x:v>—</x:v>
      </x:c>
      <x:c r="D1876" s="55" t="str">
        <x:v>—</x:v>
      </x:c>
      <x:c r="E1876" s="55" t="inlineStr">
        <x:is>
          <x:t>仙庭術裝錦囊（網站未列地圖）；太古射俑（紫雷轟原）</x:t>
        </x:is>
      </x:c>
    </x:row>
    <x:row r="1877" ht="15" customHeight="1">
      <x:c r="A1877" s="55" t="str">
        <x:v>渺霧天冠</x:v>
      </x:c>
      <x:c r="B1877" s="55" t="str">
        <x:v>—</x:v>
      </x:c>
      <x:c r="C1877" s="55" t="str">
        <x:v>—</x:v>
      </x:c>
      <x:c r="D1877" s="55" t="str">
        <x:v>—</x:v>
      </x:c>
      <x:c r="E1877" s="55" t="inlineStr">
        <x:is>
          <x:t>仙庭道裝錦囊（網站未列地圖）</x:t>
        </x:is>
      </x:c>
    </x:row>
    <x:row r="1878" ht="15" customHeight="1">
      <x:c r="A1878" s="55" t="str">
        <x:v>祈霖禪帽</x:v>
      </x:c>
      <x:c r="B1878" s="55" t="str">
        <x:v>—</x:v>
      </x:c>
      <x:c r="C1878" s="55" t="str">
        <x:v>—</x:v>
      </x:c>
      <x:c r="D1878" s="55" t="str">
        <x:v>—</x:v>
      </x:c>
      <x:c r="E1878" s="55" t="inlineStr">
        <x:is>
          <x:t>仙庭僧裝錦囊（網站未列地圖）；八天右風王（紫雷轟原）</x:t>
        </x:is>
      </x:c>
    </x:row>
    <x:row r="1879" ht="15" customHeight="1">
      <x:c r="A1879" s="55" t="str">
        <x:v>混沌霸怒冠</x:v>
      </x:c>
      <x:c r="B1879" s="55" t="str">
        <x:v>—</x:v>
      </x:c>
      <x:c r="C1879" s="55" t="str">
        <x:v>—</x:v>
      </x:c>
      <x:c r="D1879" s="55" t="str">
        <x:v>四兇霸冠配方</x:v>
      </x:c>
      <x:c r="E1879" s="55" t="inlineStr">
        <x:is>
          <x:t>四兇霸裝錦囊（網站未列地圖）</x:t>
        </x:is>
      </x:c>
    </x:row>
    <x:row r="1880" ht="30" customHeight="1">
      <x:c r="A1880" s="55" t="str">
        <x:v>月讀紗巾‧終</x:v>
      </x:c>
      <x:c r="B1880" s="55" t="str">
        <x:v>—</x:v>
      </x:c>
      <x:c r="C1880" s="55" t="str">
        <x:v>—</x:v>
      </x:c>
      <x:c r="D1880" s="55" t="str">
        <x:v>東瀛終紗配方</x:v>
      </x:c>
      <x:c r="E1880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1881" ht="15" customHeight="1">
      <x:c r="A1881" s="55" t="str">
        <x:v>天鍛‧劍聖盔</x:v>
      </x:c>
      <x:c r="B1881" s="55" t="str">
        <x:v>—</x:v>
      </x:c>
      <x:c r="C1881" s="55" t="str">
        <x:v>—</x:v>
      </x:c>
      <x:c r="D1881" s="55" t="str">
        <x:v>—</x:v>
      </x:c>
      <x:c r="E1881" s="55" t="inlineStr">
        <x:is>
          <x:t>無限劍裝錦囊（網站未列地圖）；南天火影（朱雀南殿）；甚黑無常（異時界‧亂藤林西）</x:t>
        </x:is>
      </x:c>
    </x:row>
    <x:row r="1882" ht="15" customHeight="1">
      <x:c r="A1882" s="55" t="str">
        <x:v>天鍛‧武尊盔</x:v>
      </x:c>
      <x:c r="B1882" s="55" t="str">
        <x:v>—</x:v>
      </x:c>
      <x:c r="C1882" s="55" t="str">
        <x:v>—</x:v>
      </x:c>
      <x:c r="D1882" s="55" t="str">
        <x:v>—</x:v>
      </x:c>
      <x:c r="E1882" s="55" t="inlineStr">
        <x:is>
          <x:t>無限勇裝錦囊（網站未列地圖）；萬炎殺顱（朱雀南殿）；食人狂猿（異時界‧亂藤林南）</x:t>
        </x:is>
      </x:c>
    </x:row>
    <x:row r="1883" ht="15" customHeight="1">
      <x:c r="A1883" s="55" t="str">
        <x:v>天鍛‧術幻紗</x:v>
      </x:c>
      <x:c r="B1883" s="55" t="str">
        <x:v>—</x:v>
      </x:c>
      <x:c r="C1883" s="55" t="str">
        <x:v>—</x:v>
      </x:c>
      <x:c r="D1883" s="55" t="str">
        <x:v>—</x:v>
      </x:c>
      <x:c r="E1883" s="55" t="inlineStr">
        <x:is>
          <x:t>無限術裝錦囊（網站未列地圖）；雀殿妃凰（朱雀南殿）；毒隱蠍（異時界‧亂藤林）；牽亡妖將（異時界‧亂藤林西）</x:t>
        </x:is>
      </x:c>
    </x:row>
    <x:row r="1884" ht="15" customHeight="1">
      <x:c r="A1884" s="55" t="str">
        <x:v>天鍛‧道輝冠</x:v>
      </x:c>
      <x:c r="B1884" s="55" t="str">
        <x:v>—</x:v>
      </x:c>
      <x:c r="C1884" s="55" t="str">
        <x:v>—</x:v>
      </x:c>
      <x:c r="D1884" s="55" t="str">
        <x:v>—</x:v>
      </x:c>
      <x:c r="E1884" s="55" t="inlineStr">
        <x:is>
          <x:t>無限道裝錦囊（網站未列地圖）；雀翼燼火（朱雀南殿）；死牢牛鬼（異時界‧亂藤林西）</x:t>
        </x:is>
      </x:c>
    </x:row>
    <x:row r="1885" ht="15" customHeight="1">
      <x:c r="A1885" s="55" t="str">
        <x:v>天鍛‧禪光帽</x:v>
      </x:c>
      <x:c r="B1885" s="55" t="str">
        <x:v>—</x:v>
      </x:c>
      <x:c r="C1885" s="55" t="str">
        <x:v>—</x:v>
      </x:c>
      <x:c r="D1885" s="55" t="str">
        <x:v>—</x:v>
      </x:c>
      <x:c r="E1885" s="55" t="inlineStr">
        <x:is>
          <x:t>無限僧裝錦囊（網站未列地圖）；護火聖像（朱雀南殿）</x:t>
        </x:is>
      </x:c>
    </x:row>
    <x:row r="1886" ht="15" customHeight="1">
      <x:c r="A1886" s="55" t="str">
        <x:v>天鍛‧月讀巾</x:v>
      </x:c>
      <x:c r="B1886" s="55" t="str">
        <x:v>—</x:v>
      </x:c>
      <x:c r="C1886" s="55" t="str">
        <x:v>—</x:v>
      </x:c>
      <x:c r="D1886" s="55" t="str">
        <x:v>東瀛無限紗配方</x:v>
      </x:c>
      <x:c r="E1886" s="55" t="inlineStr">
        <x:is>
          <x:t>無限東瀛神裝錦囊（網站未列地圖）；天俠特仕裝箱（網站未列地圖）</x:t>
        </x:is>
      </x:c>
    </x:row>
    <x:row r="1887" ht="15" customHeight="1">
      <x:c r="A1887" s="55" t="str">
        <x:v>天鍛‧混沌冠</x:v>
      </x:c>
      <x:c r="B1887" s="55" t="str">
        <x:v>—</x:v>
      </x:c>
      <x:c r="C1887" s="55" t="str">
        <x:v>—</x:v>
      </x:c>
      <x:c r="D1887" s="55" t="str">
        <x:v>四兇無限冠配方</x:v>
      </x:c>
      <x:c r="E1887" s="55" t="inlineStr">
        <x:is>
          <x:t>無限四兇霸裝錦囊（網站未列地圖）；天俠特仕裝箱（網站未列地圖）</x:t>
        </x:is>
      </x:c>
    </x:row>
    <x:row r="1888" ht="15" customHeight="1">
      <x:c r="A1888" s="55" t="str">
        <x:v>仙鑄‧劍聖盔</x:v>
      </x:c>
      <x:c r="B1888" s="55" t="str">
        <x:v>—</x:v>
      </x:c>
      <x:c r="C1888" s="55" t="str">
        <x:v>—</x:v>
      </x:c>
      <x:c r="D1888" s="55" t="str">
        <x:v>—</x:v>
      </x:c>
      <x:c r="E1888" s="55" t="inlineStr">
        <x:is>
          <x:t>大無限劍裝錦囊（網站未列地圖）；巨靈煞（異時界‧修羅窟）；夸父狂魔（異時界‧修羅窟）</x:t>
        </x:is>
      </x:c>
    </x:row>
    <x:row r="1889" ht="15" customHeight="1">
      <x:c r="A1889" s="55" t="str">
        <x:v>仙鑄‧武尊盔</x:v>
      </x:c>
      <x:c r="B1889" s="55" t="str">
        <x:v>—</x:v>
      </x:c>
      <x:c r="C1889" s="55" t="str">
        <x:v>—</x:v>
      </x:c>
      <x:c r="D1889" s="55" t="str">
        <x:v>—</x:v>
      </x:c>
      <x:c r="E1889" s="55" t="inlineStr">
        <x:is>
          <x:t>大無限勇裝錦囊（網站未列地圖）；土行魔（異時界‧葬日沼南）</x:t>
        </x:is>
      </x:c>
    </x:row>
    <x:row r="1890" ht="15" customHeight="1">
      <x:c r="A1890" s="55" t="str">
        <x:v>仙鑄‧術幻紗</x:v>
      </x:c>
      <x:c r="B1890" s="55" t="str">
        <x:v>—</x:v>
      </x:c>
      <x:c r="C1890" s="55" t="str">
        <x:v>—</x:v>
      </x:c>
      <x:c r="D1890" s="55" t="str">
        <x:v>—</x:v>
      </x:c>
      <x:c r="E1890" s="55" t="inlineStr">
        <x:is>
          <x:t>大無限術裝錦囊（網站未列地圖）；巨靈煞（異時界‧毒龍潭）</x:t>
        </x:is>
      </x:c>
    </x:row>
    <x:row r="1891" ht="15" customHeight="1">
      <x:c r="A1891" s="55" t="str">
        <x:v>仙鑄‧道輝冠</x:v>
      </x:c>
      <x:c r="B1891" s="55" t="str">
        <x:v>—</x:v>
      </x:c>
      <x:c r="C1891" s="55" t="str">
        <x:v>—</x:v>
      </x:c>
      <x:c r="D1891" s="55" t="str">
        <x:v>—</x:v>
      </x:c>
      <x:c r="E1891" s="55" t="inlineStr">
        <x:is>
          <x:t>大無限道裝錦囊（網站未列地圖）；妄想非僧（異時界‧葬日沼澤）</x:t>
        </x:is>
      </x:c>
    </x:row>
    <x:row r="1892" ht="15" customHeight="1">
      <x:c r="A1892" s="55" t="str">
        <x:v>仙鑄‧禪光帽</x:v>
      </x:c>
      <x:c r="B1892" s="55" t="str">
        <x:v>—</x:v>
      </x:c>
      <x:c r="C1892" s="55" t="str">
        <x:v>—</x:v>
      </x:c>
      <x:c r="D1892" s="55" t="str">
        <x:v>—</x:v>
      </x:c>
      <x:c r="E1892" s="55" t="inlineStr">
        <x:is>
          <x:t>大無限僧裝錦囊（網站未列地圖）；亡邪夸父戰尸（異時界‧葬日沼北）；食尸巨鱷（異時界‧葬日沼北）</x:t>
        </x:is>
      </x:c>
    </x:row>
    <x:row r="1893" ht="30" customHeight="1">
      <x:c r="A1893" s="55" t="str">
        <x:v>仙鑄‧月讀巾</x:v>
      </x:c>
      <x:c r="B1893" s="55" t="str">
        <x:v>—</x:v>
      </x:c>
      <x:c r="C1893" s="55" t="str">
        <x:v>—</x:v>
      </x:c>
      <x:c r="D1893" s="55" t="str">
        <x:v>—</x:v>
      </x:c>
      <x:c r="E1893" s="55" t="inlineStr">
        <x:is>
          <x:t>真無限東瀛神裝箱（網站未列地圖）；真．天俠特仕裝箱（網站未列地圖）；綠后頂裝寶箱（網站未列地圖）；天命寶箱（網站未列地圖）；百眼大長老（異時界‧毒龍潭）；幽空飛龍‧強（殘雲天境）</x:t>
        </x:is>
      </x:c>
    </x:row>
    <x:row r="1894" ht="30" customHeight="1">
      <x:c r="A1894" s="55" t="str">
        <x:v>仙鑄‧混沌冠</x:v>
      </x:c>
      <x:c r="B1894" s="55" t="str">
        <x:v>—</x:v>
      </x:c>
      <x:c r="C1894" s="55" t="str">
        <x:v>—</x:v>
      </x:c>
      <x:c r="D1894" s="55" t="str">
        <x:v>—</x:v>
      </x:c>
      <x:c r="E1894" s="55" t="inlineStr">
        <x:is>
          <x:t>真無限四兇霸裝箱（網站未列地圖）；真．天俠特仕裝箱（網站未列地圖）；綠后頂裝寶箱（網站未列地圖）；眩惑之眼（時沒邊界）；霧城巨獅‧強（殘雲天境）</x:t>
        </x:is>
      </x:c>
    </x:row>
    <x:row r="1895" ht="15" customHeight="1">
      <x:c r="A1895" s="55" t="str">
        <x:v>神煉‧劍聖盔</x:v>
      </x:c>
      <x:c r="B1895" s="55" t="str">
        <x:v>—</x:v>
      </x:c>
      <x:c r="C1895" s="55" t="str">
        <x:v>—</x:v>
      </x:c>
      <x:c r="D1895" s="55" t="str">
        <x:v>—</x:v>
      </x:c>
      <x:c r="E1895" s="55" t="inlineStr">
        <x:is>
          <x:t>超無限劍裝錦囊（網站未列地圖）；幽空飛龍‧強（殘雲天境）</x:t>
        </x:is>
      </x:c>
    </x:row>
    <x:row r="1896" ht="15" customHeight="1">
      <x:c r="A1896" s="55" t="str">
        <x:v>神煉‧武尊盔</x:v>
      </x:c>
      <x:c r="B1896" s="55" t="str">
        <x:v>—</x:v>
      </x:c>
      <x:c r="C1896" s="55" t="str">
        <x:v>—</x:v>
      </x:c>
      <x:c r="D1896" s="55" t="str">
        <x:v>—</x:v>
      </x:c>
      <x:c r="E1896" s="55" t="inlineStr">
        <x:is>
          <x:t>超無限勇裝錦囊（網站未列地圖）；影石魔（時沒邊界）</x:t>
        </x:is>
      </x:c>
    </x:row>
    <x:row r="1897" ht="15" customHeight="1">
      <x:c r="A1897" s="55" t="str">
        <x:v>神煉‧術幻紗</x:v>
      </x:c>
      <x:c r="B1897" s="55" t="str">
        <x:v>—</x:v>
      </x:c>
      <x:c r="C1897" s="55" t="str">
        <x:v>—</x:v>
      </x:c>
      <x:c r="D1897" s="55" t="str">
        <x:v>—</x:v>
      </x:c>
      <x:c r="E1897" s="55" t="inlineStr">
        <x:is>
          <x:t>超無限術裝錦囊（網站未列地圖）；太古天風‧強（殘雲天境）</x:t>
        </x:is>
      </x:c>
    </x:row>
    <x:row r="1898" ht="15" customHeight="1">
      <x:c r="A1898" s="55" t="str">
        <x:v>神煉‧道輝冠</x:v>
      </x:c>
      <x:c r="B1898" s="55" t="str">
        <x:v>—</x:v>
      </x:c>
      <x:c r="C1898" s="55" t="str">
        <x:v>—</x:v>
      </x:c>
      <x:c r="D1898" s="55" t="str">
        <x:v>—</x:v>
      </x:c>
      <x:c r="E1898" s="55" t="inlineStr">
        <x:is>
          <x:t>超無限道裝錦囊（網站未列地圖）；大黑天‧強（殘雲天境）</x:t>
        </x:is>
      </x:c>
    </x:row>
    <x:row r="1899" ht="15" customHeight="1">
      <x:c r="A1899" s="55" t="str">
        <x:v>神煉‧禪光帽</x:v>
      </x:c>
      <x:c r="B1899" s="55" t="str">
        <x:v>—</x:v>
      </x:c>
      <x:c r="C1899" s="55" t="str">
        <x:v>—</x:v>
      </x:c>
      <x:c r="D1899" s="55" t="str">
        <x:v>—</x:v>
      </x:c>
      <x:c r="E1899" s="55" t="inlineStr">
        <x:is>
          <x:t>超無限僧裝錦囊（網站未列地圖）；嵐荒天虎‧強（殘雲天境）</x:t>
        </x:is>
      </x:c>
    </x:row>
    <x:row r="1900" ht="30" customHeight="1">
      <x:c r="A1900" s="55" t="str">
        <x:v>神煉‧月讀巾</x:v>
      </x:c>
      <x:c r="B1900" s="55" t="str">
        <x:v>—</x:v>
      </x:c>
      <x:c r="C1900" s="55" t="str">
        <x:v>—</x:v>
      </x:c>
      <x:c r="D1900" s="55" t="str">
        <x:v>—</x:v>
      </x:c>
      <x:c r="E1900" s="55" t="inlineStr">
        <x:is>
          <x:t>超無限東瀛神裝箱（網站未列地圖）；超．天俠特仕裝箱（網站未列地圖）；三之極限福袋（網站未列地圖）；天意寶箱（網站未列地圖）；不法骨怪（觀無巽宇）</x:t>
        </x:is>
      </x:c>
    </x:row>
    <x:row r="1901" ht="30" customHeight="1">
      <x:c r="A1901" s="55" t="str">
        <x:v>神煉‧混沌冠</x:v>
      </x:c>
      <x:c r="B1901" s="55" t="str">
        <x:v>—</x:v>
      </x:c>
      <x:c r="C1901" s="55" t="str">
        <x:v>—</x:v>
      </x:c>
      <x:c r="D1901" s="55" t="str">
        <x:v>—</x:v>
      </x:c>
      <x:c r="E1901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超無限四兇霸裝箱（網站未列地圖）；超．天俠特仕裝箱（網站未列地圖）；三之極限福袋（網站未列地圖）；天命逆轉寶箱（網站未列地圖）；真天命逆轉寶箱（網站未列地圖）；壞界冥獅（音無晶宇）</x:t>
        </x:is>
      </x:c>
    </x:row>
    <x:row r="1902" ht="15" customHeight="1">
      <x:c r="A1902" s="55" t="str">
        <x:v>宇傲‧劍聖盔</x:v>
      </x:c>
      <x:c r="B1902" s="55" t="str">
        <x:v>—</x:v>
      </x:c>
      <x:c r="C1902" s="55" t="str">
        <x:v>—</x:v>
      </x:c>
      <x:c r="D1902" s="55" t="str">
        <x:v>—</x:v>
      </x:c>
      <x:c r="E1902" s="55" t="inlineStr">
        <x:is>
          <x:t>極無限劍裝錦囊（網站未列地圖）；天獄刑天（觀無巽宇）</x:t>
        </x:is>
      </x:c>
    </x:row>
    <x:row r="1903" ht="15" customHeight="1">
      <x:c r="A1903" s="55" t="str">
        <x:v>宇傲‧武尊盔</x:v>
      </x:c>
      <x:c r="B1903" s="55" t="str">
        <x:v>—</x:v>
      </x:c>
      <x:c r="C1903" s="55" t="str">
        <x:v>—</x:v>
      </x:c>
      <x:c r="D1903" s="55" t="str">
        <x:v>—</x:v>
      </x:c>
      <x:c r="E1903" s="55" t="inlineStr">
        <x:is>
          <x:t>極無限勇裝錦囊（網站未列地圖）；玄虛戰士（觀無巽宇）</x:t>
        </x:is>
      </x:c>
    </x:row>
    <x:row r="1904" ht="15" customHeight="1">
      <x:c r="A1904" s="55" t="str">
        <x:v>宇傲‧術幻紗</x:v>
      </x:c>
      <x:c r="B1904" s="55" t="str">
        <x:v>—</x:v>
      </x:c>
      <x:c r="C1904" s="55" t="str">
        <x:v>—</x:v>
      </x:c>
      <x:c r="D1904" s="55" t="str">
        <x:v>—</x:v>
      </x:c>
      <x:c r="E1904" s="55" t="inlineStr">
        <x:is>
          <x:t>極無限術裝錦囊（網站未列地圖）；裂箭鐵傀（音無晶宇）</x:t>
        </x:is>
      </x:c>
    </x:row>
    <x:row r="1905" ht="15" customHeight="1">
      <x:c r="A1905" s="55" t="str">
        <x:v>宇傲‧道輝冠</x:v>
      </x:c>
      <x:c r="B1905" s="55" t="str">
        <x:v>—</x:v>
      </x:c>
      <x:c r="C1905" s="55" t="str">
        <x:v>—</x:v>
      </x:c>
      <x:c r="D1905" s="55" t="str">
        <x:v>—</x:v>
      </x:c>
      <x:c r="E1905" s="55" t="inlineStr">
        <x:is>
          <x:t>極無限道裝錦囊（網站未列地圖）；半截戰狂（觀無巽宇）</x:t>
        </x:is>
      </x:c>
    </x:row>
    <x:row r="1906" ht="15" customHeight="1">
      <x:c r="A1906" s="55" t="str">
        <x:v>宇傲‧禪光帽</x:v>
      </x:c>
      <x:c r="B1906" s="55" t="str">
        <x:v>—</x:v>
      </x:c>
      <x:c r="C1906" s="55" t="str">
        <x:v>—</x:v>
      </x:c>
      <x:c r="D1906" s="55" t="str">
        <x:v>—</x:v>
      </x:c>
      <x:c r="E1906" s="55" t="inlineStr">
        <x:is>
          <x:t>極無限僧裝錦囊（網站未列地圖）；非議罪棺（觀無巽宇）</x:t>
        </x:is>
      </x:c>
    </x:row>
    <x:row r="1907" ht="30" customHeight="1">
      <x:c r="A1907" s="55" t="str">
        <x:v>宇傲‧月讀巾</x:v>
      </x:c>
      <x:c r="B1907" s="55" t="str">
        <x:v>—</x:v>
      </x:c>
      <x:c r="C1907" s="55" t="str">
        <x:v>—</x:v>
      </x:c>
      <x:c r="D1907" s="55" t="str">
        <x:v>—</x:v>
      </x:c>
      <x:c r="E1907" s="55" t="inlineStr">
        <x:is>
          <x:t>極無限東瀛神裝箱（網站未列地圖）；極．天俠特仕裝箱（網站未列地圖）；超級旗開得勝錦囊（網站未列地圖）；王者天下錦囊（網站未列地圖）；斃法巫孺（不解迴路）</x:t>
        </x:is>
      </x:c>
    </x:row>
    <x:row r="1908" ht="45" customHeight="1">
      <x:c r="A1908" s="55" t="str">
        <x:v>宇傲‧混沌冠</x:v>
      </x:c>
      <x:c r="B1908" s="55" t="str">
        <x:v>—</x:v>
      </x:c>
      <x:c r="C1908" s="55" t="str">
        <x:v>—</x:v>
      </x:c>
      <x:c r="D1908" s="55" t="str">
        <x:v>—</x:v>
      </x:c>
      <x:c r="E1908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；鬼都玄龍（不解迴路）</x:t>
        </x:is>
      </x:c>
    </x:row>
    <x:row r="1909" ht="15" customHeight="1">
      <x:c r="A1909" s="55" t="str">
        <x:v>峻霆‧劍聖盔</x:v>
      </x:c>
      <x:c r="B1909" s="55" t="str">
        <x:v>—</x:v>
      </x:c>
      <x:c r="C1909" s="55" t="str">
        <x:v>—</x:v>
      </x:c>
      <x:c r="D1909" s="55" t="str">
        <x:v>—</x:v>
      </x:c>
      <x:c r="E1909" s="55" t="inlineStr">
        <x:is>
          <x:t>絕無限劍裝錦囊（網站未列地圖）；焦宙兇火（不解迴路）</x:t>
        </x:is>
      </x:c>
    </x:row>
    <x:row r="1910" ht="15" customHeight="1">
      <x:c r="A1910" s="55" t="str">
        <x:v>峻霆‧武尊盔</x:v>
      </x:c>
      <x:c r="B1910" s="55" t="str">
        <x:v>—</x:v>
      </x:c>
      <x:c r="C1910" s="55" t="str">
        <x:v>—</x:v>
      </x:c>
      <x:c r="D1910" s="55" t="str">
        <x:v>—</x:v>
      </x:c>
      <x:c r="E1910" s="55" t="inlineStr">
        <x:is>
          <x:t>絕無限勇裝錦囊（網站未列地圖）；分宙兇土（不解迴路）</x:t>
        </x:is>
      </x:c>
    </x:row>
    <x:row r="1911" ht="15" customHeight="1">
      <x:c r="A1911" s="55" t="str">
        <x:v>峻霆‧術幻紗</x:v>
      </x:c>
      <x:c r="B1911" s="55" t="str">
        <x:v>—</x:v>
      </x:c>
      <x:c r="C1911" s="55" t="str">
        <x:v>—</x:v>
      </x:c>
      <x:c r="D1911" s="55" t="str">
        <x:v>—</x:v>
      </x:c>
      <x:c r="E1911" s="55" t="inlineStr">
        <x:is>
          <x:t>絕無限術裝錦囊（網站未列地圖）；竭宙兇水（不解迴路）</x:t>
        </x:is>
      </x:c>
    </x:row>
    <x:row r="1912" ht="15" customHeight="1">
      <x:c r="A1912" s="55" t="str">
        <x:v>峻霆‧道輝冠</x:v>
      </x:c>
      <x:c r="B1912" s="55" t="str">
        <x:v>—</x:v>
      </x:c>
      <x:c r="C1912" s="55" t="str">
        <x:v>—</x:v>
      </x:c>
      <x:c r="D1912" s="55" t="str">
        <x:v>—</x:v>
      </x:c>
      <x:c r="E1912" s="55" t="inlineStr">
        <x:is>
          <x:t>絕無限道裝錦囊（網站未列地圖）；呼葬祭官（不解迴路）</x:t>
        </x:is>
      </x:c>
    </x:row>
    <x:row r="1913" ht="15" customHeight="1">
      <x:c r="A1913" s="55" t="str">
        <x:v>峻霆‧禪光帽</x:v>
      </x:c>
      <x:c r="B1913" s="55" t="str">
        <x:v>—</x:v>
      </x:c>
      <x:c r="C1913" s="55" t="str">
        <x:v>—</x:v>
      </x:c>
      <x:c r="D1913" s="55" t="str">
        <x:v>—</x:v>
      </x:c>
      <x:c r="E1913" s="55" t="inlineStr">
        <x:is>
          <x:t>絕無限僧裝錦囊（網站未列地圖）；厲陰魔相（不解迴路）</x:t>
        </x:is>
      </x:c>
    </x:row>
    <x:row r="1914" ht="15" customHeight="1">
      <x:c r="A1914" s="55" t="str">
        <x:v>峻霆‧月讀巾</x:v>
      </x:c>
      <x:c r="B1914" s="55" t="str">
        <x:v>—</x:v>
      </x:c>
      <x:c r="C1914" s="55" t="str">
        <x:v>—</x:v>
      </x:c>
      <x:c r="D1914" s="55" t="str">
        <x:v>—</x:v>
      </x:c>
      <x:c r="E1914" s="55" t="inlineStr">
        <x:is>
          <x:t>絕無限東瀛神裝箱（網站未列地圖）；絕．天俠特仕裝箱（網站未列地圖）；沒世飛司祭（虛空渦心）</x:t>
        </x:is>
      </x:c>
    </x:row>
    <x:row r="1915" ht="15" customHeight="1">
      <x:c r="A1915" s="55" t="str">
        <x:v>峻霆‧混沌冠</x:v>
      </x:c>
      <x:c r="B1915" s="55" t="str">
        <x:v>—</x:v>
      </x:c>
      <x:c r="C1915" s="55" t="str">
        <x:v>—</x:v>
      </x:c>
      <x:c r="D1915" s="55" t="str">
        <x:v>—</x:v>
      </x:c>
      <x:c r="E1915" s="55" t="inlineStr">
        <x:is>
          <x:t>絕無限四兇霸裝箱（網站未列地圖）；絕．天俠特仕裝箱（網站未列地圖）</x:t>
        </x:is>
      </x:c>
    </x:row>
    <x:row r="1916" ht="15" customHeight="1">
      <x:c r="A1916" s="55" t="str">
        <x:v>窮極‧劍聖盔</x:v>
      </x:c>
      <x:c r="B1916" s="55" t="str">
        <x:v>—</x:v>
      </x:c>
      <x:c r="C1916" s="55" t="str">
        <x:v>—</x:v>
      </x:c>
      <x:c r="D1916" s="55" t="str">
        <x:v>—</x:v>
      </x:c>
      <x:c r="E1916" s="55" t="inlineStr">
        <x:is>
          <x:t>無無限劍裝錦囊（網站未列地圖）</x:t>
        </x:is>
      </x:c>
    </x:row>
    <x:row r="1917" ht="15" customHeight="1">
      <x:c r="A1917" s="55" t="str">
        <x:v>窮極‧武尊盔</x:v>
      </x:c>
      <x:c r="B1917" s="55" t="str">
        <x:v>—</x:v>
      </x:c>
      <x:c r="C1917" s="55" t="str">
        <x:v>—</x:v>
      </x:c>
      <x:c r="D1917" s="55" t="str">
        <x:v>—</x:v>
      </x:c>
      <x:c r="E1917" s="55" t="inlineStr">
        <x:is>
          <x:t>無無限勇裝錦囊（網站未列地圖）；終塔衛將（終末之塔第2層、終末之塔第3層）</x:t>
        </x:is>
      </x:c>
    </x:row>
    <x:row r="1918" ht="15" customHeight="1">
      <x:c r="A1918" s="55" t="str">
        <x:v>窮極‧術幻紗</x:v>
      </x:c>
      <x:c r="B1918" s="55" t="str">
        <x:v>—</x:v>
      </x:c>
      <x:c r="C1918" s="55" t="str">
        <x:v>—</x:v>
      </x:c>
      <x:c r="D1918" s="55" t="str">
        <x:v>—</x:v>
      </x:c>
      <x:c r="E1918" s="55" t="inlineStr">
        <x:is>
          <x:t>無無限術裝錦囊（網站未列地圖）；沒世蒼神射（虛空渦心）</x:t>
        </x:is>
      </x:c>
    </x:row>
    <x:row r="1919" ht="15" customHeight="1">
      <x:c r="A1919" s="55" t="str">
        <x:v>窮極‧道輝冠</x:v>
      </x:c>
      <x:c r="B1919" s="55" t="str">
        <x:v>—</x:v>
      </x:c>
      <x:c r="C1919" s="55" t="str">
        <x:v>—</x:v>
      </x:c>
      <x:c r="D1919" s="55" t="str">
        <x:v>—</x:v>
      </x:c>
      <x:c r="E1919" s="55" t="inlineStr">
        <x:is>
          <x:t>無無限道裝錦囊（網站未列地圖）</x:t>
        </x:is>
      </x:c>
    </x:row>
    <x:row r="1920" ht="15" customHeight="1">
      <x:c r="A1920" s="55" t="str">
        <x:v>窮極‧禪光帽</x:v>
      </x:c>
      <x:c r="B1920" s="55" t="str">
        <x:v>—</x:v>
      </x:c>
      <x:c r="C1920" s="55" t="str">
        <x:v>—</x:v>
      </x:c>
      <x:c r="D1920" s="55" t="str">
        <x:v>—</x:v>
      </x:c>
      <x:c r="E1920" s="55" t="inlineStr">
        <x:is>
          <x:t>無無限僧裝錦囊（網站未列地圖）；沒世蒼陵將（虛空渦心）</x:t>
        </x:is>
      </x:c>
    </x:row>
    <x:row r="1921" ht="15" customHeight="1">
      <x:c r="A1921" s="55" t="str">
        <x:v>窮極‧月讀巾</x:v>
      </x:c>
      <x:c r="B1921" s="55" t="str">
        <x:v>—</x:v>
      </x:c>
      <x:c r="C1921" s="55" t="str">
        <x:v>—</x:v>
      </x:c>
      <x:c r="D1921" s="55" t="str">
        <x:v>—</x:v>
      </x:c>
      <x:c r="E1921" s="55" t="inlineStr">
        <x:is>
          <x:t>無無限東瀛神裝箱（網站未列地圖）；無．天俠特仕裝箱（網站未列地圖）</x:t>
        </x:is>
      </x:c>
    </x:row>
    <x:row r="1922" ht="15" customHeight="1">
      <x:c r="A1922" s="55" t="str">
        <x:v>窮極‧混沌冠</x:v>
      </x:c>
      <x:c r="B1922" s="55" t="str">
        <x:v>—</x:v>
      </x:c>
      <x:c r="C1922" s="55" t="str">
        <x:v>—</x:v>
      </x:c>
      <x:c r="D1922" s="55" t="str">
        <x:v>—</x:v>
      </x:c>
      <x:c r="E1922" s="55" t="inlineStr">
        <x:is>
          <x:t>無無限四兇霸裝箱（網站未列地圖）；無．天俠特仕裝箱（網站未列地圖）</x:t>
        </x:is>
      </x:c>
    </x:row>
    <x:row r="1923" ht="15" customHeight="1">
      <x:c r="A1923" s="55" t="str">
        <x:v>元宙‧劍聖盔</x:v>
      </x:c>
      <x:c r="B1923" s="55" t="str">
        <x:v>—</x:v>
      </x:c>
      <x:c r="C1923" s="55" t="str">
        <x:v>—</x:v>
      </x:c>
      <x:c r="D1923" s="55" t="str">
        <x:v>—</x:v>
      </x:c>
      <x:c r="E1923" s="55" t="inlineStr">
        <x:is>
          <x:t>帝無限劍裝錦囊（網站未列地圖）；虛來殺爪（吉薩走廊）；危城巨猩（終末之塔第24層、終末之塔第25層）</x:t>
        </x:is>
      </x:c>
    </x:row>
    <x:row r="1924" ht="15" customHeight="1">
      <x:c r="A1924" s="55" t="str">
        <x:v>元宙‧武尊盔</x:v>
      </x:c>
      <x:c r="B1924" s="55" t="str">
        <x:v>—</x:v>
      </x:c>
      <x:c r="C1924" s="55" t="str">
        <x:v>—</x:v>
      </x:c>
      <x:c r="D1924" s="55" t="str">
        <x:v>—</x:v>
      </x:c>
      <x:c r="E1924" s="55" t="inlineStr">
        <x:is>
          <x:t>帝無限勇裝錦囊（網站未列地圖）；切割者（終末之塔第19層）</x:t>
        </x:is>
      </x:c>
    </x:row>
    <x:row r="1925" ht="15" customHeight="1">
      <x:c r="A1925" s="55" t="str">
        <x:v>元宙‧術幻紗</x:v>
      </x:c>
      <x:c r="B1925" s="55" t="str">
        <x:v>—</x:v>
      </x:c>
      <x:c r="C1925" s="55" t="str">
        <x:v>—</x:v>
      </x:c>
      <x:c r="D1925" s="55" t="str">
        <x:v>—</x:v>
      </x:c>
      <x:c r="E1925" s="55" t="inlineStr">
        <x:is>
          <x:t>帝無限術裝錦囊（網站未列地圖）；赤潮王叉（終末之塔第29層）</x:t>
        </x:is>
      </x:c>
    </x:row>
    <x:row r="1926" ht="30" customHeight="1">
      <x:c r="A1926" s="55" t="str">
        <x:v>元宙‧道輝冠</x:v>
      </x:c>
      <x:c r="B1926" s="55" t="str">
        <x:v>—</x:v>
      </x:c>
      <x:c r="C1926" s="55" t="str">
        <x:v>—</x:v>
      </x:c>
      <x:c r="D1926" s="55" t="str">
        <x:v>—</x:v>
      </x:c>
      <x:c r="E1926" s="55" t="inlineStr">
        <x:is>
          <x:t>帝無限道裝錦囊（網站未列地圖）；魔空邪祀（終末之塔第23層、終末之塔第24層）；防術晶人（終末之塔第17層）</x:t>
        </x:is>
      </x:c>
    </x:row>
    <x:row r="1927" ht="15" customHeight="1">
      <x:c r="A1927" s="55" t="str">
        <x:v>元宙‧禪光帽</x:v>
      </x:c>
      <x:c r="B1927" s="55" t="str">
        <x:v>—</x:v>
      </x:c>
      <x:c r="C1927" s="55" t="str">
        <x:v>—</x:v>
      </x:c>
      <x:c r="D1927" s="55" t="str">
        <x:v>—</x:v>
      </x:c>
      <x:c r="E1927" s="55" t="inlineStr">
        <x:is>
          <x:t>帝無限僧裝錦囊（網站未列地圖）；防攻鐵獅（終末之塔第17層）</x:t>
        </x:is>
      </x:c>
    </x:row>
    <x:row r="1928" ht="15" customHeight="1">
      <x:c r="A1928" s="55" t="str">
        <x:v>元宙‧月讀巾</x:v>
      </x:c>
      <x:c r="B1928" s="55" t="str">
        <x:v>—</x:v>
      </x:c>
      <x:c r="C1928" s="55" t="str">
        <x:v>—</x:v>
      </x:c>
      <x:c r="D1928" s="55" t="str">
        <x:v>—</x:v>
      </x:c>
      <x:c r="E1928" s="55" t="inlineStr">
        <x:is>
          <x:t>帝無限東瀛神裝箱（網站未列地圖）；帝．天俠特仕裝箱（網站未列地圖）；虛空主宰寶箱（網站未列地圖）</x:t>
        </x:is>
      </x:c>
    </x:row>
    <x:row r="1929" ht="30" customHeight="1">
      <x:c r="A1929" s="55" t="str">
        <x:v>元宙‧混沌冠</x:v>
      </x:c>
      <x:c r="B1929" s="55" t="str">
        <x:v>—</x:v>
      </x:c>
      <x:c r="C1929" s="55" t="str">
        <x:v>—</x:v>
      </x:c>
      <x:c r="D1929" s="55" t="str">
        <x:v>—</x:v>
      </x:c>
      <x:c r="E1929" s="55" t="inlineStr">
        <x:is>
          <x:t>帝無限四兇霸裝箱（網站未列地圖）；帝．天俠特仕裝箱（網站未列地圖）；虛空主宰寶箱（網站未列地圖）；完銷紀念寶箱（網站未列地圖）</x:t>
        </x:is>
      </x:c>
    </x:row>
    <x:row r="1930" ht="15" customHeight="1">
      <x:c r="A1930" s="55" t="str">
        <x:v>真宇傲劍聖盔</x:v>
      </x:c>
      <x:c r="B1930" s="55" t="str">
        <x:v>—</x:v>
      </x:c>
      <x:c r="C1930" s="55" t="str">
        <x:v>—</x:v>
      </x:c>
      <x:c r="D1930" s="55" t="str">
        <x:v>—</x:v>
      </x:c>
      <x:c r="E1930" s="55" t="inlineStr">
        <x:is>
          <x:t>終無限劍裝錦囊（網站未列地圖）</x:t>
        </x:is>
      </x:c>
    </x:row>
    <x:row r="1931" ht="15" customHeight="1">
      <x:c r="A1931" s="55" t="str">
        <x:v>真宇傲武尊盔</x:v>
      </x:c>
      <x:c r="B1931" s="55" t="str">
        <x:v>—</x:v>
      </x:c>
      <x:c r="C1931" s="55" t="str">
        <x:v>—</x:v>
      </x:c>
      <x:c r="D1931" s="55" t="str">
        <x:v>—</x:v>
      </x:c>
      <x:c r="E1931" s="55" t="inlineStr">
        <x:is>
          <x:t>終無限勇裝錦囊（網站未列地圖）</x:t>
        </x:is>
      </x:c>
    </x:row>
    <x:row r="1932" ht="15" customHeight="1">
      <x:c r="A1932" s="55" t="str">
        <x:v>真宇傲術幻紗</x:v>
      </x:c>
      <x:c r="B1932" s="55" t="str">
        <x:v>—</x:v>
      </x:c>
      <x:c r="C1932" s="55" t="str">
        <x:v>—</x:v>
      </x:c>
      <x:c r="D1932" s="55" t="str">
        <x:v>—</x:v>
      </x:c>
      <x:c r="E1932" s="55" t="inlineStr">
        <x:is>
          <x:t>終無限術裝錦囊（網站未列地圖）</x:t>
        </x:is>
      </x:c>
    </x:row>
    <x:row r="1933" ht="15" customHeight="1">
      <x:c r="A1933" s="55" t="str">
        <x:v>真宇傲道輝冠</x:v>
      </x:c>
      <x:c r="B1933" s="55" t="str">
        <x:v>—</x:v>
      </x:c>
      <x:c r="C1933" s="55" t="str">
        <x:v>—</x:v>
      </x:c>
      <x:c r="D1933" s="55" t="str">
        <x:v>—</x:v>
      </x:c>
      <x:c r="E1933" s="55" t="inlineStr">
        <x:is>
          <x:t>終無限道裝錦囊（網站未列地圖）</x:t>
        </x:is>
      </x:c>
    </x:row>
    <x:row r="1934" ht="15" customHeight="1">
      <x:c r="A1934" s="55" t="str">
        <x:v>真宇傲禪光帽</x:v>
      </x:c>
      <x:c r="B1934" s="55" t="str">
        <x:v>—</x:v>
      </x:c>
      <x:c r="C1934" s="55" t="str">
        <x:v>—</x:v>
      </x:c>
      <x:c r="D1934" s="55" t="str">
        <x:v>—</x:v>
      </x:c>
      <x:c r="E1934" s="55" t="inlineStr">
        <x:is>
          <x:t>終無限僧裝錦囊（網站未列地圖）；採石奴（吉薩走廊）</x:t>
        </x:is>
      </x:c>
    </x:row>
    <x:row r="1935" ht="45" customHeight="1">
      <x:c r="A1935" s="55" t="str">
        <x:v>真宇傲月讀巾</x:v>
      </x:c>
      <x:c r="B1935" s="55" t="str">
        <x:v>—</x:v>
      </x:c>
      <x:c r="C1935" s="55" t="str">
        <x:v>—</x:v>
      </x:c>
      <x:c r="D1935" s="55" t="str">
        <x:v>—</x:v>
      </x:c>
      <x:c r="E1935" s="55" t="inlineStr">
        <x:is>
          <x:t>終無限東瀛神裝箱（網站未列地圖）；終．天俠特仕裝箱（網站未列地圖）；夏風再起錦囊（網站未列地圖）；春日頂天錦囊（網站未列地圖）；粽夏劊手貝魯瑟斯（網站未列地圖）；真‧虛空主宰寶箱（網站未列地圖）；生非識邪（終末之塔第82層、終末之塔第83層）</x:t>
        </x:is>
      </x:c>
    </x:row>
    <x:row r="1936" ht="15" customHeight="1">
      <x:c r="A1936" s="55" t="str">
        <x:v>真宇傲混沌冠</x:v>
      </x:c>
      <x:c r="B1936" s="55" t="str">
        <x:v>—</x:v>
      </x:c>
      <x:c r="C1936" s="55" t="str">
        <x:v>—</x:v>
      </x:c>
      <x:c r="D1936" s="55" t="str">
        <x:v>—</x:v>
      </x:c>
      <x:c r="E1936" s="55" t="inlineStr">
        <x:is>
          <x:t>終無限四兇霸裝箱（網站未列地圖）；終．天俠特仕裝箱（網站未列地圖）；夏京甩尾錦囊（網站未列地圖）</x:t>
        </x:is>
      </x:c>
    </x:row>
    <x:row r="1937" ht="15" customHeight="1">
      <x:c r="A1937" s="55" t="str">
        <x:v>星鋒冠★</x:v>
      </x:c>
      <x:c r="B1937" s="55" t="str">
        <x:v>—</x:v>
      </x:c>
      <x:c r="C1937" s="55" t="str">
        <x:v>—</x:v>
      </x:c>
      <x:c r="D1937" s="55" t="str">
        <x:v>—</x:v>
      </x:c>
      <x:c r="E1937" s="55" t="inlineStr">
        <x:is>
          <x:t>仙星劍裝錦囊（網站未列地圖）；護聖女侍（王都盧索）</x:t>
        </x:is>
      </x:c>
    </x:row>
    <x:row r="1938" ht="15" customHeight="1">
      <x:c r="A1938" s="55" t="str">
        <x:v>鬥星盔★</x:v>
      </x:c>
      <x:c r="B1938" s="55" t="str">
        <x:v>—</x:v>
      </x:c>
      <x:c r="C1938" s="55" t="str">
        <x:v>—</x:v>
      </x:c>
      <x:c r="D1938" s="55" t="str">
        <x:v>—</x:v>
      </x:c>
      <x:c r="E1938" s="55" t="inlineStr">
        <x:is>
          <x:t>仙星勇裝錦囊（網站未列地圖）；護聖刀將（王都盧索）；虛無真知士（終末之塔第51層）</x:t>
        </x:is>
      </x:c>
    </x:row>
    <x:row r="1939" ht="15" customHeight="1">
      <x:c r="A1939" s="55" t="str">
        <x:v>遊星箍★</x:v>
      </x:c>
      <x:c r="B1939" s="55" t="str">
        <x:v>—</x:v>
      </x:c>
      <x:c r="C1939" s="55" t="str">
        <x:v>—</x:v>
      </x:c>
      <x:c r="D1939" s="55" t="str">
        <x:v>—</x:v>
      </x:c>
      <x:c r="E1939" s="55" t="inlineStr">
        <x:is>
          <x:t>仙星術裝錦囊（網站未列地圖）；逐日虎人（王都盧索）</x:t>
        </x:is>
      </x:c>
    </x:row>
    <x:row r="1940" ht="15" customHeight="1">
      <x:c r="A1940" s="55" t="str">
        <x:v>星蹤綸★</x:v>
      </x:c>
      <x:c r="B1940" s="55" t="str">
        <x:v>—</x:v>
      </x:c>
      <x:c r="C1940" s="55" t="str">
        <x:v>—</x:v>
      </x:c>
      <x:c r="D1940" s="55" t="str">
        <x:v>—</x:v>
      </x:c>
      <x:c r="E1940" s="55" t="inlineStr">
        <x:is>
          <x:t>仙星道裝錦囊（網站未列地圖）；祭日司衛（王都盧索）</x:t>
        </x:is>
      </x:c>
    </x:row>
    <x:row r="1941" ht="15" customHeight="1">
      <x:c r="A1941" s="55" t="str">
        <x:v>釋星頂★</x:v>
      </x:c>
      <x:c r="B1941" s="55" t="str">
        <x:v>—</x:v>
      </x:c>
      <x:c r="C1941" s="55" t="str">
        <x:v>—</x:v>
      </x:c>
      <x:c r="D1941" s="55" t="str">
        <x:v>—</x:v>
      </x:c>
      <x:c r="E1941" s="55" t="inlineStr">
        <x:is>
          <x:t>仙星僧裝錦囊（網站未列地圖）；親衛獸將（王都盧索）</x:t>
        </x:is>
      </x:c>
    </x:row>
    <x:row r="1942" ht="30" customHeight="1">
      <x:c r="A1942" s="55" t="str">
        <x:v>星兇冠★</x:v>
      </x:c>
      <x:c r="B1942" s="55" t="str">
        <x:v>—</x:v>
      </x:c>
      <x:c r="C1942" s="55" t="str">
        <x:v>—</x:v>
      </x:c>
      <x:c r="D1942" s="55" t="str">
        <x:v>—</x:v>
      </x:c>
      <x:c r="E1942" s="55" t="inlineStr">
        <x:is>
          <x:t>仙星四兇霸裝箱（網站未列地圖）；仙星特仕裝箱（網站未列地圖）；國破兇卒（終末之塔第87層、終末之塔第88層）</x:t>
        </x:is>
      </x:c>
    </x:row>
    <x:row r="1943" ht="30" customHeight="1">
      <x:c r="A1943" s="55" t="str">
        <x:v>煌月巾★</x:v>
      </x:c>
      <x:c r="B1943" s="55" t="str">
        <x:v>—</x:v>
      </x:c>
      <x:c r="C1943" s="55" t="str">
        <x:v>—</x:v>
      </x:c>
      <x:c r="D1943" s="55" t="str">
        <x:v>—</x:v>
      </x:c>
      <x:c r="E1943" s="55" t="inlineStr">
        <x:is>
          <x:t>仙星東瀛神裝箱（網站未列地圖）；仙星特仕裝箱（網站未列地圖）；諸星報喜福袋（網站未列地圖）；禍患造者（終末之塔第88層、終末之塔第89層）</x:t>
        </x:is>
      </x:c>
    </x:row>
    <x:row r="1944" ht="15" customHeight="1">
      <x:c r="A1944" s="55" t="str">
        <x:v>星鋒冠★★</x:v>
      </x:c>
      <x:c r="B1944" s="55" t="str">
        <x:v>—</x:v>
      </x:c>
      <x:c r="C1944" s="55" t="str">
        <x:v>—</x:v>
      </x:c>
      <x:c r="D1944" s="55" t="str">
        <x:v>—</x:v>
      </x:c>
      <x:c r="E1944" s="55" t="inlineStr">
        <x:is>
          <x:t>真‧仙星劍裝錦囊（網站未列地圖）；庫努牡（荷魯斯聖祠）</x:t>
        </x:is>
      </x:c>
    </x:row>
    <x:row r="1945" ht="15" customHeight="1">
      <x:c r="A1945" s="55" t="str">
        <x:v>鬥星盔★★</x:v>
      </x:c>
      <x:c r="B1945" s="55" t="str">
        <x:v>—</x:v>
      </x:c>
      <x:c r="C1945" s="55" t="str">
        <x:v>—</x:v>
      </x:c>
      <x:c r="D1945" s="55" t="str">
        <x:v>—</x:v>
      </x:c>
      <x:c r="E1945" s="55" t="inlineStr">
        <x:is>
          <x:t>真‧仙星勇裝錦囊（網站未列地圖）；多姆泰夫（荷魯斯聖祠）</x:t>
        </x:is>
      </x:c>
    </x:row>
    <x:row r="1946" ht="15" customHeight="1">
      <x:c r="A1946" s="55" t="str">
        <x:v>遊星箍★★</x:v>
      </x:c>
      <x:c r="B1946" s="55" t="str">
        <x:v>—</x:v>
      </x:c>
      <x:c r="C1946" s="55" t="str">
        <x:v>—</x:v>
      </x:c>
      <x:c r="D1946" s="55" t="str">
        <x:v>—</x:v>
      </x:c>
      <x:c r="E1946" s="55" t="inlineStr">
        <x:is>
          <x:t>真‧仙星術裝錦囊（網站未列地圖）；貝斯（荷魯斯聖祠）</x:t>
        </x:is>
      </x:c>
    </x:row>
    <x:row r="1947" ht="15" customHeight="1">
      <x:c r="A1947" s="55" t="str">
        <x:v>星蹤綸★★</x:v>
      </x:c>
      <x:c r="B1947" s="55" t="str">
        <x:v>—</x:v>
      </x:c>
      <x:c r="C1947" s="55" t="str">
        <x:v>—</x:v>
      </x:c>
      <x:c r="D1947" s="55" t="str">
        <x:v>—</x:v>
      </x:c>
      <x:c r="E1947" s="55" t="inlineStr">
        <x:is>
          <x:t>真‧仙星道裝錦囊（網站未列地圖）；托特（荷魯斯聖祠）</x:t>
        </x:is>
      </x:c>
    </x:row>
    <x:row r="1948" ht="15" customHeight="1">
      <x:c r="A1948" s="55" t="str">
        <x:v>釋星頂★★</x:v>
      </x:c>
      <x:c r="B1948" s="55" t="str">
        <x:v>—</x:v>
      </x:c>
      <x:c r="C1948" s="55" t="str">
        <x:v>—</x:v>
      </x:c>
      <x:c r="D1948" s="55" t="str">
        <x:v>—</x:v>
      </x:c>
      <x:c r="E1948" s="55" t="inlineStr">
        <x:is>
          <x:t>真‧仙星僧裝錦囊（網站未列地圖）；奈赫貝特（荷魯斯聖祠）</x:t>
        </x:is>
      </x:c>
    </x:row>
    <x:row r="1949" ht="30" customHeight="1">
      <x:c r="A1949" s="55" t="str">
        <x:v>星兇冠★★</x:v>
      </x:c>
      <x:c r="B1949" s="55" t="str">
        <x:v>—</x:v>
      </x:c>
      <x:c r="C1949" s="55" t="str">
        <x:v>—</x:v>
      </x:c>
      <x:c r="D1949" s="55" t="str">
        <x:v>—</x:v>
      </x:c>
      <x:c r="E1949" s="55" t="inlineStr">
        <x:is>
          <x:t>真‧仙星四兇霸箱（網站未列地圖）；真‧仙星特仕裝箱（網站未列地圖）；夏辰頂天錦囊（網站未列地圖）；秩騷謎兔（終末之塔第117層、終末之塔第115層、終末之塔第116層）；斬塔罪刀（終末之塔第109層）</x:t>
        </x:is>
      </x:c>
    </x:row>
    <x:row r="1950" ht="45" customHeight="1">
      <x:c r="A1950" s="55" t="str">
        <x:v>煌月巾★★</x:v>
      </x:c>
      <x:c r="B1950" s="55" t="str">
        <x:v>—</x:v>
      </x:c>
      <x:c r="C1950" s="55" t="str">
        <x:v>—</x:v>
      </x:c>
      <x:c r="D1950" s="55" t="str">
        <x:v>—</x:v>
      </x:c>
      <x:c r="E1950" s="55" t="inlineStr">
        <x:is>
          <x:t>真‧仙星東瀛神箱（網站未列地圖）；真‧仙星特仕裝箱（網站未列地圖）；夏星創世錦囊（網站未列地圖）；冥蔘化妖（終末之塔第111層、終末之塔第112層、終末之塔第113層）；巨冥虛蔘王（終末之塔第111層）；終塔妖狐（終末之塔第108層、終末之塔第101層、終末之塔第102層、終末之塔第106層）</x:t>
        </x:is>
      </x:c>
    </x:row>
    <x:row r="1951" ht="15" customHeight="1">
      <x:c r="A1951" s="55" t="str">
        <x:v>星鋒冠★★★</x:v>
      </x:c>
      <x:c r="B1951" s="55" t="str">
        <x:v>—</x:v>
      </x:c>
      <x:c r="C1951" s="55" t="str">
        <x:v>—</x:v>
      </x:c>
      <x:c r="D1951" s="55" t="str">
        <x:v>—</x:v>
      </x:c>
      <x:c r="E1951" s="55" t="inlineStr">
        <x:is>
          <x:t>超‧仙星劍裝錦囊（網站未列地圖）</x:t>
        </x:is>
      </x:c>
    </x:row>
    <x:row r="1952" ht="15" customHeight="1">
      <x:c r="A1952" s="55" t="str">
        <x:v>鬥星盔★★★</x:v>
      </x:c>
      <x:c r="B1952" s="55" t="str">
        <x:v>—</x:v>
      </x:c>
      <x:c r="C1952" s="55" t="str">
        <x:v>—</x:v>
      </x:c>
      <x:c r="D1952" s="55" t="str">
        <x:v>—</x:v>
      </x:c>
      <x:c r="E1952" s="55" t="inlineStr">
        <x:is>
          <x:t>超‧仙星勇裝錦囊（網站未列地圖）；凱貝潔特（神王金字塔）</x:t>
        </x:is>
      </x:c>
    </x:row>
    <x:row r="1953" ht="15" customHeight="1">
      <x:c r="A1953" s="55" t="str">
        <x:v>遊星箍★★★</x:v>
      </x:c>
      <x:c r="B1953" s="55" t="str">
        <x:v>—</x:v>
      </x:c>
      <x:c r="C1953" s="55" t="str">
        <x:v>—</x:v>
      </x:c>
      <x:c r="D1953" s="55" t="str">
        <x:v>—</x:v>
      </x:c>
      <x:c r="E1953" s="55" t="inlineStr">
        <x:is>
          <x:t>超‧仙星術裝錦囊（網站未列地圖）；黑后親衛武姬（神王金字塔）</x:t>
        </x:is>
      </x:c>
    </x:row>
    <x:row r="1954" ht="15" customHeight="1">
      <x:c r="A1954" s="55" t="str">
        <x:v>星蹤綸★★★</x:v>
      </x:c>
      <x:c r="B1954" s="55" t="str">
        <x:v>—</x:v>
      </x:c>
      <x:c r="C1954" s="55" t="str">
        <x:v>—</x:v>
      </x:c>
      <x:c r="D1954" s="55" t="str">
        <x:v>—</x:v>
      </x:c>
      <x:c r="E1954" s="55" t="inlineStr">
        <x:is>
          <x:t>超‧仙星道裝錦囊（網站未列地圖）</x:t>
        </x:is>
      </x:c>
    </x:row>
    <x:row r="1955" ht="15" customHeight="1">
      <x:c r="A1955" s="55" t="str">
        <x:v>釋星頂★★★</x:v>
      </x:c>
      <x:c r="B1955" s="55" t="str">
        <x:v>—</x:v>
      </x:c>
      <x:c r="C1955" s="55" t="str">
        <x:v>—</x:v>
      </x:c>
      <x:c r="D1955" s="55" t="str">
        <x:v>—</x:v>
      </x:c>
      <x:c r="E1955" s="55" t="inlineStr">
        <x:is>
          <x:t>超‧仙星僧裝錦囊（網站未列地圖）</x:t>
        </x:is>
      </x:c>
    </x:row>
    <x:row r="1956" ht="45" customHeight="1">
      <x:c r="A1956" s="55" t="str">
        <x:v>星兇冠★★★</x:v>
      </x:c>
      <x:c r="B1956" s="55" t="str">
        <x:v>—</x:v>
      </x:c>
      <x:c r="C1956" s="55" t="str">
        <x:v>—</x:v>
      </x:c>
      <x:c r="D1956" s="55" t="str">
        <x:v>—</x:v>
      </x:c>
      <x:c r="E1956" s="55" t="inlineStr">
        <x:is>
          <x:t>超‧仙星四兇霸箱（網站未列地圖）；超‧仙星特仕裝箱（網站未列地圖）；天罪術者錦囊（網站未列地圖）；殺意魔眼（終末之塔第121層）；鋼皮巨犀（終末之塔第134層、終末之塔第133層、終末之塔第139層、終末之塔第138層、終末之塔第131層、終末之塔第137層、終末之塔第135層、終末之塔第136層）</x:t>
        </x:is>
      </x:c>
    </x:row>
    <x:row r="1957" ht="30" customHeight="1">
      <x:c r="A1957" s="55" t="str">
        <x:v>煌月巾★★★</x:v>
      </x:c>
      <x:c r="B1957" s="55" t="str">
        <x:v>—</x:v>
      </x:c>
      <x:c r="C1957" s="55" t="str">
        <x:v>—</x:v>
      </x:c>
      <x:c r="D1957" s="55" t="str">
        <x:v>—</x:v>
      </x:c>
      <x:c r="E1957" s="55" t="inlineStr">
        <x:is>
          <x:t>超‧仙星東瀛神箱（網站未列地圖）；超‧仙星特仕裝箱（網站未列地圖）；佈霾幽蛾（終末之塔第125層、終末之塔第128層）；紫啼童魚（終末之塔第132層、終末之塔第131層）</x:t>
        </x:is>
      </x:c>
    </x:row>
    <x:row r="1958" ht="15" customHeight="1">
      <x:c r="A1958" s="55" t="str">
        <x:v>烈煌兜☆</x:v>
      </x:c>
      <x:c r="B1958" s="55" t="str">
        <x:v>—</x:v>
      </x:c>
      <x:c r="C1958" s="55" t="str">
        <x:v>—</x:v>
      </x:c>
      <x:c r="D1958" s="55" t="str">
        <x:v>—</x:v>
      </x:c>
      <x:c r="E1958" s="55" t="inlineStr">
        <x:is>
          <x:t>煌星劍裝錦囊（網站未列地圖）</x:t>
        </x:is>
      </x:c>
    </x:row>
    <x:row r="1959" ht="15" customHeight="1">
      <x:c r="A1959" s="55" t="str">
        <x:v>戰煌盔☆</x:v>
      </x:c>
      <x:c r="B1959" s="55" t="str">
        <x:v>—</x:v>
      </x:c>
      <x:c r="C1959" s="55" t="str">
        <x:v>—</x:v>
      </x:c>
      <x:c r="D1959" s="55" t="str">
        <x:v>—</x:v>
      </x:c>
      <x:c r="E1959" s="55" t="inlineStr">
        <x:is>
          <x:t>煌星勇裝錦囊（網站未列地圖）；&lt;凱貝潔特&gt;（修羅級神王金字塔）</x:t>
        </x:is>
      </x:c>
    </x:row>
    <x:row r="1960" ht="15" customHeight="1">
      <x:c r="A1960" s="55" t="str">
        <x:v>燦煌帽☆</x:v>
      </x:c>
      <x:c r="B1960" s="55" t="str">
        <x:v>—</x:v>
      </x:c>
      <x:c r="C1960" s="55" t="str">
        <x:v>—</x:v>
      </x:c>
      <x:c r="D1960" s="55" t="str">
        <x:v>—</x:v>
      </x:c>
      <x:c r="E1960" s="55" t="inlineStr">
        <x:is>
          <x:t>煌星術裝錦囊（網站未列地圖）；&lt;黑后親衛武姬&gt;（修羅級神王金字塔）</x:t>
        </x:is>
      </x:c>
    </x:row>
    <x:row r="1961" ht="15" customHeight="1">
      <x:c r="A1961" s="55" t="str">
        <x:v>道煌面☆</x:v>
      </x:c>
      <x:c r="B1961" s="55" t="str">
        <x:v>—</x:v>
      </x:c>
      <x:c r="C1961" s="55" t="str">
        <x:v>—</x:v>
      </x:c>
      <x:c r="D1961" s="55" t="str">
        <x:v>—</x:v>
      </x:c>
      <x:c r="E1961" s="55" t="inlineStr">
        <x:is>
          <x:t>煌星道裝錦囊（網站未列地圖）</x:t>
        </x:is>
      </x:c>
    </x:row>
    <x:row r="1962" ht="15" customHeight="1">
      <x:c r="A1962" s="55" t="str">
        <x:v>佛煌頂☆</x:v>
      </x:c>
      <x:c r="B1962" s="55" t="str">
        <x:v>—</x:v>
      </x:c>
      <x:c r="C1962" s="55" t="str">
        <x:v>—</x:v>
      </x:c>
      <x:c r="D1962" s="55" t="str">
        <x:v>—</x:v>
      </x:c>
      <x:c r="E1962" s="55" t="inlineStr">
        <x:is>
          <x:t>煌星僧裝錦囊（網站未列地圖）</x:t>
        </x:is>
      </x:c>
    </x:row>
    <x:row r="1963" ht="30" customHeight="1">
      <x:c r="A1963" s="55" t="str">
        <x:v>鬼兇冠☆</x:v>
      </x:c>
      <x:c r="B1963" s="55" t="str">
        <x:v>—</x:v>
      </x:c>
      <x:c r="C1963" s="55" t="str">
        <x:v>—</x:v>
      </x:c>
      <x:c r="D1963" s="55" t="str">
        <x:v>—</x:v>
      </x:c>
      <x:c r="E1963" s="55" t="inlineStr">
        <x:is>
          <x:t>煌星四兇霸裝箱（網站未列地圖）；煌星特仕裝箱（網站未列地圖）；換血戰兵（終末之塔第143層、終末之塔第144層）</x:t>
        </x:is>
      </x:c>
    </x:row>
    <x:row r="1964" ht="30" customHeight="1">
      <x:c r="A1964" s="55" t="str">
        <x:v>柳月巾☆</x:v>
      </x:c>
      <x:c r="B1964" s="55" t="str">
        <x:v>—</x:v>
      </x:c>
      <x:c r="C1964" s="55" t="str">
        <x:v>—</x:v>
      </x:c>
      <x:c r="D1964" s="55" t="str">
        <x:v>—</x:v>
      </x:c>
      <x:c r="E1964" s="55" t="inlineStr">
        <x:is>
          <x:t>煌星東瀛神裝箱（網站未列地圖）；煌星特仕裝箱（網站未列地圖）；罪赦道人錦囊（網站未列地圖）；冥府艷后克麗邁絲（神王金字塔）；艾濟神王寶箱（網站未列地圖）；吸魄蛛精（終末之塔第143層、終末之塔第146層）</x:t>
        </x:is>
      </x:c>
    </x:row>
    <x:row r="1965" ht="15" customHeight="1">
      <x:c r="A1965" s="55" t="str">
        <x:v>烈煌兜☆☆</x:v>
      </x:c>
      <x:c r="B1965" s="55" t="str">
        <x:v>—</x:v>
      </x:c>
      <x:c r="C1965" s="55" t="str">
        <x:v>—</x:v>
      </x:c>
      <x:c r="D1965" s="55" t="str">
        <x:v>—</x:v>
      </x:c>
      <x:c r="E1965" s="55" t="inlineStr">
        <x:is>
          <x:t>真‧煌星劍裝錦囊（網站未列地圖）</x:t>
        </x:is>
      </x:c>
    </x:row>
    <x:row r="1966" ht="15" customHeight="1">
      <x:c r="A1966" s="55" t="str">
        <x:v>戰煌盔☆☆</x:v>
      </x:c>
      <x:c r="B1966" s="55" t="str">
        <x:v>—</x:v>
      </x:c>
      <x:c r="C1966" s="55" t="str">
        <x:v>—</x:v>
      </x:c>
      <x:c r="D1966" s="55" t="str">
        <x:v>—</x:v>
      </x:c>
      <x:c r="E1966" s="55" t="inlineStr">
        <x:is>
          <x:t>真‧煌星勇裝錦囊（網站未列地圖）</x:t>
        </x:is>
      </x:c>
    </x:row>
    <x:row r="1967" ht="15" customHeight="1">
      <x:c r="A1967" s="55" t="str">
        <x:v>燦煌帽☆☆</x:v>
      </x:c>
      <x:c r="B1967" s="55" t="str">
        <x:v>—</x:v>
      </x:c>
      <x:c r="C1967" s="55" t="str">
        <x:v>—</x:v>
      </x:c>
      <x:c r="D1967" s="55" t="str">
        <x:v>—</x:v>
      </x:c>
      <x:c r="E1967" s="55" t="inlineStr">
        <x:is>
          <x:t>真‧煌星術裝錦囊（網站未列地圖）</x:t>
        </x:is>
      </x:c>
    </x:row>
    <x:row r="1968" ht="15" customHeight="1">
      <x:c r="A1968" s="55" t="str">
        <x:v>道煌面☆☆</x:v>
      </x:c>
      <x:c r="B1968" s="55" t="str">
        <x:v>—</x:v>
      </x:c>
      <x:c r="C1968" s="55" t="str">
        <x:v>—</x:v>
      </x:c>
      <x:c r="D1968" s="55" t="str">
        <x:v>—</x:v>
      </x:c>
      <x:c r="E1968" s="55" t="inlineStr">
        <x:is>
          <x:t>真‧煌星道裝錦囊（網站未列地圖）</x:t>
        </x:is>
      </x:c>
    </x:row>
    <x:row r="1969" ht="15" customHeight="1">
      <x:c r="A1969" s="55" t="str">
        <x:v>佛煌頂☆☆</x:v>
      </x:c>
      <x:c r="B1969" s="55" t="str">
        <x:v>—</x:v>
      </x:c>
      <x:c r="C1969" s="55" t="str">
        <x:v>—</x:v>
      </x:c>
      <x:c r="D1969" s="55" t="str">
        <x:v>—</x:v>
      </x:c>
      <x:c r="E1969" s="55" t="inlineStr">
        <x:is>
          <x:t>真‧煌星僧裝錦囊（網站未列地圖）</x:t>
        </x:is>
      </x:c>
    </x:row>
    <x:row r="1970" ht="15" customHeight="1">
      <x:c r="A1970" s="55" t="str">
        <x:v>鬼兇冠☆☆</x:v>
      </x:c>
      <x:c r="B1970" s="55" t="str">
        <x:v>—</x:v>
      </x:c>
      <x:c r="C1970" s="55" t="str">
        <x:v>—</x:v>
      </x:c>
      <x:c r="D1970" s="55" t="str">
        <x:v>—</x:v>
      </x:c>
      <x:c r="E1970" s="55" t="inlineStr">
        <x:is>
          <x:t>真‧煌星四兇霸箱（網站未列地圖）；真‧煌星特仕裝箱（網站未列地圖）</x:t>
        </x:is>
      </x:c>
    </x:row>
    <x:row r="1971" ht="30" customHeight="1">
      <x:c r="A1971" s="55" t="str">
        <x:v>柳月巾☆☆</x:v>
      </x:c>
      <x:c r="B1971" s="55" t="str">
        <x:v>—</x:v>
      </x:c>
      <x:c r="C1971" s="55" t="str">
        <x:v>—</x:v>
      </x:c>
      <x:c r="D1971" s="55" t="str">
        <x:v>—</x:v>
      </x:c>
      <x:c r="E1971" s="55" t="inlineStr">
        <x:is>
          <x:t>真‧煌星東瀛神箱（網站未列地圖）；真‧煌星特仕裝箱（網站未列地圖）；真‧太陽神典錦囊（網站未列地圖）；終罪道人錦囊（網站未列地圖）；真‧艾濟神王寶箱（網站未列地圖）；鑽身神司印曷闐（修羅級神王金字塔）</x:t>
        </x:is>
      </x:c>
    </x:row>
    <x:row r="1972" ht="15" customHeight="1">
      <x:c r="A1972" s="55" t="str">
        <x:v>烈煌兜☆☆☆</x:v>
      </x:c>
      <x:c r="B1972" s="55" t="str">
        <x:v>—</x:v>
      </x:c>
      <x:c r="C1972" s="55" t="str">
        <x:v>—</x:v>
      </x:c>
      <x:c r="D1972" s="55" t="str">
        <x:v>—</x:v>
      </x:c>
      <x:c r="E1972" s="55" t="inlineStr">
        <x:is>
          <x:t>超‧煌星劍裝錦囊（網站未列地圖）</x:t>
        </x:is>
      </x:c>
    </x:row>
    <x:row r="1973" ht="15" customHeight="1">
      <x:c r="A1973" s="55" t="str">
        <x:v>戰煌盔☆☆☆</x:v>
      </x:c>
      <x:c r="B1973" s="55" t="str">
        <x:v>—</x:v>
      </x:c>
      <x:c r="C1973" s="55" t="str">
        <x:v>—</x:v>
      </x:c>
      <x:c r="D1973" s="55" t="str">
        <x:v>—</x:v>
      </x:c>
      <x:c r="E1973" s="55" t="inlineStr">
        <x:is>
          <x:t>超‧煌星勇裝錦囊（網站未列地圖）</x:t>
        </x:is>
      </x:c>
    </x:row>
    <x:row r="1974" ht="15" customHeight="1">
      <x:c r="A1974" s="55" t="str">
        <x:v>燦煌帽☆☆☆</x:v>
      </x:c>
      <x:c r="B1974" s="55" t="str">
        <x:v>—</x:v>
      </x:c>
      <x:c r="C1974" s="55" t="str">
        <x:v>—</x:v>
      </x:c>
      <x:c r="D1974" s="55" t="str">
        <x:v>—</x:v>
      </x:c>
      <x:c r="E1974" s="55" t="inlineStr">
        <x:is>
          <x:t>超‧煌星術裝錦囊（網站未列地圖）</x:t>
        </x:is>
      </x:c>
    </x:row>
    <x:row r="1975" ht="15" customHeight="1">
      <x:c r="A1975" s="55" t="str">
        <x:v>道煌面☆☆☆</x:v>
      </x:c>
      <x:c r="B1975" s="55" t="str">
        <x:v>—</x:v>
      </x:c>
      <x:c r="C1975" s="55" t="str">
        <x:v>—</x:v>
      </x:c>
      <x:c r="D1975" s="55" t="str">
        <x:v>—</x:v>
      </x:c>
      <x:c r="E1975" s="55" t="inlineStr">
        <x:is>
          <x:t>超‧煌星道裝錦囊（網站未列地圖）</x:t>
        </x:is>
      </x:c>
    </x:row>
    <x:row r="1976" ht="15" customHeight="1">
      <x:c r="A1976" s="55" t="str">
        <x:v>佛煌頂☆☆☆</x:v>
      </x:c>
      <x:c r="B1976" s="55" t="str">
        <x:v>—</x:v>
      </x:c>
      <x:c r="C1976" s="55" t="str">
        <x:v>—</x:v>
      </x:c>
      <x:c r="D1976" s="55" t="str">
        <x:v>—</x:v>
      </x:c>
      <x:c r="E1976" s="55" t="inlineStr">
        <x:is>
          <x:t>超‧煌星僧裝錦囊（網站未列地圖）</x:t>
        </x:is>
      </x:c>
    </x:row>
    <x:row r="1977" ht="15" customHeight="1">
      <x:c r="A1977" s="55" t="str">
        <x:v>鬼兇冠☆☆☆</x:v>
      </x:c>
      <x:c r="B1977" s="55" t="str">
        <x:v>—</x:v>
      </x:c>
      <x:c r="C1977" s="55" t="str">
        <x:v>—</x:v>
      </x:c>
      <x:c r="D1977" s="55" t="str">
        <x:v>—</x:v>
      </x:c>
      <x:c r="E1977" s="55" t="inlineStr">
        <x:is>
          <x:t>超‧煌星四兇霸箱（網站未列地圖）；超‧煌星特仕裝箱（網站未列地圖）；虛無行者．劍（修羅級黃龍秘殿）</x:t>
        </x:is>
      </x:c>
    </x:row>
    <x:row r="1978" ht="30" customHeight="1">
      <x:c r="A1978" s="55" t="str">
        <x:v>柳月巾☆☆☆</x:v>
      </x:c>
      <x:c r="B1978" s="55" t="str">
        <x:v>—</x:v>
      </x:c>
      <x:c r="C1978" s="55" t="str">
        <x:v>—</x:v>
      </x:c>
      <x:c r="D1978" s="55" t="str">
        <x:v>—</x:v>
      </x:c>
      <x:c r="E1978" s="55" t="inlineStr">
        <x:is>
          <x:t>超‧煌星東瀛神箱（網站未列地圖）；超‧煌星特仕裝箱（網站未列地圖）；虛空布道使（黃龍秘殿）；&lt;虛空布道使&gt;（修羅級黃龍秘殿）</x:t>
        </x:is>
      </x:c>
    </x:row>
    <x:row r="1979" ht="15" customHeight="1">
      <x:c r="A1979" s="55" t="str">
        <x:v>劍帝冕☆</x:v>
      </x:c>
      <x:c r="B1979" s="55" t="str">
        <x:v>—</x:v>
      </x:c>
      <x:c r="C1979" s="55" t="str">
        <x:v>—</x:v>
      </x:c>
      <x:c r="D1979" s="55" t="str">
        <x:v>—</x:v>
      </x:c>
      <x:c r="E1979" s="55" t="inlineStr">
        <x:is>
          <x:t>帝星劍裝錦囊（網站未列地圖）；火霸機關長（藏意武窟）</x:t>
        </x:is>
      </x:c>
    </x:row>
    <x:row r="1980" ht="15" customHeight="1">
      <x:c r="A1980" s="55" t="str">
        <x:v>武帝盔☆</x:v>
      </x:c>
      <x:c r="B1980" s="55" t="str">
        <x:v>—</x:v>
      </x:c>
      <x:c r="C1980" s="55" t="str">
        <x:v>—</x:v>
      </x:c>
      <x:c r="D1980" s="55" t="str">
        <x:v>—</x:v>
      </x:c>
      <x:c r="E1980" s="55" t="inlineStr">
        <x:is>
          <x:t>帝星勇裝錦囊（網站未列地圖）；武窟精衛（藏意武窟）</x:t>
        </x:is>
      </x:c>
    </x:row>
    <x:row r="1981" ht="15" customHeight="1">
      <x:c r="A1981" s="55" t="str">
        <x:v>幻帝面☆</x:v>
      </x:c>
      <x:c r="B1981" s="55" t="str">
        <x:v>—</x:v>
      </x:c>
      <x:c r="C1981" s="55" t="str">
        <x:v>—</x:v>
      </x:c>
      <x:c r="D1981" s="55" t="str">
        <x:v>—</x:v>
      </x:c>
      <x:c r="E1981" s="55" t="inlineStr">
        <x:is>
          <x:t>帝星術裝錦囊（網站未列地圖）；遠襲機關兵（藏意武窟）</x:t>
        </x:is>
      </x:c>
    </x:row>
    <x:row r="1982" ht="15" customHeight="1">
      <x:c r="A1982" s="55" t="str">
        <x:v>道帝簪☆</x:v>
      </x:c>
      <x:c r="B1982" s="55" t="str">
        <x:v>—</x:v>
      </x:c>
      <x:c r="C1982" s="55" t="str">
        <x:v>—</x:v>
      </x:c>
      <x:c r="D1982" s="55" t="str">
        <x:v>—</x:v>
      </x:c>
      <x:c r="E1982" s="55" t="inlineStr">
        <x:is>
          <x:t>帝星道裝錦囊（網站未列地圖）；雷武機關兵（藏意武窟）</x:t>
        </x:is>
      </x:c>
    </x:row>
    <x:row r="1983" ht="15" customHeight="1">
      <x:c r="A1983" s="55" t="str">
        <x:v>禪帝頂☆</x:v>
      </x:c>
      <x:c r="B1983" s="55" t="str">
        <x:v>—</x:v>
      </x:c>
      <x:c r="C1983" s="55" t="str">
        <x:v>—</x:v>
      </x:c>
      <x:c r="D1983" s="55" t="str">
        <x:v>—</x:v>
      </x:c>
      <x:c r="E1983" s="55" t="inlineStr">
        <x:is>
          <x:t>帝星僧裝錦囊（網站未列地圖）；大內秘衛（藏意武窟）</x:t>
        </x:is>
      </x:c>
    </x:row>
    <x:row r="1984" ht="15" customHeight="1">
      <x:c r="A1984" s="55" t="str">
        <x:v>鬼帝冠☆</x:v>
      </x:c>
      <x:c r="B1984" s="55" t="str">
        <x:v>—</x:v>
      </x:c>
      <x:c r="C1984" s="55" t="str">
        <x:v>—</x:v>
      </x:c>
      <x:c r="D1984" s="55" t="str">
        <x:v>—</x:v>
      </x:c>
      <x:c r="E1984" s="55" t="inlineStr">
        <x:is>
          <x:t>帝星四兇霸裝箱（網站未列地圖）；帝星特仕裝箱（網站未列地圖）</x:t>
        </x:is>
      </x:c>
    </x:row>
    <x:row r="1985" ht="15" customHeight="1">
      <x:c r="A1985" s="55" t="str">
        <x:v>黃月巾☆</x:v>
      </x:c>
      <x:c r="B1985" s="55" t="str">
        <x:v>—</x:v>
      </x:c>
      <x:c r="C1985" s="55" t="str">
        <x:v>—</x:v>
      </x:c>
      <x:c r="D1985" s="55" t="str">
        <x:v>—</x:v>
      </x:c>
      <x:c r="E1985" s="55" t="inlineStr">
        <x:is>
          <x:t>帝星東瀛神裝箱（網站未列地圖）；帝星特仕裝箱（網站未列地圖）</x:t>
        </x:is>
      </x:c>
    </x:row>
    <x:row r="1986" ht="15" customHeight="1">
      <x:c r="A1986" s="55" t="str">
        <x:v>劍帝冕★</x:v>
      </x:c>
      <x:c r="B1986" s="55" t="str">
        <x:v>—</x:v>
      </x:c>
      <x:c r="C1986" s="55" t="str">
        <x:v>—</x:v>
      </x:c>
      <x:c r="D1986" s="55" t="str">
        <x:v>—</x:v>
      </x:c>
      <x:c r="E1986" s="55" t="inlineStr">
        <x:is>
          <x:t>真‧帝星劍裝錦囊（網站未列地圖）</x:t>
        </x:is>
      </x:c>
    </x:row>
    <x:row r="1987" ht="15" customHeight="1">
      <x:c r="A1987" s="55" t="str">
        <x:v>武帝盔★</x:v>
      </x:c>
      <x:c r="B1987" s="55" t="str">
        <x:v>—</x:v>
      </x:c>
      <x:c r="C1987" s="55" t="str">
        <x:v>—</x:v>
      </x:c>
      <x:c r="D1987" s="55" t="str">
        <x:v>—</x:v>
      </x:c>
      <x:c r="E1987" s="55" t="inlineStr">
        <x:is>
          <x:t>真‧帝星勇裝錦囊（網站未列地圖）</x:t>
        </x:is>
      </x:c>
    </x:row>
    <x:row r="1988" ht="15" customHeight="1">
      <x:c r="A1988" s="55" t="str">
        <x:v>幻帝面★</x:v>
      </x:c>
      <x:c r="B1988" s="55" t="str">
        <x:v>—</x:v>
      </x:c>
      <x:c r="C1988" s="55" t="str">
        <x:v>—</x:v>
      </x:c>
      <x:c r="D1988" s="55" t="str">
        <x:v>—</x:v>
      </x:c>
      <x:c r="E1988" s="55" t="inlineStr">
        <x:is>
          <x:t>真‧帝星術裝錦囊（網站未列地圖）；襲關姝（山海長疆、太安道）</x:t>
        </x:is>
      </x:c>
    </x:row>
    <x:row r="1989" ht="15" customHeight="1">
      <x:c r="A1989" s="55" t="str">
        <x:v>道帝簪★</x:v>
      </x:c>
      <x:c r="B1989" s="55" t="str">
        <x:v>—</x:v>
      </x:c>
      <x:c r="C1989" s="55" t="str">
        <x:v>—</x:v>
      </x:c>
      <x:c r="D1989" s="55" t="str">
        <x:v>—</x:v>
      </x:c>
      <x:c r="E1989" s="55" t="inlineStr">
        <x:is>
          <x:t>真‧帝星道裝錦囊（網站未列地圖）</x:t>
        </x:is>
      </x:c>
    </x:row>
    <x:row r="1990" ht="15" customHeight="1">
      <x:c r="A1990" s="55" t="str">
        <x:v>禪帝頂★</x:v>
      </x:c>
      <x:c r="B1990" s="55" t="str">
        <x:v>—</x:v>
      </x:c>
      <x:c r="C1990" s="55" t="str">
        <x:v>—</x:v>
      </x:c>
      <x:c r="D1990" s="55" t="str">
        <x:v>—</x:v>
      </x:c>
      <x:c r="E1990" s="55" t="inlineStr">
        <x:is>
          <x:t>真‧帝星僧裝錦囊（網站未列地圖）</x:t>
        </x:is>
      </x:c>
    </x:row>
    <x:row r="1991" ht="15" customHeight="1">
      <x:c r="A1991" s="55" t="str">
        <x:v>鬼帝冠★</x:v>
      </x:c>
      <x:c r="B1991" s="55" t="str">
        <x:v>—</x:v>
      </x:c>
      <x:c r="C1991" s="55" t="str">
        <x:v>—</x:v>
      </x:c>
      <x:c r="D1991" s="55" t="str">
        <x:v>—</x:v>
      </x:c>
      <x:c r="E1991" s="55" t="inlineStr">
        <x:is>
          <x:t>真‧帝星四兇霸箱（網站未列地圖）；真‧帝星特仕裝箱（網站未列地圖）</x:t>
        </x:is>
      </x:c>
    </x:row>
    <x:row r="1992" ht="15" customHeight="1">
      <x:c r="A1992" s="55" t="str">
        <x:v>黃月巾★</x:v>
      </x:c>
      <x:c r="B1992" s="55" t="str">
        <x:v>—</x:v>
      </x:c>
      <x:c r="C1992" s="55" t="str">
        <x:v>—</x:v>
      </x:c>
      <x:c r="D1992" s="55" t="str">
        <x:v>—</x:v>
      </x:c>
      <x:c r="E1992" s="55" t="inlineStr">
        <x:is>
          <x:t>真‧帝星東瀛神箱（網站未列地圖）；真‧帝星特仕裝箱（網站未列地圖）；武冠道人錦囊（網站未列地圖）</x:t>
        </x:is>
      </x:c>
    </x:row>
    <x:row r="1993" ht="15" customHeight="1">
      <x:c r="A1993" s="55" t="str">
        <x:v>劍帝冕★☆</x:v>
      </x:c>
      <x:c r="B1993" s="55" t="str">
        <x:v>—</x:v>
      </x:c>
      <x:c r="C1993" s="55" t="str">
        <x:v>—</x:v>
      </x:c>
      <x:c r="D1993" s="55" t="str">
        <x:v>—</x:v>
      </x:c>
      <x:c r="E1993" s="55" t="inlineStr">
        <x:is>
          <x:t>超‧帝星劍裝錦囊（網站未列地圖）</x:t>
        </x:is>
      </x:c>
    </x:row>
    <x:row r="1994" ht="15" customHeight="1">
      <x:c r="A1994" s="55" t="str">
        <x:v>武帝盔★☆</x:v>
      </x:c>
      <x:c r="B1994" s="55" t="str">
        <x:v>—</x:v>
      </x:c>
      <x:c r="C1994" s="55" t="str">
        <x:v>—</x:v>
      </x:c>
      <x:c r="D1994" s="55" t="str">
        <x:v>—</x:v>
      </x:c>
      <x:c r="E1994" s="55" t="inlineStr">
        <x:is>
          <x:t>超‧帝星勇裝錦囊（網站未列地圖）</x:t>
        </x:is>
      </x:c>
    </x:row>
    <x:row r="1995" ht="15" customHeight="1">
      <x:c r="A1995" s="55" t="str">
        <x:v>幻帝面★☆</x:v>
      </x:c>
      <x:c r="B1995" s="55" t="str">
        <x:v>—</x:v>
      </x:c>
      <x:c r="C1995" s="55" t="str">
        <x:v>—</x:v>
      </x:c>
      <x:c r="D1995" s="55" t="str">
        <x:v>—</x:v>
      </x:c>
      <x:c r="E1995" s="55" t="inlineStr">
        <x:is>
          <x:t>超‧帝星術裝錦囊（網站未列地圖）</x:t>
        </x:is>
      </x:c>
    </x:row>
    <x:row r="1996" ht="15" customHeight="1">
      <x:c r="A1996" s="55" t="str">
        <x:v>道帝簪★☆</x:v>
      </x:c>
      <x:c r="B1996" s="55" t="str">
        <x:v>—</x:v>
      </x:c>
      <x:c r="C1996" s="55" t="str">
        <x:v>—</x:v>
      </x:c>
      <x:c r="D1996" s="55" t="str">
        <x:v>—</x:v>
      </x:c>
      <x:c r="E1996" s="55" t="inlineStr">
        <x:is>
          <x:t>超‧帝星道裝錦囊（網站未列地圖）</x:t>
        </x:is>
      </x:c>
    </x:row>
    <x:row r="1997" ht="15" customHeight="1">
      <x:c r="A1997" s="55" t="str">
        <x:v>禪帝頂★☆</x:v>
      </x:c>
      <x:c r="B1997" s="55" t="str">
        <x:v>—</x:v>
      </x:c>
      <x:c r="C1997" s="55" t="str">
        <x:v>—</x:v>
      </x:c>
      <x:c r="D1997" s="55" t="str">
        <x:v>—</x:v>
      </x:c>
      <x:c r="E1997" s="55" t="inlineStr">
        <x:is>
          <x:t>超‧帝星僧裝錦囊（網站未列地圖）</x:t>
        </x:is>
      </x:c>
    </x:row>
    <x:row r="1998" ht="15" customHeight="1">
      <x:c r="A1998" s="55" t="str">
        <x:v>鬼帝冠★☆</x:v>
      </x:c>
      <x:c r="B1998" s="55" t="str">
        <x:v>—</x:v>
      </x:c>
      <x:c r="C1998" s="55" t="str">
        <x:v>—</x:v>
      </x:c>
      <x:c r="D1998" s="55" t="str">
        <x:v>—</x:v>
      </x:c>
      <x:c r="E1998" s="55" t="inlineStr">
        <x:is>
          <x:t>超‧帝星四兇霸箱（網站未列地圖）；超‧帝星特仕裝箱（網站未列地圖）</x:t>
        </x:is>
      </x:c>
    </x:row>
    <x:row r="1999" ht="15" customHeight="1">
      <x:c r="A1999" s="55" t="str">
        <x:v>黃月巾★☆</x:v>
      </x:c>
      <x:c r="B1999" s="55" t="str">
        <x:v>—</x:v>
      </x:c>
      <x:c r="C1999" s="55" t="str">
        <x:v>—</x:v>
      </x:c>
      <x:c r="D1999" s="55" t="str">
        <x:v>—</x:v>
      </x:c>
      <x:c r="E1999" s="55" t="inlineStr">
        <x:is>
          <x:t>超‧帝星東瀛神箱（網站未列地圖）；超‧帝星特仕裝箱（網站未列地圖）</x:t>
        </x:is>
      </x:c>
    </x:row>
    <x:row r="2000" ht="15" customHeight="1">
      <x:c r="A2000" s="55" t="str">
        <x:v>劍帝冕★★</x:v>
      </x:c>
      <x:c r="B2000" s="55" t="str">
        <x:v>—</x:v>
      </x:c>
      <x:c r="C2000" s="55" t="str">
        <x:v>—</x:v>
      </x:c>
      <x:c r="D2000" s="55" t="str">
        <x:v>—</x:v>
      </x:c>
      <x:c r="E2000" s="55" t="inlineStr">
        <x:is>
          <x:t>極‧帝星劍裝錦囊（網站未列地圖）</x:t>
        </x:is>
      </x:c>
    </x:row>
    <x:row r="2001" ht="15" customHeight="1">
      <x:c r="A2001" s="55" t="str">
        <x:v>武帝盔★★</x:v>
      </x:c>
      <x:c r="B2001" s="55" t="str">
        <x:v>—</x:v>
      </x:c>
      <x:c r="C2001" s="55" t="str">
        <x:v>—</x:v>
      </x:c>
      <x:c r="D2001" s="55" t="str">
        <x:v>—</x:v>
      </x:c>
      <x:c r="E2001" s="55" t="inlineStr">
        <x:is>
          <x:t>極‧帝星勇裝錦囊（網站未列地圖）</x:t>
        </x:is>
      </x:c>
    </x:row>
    <x:row r="2002" ht="15" customHeight="1">
      <x:c r="A2002" s="55" t="str">
        <x:v>幻帝面★★</x:v>
      </x:c>
      <x:c r="B2002" s="55" t="str">
        <x:v>—</x:v>
      </x:c>
      <x:c r="C2002" s="55" t="str">
        <x:v>—</x:v>
      </x:c>
      <x:c r="D2002" s="55" t="str">
        <x:v>—</x:v>
      </x:c>
      <x:c r="E2002" s="55" t="inlineStr">
        <x:is>
          <x:t>極‧帝星術裝錦囊（網站未列地圖）</x:t>
        </x:is>
      </x:c>
    </x:row>
    <x:row r="2003" ht="15" customHeight="1">
      <x:c r="A2003" s="55" t="str">
        <x:v>道帝簪★★</x:v>
      </x:c>
      <x:c r="B2003" s="55" t="str">
        <x:v>—</x:v>
      </x:c>
      <x:c r="C2003" s="55" t="str">
        <x:v>—</x:v>
      </x:c>
      <x:c r="D2003" s="55" t="str">
        <x:v>—</x:v>
      </x:c>
      <x:c r="E2003" s="55" t="inlineStr">
        <x:is>
          <x:t>極‧帝星道裝錦囊（網站未列地圖）</x:t>
        </x:is>
      </x:c>
    </x:row>
    <x:row r="2004" ht="15" customHeight="1">
      <x:c r="A2004" s="55" t="str">
        <x:v>禪帝頂★★</x:v>
      </x:c>
      <x:c r="B2004" s="55" t="str">
        <x:v>—</x:v>
      </x:c>
      <x:c r="C2004" s="55" t="str">
        <x:v>—</x:v>
      </x:c>
      <x:c r="D2004" s="55" t="str">
        <x:v>—</x:v>
      </x:c>
      <x:c r="E2004" s="55" t="inlineStr">
        <x:is>
          <x:t>極‧帝星僧裝錦囊（網站未列地圖）</x:t>
        </x:is>
      </x:c>
    </x:row>
    <x:row r="2005" ht="15" customHeight="1">
      <x:c r="A2005" s="55" t="str">
        <x:v>鬼帝冠★★</x:v>
      </x:c>
      <x:c r="B2005" s="55" t="str">
        <x:v>—</x:v>
      </x:c>
      <x:c r="C2005" s="55" t="str">
        <x:v>—</x:v>
      </x:c>
      <x:c r="D2005" s="55" t="str">
        <x:v>—</x:v>
      </x:c>
      <x:c r="E2005" s="55" t="inlineStr">
        <x:is>
          <x:t>極‧帝星四兇霸箱（網站未列地圖）；極‧帝星特仕裝箱（網站未列地圖）</x:t>
        </x:is>
      </x:c>
    </x:row>
    <x:row r="2006" ht="15" customHeight="1">
      <x:c r="A2006" s="55" t="str">
        <x:v>黃月巾★★</x:v>
      </x:c>
      <x:c r="B2006" s="55" t="str">
        <x:v>—</x:v>
      </x:c>
      <x:c r="C2006" s="55" t="str">
        <x:v>—</x:v>
      </x:c>
      <x:c r="D2006" s="55" t="str">
        <x:v>—</x:v>
      </x:c>
      <x:c r="E2006" s="55" t="inlineStr">
        <x:is>
          <x:t>極‧帝星東瀛神箱（網站未列地圖）；極‧帝星特仕裝箱（網站未列地圖）</x:t>
        </x:is>
      </x:c>
    </x:row>
    <x:row r="2007" ht="15" customHeight="1">
      <x:c r="A2007" s="55" t="str">
        <x:v>劍帝冕★★☆</x:v>
      </x:c>
      <x:c r="B2007" s="55" t="str">
        <x:v>—</x:v>
      </x:c>
      <x:c r="C2007" s="55" t="str">
        <x:v>—</x:v>
      </x:c>
      <x:c r="D2007" s="55" t="str">
        <x:v>—</x:v>
      </x:c>
      <x:c r="E2007" s="55" t="inlineStr">
        <x:is>
          <x:t>絕‧帝星劍裝錦囊（網站未列地圖）</x:t>
        </x:is>
      </x:c>
    </x:row>
    <x:row r="2008" ht="15" customHeight="1">
      <x:c r="A2008" s="55" t="str">
        <x:v>武帝盔★★☆</x:v>
      </x:c>
      <x:c r="B2008" s="55" t="str">
        <x:v>—</x:v>
      </x:c>
      <x:c r="C2008" s="55" t="str">
        <x:v>—</x:v>
      </x:c>
      <x:c r="D2008" s="55" t="str">
        <x:v>—</x:v>
      </x:c>
      <x:c r="E2008" s="55" t="inlineStr">
        <x:is>
          <x:t>絕‧帝星勇裝錦囊（網站未列地圖）</x:t>
        </x:is>
      </x:c>
    </x:row>
    <x:row r="2009" ht="15" customHeight="1">
      <x:c r="A2009" s="55" t="str">
        <x:v>幻帝面★★☆</x:v>
      </x:c>
      <x:c r="B2009" s="55" t="str">
        <x:v>—</x:v>
      </x:c>
      <x:c r="C2009" s="55" t="str">
        <x:v>—</x:v>
      </x:c>
      <x:c r="D2009" s="55" t="str">
        <x:v>—</x:v>
      </x:c>
      <x:c r="E2009" s="55" t="inlineStr">
        <x:is>
          <x:t>絕‧帝星術裝錦囊（網站未列地圖）</x:t>
        </x:is>
      </x:c>
    </x:row>
    <x:row r="2010" ht="15" customHeight="1">
      <x:c r="A2010" s="55" t="str">
        <x:v>道帝簪★★☆</x:v>
      </x:c>
      <x:c r="B2010" s="55" t="str">
        <x:v>—</x:v>
      </x:c>
      <x:c r="C2010" s="55" t="str">
        <x:v>—</x:v>
      </x:c>
      <x:c r="D2010" s="55" t="str">
        <x:v>—</x:v>
      </x:c>
      <x:c r="E2010" s="55" t="inlineStr">
        <x:is>
          <x:t>絕‧帝星道裝錦囊（網站未列地圖）</x:t>
        </x:is>
      </x:c>
    </x:row>
    <x:row r="2011" ht="15" customHeight="1">
      <x:c r="A2011" s="55" t="str">
        <x:v>禪帝頂★★☆</x:v>
      </x:c>
      <x:c r="B2011" s="55" t="str">
        <x:v>—</x:v>
      </x:c>
      <x:c r="C2011" s="55" t="str">
        <x:v>—</x:v>
      </x:c>
      <x:c r="D2011" s="55" t="str">
        <x:v>—</x:v>
      </x:c>
      <x:c r="E2011" s="55" t="inlineStr">
        <x:is>
          <x:t>絕‧帝星僧裝錦囊（網站未列地圖）</x:t>
        </x:is>
      </x:c>
    </x:row>
    <x:row r="2012" ht="15" customHeight="1">
      <x:c r="A2012" s="55" t="str">
        <x:v>鬼帝冠★★☆</x:v>
      </x:c>
      <x:c r="B2012" s="55" t="str">
        <x:v>—</x:v>
      </x:c>
      <x:c r="C2012" s="55" t="str">
        <x:v>—</x:v>
      </x:c>
      <x:c r="D2012" s="55" t="str">
        <x:v>—</x:v>
      </x:c>
      <x:c r="E2012" s="55" t="inlineStr">
        <x:is>
          <x:t>絕‧帝星四兇霸箱（網站未列地圖）；絕‧帝星特仕裝箱（網站未列地圖）</x:t>
        </x:is>
      </x:c>
    </x:row>
    <x:row r="2013" ht="15" customHeight="1">
      <x:c r="A2013" s="55" t="str">
        <x:v>黃月巾★★☆</x:v>
      </x:c>
      <x:c r="B2013" s="55" t="str">
        <x:v>—</x:v>
      </x:c>
      <x:c r="C2013" s="55" t="str">
        <x:v>—</x:v>
      </x:c>
      <x:c r="D2013" s="55" t="str">
        <x:v>—</x:v>
      </x:c>
      <x:c r="E2013" s="55" t="inlineStr">
        <x:is>
          <x:t>絕‧帝星東瀛神箱（網站未列地圖）；絕‧帝星特仕裝箱（網站未列地圖）；天元道人錦囊（網站未列地圖）</x:t>
        </x:is>
      </x:c>
    </x:row>
    <x:row r="2014" ht="15" customHeight="1">
      <x:c r="A2014" s="55" t="str">
        <x:v>劍帝冕★★★</x:v>
      </x:c>
      <x:c r="B2014" s="55" t="str">
        <x:v>—</x:v>
      </x:c>
      <x:c r="C2014" s="55" t="str">
        <x:v>—</x:v>
      </x:c>
      <x:c r="D2014" s="55" t="str">
        <x:v>—</x:v>
      </x:c>
      <x:c r="E2014" s="55" t="inlineStr">
        <x:is>
          <x:t>神‧帝星劍裝錦囊（網站未列地圖）</x:t>
        </x:is>
      </x:c>
    </x:row>
    <x:row r="2015" ht="15" customHeight="1">
      <x:c r="A2015" s="55" t="str">
        <x:v>武帝盔★★★</x:v>
      </x:c>
      <x:c r="B2015" s="55" t="str">
        <x:v>—</x:v>
      </x:c>
      <x:c r="C2015" s="55" t="str">
        <x:v>—</x:v>
      </x:c>
      <x:c r="D2015" s="55" t="str">
        <x:v>—</x:v>
      </x:c>
      <x:c r="E2015" s="55" t="inlineStr">
        <x:is>
          <x:t>神‧帝星勇裝錦囊（網站未列地圖）</x:t>
        </x:is>
      </x:c>
    </x:row>
    <x:row r="2016" ht="15" customHeight="1">
      <x:c r="A2016" s="55" t="str">
        <x:v>幻帝面★★★</x:v>
      </x:c>
      <x:c r="B2016" s="55" t="str">
        <x:v>—</x:v>
      </x:c>
      <x:c r="C2016" s="55" t="str">
        <x:v>—</x:v>
      </x:c>
      <x:c r="D2016" s="55" t="str">
        <x:v>—</x:v>
      </x:c>
      <x:c r="E2016" s="55" t="inlineStr">
        <x:is>
          <x:t>神‧帝星術裝錦囊（網站未列地圖）</x:t>
        </x:is>
      </x:c>
    </x:row>
    <x:row r="2017" ht="15" customHeight="1">
      <x:c r="A2017" s="55" t="str">
        <x:v>道帝簪★★★</x:v>
      </x:c>
      <x:c r="B2017" s="55" t="str">
        <x:v>—</x:v>
      </x:c>
      <x:c r="C2017" s="55" t="str">
        <x:v>—</x:v>
      </x:c>
      <x:c r="D2017" s="55" t="str">
        <x:v>—</x:v>
      </x:c>
      <x:c r="E2017" s="55" t="inlineStr">
        <x:is>
          <x:t>神‧帝星道裝錦囊（網站未列地圖）</x:t>
        </x:is>
      </x:c>
    </x:row>
    <x:row r="2018" ht="15" customHeight="1">
      <x:c r="A2018" s="55" t="str">
        <x:v>禪帝頂★★★</x:v>
      </x:c>
      <x:c r="B2018" s="55" t="str">
        <x:v>—</x:v>
      </x:c>
      <x:c r="C2018" s="55" t="str">
        <x:v>—</x:v>
      </x:c>
      <x:c r="D2018" s="55" t="str">
        <x:v>—</x:v>
      </x:c>
      <x:c r="E2018" s="55" t="inlineStr">
        <x:is>
          <x:t>神‧帝星僧裝錦囊（網站未列地圖）</x:t>
        </x:is>
      </x:c>
    </x:row>
    <x:row r="2019" ht="15" customHeight="1">
      <x:c r="A2019" s="55" t="str">
        <x:v>鬼帝冠★★★</x:v>
      </x:c>
      <x:c r="B2019" s="55" t="str">
        <x:v>—</x:v>
      </x:c>
      <x:c r="C2019" s="55" t="str">
        <x:v>—</x:v>
      </x:c>
      <x:c r="D2019" s="55" t="str">
        <x:v>—</x:v>
      </x:c>
      <x:c r="E2019" s="55" t="inlineStr">
        <x:is>
          <x:t>神‧帝星四兇霸箱（網站未列地圖）；神‧帝星特仕裝箱（網站未列地圖）</x:t>
        </x:is>
      </x:c>
    </x:row>
    <x:row r="2020" ht="15" customHeight="1">
      <x:c r="A2020" s="55" t="str">
        <x:v>黃月巾★★★</x:v>
      </x:c>
      <x:c r="B2020" s="55" t="str">
        <x:v>—</x:v>
      </x:c>
      <x:c r="C2020" s="55" t="str">
        <x:v>—</x:v>
      </x:c>
      <x:c r="D2020" s="55" t="str">
        <x:v>—</x:v>
      </x:c>
      <x:c r="E2020" s="55" t="inlineStr">
        <x:is>
          <x:t>神‧帝星東瀛神箱（網站未列地圖）；神‧帝星特仕裝箱（網站未列地圖）</x:t>
        </x:is>
      </x:c>
    </x:row>
    <x:row r="2021" ht="15" customHeight="1">
      <x:c r="A2021" s="55" t="str">
        <x:v>新星之劍英盔</x:v>
      </x:c>
      <x:c r="B2021" s="55" t="str">
        <x:v>—</x:v>
      </x:c>
      <x:c r="C2021" s="55" t="str">
        <x:v>—</x:v>
      </x:c>
      <x:c r="D2021" s="55" t="str">
        <x:v>—</x:v>
      </x:c>
      <x:c r="E2021" s="55" t="inlineStr">
        <x:is>
          <x:t>—</x:t>
        </x:is>
      </x:c>
    </x:row>
    <x:row r="2022" ht="15" customHeight="1">
      <x:c r="A2022" s="55" t="str">
        <x:v>新星之武豪盔</x:v>
      </x:c>
      <x:c r="B2022" s="55" t="str">
        <x:v>—</x:v>
      </x:c>
      <x:c r="C2022" s="55" t="str">
        <x:v>—</x:v>
      </x:c>
      <x:c r="D2022" s="55" t="str">
        <x:v>—</x:v>
      </x:c>
      <x:c r="E2022" s="55" t="inlineStr">
        <x:is>
          <x:t>—</x:t>
        </x:is>
      </x:c>
    </x:row>
    <x:row r="2023" ht="15" customHeight="1">
      <x:c r="A2023" s="55" t="str">
        <x:v>新星之術潛紗</x:v>
      </x:c>
      <x:c r="B2023" s="55" t="str">
        <x:v>—</x:v>
      </x:c>
      <x:c r="C2023" s="55" t="str">
        <x:v>—</x:v>
      </x:c>
      <x:c r="D2023" s="55" t="str">
        <x:v>—</x:v>
      </x:c>
      <x:c r="E2023" s="55" t="inlineStr">
        <x:is>
          <x:t>—</x:t>
        </x:is>
      </x:c>
    </x:row>
    <x:row r="2024" ht="15" customHeight="1">
      <x:c r="A2024" s="55" t="str">
        <x:v>新星之道明冠</x:v>
      </x:c>
      <x:c r="B2024" s="55" t="str">
        <x:v>—</x:v>
      </x:c>
      <x:c r="C2024" s="55" t="str">
        <x:v>—</x:v>
      </x:c>
      <x:c r="D2024" s="55" t="str">
        <x:v>—</x:v>
      </x:c>
      <x:c r="E2024" s="55" t="inlineStr">
        <x:is>
          <x:t>—</x:t>
        </x:is>
      </x:c>
    </x:row>
    <x:row r="2025" ht="15" customHeight="1">
      <x:c r="A2025" s="55" t="str">
        <x:v>新星之禪照帽</x:v>
      </x:c>
      <x:c r="B2025" s="55" t="str">
        <x:v>—</x:v>
      </x:c>
      <x:c r="C2025" s="55" t="str">
        <x:v>—</x:v>
      </x:c>
      <x:c r="D2025" s="55" t="str">
        <x:v>—</x:v>
      </x:c>
      <x:c r="E2025" s="55" t="inlineStr">
        <x:is>
          <x:t>—</x:t>
        </x:is>
      </x:c>
    </x:row>
    <x:row r="2026" ht="15" customHeight="1">
      <x:c r="A2026" s="55" t="str">
        <x:v>泰源織帽</x:v>
      </x:c>
      <x:c r="B2026" s="55" t="str">
        <x:v>神州2II主線</x:v>
      </x:c>
      <x:c r="C2026" s="55" t="str">
        <x:v>—</x:v>
      </x:c>
      <x:c r="D2026" s="55" t="str">
        <x:v>—</x:v>
      </x:c>
      <x:c r="E2026" s="55" t="inlineStr">
        <x:is>
          <x:t>—</x:t>
        </x:is>
      </x:c>
    </x:row>
    <x:row r="2027" ht="15" customHeight="1">
      <x:c r="A2027" s="55" t="str">
        <x:v>星空通信帽</x:v>
      </x:c>
      <x:c r="B2027" s="55" t="str">
        <x:v>寵物朋友</x:v>
      </x:c>
      <x:c r="C2027" s="55" t="str">
        <x:v>—</x:v>
      </x:c>
      <x:c r="D2027" s="55" t="str">
        <x:v>—</x:v>
      </x:c>
      <x:c r="E2027" s="55" t="inlineStr">
        <x:is>
          <x:t>—</x:t>
        </x:is>
      </x:c>
    </x:row>
    <x:row r="2028" ht="15" customHeight="1">
      <x:c r="A2028" s="55" t="str">
        <x:v>龍池竹盔</x:v>
      </x:c>
      <x:c r="B2028" s="55" t="str">
        <x:v>六宇浮上主線</x:v>
      </x:c>
      <x:c r="C2028" s="55" t="str">
        <x:v>—</x:v>
      </x:c>
      <x:c r="D2028" s="55" t="str">
        <x:v>—</x:v>
      </x:c>
      <x:c r="E2028" s="55" t="inlineStr">
        <x:is>
          <x:t>—</x:t>
        </x:is>
      </x:c>
    </x:row>
    <x:row r="2029" ht="15" customHeight="1">
      <x:c r="A2029" s="55" t="str">
        <x:v>劍豪旭冠Ⅰ</x:v>
      </x:c>
      <x:c r="B2029" s="55" t="str">
        <x:v>—</x:v>
      </x:c>
      <x:c r="C2029" s="55" t="str">
        <x:v>—</x:v>
      </x:c>
      <x:c r="D2029" s="55" t="str">
        <x:v>—</x:v>
      </x:c>
      <x:c r="E2029" s="55" t="inlineStr">
        <x:is>
          <x:t>—</x:t>
        </x:is>
      </x:c>
    </x:row>
    <x:row r="2030" ht="15" customHeight="1">
      <x:c r="A2030" s="55" t="str">
        <x:v>勇將旭盔Ⅰ</x:v>
      </x:c>
      <x:c r="B2030" s="55" t="str">
        <x:v>—</x:v>
      </x:c>
      <x:c r="C2030" s="55" t="str">
        <x:v>—</x:v>
      </x:c>
      <x:c r="D2030" s="55" t="str">
        <x:v>—</x:v>
      </x:c>
      <x:c r="E2030" s="55" t="inlineStr">
        <x:is>
          <x:t>—</x:t>
        </x:is>
      </x:c>
    </x:row>
    <x:row r="2031" ht="15" customHeight="1">
      <x:c r="A2031" s="55" t="str">
        <x:v>術凌旭巾Ⅰ</x:v>
      </x:c>
      <x:c r="B2031" s="55" t="str">
        <x:v>—</x:v>
      </x:c>
      <x:c r="C2031" s="55" t="str">
        <x:v>—</x:v>
      </x:c>
      <x:c r="D2031" s="55" t="str">
        <x:v>—</x:v>
      </x:c>
      <x:c r="E2031" s="55" t="inlineStr">
        <x:is>
          <x:t>—</x:t>
        </x:is>
      </x:c>
    </x:row>
    <x:row r="2032" ht="15" customHeight="1">
      <x:c r="A2032" s="55" t="str">
        <x:v>道清旭綸Ⅰ</x:v>
      </x:c>
      <x:c r="B2032" s="55" t="str">
        <x:v>—</x:v>
      </x:c>
      <x:c r="C2032" s="55" t="str">
        <x:v>—</x:v>
      </x:c>
      <x:c r="D2032" s="55" t="str">
        <x:v>—</x:v>
      </x:c>
      <x:c r="E2032" s="55" t="inlineStr">
        <x:is>
          <x:t>—</x:t>
        </x:is>
      </x:c>
    </x:row>
    <x:row r="2033" ht="15" customHeight="1">
      <x:c r="A2033" s="55" t="str">
        <x:v>禪臺旭笠Ⅰ</x:v>
      </x:c>
      <x:c r="B2033" s="55" t="str">
        <x:v>—</x:v>
      </x:c>
      <x:c r="C2033" s="55" t="str">
        <x:v>—</x:v>
      </x:c>
      <x:c r="D2033" s="55" t="str">
        <x:v>—</x:v>
      </x:c>
      <x:c r="E2033" s="55" t="inlineStr">
        <x:is>
          <x:t>—</x:t>
        </x:is>
      </x:c>
    </x:row>
    <x:row r="2034" ht="15" customHeight="1">
      <x:c r="A2034" s="55" t="str">
        <x:v>狂陽輝冕Ⅰ</x:v>
      </x:c>
      <x:c r="B2034" s="55" t="str">
        <x:v>—</x:v>
      </x:c>
      <x:c r="C2034" s="55" t="str">
        <x:v>—</x:v>
      </x:c>
      <x:c r="D2034" s="55" t="str">
        <x:v>—</x:v>
      </x:c>
      <x:c r="E2034" s="55" t="inlineStr">
        <x:is>
          <x:t>幻三燕起錦囊（網站未列地圖）</x:t>
        </x:is>
      </x:c>
    </x:row>
    <x:row r="2035" ht="15" customHeight="1">
      <x:c r="A2035" s="55" t="str">
        <x:v>靜月幕巾Ⅰ</x:v>
      </x:c>
      <x:c r="B2035" s="55" t="str">
        <x:v>—</x:v>
      </x:c>
      <x:c r="C2035" s="55" t="str">
        <x:v>—</x:v>
      </x:c>
      <x:c r="D2035" s="55" t="str">
        <x:v>—</x:v>
      </x:c>
      <x:c r="E2035" s="55" t="inlineStr">
        <x:is>
          <x:t>—</x:t>
        </x:is>
      </x:c>
    </x:row>
    <x:row r="2036" ht="15" customHeight="1">
      <x:c r="A2036" s="55" t="str">
        <x:v>宿星銀兜Ⅰ</x:v>
      </x:c>
      <x:c r="B2036" s="55" t="str">
        <x:v>—</x:v>
      </x:c>
      <x:c r="C2036" s="55" t="str">
        <x:v>—</x:v>
      </x:c>
      <x:c r="D2036" s="55" t="str">
        <x:v>—</x:v>
      </x:c>
      <x:c r="E2036" s="55" t="inlineStr">
        <x:is>
          <x:t>神島術者錦囊（網站未列地圖）；幻三貂芷錦囊（網站未列地圖）</x:t>
        </x:is>
      </x:c>
    </x:row>
    <x:row r="2037" ht="15" customHeight="1">
      <x:c r="A2037" s="55" t="str">
        <x:v>劍豪旭冠Ⅱ</x:v>
      </x:c>
      <x:c r="B2037" s="55" t="str">
        <x:v>—</x:v>
      </x:c>
      <x:c r="C2037" s="55" t="str">
        <x:v>—</x:v>
      </x:c>
      <x:c r="D2037" s="55" t="str">
        <x:v>—</x:v>
      </x:c>
      <x:c r="E2037" s="55" t="inlineStr">
        <x:is>
          <x:t>—</x:t>
        </x:is>
      </x:c>
    </x:row>
    <x:row r="2038" ht="15" customHeight="1">
      <x:c r="A2038" s="55" t="str">
        <x:v>勇將旭盔Ⅱ</x:v>
      </x:c>
      <x:c r="B2038" s="55" t="str">
        <x:v>—</x:v>
      </x:c>
      <x:c r="C2038" s="55" t="str">
        <x:v>—</x:v>
      </x:c>
      <x:c r="D2038" s="55" t="str">
        <x:v>—</x:v>
      </x:c>
      <x:c r="E2038" s="55" t="inlineStr">
        <x:is>
          <x:t>—</x:t>
        </x:is>
      </x:c>
    </x:row>
    <x:row r="2039" ht="15" customHeight="1">
      <x:c r="A2039" s="55" t="str">
        <x:v>術凌旭巾Ⅱ</x:v>
      </x:c>
      <x:c r="B2039" s="55" t="str">
        <x:v>—</x:v>
      </x:c>
      <x:c r="C2039" s="55" t="str">
        <x:v>—</x:v>
      </x:c>
      <x:c r="D2039" s="55" t="str">
        <x:v>—</x:v>
      </x:c>
      <x:c r="E2039" s="55" t="inlineStr">
        <x:is>
          <x:t>—</x:t>
        </x:is>
      </x:c>
    </x:row>
    <x:row r="2040" ht="15" customHeight="1">
      <x:c r="A2040" s="55" t="str">
        <x:v>道清旭綸Ⅱ</x:v>
      </x:c>
      <x:c r="B2040" s="55" t="str">
        <x:v>—</x:v>
      </x:c>
      <x:c r="C2040" s="55" t="str">
        <x:v>—</x:v>
      </x:c>
      <x:c r="D2040" s="55" t="str">
        <x:v>—</x:v>
      </x:c>
      <x:c r="E2040" s="55" t="inlineStr">
        <x:is>
          <x:t>—</x:t>
        </x:is>
      </x:c>
    </x:row>
    <x:row r="2041" ht="15" customHeight="1">
      <x:c r="A2041" s="55" t="str">
        <x:v>禪臺旭笠Ⅱ</x:v>
      </x:c>
      <x:c r="B2041" s="55" t="str">
        <x:v>—</x:v>
      </x:c>
      <x:c r="C2041" s="55" t="str">
        <x:v>—</x:v>
      </x:c>
      <x:c r="D2041" s="55" t="str">
        <x:v>—</x:v>
      </x:c>
      <x:c r="E2041" s="55" t="inlineStr">
        <x:is>
          <x:t>—</x:t>
        </x:is>
      </x:c>
    </x:row>
    <x:row r="2042" ht="15" customHeight="1">
      <x:c r="A2042" s="55" t="str">
        <x:v>狂陽輝冕Ⅱ</x:v>
      </x:c>
      <x:c r="B2042" s="55" t="str">
        <x:v>—</x:v>
      </x:c>
      <x:c r="C2042" s="55" t="str">
        <x:v>—</x:v>
      </x:c>
      <x:c r="D2042" s="55" t="str">
        <x:v>—</x:v>
      </x:c>
      <x:c r="E2042" s="55" t="inlineStr">
        <x:is>
          <x:t>—</x:t>
        </x:is>
      </x:c>
    </x:row>
    <x:row r="2043" ht="15" customHeight="1">
      <x:c r="A2043" s="55" t="str">
        <x:v>靜月幕巾Ⅱ</x:v>
      </x:c>
      <x:c r="B2043" s="55" t="str">
        <x:v>—</x:v>
      </x:c>
      <x:c r="C2043" s="55" t="str">
        <x:v>—</x:v>
      </x:c>
      <x:c r="D2043" s="55" t="str">
        <x:v>—</x:v>
      </x:c>
      <x:c r="E2043" s="55" t="inlineStr">
        <x:is>
          <x:t>—</x:t>
        </x:is>
      </x:c>
    </x:row>
    <x:row r="2044" ht="15" customHeight="1">
      <x:c r="A2044" s="55" t="str">
        <x:v>宿星銀兜Ⅱ</x:v>
      </x:c>
      <x:c r="B2044" s="55" t="str">
        <x:v>—</x:v>
      </x:c>
      <x:c r="C2044" s="55" t="str">
        <x:v>—</x:v>
      </x:c>
      <x:c r="D2044" s="55" t="str">
        <x:v>—</x:v>
      </x:c>
      <x:c r="E2044" s="55" t="inlineStr">
        <x:is>
          <x:t>—</x:t>
        </x:is>
      </x:c>
    </x:row>
    <x:row r="2045" ht="15" customHeight="1">
      <x:c r="A2045" s="55" t="str">
        <x:v>劍豪旭冠Ⅲ</x:v>
      </x:c>
      <x:c r="B2045" s="55" t="str">
        <x:v>—</x:v>
      </x:c>
      <x:c r="C2045" s="55" t="str">
        <x:v>—</x:v>
      </x:c>
      <x:c r="D2045" s="55" t="str">
        <x:v>—</x:v>
      </x:c>
      <x:c r="E2045" s="55" t="inlineStr">
        <x:is>
          <x:t>—</x:t>
        </x:is>
      </x:c>
    </x:row>
    <x:row r="2046" ht="15" customHeight="1">
      <x:c r="A2046" s="55" t="str">
        <x:v>勇將旭盔Ⅲ</x:v>
      </x:c>
      <x:c r="B2046" s="55" t="str">
        <x:v>—</x:v>
      </x:c>
      <x:c r="C2046" s="55" t="str">
        <x:v>—</x:v>
      </x:c>
      <x:c r="D2046" s="55" t="str">
        <x:v>—</x:v>
      </x:c>
      <x:c r="E2046" s="55" t="inlineStr">
        <x:is>
          <x:t>—</x:t>
        </x:is>
      </x:c>
    </x:row>
    <x:row r="2047" ht="15" customHeight="1">
      <x:c r="A2047" s="55" t="str">
        <x:v>術凌旭巾Ⅲ</x:v>
      </x:c>
      <x:c r="B2047" s="55" t="str">
        <x:v>—</x:v>
      </x:c>
      <x:c r="C2047" s="55" t="str">
        <x:v>—</x:v>
      </x:c>
      <x:c r="D2047" s="55" t="str">
        <x:v>—</x:v>
      </x:c>
      <x:c r="E2047" s="55" t="inlineStr">
        <x:is>
          <x:t>—</x:t>
        </x:is>
      </x:c>
    </x:row>
    <x:row r="2048" ht="15" customHeight="1">
      <x:c r="A2048" s="55" t="str">
        <x:v>道清旭綸Ⅲ</x:v>
      </x:c>
      <x:c r="B2048" s="55" t="str">
        <x:v>—</x:v>
      </x:c>
      <x:c r="C2048" s="55" t="str">
        <x:v>—</x:v>
      </x:c>
      <x:c r="D2048" s="55" t="str">
        <x:v>—</x:v>
      </x:c>
      <x:c r="E2048" s="55" t="inlineStr">
        <x:is>
          <x:t>—</x:t>
        </x:is>
      </x:c>
    </x:row>
    <x:row r="2049" ht="15" customHeight="1">
      <x:c r="A2049" s="55" t="str">
        <x:v>禪臺旭笠Ⅲ</x:v>
      </x:c>
      <x:c r="B2049" s="55" t="str">
        <x:v>—</x:v>
      </x:c>
      <x:c r="C2049" s="55" t="str">
        <x:v>—</x:v>
      </x:c>
      <x:c r="D2049" s="55" t="str">
        <x:v>—</x:v>
      </x:c>
      <x:c r="E2049" s="55" t="inlineStr">
        <x:is>
          <x:t>—</x:t>
        </x:is>
      </x:c>
    </x:row>
    <x:row r="2050" ht="15" customHeight="1">
      <x:c r="A2050" s="55" t="str">
        <x:v>狂陽輝冕Ⅲ</x:v>
      </x:c>
      <x:c r="B2050" s="55" t="str">
        <x:v>—</x:v>
      </x:c>
      <x:c r="C2050" s="55" t="str">
        <x:v>—</x:v>
      </x:c>
      <x:c r="D2050" s="55" t="str">
        <x:v>—</x:v>
      </x:c>
      <x:c r="E2050" s="55" t="inlineStr">
        <x:is>
          <x:t>—</x:t>
        </x:is>
      </x:c>
    </x:row>
    <x:row r="2051" ht="15" customHeight="1">
      <x:c r="A2051" s="55" t="str">
        <x:v>靜月幕巾Ⅲ</x:v>
      </x:c>
      <x:c r="B2051" s="55" t="str">
        <x:v>—</x:v>
      </x:c>
      <x:c r="C2051" s="55" t="str">
        <x:v>—</x:v>
      </x:c>
      <x:c r="D2051" s="55" t="str">
        <x:v>—</x:v>
      </x:c>
      <x:c r="E2051" s="55" t="inlineStr">
        <x:is>
          <x:t>—</x:t>
        </x:is>
      </x:c>
    </x:row>
    <x:row r="2052" ht="15" customHeight="1">
      <x:c r="A2052" s="55" t="str">
        <x:v>宿星銀兜Ⅲ</x:v>
      </x:c>
      <x:c r="B2052" s="55" t="str">
        <x:v>—</x:v>
      </x:c>
      <x:c r="C2052" s="55" t="str">
        <x:v>—</x:v>
      </x:c>
      <x:c r="D2052" s="55" t="str">
        <x:v>—</x:v>
      </x:c>
      <x:c r="E2052" s="55" t="inlineStr">
        <x:is>
          <x:t>—</x:t>
        </x:is>
      </x:c>
    </x:row>
    <x:row r="2053" ht="15" customHeight="1">
      <x:c r="A2053" s="55" t="str">
        <x:v>劍豪旭冠Ⅳ</x:v>
      </x:c>
      <x:c r="B2053" s="55" t="str">
        <x:v>—</x:v>
      </x:c>
      <x:c r="C2053" s="55" t="str">
        <x:v>—</x:v>
      </x:c>
      <x:c r="D2053" s="55" t="str">
        <x:v>—</x:v>
      </x:c>
      <x:c r="E2053" s="55" t="inlineStr">
        <x:is>
          <x:t>—</x:t>
        </x:is>
      </x:c>
    </x:row>
    <x:row r="2054" ht="15" customHeight="1">
      <x:c r="A2054" s="55" t="str">
        <x:v>勇將旭盔Ⅳ</x:v>
      </x:c>
      <x:c r="B2054" s="55" t="str">
        <x:v>—</x:v>
      </x:c>
      <x:c r="C2054" s="55" t="str">
        <x:v>—</x:v>
      </x:c>
      <x:c r="D2054" s="55" t="str">
        <x:v>—</x:v>
      </x:c>
      <x:c r="E2054" s="55" t="inlineStr">
        <x:is>
          <x:t>—</x:t>
        </x:is>
      </x:c>
    </x:row>
    <x:row r="2055" ht="15" customHeight="1">
      <x:c r="A2055" s="55" t="str">
        <x:v>術凌旭巾Ⅳ</x:v>
      </x:c>
      <x:c r="B2055" s="55" t="str">
        <x:v>—</x:v>
      </x:c>
      <x:c r="C2055" s="55" t="str">
        <x:v>—</x:v>
      </x:c>
      <x:c r="D2055" s="55" t="str">
        <x:v>—</x:v>
      </x:c>
      <x:c r="E2055" s="55" t="inlineStr">
        <x:is>
          <x:t>—</x:t>
        </x:is>
      </x:c>
    </x:row>
    <x:row r="2056" ht="15" customHeight="1">
      <x:c r="A2056" s="55" t="str">
        <x:v>道清旭綸Ⅳ</x:v>
      </x:c>
      <x:c r="B2056" s="55" t="str">
        <x:v>—</x:v>
      </x:c>
      <x:c r="C2056" s="55" t="str">
        <x:v>—</x:v>
      </x:c>
      <x:c r="D2056" s="55" t="str">
        <x:v>—</x:v>
      </x:c>
      <x:c r="E2056" s="55" t="inlineStr">
        <x:is>
          <x:t>—</x:t>
        </x:is>
      </x:c>
    </x:row>
    <x:row r="2057" ht="15" customHeight="1">
      <x:c r="A2057" s="55" t="str">
        <x:v>禪臺旭笠Ⅳ</x:v>
      </x:c>
      <x:c r="B2057" s="55" t="str">
        <x:v>—</x:v>
      </x:c>
      <x:c r="C2057" s="55" t="str">
        <x:v>—</x:v>
      </x:c>
      <x:c r="D2057" s="55" t="str">
        <x:v>—</x:v>
      </x:c>
      <x:c r="E2057" s="55" t="inlineStr">
        <x:is>
          <x:t>—</x:t>
        </x:is>
      </x:c>
    </x:row>
    <x:row r="2058" ht="15" customHeight="1">
      <x:c r="A2058" s="55" t="str">
        <x:v>狂陽輝冕Ⅳ</x:v>
      </x:c>
      <x:c r="B2058" s="55" t="str">
        <x:v>—</x:v>
      </x:c>
      <x:c r="C2058" s="55" t="str">
        <x:v>—</x:v>
      </x:c>
      <x:c r="D2058" s="55" t="str">
        <x:v>—</x:v>
      </x:c>
      <x:c r="E2058" s="55" t="inlineStr">
        <x:is>
          <x:t>—</x:t>
        </x:is>
      </x:c>
    </x:row>
    <x:row r="2059" ht="15" customHeight="1">
      <x:c r="A2059" s="55" t="str">
        <x:v>靜月幕巾Ⅳ</x:v>
      </x:c>
      <x:c r="B2059" s="55" t="str">
        <x:v>—</x:v>
      </x:c>
      <x:c r="C2059" s="55" t="str">
        <x:v>—</x:v>
      </x:c>
      <x:c r="D2059" s="55" t="str">
        <x:v>—</x:v>
      </x:c>
      <x:c r="E2059" s="55" t="inlineStr">
        <x:is>
          <x:t>阿爾貝盧法錦囊（網站未列地圖）</x:t>
        </x:is>
      </x:c>
    </x:row>
    <x:row r="2060" ht="15" customHeight="1">
      <x:c r="A2060" s="55" t="str">
        <x:v>宿星銀兜Ⅳ</x:v>
      </x:c>
      <x:c r="B2060" s="55" t="str">
        <x:v>—</x:v>
      </x:c>
      <x:c r="C2060" s="55" t="str">
        <x:v>—</x:v>
      </x:c>
      <x:c r="D2060" s="55" t="str">
        <x:v>—</x:v>
      </x:c>
      <x:c r="E2060" s="55" t="inlineStr">
        <x:is>
          <x:t>—</x:t>
        </x:is>
      </x:c>
    </x:row>
    <x:row r="2061" ht="15" customHeight="1">
      <x:c r="A2061" s="55" t="str">
        <x:v>劍豪旭冠Ⅴ</x:v>
      </x:c>
      <x:c r="B2061" s="55" t="str">
        <x:v>—</x:v>
      </x:c>
      <x:c r="C2061" s="55" t="str">
        <x:v>—</x:v>
      </x:c>
      <x:c r="D2061" s="55" t="str">
        <x:v>—</x:v>
      </x:c>
      <x:c r="E2061" s="55" t="inlineStr">
        <x:is>
          <x:t>—</x:t>
        </x:is>
      </x:c>
    </x:row>
    <x:row r="2062" ht="15" customHeight="1">
      <x:c r="A2062" s="55" t="str">
        <x:v>勇將旭盔Ⅴ</x:v>
      </x:c>
      <x:c r="B2062" s="55" t="str">
        <x:v>—</x:v>
      </x:c>
      <x:c r="C2062" s="55" t="str">
        <x:v>—</x:v>
      </x:c>
      <x:c r="D2062" s="55" t="str">
        <x:v>—</x:v>
      </x:c>
      <x:c r="E2062" s="55" t="inlineStr">
        <x:is>
          <x:t>—</x:t>
        </x:is>
      </x:c>
    </x:row>
    <x:row r="2063" ht="15" customHeight="1">
      <x:c r="A2063" s="55" t="str">
        <x:v>術凌旭巾Ⅴ</x:v>
      </x:c>
      <x:c r="B2063" s="55" t="str">
        <x:v>—</x:v>
      </x:c>
      <x:c r="C2063" s="55" t="str">
        <x:v>—</x:v>
      </x:c>
      <x:c r="D2063" s="55" t="str">
        <x:v>—</x:v>
      </x:c>
      <x:c r="E2063" s="55" t="inlineStr">
        <x:is>
          <x:t>—</x:t>
        </x:is>
      </x:c>
    </x:row>
    <x:row r="2064" ht="15" customHeight="1">
      <x:c r="A2064" s="55" t="str">
        <x:v>道清旭綸Ⅴ</x:v>
      </x:c>
      <x:c r="B2064" s="55" t="str">
        <x:v>—</x:v>
      </x:c>
      <x:c r="C2064" s="55" t="str">
        <x:v>—</x:v>
      </x:c>
      <x:c r="D2064" s="55" t="str">
        <x:v>—</x:v>
      </x:c>
      <x:c r="E2064" s="55" t="inlineStr">
        <x:is>
          <x:t>—</x:t>
        </x:is>
      </x:c>
    </x:row>
    <x:row r="2065" ht="15" customHeight="1">
      <x:c r="A2065" s="55" t="str">
        <x:v>禪臺旭笠Ⅴ</x:v>
      </x:c>
      <x:c r="B2065" s="55" t="str">
        <x:v>—</x:v>
      </x:c>
      <x:c r="C2065" s="55" t="str">
        <x:v>—</x:v>
      </x:c>
      <x:c r="D2065" s="55" t="str">
        <x:v>—</x:v>
      </x:c>
      <x:c r="E2065" s="55" t="inlineStr">
        <x:is>
          <x:t>—</x:t>
        </x:is>
      </x:c>
    </x:row>
    <x:row r="2066" ht="15" customHeight="1">
      <x:c r="A2066" s="55" t="str">
        <x:v>狂陽輝冕Ⅴ</x:v>
      </x:c>
      <x:c r="B2066" s="55" t="str">
        <x:v>—</x:v>
      </x:c>
      <x:c r="C2066" s="55" t="str">
        <x:v>—</x:v>
      </x:c>
      <x:c r="D2066" s="55" t="str">
        <x:v>—</x:v>
      </x:c>
      <x:c r="E2066" s="55" t="inlineStr">
        <x:is>
          <x:t>—</x:t>
        </x:is>
      </x:c>
    </x:row>
    <x:row r="2067" ht="15" customHeight="1">
      <x:c r="A2067" s="55" t="str">
        <x:v>靜月幕巾Ⅴ</x:v>
      </x:c>
      <x:c r="B2067" s="55" t="str">
        <x:v>—</x:v>
      </x:c>
      <x:c r="C2067" s="55" t="str">
        <x:v>—</x:v>
      </x:c>
      <x:c r="D2067" s="55" t="str">
        <x:v>—</x:v>
      </x:c>
      <x:c r="E2067" s="55" t="inlineStr">
        <x:is>
          <x:t>—</x:t>
        </x:is>
      </x:c>
    </x:row>
    <x:row r="2068" ht="15" customHeight="1">
      <x:c r="A2068" s="55" t="str">
        <x:v>宿星銀兜Ⅴ</x:v>
      </x:c>
      <x:c r="B2068" s="55" t="str">
        <x:v>—</x:v>
      </x:c>
      <x:c r="C2068" s="55" t="str">
        <x:v>—</x:v>
      </x:c>
      <x:c r="D2068" s="55" t="str">
        <x:v>—</x:v>
      </x:c>
      <x:c r="E2068" s="55" t="inlineStr">
        <x:is>
          <x:t>—</x:t>
        </x:is>
      </x:c>
    </x:row>
    <x:row r="2069" ht="15" customHeight="1">
      <x:c r="A2069" s="55" t="str">
        <x:v>宇鋒颺頂Ⅰ</x:v>
      </x:c>
      <x:c r="B2069" s="55" t="str">
        <x:v>—</x:v>
      </x:c>
      <x:c r="C2069" s="55" t="str">
        <x:v>—</x:v>
      </x:c>
      <x:c r="D2069" s="55" t="str">
        <x:v>—</x:v>
      </x:c>
      <x:c r="E2069" s="55" t="inlineStr">
        <x:is>
          <x:t>玄宙劍裝錦囊（網站未列地圖）</x:t>
        </x:is>
      </x:c>
    </x:row>
    <x:row r="2070" ht="15" customHeight="1">
      <x:c r="A2070" s="55" t="str">
        <x:v>天衛宙盔Ⅰ</x:v>
      </x:c>
      <x:c r="B2070" s="55" t="str">
        <x:v>—</x:v>
      </x:c>
      <x:c r="C2070" s="55" t="str">
        <x:v>—</x:v>
      </x:c>
      <x:c r="D2070" s="55" t="str">
        <x:v>—</x:v>
      </x:c>
      <x:c r="E2070" s="55" t="inlineStr">
        <x:is>
          <x:t>玄宙勇裝錦囊（網站未列地圖）</x:t>
        </x:is>
      </x:c>
    </x:row>
    <x:row r="2071" ht="15" customHeight="1">
      <x:c r="A2071" s="55" t="str">
        <x:v>光術覆面Ⅰ</x:v>
      </x:c>
      <x:c r="B2071" s="55" t="str">
        <x:v>—</x:v>
      </x:c>
      <x:c r="C2071" s="55" t="str">
        <x:v>—</x:v>
      </x:c>
      <x:c r="D2071" s="55" t="str">
        <x:v>—</x:v>
      </x:c>
      <x:c r="E2071" s="55" t="inlineStr">
        <x:is>
          <x:t>玄宙術裝錦囊（網站未列地圖）</x:t>
        </x:is>
      </x:c>
    </x:row>
    <x:row r="2072" ht="15" customHeight="1">
      <x:c r="A2072" s="55" t="str">
        <x:v>辰道玄冠Ⅰ</x:v>
      </x:c>
      <x:c r="B2072" s="55" t="str">
        <x:v>—</x:v>
      </x:c>
      <x:c r="C2072" s="55" t="str">
        <x:v>—</x:v>
      </x:c>
      <x:c r="D2072" s="55" t="str">
        <x:v>—</x:v>
      </x:c>
      <x:c r="E2072" s="55" t="inlineStr">
        <x:is>
          <x:t>玄宙道裝錦囊（網站未列地圖）</x:t>
        </x:is>
      </x:c>
    </x:row>
    <x:row r="2073" ht="15" customHeight="1">
      <x:c r="A2073" s="55" t="str">
        <x:v>寂禪靜觀Ⅰ</x:v>
      </x:c>
      <x:c r="B2073" s="55" t="str">
        <x:v>—</x:v>
      </x:c>
      <x:c r="C2073" s="55" t="str">
        <x:v>—</x:v>
      </x:c>
      <x:c r="D2073" s="55" t="str">
        <x:v>—</x:v>
      </x:c>
      <x:c r="E2073" s="55" t="inlineStr">
        <x:is>
          <x:t>玄宙僧裝錦囊（網站未列地圖）</x:t>
        </x:is>
      </x:c>
    </x:row>
    <x:row r="2074" ht="15" customHeight="1">
      <x:c r="A2074" s="55" t="str">
        <x:v>騰陽威冕Ⅰ</x:v>
      </x:c>
      <x:c r="B2074" s="55" t="str">
        <x:v>—</x:v>
      </x:c>
      <x:c r="C2074" s="55" t="str">
        <x:v>—</x:v>
      </x:c>
      <x:c r="D2074" s="55" t="str">
        <x:v>—</x:v>
      </x:c>
      <x:c r="E2074" s="55" t="inlineStr">
        <x:is>
          <x:t>玄宙騰陽特裝箱（網站未列地圖）；玄宙特仕裝箱（網站未列地圖）</x:t>
        </x:is>
      </x:c>
    </x:row>
    <x:row r="2075" ht="15" customHeight="1">
      <x:c r="A2075" s="55" t="str">
        <x:v>凜月冪巾Ⅰ</x:v>
      </x:c>
      <x:c r="B2075" s="55" t="str">
        <x:v>—</x:v>
      </x:c>
      <x:c r="C2075" s="55" t="str">
        <x:v>—</x:v>
      </x:c>
      <x:c r="D2075" s="55" t="str">
        <x:v>—</x:v>
      </x:c>
      <x:c r="E2075" s="55" t="inlineStr">
        <x:is>
          <x:t>玄宙凜月特裝箱（網站未列地圖）；玄宙特仕裝箱（網站未列地圖）</x:t>
        </x:is>
      </x:c>
    </x:row>
    <x:row r="2076" ht="15" customHeight="1">
      <x:c r="A2076" s="55" t="str">
        <x:v>舞星釩兜Ⅰ</x:v>
      </x:c>
      <x:c r="B2076" s="55" t="str">
        <x:v>—</x:v>
      </x:c>
      <x:c r="C2076" s="55" t="str">
        <x:v>—</x:v>
      </x:c>
      <x:c r="D2076" s="55" t="str">
        <x:v>—</x:v>
      </x:c>
      <x:c r="E2076" s="55" t="inlineStr">
        <x:is>
          <x:t>玄宙舞星特裝箱（網站未列地圖）；玄宙特仕裝箱（網站未列地圖）</x:t>
        </x:is>
      </x:c>
    </x:row>
    <x:row r="2077" ht="15" customHeight="1">
      <x:c r="A2077" s="55" t="str">
        <x:v>宇鋒颺頂Ⅱ</x:v>
      </x:c>
      <x:c r="B2077" s="55" t="str">
        <x:v>—</x:v>
      </x:c>
      <x:c r="C2077" s="55" t="str">
        <x:v>—</x:v>
      </x:c>
      <x:c r="D2077" s="55" t="str">
        <x:v>—</x:v>
      </x:c>
      <x:c r="E2077" s="55" t="inlineStr">
        <x:is>
          <x:t>真．玄宙劍裝錦囊（網站未列地圖）</x:t>
        </x:is>
      </x:c>
    </x:row>
    <x:row r="2078" ht="15" customHeight="1">
      <x:c r="A2078" s="55" t="str">
        <x:v>天衛宙盔Ⅱ</x:v>
      </x:c>
      <x:c r="B2078" s="55" t="str">
        <x:v>—</x:v>
      </x:c>
      <x:c r="C2078" s="55" t="str">
        <x:v>—</x:v>
      </x:c>
      <x:c r="D2078" s="55" t="str">
        <x:v>—</x:v>
      </x:c>
      <x:c r="E2078" s="55" t="inlineStr">
        <x:is>
          <x:t>真．玄宙勇裝錦囊（網站未列地圖）</x:t>
        </x:is>
      </x:c>
    </x:row>
    <x:row r="2079" ht="15" customHeight="1">
      <x:c r="A2079" s="55" t="str">
        <x:v>光術覆面Ⅱ</x:v>
      </x:c>
      <x:c r="B2079" s="55" t="str">
        <x:v>—</x:v>
      </x:c>
      <x:c r="C2079" s="55" t="str">
        <x:v>—</x:v>
      </x:c>
      <x:c r="D2079" s="55" t="str">
        <x:v>—</x:v>
      </x:c>
      <x:c r="E2079" s="55" t="inlineStr">
        <x:is>
          <x:t>真．玄宙術裝錦囊（網站未列地圖）</x:t>
        </x:is>
      </x:c>
    </x:row>
    <x:row r="2080" ht="15" customHeight="1">
      <x:c r="A2080" s="55" t="str">
        <x:v>辰道玄冠Ⅱ</x:v>
      </x:c>
      <x:c r="B2080" s="55" t="str">
        <x:v>—</x:v>
      </x:c>
      <x:c r="C2080" s="55" t="str">
        <x:v>—</x:v>
      </x:c>
      <x:c r="D2080" s="55" t="str">
        <x:v>—</x:v>
      </x:c>
      <x:c r="E2080" s="55" t="inlineStr">
        <x:is>
          <x:t>真．玄宙道裝錦囊（網站未列地圖）</x:t>
        </x:is>
      </x:c>
    </x:row>
    <x:row r="2081" ht="15" customHeight="1">
      <x:c r="A2081" s="55" t="str">
        <x:v>寂禪靜觀Ⅱ</x:v>
      </x:c>
      <x:c r="B2081" s="55" t="str">
        <x:v>—</x:v>
      </x:c>
      <x:c r="C2081" s="55" t="str">
        <x:v>—</x:v>
      </x:c>
      <x:c r="D2081" s="55" t="str">
        <x:v>—</x:v>
      </x:c>
      <x:c r="E2081" s="55" t="inlineStr">
        <x:is>
          <x:t>真．玄宙僧裝錦囊（網站未列地圖）</x:t>
        </x:is>
      </x:c>
    </x:row>
    <x:row r="2082" ht="15" customHeight="1">
      <x:c r="A2082" s="55" t="str">
        <x:v>騰陽威冕Ⅱ</x:v>
      </x:c>
      <x:c r="B2082" s="55" t="str">
        <x:v>—</x:v>
      </x:c>
      <x:c r="C2082" s="55" t="str">
        <x:v>—</x:v>
      </x:c>
      <x:c r="D2082" s="55" t="str">
        <x:v>—</x:v>
      </x:c>
      <x:c r="E2082" s="55" t="inlineStr">
        <x:is>
          <x:t>真．玄宙騰陽裝箱（網站未列地圖）；真．玄宙特仕裝箱（網站未列地圖）；活俠龍湘錦囊（網站未列地圖）</x:t>
        </x:is>
      </x:c>
    </x:row>
    <x:row r="2083" ht="15" customHeight="1">
      <x:c r="A2083" s="55" t="str">
        <x:v>凜月冪巾Ⅱ</x:v>
      </x:c>
      <x:c r="B2083" s="55" t="str">
        <x:v>—</x:v>
      </x:c>
      <x:c r="C2083" s="55" t="str">
        <x:v>—</x:v>
      </x:c>
      <x:c r="D2083" s="55" t="str">
        <x:v>—</x:v>
      </x:c>
      <x:c r="E2083" s="55" t="inlineStr">
        <x:is>
          <x:t>真．玄宙凜月裝箱（網站未列地圖）；真．玄宙特仕裝箱（網站未列地圖）；絕代花無缺錦囊（網站未列地圖）</x:t>
        </x:is>
      </x:c>
    </x:row>
    <x:row r="2084" ht="15" customHeight="1">
      <x:c r="A2084" s="55" t="str">
        <x:v>舞星釩兜Ⅱ</x:v>
      </x:c>
      <x:c r="B2084" s="55" t="str">
        <x:v>—</x:v>
      </x:c>
      <x:c r="C2084" s="55" t="str">
        <x:v>—</x:v>
      </x:c>
      <x:c r="D2084" s="55" t="str">
        <x:v>—</x:v>
      </x:c>
      <x:c r="E2084" s="55" t="inlineStr">
        <x:is>
          <x:t>真．玄宙舞星裝箱（網站未列地圖）；真．玄宙特仕裝箱（網站未列地圖）</x:t>
        </x:is>
      </x:c>
    </x:row>
    <x:row r="2085" ht="15" customHeight="1">
      <x:c r="A2085" s="55" t="str">
        <x:v>宇鋒颺頂Ⅲ</x:v>
      </x:c>
      <x:c r="B2085" s="55" t="str">
        <x:v>—</x:v>
      </x:c>
      <x:c r="C2085" s="55" t="str">
        <x:v>—</x:v>
      </x:c>
      <x:c r="D2085" s="55" t="str">
        <x:v>—</x:v>
      </x:c>
      <x:c r="E2085" s="55" t="inlineStr">
        <x:is>
          <x:t>超．玄宙劍裝錦囊（網站未列地圖）</x:t>
        </x:is>
      </x:c>
    </x:row>
    <x:row r="2086" ht="15" customHeight="1">
      <x:c r="A2086" s="55" t="str">
        <x:v>天衛宙盔Ⅲ</x:v>
      </x:c>
      <x:c r="B2086" s="55" t="str">
        <x:v>—</x:v>
      </x:c>
      <x:c r="C2086" s="55" t="str">
        <x:v>—</x:v>
      </x:c>
      <x:c r="D2086" s="55" t="str">
        <x:v>—</x:v>
      </x:c>
      <x:c r="E2086" s="55" t="inlineStr">
        <x:is>
          <x:t>超．玄宙勇裝錦囊（網站未列地圖）</x:t>
        </x:is>
      </x:c>
    </x:row>
    <x:row r="2087" ht="15" customHeight="1">
      <x:c r="A2087" s="55" t="str">
        <x:v>光術覆面Ⅲ</x:v>
      </x:c>
      <x:c r="B2087" s="55" t="str">
        <x:v>—</x:v>
      </x:c>
      <x:c r="C2087" s="55" t="str">
        <x:v>—</x:v>
      </x:c>
      <x:c r="D2087" s="55" t="str">
        <x:v>—</x:v>
      </x:c>
      <x:c r="E2087" s="55" t="inlineStr">
        <x:is>
          <x:t>超．玄宙術裝錦囊（網站未列地圖）</x:t>
        </x:is>
      </x:c>
    </x:row>
    <x:row r="2088" ht="15" customHeight="1">
      <x:c r="A2088" s="55" t="str">
        <x:v>辰道玄冠Ⅲ</x:v>
      </x:c>
      <x:c r="B2088" s="55" t="str">
        <x:v>—</x:v>
      </x:c>
      <x:c r="C2088" s="55" t="str">
        <x:v>—</x:v>
      </x:c>
      <x:c r="D2088" s="55" t="str">
        <x:v>—</x:v>
      </x:c>
      <x:c r="E2088" s="55" t="inlineStr">
        <x:is>
          <x:t>超．玄宙道裝錦囊（網站未列地圖）</x:t>
        </x:is>
      </x:c>
    </x:row>
    <x:row r="2089" ht="15" customHeight="1">
      <x:c r="A2089" s="55" t="str">
        <x:v>寂禪靜觀Ⅲ</x:v>
      </x:c>
      <x:c r="B2089" s="55" t="str">
        <x:v>—</x:v>
      </x:c>
      <x:c r="C2089" s="55" t="str">
        <x:v>—</x:v>
      </x:c>
      <x:c r="D2089" s="55" t="str">
        <x:v>—</x:v>
      </x:c>
      <x:c r="E2089" s="55" t="inlineStr">
        <x:is>
          <x:t>超．玄宙僧裝錦囊（網站未列地圖）</x:t>
        </x:is>
      </x:c>
    </x:row>
    <x:row r="2090" ht="15" customHeight="1">
      <x:c r="A2090" s="55" t="str">
        <x:v>騰陽威冕Ⅲ</x:v>
      </x:c>
      <x:c r="B2090" s="55" t="str">
        <x:v>—</x:v>
      </x:c>
      <x:c r="C2090" s="55" t="str">
        <x:v>—</x:v>
      </x:c>
      <x:c r="D2090" s="55" t="str">
        <x:v>—</x:v>
      </x:c>
      <x:c r="E2090" s="55" t="inlineStr">
        <x:is>
          <x:t>超．玄宙騰陽裝箱（網站未列地圖）；超．玄宙特仕裝箱（網站未列地圖）</x:t>
        </x:is>
      </x:c>
    </x:row>
    <x:row r="2091" ht="15" customHeight="1">
      <x:c r="A2091" s="55" t="str">
        <x:v>凜月冪巾Ⅲ</x:v>
      </x:c>
      <x:c r="B2091" s="55" t="str">
        <x:v>—</x:v>
      </x:c>
      <x:c r="C2091" s="55" t="str">
        <x:v>—</x:v>
      </x:c>
      <x:c r="D2091" s="55" t="str">
        <x:v>—</x:v>
      </x:c>
      <x:c r="E2091" s="55" t="inlineStr">
        <x:is>
          <x:t>超．玄宙凜月裝箱（網站未列地圖）；超．玄宙特仕裝箱（網站未列地圖）</x:t>
        </x:is>
      </x:c>
    </x:row>
    <x:row r="2092" ht="15" customHeight="1">
      <x:c r="A2092" s="55" t="str">
        <x:v>舞星釩兜Ⅲ</x:v>
      </x:c>
      <x:c r="B2092" s="55" t="str">
        <x:v>—</x:v>
      </x:c>
      <x:c r="C2092" s="55" t="str">
        <x:v>—</x:v>
      </x:c>
      <x:c r="D2092" s="55" t="str">
        <x:v>—</x:v>
      </x:c>
      <x:c r="E2092" s="55" t="inlineStr">
        <x:is>
          <x:t>超．玄宙舞星裝箱（網站未列地圖）；超．玄宙特仕裝箱（網站未列地圖）</x:t>
        </x:is>
      </x:c>
    </x:row>
    <x:row r="2093" ht="15" customHeight="1">
      <x:c r="A2093" s="55" t="str">
        <x:v>宇鋒颺頂Ⅳ</x:v>
      </x:c>
      <x:c r="B2093" s="55" t="str">
        <x:v>—</x:v>
      </x:c>
      <x:c r="C2093" s="55" t="str">
        <x:v>—</x:v>
      </x:c>
      <x:c r="D2093" s="55" t="str">
        <x:v>—</x:v>
      </x:c>
      <x:c r="E2093" s="55" t="inlineStr">
        <x:is>
          <x:t>極．玄宙劍裝錦囊（網站未列地圖）</x:t>
        </x:is>
      </x:c>
    </x:row>
    <x:row r="2094" ht="15" customHeight="1">
      <x:c r="A2094" s="55" t="str">
        <x:v>天衛宙盔Ⅳ</x:v>
      </x:c>
      <x:c r="B2094" s="55" t="str">
        <x:v>—</x:v>
      </x:c>
      <x:c r="C2094" s="55" t="str">
        <x:v>—</x:v>
      </x:c>
      <x:c r="D2094" s="55" t="str">
        <x:v>—</x:v>
      </x:c>
      <x:c r="E2094" s="55" t="inlineStr">
        <x:is>
          <x:t>極．玄宙勇裝錦囊（網站未列地圖）</x:t>
        </x:is>
      </x:c>
    </x:row>
    <x:row r="2095" ht="15" customHeight="1">
      <x:c r="A2095" s="55" t="str">
        <x:v>光術覆面Ⅳ</x:v>
      </x:c>
      <x:c r="B2095" s="55" t="str">
        <x:v>—</x:v>
      </x:c>
      <x:c r="C2095" s="55" t="str">
        <x:v>—</x:v>
      </x:c>
      <x:c r="D2095" s="55" t="str">
        <x:v>—</x:v>
      </x:c>
      <x:c r="E2095" s="55" t="inlineStr">
        <x:is>
          <x:t>極．玄宙術裝錦囊（網站未列地圖）</x:t>
        </x:is>
      </x:c>
    </x:row>
    <x:row r="2096" ht="15" customHeight="1">
      <x:c r="A2096" s="55" t="str">
        <x:v>辰道玄冠Ⅳ</x:v>
      </x:c>
      <x:c r="B2096" s="55" t="str">
        <x:v>—</x:v>
      </x:c>
      <x:c r="C2096" s="55" t="str">
        <x:v>—</x:v>
      </x:c>
      <x:c r="D2096" s="55" t="str">
        <x:v>—</x:v>
      </x:c>
      <x:c r="E2096" s="55" t="inlineStr">
        <x:is>
          <x:t>極．玄宙道裝錦囊（網站未列地圖）</x:t>
        </x:is>
      </x:c>
    </x:row>
    <x:row r="2097" ht="15" customHeight="1">
      <x:c r="A2097" s="55" t="str">
        <x:v>寂禪靜觀Ⅳ</x:v>
      </x:c>
      <x:c r="B2097" s="55" t="str">
        <x:v>—</x:v>
      </x:c>
      <x:c r="C2097" s="55" t="str">
        <x:v>—</x:v>
      </x:c>
      <x:c r="D2097" s="55" t="str">
        <x:v>—</x:v>
      </x:c>
      <x:c r="E2097" s="55" t="inlineStr">
        <x:is>
          <x:t>極．玄宙僧裝錦囊（網站未列地圖）</x:t>
        </x:is>
      </x:c>
    </x:row>
    <x:row r="2098" ht="15" customHeight="1">
      <x:c r="A2098" s="55" t="str">
        <x:v>騰陽威冕Ⅳ</x:v>
      </x:c>
      <x:c r="B2098" s="55" t="str">
        <x:v>—</x:v>
      </x:c>
      <x:c r="C2098" s="55" t="str">
        <x:v>—</x:v>
      </x:c>
      <x:c r="D2098" s="55" t="str">
        <x:v>—</x:v>
      </x:c>
      <x:c r="E2098" s="55" t="inlineStr">
        <x:is>
          <x:t>極．玄宙騰陽裝箱（網站未列地圖）；極．玄宙特仕裝箱（網站未列地圖）</x:t>
        </x:is>
      </x:c>
    </x:row>
    <x:row r="2099" ht="15" customHeight="1">
      <x:c r="A2099" s="55" t="str">
        <x:v>凜月冪巾Ⅳ</x:v>
      </x:c>
      <x:c r="B2099" s="55" t="str">
        <x:v>—</x:v>
      </x:c>
      <x:c r="C2099" s="55" t="str">
        <x:v>—</x:v>
      </x:c>
      <x:c r="D2099" s="55" t="str">
        <x:v>—</x:v>
      </x:c>
      <x:c r="E2099" s="55" t="inlineStr">
        <x:is>
          <x:t>極．玄宙凜月裝箱（網站未列地圖）；極．玄宙特仕裝箱（網站未列地圖）</x:t>
        </x:is>
      </x:c>
    </x:row>
    <x:row r="2100" ht="15" customHeight="1">
      <x:c r="A2100" s="55" t="str">
        <x:v>舞星釩兜Ⅳ</x:v>
      </x:c>
      <x:c r="B2100" s="55" t="str">
        <x:v>—</x:v>
      </x:c>
      <x:c r="C2100" s="55" t="str">
        <x:v>—</x:v>
      </x:c>
      <x:c r="D2100" s="55" t="str">
        <x:v>—</x:v>
      </x:c>
      <x:c r="E2100" s="55" t="inlineStr">
        <x:is>
          <x:t>極．玄宙舞星裝箱（網站未列地圖）；極．玄宙特仕裝箱（網站未列地圖）</x:t>
        </x:is>
      </x:c>
    </x:row>
    <x:row r="2101" ht="15" customHeight="1">
      <x:c r="A2101" s="55" t="str">
        <x:v>宇鋒颺頂Ⅴ</x:v>
      </x:c>
      <x:c r="B2101" s="55" t="str">
        <x:v>—</x:v>
      </x:c>
      <x:c r="C2101" s="55" t="str">
        <x:v>—</x:v>
      </x:c>
      <x:c r="D2101" s="55" t="str">
        <x:v>—</x:v>
      </x:c>
      <x:c r="E2101" s="55" t="inlineStr">
        <x:is>
          <x:t>神．玄宙劍裝錦囊（網站未列地圖）</x:t>
        </x:is>
      </x:c>
    </x:row>
    <x:row r="2102" ht="15" customHeight="1">
      <x:c r="A2102" s="55" t="str">
        <x:v>天衛宙盔Ⅴ</x:v>
      </x:c>
      <x:c r="B2102" s="55" t="str">
        <x:v>—</x:v>
      </x:c>
      <x:c r="C2102" s="55" t="str">
        <x:v>—</x:v>
      </x:c>
      <x:c r="D2102" s="55" t="str">
        <x:v>—</x:v>
      </x:c>
      <x:c r="E2102" s="55" t="inlineStr">
        <x:is>
          <x:t>神．玄宙勇裝錦囊（網站未列地圖）</x:t>
        </x:is>
      </x:c>
    </x:row>
    <x:row r="2103" ht="15" customHeight="1">
      <x:c r="A2103" s="55" t="str">
        <x:v>光術覆面Ⅴ</x:v>
      </x:c>
      <x:c r="B2103" s="55" t="str">
        <x:v>—</x:v>
      </x:c>
      <x:c r="C2103" s="55" t="str">
        <x:v>—</x:v>
      </x:c>
      <x:c r="D2103" s="55" t="str">
        <x:v>—</x:v>
      </x:c>
      <x:c r="E2103" s="55" t="inlineStr">
        <x:is>
          <x:t>神．玄宙術裝錦囊（網站未列地圖）</x:t>
        </x:is>
      </x:c>
    </x:row>
    <x:row r="2104" ht="15" customHeight="1">
      <x:c r="A2104" s="55" t="str">
        <x:v>辰道玄冠Ⅴ</x:v>
      </x:c>
      <x:c r="B2104" s="55" t="str">
        <x:v>—</x:v>
      </x:c>
      <x:c r="C2104" s="55" t="str">
        <x:v>—</x:v>
      </x:c>
      <x:c r="D2104" s="55" t="str">
        <x:v>—</x:v>
      </x:c>
      <x:c r="E2104" s="55" t="inlineStr">
        <x:is>
          <x:t>神．玄宙道裝錦囊（網站未列地圖）</x:t>
        </x:is>
      </x:c>
    </x:row>
    <x:row r="2105" ht="15" customHeight="1">
      <x:c r="A2105" s="55" t="str">
        <x:v>寂禪靜觀Ⅴ</x:v>
      </x:c>
      <x:c r="B2105" s="55" t="str">
        <x:v>—</x:v>
      </x:c>
      <x:c r="C2105" s="55" t="str">
        <x:v>—</x:v>
      </x:c>
      <x:c r="D2105" s="55" t="str">
        <x:v>—</x:v>
      </x:c>
      <x:c r="E2105" s="55" t="inlineStr">
        <x:is>
          <x:t>神．玄宙僧裝錦囊（網站未列地圖）</x:t>
        </x:is>
      </x:c>
    </x:row>
    <x:row r="2106" ht="15" customHeight="1">
      <x:c r="A2106" s="55" t="str">
        <x:v>騰陽威冕Ⅴ</x:v>
      </x:c>
      <x:c r="B2106" s="55" t="str">
        <x:v>—</x:v>
      </x:c>
      <x:c r="C2106" s="55" t="str">
        <x:v>—</x:v>
      </x:c>
      <x:c r="D2106" s="55" t="str">
        <x:v>—</x:v>
      </x:c>
      <x:c r="E2106" s="55" t="inlineStr">
        <x:is>
          <x:t>神．玄宙騰陽裝箱（網站未列地圖）；神．玄宙特仕裝箱（網站未列地圖）</x:t>
        </x:is>
      </x:c>
    </x:row>
    <x:row r="2107" ht="15" customHeight="1">
      <x:c r="A2107" s="55" t="str">
        <x:v>凜月冪巾Ⅴ</x:v>
      </x:c>
      <x:c r="B2107" s="55" t="str">
        <x:v>—</x:v>
      </x:c>
      <x:c r="C2107" s="55" t="str">
        <x:v>—</x:v>
      </x:c>
      <x:c r="D2107" s="55" t="str">
        <x:v>—</x:v>
      </x:c>
      <x:c r="E2107" s="55" t="inlineStr">
        <x:is>
          <x:t>神．玄宙凜月裝箱（網站未列地圖）；神．玄宙特仕裝箱（網站未列地圖）</x:t>
        </x:is>
      </x:c>
    </x:row>
    <x:row r="2108" ht="15" customHeight="1">
      <x:c r="A2108" s="55" t="str">
        <x:v>舞星釩兜Ⅴ</x:v>
      </x:c>
      <x:c r="B2108" s="55" t="str">
        <x:v>—</x:v>
      </x:c>
      <x:c r="C2108" s="55" t="str">
        <x:v>—</x:v>
      </x:c>
      <x:c r="D2108" s="55" t="str">
        <x:v>—</x:v>
      </x:c>
      <x:c r="E2108" s="55" t="inlineStr">
        <x:is>
          <x:t>神．玄宙舞星裝箱（網站未列地圖）；神．玄宙特仕裝箱（網站未列地圖）</x:t>
        </x:is>
      </x:c>
    </x:row>
    <x:row r="2109" ht="15" customHeight="1">
      <x:c r="A2109" s="55" t="str">
        <x:v>道袍</x:v>
      </x:c>
      <x:c r="B2109" s="55" t="str">
        <x:v>—</x:v>
      </x:c>
      <x:c r="C2109" s="55" t="str">
        <x:v>道人村買賣人、京城打鐵舖</x:v>
      </x:c>
      <x:c r="D2109" s="55" t="str">
        <x:v>—</x:v>
      </x:c>
      <x:c r="E2109" s="55" t="inlineStr">
        <x:is>
          <x:t>山犬（紫霞山養心觀、惡狼林、封神臺、試煉之窟）</x:t>
        </x:is>
      </x:c>
    </x:row>
    <x:row r="2110" ht="15" customHeight="1">
      <x:c r="A2110" s="55" t="str">
        <x:v>僧衣</x:v>
      </x:c>
      <x:c r="B2110" s="55" t="str">
        <x:v>—</x:v>
      </x:c>
      <x:c r="C2110" s="55" t="str">
        <x:v>僧侶村買賣人、京城打鐵舖</x:v>
      </x:c>
      <x:c r="D2110" s="55" t="str">
        <x:v>—</x:v>
      </x:c>
      <x:c r="E2110" s="55" t="inlineStr">
        <x:is>
          <x:t>蜘蛛（踏雲頂梵天寺、試煉之窟）；破戒僧（天山雪道、亂藤林東方）；花和尚（天山雪道、亂藤林東方）</x:t>
        </x:is>
      </x:c>
    </x:row>
    <x:row r="2111" ht="45" customHeight="1">
      <x:c r="A2111" s="55" t="str">
        <x:v>粗製皮衣</x:v>
      </x:c>
      <x:c r="B2111" s="55" t="str">
        <x:v>—</x:v>
      </x:c>
      <x:c r="C2111" s="55" t="str">
        <x:v>勇士村買賣人、劍俠村買賣人、術者村買賣人、道人村買賣人、僧侶村買賣人、義勇軍校場買賣人</x:v>
      </x:c>
      <x:c r="D2111" s="55" t="str">
        <x:v>—</x:v>
      </x:c>
      <x:c r="E2111" s="55" t="inlineStr">
        <x:is>
          <x:t>—</x:t>
        </x:is>
      </x:c>
    </x:row>
    <x:row r="2112" ht="45" customHeight="1">
      <x:c r="A2112" s="55" t="str">
        <x:v>絹甲</x:v>
      </x:c>
      <x:c r="B2112" s="55" t="str">
        <x:v>—</x:v>
      </x:c>
      <x:c r="C2112" s="55" t="str">
        <x:v>勇士村買賣人、劍俠村買賣人、術者村買賣人、道人村買賣人、僧侶村買賣人、義勇軍校場買賣人、京城打鐵舖</x:v>
      </x:c>
      <x:c r="D2112" s="55" t="str">
        <x:v>—</x:v>
      </x:c>
      <x:c r="E2112" s="55" t="inlineStr">
        <x:is>
          <x:t>—</x:t>
        </x:is>
      </x:c>
    </x:row>
    <x:row r="2113" ht="45" customHeight="1">
      <x:c r="A2113" s="55" t="str">
        <x:v>長絹甲</x:v>
      </x:c>
      <x:c r="B2113" s="55" t="str">
        <x:v>—</x:v>
      </x:c>
      <x:c r="C2113" s="55" t="str">
        <x:v>義勇軍校場買賣人、京城打鐵舖</x:v>
      </x:c>
      <x:c r="D2113" s="55" t="str">
        <x:v>—</x:v>
      </x:c>
      <x:c r="E2113" s="55" t="inlineStr">
        <x:is>
          <x:t>鴻星打手（碧波幽谷）；紫衫惡煞（亂藤林東方）；冬興堂主（碧波幽谷）；凡人（五派禁地）；邊關賊寇嘍囉（八達嶺、古北口、古北大營、邊關要塞）；山蓮打手（碧波幽谷）；冬興打手（碧波幽谷）；鴻星火藥惡棍（碧波幽谷）</x:t>
        </x:is>
      </x:c>
    </x:row>
    <x:row r="2114" ht="15" customHeight="1">
      <x:c r="A2114" s="55" t="str">
        <x:v>短皮甲</x:v>
      </x:c>
      <x:c r="B2114" s="55" t="str">
        <x:v>—</x:v>
      </x:c>
      <x:c r="C2114" s="55" t="str">
        <x:v>京城打鐵舖</x:v>
      </x:c>
      <x:c r="D2114" s="55" t="str">
        <x:v>—</x:v>
      </x:c>
      <x:c r="E2114" s="55" t="inlineStr">
        <x:is>
          <x:t>山賊頭目（塞北關、映月泊、猢猻嶺、封神臺）</x:t>
        </x:is>
      </x:c>
    </x:row>
    <x:row r="2115" ht="15" customHeight="1">
      <x:c r="A2115" s="55" t="str">
        <x:v>皮甲</x:v>
      </x:c>
      <x:c r="B2115" s="55" t="str">
        <x:v>—</x:v>
      </x:c>
      <x:c r="C2115" s="55" t="str">
        <x:v>祁州打鐵舖</x:v>
      </x:c>
      <x:c r="D2115" s="55" t="str">
        <x:v>—</x:v>
      </x:c>
      <x:c r="E2115" s="55" t="inlineStr">
        <x:is>
          <x:t>山賊頭目（塞北關、映月泊、猢猻嶺、封神臺）</x:t>
        </x:is>
      </x:c>
    </x:row>
    <x:row r="2116" ht="15" customHeight="1">
      <x:c r="A2116" s="55" t="str">
        <x:v>重皮甲</x:v>
      </x:c>
      <x:c r="B2116" s="55" t="str">
        <x:v>—</x:v>
      </x:c>
      <x:c r="C2116" s="55" t="str">
        <x:v>祁州打鐵舖</x:v>
      </x:c>
      <x:c r="D2116" s="55" t="str">
        <x:v>—</x:v>
      </x:c>
      <x:c r="E2116" s="55" t="inlineStr">
        <x:is>
          <x:t>—</x:t>
        </x:is>
      </x:c>
    </x:row>
    <x:row r="2117" ht="180" customHeight="1">
      <x:c r="A2117" s="55" t="str">
        <x:v>輕藤甲</x:v>
      </x:c>
      <x:c r="B2117" s="55" t="str">
        <x:v>—</x:v>
      </x:c>
      <x:c r="C2117" s="55" t="str">
        <x:v>—</x:v>
      </x:c>
      <x:c r="D2117" s="55" t="str">
        <x:v>—</x:v>
      </x:c>
      <x:c r="E2117" s="55" t="inlineStr">
        <x:is>
          <x:t>夜叉王（摘星嶺、夜叉嶺）；夜叉王（玄州城、獄門峽、摘星嶺、夜叉嶺、異時界‧摘星嶺）；夜叉刺客（鎮南關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千年樹精（瀰煙山道、掩月松林、不老峰）；千年樹精（葬日沼澤、葬日沼澤北方、千佛遺跡東側）；[千年樹精]（網站未列地圖）；樹精（惡狼林、碧波谷徑、亂藤林）；樹精（桃花林西方、不老峰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狂猴（葬劍崖護法院、試煉之窟）；蟾蜍（黑水潭地龍穴、試煉之窟）；野豬（山林地訓練營、試煉之窟）；小夜叉奴隸（獄門峽、亂藤林西方、摘星嶺、靖南古道、夜叉嶺）；小夜叉奴隸（玄州城、獄門峽、亂藤林西方、摘星嶺、靖南古道、夜叉嶺）；小夜叉奴隸（玄州城、獄門峽）</x:t>
        </x:is>
      </x:c>
    </x:row>
    <x:row r="2118" ht="210" customHeight="1">
      <x:c r="A2118" s="55" t="str">
        <x:v>藤甲</x:v>
      </x:c>
      <x:c r="B2118" s="55" t="str">
        <x:v>—</x:v>
      </x:c>
      <x:c r="C2118" s="55" t="str">
        <x:v>—</x:v>
      </x:c>
      <x:c r="D2118" s="55" t="str">
        <x:v>—</x:v>
      </x:c>
      <x:c r="E2118" s="55" t="inlineStr">
        <x:is>
          <x:t>巨靈魔王（摘星嶺、魔君陵墓、魔君陵寢一層、修羅窟）；巨靈魔（亂藤林、毒龍潭、摘星嶺、魔君陵墓）；夜叉王（摘星嶺、夜叉嶺）；夜叉王（玄州城、獄門峽、摘星嶺、夜叉嶺、異時界‧摘星嶺）；夜叉刺客（鎮南關）；地穴樹精（蕈菇林東方、蕈菇林西方、晶湖水道）；萬年樹精（神兵塚）；千年樹精（瀰煙山道、掩月松林、不老峰）；千年樹精（葬日沼澤、葬日沼澤北方、千佛遺跡東側）；[千年樹精]（網站未列地圖）；老樹精（惡狼林、碧波谷徑、瘴癘修煉場、亂藤林、葬日沼澤、葬日沼澤北方）；{老樹精}（瀰煙山道、掩月松林）；&lt;老樹精&gt;（瀰煙山道、掩月松林）；老樹精（惡狼林、碧波谷徑、瘴癘修煉場、亂藤林、葬日沼澤、葬日沼澤北方）；邪樹妖（桃花林西方）；樹精（惡狼林、碧波谷徑、亂藤林）；樹精（桃花林西方、不老峰）；夜叉長矛手（亂藤林西方、毒龍潭、摘星嶺、魔君陵寢一層、夜叉嶺、修羅窟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玄州城、獄門峽）；小夜叉士兵（玄州城、獄門峽）；小夜叉飛斧手（玄州城、獄門峽）；小夜叉奴隸（獄門峽、亂藤林西方、摘星嶺、靖南古道、夜叉嶺）；小夜叉奴隸（玄州城、獄門峽、亂藤林西方、摘星嶺、靖南古道、夜叉嶺）</x:t>
        </x:is>
      </x:c>
    </x:row>
    <x:row r="2119" ht="195" customHeight="1">
      <x:c r="A2119" s="55" t="str">
        <x:v>重藤甲</x:v>
      </x:c>
      <x:c r="B2119" s="55" t="str">
        <x:v>—</x:v>
      </x:c>
      <x:c r="C2119" s="55" t="str">
        <x:v>—</x:v>
      </x:c>
      <x:c r="D2119" s="55" t="str">
        <x:v>—</x:v>
      </x:c>
      <x:c r="E2119" s="55" t="inlineStr">
        <x:is>
          <x:t>夜叉王（摘星嶺、夜叉嶺）；夜叉王（玄州城、獄門峽、摘星嶺、夜叉嶺、異時界‧摘星嶺）；夜叉刺客（鎮南關）；巨靈魔王（摘星嶺、魔君陵墓、魔君陵寢一層、修羅窟）；巨靈魔（亂藤林、毒龍潭、摘星嶺、魔君陵墓）；千年樹精（瀰煙山道、掩月松林、不老峰）；千年樹精（葬日沼澤、葬日沼澤北方、千佛遺跡東側）；[千年樹精]（網站未列地圖）；{老樹精}（瀰煙山道、掩月松林）；&lt;老樹精&gt;（瀰煙山道、掩月松林）；老樹精（惡狼林、碧波谷徑、瘴癘修煉場、亂藤林、葬日沼澤、葬日沼澤北方）；邪樹妖（桃花林西方）；老樹精（惡狼林、碧波谷徑、瘴癘修煉場、亂藤林、葬日沼澤、葬日沼澤北方）；樹精（惡狼林、碧波谷徑、亂藤林）；樹精（桃花林西方、不老峰）；夜叉長矛手（亂藤林西方、毒龍潭、摘星嶺、魔君陵寢一層、夜叉嶺、修羅窟）；夜叉刀斧手（獄門峽、亂藤林西方、毒龍潭、摘星嶺、魔君陵寢一層、夜叉嶺、修羅窟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獄門峽、亂藤林西方、摘星嶺、靖南古道、夜叉嶺）；小夜叉奴隸（玄州城、獄門峽、亂藤林西方、摘星嶺、靖南古道、夜叉嶺）</x:t>
        </x:is>
      </x:c>
    </x:row>
    <x:row r="2120" ht="15" customHeight="1">
      <x:c r="A2120" s="55" t="str">
        <x:v>鎖子甲</x:v>
      </x:c>
      <x:c r="B2120" s="55" t="str">
        <x:v>—</x:v>
      </x:c>
      <x:c r="C2120" s="55" t="str">
        <x:v>祁州打鐵舖</x:v>
      </x:c>
      <x:c r="D2120" s="55" t="str">
        <x:v>—</x:v>
      </x:c>
      <x:c r="E2120" s="55" t="inlineStr">
        <x:is>
          <x:t>邊關賊寇隊長（邊關要塞）；邊關賊寇隊長（八達嶺、古北口、邊關要塞）；長林大盜（長林谷）</x:t>
        </x:is>
      </x:c>
    </x:row>
    <x:row r="2121" ht="15" customHeight="1">
      <x:c r="A2121" s="55" t="str">
        <x:v>短鎧甲</x:v>
      </x:c>
      <x:c r="B2121" s="55" t="str">
        <x:v>—</x:v>
      </x:c>
      <x:c r="C2121" s="55" t="str">
        <x:v>祁州打鐵舖</x:v>
      </x:c>
      <x:c r="D2121" s="55" t="str">
        <x:v>—</x:v>
      </x:c>
      <x:c r="E2121" s="55" t="inlineStr">
        <x:is>
          <x:t>—</x:t>
        </x:is>
      </x:c>
    </x:row>
    <x:row r="2122" ht="15" customHeight="1">
      <x:c r="A2122" s="55" t="str">
        <x:v>鎧甲</x:v>
      </x:c>
      <x:c r="B2122" s="55" t="str">
        <x:v>—</x:v>
      </x:c>
      <x:c r="C2122" s="55" t="str">
        <x:v>玄州打鐵舖</x:v>
      </x:c>
      <x:c r="D2122" s="55" t="str">
        <x:v>—</x:v>
      </x:c>
      <x:c r="E2122" s="55" t="inlineStr">
        <x:is>
          <x:t>—</x:t>
        </x:is>
      </x:c>
    </x:row>
    <x:row r="2123" ht="15" customHeight="1">
      <x:c r="A2123" s="55" t="str">
        <x:v>重鎧甲</x:v>
      </x:c>
      <x:c r="B2123" s="55" t="str">
        <x:v>—</x:v>
      </x:c>
      <x:c r="C2123" s="55" t="str">
        <x:v>玄州打鐵舖</x:v>
      </x:c>
      <x:c r="D2123" s="55" t="str">
        <x:v>—</x:v>
      </x:c>
      <x:c r="E2123" s="55" t="inlineStr">
        <x:is>
          <x:t>—</x:t>
        </x:is>
      </x:c>
    </x:row>
    <x:row r="2124" ht="15" customHeight="1">
      <x:c r="A2124" s="55" t="str">
        <x:v>鱗片甲</x:v>
      </x:c>
      <x:c r="B2124" s="55" t="str">
        <x:v>—</x:v>
      </x:c>
      <x:c r="C2124" s="55" t="str">
        <x:v>玄州打鐵舖</x:v>
      </x:c>
      <x:c r="D2124" s="55" t="str">
        <x:v>—</x:v>
      </x:c>
      <x:c r="E2124" s="55" t="inlineStr">
        <x:is>
          <x:t>神龍將（龍宮八層廣場）</x:t>
        </x:is>
      </x:c>
    </x:row>
    <x:row r="2125" ht="15" customHeight="1">
      <x:c r="A2125" s="55" t="str">
        <x:v>明光鎧</x:v>
      </x:c>
      <x:c r="B2125" s="55" t="str">
        <x:v>—</x:v>
      </x:c>
      <x:c r="C2125" s="55" t="str">
        <x:v>玄州打鐵舖</x:v>
      </x:c>
      <x:c r="D2125" s="55" t="str">
        <x:v>—</x:v>
      </x:c>
      <x:c r="E2125" s="55" t="inlineStr">
        <x:is>
          <x:t>—</x:t>
        </x:is>
      </x:c>
    </x:row>
    <x:row r="2126" ht="15" customHeight="1">
      <x:c r="A2126" s="55" t="str">
        <x:v>驅邪甲</x:v>
      </x:c>
      <x:c r="B2126" s="55" t="str">
        <x:v>—</x:v>
      </x:c>
      <x:c r="C2126" s="55" t="str">
        <x:v>釣日村武器店長</x:v>
      </x:c>
      <x:c r="D2126" s="55" t="str">
        <x:v>—</x:v>
      </x:c>
      <x:c r="E2126" s="55" t="inlineStr">
        <x:is>
          <x:t>—</x:t>
        </x:is>
      </x:c>
    </x:row>
    <x:row r="2127" ht="15" customHeight="1">
      <x:c r="A2127" s="55" t="str">
        <x:v>闢邪甲</x:v>
      </x:c>
      <x:c r="B2127" s="55" t="str">
        <x:v>—</x:v>
      </x:c>
      <x:c r="C2127" s="55" t="str">
        <x:v>釣日村武器店長</x:v>
      </x:c>
      <x:c r="D2127" s="55" t="str">
        <x:v>—</x:v>
      </x:c>
      <x:c r="E2127" s="55" t="inlineStr">
        <x:is>
          <x:t>惡土匪（鎮南關密道）</x:t>
        </x:is>
      </x:c>
    </x:row>
    <x:row r="2128" ht="30" customHeight="1">
      <x:c r="A2128" s="55" t="str">
        <x:v>鎮邪甲</x:v>
      </x:c>
      <x:c r="B2128" s="55" t="str">
        <x:v>—</x:v>
      </x:c>
      <x:c r="C2128" s="55" t="str">
        <x:v>—</x:v>
      </x:c>
      <x:c r="D2128" s="55" t="str">
        <x:v>—</x:v>
      </x:c>
      <x:c r="E2128" s="55" t="inlineStr">
        <x:is>
          <x:t>黑焰大王（高昌郡）；御史劍裝錦囊（網站未列地圖）；御史勇裝錦囊（網站未列地圖）；血槍幫響馬（高昌郡）；邪神勇士（火焰山）；力士俑（古皇陵第二層、古皇陵第三層）；{力士俑}（古皇陵密室）</x:t>
        </x:is>
      </x:c>
    </x:row>
    <x:row r="2129" ht="45" customHeight="1">
      <x:c r="A2129" s="55" t="str">
        <x:v>骨甲</x:v>
      </x:c>
      <x:c r="B2129" s="55" t="str">
        <x:v>—</x:v>
      </x:c>
      <x:c r="C2129" s="55" t="str">
        <x:v>—</x:v>
      </x:c>
      <x:c r="D2129" s="55" t="str">
        <x:v>骨甲配方</x:v>
      </x:c>
      <x:c r="E2129" s="55" t="inlineStr">
        <x:is>
          <x:t>[熊武者]（網站未列地圖）；熊武者（桃花林西方、不老峰）；覓蜜熊（桃花林、桃花林西方、桃花林南方）；夜叉長矛手（玄州城、獄門峽）；夜叉刀斧手（玄州城、獄門峽）；大力熊（桃花林西方、桃花林南方、不老峰）；大狂猴（試煉之窟）；大蟾蜍（試煉之窟）</x:t>
        </x:is>
      </x:c>
    </x:row>
    <x:row r="2130" ht="45" customHeight="1">
      <x:c r="A2130" s="55" t="str">
        <x:v>重骨甲</x:v>
      </x:c>
      <x:c r="B2130" s="55" t="str">
        <x:v>—</x:v>
      </x:c>
      <x:c r="C2130" s="55" t="str">
        <x:v>—</x:v>
      </x:c>
      <x:c r="D2130" s="55" t="str">
        <x:v>重骨甲配方</x:v>
      </x:c>
      <x:c r="E2130" s="55" t="inlineStr">
        <x:is>
          <x:t>傀儡盜匪頭目（萬佛窟、樓蘭遺址）；巨靈魔（獄門峽）；夜叉王（玄州城、獄門峽）；[熊武者]（網站未列地圖）；熊武者（桃花林西方、不老峰）；覓蜜熊（桃花林、桃花林西方、桃花林南方）；夜叉長矛手（玄州城、獄門峽）；夜叉刀斧手（玄州城、獄門峽）</x:t>
        </x:is>
      </x:c>
    </x:row>
    <x:row r="2131" ht="15" customHeight="1">
      <x:c r="A2131" s="55" t="str">
        <x:v>附靈骨甲</x:v>
      </x:c>
      <x:c r="B2131" s="55" t="str">
        <x:v>—</x:v>
      </x:c>
      <x:c r="C2131" s="55" t="str">
        <x:v>—</x:v>
      </x:c>
      <x:c r="D2131" s="55" t="str">
        <x:v>附靈骨甲配方</x:v>
      </x:c>
      <x:c r="E2131" s="55" t="inlineStr">
        <x:is>
          <x:t>校尉錦囊（網站未列地圖）；邪咒骷髏（千佛遺跡東側、千佛遺跡西側）</x:t>
        </x:is>
      </x:c>
    </x:row>
    <x:row r="2132" ht="15" customHeight="1">
      <x:c r="A2132" s="55" t="str">
        <x:v>怨靈骨甲</x:v>
      </x:c>
      <x:c r="B2132" s="55" t="str">
        <x:v>—</x:v>
      </x:c>
      <x:c r="C2132" s="55" t="str">
        <x:v>—</x:v>
      </x:c>
      <x:c r="D2132" s="55" t="str">
        <x:v>怨靈骨甲配方</x:v>
      </x:c>
      <x:c r="E2132" s="55" t="inlineStr">
        <x:is>
          <x:t>邪咒骷髏（千佛遺跡東側、千佛遺跡西側）</x:t>
        </x:is>
      </x:c>
    </x:row>
    <x:row r="2133" ht="15" customHeight="1">
      <x:c r="A2133" s="55" t="str">
        <x:v>蛛絲僧衣</x:v>
      </x:c>
      <x:c r="B2133" s="55" t="str">
        <x:v>—</x:v>
      </x:c>
      <x:c r="C2133" s="55" t="str">
        <x:v>—</x:v>
      </x:c>
      <x:c r="D2133" s="55" t="str">
        <x:v>蛛絲僧衣配方</x:v>
      </x:c>
      <x:c r="E2133" s="55" t="inlineStr">
        <x:is>
          <x:t>—</x:t>
        </x:is>
      </x:c>
    </x:row>
    <x:row r="2134" ht="15" customHeight="1">
      <x:c r="A2134" s="55" t="str">
        <x:v>蛛絲道袍</x:v>
      </x:c>
      <x:c r="B2134" s="55" t="str">
        <x:v>—</x:v>
      </x:c>
      <x:c r="C2134" s="55" t="str">
        <x:v>—</x:v>
      </x:c>
      <x:c r="D2134" s="55" t="str">
        <x:v>蛛絲道袍配方</x:v>
      </x:c>
      <x:c r="E2134" s="55" t="inlineStr">
        <x:is>
          <x:t>—</x:t>
        </x:is>
      </x:c>
    </x:row>
    <x:row r="2135" ht="15" customHeight="1">
      <x:c r="A2135" s="55" t="str">
        <x:v>靈絲禪衣</x:v>
      </x:c>
      <x:c r="B2135" s="55" t="str">
        <x:v>—</x:v>
      </x:c>
      <x:c r="C2135" s="55" t="str">
        <x:v>—</x:v>
      </x:c>
      <x:c r="D2135" s="55" t="str">
        <x:v>靈絲禪衣配方</x:v>
      </x:c>
      <x:c r="E2135" s="55" t="inlineStr">
        <x:is>
          <x:t>—</x:t>
        </x:is>
      </x:c>
    </x:row>
    <x:row r="2136" ht="15" customHeight="1">
      <x:c r="A2136" s="55" t="str">
        <x:v>靈絲道袍</x:v>
      </x:c>
      <x:c r="B2136" s="55" t="str">
        <x:v>—</x:v>
      </x:c>
      <x:c r="C2136" s="55" t="str">
        <x:v>—</x:v>
      </x:c>
      <x:c r="D2136" s="55" t="str">
        <x:v>靈絲道袍配方</x:v>
      </x:c>
      <x:c r="E2136" s="55" t="inlineStr">
        <x:is>
          <x:t>校尉錦囊（網站未列地圖）</x:t>
        </x:is>
      </x:c>
    </x:row>
    <x:row r="2137" ht="15" customHeight="1">
      <x:c r="A2137" s="55" t="str">
        <x:v>銀縷禪衣</x:v>
      </x:c>
      <x:c r="B2137" s="55" t="str">
        <x:v>—</x:v>
      </x:c>
      <x:c r="C2137" s="55" t="str">
        <x:v>—</x:v>
      </x:c>
      <x:c r="D2137" s="55" t="str">
        <x:v>銀縷禪衣配方</x:v>
      </x:c>
      <x:c r="E2137" s="55" t="inlineStr">
        <x:is>
          <x:t>—</x:t>
        </x:is>
      </x:c>
    </x:row>
    <x:row r="2138" ht="15" customHeight="1">
      <x:c r="A2138" s="55" t="str">
        <x:v>銀縷道袍</x:v>
      </x:c>
      <x:c r="B2138" s="55" t="str">
        <x:v>—</x:v>
      </x:c>
      <x:c r="C2138" s="55" t="str">
        <x:v>—</x:v>
      </x:c>
      <x:c r="D2138" s="55" t="str">
        <x:v>銀縷道袍配方</x:v>
      </x:c>
      <x:c r="E2138" s="55" t="inlineStr">
        <x:is>
          <x:t>—</x:t>
        </x:is>
      </x:c>
    </x:row>
    <x:row r="2139" ht="15" customHeight="1">
      <x:c r="A2139" s="55" t="str">
        <x:v>山犬背心</x:v>
      </x:c>
      <x:c r="B2139" s="55" t="str">
        <x:v>—</x:v>
      </x:c>
      <x:c r="C2139" s="55" t="str">
        <x:v>—</x:v>
      </x:c>
      <x:c r="D2139" s="55" t="str">
        <x:v>山犬背心配方</x:v>
      </x:c>
      <x:c r="E2139" s="55" t="inlineStr">
        <x:is>
          <x:t>—</x:t>
        </x:is>
      </x:c>
    </x:row>
    <x:row r="2140" ht="15" customHeight="1">
      <x:c r="A2140" s="55" t="str">
        <x:v>惡狼皮襖</x:v>
      </x:c>
      <x:c r="B2140" s="55" t="str">
        <x:v>—</x:v>
      </x:c>
      <x:c r="C2140" s="55" t="str">
        <x:v>—</x:v>
      </x:c>
      <x:c r="D2140" s="55" t="str">
        <x:v>惡狼皮襖配方</x:v>
      </x:c>
      <x:c r="E2140" s="55" t="inlineStr">
        <x:is>
          <x:t>—</x:t>
        </x:is>
      </x:c>
    </x:row>
    <x:row r="2141" ht="15" customHeight="1">
      <x:c r="A2141" s="55" t="str">
        <x:v>朱雀道袍</x:v>
      </x:c>
      <x:c r="B2141" s="55" t="str">
        <x:v>—</x:v>
      </x:c>
      <x:c r="C2141" s="55" t="str">
        <x:v>維摩洞天-仙島工匠</x:v>
      </x:c>
      <x:c r="D2141" s="55" t="str">
        <x:v>—</x:v>
      </x:c>
      <x:c r="E2141" s="55" t="inlineStr">
        <x:is>
          <x:t>—</x:t>
        </x:is>
      </x:c>
    </x:row>
    <x:row r="2142" ht="15" customHeight="1">
      <x:c r="A2142" s="55" t="str">
        <x:v>丹陽僧衣</x:v>
      </x:c>
      <x:c r="B2142" s="55" t="str">
        <x:v>—</x:v>
      </x:c>
      <x:c r="C2142" s="55" t="str">
        <x:v>維摩洞天-仙島工匠</x:v>
      </x:c>
      <x:c r="D2142" s="55" t="str">
        <x:v>—</x:v>
      </x:c>
      <x:c r="E2142" s="55" t="inlineStr">
        <x:is>
          <x:t>—</x:t>
        </x:is>
      </x:c>
    </x:row>
    <x:row r="2143" ht="30" customHeight="1">
      <x:c r="A2143" s="55" t="str">
        <x:v>青甲戰鎧</x:v>
      </x:c>
      <x:c r="B2143" s="55" t="str">
        <x:v>—</x:v>
      </x:c>
      <x:c r="C2143" s="55" t="str">
        <x:v>釣日村武器店長</x:v>
      </x:c>
      <x:c r="D2143" s="55" t="str">
        <x:v>—</x:v>
      </x:c>
      <x:c r="E2143" s="55" t="inlineStr">
        <x:is>
          <x:t>傀儡盜匪頭目（萬佛窟、樓蘭遺址）；黑焰大王（高昌郡）；邪神勇士（火焰山）；血槍幫響馬（高昌郡）；盜匪頭目（塔干沙漠南方）</x:t>
        </x:is>
      </x:c>
    </x:row>
    <x:row r="2144" ht="15" customHeight="1">
      <x:c r="A2144" s="55" t="str">
        <x:v>玄老僧袍</x:v>
      </x:c>
      <x:c r="B2144" s="55" t="str">
        <x:v>—</x:v>
      </x:c>
      <x:c r="C2144" s="55" t="str">
        <x:v>釣日村武器店長</x:v>
      </x:c>
      <x:c r="D2144" s="55" t="str">
        <x:v>—</x:v>
      </x:c>
      <x:c r="E2144" s="55" t="inlineStr">
        <x:is>
          <x:t>—</x:t>
        </x:is>
      </x:c>
    </x:row>
    <x:row r="2145" ht="15" customHeight="1">
      <x:c r="A2145" s="55" t="str">
        <x:v>金甲鎧甲</x:v>
      </x:c>
      <x:c r="B2145" s="55" t="str">
        <x:v>—</x:v>
      </x:c>
      <x:c r="C2145" s="55" t="str">
        <x:v>釣日村武器店長</x:v>
      </x:c>
      <x:c r="D2145" s="55" t="str">
        <x:v>—</x:v>
      </x:c>
      <x:c r="E2145" s="55" t="inlineStr">
        <x:is>
          <x:t>—</x:t>
        </x:is>
      </x:c>
    </x:row>
    <x:row r="2146" ht="15" customHeight="1">
      <x:c r="A2146" s="55" t="str">
        <x:v>貝鱗甲</x:v>
      </x:c>
      <x:c r="B2146" s="55" t="str">
        <x:v>—</x:v>
      </x:c>
      <x:c r="C2146" s="55" t="str">
        <x:v>釣日村武器店長</x:v>
      </x:c>
      <x:c r="D2146" s="55" t="str">
        <x:v>—</x:v>
      </x:c>
      <x:c r="E2146" s="55" t="inlineStr">
        <x:is>
          <x:t>神龍將（龍宮八層廣場）</x:t>
        </x:is>
      </x:c>
    </x:row>
    <x:row r="2147" ht="15" customHeight="1">
      <x:c r="A2147" s="55" t="str">
        <x:v>片鱗袍</x:v>
      </x:c>
      <x:c r="B2147" s="55" t="str">
        <x:v>—</x:v>
      </x:c>
      <x:c r="C2147" s="55" t="str">
        <x:v>釣日村武器店長</x:v>
      </x:c>
      <x:c r="D2147" s="55" t="str">
        <x:v>—</x:v>
      </x:c>
      <x:c r="E2147" s="55" t="inlineStr">
        <x:is>
          <x:t>—</x:t>
        </x:is>
      </x:c>
    </x:row>
    <x:row r="2148" ht="15" customHeight="1">
      <x:c r="A2148" s="55" t="str">
        <x:v>紋鱗袈裟</x:v>
      </x:c>
      <x:c r="B2148" s="55" t="str">
        <x:v>—</x:v>
      </x:c>
      <x:c r="C2148" s="55" t="str">
        <x:v>釣日村武器店長</x:v>
      </x:c>
      <x:c r="D2148" s="55" t="str">
        <x:v>—</x:v>
      </x:c>
      <x:c r="E2148" s="55" t="inlineStr">
        <x:is>
          <x:t>—</x:t>
        </x:is>
      </x:c>
    </x:row>
    <x:row r="2149" ht="30" customHeight="1">
      <x:c r="A2149" s="55" t="str">
        <x:v>赤鐵甲</x:v>
      </x:c>
      <x:c r="B2149" s="55" t="str">
        <x:v>—</x:v>
      </x:c>
      <x:c r="C2149" s="55" t="str">
        <x:v>維摩洞天-仙島工匠</x:v>
      </x:c>
      <x:c r="D2149" s="55" t="str">
        <x:v>—</x:v>
      </x:c>
      <x:c r="E2149" s="55" t="inlineStr">
        <x:is>
          <x:t>羅剎鞭子手（塔干沙漠西方）；傀儡羅剎鞭手（網站未列地圖）；羅剎鞭手遊魂（網站未列地圖）；鯊將軍（龍宮八層一隅、龍宮八層廣場）</x:t>
        </x:is>
      </x:c>
    </x:row>
    <x:row r="2150" ht="15" customHeight="1">
      <x:c r="A2150" s="55" t="str">
        <x:v>仙雲道袍</x:v>
      </x:c>
      <x:c r="B2150" s="55" t="str">
        <x:v>—</x:v>
      </x:c>
      <x:c r="C2150" s="55" t="str">
        <x:v>維摩洞天-仙島工匠</x:v>
      </x:c>
      <x:c r="D2150" s="55" t="str">
        <x:v>—</x:v>
      </x:c>
      <x:c r="E2150" s="55" t="inlineStr">
        <x:is>
          <x:t>—</x:t>
        </x:is>
      </x:c>
    </x:row>
    <x:row r="2151" ht="15" customHeight="1">
      <x:c r="A2151" s="55" t="str">
        <x:v>短僧服</x:v>
      </x:c>
      <x:c r="B2151" s="55" t="str">
        <x:v>—</x:v>
      </x:c>
      <x:c r="C2151" s="55" t="str">
        <x:v>維摩洞天-仙島工匠</x:v>
      </x:c>
      <x:c r="D2151" s="55" t="str">
        <x:v>—</x:v>
      </x:c>
      <x:c r="E2151" s="55" t="inlineStr">
        <x:is>
          <x:t>—</x:t>
        </x:is>
      </x:c>
    </x:row>
    <x:row r="2152" ht="15" customHeight="1">
      <x:c r="A2152" s="55" t="str">
        <x:v>墨鐵戰鎧</x:v>
      </x:c>
      <x:c r="B2152" s="55" t="str">
        <x:v>—</x:v>
      </x:c>
      <x:c r="C2152" s="55" t="str">
        <x:v>京城打鐵舖</x:v>
      </x:c>
      <x:c r="D2152" s="55" t="str">
        <x:v>—</x:v>
      </x:c>
      <x:c r="E2152" s="55" t="inlineStr">
        <x:is>
          <x:t>惡土匪（鎮南關密道）</x:t>
        </x:is>
      </x:c>
    </x:row>
    <x:row r="2153" ht="15" customHeight="1">
      <x:c r="A2153" s="55" t="str">
        <x:v>追風勁袍</x:v>
      </x:c>
      <x:c r="B2153" s="55" t="str">
        <x:v>—</x:v>
      </x:c>
      <x:c r="C2153" s="55" t="str">
        <x:v>京城打鐵舖</x:v>
      </x:c>
      <x:c r="D2153" s="55" t="str">
        <x:v>—</x:v>
      </x:c>
      <x:c r="E2153" s="55" t="inlineStr">
        <x:is>
          <x:t>惡土匪（鎮南關密道）</x:t>
        </x:is>
      </x:c>
    </x:row>
    <x:row r="2154" ht="15" customHeight="1">
      <x:c r="A2154" s="55" t="str">
        <x:v>護心禪衣</x:v>
      </x:c>
      <x:c r="B2154" s="55" t="str">
        <x:v>—</x:v>
      </x:c>
      <x:c r="C2154" s="55" t="str">
        <x:v>京城打鐵舖</x:v>
      </x:c>
      <x:c r="D2154" s="55" t="str">
        <x:v>—</x:v>
      </x:c>
      <x:c r="E2154" s="55" t="inlineStr">
        <x:is>
          <x:t>惡土匪（鎮南關密道）</x:t>
        </x:is>
      </x:c>
    </x:row>
    <x:row r="2155" ht="15" customHeight="1">
      <x:c r="A2155" s="55" t="str">
        <x:v>祖傳掩心鏡</x:v>
      </x:c>
      <x:c r="B2155" s="55" t="str">
        <x:v>尋找京城錢府失物</x:v>
      </x:c>
      <x:c r="C2155" s="55" t="str">
        <x:v>—</x:v>
      </x:c>
      <x:c r="D2155" s="55" t="str">
        <x:v>—</x:v>
      </x:c>
      <x:c r="E2155" s="55" t="inlineStr">
        <x:is>
          <x:t>—</x:t>
        </x:is>
      </x:c>
    </x:row>
    <x:row r="2156" ht="15" customHeight="1">
      <x:c r="A2156" s="55" t="str">
        <x:v>精金掩心鏡</x:v>
      </x:c>
      <x:c r="B2156" s="55" t="str">
        <x:v>修復祖傳掩心鏡</x:v>
      </x:c>
      <x:c r="C2156" s="55" t="str">
        <x:v>—</x:v>
      </x:c>
      <x:c r="D2156" s="55" t="str">
        <x:v>—</x:v>
      </x:c>
      <x:c r="E2156" s="55" t="inlineStr">
        <x:is>
          <x:t>—</x:t>
        </x:is>
      </x:c>
    </x:row>
    <x:row r="2157" ht="15" customHeight="1">
      <x:c r="A2157" s="55" t="str">
        <x:v>淨水掩心鏡</x:v>
      </x:c>
      <x:c r="B2157" s="55" t="str">
        <x:v>修復祖傳掩心鏡</x:v>
      </x:c>
      <x:c r="C2157" s="55" t="str">
        <x:v>—</x:v>
      </x:c>
      <x:c r="D2157" s="55" t="str">
        <x:v>—</x:v>
      </x:c>
      <x:c r="E2157" s="55" t="inlineStr">
        <x:is>
          <x:t>—</x:t>
        </x:is>
      </x:c>
    </x:row>
    <x:row r="2158" ht="15" customHeight="1">
      <x:c r="A2158" s="55" t="str">
        <x:v>烈火掩心鏡</x:v>
      </x:c>
      <x:c r="B2158" s="55" t="str">
        <x:v>修復祖傳掩心鏡</x:v>
      </x:c>
      <x:c r="C2158" s="55" t="str">
        <x:v>—</x:v>
      </x:c>
      <x:c r="D2158" s="55" t="str">
        <x:v>—</x:v>
      </x:c>
      <x:c r="E2158" s="55" t="inlineStr">
        <x:is>
          <x:t>—</x:t>
        </x:is>
      </x:c>
    </x:row>
    <x:row r="2159" ht="15" customHeight="1">
      <x:c r="A2159" s="55" t="str">
        <x:v>旋風掩心鏡</x:v>
      </x:c>
      <x:c r="B2159" s="55" t="str">
        <x:v>修復祖傳掩心鏡</x:v>
      </x:c>
      <x:c r="C2159" s="55" t="str">
        <x:v>—</x:v>
      </x:c>
      <x:c r="D2159" s="55" t="str">
        <x:v>—</x:v>
      </x:c>
      <x:c r="E2159" s="55" t="inlineStr">
        <x:is>
          <x:t>—</x:t>
        </x:is>
      </x:c>
    </x:row>
    <x:row r="2160" ht="15" customHeight="1">
      <x:c r="A2160" s="55" t="str">
        <x:v>大地掩心鏡</x:v>
      </x:c>
      <x:c r="B2160" s="55" t="str">
        <x:v>修復祖傳掩心鏡</x:v>
      </x:c>
      <x:c r="C2160" s="55" t="str">
        <x:v>—</x:v>
      </x:c>
      <x:c r="D2160" s="55" t="str">
        <x:v>—</x:v>
      </x:c>
      <x:c r="E2160" s="55" t="inlineStr">
        <x:is>
          <x:t>—</x:t>
        </x:is>
      </x:c>
    </x:row>
    <x:row r="2161" ht="15" customHeight="1">
      <x:c r="A2161" s="55" t="str">
        <x:v>夜叉藤甲</x:v>
      </x:c>
      <x:c r="B2161" s="55" t="str">
        <x:v>千里姻緣紅線牽系列</x:v>
      </x:c>
      <x:c r="C2161" s="55" t="str">
        <x:v>—</x:v>
      </x:c>
      <x:c r="D2161" s="55" t="str">
        <x:v>—</x:v>
      </x:c>
      <x:c r="E2161" s="55" t="inlineStr">
        <x:is>
          <x:t>—</x:t>
        </x:is>
      </x:c>
    </x:row>
    <x:row r="2162" ht="15" customHeight="1">
      <x:c r="A2162" s="55" t="str">
        <x:v>銀縷鎖甲</x:v>
      </x:c>
      <x:c r="B2162" s="55" t="str">
        <x:v>跑鏢任務</x:v>
      </x:c>
      <x:c r="C2162" s="55" t="str">
        <x:v>—</x:v>
      </x:c>
      <x:c r="D2162" s="55" t="str">
        <x:v>—</x:v>
      </x:c>
      <x:c r="E2162" s="55" t="inlineStr">
        <x:is>
          <x:t>—</x:t>
        </x:is>
      </x:c>
    </x:row>
    <x:row r="2163" ht="15" customHeight="1">
      <x:c r="A2163" s="55" t="str">
        <x:v>征西戰衣</x:v>
      </x:c>
      <x:c r="B2163" s="55" t="str">
        <x:v>波斯主線</x:v>
      </x:c>
      <x:c r="C2163" s="55" t="str">
        <x:v>—</x:v>
      </x:c>
      <x:c r="D2163" s="55" t="str">
        <x:v>—</x:v>
      </x:c>
      <x:c r="E2163" s="55" t="inlineStr">
        <x:is>
          <x:t>—</x:t>
        </x:is>
      </x:c>
    </x:row>
    <x:row r="2164" ht="15" customHeight="1">
      <x:c r="A2164" s="55" t="str">
        <x:v>歐風戰衣</x:v>
      </x:c>
      <x:c r="B2164" s="55" t="str">
        <x:v>十字主線</x:v>
      </x:c>
      <x:c r="C2164" s="55" t="str">
        <x:v>—</x:v>
      </x:c>
      <x:c r="D2164" s="55" t="str">
        <x:v>—</x:v>
      </x:c>
      <x:c r="E2164" s="55" t="inlineStr">
        <x:is>
          <x:t>—</x:t>
        </x:is>
      </x:c>
    </x:row>
    <x:row r="2165" ht="15" customHeight="1">
      <x:c r="A2165" s="55" t="str">
        <x:v>異空戰衣</x:v>
      </x:c>
      <x:c r="B2165" s="55" t="str">
        <x:v>破滅主線</x:v>
      </x:c>
      <x:c r="C2165" s="55" t="str">
        <x:v>—</x:v>
      </x:c>
      <x:c r="D2165" s="55" t="str">
        <x:v>—</x:v>
      </x:c>
      <x:c r="E2165" s="55" t="inlineStr">
        <x:is>
          <x:t>—</x:t>
        </x:is>
      </x:c>
    </x:row>
    <x:row r="2166" ht="15" customHeight="1">
      <x:c r="A2166" s="55" t="str">
        <x:v>艾濟儀甲</x:v>
      </x:c>
      <x:c r="B2166" s="55" t="str">
        <x:v>艾濟主線</x:v>
      </x:c>
      <x:c r="C2166" s="55" t="str">
        <x:v>—</x:v>
      </x:c>
      <x:c r="D2166" s="55" t="str">
        <x:v>—</x:v>
      </x:c>
      <x:c r="E2166" s="55" t="inlineStr">
        <x:is>
          <x:t>—</x:t>
        </x:is>
      </x:c>
    </x:row>
    <x:row r="2167" ht="15" customHeight="1">
      <x:c r="A2167" s="55" t="str">
        <x:v>皇衛戰甲</x:v>
      </x:c>
      <x:c r="B2167" s="55" t="str">
        <x:v>皇城主線</x:v>
      </x:c>
      <x:c r="C2167" s="55" t="str">
        <x:v>—</x:v>
      </x:c>
      <x:c r="D2167" s="55" t="str">
        <x:v>—</x:v>
      </x:c>
      <x:c r="E2167" s="55" t="inlineStr">
        <x:is>
          <x:t>—</x:t>
        </x:is>
      </x:c>
    </x:row>
    <x:row r="2168" ht="15" customHeight="1">
      <x:c r="A2168" s="55" t="str">
        <x:v>長疆戰甲</x:v>
      </x:c>
      <x:c r="B2168" s="55" t="str">
        <x:v>長疆主線</x:v>
      </x:c>
      <x:c r="C2168" s="55" t="str">
        <x:v>—</x:v>
      </x:c>
      <x:c r="D2168" s="55" t="str">
        <x:v>—</x:v>
      </x:c>
      <x:c r="E2168" s="55" t="inlineStr">
        <x:is>
          <x:t>—</x:t>
        </x:is>
      </x:c>
    </x:row>
    <x:row r="2169" ht="15" customHeight="1">
      <x:c r="A2169" s="55" t="str">
        <x:v>南遼護甲</x:v>
      </x:c>
      <x:c r="B2169" s="55" t="str">
        <x:v>神州2主線</x:v>
      </x:c>
      <x:c r="C2169" s="55" t="str">
        <x:v>—</x:v>
      </x:c>
      <x:c r="D2169" s="55" t="str">
        <x:v>—</x:v>
      </x:c>
      <x:c r="E2169" s="55" t="inlineStr">
        <x:is>
          <x:t>—</x:t>
        </x:is>
      </x:c>
    </x:row>
    <x:row r="2170" ht="30" customHeight="1">
      <x:c r="A2170" s="55" t="str">
        <x:v>疾風勁袍</x:v>
      </x:c>
      <x:c r="B2170" s="55" t="str">
        <x:v>—</x:v>
      </x:c>
      <x:c r="C2170" s="55" t="str">
        <x:v>—</x:v>
      </x:c>
      <x:c r="D2170" s="55" t="str">
        <x:v>—</x:v>
      </x:c>
      <x:c r="E2170" s="55" t="inlineStr">
        <x:is>
          <x:t>狼王（天山冰池、八達嶺）；天山雪狼（天山冰池）；天山惡狼（天山冰池）；蒼狼（呼倫草原、貝爾草原、黑城遺跡、關外草原、統萬大營）；蒼狼（關外草原）；蒼狼（呼倫草原、貝爾草原、黑城遺跡、統萬大營）</x:t>
        </x:is>
      </x:c>
    </x:row>
    <x:row r="2171" ht="150" customHeight="1">
      <x:c r="A2171" s="55" t="str">
        <x:v>侏人戰鎧</x:v>
      </x:c>
      <x:c r="B2171" s="55" t="str">
        <x:v>—</x:v>
      </x:c>
      <x:c r="C2171" s="55" t="str">
        <x:v>—</x:v>
      </x:c>
      <x:c r="D2171" s="55" t="str">
        <x:v>—</x:v>
      </x:c>
      <x:c r="E2171" s="55" t="inlineStr">
        <x:is>
          <x:t>地煞幻影（神兵塚）；侏人狂戰將（礦坑戰場）；地煞（神兵塚）；[地煞]（網站未列地圖）；魔侏人戰將（神兵塚）；灰侏人戰將（地下水道、水晶礦坑）；侏人狂戰士（蕈菇林西方）；侏人戰將（蕈菇林西方）；魔侏人炸彈兵（神兵塚）；侏人工鏟兵（蕈菇林、蕈菇林東方、蕈菇林西方）；魔侏人工鏟兵（神兵塚）；侏人工兵鬼魂（幽玄靈界）；侏人鐵鎬兵（蕈菇林、蕈菇林東方、蕈菇林西方）；魔侏人工頭（神兵塚）；灰侏人鐵鎬兵（晶湖水道、地下水道、水晶礦坑）；灰侏人工鏟兵（晶湖水道、地下水道、水晶礦坑）；冰蕈傘人（蕈菇林東方、蕈菇林西方、侏人部落、晶湖水道、地下水道、神兵塚）；[冰蕈傘人]（網站未列地圖）；魔侏人戰士（神兵塚）；灰侏人戰士（晶湖水道、地下水道、水晶礦坑）；灰侏人狂戰將（網站未列地圖）；魔侏人狂戰士（神兵塚）；灰侏人狂戰士（地下水道、水晶礦坑）；侏人戰士鬼魂（幽玄靈界）；侏人戰士（蕈菇林東方、蕈菇林西方）；小冰蕈傘人（蕈菇林、蕈菇林東方、蕈菇林西方、侏人部落、晶湖水道、地下水道、神兵塚）；地靈（地靈穴、蕈菇林、蕈菇林東方）；兇地靈（地靈穴、蕈菇林、蕈菇林東方）</x:t>
        </x:is>
      </x:c>
    </x:row>
    <x:row r="2172" ht="30" customHeight="1">
      <x:c r="A2172" s="55" t="str">
        <x:v>祭司披風</x:v>
      </x:c>
      <x:c r="B2172" s="55" t="str">
        <x:v>—</x:v>
      </x:c>
      <x:c r="C2172" s="55" t="str">
        <x:v>—</x:v>
      </x:c>
      <x:c r="D2172" s="55" t="str">
        <x:v>—</x:v>
      </x:c>
      <x:c r="E2172" s="55" t="inlineStr">
        <x:is>
          <x:t>侏人祭司（網站未列地圖）；侏人護法（蕈菇林西方）；地穴樹精（蕈菇林東方、蕈菇林西方、晶湖水道）；萬年樹精（神兵塚）；魔侏人祭司（神兵塚）；灰侏人祭司（網站未列地圖）；灰侏人護法（地下水道、水晶礦坑）</x:t>
        </x:is>
      </x:c>
    </x:row>
    <x:row r="2173" ht="45" customHeight="1">
      <x:c r="A2173" s="55" t="str">
        <x:v>虎王鎧</x:v>
      </x:c>
      <x:c r="B2173" s="55" t="str">
        <x:v>—</x:v>
      </x:c>
      <x:c r="C2173" s="55" t="str">
        <x:v>—</x:v>
      </x:c>
      <x:c r="D2173" s="55" t="str">
        <x:v>—</x:v>
      </x:c>
      <x:c r="E2173" s="55" t="inlineStr">
        <x:is>
          <x:t>神州霸王錦囊（網站未列地圖）；萬聖慶典福袋（網站未列地圖）；刑天魔王（葬日沼澤南方）；邪甲巨象（大梵河岸）；刑天戰狂（亂藤林、葬日沼澤、葬日沼澤南方）；刑天戰狂（亂藤林、葬日沼澤、葬日沼澤南方、異時界‧亂藤林）</x:t>
        </x:is>
      </x:c>
    </x:row>
    <x:row r="2174" ht="30" customHeight="1">
      <x:c r="A2174" s="55" t="str">
        <x:v>鬼王鎧</x:v>
      </x:c>
      <x:c r="B2174" s="55" t="str">
        <x:v>—</x:v>
      </x:c>
      <x:c r="C2174" s="55" t="str">
        <x:v>—</x:v>
      </x:c>
      <x:c r="D2174" s="55" t="str">
        <x:v>—</x:v>
      </x:c>
      <x:c r="E2174" s="55" t="inlineStr">
        <x:is>
          <x:t>御史術裝錦囊（網站未列地圖）；巨靈魔王（摘星嶺、魔君陵墓、魔君陵寢一層、修羅窟）；冰獄獠鬼（寒愴冰獄）；巨靈魔（亂藤林、毒龍潭、摘星嶺、魔君陵墓）</x:t>
        </x:is>
      </x:c>
    </x:row>
    <x:row r="2175" ht="30" customHeight="1">
      <x:c r="A2175" s="55" t="str">
        <x:v>百眼法袍</x:v>
      </x:c>
      <x:c r="B2175" s="55" t="str">
        <x:v>—</x:v>
      </x:c>
      <x:c r="C2175" s="55" t="str">
        <x:v>—</x:v>
      </x:c>
      <x:c r="D2175" s="55" t="str">
        <x:v>—</x:v>
      </x:c>
      <x:c r="E2175" s="55" t="inlineStr">
        <x:is>
          <x:t>百眼長老（摘星嶺、魔君陵墓、魔君陵寢一層、魔君陵寢二層）；百眼密探（毒龍潭）；百眼巫師（毒龍潭、摘星嶺、魔君陵墓、魔君陵寢一層、魔君陵寢二層、修羅窟）</x:t>
        </x:is>
      </x:c>
    </x:row>
    <x:row r="2176" ht="45" customHeight="1">
      <x:c r="A2176" s="55" t="str">
        <x:v>土行者之甲</x:v>
      </x:c>
      <x:c r="B2176" s="55" t="str">
        <x:v>—</x:v>
      </x:c>
      <x:c r="C2176" s="55" t="str">
        <x:v>—</x:v>
      </x:c>
      <x:c r="D2176" s="55" t="str">
        <x:v>—</x:v>
      </x:c>
      <x:c r="E2176" s="55" t="inlineStr">
        <x:is>
          <x:t>中郎將錦囊（網站未列地圖）；土行鬼王（亂藤林、亂藤林南方、葬日沼澤、魔君陵墓、靖南古道、修羅窟）；土行者（亂藤林、亂藤林東方、亂藤林南方、葬日沼澤、魔君陵墓、靖南古道、修羅窟、千佛遺跡東側）；土行者（試煉之窟）</x:t>
        </x:is>
      </x:c>
    </x:row>
    <x:row r="2177" ht="135" customHeight="1">
      <x:c r="A2177" s="55" t="str">
        <x:v>隱遁軟甲</x:v>
      </x:c>
      <x:c r="B2177" s="55" t="str">
        <x:v>—</x:v>
      </x:c>
      <x:c r="C2177" s="55" t="str">
        <x:v>—</x:v>
      </x:c>
      <x:c r="D2177" s="55" t="str">
        <x:v>隱遁軟甲配方</x:v>
      </x:c>
      <x:c r="E2177" s="55" t="inlineStr">
        <x:is>
          <x:t>中原奇裝錦囊（網站未列地圖）；修羅族大魔王（網站未列地圖）；神來裝樂透卡之七（網站未列地圖）；傳情錦囊（網站未列地圖）；真愛傳情錦囊（網站未列地圖）；春風特獎福袋（網站未列地圖）；真尚寶寶箱（網站未列地圖）；風雲錦囊（網站未列地圖）；萬聖慶典福袋（網站未列地圖）；傲樂點卡大錦囊（網站未列地圖）；射日紀念福袋（網站未列地圖）；神州豪傑錦囊（網站未列地圖）；神州英傑錦囊（網站未列地圖）；神通錦囊（網站未列地圖）；修羅魔君鬼魂（魔君陵寢二層）；三轉錦囊（網站未列地圖）；征北錦囊（網站未列地圖）；傲樂點卡小錦囊（網站未列地圖）；阿修羅王（魔君陵寢一層）；蒼狼族大汗（大汗陵墓、統萬大營）；黑巨蛟（東方海域）；江湖刀客（長林谷）；蛇魔女王（盤蛇洞）；鴻星扛把子（碧波幽谷）；阿修羅戰士（魔君陵墓、魔君陵寢一層、魔君陵寢二層、修羅窟）；阿修羅戰士（魔君陵墓、魔君陵寢一層、魔君陵寢二層、修羅窟、異時界‧修羅窟）；玄武甲龜（玄武北殿）</x:t>
        </x:is>
      </x:c>
    </x:row>
    <x:row r="2178" ht="30" customHeight="1">
      <x:c r="A2178" s="55" t="str">
        <x:v>水琉裟</x:v>
      </x:c>
      <x:c r="B2178" s="55" t="str">
        <x:v>—</x:v>
      </x:c>
      <x:c r="C2178" s="55" t="str">
        <x:v>—</x:v>
      </x:c>
      <x:c r="D2178" s="55" t="str">
        <x:v>—</x:v>
      </x:c>
      <x:c r="E2178" s="55" t="inlineStr">
        <x:is>
          <x:t>怨靈水母（龍宮第二層）；幽靈水母（龍宮第五層、龍宮八層廣場）；死靈水母（龍宮第七層、龍宮八層一隅、龍宮八層廣場）</x:t>
        </x:is>
      </x:c>
    </x:row>
    <x:row r="2179" ht="15" customHeight="1">
      <x:c r="A2179" s="55" t="str">
        <x:v>龍紋戰甲</x:v>
      </x:c>
      <x:c r="B2179" s="55" t="str">
        <x:v>—</x:v>
      </x:c>
      <x:c r="C2179" s="55" t="str">
        <x:v>—</x:v>
      </x:c>
      <x:c r="D2179" s="55" t="str">
        <x:v>—</x:v>
      </x:c>
      <x:c r="E2179" s="55" t="inlineStr">
        <x:is>
          <x:t>黑巨蛟（東方海域）；海巨蛟（東方海域）；奪魂海魅（極東海域）</x:t>
        </x:is>
      </x:c>
    </x:row>
    <x:row r="2180" ht="15" customHeight="1">
      <x:c r="A2180" s="55" t="str">
        <x:v>蛇靈皮甲</x:v>
      </x:c>
      <x:c r="B2180" s="55" t="str">
        <x:v>—</x:v>
      </x:c>
      <x:c r="C2180" s="55" t="str">
        <x:v>—</x:v>
      </x:c>
      <x:c r="D2180" s="55" t="str">
        <x:v>—</x:v>
      </x:c>
      <x:c r="E2180" s="55" t="inlineStr">
        <x:is>
          <x:t>稀奇裝備箱．丁式（網站未列地圖）；蛇魔女王（盤蛇洞）；蛇魔女（盤蛇洞）；[蛇魔女]（網站未列地圖）</x:t>
        </x:is>
      </x:c>
    </x:row>
    <x:row r="2181" ht="15" customHeight="1">
      <x:c r="A2181" s="55" t="str">
        <x:v>龍駻甲</x:v>
      </x:c>
      <x:c r="B2181" s="55" t="str">
        <x:v>—</x:v>
      </x:c>
      <x:c r="C2181" s="55" t="str">
        <x:v>—</x:v>
      </x:c>
      <x:c r="D2181" s="55" t="str">
        <x:v>—</x:v>
      </x:c>
      <x:c r="E2181" s="55" t="inlineStr">
        <x:is>
          <x:t>驃騎將軍錦囊（網站未列地圖）；神龍將（龍宮八層廣場）；龍駻將（龍宮八層一隅、龍宮八層廣場）</x:t>
        </x:is>
      </x:c>
    </x:row>
    <x:row r="2182" ht="30" customHeight="1">
      <x:c r="A2182" s="55" t="str">
        <x:v>百靈道袍</x:v>
      </x:c>
      <x:c r="B2182" s="55" t="str">
        <x:v>—</x:v>
      </x:c>
      <x:c r="C2182" s="55" t="str">
        <x:v>—</x:v>
      </x:c>
      <x:c r="D2182" s="55" t="str">
        <x:v>—</x:v>
      </x:c>
      <x:c r="E2182" s="55" t="inlineStr">
        <x:is>
          <x:t>稀奇裝備箱．丁式（網站未列地圖）；稀奇裝備箱．丙式（網站未列地圖）；雷靈珠（網站未列地圖）；邪樹妖（瘴癘靈界裂隙）；邪木（網站未列地圖）</x:t>
        </x:is>
      </x:c>
    </x:row>
    <x:row r="2183" ht="15" customHeight="1">
      <x:c r="A2183" s="55" t="str">
        <x:v>虎妖甲</x:v>
      </x:c>
      <x:c r="B2183" s="55" t="str">
        <x:v>—</x:v>
      </x:c>
      <x:c r="C2183" s="55" t="str">
        <x:v>—</x:v>
      </x:c>
      <x:c r="D2183" s="55" t="str">
        <x:v>—</x:v>
      </x:c>
      <x:c r="E2183" s="55" t="inlineStr">
        <x:is>
          <x:t>稀奇裝備箱．甲式（網站未列地圖）；白巨虎（天山冰池）；虎霸王（掩月松林）；[虎霸王]（網站未列地圖）</x:t>
        </x:is>
      </x:c>
    </x:row>
    <x:row r="2184" ht="30" customHeight="1">
      <x:c r="A2184" s="55" t="str">
        <x:v>悟法服</x:v>
      </x:c>
      <x:c r="B2184" s="55" t="str">
        <x:v>—</x:v>
      </x:c>
      <x:c r="C2184" s="55" t="str">
        <x:v>—</x:v>
      </x:c>
      <x:c r="D2184" s="55" t="str">
        <x:v>—</x:v>
      </x:c>
      <x:c r="E2184" s="55" t="inlineStr">
        <x:is>
          <x:t>驃騎將軍錦囊（網站未列地圖）；神龍將（龍宮八層廣場）；兔仙人（網站未列地圖）；[兔仙人]（網站未列地圖）；邪火刀僧（長林谷）</x:t>
        </x:is>
      </x:c>
    </x:row>
    <x:row r="2185" ht="15" customHeight="1">
      <x:c r="A2185" s="55" t="str">
        <x:v>黑龍戰甲</x:v>
      </x:c>
      <x:c r="B2185" s="55" t="str">
        <x:v>—</x:v>
      </x:c>
      <x:c r="C2185" s="55" t="str">
        <x:v>—</x:v>
      </x:c>
      <x:c r="D2185" s="55" t="str">
        <x:v>—</x:v>
      </x:c>
      <x:c r="E2185" s="55" t="inlineStr">
        <x:is>
          <x:t>稀奇裝備箱．丙式（網站未列地圖）</x:t>
        </x:is>
      </x:c>
    </x:row>
    <x:row r="2186" ht="15" customHeight="1">
      <x:c r="A2186" s="55" t="str">
        <x:v>龍骨甲</x:v>
      </x:c>
      <x:c r="B2186" s="55" t="str">
        <x:v>—</x:v>
      </x:c>
      <x:c r="C2186" s="55" t="str">
        <x:v>—</x:v>
      </x:c>
      <x:c r="D2186" s="55" t="str">
        <x:v>—</x:v>
      </x:c>
      <x:c r="E2186" s="55" t="inlineStr">
        <x:is>
          <x:t>輕車將軍錦囊（網站未列地圖）；神龍將（龍宮八層廣場）；龍珠（網站未列地圖）</x:t>
        </x:is>
      </x:c>
    </x:row>
    <x:row r="2187" ht="45" customHeight="1">
      <x:c r="A2187" s="55" t="str">
        <x:v>真人羽袍</x:v>
      </x:c>
      <x:c r="B2187" s="55" t="str">
        <x:v>—</x:v>
      </x:c>
      <x:c r="C2187" s="55" t="str">
        <x:v>—</x:v>
      </x:c>
      <x:c r="D2187" s="55" t="str">
        <x:v>—</x:v>
      </x:c>
      <x:c r="E2187" s="55" t="inlineStr">
        <x:is>
          <x:t>稀奇裝備箱．丙式（網站未列地圖）；邊關賊寇頭目（邊關要塞）；邊關賊寇頭目（八達嶺、古北口）；綠袍老祖（五派禁地）；2轉女道影（五派禁地）；2轉道影（五派禁地）；[女王蜂]（網站未列地圖）；女王蜂（桃花林、桃花林西方、桃花林南方）；1轉道影（五派禁地）</x:t>
        </x:is>
      </x:c>
    </x:row>
    <x:row r="2188" ht="30" customHeight="1">
      <x:c r="A2188" s="55" t="str">
        <x:v>七彩僧衣</x:v>
      </x:c>
      <x:c r="B2188" s="55" t="str">
        <x:v>—</x:v>
      </x:c>
      <x:c r="C2188" s="55" t="str">
        <x:v>—</x:v>
      </x:c>
      <x:c r="D2188" s="55" t="str">
        <x:v>—</x:v>
      </x:c>
      <x:c r="E2188" s="55" t="inlineStr">
        <x:is>
          <x:t>稀奇裝備箱．乙式（網站未列地圖）；真火鳳凰（鳳凰台）；真火鳳凰（鳳凰台）；泣命煉首（網站未列地圖）；紫燄影凰（網站未列地圖）；鳳凰（棲鳳崖、鳳凰台）；火鳳凰（棲鳳崖）</x:t>
        </x:is>
      </x:c>
    </x:row>
    <x:row r="2189" ht="30" customHeight="1">
      <x:c r="A2189" s="55" t="str">
        <x:v>黑石戰鎧</x:v>
      </x:c>
      <x:c r="B2189" s="55" t="str">
        <x:v>—</x:v>
      </x:c>
      <x:c r="C2189" s="55" t="str">
        <x:v>—</x:v>
      </x:c>
      <x:c r="D2189" s="55" t="str">
        <x:v>—</x:v>
      </x:c>
      <x:c r="E2189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2190" ht="30" customHeight="1">
      <x:c r="A2190" s="55" t="str">
        <x:v>黑武戰鎧</x:v>
      </x:c>
      <x:c r="B2190" s="55" t="str">
        <x:v>—</x:v>
      </x:c>
      <x:c r="C2190" s="55" t="str">
        <x:v>—</x:v>
      </x:c>
      <x:c r="D2190" s="55" t="str">
        <x:v>—</x:v>
      </x:c>
      <x:c r="E2190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2191" ht="30" customHeight="1">
      <x:c r="A2191" s="55" t="str">
        <x:v>黑捷戰鎧</x:v>
      </x:c>
      <x:c r="B2191" s="55" t="str">
        <x:v>—</x:v>
      </x:c>
      <x:c r="C2191" s="55" t="str">
        <x:v>—</x:v>
      </x:c>
      <x:c r="D2191" s="55" t="str">
        <x:v>—</x:v>
      </x:c>
      <x:c r="E2191" s="55" t="inlineStr">
        <x:is>
          <x:t>勇裝錦囊（網站未列地圖）；祥龍錦囊（網站未列地圖）；御史勇裝錦囊（網站未列地圖）；2轉勇影（五派禁地）；1轉勇影（五派禁地）；傭兵重鎚手（黑城遺跡、疾風谷、大汗陵墓、古北大營、高昌郡）</x:t>
        </x:is>
      </x:c>
    </x:row>
    <x:row r="2192" ht="75" customHeight="1">
      <x:c r="A2192" s="55" t="str">
        <x:v>血翼戰甲</x:v>
      </x:c>
      <x:c r="B2192" s="55" t="str">
        <x:v>—</x:v>
      </x:c>
      <x:c r="C2192" s="55" t="str">
        <x:v>—</x:v>
      </x:c>
      <x:c r="D2192" s="55" t="str">
        <x:v>—</x:v>
      </x:c>
      <x:c r="E2192" s="55" t="inlineStr">
        <x:is>
          <x:t>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2193" ht="75" customHeight="1">
      <x:c r="A2193" s="55" t="str">
        <x:v>虎翼戰甲</x:v>
      </x:c>
      <x:c r="B2193" s="55" t="str">
        <x:v>—</x:v>
      </x:c>
      <x:c r="C2193" s="55" t="str">
        <x:v>—</x:v>
      </x:c>
      <x:c r="D2193" s="55" t="str">
        <x:v>—</x:v>
      </x:c>
      <x:c r="E2193" s="55" t="inlineStr">
        <x:is>
          <x:t>御史劍裝錦囊（網站未列地圖）；劍裝錦囊（網站未列地圖）；御龍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2194" ht="75" customHeight="1">
      <x:c r="A2194" s="55" t="str">
        <x:v>風翼戰甲</x:v>
      </x:c>
      <x:c r="B2194" s="55" t="str">
        <x:v>—</x:v>
      </x:c>
      <x:c r="C2194" s="55" t="str">
        <x:v>—</x:v>
      </x:c>
      <x:c r="D2194" s="55" t="str">
        <x:v>—</x:v>
      </x:c>
      <x:c r="E2194" s="55" t="inlineStr">
        <x:is>
          <x:t>劍裝錦囊（網站未列地圖）；御龍錦囊（網站未列地圖）；御史劍裝錦囊（網站未列地圖）；大將衝石徹（黑城遺跡）；衝石徹幻影（亂石林）；衝石徹（大汗陵墓）；大將衝石徹（關外草原）；燎原戰士（大汗陵墓）；燎原戰士幻影（網站未列地圖）；2轉劍影（五派禁地）；九陽劍宗（五派禁地）；雷霆劍宗（五派禁地）；蒼狼精兵（塞北草原）；1轉劍影（五派禁地）；草原戰士（呼倫草原、貝爾草原、大汗陵墓、蒼狼大營）；[草原戰士]（網站未列地圖）；草原長槍兵（關外草原）；草原長槍兵（塞北草原、呼倫草原、亂石林、大汗陵墓、統萬大營）</x:t>
        </x:is>
      </x:c>
    </x:row>
    <x:row r="2195" ht="60" customHeight="1">
      <x:c r="A2195" s="55" t="str">
        <x:v>蝶紋勁袍</x:v>
      </x:c>
      <x:c r="B2195" s="55" t="str">
        <x:v>—</x:v>
      </x:c>
      <x:c r="C2195" s="55" t="str">
        <x:v>—</x:v>
      </x:c>
      <x:c r="D2195" s="55" t="str">
        <x:v>—</x:v>
      </x:c>
      <x:c r="E2195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2196" ht="60" customHeight="1">
      <x:c r="A2196" s="55" t="str">
        <x:v>虎紋勁袍</x:v>
      </x:c>
      <x:c r="B2196" s="55" t="str">
        <x:v>—</x:v>
      </x:c>
      <x:c r="C2196" s="55" t="str">
        <x:v>—</x:v>
      </x:c>
      <x:c r="D2196" s="55" t="str">
        <x:v>—</x:v>
      </x:c>
      <x:c r="E2196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2197" ht="60" customHeight="1">
      <x:c r="A2197" s="55" t="str">
        <x:v>豹紋勁袍</x:v>
      </x:c>
      <x:c r="B2197" s="55" t="str">
        <x:v>—</x:v>
      </x:c>
      <x:c r="C2197" s="55" t="str">
        <x:v>—</x:v>
      </x:c>
      <x:c r="D2197" s="55" t="str">
        <x:v>—</x:v>
      </x:c>
      <x:c r="E2197" s="55" t="inlineStr">
        <x:is>
          <x:t>術裝錦囊（網站未列地圖）；騰龍錦囊（網站未列地圖）；御史術裝錦囊（網站未列地圖）；2轉術影（五派禁地）；烈風戰士（大汗陵墓）；烈風戰士幻影（網站未列地圖）；1轉術影（五派禁地）；疾風戰士（呼倫草原、貝爾草原、大汗陵墓、蒼狼大營）；[疾風戰士]（網站未列地圖）；傭兵飛茅手（黑城遺跡、疾風谷、大汗陵墓、高昌郡）</x:t>
        </x:is>
      </x:c>
    </x:row>
    <x:row r="2198" ht="45" customHeight="1">
      <x:c r="A2198" s="55" t="str">
        <x:v>鳳雉羽袍</x:v>
      </x:c>
      <x:c r="B2198" s="55" t="str">
        <x:v>—</x:v>
      </x:c>
      <x:c r="C2198" s="55" t="str">
        <x:v>—</x:v>
      </x:c>
      <x:c r="D2198" s="55" t="str">
        <x:v>—</x:v>
      </x:c>
      <x:c r="E2198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2199" ht="45" customHeight="1">
      <x:c r="A2199" s="55" t="str">
        <x:v>雁翎羽袍</x:v>
      </x:c>
      <x:c r="B2199" s="55" t="str">
        <x:v>—</x:v>
      </x:c>
      <x:c r="C2199" s="55" t="str">
        <x:v>—</x:v>
      </x:c>
      <x:c r="D2199" s="55" t="str">
        <x:v>—</x:v>
      </x:c>
      <x:c r="E2199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2200" ht="45" customHeight="1">
      <x:c r="A2200" s="55" t="str">
        <x:v>千鶴羽袍</x:v>
      </x:c>
      <x:c r="B2200" s="55" t="str">
        <x:v>—</x:v>
      </x:c>
      <x:c r="C2200" s="55" t="str">
        <x:v>—</x:v>
      </x:c>
      <x:c r="D2200" s="55" t="str">
        <x:v>—</x:v>
      </x:c>
      <x:c r="E2200" s="55" t="inlineStr">
        <x:is>
          <x:t>道裝錦囊（網站未列地圖）；龍鳳錦囊（網站未列地圖）；御史道裝錦囊（網站未列地圖）；邊關賊寇頭目（邊關要塞）；綠袍老祖（五派禁地）；邊關賊寇頭目（八達嶺、古北口）；2轉道影（五派禁地）；玄天宗師（五派禁地）；無塵子（五派禁地）；1轉道影（五派禁地）</x:t>
        </x:is>
      </x:c>
    </x:row>
    <x:row r="2201" ht="30" customHeight="1">
      <x:c r="A2201" s="55" t="str">
        <x:v>擒龍僧衣</x:v>
      </x:c>
      <x:c r="B2201" s="55" t="str">
        <x:v>—</x:v>
      </x:c>
      <x:c r="C2201" s="55" t="str">
        <x:v>—</x:v>
      </x:c>
      <x:c r="D2201" s="55" t="str">
        <x:v>—</x:v>
      </x:c>
      <x:c r="E2201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2202" ht="30" customHeight="1">
      <x:c r="A2202" s="55" t="str">
        <x:v>伏虎僧衣</x:v>
      </x:c>
      <x:c r="B2202" s="55" t="str">
        <x:v>—</x:v>
      </x:c>
      <x:c r="C2202" s="55" t="str">
        <x:v>—</x:v>
      </x:c>
      <x:c r="D2202" s="55" t="str">
        <x:v>—</x:v>
      </x:c>
      <x:c r="E2202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2203" ht="30" customHeight="1">
      <x:c r="A2203" s="55" t="str">
        <x:v>除妖僧衣</x:v>
      </x:c>
      <x:c r="B2203" s="55" t="str">
        <x:v>—</x:v>
      </x:c>
      <x:c r="C2203" s="55" t="str">
        <x:v>—</x:v>
      </x:c>
      <x:c r="D2203" s="55" t="str">
        <x:v>—</x:v>
      </x:c>
      <x:c r="E2203" s="55" t="inlineStr">
        <x:is>
          <x:t>僧裝錦囊（網站未列地圖）；龍紋錦囊（網站未列地圖）；御史僧裝錦囊（網站未列地圖）；2轉僧影（五派禁地）；天外神僧（五派禁地）；1轉僧影（五派禁地）；傭兵女戰士（疾風谷、大汗陵墓、古北大營、統萬大營）</x:t>
        </x:is>
      </x:c>
    </x:row>
    <x:row r="2204" ht="30" customHeight="1">
      <x:c r="A2204" s="55" t="str">
        <x:v>斬蛟僧衣</x:v>
      </x:c>
      <x:c r="B2204" s="55" t="str">
        <x:v>—</x:v>
      </x:c>
      <x:c r="C2204" s="55" t="str">
        <x:v>—</x:v>
      </x:c>
      <x:c r="D2204" s="55" t="str">
        <x:v>—</x:v>
      </x:c>
      <x:c r="E2204" s="55" t="inlineStr">
        <x:is>
          <x:t>僧裝錦囊（網站未列地圖）；龍紋錦囊（網站未列地圖）；2轉僧影（五派禁地）；天外神僧（五派禁地）；1轉僧影（五派禁地）；傭兵女戰士（疾風谷、大汗陵墓、古北大營、統萬大營）</x:t>
        </x:is>
      </x:c>
    </x:row>
    <x:row r="2205" ht="45" customHeight="1">
      <x:c r="A2205" s="55" t="str">
        <x:v>智者聖甲</x:v>
      </x:c>
      <x:c r="B2205" s="55" t="str">
        <x:v>—</x:v>
      </x:c>
      <x:c r="C2205" s="55" t="str">
        <x:v>—</x:v>
      </x:c>
      <x:c r="D2205" s="55" t="str">
        <x:v>智者聖甲配方</x:v>
      </x:c>
      <x:c r="E2205" s="55" t="inlineStr">
        <x:is>
          <x: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啼血哀鳳（終末之塔第104層、終末之塔第108層）；雷海神蛟（青龍東殿）</x:t>
        </x:is>
      </x:c>
    </x:row>
    <x:row r="2206" ht="60" customHeight="1">
      <x:c r="A2206" s="55" t="str">
        <x:v>仁者聖甲</x:v>
      </x:c>
      <x:c r="B2206" s="55" t="str">
        <x:v>—</x:v>
      </x:c>
      <x:c r="C2206" s="55" t="str">
        <x:v>—</x:v>
      </x:c>
      <x:c r="D2206" s="55" t="str">
        <x:v>仁者聖甲配方</x:v>
      </x:c>
      <x:c r="E2206" s="55" t="inlineStr">
        <x:is>
          <x: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沉池鑿蝦（終末之塔第101層、終末之塔第106層、終末之塔第107層）；碎時狂虎（白虎西殿）</x:t>
        </x:is>
      </x:c>
    </x:row>
    <x:row r="2207" ht="45" customHeight="1">
      <x:c r="A2207" s="55" t="str">
        <x:v>勇者聖甲</x:v>
      </x:c>
      <x:c r="B2207" s="55" t="str">
        <x:v>—</x:v>
      </x:c>
      <x:c r="C2207" s="55" t="str">
        <x:v>—</x:v>
      </x:c>
      <x:c r="D2207" s="55" t="str">
        <x:v>勇者聖甲配方</x:v>
      </x:c>
      <x:c r="E2207" s="55" t="inlineStr">
        <x:is>
          <x:t>超凡入聖錦囊（網站未列地圖）；玄冑之核（網站未列地圖）；乾坤錦囊（網站未列地圖）；神通錦囊（網站未列地圖）；風雲錦囊（網站未列地圖）；威震神州錦囊（網站未列地圖）；如意香茗福袋（網站未列地圖）；神州聖王錦囊（網站未列地圖）；裂變鬼兵（終末之塔第101層）；八熾燹鳳麟（朱雀南殿）</x:t>
        </x:is>
      </x:c>
    </x:row>
    <x:row r="2208" ht="45" customHeight="1">
      <x:c r="A2208" s="55" t="str">
        <x:v>義者聖甲</x:v>
      </x:c>
      <x:c r="B2208" s="55" t="str">
        <x:v>—</x:v>
      </x:c>
      <x:c r="C2208" s="55" t="str">
        <x:v>—</x:v>
      </x:c>
      <x:c r="D2208" s="55" t="str">
        <x:v>—</x:v>
      </x:c>
      <x:c r="E2208" s="55" t="inlineStr">
        <x:is>
          <x:t>稀奇裝備箱．乙式（網站未列地圖）；稀奇裝備箱．丁式（網站未列地圖）；衛塔戰偶（終末之塔第131層、終末之塔第132層）；鉑皮械熊（終末之塔第142層、終末之塔第149層、終末之塔第148層、終末之塔第146層）；猙獰角龜（終末之塔第122層）</x:t>
        </x:is>
      </x:c>
    </x:row>
    <x:row r="2209" ht="15" customHeight="1">
      <x:c r="A2209" s="55" t="str">
        <x:v>霸王甲</x:v>
      </x:c>
      <x:c r="B2209" s="55" t="str">
        <x:v>—</x:v>
      </x:c>
      <x:c r="C2209" s="55" t="str">
        <x:v>—</x:v>
      </x:c>
      <x:c r="D2209" s="55" t="str">
        <x:v>—</x:v>
      </x:c>
      <x:c r="E2209" s="55" t="inlineStr">
        <x:is>
          <x:t>稀奇裝備箱．甲式（網站未列地圖）</x:t>
        </x:is>
      </x:c>
    </x:row>
    <x:row r="2210" ht="30" customHeight="1">
      <x:c r="A2210" s="55" t="str">
        <x:v>青鋼戰甲</x:v>
      </x:c>
      <x:c r="B2210" s="55" t="str">
        <x:v>—</x:v>
      </x:c>
      <x:c r="C2210" s="55" t="str">
        <x:v>—</x:v>
      </x:c>
      <x:c r="D2210" s="55" t="str">
        <x:v>—</x:v>
      </x:c>
      <x:c r="E2210" s="55" t="inlineStr">
        <x:is>
          <x:t>西域勇裝錦囊（網站未列地圖）；黑天勇裝元靈（網站未列地圖）；護衛侍（長野沙濱、葉隱蒼林、神室關所、內崎埠原、外崎埠原）；火岩龜（火焰山）；礫岩龜（塔干沙漠南方、塔干沙漠西方）</x:t>
        </x:is>
      </x:c>
    </x:row>
    <x:row r="2211" ht="30" customHeight="1">
      <x:c r="A2211" s="55" t="str">
        <x:v>金鏈甲</x:v>
      </x:c>
      <x:c r="B2211" s="55" t="str">
        <x:v>—</x:v>
      </x:c>
      <x:c r="C2211" s="55" t="str">
        <x:v>—</x:v>
      </x:c>
      <x:c r="D2211" s="55" t="str">
        <x:v>—</x:v>
      </x:c>
      <x:c r="E2211" s="55" t="inlineStr">
        <x:is>
          <x:t>西域劍裝錦囊（網站未列地圖）；黑天劍裝元靈（網站未列地圖）；妖化沙蟲（火焰山）；狼斑沙蟲（塔干沙漠東方、萬佛窟、樓蘭遺址）</x:t>
        </x:is>
      </x:c>
    </x:row>
    <x:row r="2212" ht="30" customHeight="1">
      <x:c r="A2212" s="55" t="str">
        <x:v>樓蘭織袍</x:v>
      </x:c>
      <x:c r="B2212" s="55" t="str">
        <x:v>—</x:v>
      </x:c>
      <x:c r="C2212" s="55" t="str">
        <x:v>—</x:v>
      </x:c>
      <x:c r="D2212" s="55" t="str">
        <x:v>—</x:v>
      </x:c>
      <x:c r="E2212" s="55" t="inlineStr">
        <x:is>
          <x:t>西域道裝錦囊（網站未列地圖）；黑天道裝元靈（網站未列地圖）；鄉野浪人（葉隱蒼林、神室關所）；鬼禿鷹（火焰山）；巨禿鷹（塔干沙漠東方、塔干沙漠南方、萬佛窟、樓蘭遺址、火焰山）；[巨禿鷹]（網站未列地圖）</x:t>
        </x:is>
      </x:c>
    </x:row>
    <x:row r="2213" ht="30" customHeight="1">
      <x:c r="A2213" s="55" t="str">
        <x:v>千手僧衣</x:v>
      </x:c>
      <x:c r="B2213" s="55" t="str">
        <x:v>—</x:v>
      </x:c>
      <x:c r="C2213" s="55" t="str">
        <x:v>—</x:v>
      </x:c>
      <x:c r="D2213" s="55" t="str">
        <x:v>—</x:v>
      </x:c>
      <x:c r="E2213" s="55" t="inlineStr">
        <x:is>
          <x:t>西域僧裝錦囊（網站未列地圖）；黑天僧裝元靈（網站未列地圖）；邪跳鼠（火焰山）；飛毛跳鼠（塔干沙漠東方、塔干沙漠西方、萬佛窟、樓蘭遺址）；[飛毛跳鼠]（網站未列地圖）</x:t>
        </x:is>
      </x:c>
    </x:row>
    <x:row r="2214" ht="45" customHeight="1">
      <x:c r="A2214" s="55" t="str">
        <x:v>羅剎輕甲</x:v>
      </x:c>
      <x:c r="B2214" s="55" t="str">
        <x:v>—</x:v>
      </x:c>
      <x:c r="C2214" s="55" t="str">
        <x:v>—</x:v>
      </x:c>
      <x:c r="D2214" s="55" t="str">
        <x:v>—</x:v>
      </x:c>
      <x:c r="E2214" s="55" t="inlineStr">
        <x:is>
          <x:t>西域術裝錦囊（網站未列地圖）；黑天術裝元靈（網站未列地圖）；羅剎男妖（火焰山）；羅剎槍士（塔干沙漠西方）；羅剎鏢客（塔干沙漠西方）；羅剎鏢客遊魂（網站未列地圖）；傀儡羅剎鏢客（網站未列地圖）；傀儡羅剎槍士（網站未列地圖）；羅剎槍士遊魂（網站未列地圖）</x:t>
        </x:is>
      </x:c>
    </x:row>
    <x:row r="2215" ht="45" customHeight="1">
      <x:c r="A2215" s="55" t="str">
        <x:v>玄武重鎧</x:v>
      </x:c>
      <x:c r="B2215" s="55" t="str">
        <x:v>—</x:v>
      </x:c>
      <x:c r="C2215" s="55" t="str">
        <x:v>—</x:v>
      </x:c>
      <x:c r="D2215" s="55" t="str">
        <x:v>—</x:v>
      </x:c>
      <x:c r="E2215" s="55" t="inlineStr">
        <x:is>
          <x: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x:t>
        </x:is>
      </x:c>
    </x:row>
    <x:row r="2216" ht="30" customHeight="1">
      <x:c r="A2216" s="55" t="str">
        <x:v>玉鱗戰甲</x:v>
      </x:c>
      <x:c r="B2216" s="55" t="str">
        <x:v>—</x:v>
      </x:c>
      <x:c r="C2216" s="55" t="str">
        <x:v>—</x:v>
      </x:c>
      <x:c r="D2216" s="55" t="str">
        <x:v>—</x:v>
      </x:c>
      <x:c r="E2216" s="55" t="inlineStr">
        <x:is>
          <x:t>西域劍裝錦囊（網站未列地圖）；黑天劍裝元靈（網站未列地圖）；征西劍俠錦囊（網站未列地圖）；樓蘭劍俠錦囊（網站未列地圖）；初陰陽師（神室關所、內崎埠原）；妖煞蟲王（火焰山）；沙蟲蠱王（樓蘭遺址）</x:t>
        </x:is>
      </x:c>
    </x:row>
    <x:row r="2217" ht="30" customHeight="1">
      <x:c r="A2217" s="55" t="str">
        <x:v>翡翠錦袍</x:v>
      </x:c>
      <x:c r="B2217" s="55" t="str">
        <x:v>—</x:v>
      </x:c>
      <x:c r="C2217" s="55" t="str">
        <x:v>—</x:v>
      </x:c>
      <x:c r="D2217" s="55" t="str">
        <x:v>—</x:v>
      </x:c>
      <x:c r="E2217" s="55" t="inlineStr">
        <x:is>
          <x:t>西域道裝錦囊（網站未列地圖）；黑天道裝元靈（網站未列地圖）；征西道人錦囊（網站未列地圖）；樓蘭道人錦囊（網站未列地圖）；血神禿鷹（火焰山）；嗜血禿鷹（塔干沙漠南方）</x:t>
        </x:is>
      </x:c>
    </x:row>
    <x:row r="2218" ht="45" customHeight="1">
      <x:c r="A2218" s="55" t="str">
        <x:v>萬佛禪衣</x:v>
      </x:c>
      <x:c r="B2218" s="55" t="str">
        <x:v>—</x:v>
      </x:c>
      <x:c r="C2218" s="55" t="str">
        <x:v>—</x:v>
      </x:c>
      <x:c r="D2218" s="55" t="str">
        <x:v>—</x:v>
      </x:c>
      <x:c r="E2218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2219" ht="45" customHeight="1">
      <x:c r="A2219" s="55" t="str">
        <x:v>天羅輕甲</x:v>
      </x:c>
      <x:c r="B2219" s="55" t="str">
        <x:v>—</x:v>
      </x:c>
      <x:c r="C2219" s="55" t="str">
        <x:v>—</x:v>
      </x:c>
      <x:c r="D2219" s="55" t="str">
        <x:v>—</x:v>
      </x:c>
      <x:c r="E2219" s="55" t="inlineStr">
        <x:is>
          <x:t>西域術裝錦囊（網站未列地圖）；黑天術裝元靈（網站未列地圖）；征西術者錦囊（網站未列地圖）；樓蘭術者錦囊（網站未列地圖）；龍骨河童（網站未列地圖）；鬼河童（葉隱蒼林、神室關所）；[鬼河童]（網站未列地圖）；鬼河童（葉隱蒼林、神室關所）</x:t>
        </x:is>
      </x:c>
    </x:row>
    <x:row r="2220" ht="105" customHeight="1">
      <x:c r="A2220" s="55" t="str">
        <x:v>無相袈裟</x:v>
      </x:c>
      <x:c r="B2220" s="55" t="str">
        <x:v>—</x:v>
      </x:c>
      <x:c r="C2220" s="55" t="str">
        <x:v>—</x:v>
      </x:c>
      <x:c r="D2220" s="55" t="str">
        <x:v>無相袈裟配方</x:v>
      </x:c>
      <x:c r="E2220" s="55" t="inlineStr">
        <x:is>
          <x:t>中原奇裝錦囊（網站未列地圖）；終極尚寶寶箱（網站未列地圖）；戊子賀歲福袋（網站未列地圖）；萬象始元錦囊（網站未列地圖）；風起雲湧錦囊（網站未列地圖）；頂峰高手錦囊（網站未列地圖）；虎年吉祥紅包（網站未列地圖）；找茶福袋（網站未列地圖）；七星戰神錦囊（網站未列地圖）；三神樂暑錦囊（網站未列地圖）；驃騎將軍錦囊（網站未列地圖）；風雲錦囊（網站未列地圖）；來電通豪華寶盒（網站未列地圖）；新春賀歲福袋（網站未列地圖）；七星錦囊（網站未列地圖）；聖靈劍俠錦囊（網站未列地圖）；聖靈勇士錦囊（網站未列地圖）；聖靈術者錦囊（網站未列地圖）；聖靈道人錦囊（網站未列地圖）；聖靈僧侶錦囊（網站未列地圖）；神州侏靖錦囊（網站未列地圖）；神州豪傑錦囊（網站未列地圖）；瑩月錦囊（網站未列地圖）；重絕泰斗（玄武北殿）</x:t>
        </x:is>
      </x:c>
    </x:row>
    <x:row r="2221" ht="15" customHeight="1">
      <x:c r="A2221" s="55" t="str">
        <x:v>天神羽紗</x:v>
      </x:c>
      <x:c r="B2221" s="55" t="str">
        <x:v>—</x:v>
      </x:c>
      <x:c r="C2221" s="55" t="str">
        <x:v>—</x:v>
      </x:c>
      <x:c r="D2221" s="55" t="str">
        <x:v>—</x:v>
      </x:c>
      <x:c r="E2221" s="55" t="inlineStr">
        <x:is>
          <x:t>天界神裝錦囊（網站未列地圖）；戰神錦囊（網站未列地圖）</x:t>
        </x:is>
      </x:c>
    </x:row>
    <x:row r="2222" ht="30" customHeight="1">
      <x:c r="A2222" s="55" t="str">
        <x:v>德津戰甲</x:v>
      </x:c>
      <x:c r="B2222" s="55" t="str">
        <x:v>—</x:v>
      </x:c>
      <x:c r="C2222" s="55" t="str">
        <x:v>—</x:v>
      </x:c>
      <x:c r="D2222" s="55" t="str">
        <x:v>—</x:v>
      </x:c>
      <x:c r="E2222" s="55" t="inlineStr">
        <x:is>
          <x:t>東瀛劍裝錦囊（網站未列地圖）；東瀛劍裝禮盒（網站未列地圖）；御史劍裝錦囊（網站未列地圖）；鬼斬刀般若（八荒古墳）；鬼將大天狗（伊取川大陣）；女邪土蜘蛛（網站未列地圖）</x:t>
        </x:is>
      </x:c>
    </x:row>
    <x:row r="2223" ht="30" customHeight="1">
      <x:c r="A2223" s="55" t="str">
        <x:v>綱岐戰鎧</x:v>
      </x:c>
      <x:c r="B2223" s="55" t="str">
        <x:v>—</x:v>
      </x:c>
      <x:c r="C2223" s="55" t="str">
        <x:v>—</x:v>
      </x:c>
      <x:c r="D2223" s="55" t="str">
        <x:v>—</x:v>
      </x:c>
      <x:c r="E2223" s="55" t="inlineStr">
        <x:is>
          <x:t>東瀛勇裝錦囊（網站未列地圖）；東瀛勇裝禮盒（網站未列地圖）；御史勇裝錦囊（網站未列地圖）；鬼嶽親衛槍侍（伊取川大陣）；冥戶永德（八荒古墳）</x:t>
        </x:is>
      </x:c>
    </x:row>
    <x:row r="2224" ht="30" customHeight="1">
      <x:c r="A2224" s="55" t="str">
        <x:v>葵越紋袍</x:v>
      </x:c>
      <x:c r="B2224" s="55" t="str">
        <x:v>—</x:v>
      </x:c>
      <x:c r="C2224" s="55" t="str">
        <x:v>—</x:v>
      </x:c>
      <x:c r="D2224" s="55" t="str">
        <x:v>—</x:v>
      </x:c>
      <x:c r="E2224" s="55" t="inlineStr">
        <x:is>
          <x:t>東瀛道裝錦囊（網站未列地圖）；東瀛道裝禮盒（網站未列地圖）；御史道裝錦囊（網站未列地圖）；谷村真一（神室關所）；青行鬼（外崎埠原、天照不二峰、八荒古墳、伊取川大陣）</x:t>
        </x:is>
      </x:c>
    </x:row>
    <x:row r="2225" ht="30" customHeight="1">
      <x:c r="A2225" s="55" t="str">
        <x:v>笠紀禪袍</x:v>
      </x:c>
      <x:c r="B2225" s="55" t="str">
        <x:v>—</x:v>
      </x:c>
      <x:c r="C2225" s="55" t="str">
        <x:v>—</x:v>
      </x:c>
      <x:c r="D2225" s="55" t="str">
        <x:v>—</x:v>
      </x:c>
      <x:c r="E2225" s="55" t="inlineStr">
        <x:is>
          <x:t>東瀛僧裝錦囊（網站未列地圖）；東瀛僧裝禮盒（網站未列地圖）；御史僧裝錦囊（網站未列地圖）；邪骨河童（十津原樹海、八荒古墳）；巨鮫平次郎（長野沙濱）</x:t>
        </x:is>
      </x:c>
    </x:row>
    <x:row r="2226" ht="30" customHeight="1">
      <x:c r="A2226" s="55" t="str">
        <x:v>伏藏護甲</x:v>
      </x:c>
      <x:c r="B2226" s="55" t="str">
        <x:v>—</x:v>
      </x:c>
      <x:c r="C2226" s="55" t="str">
        <x:v>—</x:v>
      </x:c>
      <x:c r="D2226" s="55" t="str">
        <x:v>—</x:v>
      </x:c>
      <x:c r="E2226" s="55" t="inlineStr">
        <x:is>
          <x:t>東瀛術裝錦囊（網站未列地圖）；東瀛術裝禮盒（網站未列地圖）；御史術裝錦囊（網站未列地圖）；鬼將妖河童（伊取川大陣）；秘行忍者（十津原樹海、天照不二峰、伊取川大陣）</x:t>
        </x:is>
      </x:c>
    </x:row>
    <x:row r="2227" ht="15" customHeight="1">
      <x:c r="A2227" s="55" t="str">
        <x:v>武幕戰鎧</x:v>
      </x:c>
      <x:c r="B2227" s="55" t="str">
        <x:v>—</x:v>
      </x:c>
      <x:c r="C2227" s="55" t="str">
        <x:v>—</x:v>
      </x:c>
      <x:c r="D2227" s="55" t="str">
        <x:v>—</x:v>
      </x:c>
      <x:c r="E2227" s="55" t="inlineStr">
        <x:is>
          <x:t>東瀛劍裝禮盒（網站未列地圖）</x:t>
        </x:is>
      </x:c>
    </x:row>
    <x:row r="2228" ht="15" customHeight="1">
      <x:c r="A2228" s="55" t="str">
        <x:v>霸統戰鎧</x:v>
      </x:c>
      <x:c r="B2228" s="55" t="str">
        <x:v>—</x:v>
      </x:c>
      <x:c r="C2228" s="55" t="str">
        <x:v>—</x:v>
      </x:c>
      <x:c r="D2228" s="55" t="str">
        <x:v>—</x:v>
      </x:c>
      <x:c r="E2228" s="55" t="inlineStr">
        <x:is>
          <x:t>東瀛勇裝禮盒（網站未列地圖）</x:t>
        </x:is>
      </x:c>
    </x:row>
    <x:row r="2229" ht="15" customHeight="1">
      <x:c r="A2229" s="55" t="str">
        <x:v>陣澤紋袍</x:v>
      </x:c>
      <x:c r="B2229" s="55" t="str">
        <x:v>—</x:v>
      </x:c>
      <x:c r="C2229" s="55" t="str">
        <x:v>—</x:v>
      </x:c>
      <x:c r="D2229" s="55" t="str">
        <x:v>—</x:v>
      </x:c>
      <x:c r="E2229" s="55" t="inlineStr">
        <x:is>
          <x:t>東瀛道裝禮盒（網站未列地圖）；吐蕃行者（登天棧道、懸空仙嶺）</x:t>
        </x:is>
      </x:c>
    </x:row>
    <x:row r="2230" ht="15" customHeight="1">
      <x:c r="A2230" s="55" t="str">
        <x:v>伊幡禪袍</x:v>
      </x:c>
      <x:c r="B2230" s="55" t="str">
        <x:v>—</x:v>
      </x:c>
      <x:c r="C2230" s="55" t="str">
        <x:v>—</x:v>
      </x:c>
      <x:c r="D2230" s="55" t="str">
        <x:v>—</x:v>
      </x:c>
      <x:c r="E2230" s="55" t="inlineStr">
        <x:is>
          <x:t>東瀛僧裝禮盒（網站未列地圖）</x:t>
        </x:is>
      </x:c>
    </x:row>
    <x:row r="2231" ht="15" customHeight="1">
      <x:c r="A2231" s="55" t="str">
        <x:v>丸勢護甲</x:v>
      </x:c>
      <x:c r="B2231" s="55" t="str">
        <x:v>—</x:v>
      </x:c>
      <x:c r="C2231" s="55" t="str">
        <x:v>—</x:v>
      </x:c>
      <x:c r="D2231" s="55" t="str">
        <x:v>—</x:v>
      </x:c>
      <x:c r="E2231" s="55" t="inlineStr">
        <x:is>
          <x:t>東瀛術裝禮盒（網站未列地圖）</x:t>
        </x:is>
      </x:c>
    </x:row>
    <x:row r="2232" ht="30" customHeight="1">
      <x:c r="A2232" s="55" t="str">
        <x:v>天狗法衣</x:v>
      </x:c>
      <x:c r="B2232" s="55" t="str">
        <x:v>—</x:v>
      </x:c>
      <x:c r="C2232" s="55" t="str">
        <x:v>—</x:v>
      </x:c>
      <x:c r="D2232" s="55" t="str">
        <x:v>—</x:v>
      </x:c>
      <x:c r="E2232" s="55" t="inlineStr">
        <x:is>
          <x:t>東瀛奇甲錦囊（網站未列地圖）；武冠兵甲錦囊．戌（網站未列地圖）；金喜牛刮刮樂（網站未列地圖）；防術晶人（終末之塔第17層）</x:t>
        </x:is>
      </x:c>
    </x:row>
    <x:row r="2233" ht="15" customHeight="1">
      <x:c r="A2233" s="55" t="str">
        <x:v>鳳翼仙袍</x:v>
      </x:c>
      <x:c r="B2233" s="55" t="str">
        <x:v>—</x:v>
      </x:c>
      <x:c r="C2233" s="55" t="str">
        <x:v>—</x:v>
      </x:c>
      <x:c r="D2233" s="55" t="str">
        <x:v>—</x:v>
      </x:c>
      <x:c r="E2233" s="55" t="inlineStr">
        <x:is>
          <x:t>稀奇裝備箱．甲式（網站未列地圖）；找茶福袋（網站未列地圖）；電玩瘋錦囊（網站未列地圖）</x:t>
        </x:is>
      </x:c>
    </x:row>
    <x:row r="2234" ht="15" customHeight="1">
      <x:c r="A2234" s="55" t="str">
        <x:v>烈雷將鎧</x:v>
      </x:c>
      <x:c r="B2234" s="55" t="str">
        <x:v>—</x:v>
      </x:c>
      <x:c r="C2234" s="55" t="str">
        <x:v>—</x:v>
      </x:c>
      <x:c r="D2234" s="55" t="str">
        <x:v>—</x:v>
      </x:c>
      <x:c r="E2234" s="55" t="inlineStr">
        <x:is>
          <x:t>平倭勇裝錦囊（網站未列地圖）</x:t>
        </x:is>
      </x:c>
    </x:row>
    <x:row r="2235" ht="15" customHeight="1">
      <x:c r="A2235" s="55" t="str">
        <x:v>震雷將鎧</x:v>
      </x:c>
      <x:c r="B2235" s="55" t="str">
        <x:v>—</x:v>
      </x:c>
      <x:c r="C2235" s="55" t="str">
        <x:v>—</x:v>
      </x:c>
      <x:c r="D2235" s="55" t="str">
        <x:v>—</x:v>
      </x:c>
      <x:c r="E2235" s="55" t="inlineStr">
        <x:is>
          <x:t>平倭勇裝錦囊（網站未列地圖）</x:t>
        </x:is>
      </x:c>
    </x:row>
    <x:row r="2236" ht="15" customHeight="1">
      <x:c r="A2236" s="55" t="str">
        <x:v>驚雷將鎧</x:v>
      </x:c>
      <x:c r="B2236" s="55" t="str">
        <x:v>—</x:v>
      </x:c>
      <x:c r="C2236" s="55" t="str">
        <x:v>—</x:v>
      </x:c>
      <x:c r="D2236" s="55" t="str">
        <x:v>—</x:v>
      </x:c>
      <x:c r="E2236" s="55" t="inlineStr">
        <x:is>
          <x:t>平倭勇裝錦囊（網站未列地圖）</x:t>
        </x:is>
      </x:c>
    </x:row>
    <x:row r="2237" ht="15" customHeight="1">
      <x:c r="A2237" s="55" t="str">
        <x:v>翔雲戰甲</x:v>
      </x:c>
      <x:c r="B2237" s="55" t="str">
        <x:v>—</x:v>
      </x:c>
      <x:c r="C2237" s="55" t="str">
        <x:v>—</x:v>
      </x:c>
      <x:c r="D2237" s="55" t="str">
        <x:v>—</x:v>
      </x:c>
      <x:c r="E2237" s="55" t="inlineStr">
        <x:is>
          <x:t>平倭劍裝錦囊（網站未列地圖）</x:t>
        </x:is>
      </x:c>
    </x:row>
    <x:row r="2238" ht="15" customHeight="1">
      <x:c r="A2238" s="55" t="str">
        <x:v>瑞雲戰甲</x:v>
      </x:c>
      <x:c r="B2238" s="55" t="str">
        <x:v>—</x:v>
      </x:c>
      <x:c r="C2238" s="55" t="str">
        <x:v>—</x:v>
      </x:c>
      <x:c r="D2238" s="55" t="str">
        <x:v>—</x:v>
      </x:c>
      <x:c r="E2238" s="55" t="inlineStr">
        <x:is>
          <x:t>平倭劍裝錦囊（網站未列地圖）</x:t>
        </x:is>
      </x:c>
    </x:row>
    <x:row r="2239" ht="15" customHeight="1">
      <x:c r="A2239" s="55" t="str">
        <x:v>飛雲戰甲</x:v>
      </x:c>
      <x:c r="B2239" s="55" t="str">
        <x:v>—</x:v>
      </x:c>
      <x:c r="C2239" s="55" t="str">
        <x:v>—</x:v>
      </x:c>
      <x:c r="D2239" s="55" t="str">
        <x:v>—</x:v>
      </x:c>
      <x:c r="E2239" s="55" t="inlineStr">
        <x:is>
          <x:t>平倭劍裝錦囊（網站未列地圖）</x:t>
        </x:is>
      </x:c>
    </x:row>
    <x:row r="2240" ht="15" customHeight="1">
      <x:c r="A2240" s="55" t="str">
        <x:v>新月勁袍</x:v>
      </x:c>
      <x:c r="B2240" s="55" t="str">
        <x:v>—</x:v>
      </x:c>
      <x:c r="C2240" s="55" t="str">
        <x:v>—</x:v>
      </x:c>
      <x:c r="D2240" s="55" t="str">
        <x:v>—</x:v>
      </x:c>
      <x:c r="E2240" s="55" t="inlineStr">
        <x:is>
          <x:t>平倭術裝錦囊（網站未列地圖）</x:t>
        </x:is>
      </x:c>
    </x:row>
    <x:row r="2241" ht="15" customHeight="1">
      <x:c r="A2241" s="55" t="str">
        <x:v>朧月勁袍</x:v>
      </x:c>
      <x:c r="B2241" s="55" t="str">
        <x:v>—</x:v>
      </x:c>
      <x:c r="C2241" s="55" t="str">
        <x:v>—</x:v>
      </x:c>
      <x:c r="D2241" s="55" t="str">
        <x:v>—</x:v>
      </x:c>
      <x:c r="E2241" s="55" t="inlineStr">
        <x:is>
          <x:t>平倭術裝錦囊（網站未列地圖）</x:t>
        </x:is>
      </x:c>
    </x:row>
    <x:row r="2242" ht="15" customHeight="1">
      <x:c r="A2242" s="55" t="str">
        <x:v>殘月勁袍</x:v>
      </x:c>
      <x:c r="B2242" s="55" t="str">
        <x:v>—</x:v>
      </x:c>
      <x:c r="C2242" s="55" t="str">
        <x:v>—</x:v>
      </x:c>
      <x:c r="D2242" s="55" t="str">
        <x:v>—</x:v>
      </x:c>
      <x:c r="E2242" s="55" t="inlineStr">
        <x:is>
          <x:t>平倭術裝錦囊（網站未列地圖）</x:t>
        </x:is>
      </x:c>
    </x:row>
    <x:row r="2243" ht="15" customHeight="1">
      <x:c r="A2243" s="55" t="str">
        <x:v>昇陽紋袍</x:v>
      </x:c>
      <x:c r="B2243" s="55" t="str">
        <x:v>—</x:v>
      </x:c>
      <x:c r="C2243" s="55" t="str">
        <x:v>—</x:v>
      </x:c>
      <x:c r="D2243" s="55" t="str">
        <x:v>—</x:v>
      </x:c>
      <x:c r="E2243" s="55" t="inlineStr">
        <x:is>
          <x:t>平倭道裝錦囊（網站未列地圖）</x:t>
        </x:is>
      </x:c>
    </x:row>
    <x:row r="2244" ht="15" customHeight="1">
      <x:c r="A2244" s="55" t="str">
        <x:v>朝陽紋袍</x:v>
      </x:c>
      <x:c r="B2244" s="55" t="str">
        <x:v>—</x:v>
      </x:c>
      <x:c r="C2244" s="55" t="str">
        <x:v>—</x:v>
      </x:c>
      <x:c r="D2244" s="55" t="str">
        <x:v>—</x:v>
      </x:c>
      <x:c r="E2244" s="55" t="inlineStr">
        <x:is>
          <x:t>平倭道裝錦囊（網站未列地圖）</x:t>
        </x:is>
      </x:c>
    </x:row>
    <x:row r="2245" ht="15" customHeight="1">
      <x:c r="A2245" s="55" t="str">
        <x:v>玄陽紋袍</x:v>
      </x:c>
      <x:c r="B2245" s="55" t="str">
        <x:v>—</x:v>
      </x:c>
      <x:c r="C2245" s="55" t="str">
        <x:v>—</x:v>
      </x:c>
      <x:c r="D2245" s="55" t="str">
        <x:v>—</x:v>
      </x:c>
      <x:c r="E2245" s="55" t="inlineStr">
        <x:is>
          <x:t>平倭道裝錦囊（網站未列地圖）</x:t>
        </x:is>
      </x:c>
    </x:row>
    <x:row r="2246" ht="15" customHeight="1">
      <x:c r="A2246" s="55" t="str">
        <x:v>聖空僧衣</x:v>
      </x:c>
      <x:c r="B2246" s="55" t="str">
        <x:v>—</x:v>
      </x:c>
      <x:c r="C2246" s="55" t="str">
        <x:v>—</x:v>
      </x:c>
      <x:c r="D2246" s="55" t="str">
        <x:v>—</x:v>
      </x:c>
      <x:c r="E2246" s="55" t="inlineStr">
        <x:is>
          <x:t>平倭僧裝錦囊（網站未列地圖）</x:t>
        </x:is>
      </x:c>
    </x:row>
    <x:row r="2247" ht="15" customHeight="1">
      <x:c r="A2247" s="55" t="str">
        <x:v>圓空僧衣</x:v>
      </x:c>
      <x:c r="B2247" s="55" t="str">
        <x:v>—</x:v>
      </x:c>
      <x:c r="C2247" s="55" t="str">
        <x:v>—</x:v>
      </x:c>
      <x:c r="D2247" s="55" t="str">
        <x:v>—</x:v>
      </x:c>
      <x:c r="E2247" s="55" t="inlineStr">
        <x:is>
          <x:t>平倭僧裝錦囊（網站未列地圖）</x:t>
        </x:is>
      </x:c>
    </x:row>
    <x:row r="2248" ht="15" customHeight="1">
      <x:c r="A2248" s="55" t="str">
        <x:v>明空僧衣</x:v>
      </x:c>
      <x:c r="B2248" s="55" t="str">
        <x:v>—</x:v>
      </x:c>
      <x:c r="C2248" s="55" t="str">
        <x:v>—</x:v>
      </x:c>
      <x:c r="D2248" s="55" t="str">
        <x:v>—</x:v>
      </x:c>
      <x:c r="E2248" s="55" t="inlineStr">
        <x:is>
          <x:t>平倭僧裝錦囊（網站未列地圖）</x:t>
        </x:is>
      </x:c>
    </x:row>
    <x:row r="2249" ht="15" customHeight="1">
      <x:c r="A2249" s="55" t="str">
        <x:v>蘭若戰甲</x:v>
      </x:c>
      <x:c r="B2249" s="55" t="str">
        <x:v>—</x:v>
      </x:c>
      <x:c r="C2249" s="55" t="str">
        <x:v>—</x:v>
      </x:c>
      <x:c r="D2249" s="55" t="str">
        <x:v>—</x:v>
      </x:c>
      <x:c r="E2249" s="55" t="inlineStr">
        <x:is>
          <x:t>摩羅劍裝錦囊（網站未列地圖）；真佛劍裝錦囊（網站未列地圖）；滅界邪陀（金霄佛寺、濕婆神廟）</x:t>
        </x:is>
      </x:c>
    </x:row>
    <x:row r="2250" ht="15" customHeight="1">
      <x:c r="A2250" s="55" t="str">
        <x:v>戒日戰鎧</x:v>
      </x:c>
      <x:c r="B2250" s="55" t="str">
        <x:v>—</x:v>
      </x:c>
      <x:c r="C2250" s="55" t="str">
        <x:v>—</x:v>
      </x:c>
      <x:c r="D2250" s="55" t="str">
        <x:v>—</x:v>
      </x:c>
      <x:c r="E2250" s="55" t="inlineStr">
        <x:is>
          <x:t>摩羅勇裝錦囊（網站未列地圖）；真佛勇裝錦囊（網站未列地圖）；紅蓮女戰將（濕婆神廟）</x:t>
        </x:is>
      </x:c>
    </x:row>
    <x:row r="2251" ht="15" customHeight="1">
      <x:c r="A2251" s="55" t="str">
        <x:v>朱綾輕甲</x:v>
      </x:c>
      <x:c r="B2251" s="55" t="str">
        <x:v>—</x:v>
      </x:c>
      <x:c r="C2251" s="55" t="str">
        <x:v>—</x:v>
      </x:c>
      <x:c r="D2251" s="55" t="str">
        <x:v>—</x:v>
      </x:c>
      <x:c r="E2251" s="55" t="inlineStr">
        <x:is>
          <x:t>摩羅術裝錦囊（網站未列地圖）；真佛術裝錦囊（網站未列地圖）；摩羅御軍射手（菩提聖原、大梵河岸）</x:t>
        </x:is>
      </x:c>
    </x:row>
    <x:row r="2252" ht="15" customHeight="1">
      <x:c r="A2252" s="55" t="str">
        <x:v>紫懿道袍</x:v>
      </x:c>
      <x:c r="B2252" s="55" t="str">
        <x:v>—</x:v>
      </x:c>
      <x:c r="C2252" s="55" t="str">
        <x:v>—</x:v>
      </x:c>
      <x:c r="D2252" s="55" t="str">
        <x:v>—</x:v>
      </x:c>
      <x:c r="E2252" s="55" t="inlineStr">
        <x:is>
          <x:t>摩羅道裝錦囊（網站未列地圖）；真佛道裝錦囊（網站未列地圖）；巨象騎兵（金霄佛寺）</x:t>
        </x:is>
      </x:c>
    </x:row>
    <x:row r="2253" ht="15" customHeight="1">
      <x:c r="A2253" s="55" t="str">
        <x:v>正定禪袍</x:v>
      </x:c>
      <x:c r="B2253" s="55" t="str">
        <x:v>—</x:v>
      </x:c>
      <x:c r="C2253" s="55" t="str">
        <x:v>—</x:v>
      </x:c>
      <x:c r="D2253" s="55" t="str">
        <x:v>—</x:v>
      </x:c>
      <x:c r="E2253" s="55" t="inlineStr">
        <x:is>
          <x:t>摩羅僧裝錦囊（網站未列地圖）；真佛僧裝錦囊（網站未列地圖）；魔道行者（菩提聖原、大梵河岸、金霄佛寺）</x:t>
        </x:is>
      </x:c>
    </x:row>
    <x:row r="2254" ht="15" customHeight="1">
      <x:c r="A2254" s="55" t="str">
        <x:v>悉檀戰甲</x:v>
      </x:c>
      <x:c r="B2254" s="55" t="str">
        <x:v>—</x:v>
      </x:c>
      <x:c r="C2254" s="55" t="str">
        <x:v>—</x:v>
      </x:c>
      <x:c r="D2254" s="55" t="str">
        <x:v>—</x:v>
      </x:c>
      <x:c r="E2254" s="55" t="inlineStr">
        <x:is>
          <x:t>真佛劍裝錦囊（網站未列地圖）</x:t>
        </x:is>
      </x:c>
    </x:row>
    <x:row r="2255" ht="30" customHeight="1">
      <x:c r="A2255" s="55" t="str">
        <x:v>最勝戰鎧</x:v>
      </x:c>
      <x:c r="B2255" s="55" t="str">
        <x:v>—</x:v>
      </x:c>
      <x:c r="C2255" s="55" t="str">
        <x:v>—</x:v>
      </x:c>
      <x:c r="D2255" s="55" t="str">
        <x:v>—</x:v>
      </x:c>
      <x:c r="E2255" s="55" t="inlineStr">
        <x:is>
          <x:t>真佛勇裝錦囊（網站未列地圖）；波斯鐵衛（黃塵荒漠、聖域之門、清教院街）；雪峰野人（登天棧道、懸空仙嶺、青藏高原）；[雪峰野人]（網站未列地圖）；聖峰雪獸（網站未列地圖）</x:t>
        </x:is>
      </x:c>
    </x:row>
    <x:row r="2256" ht="15" customHeight="1">
      <x:c r="A2256" s="55" t="str">
        <x:v>吠陀輕甲</x:v>
      </x:c>
      <x:c r="B2256" s="55" t="str">
        <x:v>—</x:v>
      </x:c>
      <x:c r="C2256" s="55" t="str">
        <x:v>—</x:v>
      </x:c>
      <x:c r="D2256" s="55" t="str">
        <x:v>—</x:v>
      </x:c>
      <x:c r="E2256" s="55" t="inlineStr">
        <x:is>
          <x:t>真佛術裝錦囊（網站未列地圖）；黑教舞鞭者（青藏高原、大梵聖湖）</x:t>
        </x:is>
      </x:c>
    </x:row>
    <x:row r="2257" ht="30" customHeight="1">
      <x:c r="A2257" s="55" t="str">
        <x:v>煌天道袍</x:v>
      </x:c>
      <x:c r="B2257" s="55" t="str">
        <x:v>—</x:v>
      </x:c>
      <x:c r="C2257" s="55" t="str">
        <x:v>—</x:v>
      </x:c>
      <x:c r="D2257" s="55" t="str">
        <x:v>—</x:v>
      </x:c>
      <x:c r="E2257" s="55" t="inlineStr">
        <x:is>
          <x:t>真佛道裝錦囊（網站未列地圖）；幽谷翔龍（登天棧道、懸空仙嶺、青藏高原、大梵聖湖）；[幽谷翔龍]（網站未列地圖）；天境飛龍（網站未列地圖）</x:t>
        </x:is>
      </x:c>
    </x:row>
    <x:row r="2258" ht="15" customHeight="1">
      <x:c r="A2258" s="55" t="str">
        <x:v>華嚴禪袍</x:v>
      </x:c>
      <x:c r="B2258" s="55" t="str">
        <x:v>—</x:v>
      </x:c>
      <x:c r="C2258" s="55" t="str">
        <x:v>—</x:v>
      </x:c>
      <x:c r="D2258" s="55" t="str">
        <x:v>—</x:v>
      </x:c>
      <x:c r="E2258" s="55" t="inlineStr">
        <x:is>
          <x:t>真佛僧裝錦囊（網站未列地圖）；赤壇喇嘛（青藏高原、大梵聖湖、萬岳聖峰、香格里拉聖路、香格里拉神廟）</x:t>
        </x:is>
      </x:c>
    </x:row>
    <x:row r="2259" ht="45" customHeight="1">
      <x:c r="A2259" s="55" t="str">
        <x:v>真．智者聖甲</x:v>
      </x:c>
      <x:c r="B2259" s="55" t="str">
        <x:v>—</x:v>
      </x:c>
      <x:c r="C2259" s="55" t="str">
        <x:v>—</x:v>
      </x:c>
      <x:c r="D2259" s="55" t="str">
        <x:v>真智聖甲配方</x:v>
      </x:c>
      <x:c r="E2259" s="55" t="inlineStr">
        <x:is>
          <x:t>真超凡入聖錦囊（網站未列地圖）；無界閻羅邪元（天戮魔殿）；玄冑之核（網站未列地圖）；八歧大蛇（天照不二峰）；虎虎生風錦囊（網站未列地圖）；冥蔘化妖（終末之塔第111層、終末之塔第112層、終末之塔第113層）；巨冥虛蔘王（終末之塔第111層）；八敗命陀（終末之塔第128層）</x:t>
        </x:is>
      </x:c>
    </x:row>
    <x:row r="2260" ht="30" customHeight="1">
      <x:c r="A2260" s="55" t="str">
        <x:v>真．仁者聖甲</x:v>
      </x:c>
      <x:c r="B2260" s="55" t="str">
        <x:v>—</x:v>
      </x:c>
      <x:c r="C2260" s="55" t="str">
        <x:v>—</x:v>
      </x:c>
      <x:c r="D2260" s="55" t="str">
        <x:v>真仁聖甲配方</x:v>
      </x:c>
      <x:c r="E2260" s="55" t="inlineStr">
        <x:is>
          <x:t>真超凡入聖錦囊（網站未列地圖）；無界閻羅邪元（天戮魔殿）；玄冑之核（網站未列地圖）；八歧大蛇（天照不二峰）；虎虎生風錦囊（網站未列地圖）；淪劫迷者（終末之塔第113層、終末之塔第119層、終末之塔第111層）</x:t>
        </x:is>
      </x:c>
    </x:row>
    <x:row r="2261" ht="45" customHeight="1">
      <x:c r="A2261" s="55" t="str">
        <x:v>真．勇者聖甲</x:v>
      </x:c>
      <x:c r="B2261" s="55" t="str">
        <x:v>—</x:v>
      </x:c>
      <x:c r="C2261" s="55" t="str">
        <x:v>—</x:v>
      </x:c>
      <x:c r="D2261" s="55" t="str">
        <x:v>真勇聖甲配方</x:v>
      </x:c>
      <x:c r="E2261" s="55" t="inlineStr">
        <x:is>
          <x:t>真超凡入聖錦囊（網站未列地圖）；無界閻羅邪元（天戮魔殿）；玄冑之核（網站未列地圖）；八歧大蛇（天照不二峰）；虎虎生風錦囊（網站未列地圖）；淪劫徊者（終末之塔第119層）；劫掠布盜（終末之塔第121層、終末之塔第125層、終末之塔第128層）</x:t>
        </x:is>
      </x:c>
    </x:row>
    <x:row r="2262" ht="15" customHeight="1">
      <x:c r="A2262" s="55" t="str">
        <x:v>真．義者聖甲</x:v>
      </x:c>
      <x:c r="B2262" s="55" t="str">
        <x:v>—</x:v>
      </x:c>
      <x:c r="C2262" s="55" t="str">
        <x:v>—</x:v>
      </x:c>
      <x:c r="D2262" s="55" t="str">
        <x:v>—</x:v>
      </x:c>
      <x:c r="E2262" s="55" t="inlineStr">
        <x:is>
          <x:t>稀奇裝備箱．乙式（網站未列地圖）；稀奇裝備箱．丁式（網站未列地圖）；裂地幼鮫（終末之塔第122層）</x:t>
        </x:is>
      </x:c>
    </x:row>
    <x:row r="2263" ht="15" customHeight="1">
      <x:c r="A2263" s="55" t="str">
        <x:v>真．天神羽紗</x:v>
      </x:c>
      <x:c r="B2263" s="55" t="str">
        <x:v>—</x:v>
      </x:c>
      <x:c r="C2263" s="55" t="str">
        <x:v>—</x:v>
      </x:c>
      <x:c r="D2263" s="55" t="str">
        <x:v>天極羽鎧配方</x:v>
      </x:c>
      <x:c r="E2263" s="55" t="inlineStr">
        <x:is>
          <x:t>真天界神裝錦囊（網站未列地圖）</x:t>
        </x:is>
      </x:c>
    </x:row>
    <x:row r="2264" ht="30" customHeight="1">
      <x:c r="A2264" s="55" t="str">
        <x:v>驕陽戰甲</x:v>
      </x:c>
      <x:c r="B2264" s="55" t="str">
        <x:v>—</x:v>
      </x:c>
      <x:c r="C2264" s="55" t="str">
        <x:v>—</x:v>
      </x:c>
      <x:c r="D2264" s="55" t="str">
        <x:v>—</x:v>
      </x:c>
      <x:c r="E2264" s="55" t="inlineStr">
        <x:is>
          <x:t>煉獄劍裝錦囊（網站未列地圖）；魔天劍裝錦囊（網站未列地圖）；軍騎駱駝（止戰邊境）；衝天馬魔將（森羅閻殿、奈落紅川、荒禍殘墟）；血河馬魔神（天戮魔殿）；阿鼻霸鬼（荒禍殘墟）</x:t>
        </x:is>
      </x:c>
    </x:row>
    <x:row r="2265" ht="30" customHeight="1">
      <x:c r="A2265" s="55" t="str">
        <x:v>銀蟒重鎧</x:v>
      </x:c>
      <x:c r="B2265" s="55" t="str">
        <x:v>—</x:v>
      </x:c>
      <x:c r="C2265" s="55" t="str">
        <x:v>—</x:v>
      </x:c>
      <x:c r="D2265" s="55" t="str">
        <x:v>—</x:v>
      </x:c>
      <x:c r="E2265" s="55" t="inlineStr">
        <x:is>
          <x:t>煉獄勇裝錦囊（網站未列地圖）；魔天勇裝錦囊（網站未列地圖）；開山牛魔將（森羅閻殿、奈落紅川、荒禍殘墟）；劍山牛魔神（天戮魔殿）；黃泉大元帥（森羅閻殿、奈落紅川）；喪途羅將（網站未列地圖）</x:t>
        </x:is>
      </x:c>
    </x:row>
    <x:row r="2266" ht="30" customHeight="1">
      <x:c r="A2266" s="55" t="str">
        <x:v>白門輕縷</x:v>
      </x:c>
      <x:c r="B2266" s="55" t="str">
        <x:v>—</x:v>
      </x:c>
      <x:c r="C2266" s="55" t="str">
        <x:v>—</x:v>
      </x:c>
      <x:c r="D2266" s="55" t="str">
        <x:v>—</x:v>
      </x:c>
      <x:c r="E2266" s="55" t="inlineStr">
        <x:is>
          <x:t>煉獄術裝錦囊（網站未列地圖）；魔天術裝錦囊（網站未列地圖）；化屍大魔棺（森羅閻殿、九曲邪徑、奈落紅川、荒禍殘墟）；御獅大將軍（森羅閻殿）</x:t>
        </x:is>
      </x:c>
    </x:row>
    <x:row r="2267" ht="30" customHeight="1">
      <x:c r="A2267" s="55" t="str">
        <x:v>三世道袍</x:v>
      </x:c>
      <x:c r="B2267" s="55" t="str">
        <x:v>—</x:v>
      </x:c>
      <x:c r="C2267" s="55" t="str">
        <x:v>—</x:v>
      </x:c>
      <x:c r="D2267" s="55" t="str">
        <x:v>—</x:v>
      </x:c>
      <x:c r="E2267" s="55" t="inlineStr">
        <x:is>
          <x:t>煉獄道裝錦囊（網站未列地圖）；魔天道裝錦囊（網站未列地圖）；奈落邪鬼（奈落紅川）；奈落邪鬼（永劫刑場）；傲霜飛龍（吐蕃集鎮、萬岳聖峰、香格里拉聖路、香格里拉神廟）</x:t>
        </x:is>
      </x:c>
    </x:row>
    <x:row r="2268" ht="15" customHeight="1">
      <x:c r="A2268" s="55" t="str">
        <x:v>妙法禪袍</x:v>
      </x:c>
      <x:c r="B2268" s="55" t="str">
        <x:v>—</x:v>
      </x:c>
      <x:c r="C2268" s="55" t="str">
        <x:v>—</x:v>
      </x:c>
      <x:c r="D2268" s="55" t="str">
        <x:v>—</x:v>
      </x:c>
      <x:c r="E2268" s="55" t="inlineStr">
        <x:is>
          <x:t>煉獄僧裝錦囊（網站未列地圖）；魔天僧裝錦囊（網站未列地圖）；赦世驃騎（寒愴冰獄、奈落紅川、荒禍殘墟）</x:t>
        </x:is>
      </x:c>
    </x:row>
    <x:row r="2269" ht="15" customHeight="1">
      <x:c r="A2269" s="55" t="str">
        <x:v>蒼烈戰甲</x:v>
      </x:c>
      <x:c r="B2269" s="55" t="str">
        <x:v>—</x:v>
      </x:c>
      <x:c r="C2269" s="55" t="str">
        <x:v>—</x:v>
      </x:c>
      <x:c r="D2269" s="55" t="str">
        <x:v>—</x:v>
      </x:c>
      <x:c r="E2269" s="55" t="inlineStr">
        <x:is>
          <x:t>魔天劍裝錦囊（網站未列地圖）；十字軍（止戰邊境、豐穗平原）</x:t>
        </x:is>
      </x:c>
    </x:row>
    <x:row r="2270" ht="30" customHeight="1">
      <x:c r="A2270" s="55" t="str">
        <x:v>龍魔鱗鎧</x:v>
      </x:c>
      <x:c r="B2270" s="55" t="str">
        <x:v>—</x:v>
      </x:c>
      <x:c r="C2270" s="55" t="str">
        <x:v>—</x:v>
      </x:c>
      <x:c r="D2270" s="55" t="str">
        <x:v>—</x:v>
      </x:c>
      <x:c r="E2270" s="55" t="inlineStr">
        <x:is>
          <x:t>魔天勇裝錦囊（網站未列地圖）；地斗大元帥（天戮魔殿）；巨憾之土（清教院街、波斯西市）；旱疆土妖（網站未列地圖）；[巨憾之土]（網站未列地圖）</x:t>
        </x:is>
      </x:c>
    </x:row>
    <x:row r="2271" ht="15" customHeight="1">
      <x:c r="A2271" s="55" t="str">
        <x:v>阿鼻邪冑</x:v>
      </x:c>
      <x:c r="B2271" s="55" t="str">
        <x:v>—</x:v>
      </x:c>
      <x:c r="C2271" s="55" t="str">
        <x:v>—</x:v>
      </x:c>
      <x:c r="D2271" s="55" t="str">
        <x:v>—</x:v>
      </x:c>
      <x:c r="E2271" s="55" t="inlineStr">
        <x:is>
          <x:t>魔天術裝錦囊（網站未列地圖）；波斯猛將（止戰邊境）；波斯亂黨（聖域之門）</x:t>
        </x:is>
      </x:c>
    </x:row>
    <x:row r="2272" ht="15" customHeight="1">
      <x:c r="A2272" s="55" t="str">
        <x:v>玉清道袍</x:v>
      </x:c>
      <x:c r="B2272" s="55" t="str">
        <x:v>—</x:v>
      </x:c>
      <x:c r="C2272" s="55" t="str">
        <x:v>—</x:v>
      </x:c>
      <x:c r="D2272" s="55" t="str">
        <x:v>—</x:v>
      </x:c>
      <x:c r="E2272" s="55" t="inlineStr">
        <x:is>
          <x:t>魔天道裝錦囊（網站未列地圖）；通天術師（飛簷頂徑、波斯西市、法誡參道）</x:t>
        </x:is>
      </x:c>
    </x:row>
    <x:row r="2273" ht="15" customHeight="1">
      <x:c r="A2273" s="55" t="str">
        <x:v>轉輪袈裟</x:v>
      </x:c>
      <x:c r="B2273" s="55" t="str">
        <x:v>—</x:v>
      </x:c>
      <x:c r="C2273" s="55" t="str">
        <x:v>—</x:v>
      </x:c>
      <x:c r="D2273" s="55" t="str">
        <x:v>—</x:v>
      </x:c>
      <x:c r="E2273" s="55" t="inlineStr">
        <x:is>
          <x:t>魔天僧裝錦囊（網站未列地圖）</x:t>
        </x:is>
      </x:c>
    </x:row>
    <x:row r="2274" ht="60" customHeight="1">
      <x:c r="A2274" s="55" t="str">
        <x:v>寰宇萬象納</x:v>
      </x:c>
      <x:c r="B2274" s="55" t="str">
        <x:v>—</x:v>
      </x:c>
      <x:c r="C2274" s="55" t="str">
        <x:v>—</x:v>
      </x:c>
      <x:c r="D2274" s="55" t="str">
        <x:v>蒼天聖衣配方</x:v>
      </x:c>
      <x:c r="E2274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聖谷王司（托勒密山麓）；尸薩滿（終末之塔第71層）</x:t>
        </x:is>
      </x:c>
    </x:row>
    <x:row r="2275" ht="30" customHeight="1">
      <x:c r="A2275" s="55" t="str">
        <x:v>天狗神法衣</x:v>
      </x:c>
      <x:c r="B2275" s="55" t="str">
        <x:v>—</x:v>
      </x:c>
      <x:c r="C2275" s="55" t="str">
        <x:v>—</x:v>
      </x:c>
      <x:c r="D2275" s="55" t="str">
        <x:v>東瀛神衣配方</x:v>
      </x:c>
      <x:c r="E2275" s="55" t="inlineStr">
        <x:is>
          <x:t>東瀛幻甲錦囊（網站未列地圖）；人面獅身像（古翰大沙漠）；虛無十字軍（終末之塔第51層、終末之塔第52層）；旋幽虛靈（終末之塔第21層、終末之塔第30層）；沙野夜叉（終末之塔第41層）</x:t>
        </x:is>
      </x:c>
    </x:row>
    <x:row r="2276" ht="45" customHeight="1">
      <x:c r="A2276" s="55" t="str">
        <x:v>隱遁鱗冑</x:v>
      </x:c>
      <x:c r="B2276" s="55" t="str">
        <x:v>—</x:v>
      </x:c>
      <x:c r="C2276" s="55" t="str">
        <x:v>—</x:v>
      </x:c>
      <x:c r="D2276" s="55" t="str">
        <x:v>隱遁再造配方</x:v>
      </x:c>
      <x:c r="E2276" s="55" t="inlineStr">
        <x:is>
          <x:t>三合奇裝寶箱（網站未列地圖）；新‧玄冑之核（網站未列地圖）；金兔大吉利包（網站未列地圖）；消暑翠綠錦囊（網站未列地圖）；托勒密魔鱷（托勒密山麓）；天慧爆錘（終末之塔第7層、終末之塔第8層）；地斗大元帥（天戮魔殿）</x:t>
        </x:is>
      </x:c>
    </x:row>
    <x:row r="2277" ht="45" customHeight="1">
      <x:c r="A2277" s="55" t="str">
        <x:v>無相征鎧</x:v>
      </x:c>
      <x:c r="B2277" s="55" t="str">
        <x:v>—</x:v>
      </x:c>
      <x:c r="C2277" s="55" t="str">
        <x:v>—</x:v>
      </x:c>
      <x:c r="D2277" s="55" t="str">
        <x:v>無相再造配方</x:v>
      </x:c>
      <x:c r="E2277" s="55" t="inlineStr">
        <x:is>
          <x:t>三合奇裝寶箱（網站未列地圖）；新‧玄冑之核（網站未列地圖）；金兔大吉利包（網站未列地圖）；消暑天青錦囊（網站未列地圖）；峽谷蠻獸（托勒密山麓）；終塔衛將（終末之塔第2層、終末之塔第3層）；森羅大殿主（天戮魔殿）</x:t>
        </x:is>
      </x:c>
    </x:row>
    <x:row r="2278" ht="15" customHeight="1">
      <x:c r="A2278" s="55" t="str">
        <x:v>神棘羅網衣</x:v>
      </x:c>
      <x:c r="B2278" s="55" t="str">
        <x:v>—</x:v>
      </x:c>
      <x:c r="C2278" s="55" t="str">
        <x:v>—</x:v>
      </x:c>
      <x:c r="D2278" s="55" t="str">
        <x:v>—</x:v>
      </x:c>
      <x:c r="E2278" s="55" t="inlineStr">
        <x:is>
          <x:t>稀奇裝備箱．甲式（網站未列地圖）；換血戰兵（終末之塔第143層、終末之塔第144層）</x:t>
        </x:is>
      </x:c>
    </x:row>
    <x:row r="2279" ht="15" customHeight="1">
      <x:c r="A2279" s="55" t="str">
        <x:v>墨武劍衣</x:v>
      </x:c>
      <x:c r="B2279" s="55" t="str">
        <x:v>—</x:v>
      </x:c>
      <x:c r="C2279" s="55" t="str">
        <x:v>—</x:v>
      </x:c>
      <x:c r="D2279" s="55" t="str">
        <x:v>—</x:v>
      </x:c>
      <x:c r="E2279" s="55" t="inlineStr">
        <x:is>
          <x:t>天都劍裝錦囊（網站未列地圖）；掠空兇翼（血鴉嶺、靜默之丘、擎空壁壘）；雲眉鷹后（網站未列地圖）</x:t>
        </x:is>
      </x:c>
    </x:row>
    <x:row r="2280" ht="30" customHeight="1">
      <x:c r="A2280" s="55" t="str">
        <x:v>耀宇征冑</x:v>
      </x:c>
      <x:c r="B2280" s="55" t="str">
        <x:v>—</x:v>
      </x:c>
      <x:c r="C2280" s="55" t="str">
        <x:v>—</x:v>
      </x:c>
      <x:c r="D2280" s="55" t="str">
        <x:v>—</x:v>
      </x:c>
      <x:c r="E2280" s="55" t="inlineStr">
        <x:is>
          <x:t>天都勇裝錦囊（網站未列地圖）；笑傲飛鷹（登龍道）；虎威戰神（真知寺、萬識聖宮）；聖虎衛士（網站未列地圖）</x:t>
        </x:is>
      </x:c>
    </x:row>
    <x:row r="2281" ht="15" customHeight="1">
      <x:c r="A2281" s="55" t="str">
        <x:v>天鏡隱斗</x:v>
      </x:c>
      <x:c r="B2281" s="55" t="str">
        <x:v>—</x:v>
      </x:c>
      <x:c r="C2281" s="55" t="str">
        <x:v>—</x:v>
      </x:c>
      <x:c r="D2281" s="55" t="str">
        <x:v>—</x:v>
      </x:c>
      <x:c r="E2281" s="55" t="inlineStr">
        <x:is>
          <x:t>天都術裝錦囊（網站未列地圖）；墮魔巫女（靜默之丘、擎空壁壘、獅堡軍事區）；黑魔導女（網站未列地圖）</x:t>
        </x:is>
      </x:c>
    </x:row>
    <x:row r="2282" ht="15" customHeight="1">
      <x:c r="A2282" s="55" t="str">
        <x:v>納真道袍</x:v>
      </x:c>
      <x:c r="B2282" s="55" t="str">
        <x:v>—</x:v>
      </x:c>
      <x:c r="C2282" s="55" t="str">
        <x:v>—</x:v>
      </x:c>
      <x:c r="D2282" s="55" t="str">
        <x:v>—</x:v>
      </x:c>
      <x:c r="E2282" s="55" t="inlineStr">
        <x:is>
          <x:t>天都道裝錦囊（網站未列地圖）；悍野獅（止戰邊境、豐穗平原）</x:t>
        </x:is>
      </x:c>
    </x:row>
    <x:row r="2283" ht="15" customHeight="1">
      <x:c r="A2283" s="55" t="str">
        <x:v>三千法裟</x:v>
      </x:c>
      <x:c r="B2283" s="55" t="str">
        <x:v>—</x:v>
      </x:c>
      <x:c r="C2283" s="55" t="str">
        <x:v>—</x:v>
      </x:c>
      <x:c r="D2283" s="55" t="str">
        <x:v>—</x:v>
      </x:c>
      <x:c r="E2283" s="55" t="inlineStr">
        <x:is>
          <x:t>天都僧裝錦囊（網站未列地圖）；掀濤水靈（漆黑水路、真知寺）</x:t>
        </x:is>
      </x:c>
    </x:row>
    <x:row r="2284" ht="15" customHeight="1">
      <x:c r="A2284" s="55" t="str">
        <x:v>南日劍衣</x:v>
      </x:c>
      <x:c r="B2284" s="55" t="str">
        <x:v>—</x:v>
      </x:c>
      <x:c r="C2284" s="55" t="str">
        <x:v>—</x:v>
      </x:c>
      <x:c r="D2284" s="55" t="str">
        <x:v>—</x:v>
      </x:c>
      <x:c r="E2284" s="55" t="inlineStr">
        <x:is>
          <x:t>問頂劍裝錦囊（網站未列地圖）</x:t>
        </x:is>
      </x:c>
    </x:row>
    <x:row r="2285" ht="15" customHeight="1">
      <x:c r="A2285" s="55" t="str">
        <x:v>古茹黃冑</x:v>
      </x:c>
      <x:c r="B2285" s="55" t="str">
        <x:v>—</x:v>
      </x:c>
      <x:c r="C2285" s="55" t="str">
        <x:v>—</x:v>
      </x:c>
      <x:c r="D2285" s="55" t="str">
        <x:v>—</x:v>
      </x:c>
      <x:c r="E2285" s="55" t="inlineStr">
        <x:is>
          <x:t>問頂勇裝錦囊（網站未列地圖）；銀鱗飛龍（豐穗平原、血鴉嶺、靜默之丘、獅堡軍事區）</x:t>
        </x:is>
      </x:c>
    </x:row>
    <x:row r="2286" ht="15" customHeight="1">
      <x:c r="A2286" s="55" t="str">
        <x:v>穆赤雲裳</x:v>
      </x:c>
      <x:c r="B2286" s="55" t="str">
        <x:v>—</x:v>
      </x:c>
      <x:c r="C2286" s="55" t="str">
        <x:v>—</x:v>
      </x:c>
      <x:c r="D2286" s="55" t="str">
        <x:v>—</x:v>
      </x:c>
      <x:c r="E2286" s="55" t="inlineStr">
        <x:is>
          <x:t>問頂術裝錦囊（網站未列地圖）；蝶舞精（登龍道、凌風修境、繚空碎島）</x:t>
        </x:is>
      </x:c>
    </x:row>
    <x:row r="2287" ht="15" customHeight="1">
      <x:c r="A2287" s="55" t="str">
        <x:v>朗達瑪袍</x:v>
      </x:c>
      <x:c r="B2287" s="55" t="str">
        <x:v>—</x:v>
      </x:c>
      <x:c r="C2287" s="55" t="str">
        <x:v>—</x:v>
      </x:c>
      <x:c r="D2287" s="55" t="str">
        <x:v>—</x:v>
      </x:c>
      <x:c r="E2287" s="55" t="inlineStr">
        <x:is>
          <x:t>問頂道裝錦囊（網站未列地圖）</x:t>
        </x:is>
      </x:c>
    </x:row>
    <x:row r="2288" ht="15" customHeight="1">
      <x:c r="A2288" s="55" t="str">
        <x:v>牟如袈裟</x:v>
      </x:c>
      <x:c r="B2288" s="55" t="str">
        <x:v>—</x:v>
      </x:c>
      <x:c r="C2288" s="55" t="str">
        <x:v>—</x:v>
      </x:c>
      <x:c r="D2288" s="55" t="str">
        <x:v>—</x:v>
      </x:c>
      <x:c r="E2288" s="55" t="inlineStr">
        <x:is>
          <x:t>問頂僧裝錦囊（網站未列地圖）</x:t>
        </x:is>
      </x:c>
    </x:row>
    <x:row r="2289" ht="15" customHeight="1">
      <x:c r="A2289" s="55" t="str">
        <x:v>超．智者聖甲</x:v>
      </x:c>
      <x:c r="B2289" s="55" t="str">
        <x:v>—</x:v>
      </x:c>
      <x:c r="C2289" s="55" t="str">
        <x:v>—</x:v>
      </x:c>
      <x:c r="D2289" s="55" t="str">
        <x:v>超智聖甲配方</x:v>
      </x:c>
      <x:c r="E2289" s="55" t="inlineStr">
        <x:is>
          <x:t>極真超凡入聖錦囊（網站未列地圖）；玄冑之核（網站未列地圖）</x:t>
        </x:is>
      </x:c>
    </x:row>
    <x:row r="2290" ht="15" customHeight="1">
      <x:c r="A2290" s="55" t="str">
        <x:v>超．仁者聖甲</x:v>
      </x:c>
      <x:c r="B2290" s="55" t="str">
        <x:v>—</x:v>
      </x:c>
      <x:c r="C2290" s="55" t="str">
        <x:v>—</x:v>
      </x:c>
      <x:c r="D2290" s="55" t="str">
        <x:v>超仁聖甲配方</x:v>
      </x:c>
      <x:c r="E2290" s="55" t="inlineStr">
        <x:is>
          <x:t>極真超凡入聖錦囊（網站未列地圖）；玄冑之核（網站未列地圖）</x:t>
        </x:is>
      </x:c>
    </x:row>
    <x:row r="2291" ht="15" customHeight="1">
      <x:c r="A2291" s="55" t="str">
        <x:v>超．勇者聖甲</x:v>
      </x:c>
      <x:c r="B2291" s="55" t="str">
        <x:v>—</x:v>
      </x:c>
      <x:c r="C2291" s="55" t="str">
        <x:v>—</x:v>
      </x:c>
      <x:c r="D2291" s="55" t="str">
        <x:v>超勇聖甲配方</x:v>
      </x:c>
      <x:c r="E2291" s="55" t="inlineStr">
        <x:is>
          <x:t>極真超凡入聖錦囊（網站未列地圖）；玄冑之核（網站未列地圖）</x:t>
        </x:is>
      </x:c>
    </x:row>
    <x:row r="2292" ht="15" customHeight="1">
      <x:c r="A2292" s="55" t="str">
        <x:v>超．義者聖甲</x:v>
      </x:c>
      <x:c r="B2292" s="55" t="str">
        <x:v>—</x:v>
      </x:c>
      <x:c r="C2292" s="55" t="str">
        <x:v>—</x:v>
      </x:c>
      <x:c r="D2292" s="55" t="str">
        <x:v>—</x:v>
      </x:c>
      <x:c r="E2292" s="55" t="inlineStr">
        <x:is>
          <x:t>—</x:t>
        </x:is>
      </x:c>
    </x:row>
    <x:row r="2293" ht="30" customHeight="1">
      <x:c r="A2293" s="55" t="str">
        <x:v>廣宙太儀甲</x:v>
      </x:c>
      <x:c r="B2293" s="55" t="str">
        <x:v>—</x:v>
      </x:c>
      <x:c r="C2293" s="55" t="str">
        <x:v>—</x:v>
      </x:c>
      <x:c r="D2293" s="55" t="str">
        <x:v>天宇聖衣配方</x:v>
      </x:c>
      <x:c r="E2293" s="55" t="inlineStr">
        <x:is>
          <x:t>宇宙神裝錦囊（網站未列地圖）；新‧玄冑之核（網站未列地圖）；玄冑之核（網站未列地圖）；焚劫厲將（朱雀南殿）</x:t>
        </x:is>
      </x:c>
    </x:row>
    <x:row r="2294" ht="15" customHeight="1">
      <x:c r="A2294" s="55" t="str">
        <x:v>天狗法衣‧絕</x:v>
      </x:c>
      <x:c r="B2294" s="55" t="str">
        <x:v>—</x:v>
      </x:c>
      <x:c r="C2294" s="55" t="str">
        <x:v>—</x:v>
      </x:c>
      <x:c r="D2294" s="55" t="str">
        <x:v>—</x:v>
      </x:c>
      <x:c r="E2294" s="55" t="inlineStr">
        <x:is>
          <x:t>東瀛絕甲錦囊（網站未列地圖）；咒殺修陀（終末之塔第63層、終末之塔第62層）</x:t>
        </x:is>
      </x:c>
    </x:row>
    <x:row r="2295" ht="30" customHeight="1">
      <x:c r="A2295" s="55" t="str">
        <x:v>三合聖衣</x:v>
      </x:c>
      <x:c r="B2295" s="55" t="str">
        <x:v>—</x:v>
      </x:c>
      <x:c r="C2295" s="55" t="str">
        <x:v>—</x:v>
      </x:c>
      <x:c r="D2295" s="55" t="str">
        <x:v>三合聖衣配方、無限三合聖衣配方</x:v>
      </x:c>
      <x:c r="E2295" s="55" t="inlineStr">
        <x:is>
          <x:t>—</x:t>
        </x:is>
      </x:c>
    </x:row>
    <x:row r="2296" ht="15" customHeight="1">
      <x:c r="A2296" s="55" t="str">
        <x:v>軍星鋼鎧</x:v>
      </x:c>
      <x:c r="B2296" s="55" t="str">
        <x:v>—</x:v>
      </x:c>
      <x:c r="C2296" s="55" t="str">
        <x:v>—</x:v>
      </x:c>
      <x:c r="D2296" s="55" t="str">
        <x:v>—</x:v>
      </x:c>
      <x:c r="E2296" s="55" t="inlineStr">
        <x:is>
          <x:t>聖魔勇裝錦囊（網站未列地圖）</x:t>
        </x:is>
      </x:c>
    </x:row>
    <x:row r="2297" ht="15" customHeight="1">
      <x:c r="A2297" s="55" t="str">
        <x:v>鐵星鋼鎧</x:v>
      </x:c>
      <x:c r="B2297" s="55" t="str">
        <x:v>—</x:v>
      </x:c>
      <x:c r="C2297" s="55" t="str">
        <x:v>—</x:v>
      </x:c>
      <x:c r="D2297" s="55" t="str">
        <x:v>—</x:v>
      </x:c>
      <x:c r="E2297" s="55" t="inlineStr">
        <x:is>
          <x:t>聖魔勇裝錦囊（網站未列地圖）</x:t>
        </x:is>
      </x:c>
    </x:row>
    <x:row r="2298" ht="15" customHeight="1">
      <x:c r="A2298" s="55" t="str">
        <x:v>武星鋼鎧</x:v>
      </x:c>
      <x:c r="B2298" s="55" t="str">
        <x:v>—</x:v>
      </x:c>
      <x:c r="C2298" s="55" t="str">
        <x:v>—</x:v>
      </x:c>
      <x:c r="D2298" s="55" t="str">
        <x:v>—</x:v>
      </x:c>
      <x:c r="E2298" s="55" t="inlineStr">
        <x:is>
          <x:t>聖魔勇裝錦囊（網站未列地圖）</x:t>
        </x:is>
      </x:c>
    </x:row>
    <x:row r="2299" ht="15" customHeight="1">
      <x:c r="A2299" s="55" t="str">
        <x:v>赫煉戰甲</x:v>
      </x:c>
      <x:c r="B2299" s="55" t="str">
        <x:v>—</x:v>
      </x:c>
      <x:c r="C2299" s="55" t="str">
        <x:v>—</x:v>
      </x:c>
      <x:c r="D2299" s="55" t="str">
        <x:v>—</x:v>
      </x:c>
      <x:c r="E2299" s="55" t="inlineStr">
        <x:is>
          <x:t>聖魔劍裝錦囊（網站未列地圖）</x:t>
        </x:is>
      </x:c>
    </x:row>
    <x:row r="2300" ht="15" customHeight="1">
      <x:c r="A2300" s="55" t="str">
        <x:v>浩煉戰甲</x:v>
      </x:c>
      <x:c r="B2300" s="55" t="str">
        <x:v>—</x:v>
      </x:c>
      <x:c r="C2300" s="55" t="str">
        <x:v>—</x:v>
      </x:c>
      <x:c r="D2300" s="55" t="str">
        <x:v>—</x:v>
      </x:c>
      <x:c r="E2300" s="55" t="inlineStr">
        <x:is>
          <x:t>聖魔劍裝錦囊（網站未列地圖）</x:t>
        </x:is>
      </x:c>
    </x:row>
    <x:row r="2301" ht="15" customHeight="1">
      <x:c r="A2301" s="55" t="str">
        <x:v>騰煉戰甲</x:v>
      </x:c>
      <x:c r="B2301" s="55" t="str">
        <x:v>—</x:v>
      </x:c>
      <x:c r="C2301" s="55" t="str">
        <x:v>—</x:v>
      </x:c>
      <x:c r="D2301" s="55" t="str">
        <x:v>—</x:v>
      </x:c>
      <x:c r="E2301" s="55" t="inlineStr">
        <x:is>
          <x:t>聖魔劍裝錦囊（網站未列地圖）</x:t>
        </x:is>
      </x:c>
    </x:row>
    <x:row r="2302" ht="15" customHeight="1">
      <x:c r="A2302" s="55" t="str">
        <x:v>六虛織袍</x:v>
      </x:c>
      <x:c r="B2302" s="55" t="str">
        <x:v>—</x:v>
      </x:c>
      <x:c r="C2302" s="55" t="str">
        <x:v>—</x:v>
      </x:c>
      <x:c r="D2302" s="55" t="str">
        <x:v>—</x:v>
      </x:c>
      <x:c r="E2302" s="55" t="inlineStr">
        <x:is>
          <x:t>聖魔術裝錦囊（網站未列地圖）</x:t>
        </x:is>
      </x:c>
    </x:row>
    <x:row r="2303" ht="15" customHeight="1">
      <x:c r="A2303" s="55" t="str">
        <x:v>碧虛織袍</x:v>
      </x:c>
      <x:c r="B2303" s="55" t="str">
        <x:v>—</x:v>
      </x:c>
      <x:c r="C2303" s="55" t="str">
        <x:v>—</x:v>
      </x:c>
      <x:c r="D2303" s="55" t="str">
        <x:v>—</x:v>
      </x:c>
      <x:c r="E2303" s="55" t="inlineStr">
        <x:is>
          <x:t>聖魔術裝錦囊（網站未列地圖）</x:t>
        </x:is>
      </x:c>
    </x:row>
    <x:row r="2304" ht="15" customHeight="1">
      <x:c r="A2304" s="55" t="str">
        <x:v>太虛織袍</x:v>
      </x:c>
      <x:c r="B2304" s="55" t="str">
        <x:v>—</x:v>
      </x:c>
      <x:c r="C2304" s="55" t="str">
        <x:v>—</x:v>
      </x:c>
      <x:c r="D2304" s="55" t="str">
        <x:v>—</x:v>
      </x:c>
      <x:c r="E2304" s="55" t="inlineStr">
        <x:is>
          <x:t>聖魔術裝錦囊（網站未列地圖）</x:t>
        </x:is>
      </x:c>
    </x:row>
    <x:row r="2305" ht="15" customHeight="1">
      <x:c r="A2305" s="55" t="str">
        <x:v>鴻緒道衫</x:v>
      </x:c>
      <x:c r="B2305" s="55" t="str">
        <x:v>—</x:v>
      </x:c>
      <x:c r="C2305" s="55" t="str">
        <x:v>—</x:v>
      </x:c>
      <x:c r="D2305" s="55" t="str">
        <x:v>—</x:v>
      </x:c>
      <x:c r="E2305" s="55" t="inlineStr">
        <x:is>
          <x:t>聖魔道裝錦囊（網站未列地圖）</x:t>
        </x:is>
      </x:c>
    </x:row>
    <x:row r="2306" ht="15" customHeight="1">
      <x:c r="A2306" s="55" t="str">
        <x:v>明緒道衫</x:v>
      </x:c>
      <x:c r="B2306" s="55" t="str">
        <x:v>—</x:v>
      </x:c>
      <x:c r="C2306" s="55" t="str">
        <x:v>—</x:v>
      </x:c>
      <x:c r="D2306" s="55" t="str">
        <x:v>—</x:v>
      </x:c>
      <x:c r="E2306" s="55" t="inlineStr">
        <x:is>
          <x:t>聖魔道裝錦囊（網站未列地圖）</x:t>
        </x:is>
      </x:c>
    </x:row>
    <x:row r="2307" ht="15" customHeight="1">
      <x:c r="A2307" s="55" t="str">
        <x:v>正緒道衫</x:v>
      </x:c>
      <x:c r="B2307" s="55" t="str">
        <x:v>—</x:v>
      </x:c>
      <x:c r="C2307" s="55" t="str">
        <x:v>—</x:v>
      </x:c>
      <x:c r="D2307" s="55" t="str">
        <x:v>—</x:v>
      </x:c>
      <x:c r="E2307" s="55" t="inlineStr">
        <x:is>
          <x:t>聖魔道裝錦囊（網站未列地圖）</x:t>
        </x:is>
      </x:c>
    </x:row>
    <x:row r="2308" ht="15" customHeight="1">
      <x:c r="A2308" s="55" t="str">
        <x:v>定恆僧裟</x:v>
      </x:c>
      <x:c r="B2308" s="55" t="str">
        <x:v>—</x:v>
      </x:c>
      <x:c r="C2308" s="55" t="str">
        <x:v>—</x:v>
      </x:c>
      <x:c r="D2308" s="55" t="str">
        <x:v>—</x:v>
      </x:c>
      <x:c r="E2308" s="55" t="inlineStr">
        <x:is>
          <x:t>聖魔僧裝錦囊（網站未列地圖）</x:t>
        </x:is>
      </x:c>
    </x:row>
    <x:row r="2309" ht="15" customHeight="1">
      <x:c r="A2309" s="55" t="str">
        <x:v>常恆僧裟</x:v>
      </x:c>
      <x:c r="B2309" s="55" t="str">
        <x:v>—</x:v>
      </x:c>
      <x:c r="C2309" s="55" t="str">
        <x:v>—</x:v>
      </x:c>
      <x:c r="D2309" s="55" t="str">
        <x:v>—</x:v>
      </x:c>
      <x:c r="E2309" s="55" t="inlineStr">
        <x:is>
          <x:t>聖魔僧裝錦囊（網站未列地圖）</x:t>
        </x:is>
      </x:c>
    </x:row>
    <x:row r="2310" ht="15" customHeight="1">
      <x:c r="A2310" s="55" t="str">
        <x:v>念恆僧裟</x:v>
      </x:c>
      <x:c r="B2310" s="55" t="str">
        <x:v>—</x:v>
      </x:c>
      <x:c r="C2310" s="55" t="str">
        <x:v>—</x:v>
      </x:c>
      <x:c r="D2310" s="55" t="str">
        <x:v>—</x:v>
      </x:c>
      <x:c r="E2310" s="55" t="inlineStr">
        <x:is>
          <x:t>聖魔僧裝錦囊（網站未列地圖）</x:t>
        </x:is>
      </x:c>
    </x:row>
    <x:row r="2311" ht="15" customHeight="1">
      <x:c r="A2311" s="55" t="str">
        <x:v>劍宗御鋒衣</x:v>
      </x:c>
      <x:c r="B2311" s="55" t="str">
        <x:v>—</x:v>
      </x:c>
      <x:c r="C2311" s="55" t="str">
        <x:v>—</x:v>
      </x:c>
      <x:c r="D2311" s="55" t="str">
        <x:v>—</x:v>
      </x:c>
      <x:c r="E2311" s="55" t="inlineStr">
        <x:is>
          <x:t>仙宗劍裝錦囊（網站未列地圖）；仙宗護具禮盒（網站未列地圖）</x:t>
        </x:is>
      </x:c>
    </x:row>
    <x:row r="2312" ht="15" customHeight="1">
      <x:c r="A2312" s="55" t="str">
        <x:v>武宗尊勇冑</x:v>
      </x:c>
      <x:c r="B2312" s="55" t="str">
        <x:v>—</x:v>
      </x:c>
      <x:c r="C2312" s="55" t="str">
        <x:v>—</x:v>
      </x:c>
      <x:c r="D2312" s="55" t="str">
        <x:v>—</x:v>
      </x:c>
      <x:c r="E2312" s="55" t="inlineStr">
        <x:is>
          <x:t>仙宗勇裝錦囊（網站未列地圖）；仙宗護具禮盒（網站未列地圖）</x:t>
        </x:is>
      </x:c>
    </x:row>
    <x:row r="2313" ht="15" customHeight="1">
      <x:c r="A2313" s="55" t="str">
        <x:v>術宗雲騰斗</x:v>
      </x:c>
      <x:c r="B2313" s="55" t="str">
        <x:v>—</x:v>
      </x:c>
      <x:c r="C2313" s="55" t="str">
        <x:v>—</x:v>
      </x:c>
      <x:c r="D2313" s="55" t="str">
        <x:v>—</x:v>
      </x:c>
      <x:c r="E2313" s="55" t="inlineStr">
        <x:is>
          <x:t>仙宗術裝錦囊（網站未列地圖）；仙宗護具禮盒（網站未列地圖）</x:t>
        </x:is>
      </x:c>
    </x:row>
    <x:row r="2314" ht="15" customHeight="1">
      <x:c r="A2314" s="55" t="str">
        <x:v>道宗太真袍</x:v>
      </x:c>
      <x:c r="B2314" s="55" t="str">
        <x:v>—</x:v>
      </x:c>
      <x:c r="C2314" s="55" t="str">
        <x:v>—</x:v>
      </x:c>
      <x:c r="D2314" s="55" t="str">
        <x:v>—</x:v>
      </x:c>
      <x:c r="E2314" s="55" t="inlineStr">
        <x:is>
          <x:t>仙宗道裝錦囊（網站未列地圖）；仙宗護具禮盒（網站未列地圖）</x:t>
        </x:is>
      </x:c>
    </x:row>
    <x:row r="2315" ht="15" customHeight="1">
      <x:c r="A2315" s="55" t="str">
        <x:v>禪宗妙袈裟</x:v>
      </x:c>
      <x:c r="B2315" s="55" t="str">
        <x:v>—</x:v>
      </x:c>
      <x:c r="C2315" s="55" t="str">
        <x:v>—</x:v>
      </x:c>
      <x:c r="D2315" s="55" t="str">
        <x:v>—</x:v>
      </x:c>
      <x:c r="E2315" s="55" t="inlineStr">
        <x:is>
          <x:t>仙宗僧裝錦囊（網站未列地圖）；仙宗護具禮盒（網站未列地圖）</x:t>
        </x:is>
      </x:c>
    </x:row>
    <x:row r="2316" ht="15" customHeight="1">
      <x:c r="A2316" s="55" t="str">
        <x:v>希亞劍甲</x:v>
      </x:c>
      <x:c r="B2316" s="55" t="str">
        <x:v>—</x:v>
      </x:c>
      <x:c r="C2316" s="55" t="str">
        <x:v>—</x:v>
      </x:c>
      <x:c r="D2316" s="55" t="str">
        <x:v>—</x:v>
      </x:c>
      <x:c r="E2316" s="55" t="inlineStr">
        <x:is>
          <x:t>波斯劍裝錦囊（網站未列地圖）；神風領主（凱旋廣場、聖禱天廳）</x:t>
        </x:is>
      </x:c>
    </x:row>
    <x:row r="2317" ht="15" customHeight="1">
      <x:c r="A2317" s="55" t="str">
        <x:v>花剌征鎧</x:v>
      </x:c>
      <x:c r="B2317" s="55" t="str">
        <x:v>—</x:v>
      </x:c>
      <x:c r="C2317" s="55" t="str">
        <x:v>—</x:v>
      </x:c>
      <x:c r="D2317" s="55" t="str">
        <x:v>—</x:v>
      </x:c>
      <x:c r="E2317" s="55" t="inlineStr">
        <x:is>
          <x:t>波斯勇裝錦囊（網站未列地圖）</x:t>
        </x:is>
      </x:c>
    </x:row>
    <x:row r="2318" ht="15" customHeight="1">
      <x:c r="A2318" s="55" t="str">
        <x:v>波斯毯披</x:v>
      </x:c>
      <x:c r="B2318" s="55" t="str">
        <x:v>—</x:v>
      </x:c>
      <x:c r="C2318" s="55" t="str">
        <x:v>—</x:v>
      </x:c>
      <x:c r="D2318" s="55" t="str">
        <x:v>—</x:v>
      </x:c>
      <x:c r="E2318" s="55" t="inlineStr">
        <x:is>
          <x:t>波斯術裝錦囊（網站未列地圖）；夢花蝶仙（飛雲忘野、橫劍天關）</x:t>
        </x:is>
      </x:c>
    </x:row>
    <x:row r="2319" ht="15" customHeight="1">
      <x:c r="A2319" s="55" t="str">
        <x:v>薩珊靈袍</x:v>
      </x:c>
      <x:c r="B2319" s="55" t="str">
        <x:v>—</x:v>
      </x:c>
      <x:c r="C2319" s="55" t="str">
        <x:v>—</x:v>
      </x:c>
      <x:c r="D2319" s="55" t="str">
        <x:v>—</x:v>
      </x:c>
      <x:c r="E2319" s="55" t="inlineStr">
        <x:is>
          <x:t>波斯道裝錦囊（網站未列地圖）</x:t>
        </x:is>
      </x:c>
    </x:row>
    <x:row r="2320" ht="15" customHeight="1">
      <x:c r="A2320" s="55" t="str">
        <x:v>兩河檀裟</x:v>
      </x:c>
      <x:c r="B2320" s="55" t="str">
        <x:v>—</x:v>
      </x:c>
      <x:c r="C2320" s="55" t="str">
        <x:v>—</x:v>
      </x:c>
      <x:c r="D2320" s="55" t="str">
        <x:v>—</x:v>
      </x:c>
      <x:c r="E2320" s="55" t="inlineStr">
        <x:is>
          <x:t>波斯僧裝錦囊（網站未列地圖）；禍翼巨龍（擎空壁壘、凱旋廣場）</x:t>
        </x:is>
      </x:c>
    </x:row>
    <x:row r="2321" ht="15" customHeight="1">
      <x:c r="A2321" s="55" t="str">
        <x:v>天揚劍甲</x:v>
      </x:c>
      <x:c r="B2321" s="55" t="str">
        <x:v>—</x:v>
      </x:c>
      <x:c r="C2321" s="55" t="str">
        <x:v>—</x:v>
      </x:c>
      <x:c r="D2321" s="55" t="str">
        <x:v>—</x:v>
      </x:c>
      <x:c r="E2321" s="55" t="inlineStr">
        <x:is>
          <x:t>驍武劍裝錦囊（網站未列地圖）</x:t>
        </x:is>
      </x:c>
    </x:row>
    <x:row r="2322" ht="15" customHeight="1">
      <x:c r="A2322" s="55" t="str">
        <x:v>鎢銀鑄鎧</x:v>
      </x:c>
      <x:c r="B2322" s="55" t="str">
        <x:v>—</x:v>
      </x:c>
      <x:c r="C2322" s="55" t="str">
        <x:v>—</x:v>
      </x:c>
      <x:c r="D2322" s="55" t="str">
        <x:v>—</x:v>
      </x:c>
      <x:c r="E2322" s="55" t="inlineStr">
        <x:is>
          <x:t>驍武勇裝錦囊（網站未列地圖）；雷公（凌風修境、繚空碎島）</x:t>
        </x:is>
      </x:c>
    </x:row>
    <x:row r="2323" ht="15" customHeight="1">
      <x:c r="A2323" s="55" t="str">
        <x:v>逐浪霓衣</x:v>
      </x:c>
      <x:c r="B2323" s="55" t="str">
        <x:v>—</x:v>
      </x:c>
      <x:c r="C2323" s="55" t="str">
        <x:v>—</x:v>
      </x:c>
      <x:c r="D2323" s="55" t="str">
        <x:v>—</x:v>
      </x:c>
      <x:c r="E2323" s="55" t="inlineStr">
        <x:is>
          <x:t>驍武術裝錦囊（網站未列地圖）</x:t>
        </x:is>
      </x:c>
    </x:row>
    <x:row r="2324" ht="15" customHeight="1">
      <x:c r="A2324" s="55" t="str">
        <x:v>星儀咒袍</x:v>
      </x:c>
      <x:c r="B2324" s="55" t="str">
        <x:v>—</x:v>
      </x:c>
      <x:c r="C2324" s="55" t="str">
        <x:v>—</x:v>
      </x:c>
      <x:c r="D2324" s="55" t="str">
        <x:v>—</x:v>
      </x:c>
      <x:c r="E2324" s="55" t="inlineStr">
        <x:is>
          <x:t>驍武道裝錦囊（網站未列地圖）</x:t>
        </x:is>
      </x:c>
    </x:row>
    <x:row r="2325" ht="15" customHeight="1">
      <x:c r="A2325" s="55" t="str">
        <x:v>智法煉裟</x:v>
      </x:c>
      <x:c r="B2325" s="55" t="str">
        <x:v>—</x:v>
      </x:c>
      <x:c r="C2325" s="55" t="str">
        <x:v>—</x:v>
      </x:c>
      <x:c r="D2325" s="55" t="str">
        <x:v>—</x:v>
      </x:c>
      <x:c r="E2325" s="55" t="inlineStr">
        <x:is>
          <x:t>驍武僧裝錦囊（網站未列地圖）；風伯（凌風修境、繚空碎島）</x:t>
        </x:is>
      </x:c>
    </x:row>
    <x:row r="2326" ht="15" customHeight="1">
      <x:c r="A2326" s="55" t="str">
        <x:v>圓桌戰甲</x:v>
      </x:c>
      <x:c r="B2326" s="55" t="str">
        <x:v>—</x:v>
      </x:c>
      <x:c r="C2326" s="55" t="str">
        <x:v>—</x:v>
      </x:c>
      <x:c r="D2326" s="55" t="str">
        <x:v>—</x:v>
      </x:c>
      <x:c r="E2326" s="55" t="inlineStr">
        <x:is>
          <x:t>帝國劍裝錦囊（網站未列地圖）</x:t>
        </x:is>
      </x:c>
    </x:row>
    <x:row r="2327" ht="15" customHeight="1">
      <x:c r="A2327" s="55" t="str">
        <x:v>獅王巨鎧</x:v>
      </x:c>
      <x:c r="B2327" s="55" t="str">
        <x:v>—</x:v>
      </x:c>
      <x:c r="C2327" s="55" t="str">
        <x:v>—</x:v>
      </x:c>
      <x:c r="D2327" s="55" t="str">
        <x:v>—</x:v>
      </x:c>
      <x:c r="E2327" s="55" t="inlineStr">
        <x:is>
          <x:t>帝國勇裝錦囊（網站未列地圖）</x:t>
        </x:is>
      </x:c>
    </x:row>
    <x:row r="2328" ht="15" customHeight="1">
      <x:c r="A2328" s="55" t="str">
        <x:v>夜龍風衣</x:v>
      </x:c>
      <x:c r="B2328" s="55" t="str">
        <x:v>—</x:v>
      </x:c>
      <x:c r="C2328" s="55" t="str">
        <x:v>—</x:v>
      </x:c>
      <x:c r="D2328" s="55" t="str">
        <x:v>—</x:v>
      </x:c>
      <x:c r="E2328" s="55" t="inlineStr">
        <x:is>
          <x:t>帝國術裝錦囊（網站未列地圖）；檮杌（繚空碎島、飛雲忘野）</x:t>
        </x:is>
      </x:c>
    </x:row>
    <x:row r="2329" ht="15" customHeight="1">
      <x:c r="A2329" s="55" t="str">
        <x:v>沐聖法袍</x:v>
      </x:c>
      <x:c r="B2329" s="55" t="str">
        <x:v>—</x:v>
      </x:c>
      <x:c r="C2329" s="55" t="str">
        <x:v>—</x:v>
      </x:c>
      <x:c r="D2329" s="55" t="str">
        <x:v>—</x:v>
      </x:c>
      <x:c r="E2329" s="55" t="inlineStr">
        <x:is>
          <x:t>帝國道裝錦囊（網站未列地圖）</x:t>
        </x:is>
      </x:c>
    </x:row>
    <x:row r="2330" ht="15" customHeight="1">
      <x:c r="A2330" s="55" t="str">
        <x:v>典儀禪裟</x:v>
      </x:c>
      <x:c r="B2330" s="55" t="str">
        <x:v>—</x:v>
      </x:c>
      <x:c r="C2330" s="55" t="str">
        <x:v>—</x:v>
      </x:c>
      <x:c r="D2330" s="55" t="str">
        <x:v>—</x:v>
      </x:c>
      <x:c r="E2330" s="55" t="inlineStr">
        <x:is>
          <x:t>帝國僧裝錦囊（網站未列地圖）</x:t>
        </x:is>
      </x:c>
    </x:row>
    <x:row r="2331" ht="15" customHeight="1">
      <x:c r="A2331" s="55" t="str">
        <x:v>龍閣戰甲</x:v>
      </x:c>
      <x:c r="B2331" s="55" t="str">
        <x:v>—</x:v>
      </x:c>
      <x:c r="C2331" s="55" t="str">
        <x:v>—</x:v>
      </x:c>
      <x:c r="D2331" s="55" t="str">
        <x:v>—</x:v>
      </x:c>
      <x:c r="E2331" s="55" t="inlineStr">
        <x:is>
          <x:t>歐帝劍裝錦囊（網站未列地圖）</x:t>
        </x:is>
      </x:c>
    </x:row>
    <x:row r="2332" ht="15" customHeight="1">
      <x:c r="A2332" s="55" t="str">
        <x:v>聖皇鋼鎧</x:v>
      </x:c>
      <x:c r="B2332" s="55" t="str">
        <x:v>—</x:v>
      </x:c>
      <x:c r="C2332" s="55" t="str">
        <x:v>—</x:v>
      </x:c>
      <x:c r="D2332" s="55" t="str">
        <x:v>—</x:v>
      </x:c>
      <x:c r="E2332" s="55" t="inlineStr">
        <x:is>
          <x:t>歐帝勇裝錦囊（網站未列地圖）</x:t>
        </x:is>
      </x:c>
    </x:row>
    <x:row r="2333" ht="15" customHeight="1">
      <x:c r="A2333" s="55" t="str">
        <x:v>魔滅輕冑</x:v>
      </x:c>
      <x:c r="B2333" s="55" t="str">
        <x:v>—</x:v>
      </x:c>
      <x:c r="C2333" s="55" t="str">
        <x:v>—</x:v>
      </x:c>
      <x:c r="D2333" s="55" t="str">
        <x:v>—</x:v>
      </x:c>
      <x:c r="E2333" s="55" t="inlineStr">
        <x:is>
          <x:t>歐帝術裝錦囊（網站未列地圖）</x:t>
        </x:is>
      </x:c>
    </x:row>
    <x:row r="2334" ht="15" customHeight="1">
      <x:c r="A2334" s="55" t="str">
        <x:v>聖庇法袍</x:v>
      </x:c>
      <x:c r="B2334" s="55" t="str">
        <x:v>—</x:v>
      </x:c>
      <x:c r="C2334" s="55" t="str">
        <x:v>—</x:v>
      </x:c>
      <x:c r="D2334" s="55" t="str">
        <x:v>—</x:v>
      </x:c>
      <x:c r="E2334" s="55" t="inlineStr">
        <x:is>
          <x:t>歐帝道裝錦囊（網站未列地圖）</x:t>
        </x:is>
      </x:c>
    </x:row>
    <x:row r="2335" ht="15" customHeight="1">
      <x:c r="A2335" s="55" t="str">
        <x:v>天導禪裟</x:v>
      </x:c>
      <x:c r="B2335" s="55" t="str">
        <x:v>—</x:v>
      </x:c>
      <x:c r="C2335" s="55" t="str">
        <x:v>—</x:v>
      </x:c>
      <x:c r="D2335" s="55" t="str">
        <x:v>—</x:v>
      </x:c>
      <x:c r="E2335" s="55" t="inlineStr">
        <x:is>
          <x:t>歐帝僧裝錦囊（網站未列地圖）；酒肉豬仙（仙庭玉階、闕真金閣）；天地散仙（網站未列地圖）</x:t>
        </x:is>
      </x:c>
    </x:row>
    <x:row r="2336" ht="15" customHeight="1">
      <x:c r="A2336" s="55" t="str">
        <x:v>極．智者聖甲</x:v>
      </x:c>
      <x:c r="B2336" s="55" t="str">
        <x:v>—</x:v>
      </x:c>
      <x:c r="C2336" s="55" t="str">
        <x:v>—</x:v>
      </x:c>
      <x:c r="D2336" s="55" t="str">
        <x:v>極智聖甲配方</x:v>
      </x:c>
      <x:c r="E2336" s="55" t="inlineStr">
        <x:is>
          <x:t>究極超凡入聖錦囊（網站未列地圖）；新‧玄冑之核（網站未列地圖）</x:t>
        </x:is>
      </x:c>
    </x:row>
    <x:row r="2337" ht="15" customHeight="1">
      <x:c r="A2337" s="55" t="str">
        <x:v>極．仁者聖甲</x:v>
      </x:c>
      <x:c r="B2337" s="55" t="str">
        <x:v>—</x:v>
      </x:c>
      <x:c r="C2337" s="55" t="str">
        <x:v>—</x:v>
      </x:c>
      <x:c r="D2337" s="55" t="str">
        <x:v>極仁聖甲配方</x:v>
      </x:c>
      <x:c r="E2337" s="55" t="inlineStr">
        <x:is>
          <x:t>究極超凡入聖錦囊（網站未列地圖）；新‧玄冑之核（網站未列地圖）</x:t>
        </x:is>
      </x:c>
    </x:row>
    <x:row r="2338" ht="15" customHeight="1">
      <x:c r="A2338" s="55" t="str">
        <x:v>極．勇者聖甲</x:v>
      </x:c>
      <x:c r="B2338" s="55" t="str">
        <x:v>—</x:v>
      </x:c>
      <x:c r="C2338" s="55" t="str">
        <x:v>—</x:v>
      </x:c>
      <x:c r="D2338" s="55" t="str">
        <x:v>極勇聖甲配方</x:v>
      </x:c>
      <x:c r="E2338" s="55" t="inlineStr">
        <x:is>
          <x:t>究極超凡入聖錦囊（網站未列地圖）；新‧玄冑之核（網站未列地圖）</x:t>
        </x:is>
      </x:c>
    </x:row>
    <x:row r="2339" ht="15" customHeight="1">
      <x:c r="A2339" s="55" t="str">
        <x:v>極．義者聖甲</x:v>
      </x:c>
      <x:c r="B2339" s="55" t="str">
        <x:v>—</x:v>
      </x:c>
      <x:c r="C2339" s="55" t="str">
        <x:v>—</x:v>
      </x:c>
      <x:c r="D2339" s="55" t="str">
        <x:v>—</x:v>
      </x:c>
      <x:c r="E2339" s="55" t="inlineStr">
        <x:is>
          <x:t>—</x:t>
        </x:is>
      </x:c>
    </x:row>
    <x:row r="2340" ht="15" customHeight="1">
      <x:c r="A2340" s="55" t="str">
        <x:v>廣宙真太儀甲</x:v>
      </x:c>
      <x:c r="B2340" s="55" t="str">
        <x:v>—</x:v>
      </x:c>
      <x:c r="C2340" s="55" t="str">
        <x:v>—</x:v>
      </x:c>
      <x:c r="D2340" s="55" t="str">
        <x:v>—</x:v>
      </x:c>
      <x:c r="E2340" s="55" t="inlineStr">
        <x:is>
          <x:t>真‧宇宙神裝錦囊（網站未列地圖）；新‧玄冑之核（網站未列地圖）；星墜重隕（終末之塔第97層）</x:t>
        </x:is>
      </x:c>
    </x:row>
    <x:row r="2341" ht="30" customHeight="1">
      <x:c r="A2341" s="55" t="str">
        <x:v>天狗法衣‧帝</x:v>
      </x:c>
      <x:c r="B2341" s="55" t="str">
        <x:v>—</x:v>
      </x:c>
      <x:c r="C2341" s="55" t="str">
        <x:v>—</x:v>
      </x:c>
      <x:c r="D2341" s="55" t="str">
        <x:v>東瀛帝衣配方</x:v>
      </x:c>
      <x:c r="E2341" s="55" t="inlineStr">
        <x:is>
          <x:t>東瀛帝甲錦囊（網站未列地圖）；新‧玄冑之核（網站未列地圖）；雀殿闇凰（朱雀南殿）；禍患造者（終末之塔第88層、終末之塔第89層）</x:t>
        </x:is>
      </x:c>
    </x:row>
    <x:row r="2342" ht="15" customHeight="1">
      <x:c r="A2342" s="55" t="str">
        <x:v>飛仙雲甲</x:v>
      </x:c>
      <x:c r="B2342" s="55" t="str">
        <x:v>—</x:v>
      </x:c>
      <x:c r="C2342" s="55" t="str">
        <x:v>—</x:v>
      </x:c>
      <x:c r="D2342" s="55" t="str">
        <x:v>—</x:v>
      </x:c>
      <x:c r="E2342" s="55" t="inlineStr">
        <x:is>
          <x:t>九天劍裝錦囊（網站未列地圖）</x:t>
        </x:is>
      </x:c>
    </x:row>
    <x:row r="2343" ht="15" customHeight="1">
      <x:c r="A2343" s="55" t="str">
        <x:v>泰山將鎧</x:v>
      </x:c>
      <x:c r="B2343" s="55" t="str">
        <x:v>—</x:v>
      </x:c>
      <x:c r="C2343" s="55" t="str">
        <x:v>—</x:v>
      </x:c>
      <x:c r="D2343" s="55" t="str">
        <x:v>—</x:v>
      </x:c>
      <x:c r="E2343" s="55" t="inlineStr">
        <x:is>
          <x:t>九天勇裝錦囊（網站未列地圖）</x:t>
        </x:is>
      </x:c>
    </x:row>
    <x:row r="2344" ht="15" customHeight="1">
      <x:c r="A2344" s="55" t="str">
        <x:v>天蝶羽霓</x:v>
      </x:c>
      <x:c r="B2344" s="55" t="str">
        <x:v>—</x:v>
      </x:c>
      <x:c r="C2344" s="55" t="str">
        <x:v>—</x:v>
      </x:c>
      <x:c r="D2344" s="55" t="str">
        <x:v>—</x:v>
      </x:c>
      <x:c r="E2344" s="55" t="inlineStr">
        <x:is>
          <x:t>九天術裝錦囊（網站未列地圖）</x:t>
        </x:is>
      </x:c>
    </x:row>
    <x:row r="2345" ht="15" customHeight="1">
      <x:c r="A2345" s="55" t="str">
        <x:v>重陽道袍</x:v>
      </x:c>
      <x:c r="B2345" s="55" t="str">
        <x:v>—</x:v>
      </x:c>
      <x:c r="C2345" s="55" t="str">
        <x:v>—</x:v>
      </x:c>
      <x:c r="D2345" s="55" t="str">
        <x:v>—</x:v>
      </x:c>
      <x:c r="E2345" s="55" t="inlineStr">
        <x:is>
          <x:t>九天道裝錦囊（網站未列地圖）</x:t>
        </x:is>
      </x:c>
    </x:row>
    <x:row r="2346" ht="15" customHeight="1">
      <x:c r="A2346" s="55" t="str">
        <x:v>樓至佛裟</x:v>
      </x:c>
      <x:c r="B2346" s="55" t="str">
        <x:v>—</x:v>
      </x:c>
      <x:c r="C2346" s="55" t="str">
        <x:v>—</x:v>
      </x:c>
      <x:c r="D2346" s="55" t="str">
        <x:v>—</x:v>
      </x:c>
      <x:c r="E2346" s="55" t="inlineStr">
        <x:is>
          <x:t>九天僧裝錦囊（網站未列地圖）；驚雷鴻蛟（天啟八關）</x:t>
        </x:is>
      </x:c>
    </x:row>
    <x:row r="2347" ht="15" customHeight="1">
      <x:c r="A2347" s="55" t="str">
        <x:v>剎霆之甲</x:v>
      </x:c>
      <x:c r="B2347" s="55" t="str">
        <x:v>—</x:v>
      </x:c>
      <x:c r="C2347" s="55" t="str">
        <x:v>—</x:v>
      </x:c>
      <x:c r="D2347" s="55" t="str">
        <x:v>—</x:v>
      </x:c>
      <x:c r="E2347" s="55" t="inlineStr">
        <x:is>
          <x:t>仙庭劍裝錦囊（網站未列地圖）；四聖劍仙（四聖祭台）</x:t>
        </x:is>
      </x:c>
    </x:row>
    <x:row r="2348" ht="15" customHeight="1">
      <x:c r="A2348" s="55" t="str">
        <x:v>英霸將鎧</x:v>
      </x:c>
      <x:c r="B2348" s="55" t="str">
        <x:v>—</x:v>
      </x:c>
      <x:c r="C2348" s="55" t="str">
        <x:v>—</x:v>
      </x:c>
      <x:c r="D2348" s="55" t="str">
        <x:v>—</x:v>
      </x:c>
      <x:c r="E2348" s="55" t="inlineStr">
        <x:is>
          <x:t>仙庭勇裝錦囊（網站未列地圖）</x:t>
        </x:is>
      </x:c>
    </x:row>
    <x:row r="2349" ht="15" customHeight="1">
      <x:c r="A2349" s="55" t="str">
        <x:v>燕霑輕冑</x:v>
      </x:c>
      <x:c r="B2349" s="55" t="str">
        <x:v>—</x:v>
      </x:c>
      <x:c r="C2349" s="55" t="str">
        <x:v>—</x:v>
      </x:c>
      <x:c r="D2349" s="55" t="str">
        <x:v>—</x:v>
      </x:c>
      <x:c r="E2349" s="55" t="inlineStr">
        <x:is>
          <x:t>仙庭術裝錦囊（網站未列地圖）；雀台朱鳳（四聖祭台）</x:t>
        </x:is>
      </x:c>
    </x:row>
    <x:row r="2350" ht="15" customHeight="1">
      <x:c r="A2350" s="55" t="str">
        <x:v>渺霧道袍</x:v>
      </x:c>
      <x:c r="B2350" s="55" t="str">
        <x:v>—</x:v>
      </x:c>
      <x:c r="C2350" s="55" t="str">
        <x:v>—</x:v>
      </x:c>
      <x:c r="D2350" s="55" t="str">
        <x:v>—</x:v>
      </x:c>
      <x:c r="E2350" s="55" t="inlineStr">
        <x:is>
          <x:t>仙庭道裝錦囊（網站未列地圖）；龍台飛影（四聖祭台）</x:t>
        </x:is>
      </x:c>
    </x:row>
    <x:row r="2351" ht="15" customHeight="1">
      <x:c r="A2351" s="55" t="str">
        <x:v>祈霖禪裟</x:v>
      </x:c>
      <x:c r="B2351" s="55" t="str">
        <x:v>—</x:v>
      </x:c>
      <x:c r="C2351" s="55" t="str">
        <x:v>—</x:v>
      </x:c>
      <x:c r="D2351" s="55" t="str">
        <x:v>—</x:v>
      </x:c>
      <x:c r="E2351" s="55" t="inlineStr">
        <x:is>
          <x:t>仙庭僧裝錦囊（網站未列地圖）</x:t>
        </x:is>
      </x:c>
    </x:row>
    <x:row r="2352" ht="15" customHeight="1">
      <x:c r="A2352" s="55" t="str">
        <x:v>饕餮禍吞鎧</x:v>
      </x:c>
      <x:c r="B2352" s="55" t="str">
        <x:v>—</x:v>
      </x:c>
      <x:c r="C2352" s="55" t="str">
        <x:v>—</x:v>
      </x:c>
      <x:c r="D2352" s="55" t="str">
        <x:v>四兇禍鎧配方</x:v>
      </x:c>
      <x:c r="E2352" s="55" t="inlineStr">
        <x:is>
          <x:t>四兇霸裝錦囊（網站未列地圖）</x:t>
        </x:is>
      </x:c>
    </x:row>
    <x:row r="2353" ht="15" customHeight="1">
      <x:c r="A2353" s="55" t="str">
        <x:v>隱遁太乙冑</x:v>
      </x:c>
      <x:c r="B2353" s="55" t="str">
        <x:v>—</x:v>
      </x:c>
      <x:c r="C2353" s="55" t="str">
        <x:v>—</x:v>
      </x:c>
      <x:c r="D2353" s="55" t="str">
        <x:v>隱遁仙造配方</x:v>
      </x:c>
      <x:c r="E2353" s="55" t="inlineStr">
        <x:is>
          <x:t>真三合奇裝寶箱（網站未列地圖）；稀奇裝備箱．丙式（網站未列地圖）；招靈巫祀（終末之塔第34層）</x:t>
        </x:is>
      </x:c>
    </x:row>
    <x:row r="2354" ht="30" customHeight="1">
      <x:c r="A2354" s="55" t="str">
        <x:v>無相司命袍</x:v>
      </x:c>
      <x:c r="B2354" s="55" t="str">
        <x:v>—</x:v>
      </x:c>
      <x:c r="C2354" s="55" t="str">
        <x:v>—</x:v>
      </x:c>
      <x:c r="D2354" s="55" t="str">
        <x:v>無相仙造配方</x:v>
      </x:c>
      <x:c r="E2354" s="55" t="inlineStr">
        <x:is>
          <x:t>真三合奇裝寶箱（網站未列地圖）；稀奇裝備箱．乙式（網站未列地圖）；艾濟矮靈（吉薩走廊）；萬金錘蜴（終末之塔第32層、終末之塔第33層）</x:t>
        </x:is>
      </x:c>
    </x:row>
    <x:row r="2355" ht="30" customHeight="1">
      <x:c r="A2355" s="55" t="str">
        <x:v>天狗法衣‧終</x:v>
      </x:c>
      <x:c r="B2355" s="55" t="str">
        <x:v>—</x:v>
      </x:c>
      <x:c r="C2355" s="55" t="str">
        <x:v>—</x:v>
      </x:c>
      <x:c r="D2355" s="55" t="str">
        <x:v>東瀛終衣配方</x:v>
      </x:c>
      <x:c r="E2355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2356" ht="15" customHeight="1">
      <x:c r="A2356" s="55" t="str">
        <x:v>天鍛‧劍聖冑</x:v>
      </x:c>
      <x:c r="B2356" s="55" t="str">
        <x:v>—</x:v>
      </x:c>
      <x:c r="C2356" s="55" t="str">
        <x:v>—</x:v>
      </x:c>
      <x:c r="D2356" s="55" t="str">
        <x:v>—</x:v>
      </x:c>
      <x:c r="E2356" s="55" t="inlineStr">
        <x:is>
          <x:t>無限劍裝錦囊（網站未列地圖）；八熾燹鳳麟（朱雀南殿）；銳牙大鱷（異時界‧亂藤林南）</x:t>
        </x:is>
      </x:c>
    </x:row>
    <x:row r="2357" ht="15" customHeight="1">
      <x:c r="A2357" s="55" t="str">
        <x:v>天鍛‧武尊鎧</x:v>
      </x:c>
      <x:c r="B2357" s="55" t="str">
        <x:v>—</x:v>
      </x:c>
      <x:c r="C2357" s="55" t="str">
        <x:v>—</x:v>
      </x:c>
      <x:c r="D2357" s="55" t="str">
        <x:v>—</x:v>
      </x:c>
      <x:c r="E2357" s="55" t="inlineStr">
        <x:is>
          <x:t>無限勇裝錦囊（網站未列地圖）；光耀神凰（朱雀南殿）；突疣膿眼（異時界‧亂藤林西）</x:t>
        </x:is>
      </x:c>
    </x:row>
    <x:row r="2358" ht="15" customHeight="1">
      <x:c r="A2358" s="55" t="str">
        <x:v>天鍛‧術幻裳</x:v>
      </x:c>
      <x:c r="B2358" s="55" t="str">
        <x:v>—</x:v>
      </x:c>
      <x:c r="C2358" s="55" t="str">
        <x:v>—</x:v>
      </x:c>
      <x:c r="D2358" s="55" t="str">
        <x:v>—</x:v>
      </x:c>
      <x:c r="E2358" s="55" t="inlineStr">
        <x:is>
          <x:t>無限術裝錦囊（網站未列地圖）；焚劫厲將（朱雀南殿）；至毒蜈蚣（異時界‧亂藤林南）</x:t>
        </x:is>
      </x:c>
    </x:row>
    <x:row r="2359" ht="15" customHeight="1">
      <x:c r="A2359" s="55" t="str">
        <x:v>天鍛‧道輝服</x:v>
      </x:c>
      <x:c r="B2359" s="55" t="str">
        <x:v>—</x:v>
      </x:c>
      <x:c r="C2359" s="55" t="str">
        <x:v>—</x:v>
      </x:c>
      <x:c r="D2359" s="55" t="str">
        <x:v>—</x:v>
      </x:c>
      <x:c r="E2359" s="55" t="inlineStr">
        <x:is>
          <x:t>無限道裝錦囊（網站未列地圖）；戰火刀魔（朱雀南殿）</x:t>
        </x:is>
      </x:c>
    </x:row>
    <x:row r="2360" ht="15" customHeight="1">
      <x:c r="A2360" s="55" t="str">
        <x:v>天鍛‧禪光衣</x:v>
      </x:c>
      <x:c r="B2360" s="55" t="str">
        <x:v>—</x:v>
      </x:c>
      <x:c r="C2360" s="55" t="str">
        <x:v>—</x:v>
      </x:c>
      <x:c r="D2360" s="55" t="str">
        <x:v>—</x:v>
      </x:c>
      <x:c r="E2360" s="55" t="inlineStr">
        <x:is>
          <x:t>無限僧裝錦囊（網站未列地圖）；雀殿闇凰（朱雀南殿）；蔭爪魔棺（異時界‧亂藤林西）</x:t>
        </x:is>
      </x:c>
    </x:row>
    <x:row r="2361" ht="15" customHeight="1">
      <x:c r="A2361" s="55" t="str">
        <x:v>天鍛‧饕餮鎧</x:v>
      </x:c>
      <x:c r="B2361" s="55" t="str">
        <x:v>—</x:v>
      </x:c>
      <x:c r="C2361" s="55" t="str">
        <x:v>—</x:v>
      </x:c>
      <x:c r="D2361" s="55" t="str">
        <x:v>四兇無限鎧配方</x:v>
      </x:c>
      <x:c r="E2361" s="55" t="inlineStr">
        <x:is>
          <x:t>無限四兇霸裝錦囊（網站未列地圖）；天俠特仕裝箱（網站未列地圖）</x:t>
        </x:is>
      </x:c>
    </x:row>
    <x:row r="2362" ht="15" customHeight="1">
      <x:c r="A2362" s="55" t="str">
        <x:v>天鍛‧天狗衣</x:v>
      </x:c>
      <x:c r="B2362" s="55" t="str">
        <x:v>—</x:v>
      </x:c>
      <x:c r="C2362" s="55" t="str">
        <x:v>—</x:v>
      </x:c>
      <x:c r="D2362" s="55" t="str">
        <x:v>東瀛無限衣配方</x:v>
      </x:c>
      <x:c r="E2362" s="55" t="inlineStr">
        <x:is>
          <x:t>無限東瀛神裝錦囊（網站未列地圖）；天俠特仕裝箱（網站未列地圖）</x:t>
        </x:is>
      </x:c>
    </x:row>
    <x:row r="2363" ht="15" customHeight="1">
      <x:c r="A2363" s="55" t="str">
        <x:v>天鍛‧隱遁甲</x:v>
      </x:c>
      <x:c r="B2363" s="55" t="str">
        <x:v>—</x:v>
      </x:c>
      <x:c r="C2363" s="55" t="str">
        <x:v>—</x:v>
      </x:c>
      <x:c r="D2363" s="55" t="str">
        <x:v>隱遁無限配方</x:v>
      </x:c>
      <x:c r="E2363" s="55" t="inlineStr">
        <x:is>
          <x:t>無限中原奇裝錦囊（網站未列地圖）；天俠特仕裝箱（網站未列地圖）</x:t>
        </x:is>
      </x:c>
    </x:row>
    <x:row r="2364" ht="15" customHeight="1">
      <x:c r="A2364" s="55" t="str">
        <x:v>天鍛‧無相裟</x:v>
      </x:c>
      <x:c r="B2364" s="55" t="str">
        <x:v>—</x:v>
      </x:c>
      <x:c r="C2364" s="55" t="str">
        <x:v>—</x:v>
      </x:c>
      <x:c r="D2364" s="55" t="str">
        <x:v>無相無限配方</x:v>
      </x:c>
      <x:c r="E2364" s="55" t="inlineStr">
        <x:is>
          <x:t>無限中原奇裝錦囊（網站未列地圖）；天俠特仕裝箱（網站未列地圖）</x:t>
        </x:is>
      </x:c>
    </x:row>
    <x:row r="2365" ht="15" customHeight="1">
      <x:c r="A2365" s="55" t="str">
        <x:v>仙鑄‧劍聖冑</x:v>
      </x:c>
      <x:c r="B2365" s="55" t="str">
        <x:v>—</x:v>
      </x:c>
      <x:c r="C2365" s="55" t="str">
        <x:v>—</x:v>
      </x:c>
      <x:c r="D2365" s="55" t="str">
        <x:v>—</x:v>
      </x:c>
      <x:c r="E2365" s="55" t="inlineStr">
        <x:is>
          <x:t>大無限劍裝錦囊（網站未列地圖）；鬼界獅鬥將（異時界‧修羅窟）；阿修羅戰士（異時界‧修羅窟）</x:t>
        </x:is>
      </x:c>
    </x:row>
    <x:row r="2366" ht="15" customHeight="1">
      <x:c r="A2366" s="55" t="str">
        <x:v>仙鑄‧武尊鎧</x:v>
      </x:c>
      <x:c r="B2366" s="55" t="str">
        <x:v>—</x:v>
      </x:c>
      <x:c r="C2366" s="55" t="str">
        <x:v>—</x:v>
      </x:c>
      <x:c r="D2366" s="55" t="str">
        <x:v>—</x:v>
      </x:c>
      <x:c r="E2366" s="55" t="inlineStr">
        <x:is>
          <x:t>大無限勇裝錦囊（網站未列地圖）；刑天殺者（異時界‧葬日沼南）</x:t>
        </x:is>
      </x:c>
    </x:row>
    <x:row r="2367" ht="15" customHeight="1">
      <x:c r="A2367" s="55" t="str">
        <x:v>仙鑄‧術幻裳</x:v>
      </x:c>
      <x:c r="B2367" s="55" t="str">
        <x:v>—</x:v>
      </x:c>
      <x:c r="C2367" s="55" t="str">
        <x:v>—</x:v>
      </x:c>
      <x:c r="D2367" s="55" t="str">
        <x:v>—</x:v>
      </x:c>
      <x:c r="E2367" s="55" t="inlineStr">
        <x:is>
          <x:t>大無限術裝錦囊（網站未列地圖）；莽毒狂龍（異時界‧毒龍潭）</x:t>
        </x:is>
      </x:c>
    </x:row>
    <x:row r="2368" ht="30" customHeight="1">
      <x:c r="A2368" s="55" t="str">
        <x:v>仙鑄‧道輝服</x:v>
      </x:c>
      <x:c r="B2368" s="55" t="str">
        <x:v>—</x:v>
      </x:c>
      <x:c r="C2368" s="55" t="str">
        <x:v>—</x:v>
      </x:c>
      <x:c r="D2368" s="55" t="str">
        <x:v>—</x:v>
      </x:c>
      <x:c r="E2368" s="55" t="inlineStr">
        <x:is>
          <x:t>大無限道裝錦囊（網站未列地圖）；夷林巨象（異時界‧葬日沼澤）；諸首大蛇（異時界‧葬日沼澤）；喚魂蛇魔（網站未列地圖）</x:t>
        </x:is>
      </x:c>
    </x:row>
    <x:row r="2369" ht="15" customHeight="1">
      <x:c r="A2369" s="55" t="str">
        <x:v>仙鑄‧禪光衣</x:v>
      </x:c>
      <x:c r="B2369" s="55" t="str">
        <x:v>—</x:v>
      </x:c>
      <x:c r="C2369" s="55" t="str">
        <x:v>—</x:v>
      </x:c>
      <x:c r="D2369" s="55" t="str">
        <x:v>—</x:v>
      </x:c>
      <x:c r="E2369" s="55" t="inlineStr">
        <x:is>
          <x:t>大無限僧裝錦囊（網站未列地圖）；亡邪獵矛夜叉（異時界‧葬日沼北）</x:t>
        </x:is>
      </x:c>
    </x:row>
    <x:row r="2370" ht="30" customHeight="1">
      <x:c r="A2370" s="55" t="str">
        <x:v>仙鑄‧饕餮鎧</x:v>
      </x:c>
      <x:c r="B2370" s="55" t="str">
        <x:v>—</x:v>
      </x:c>
      <x:c r="C2370" s="55" t="str">
        <x:v>—</x:v>
      </x:c>
      <x:c r="D2370" s="55" t="str">
        <x:v>—</x:v>
      </x:c>
      <x:c r="E2370" s="55" t="inlineStr">
        <x:is>
          <x:t>真無限四兇霸裝箱（網站未列地圖）；真．天俠特仕裝箱（網站未列地圖）；綠后頂裝寶箱（網站未列地圖）；搖風飛蠻（時沒邊界）</x:t>
        </x:is>
      </x:c>
    </x:row>
    <x:row r="2371" ht="30" customHeight="1">
      <x:c r="A2371" s="55" t="str">
        <x:v>仙鑄‧天狗衣</x:v>
      </x:c>
      <x:c r="B2371" s="55" t="str">
        <x:v>—</x:v>
      </x:c>
      <x:c r="C2371" s="55" t="str">
        <x:v>—</x:v>
      </x:c>
      <x:c r="D2371" s="55" t="str">
        <x:v>—</x:v>
      </x:c>
      <x:c r="E2371" s="55" t="inlineStr">
        <x:is>
          <x:t>真無限東瀛神裝箱（網站未列地圖）；真．天俠特仕裝箱（網站未列地圖）；綠后頂裝寶箱（網站未列地圖）；天命寶箱（網站未列地圖）；夸父戰神王（異時界‧修羅窟）；噬地梵鬼‧強（殘雲天境）</x:t>
        </x:is>
      </x:c>
    </x:row>
    <x:row r="2372" ht="30" customHeight="1">
      <x:c r="A2372" s="55" t="str">
        <x:v>仙鑄‧隱遁甲</x:v>
      </x:c>
      <x:c r="B2372" s="55" t="str">
        <x:v>—</x:v>
      </x:c>
      <x:c r="C2372" s="55" t="str">
        <x:v>—</x:v>
      </x:c>
      <x:c r="D2372" s="55" t="str">
        <x:v>—</x:v>
      </x:c>
      <x:c r="E2372" s="55" t="inlineStr">
        <x:is>
          <x:t>真無限中原奇裝箱（網站未列地圖）；真．天俠特仕裝箱（網站未列地圖）；綠后頂裝寶箱（網站未列地圖）；天命寶箱（網站未列地圖）；土行魔王（異時界‧葬日沼南）；太古天風‧強（殘雲天境）</x:t>
        </x:is>
      </x:c>
    </x:row>
    <x:row r="2373" ht="30" customHeight="1">
      <x:c r="A2373" s="55" t="str">
        <x:v>仙鑄‧無相裟</x:v>
      </x:c>
      <x:c r="B2373" s="55" t="str">
        <x:v>—</x:v>
      </x:c>
      <x:c r="C2373" s="55" t="str">
        <x:v>—</x:v>
      </x:c>
      <x:c r="D2373" s="55" t="str">
        <x:v>—</x:v>
      </x:c>
      <x:c r="E2373" s="55" t="inlineStr">
        <x:is>
          <x:t>真無限中原奇裝箱（網站未列地圖）；真．天俠特仕裝箱（網站未列地圖）；綠后頂裝寶箱（網站未列地圖）；天命寶箱（網站未列地圖）；巨靈魔山王（異時界‧摘星嶺）；弒空之螯（覺無洋宇）；太古水靈‧強（殘雲天境）</x:t>
        </x:is>
      </x:c>
    </x:row>
    <x:row r="2374" ht="15" customHeight="1">
      <x:c r="A2374" s="55" t="str">
        <x:v>神煉‧劍聖冑</x:v>
      </x:c>
      <x:c r="B2374" s="55" t="str">
        <x:v>—</x:v>
      </x:c>
      <x:c r="C2374" s="55" t="str">
        <x:v>—</x:v>
      </x:c>
      <x:c r="D2374" s="55" t="str">
        <x:v>—</x:v>
      </x:c>
      <x:c r="E2374" s="55" t="inlineStr">
        <x:is>
          <x:t>超無限劍裝錦囊（網站未列地圖）；太古火尊‧強（殘雲天境）</x:t>
        </x:is>
      </x:c>
    </x:row>
    <x:row r="2375" ht="15" customHeight="1">
      <x:c r="A2375" s="55" t="str">
        <x:v>神煉‧武尊鎧</x:v>
      </x:c>
      <x:c r="B2375" s="55" t="str">
        <x:v>—</x:v>
      </x:c>
      <x:c r="C2375" s="55" t="str">
        <x:v>—</x:v>
      </x:c>
      <x:c r="D2375" s="55" t="str">
        <x:v>—</x:v>
      </x:c>
      <x:c r="E2375" s="55" t="inlineStr">
        <x:is>
          <x:t>超無限勇裝錦囊（網站未列地圖）；鋼冑聖騎‧強（殘雲天境）</x:t>
        </x:is>
      </x:c>
    </x:row>
    <x:row r="2376" ht="15" customHeight="1">
      <x:c r="A2376" s="55" t="str">
        <x:v>神煉‧術幻裳</x:v>
      </x:c>
      <x:c r="B2376" s="55" t="str">
        <x:v>—</x:v>
      </x:c>
      <x:c r="C2376" s="55" t="str">
        <x:v>—</x:v>
      </x:c>
      <x:c r="D2376" s="55" t="str">
        <x:v>—</x:v>
      </x:c>
      <x:c r="E2376" s="55" t="inlineStr">
        <x:is>
          <x:t>超無限術裝錦囊（網站未列地圖）；虛影刺客（時沒邊界）</x:t>
        </x:is>
      </x:c>
    </x:row>
    <x:row r="2377" ht="15" customHeight="1">
      <x:c r="A2377" s="55" t="str">
        <x:v>神煉‧道輝服</x:v>
      </x:c>
      <x:c r="B2377" s="55" t="str">
        <x:v>—</x:v>
      </x:c>
      <x:c r="C2377" s="55" t="str">
        <x:v>—</x:v>
      </x:c>
      <x:c r="D2377" s="55" t="str">
        <x:v>—</x:v>
      </x:c>
      <x:c r="E2377" s="55" t="inlineStr">
        <x:is>
          <x:t>超無限道裝錦囊（網站未列地圖）；太古水靈‧強（殘雲天境）</x:t>
        </x:is>
      </x:c>
    </x:row>
    <x:row r="2378" ht="15" customHeight="1">
      <x:c r="A2378" s="55" t="str">
        <x:v>神煉‧禪光衣</x:v>
      </x:c>
      <x:c r="B2378" s="55" t="str">
        <x:v>—</x:v>
      </x:c>
      <x:c r="C2378" s="55" t="str">
        <x:v>—</x:v>
      </x:c>
      <x:c r="D2378" s="55" t="str">
        <x:v>—</x:v>
      </x:c>
      <x:c r="E2378" s="55" t="inlineStr">
        <x:is>
          <x:t>超無限僧裝錦囊（網站未列地圖）；無影蜘蛛（時沒邊界）</x:t>
        </x:is>
      </x:c>
    </x:row>
    <x:row r="2379" ht="30" customHeight="1">
      <x:c r="A2379" s="55" t="str">
        <x:v>神煉‧饕餮鎧</x:v>
      </x:c>
      <x:c r="B2379" s="55" t="str">
        <x:v>—</x:v>
      </x:c>
      <x:c r="C2379" s="55" t="str">
        <x:v>—</x:v>
      </x:c>
      <x:c r="D2379" s="55" t="str">
        <x:v>—</x:v>
      </x:c>
      <x:c r="E2379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</x:t>
        </x:is>
      </x:c>
    </x:row>
    <x:row r="2380" ht="30" customHeight="1">
      <x:c r="A2380" s="55" t="str">
        <x:v>神煉‧天狗衣</x:v>
      </x:c>
      <x:c r="B2380" s="55" t="str">
        <x:v>—</x:v>
      </x:c>
      <x:c r="C2380" s="55" t="str">
        <x:v>—</x:v>
      </x:c>
      <x:c r="D2380" s="55" t="str">
        <x:v>—</x:v>
      </x:c>
      <x:c r="E2380" s="55" t="inlineStr">
        <x:is>
          <x:t>超無限東瀛神裝箱（網站未列地圖）；超．天俠特仕裝箱（網站未列地圖）；三之極限福袋（網站未列地圖）；天意寶箱（網站未列地圖）；覷影幻蛟（音無晶宇）</x:t>
        </x:is>
      </x:c>
    </x:row>
    <x:row r="2381" ht="30" customHeight="1">
      <x:c r="A2381" s="55" t="str">
        <x:v>神煉‧隱遁甲</x:v>
      </x:c>
      <x:c r="B2381" s="55" t="str">
        <x:v>—</x:v>
      </x:c>
      <x:c r="C2381" s="55" t="str">
        <x:v>—</x:v>
      </x:c>
      <x:c r="D2381" s="55" t="str">
        <x:v>—</x:v>
      </x:c>
      <x:c r="E2381" s="55" t="inlineStr">
        <x:is>
          <x:t>超無限中原奇裝箱（網站未列地圖）；超．天俠特仕裝箱（網站未列地圖）；三之極限福袋（網站未列地圖）；天意寶箱（網站未列地圖）；天命逆轉寶箱（網站未列地圖）；真天命逆轉寶箱（網站未列地圖）；影妖狐（覺無洋宇）</x:t>
        </x:is>
      </x:c>
    </x:row>
    <x:row r="2382" ht="45" customHeight="1">
      <x:c r="A2382" s="55" t="str">
        <x:v>神煉‧無相裟</x:v>
      </x:c>
      <x:c r="B2382" s="55" t="str">
        <x:v>—</x:v>
      </x:c>
      <x:c r="C2382" s="55" t="str">
        <x:v>—</x:v>
      </x:c>
      <x:c r="D2382" s="55" t="str">
        <x:v>—</x:v>
      </x:c>
      <x:c r="E2382" s="55" t="inlineStr">
        <x:is>
          <x:t>超無限中原奇裝箱（網站未列地圖）；超．天俠特仕裝箱（網站未列地圖）；三之極限福袋（網站未列地圖）；天意寶箱（網站未列地圖）；天命逆轉寶箱（網站未列地圖）；真天命逆轉寶箱（網站未列地圖）；殘影龍形（音無晶宇）</x:t>
        </x:is>
      </x:c>
    </x:row>
    <x:row r="2383" ht="15" customHeight="1">
      <x:c r="A2383" s="55" t="str">
        <x:v>宇傲‧劍聖冑</x:v>
      </x:c>
      <x:c r="B2383" s="55" t="str">
        <x:v>—</x:v>
      </x:c>
      <x:c r="C2383" s="55" t="str">
        <x:v>—</x:v>
      </x:c>
      <x:c r="D2383" s="55" t="str">
        <x:v>—</x:v>
      </x:c>
      <x:c r="E2383" s="55" t="inlineStr">
        <x:is>
          <x:t>極無限劍裝錦囊（網站未列地圖）；魔劍鐵傀（音無晶宇）</x:t>
        </x:is>
      </x:c>
    </x:row>
    <x:row r="2384" ht="15" customHeight="1">
      <x:c r="A2384" s="55" t="str">
        <x:v>宇傲‧武尊鎧</x:v>
      </x:c>
      <x:c r="B2384" s="55" t="str">
        <x:v>—</x:v>
      </x:c>
      <x:c r="C2384" s="55" t="str">
        <x:v>—</x:v>
      </x:c>
      <x:c r="D2384" s="55" t="str">
        <x:v>—</x:v>
      </x:c>
      <x:c r="E2384" s="55" t="inlineStr">
        <x:is>
          <x:t>極無限勇裝錦囊（網站未列地圖）；血戈鐵傀（音無晶宇）</x:t>
        </x:is>
      </x:c>
    </x:row>
    <x:row r="2385" ht="15" customHeight="1">
      <x:c r="A2385" s="55" t="str">
        <x:v>宇傲‧術幻裳</x:v>
      </x:c>
      <x:c r="B2385" s="55" t="str">
        <x:v>—</x:v>
      </x:c>
      <x:c r="C2385" s="55" t="str">
        <x:v>—</x:v>
      </x:c>
      <x:c r="D2385" s="55" t="str">
        <x:v>—</x:v>
      </x:c>
      <x:c r="E2385" s="55" t="inlineStr">
        <x:is>
          <x:t>極無限術裝錦囊（網站未列地圖）；玄虛射手（觀無巽宇）</x:t>
        </x:is>
      </x:c>
    </x:row>
    <x:row r="2386" ht="15" customHeight="1">
      <x:c r="A2386" s="55" t="str">
        <x:v>宇傲‧道輝服</x:v>
      </x:c>
      <x:c r="B2386" s="55" t="str">
        <x:v>—</x:v>
      </x:c>
      <x:c r="C2386" s="55" t="str">
        <x:v>—</x:v>
      </x:c>
      <x:c r="D2386" s="55" t="str">
        <x:v>—</x:v>
      </x:c>
      <x:c r="E2386" s="55" t="inlineStr">
        <x:is>
          <x:t>極無限道裝錦囊（網站未列地圖）；蕩水虛魂（音無晶宇）</x:t>
        </x:is>
      </x:c>
    </x:row>
    <x:row r="2387" ht="15" customHeight="1">
      <x:c r="A2387" s="55" t="str">
        <x:v>宇傲‧禪光衣</x:v>
      </x:c>
      <x:c r="B2387" s="55" t="str">
        <x:v>—</x:v>
      </x:c>
      <x:c r="C2387" s="55" t="str">
        <x:v>—</x:v>
      </x:c>
      <x:c r="D2387" s="55" t="str">
        <x:v>—</x:v>
      </x:c>
      <x:c r="E2387" s="55" t="inlineStr">
        <x:is>
          <x:t>極無限僧裝錦囊（網站未列地圖）；荒火虛魂（音無晶宇）</x:t>
        </x:is>
      </x:c>
    </x:row>
    <x:row r="2388" ht="30" customHeight="1">
      <x:c r="A2388" s="55" t="str">
        <x:v>宇傲‧饕餮鎧</x:v>
      </x:c>
      <x:c r="B2388" s="55" t="str">
        <x:v>—</x:v>
      </x:c>
      <x:c r="C2388" s="55" t="str">
        <x:v>—</x:v>
      </x:c>
      <x:c r="D2388" s="55" t="str">
        <x:v>—</x:v>
      </x:c>
      <x:c r="E2388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</x:t>
        </x:is>
      </x:c>
    </x:row>
    <x:row r="2389" ht="30" customHeight="1">
      <x:c r="A2389" s="55" t="str">
        <x:v>宇傲‧天狗衣</x:v>
      </x:c>
      <x:c r="B2389" s="55" t="str">
        <x:v>—</x:v>
      </x:c>
      <x:c r="C2389" s="55" t="str">
        <x:v>—</x:v>
      </x:c>
      <x:c r="D2389" s="55" t="str">
        <x:v>—</x:v>
      </x:c>
      <x:c r="E2389" s="55" t="inlineStr">
        <x:is>
          <x:t>極無限東瀛神裝箱（網站未列地圖）；極．天俠特仕裝箱（網站未列地圖）；超級旗開得勝錦囊（網站未列地圖）；王者天下錦囊（網站未列地圖）；邪角贔屭（不解迴路）</x:t>
        </x:is>
      </x:c>
    </x:row>
    <x:row r="2390" ht="45" customHeight="1">
      <x:c r="A2390" s="55" t="str">
        <x:v>宇傲‧隱遁甲</x:v>
      </x:c>
      <x:c r="B2390" s="55" t="str">
        <x:v>—</x:v>
      </x:c>
      <x:c r="C2390" s="55" t="str">
        <x:v>—</x:v>
      </x:c>
      <x:c r="D2390" s="55" t="str">
        <x:v>—</x:v>
      </x:c>
      <x:c r="E2390" s="55" t="inlineStr">
        <x:is>
          <x: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空宙兇風（不解迴路）</x:t>
        </x:is>
      </x:c>
    </x:row>
    <x:row r="2391" ht="45" customHeight="1">
      <x:c r="A2391" s="55" t="str">
        <x:v>宇傲‧無相裟</x:v>
      </x:c>
      <x:c r="B2391" s="55" t="str">
        <x:v>—</x:v>
      </x:c>
      <x:c r="C2391" s="55" t="str">
        <x:v>—</x:v>
      </x:c>
      <x:c r="D2391" s="55" t="str">
        <x:v>—</x:v>
      </x:c>
      <x:c r="E2391" s="55" t="inlineStr">
        <x:is>
          <x: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重嵐勁蛟（星群碎道）</x:t>
        </x:is>
      </x:c>
    </x:row>
    <x:row r="2392" ht="15" customHeight="1">
      <x:c r="A2392" s="55" t="str">
        <x:v>峻霆‧劍聖冑</x:v>
      </x:c>
      <x:c r="B2392" s="55" t="str">
        <x:v>—</x:v>
      </x:c>
      <x:c r="C2392" s="55" t="str">
        <x:v>—</x:v>
      </x:c>
      <x:c r="D2392" s="55" t="str">
        <x:v>—</x:v>
      </x:c>
      <x:c r="E2392" s="55" t="inlineStr">
        <x:is>
          <x:t>絕無限劍裝錦囊（網站未列地圖）；嗅血劍鯊（不解迴路）</x:t>
        </x:is>
      </x:c>
    </x:row>
    <x:row r="2393" ht="15" customHeight="1">
      <x:c r="A2393" s="55" t="str">
        <x:v>峻霆‧武尊鎧</x:v>
      </x:c>
      <x:c r="B2393" s="55" t="str">
        <x:v>—</x:v>
      </x:c>
      <x:c r="C2393" s="55" t="str">
        <x:v>—</x:v>
      </x:c>
      <x:c r="D2393" s="55" t="str">
        <x:v>—</x:v>
      </x:c>
      <x:c r="E2393" s="55" t="inlineStr">
        <x:is>
          <x:t>絕無限勇裝錦囊（網站未列地圖）；永戰幽將（不解迴路）</x:t>
        </x:is>
      </x:c>
    </x:row>
    <x:row r="2394" ht="15" customHeight="1">
      <x:c r="A2394" s="55" t="str">
        <x:v>峻霆‧術幻裳</x:v>
      </x:c>
      <x:c r="B2394" s="55" t="str">
        <x:v>—</x:v>
      </x:c>
      <x:c r="C2394" s="55" t="str">
        <x:v>—</x:v>
      </x:c>
      <x:c r="D2394" s="55" t="str">
        <x:v>—</x:v>
      </x:c>
      <x:c r="E2394" s="55" t="inlineStr">
        <x:is>
          <x:t>絕無限術裝錦囊（網站未列地圖）；亂刀八虛（不解迴路）</x:t>
        </x:is>
      </x:c>
    </x:row>
    <x:row r="2395" ht="15" customHeight="1">
      <x:c r="A2395" s="55" t="str">
        <x:v>峻霆‧道輝服</x:v>
      </x:c>
      <x:c r="B2395" s="55" t="str">
        <x:v>—</x:v>
      </x:c>
      <x:c r="C2395" s="55" t="str">
        <x:v>—</x:v>
      </x:c>
      <x:c r="D2395" s="55" t="str">
        <x:v>—</x:v>
      </x:c>
      <x:c r="E2395" s="55" t="inlineStr">
        <x:is>
          <x:t>絕無限道裝錦囊（網站未列地圖）；冥海力牛（不解迴路）</x:t>
        </x:is>
      </x:c>
    </x:row>
    <x:row r="2396" ht="15" customHeight="1">
      <x:c r="A2396" s="55" t="str">
        <x:v>峻霆‧禪光衣</x:v>
      </x:c>
      <x:c r="B2396" s="55" t="str">
        <x:v>—</x:v>
      </x:c>
      <x:c r="C2396" s="55" t="str">
        <x:v>—</x:v>
      </x:c>
      <x:c r="D2396" s="55" t="str">
        <x:v>—</x:v>
      </x:c>
      <x:c r="E2396" s="55" t="inlineStr">
        <x:is>
          <x:t>絕無限僧裝錦囊（網站未列地圖）；次元戰虎（不解迴路）</x:t>
        </x:is>
      </x:c>
    </x:row>
    <x:row r="2397" ht="15" customHeight="1">
      <x:c r="A2397" s="55" t="str">
        <x:v>峻霆‧饕餮鎧</x:v>
      </x:c>
      <x:c r="B2397" s="55" t="str">
        <x:v>—</x:v>
      </x:c>
      <x:c r="C2397" s="55" t="str">
        <x:v>—</x:v>
      </x:c>
      <x:c r="D2397" s="55" t="str">
        <x:v>—</x:v>
      </x:c>
      <x:c r="E2397" s="55" t="inlineStr">
        <x:is>
          <x:t>絕無限四兇霸裝箱（網站未列地圖）；絕．天俠特仕裝箱（網站未列地圖）；沒世天可汗（虛空渦心）</x:t>
        </x:is>
      </x:c>
    </x:row>
    <x:row r="2398" ht="15" customHeight="1">
      <x:c r="A2398" s="55" t="str">
        <x:v>峻霆‧天狗衣</x:v>
      </x:c>
      <x:c r="B2398" s="55" t="str">
        <x:v>—</x:v>
      </x:c>
      <x:c r="C2398" s="55" t="str">
        <x:v>—</x:v>
      </x:c>
      <x:c r="D2398" s="55" t="str">
        <x:v>—</x:v>
      </x:c>
      <x:c r="E2398" s="55" t="inlineStr">
        <x:is>
          <x:t>絕無限東瀛神裝箱（網站未列地圖）；絕．天俠特仕裝箱（網站未列地圖）</x:t>
        </x:is>
      </x:c>
    </x:row>
    <x:row r="2399" ht="15" customHeight="1">
      <x:c r="A2399" s="55" t="str">
        <x:v>峻霆‧隱遁甲</x:v>
      </x:c>
      <x:c r="B2399" s="55" t="str">
        <x:v>—</x:v>
      </x:c>
      <x:c r="C2399" s="55" t="str">
        <x:v>—</x:v>
      </x:c>
      <x:c r="D2399" s="55" t="str">
        <x:v>—</x:v>
      </x:c>
      <x:c r="E2399" s="55" t="inlineStr">
        <x:is>
          <x:t>絕無限中原奇裝箱（網站未列地圖）；絕．天俠特仕裝箱（網站未列地圖）；真‧虛空寶箱（網站未列地圖）</x:t>
        </x:is>
      </x:c>
    </x:row>
    <x:row r="2400" ht="15" customHeight="1">
      <x:c r="A2400" s="55" t="str">
        <x:v>峻霆‧無相裟</x:v>
      </x:c>
      <x:c r="B2400" s="55" t="str">
        <x:v>—</x:v>
      </x:c>
      <x:c r="C2400" s="55" t="str">
        <x:v>—</x:v>
      </x:c>
      <x:c r="D2400" s="55" t="str">
        <x:v>—</x:v>
      </x:c>
      <x:c r="E2400" s="55" t="inlineStr">
        <x:is>
          <x:t>絕無限中原奇裝箱（網站未列地圖）；絕．天俠特仕裝箱（網站未列地圖）；沒世蒼神射（虛空渦心）</x:t>
        </x:is>
      </x:c>
    </x:row>
    <x:row r="2401" ht="15" customHeight="1">
      <x:c r="A2401" s="55" t="str">
        <x:v>窮極‧劍聖冑</x:v>
      </x:c>
      <x:c r="B2401" s="55" t="str">
        <x:v>—</x:v>
      </x:c>
      <x:c r="C2401" s="55" t="str">
        <x:v>—</x:v>
      </x:c>
      <x:c r="D2401" s="55" t="str">
        <x:v>—</x:v>
      </x:c>
      <x:c r="E2401" s="55" t="inlineStr">
        <x:is>
          <x:t>無無限劍裝錦囊（網站未列地圖）；雙雷轟手（終末之塔第3層、終末之塔第4層）</x:t>
        </x:is>
      </x:c>
    </x:row>
    <x:row r="2402" ht="15" customHeight="1">
      <x:c r="A2402" s="55" t="str">
        <x:v>窮極‧武尊鎧</x:v>
      </x:c>
      <x:c r="B2402" s="55" t="str">
        <x:v>—</x:v>
      </x:c>
      <x:c r="C2402" s="55" t="str">
        <x:v>—</x:v>
      </x:c>
      <x:c r="D2402" s="55" t="str">
        <x:v>—</x:v>
      </x:c>
      <x:c r="E2402" s="55" t="inlineStr">
        <x:is>
          <x:t>無無限勇裝錦囊（網站未列地圖）</x:t>
        </x:is>
      </x:c>
    </x:row>
    <x:row r="2403" ht="15" customHeight="1">
      <x:c r="A2403" s="55" t="str">
        <x:v>窮極‧術幻裳</x:v>
      </x:c>
      <x:c r="B2403" s="55" t="str">
        <x:v>—</x:v>
      </x:c>
      <x:c r="C2403" s="55" t="str">
        <x:v>—</x:v>
      </x:c>
      <x:c r="D2403" s="55" t="str">
        <x:v>—</x:v>
      </x:c>
      <x:c r="E2403" s="55" t="inlineStr">
        <x:is>
          <x:t>無無限術裝錦囊（網站未列地圖）</x:t>
        </x:is>
      </x:c>
    </x:row>
    <x:row r="2404" ht="15" customHeight="1">
      <x:c r="A2404" s="55" t="str">
        <x:v>窮極‧道輝服</x:v>
      </x:c>
      <x:c r="B2404" s="55" t="str">
        <x:v>—</x:v>
      </x:c>
      <x:c r="C2404" s="55" t="str">
        <x:v>—</x:v>
      </x:c>
      <x:c r="D2404" s="55" t="str">
        <x:v>—</x:v>
      </x:c>
      <x:c r="E2404" s="55" t="inlineStr">
        <x:is>
          <x:t>無無限道裝錦囊（網站未列地圖）</x:t>
        </x:is>
      </x:c>
    </x:row>
    <x:row r="2405" ht="15" customHeight="1">
      <x:c r="A2405" s="55" t="str">
        <x:v>窮極‧禪光衣</x:v>
      </x:c>
      <x:c r="B2405" s="55" t="str">
        <x:v>—</x:v>
      </x:c>
      <x:c r="C2405" s="55" t="str">
        <x:v>—</x:v>
      </x:c>
      <x:c r="D2405" s="55" t="str">
        <x:v>—</x:v>
      </x:c>
      <x:c r="E2405" s="55" t="inlineStr">
        <x:is>
          <x:t>無無限僧裝錦囊（網站未列地圖）</x:t>
        </x:is>
      </x:c>
    </x:row>
    <x:row r="2406" ht="15" customHeight="1">
      <x:c r="A2406" s="55" t="str">
        <x:v>窮極‧饕餮鎧</x:v>
      </x:c>
      <x:c r="B2406" s="55" t="str">
        <x:v>—</x:v>
      </x:c>
      <x:c r="C2406" s="55" t="str">
        <x:v>—</x:v>
      </x:c>
      <x:c r="D2406" s="55" t="str">
        <x:v>—</x:v>
      </x:c>
      <x:c r="E2406" s="55" t="inlineStr">
        <x:is>
          <x:t>無無限四兇霸裝箱（網站未列地圖）；無．天俠特仕裝箱（網站未列地圖）；虛空寶箱（網站未列地圖）</x:t>
        </x:is>
      </x:c>
    </x:row>
    <x:row r="2407" ht="15" customHeight="1">
      <x:c r="A2407" s="55" t="str">
        <x:v>窮極‧天狗衣</x:v>
      </x:c>
      <x:c r="B2407" s="55" t="str">
        <x:v>—</x:v>
      </x:c>
      <x:c r="C2407" s="55" t="str">
        <x:v>—</x:v>
      </x:c>
      <x:c r="D2407" s="55" t="str">
        <x:v>—</x:v>
      </x:c>
      <x:c r="E2407" s="55" t="inlineStr">
        <x:is>
          <x:t>無無限東瀛神裝箱（網站未列地圖）；無．天俠特仕裝箱（網站未列地圖）；虛空寶箱（網站未列地圖）</x:t>
        </x:is>
      </x:c>
    </x:row>
    <x:row r="2408" ht="15" customHeight="1">
      <x:c r="A2408" s="55" t="str">
        <x:v>窮極‧隱遁甲</x:v>
      </x:c>
      <x:c r="B2408" s="55" t="str">
        <x:v>—</x:v>
      </x:c>
      <x:c r="C2408" s="55" t="str">
        <x:v>—</x:v>
      </x:c>
      <x:c r="D2408" s="55" t="str">
        <x:v>—</x:v>
      </x:c>
      <x:c r="E2408" s="55" t="inlineStr">
        <x:is>
          <x:t>無無限中原奇裝箱（網站未列地圖）；無．天俠特仕裝箱（網站未列地圖）；虛空寶箱（網站未列地圖）</x:t>
        </x:is>
      </x:c>
    </x:row>
    <x:row r="2409" ht="15" customHeight="1">
      <x:c r="A2409" s="55" t="str">
        <x:v>窮極‧無相裟</x:v>
      </x:c>
      <x:c r="B2409" s="55" t="str">
        <x:v>—</x:v>
      </x:c>
      <x:c r="C2409" s="55" t="str">
        <x:v>—</x:v>
      </x:c>
      <x:c r="D2409" s="55" t="str">
        <x:v>—</x:v>
      </x:c>
      <x:c r="E2409" s="55" t="inlineStr">
        <x:is>
          <x:t>無無限中原奇裝箱（網站未列地圖）；無．天俠特仕裝箱（網站未列地圖）</x:t>
        </x:is>
      </x:c>
    </x:row>
    <x:row r="2410" ht="15" customHeight="1">
      <x:c r="A2410" s="55" t="str">
        <x:v>元宙‧劍聖冑</x:v>
      </x:c>
      <x:c r="B2410" s="55" t="str">
        <x:v>—</x:v>
      </x:c>
      <x:c r="C2410" s="55" t="str">
        <x:v>—</x:v>
      </x:c>
      <x:c r="D2410" s="55" t="str">
        <x:v>—</x:v>
      </x:c>
      <x:c r="E2410" s="55" t="inlineStr">
        <x:is>
          <x:t>帝無限劍裝錦囊（網站未列地圖）；血腥者（終末之塔第18層、終末之塔第19層、終末之塔第11層）</x:t>
        </x:is>
      </x:c>
    </x:row>
    <x:row r="2411" ht="15" customHeight="1">
      <x:c r="A2411" s="55" t="str">
        <x:v>元宙‧武尊鎧</x:v>
      </x:c>
      <x:c r="B2411" s="55" t="str">
        <x:v>—</x:v>
      </x:c>
      <x:c r="C2411" s="55" t="str">
        <x:v>—</x:v>
      </x:c>
      <x:c r="D2411" s="55" t="str">
        <x:v>—</x:v>
      </x:c>
      <x:c r="E2411" s="55" t="inlineStr">
        <x:is>
          <x:t>帝無限勇裝錦囊（網站未列地圖）；萬鈞碎錘（終末之塔第30層、終末之塔第23層）</x:t>
        </x:is>
      </x:c>
    </x:row>
    <x:row r="2412" ht="15" customHeight="1">
      <x:c r="A2412" s="55" t="str">
        <x:v>元宙‧術幻裳</x:v>
      </x:c>
      <x:c r="B2412" s="55" t="str">
        <x:v>—</x:v>
      </x:c>
      <x:c r="C2412" s="55" t="str">
        <x:v>—</x:v>
      </x:c>
      <x:c r="D2412" s="55" t="str">
        <x:v>—</x:v>
      </x:c>
      <x:c r="E2412" s="55" t="inlineStr">
        <x:is>
          <x:t>帝無限術裝錦囊（網站未列地圖）；虛來屠尖（吉薩走廊）；黑霾獸（終末之塔第18層）</x:t>
        </x:is>
      </x:c>
    </x:row>
    <x:row r="2413" ht="15" customHeight="1">
      <x:c r="A2413" s="55" t="str">
        <x:v>元宙‧道輝服</x:v>
      </x:c>
      <x:c r="B2413" s="55" t="str">
        <x:v>—</x:v>
      </x:c>
      <x:c r="C2413" s="55" t="str">
        <x:v>—</x:v>
      </x:c>
      <x:c r="D2413" s="55" t="str">
        <x:v>—</x:v>
      </x:c>
      <x:c r="E2413" s="55" t="inlineStr">
        <x:is>
          <x:t>帝無限道裝錦囊（網站未列地圖）；旋幽虛靈（終末之塔第21層、終末之塔第30層）</x:t>
        </x:is>
      </x:c>
    </x:row>
    <x:row r="2414" ht="15" customHeight="1">
      <x:c r="A2414" s="55" t="str">
        <x:v>元宙‧禪光衣</x:v>
      </x:c>
      <x:c r="B2414" s="55" t="str">
        <x:v>—</x:v>
      </x:c>
      <x:c r="C2414" s="55" t="str">
        <x:v>—</x:v>
      </x:c>
      <x:c r="D2414" s="55" t="str">
        <x:v>—</x:v>
      </x:c>
      <x:c r="E2414" s="55" t="inlineStr">
        <x:is>
          <x:t>帝無限僧裝錦囊（網站未列地圖）；菌侵甲鬼（終末之塔第28層、終末之塔第29層）</x:t>
        </x:is>
      </x:c>
    </x:row>
    <x:row r="2415" ht="15" customHeight="1">
      <x:c r="A2415" s="55" t="str">
        <x:v>元宙‧饕餮鎧</x:v>
      </x:c>
      <x:c r="B2415" s="55" t="str">
        <x:v>—</x:v>
      </x:c>
      <x:c r="C2415" s="55" t="str">
        <x:v>—</x:v>
      </x:c>
      <x:c r="D2415" s="55" t="str">
        <x:v>—</x:v>
      </x:c>
      <x:c r="E2415" s="55" t="inlineStr">
        <x:is>
          <x:t>帝無限四兇霸裝箱（網站未列地圖）；帝．天俠特仕裝箱（網站未列地圖）；真‧虛空寶箱（網站未列地圖）</x:t>
        </x:is>
      </x:c>
    </x:row>
    <x:row r="2416" ht="15" customHeight="1">
      <x:c r="A2416" s="55" t="str">
        <x:v>元宙‧天狗衣</x:v>
      </x:c>
      <x:c r="B2416" s="55" t="str">
        <x:v>—</x:v>
      </x:c>
      <x:c r="C2416" s="55" t="str">
        <x:v>—</x:v>
      </x:c>
      <x:c r="D2416" s="55" t="str">
        <x:v>—</x:v>
      </x:c>
      <x:c r="E2416" s="55" t="inlineStr">
        <x:is>
          <x:t>帝無限東瀛神裝箱（網站未列地圖）；帝．天俠特仕裝箱（網站未列地圖）；真‧虛空寶箱（網站未列地圖）</x:t>
        </x:is>
      </x:c>
    </x:row>
    <x:row r="2417" ht="15" customHeight="1">
      <x:c r="A2417" s="55" t="str">
        <x:v>元宙‧隱遁甲</x:v>
      </x:c>
      <x:c r="B2417" s="55" t="str">
        <x:v>—</x:v>
      </x:c>
      <x:c r="C2417" s="55" t="str">
        <x:v>—</x:v>
      </x:c>
      <x:c r="D2417" s="55" t="str">
        <x:v>—</x:v>
      </x:c>
      <x:c r="E2417" s="55" t="inlineStr">
        <x:is>
          <x:t>帝無限中原奇裝箱（網站未列地圖）；帝．天俠特仕裝箱（網站未列地圖）；完銷紀念寶箱（網站未列地圖）</x:t>
        </x:is>
      </x:c>
    </x:row>
    <x:row r="2418" ht="30" customHeight="1">
      <x:c r="A2418" s="55" t="str">
        <x:v>元宙‧無相裟</x:v>
      </x:c>
      <x:c r="B2418" s="55" t="str">
        <x:v>—</x:v>
      </x:c>
      <x:c r="C2418" s="55" t="str">
        <x:v>—</x:v>
      </x:c>
      <x:c r="D2418" s="55" t="str">
        <x:v>—</x:v>
      </x:c>
      <x:c r="E2418" s="55" t="inlineStr">
        <x:is>
          <x:t>帝無限中原奇裝箱（網站未列地圖）；帝．天俠特仕裝箱（網站未列地圖）；虛空主宰寶箱（網站未列地圖）；完銷紀念寶箱（網站未列地圖）</x:t>
        </x:is>
      </x:c>
    </x:row>
    <x:row r="2419" ht="15" customHeight="1">
      <x:c r="A2419" s="55" t="str">
        <x:v>真宇傲劍聖冑</x:v>
      </x:c>
      <x:c r="B2419" s="55" t="str">
        <x:v>—</x:v>
      </x:c>
      <x:c r="C2419" s="55" t="str">
        <x:v>—</x:v>
      </x:c>
      <x:c r="D2419" s="55" t="str">
        <x:v>—</x:v>
      </x:c>
      <x:c r="E2419" s="55" t="inlineStr">
        <x:is>
          <x:t>終無限劍裝錦囊（網站未列地圖）；人面獅身像（古翰大沙漠）</x:t>
        </x:is>
      </x:c>
    </x:row>
    <x:row r="2420" ht="15" customHeight="1">
      <x:c r="A2420" s="55" t="str">
        <x:v>真宇傲武尊鎧</x:v>
      </x:c>
      <x:c r="B2420" s="55" t="str">
        <x:v>—</x:v>
      </x:c>
      <x:c r="C2420" s="55" t="str">
        <x:v>—</x:v>
      </x:c>
      <x:c r="D2420" s="55" t="str">
        <x:v>—</x:v>
      </x:c>
      <x:c r="E2420" s="55" t="inlineStr">
        <x:is>
          <x:t>終無限勇裝錦囊（網站未列地圖）；泥河鱷魔（吉薩走廊）</x:t>
        </x:is>
      </x:c>
    </x:row>
    <x:row r="2421" ht="15" customHeight="1">
      <x:c r="A2421" s="55" t="str">
        <x:v>真宇傲術幻裳</x:v>
      </x:c>
      <x:c r="B2421" s="55" t="str">
        <x:v>—</x:v>
      </x:c>
      <x:c r="C2421" s="55" t="str">
        <x:v>—</x:v>
      </x:c>
      <x:c r="D2421" s="55" t="str">
        <x:v>—</x:v>
      </x:c>
      <x:c r="E2421" s="55" t="inlineStr">
        <x:is>
          <x:t>終無限術裝錦囊（網站未列地圖）；古翰沙蟲（古翰大沙漠）</x:t>
        </x:is>
      </x:c>
    </x:row>
    <x:row r="2422" ht="15" customHeight="1">
      <x:c r="A2422" s="55" t="str">
        <x:v>真宇傲道輝服</x:v>
      </x:c>
      <x:c r="B2422" s="55" t="str">
        <x:v>—</x:v>
      </x:c>
      <x:c r="C2422" s="55" t="str">
        <x:v>—</x:v>
      </x:c>
      <x:c r="D2422" s="55" t="str">
        <x:v>—</x:v>
      </x:c>
      <x:c r="E2422" s="55" t="inlineStr">
        <x:is>
          <x:t>終無限道裝錦囊（網站未列地圖）；鑽岩鋼蛇（古翰大沙漠）</x:t>
        </x:is>
      </x:c>
    </x:row>
    <x:row r="2423" ht="15" customHeight="1">
      <x:c r="A2423" s="55" t="str">
        <x:v>真宇傲禪光衣</x:v>
      </x:c>
      <x:c r="B2423" s="55" t="str">
        <x:v>—</x:v>
      </x:c>
      <x:c r="C2423" s="55" t="str">
        <x:v>—</x:v>
      </x:c>
      <x:c r="D2423" s="55" t="str">
        <x:v>—</x:v>
      </x:c>
      <x:c r="E2423" s="55" t="inlineStr">
        <x:is>
          <x:t>終無限僧裝錦囊（網站未列地圖）；塵泥羊巫（古翰大沙漠）</x:t>
        </x:is>
      </x:c>
    </x:row>
    <x:row r="2424" ht="15" customHeight="1">
      <x:c r="A2424" s="55" t="str">
        <x:v>真宇傲饕餮鎧</x:v>
      </x:c>
      <x:c r="B2424" s="55" t="str">
        <x:v>—</x:v>
      </x:c>
      <x:c r="C2424" s="55" t="str">
        <x:v>—</x:v>
      </x:c>
      <x:c r="D2424" s="55" t="str">
        <x:v>—</x:v>
      </x:c>
      <x:c r="E2424" s="55" t="inlineStr">
        <x:is>
          <x:t>終無限四兇霸裝箱（網站未列地圖）；終．天俠特仕裝箱（網站未列地圖）</x:t>
        </x:is>
      </x:c>
    </x:row>
    <x:row r="2425" ht="15" customHeight="1">
      <x:c r="A2425" s="55" t="str">
        <x:v>真宇傲天狗衣</x:v>
      </x:c>
      <x:c r="B2425" s="55" t="str">
        <x:v>—</x:v>
      </x:c>
      <x:c r="C2425" s="55" t="str">
        <x:v>—</x:v>
      </x:c>
      <x:c r="D2425" s="55" t="str">
        <x:v>—</x:v>
      </x:c>
      <x:c r="E2425" s="55" t="inlineStr">
        <x:is>
          <x:t>終無限東瀛神裝箱（網站未列地圖）；終．天俠特仕裝箱（網站未列地圖）；地冠獨行錦囊（網站未列地圖）</x:t>
        </x:is>
      </x:c>
    </x:row>
    <x:row r="2426" ht="15" customHeight="1">
      <x:c r="A2426" s="55" t="str">
        <x:v>真宇傲隱遁甲</x:v>
      </x:c>
      <x:c r="B2426" s="55" t="str">
        <x:v>—</x:v>
      </x:c>
      <x:c r="C2426" s="55" t="str">
        <x:v>—</x:v>
      </x:c>
      <x:c r="D2426" s="55" t="str">
        <x:v>—</x:v>
      </x:c>
      <x:c r="E2426" s="55" t="inlineStr">
        <x:is>
          <x:t>終無限中原奇裝箱（網站未列地圖）；終．天俠特仕裝箱（網站未列地圖）</x:t>
        </x:is>
      </x:c>
    </x:row>
    <x:row r="2427" ht="15" customHeight="1">
      <x:c r="A2427" s="55" t="str">
        <x:v>真宇傲無相裟</x:v>
      </x:c>
      <x:c r="B2427" s="55" t="str">
        <x:v>—</x:v>
      </x:c>
      <x:c r="C2427" s="55" t="str">
        <x:v>—</x:v>
      </x:c>
      <x:c r="D2427" s="55" t="str">
        <x:v>—</x:v>
      </x:c>
      <x:c r="E2427" s="55" t="inlineStr">
        <x:is>
          <x:t>終無限中原奇裝箱（網站未列地圖）；終．天俠特仕裝箱（網站未列地圖）；真‧虛空主宰寶箱（網站未列地圖）</x:t>
        </x:is>
      </x:c>
    </x:row>
    <x:row r="2428" ht="15" customHeight="1">
      <x:c r="A2428" s="55" t="str">
        <x:v>絕．智者聖甲</x:v>
      </x:c>
      <x:c r="B2428" s="55" t="str">
        <x:v>—</x:v>
      </x:c>
      <x:c r="C2428" s="55" t="str">
        <x:v>—</x:v>
      </x:c>
      <x:c r="D2428" s="55" t="str">
        <x:v>絕智聖甲配方</x:v>
      </x:c>
      <x:c r="E2428" s="55" t="inlineStr">
        <x:is>
          <x:t>無敵超凡入聖錦囊（網站未列地圖）；蒼凰一奇（星群碎道）</x:t>
        </x:is>
      </x:c>
    </x:row>
    <x:row r="2429" ht="15" customHeight="1">
      <x:c r="A2429" s="55" t="str">
        <x:v>絕．仁者聖甲</x:v>
      </x:c>
      <x:c r="B2429" s="55" t="str">
        <x:v>—</x:v>
      </x:c>
      <x:c r="C2429" s="55" t="str">
        <x:v>—</x:v>
      </x:c>
      <x:c r="D2429" s="55" t="str">
        <x:v>絕仁聖甲配方</x:v>
      </x:c>
      <x:c r="E2429" s="55" t="inlineStr">
        <x:is>
          <x:t>無敵超凡入聖錦囊（網站未列地圖）；晶嶽巨像（星群碎道）</x:t>
        </x:is>
      </x:c>
    </x:row>
    <x:row r="2430" ht="15" customHeight="1">
      <x:c r="A2430" s="55" t="str">
        <x:v>絕．義者聖甲</x:v>
      </x:c>
      <x:c r="B2430" s="55" t="str">
        <x:v>—</x:v>
      </x:c>
      <x:c r="C2430" s="55" t="str">
        <x:v>—</x:v>
      </x:c>
      <x:c r="D2430" s="55" t="str">
        <x:v>—</x:v>
      </x:c>
      <x:c r="E2430" s="55" t="inlineStr">
        <x:is>
          <x:t>超‧蓋世無雙錦囊（網站未列地圖）</x:t>
        </x:is>
      </x:c>
    </x:row>
    <x:row r="2431" ht="15" customHeight="1">
      <x:c r="A2431" s="55" t="str">
        <x:v>絕．勇者聖甲</x:v>
      </x:c>
      <x:c r="B2431" s="55" t="str">
        <x:v>—</x:v>
      </x:c>
      <x:c r="C2431" s="55" t="str">
        <x:v>—</x:v>
      </x:c>
      <x:c r="D2431" s="55" t="str">
        <x:v>絕勇聖甲配方</x:v>
      </x:c>
      <x:c r="E2431" s="55" t="inlineStr">
        <x:is>
          <x:t>無敵超凡入聖錦囊（網站未列地圖）；天影犄麟（星群碎道）</x:t>
        </x:is>
      </x:c>
    </x:row>
    <x:row r="2432" ht="15" customHeight="1">
      <x:c r="A2432" s="55" t="str">
        <x:v>帝．智者聖甲</x:v>
      </x:c>
      <x:c r="B2432" s="55" t="str">
        <x:v>—</x:v>
      </x:c>
      <x:c r="C2432" s="55" t="str">
        <x:v>—</x:v>
      </x:c>
      <x:c r="D2432" s="55" t="str">
        <x:v>—</x:v>
      </x:c>
      <x:c r="E2432" s="55" t="inlineStr">
        <x:is>
          <x:t>上帝超凡入聖錦囊（網站未列地圖）；超級旗開得勝錦囊（網站未列地圖）</x:t>
        </x:is>
      </x:c>
    </x:row>
    <x:row r="2433" ht="15" customHeight="1">
      <x:c r="A2433" s="55" t="str">
        <x:v>帝．仁者聖甲</x:v>
      </x:c>
      <x:c r="B2433" s="55" t="str">
        <x:v>—</x:v>
      </x:c>
      <x:c r="C2433" s="55" t="str">
        <x:v>—</x:v>
      </x:c>
      <x:c r="D2433" s="55" t="str">
        <x:v>—</x:v>
      </x:c>
      <x:c r="E2433" s="55" t="inlineStr">
        <x:is>
          <x:t>上帝超凡入聖錦囊（網站未列地圖）；超級旗開得勝錦囊（網站未列地圖）；沒世蒼陵將（虛空渦心）</x:t>
        </x:is>
      </x:c>
    </x:row>
    <x:row r="2434" ht="15" customHeight="1">
      <x:c r="A2434" s="55" t="str">
        <x:v>帝．義者聖甲</x:v>
      </x:c>
      <x:c r="B2434" s="55" t="str">
        <x:v>—</x:v>
      </x:c>
      <x:c r="C2434" s="55" t="str">
        <x:v>—</x:v>
      </x:c>
      <x:c r="D2434" s="55" t="str">
        <x:v>—</x:v>
      </x:c>
      <x:c r="E2434" s="55" t="inlineStr">
        <x:is>
          <x:t>—</x:t>
        </x:is>
      </x:c>
    </x:row>
    <x:row r="2435" ht="15" customHeight="1">
      <x:c r="A2435" s="55" t="str">
        <x:v>帝．勇者聖甲</x:v>
      </x:c>
      <x:c r="B2435" s="55" t="str">
        <x:v>—</x:v>
      </x:c>
      <x:c r="C2435" s="55" t="str">
        <x:v>—</x:v>
      </x:c>
      <x:c r="D2435" s="55" t="str">
        <x:v>—</x:v>
      </x:c>
      <x:c r="E2435" s="55" t="inlineStr">
        <x:is>
          <x:t>上帝超凡入聖錦囊（網站未列地圖）；超級旗開得勝錦囊（網站未列地圖）；沒世蒼勇冠（虛空渦心）</x:t>
        </x:is>
      </x:c>
    </x:row>
    <x:row r="2436" ht="30" customHeight="1">
      <x:c r="A2436" s="55" t="str">
        <x:v>終．智者聖甲</x:v>
      </x:c>
      <x:c r="B2436" s="55" t="str">
        <x:v>—</x:v>
      </x:c>
      <x:c r="C2436" s="55" t="str">
        <x:v>—</x:v>
      </x:c>
      <x:c r="D2436" s="55" t="str">
        <x:v>—</x:v>
      </x:c>
      <x:c r="E2436" s="55" t="inlineStr">
        <x:is>
          <x:t>終盡超凡入聖錦囊（網站未列地圖）；旺來獻吉福袋（網站未列地圖）；真‧虛空寶箱（網站未列地圖）；金讚端午香囊（網站未列地圖）</x:t>
        </x:is>
      </x:c>
    </x:row>
    <x:row r="2437" ht="15" customHeight="1">
      <x:c r="A2437" s="55" t="str">
        <x:v>終．仁者聖甲</x:v>
      </x:c>
      <x:c r="B2437" s="55" t="str">
        <x:v>—</x:v>
      </x:c>
      <x:c r="C2437" s="55" t="str">
        <x:v>—</x:v>
      </x:c>
      <x:c r="D2437" s="55" t="str">
        <x:v>—</x:v>
      </x:c>
      <x:c r="E2437" s="55" t="inlineStr">
        <x:is>
          <x:t>終盡超凡入聖錦囊（網站未列地圖）；完銷紀念寶箱（網站未列地圖）</x:t>
        </x:is>
      </x:c>
    </x:row>
    <x:row r="2438" ht="15" customHeight="1">
      <x:c r="A2438" s="55" t="str">
        <x:v>終．義者聖甲</x:v>
      </x:c>
      <x:c r="B2438" s="55" t="str">
        <x:v>—</x:v>
      </x:c>
      <x:c r="C2438" s="55" t="str">
        <x:v>—</x:v>
      </x:c>
      <x:c r="D2438" s="55" t="str">
        <x:v>—</x:v>
      </x:c>
      <x:c r="E2438" s="55" t="inlineStr">
        <x:is>
          <x:t>中秋烤肉禮盒（網站未列地圖）；完銷紀念寶箱（網站未列地圖）</x:t>
        </x:is>
      </x:c>
    </x:row>
    <x:row r="2439" ht="30" customHeight="1">
      <x:c r="A2439" s="55" t="str">
        <x:v>終．勇者聖甲</x:v>
      </x:c>
      <x:c r="B2439" s="55" t="str">
        <x:v>—</x:v>
      </x:c>
      <x:c r="C2439" s="55" t="str">
        <x:v>—</x:v>
      </x:c>
      <x:c r="D2439" s="55" t="str">
        <x:v>—</x:v>
      </x:c>
      <x:c r="E2439" s="55" t="inlineStr">
        <x:is>
          <x:t>終盡超凡入聖錦囊（網站未列地圖）；旺來獻吉福袋（網站未列地圖）；虛空主宰寶箱（網站未列地圖）；完銷紀念寶箱（網站未列地圖）</x:t>
        </x:is>
      </x:c>
    </x:row>
    <x:row r="2440" ht="30" customHeight="1">
      <x:c r="A2440" s="55" t="str">
        <x:v>神．智者聖甲</x:v>
      </x:c>
      <x:c r="B2440" s="55" t="str">
        <x:v>—</x:v>
      </x:c>
      <x:c r="C2440" s="55" t="str">
        <x:v>—</x:v>
      </x:c>
      <x:c r="D2440" s="55" t="str">
        <x:v>—</x:v>
      </x:c>
      <x:c r="E2440" s="55" t="inlineStr">
        <x:is>
          <x:t>神達超凡入聖錦囊（網站未列地圖）；夏日關頭錦囊（網站未列地圖）；天冠善勝錦囊（網站未列地圖）；真‧虛空主宰寶箱（網站未列地圖）</x:t>
        </x:is>
      </x:c>
    </x:row>
    <x:row r="2441" ht="15" customHeight="1">
      <x:c r="A2441" s="55" t="str">
        <x:v>神．仁者聖甲</x:v>
      </x:c>
      <x:c r="B2441" s="55" t="str">
        <x:v>—</x:v>
      </x:c>
      <x:c r="C2441" s="55" t="str">
        <x:v>—</x:v>
      </x:c>
      <x:c r="D2441" s="55" t="str">
        <x:v>—</x:v>
      </x:c>
      <x:c r="E2441" s="55" t="inlineStr">
        <x:is>
          <x:t>神達超凡入聖錦囊（網站未列地圖）；地冠獨行錦囊（網站未列地圖）</x:t>
        </x:is>
      </x:c>
    </x:row>
    <x:row r="2442" ht="30" customHeight="1">
      <x:c r="A2442" s="55" t="str">
        <x:v>神．勇者聖甲</x:v>
      </x:c>
      <x:c r="B2442" s="55" t="str">
        <x:v>—</x:v>
      </x:c>
      <x:c r="C2442" s="55" t="str">
        <x:v>—</x:v>
      </x:c>
      <x:c r="D2442" s="55" t="str">
        <x:v>—</x:v>
      </x:c>
      <x:c r="E2442" s="55" t="inlineStr">
        <x:is>
          <x:t>神達超凡入聖錦囊（網站未列地圖）；春日頂天錦囊（網站未列地圖）；粽夏劊手貝魯瑟斯（網站未列地圖）；端午粽合寶箱（網站未列地圖）</x:t>
        </x:is>
      </x:c>
    </x:row>
    <x:row r="2443" ht="15" customHeight="1">
      <x:c r="A2443" s="55" t="str">
        <x:v>神．義者聖甲</x:v>
      </x:c>
      <x:c r="B2443" s="55" t="str">
        <x:v>—</x:v>
      </x:c>
      <x:c r="C2443" s="55" t="str">
        <x:v>—</x:v>
      </x:c>
      <x:c r="D2443" s="55" t="str">
        <x:v>—</x:v>
      </x:c>
      <x:c r="E2443" s="55" t="inlineStr">
        <x:is>
          <x:t>金旺犬刮刮樂（網站未列地圖）</x:t>
        </x:is>
      </x:c>
    </x:row>
    <x:row r="2444" ht="15" customHeight="1">
      <x:c r="A2444" s="55" t="str">
        <x:v>星鋒冑★</x:v>
      </x:c>
      <x:c r="B2444" s="55" t="str">
        <x:v>—</x:v>
      </x:c>
      <x:c r="C2444" s="55" t="str">
        <x:v>—</x:v>
      </x:c>
      <x:c r="D2444" s="55" t="str">
        <x:v>—</x:v>
      </x:c>
      <x:c r="E2444" s="55" t="inlineStr">
        <x:is>
          <x:t>仙星劍裝錦囊（網站未列地圖）；托勒密魔鱷（托勒密山麓）；護柱血爪（終末之塔第55層、終末之塔第56層）</x:t>
        </x:is>
      </x:c>
    </x:row>
    <x:row r="2445" ht="15" customHeight="1">
      <x:c r="A2445" s="55" t="str">
        <x:v>鬥星鎧★</x:v>
      </x:c>
      <x:c r="B2445" s="55" t="str">
        <x:v>—</x:v>
      </x:c>
      <x:c r="C2445" s="55" t="str">
        <x:v>—</x:v>
      </x:c>
      <x:c r="D2445" s="55" t="str">
        <x:v>—</x:v>
      </x:c>
      <x:c r="E2445" s="55" t="inlineStr">
        <x:is>
          <x:t>仙星勇裝錦囊（網站未列地圖）；峽谷蠻獸（托勒密山麓）</x:t>
        </x:is>
      </x:c>
    </x:row>
    <x:row r="2446" ht="15" customHeight="1">
      <x:c r="A2446" s="55" t="str">
        <x:v>遊星衣★</x:v>
      </x:c>
      <x:c r="B2446" s="55" t="str">
        <x:v>—</x:v>
      </x:c>
      <x:c r="C2446" s="55" t="str">
        <x:v>—</x:v>
      </x:c>
      <x:c r="D2446" s="55" t="str">
        <x:v>—</x:v>
      </x:c>
      <x:c r="E2446" s="55" t="inlineStr">
        <x:is>
          <x:t>仙星術裝錦囊（網站未列地圖）；起源刺客（托勒密山麓）</x:t>
        </x:is>
      </x:c>
    </x:row>
    <x:row r="2447" ht="15" customHeight="1">
      <x:c r="A2447" s="55" t="str">
        <x:v>星蹤袍★</x:v>
      </x:c>
      <x:c r="B2447" s="55" t="str">
        <x:v>—</x:v>
      </x:c>
      <x:c r="C2447" s="55" t="str">
        <x:v>—</x:v>
      </x:c>
      <x:c r="D2447" s="55" t="str">
        <x:v>—</x:v>
      </x:c>
      <x:c r="E2447" s="55" t="inlineStr">
        <x:is>
          <x:t>仙星道裝錦囊（網站未列地圖）；聖谷王司（托勒密山麓）</x:t>
        </x:is>
      </x:c>
    </x:row>
    <x:row r="2448" ht="15" customHeight="1">
      <x:c r="A2448" s="55" t="str">
        <x:v>釋星袈★</x:v>
      </x:c>
      <x:c r="B2448" s="55" t="str">
        <x:v>—</x:v>
      </x:c>
      <x:c r="C2448" s="55" t="str">
        <x:v>—</x:v>
      </x:c>
      <x:c r="D2448" s="55" t="str">
        <x:v>—</x:v>
      </x:c>
      <x:c r="E2448" s="55" t="inlineStr">
        <x:is>
          <x:t>仙星僧裝錦囊（網站未列地圖）；眾靈妖祭（托勒密山麓）</x:t>
        </x:is>
      </x:c>
    </x:row>
    <x:row r="2449" ht="45" customHeight="1">
      <x:c r="A2449" s="55" t="str">
        <x:v>星兇鎧★</x:v>
      </x:c>
      <x:c r="B2449" s="55" t="str">
        <x:v>—</x:v>
      </x:c>
      <x:c r="C2449" s="55" t="str">
        <x:v>—</x:v>
      </x:c>
      <x:c r="D2449" s="55" t="str">
        <x:v>—</x:v>
      </x:c>
      <x:c r="E2449" s="55" t="inlineStr">
        <x:is>
          <x:t>仙星四兇霸裝箱（網站未列地圖）；仙星特仕裝箱（網站未列地圖）；諸星報喜福袋（網站未列地圖）；終塔之寶&lt;III&gt;（終末之塔第22層、終末之塔第36層）；百劫屠者（終末之塔第93層、終末之塔第94層）；通寶院珍寶箱（網站未列地圖）</x:t>
        </x:is>
      </x:c>
    </x:row>
    <x:row r="2450" ht="30" customHeight="1">
      <x:c r="A2450" s="55" t="str">
        <x:v>煌天衣★</x:v>
      </x:c>
      <x:c r="B2450" s="55" t="str">
        <x:v>—</x:v>
      </x:c>
      <x:c r="C2450" s="55" t="str">
        <x:v>—</x:v>
      </x:c>
      <x:c r="D2450" s="55" t="str">
        <x:v>—</x:v>
      </x:c>
      <x:c r="E2450" s="55" t="inlineStr">
        <x:is>
          <x:t>仙星東瀛神裝箱（網站未列地圖）；仙星特仕裝箱（網站未列地圖）；超神豬刮刮樂（網站未列地圖）；星淵潛狂（終末之塔第91層、終末之塔第100層、終末之塔第93層）</x:t>
        </x:is>
      </x:c>
    </x:row>
    <x:row r="2451" ht="30" customHeight="1">
      <x:c r="A2451" s="55" t="str">
        <x:v>奇隱甲★</x:v>
      </x:c>
      <x:c r="B2451" s="55" t="str">
        <x:v>—</x:v>
      </x:c>
      <x:c r="C2451" s="55" t="str">
        <x:v>—</x:v>
      </x:c>
      <x:c r="D2451" s="55" t="str">
        <x:v>—</x:v>
      </x:c>
      <x:c r="E2451" s="55" t="inlineStr">
        <x:is>
          <x:t>仙星中原奇裝箱（網站未列地圖）；仙星特仕裝箱（網站未列地圖）；世紀縱橫錦囊（網站未列地圖）；金豬刮刮樂（網站未列地圖）</x:t>
        </x:is>
      </x:c>
    </x:row>
    <x:row r="2452" ht="30" customHeight="1">
      <x:c r="A2452" s="55" t="str">
        <x:v>奇行裟★</x:v>
      </x:c>
      <x:c r="B2452" s="55" t="str">
        <x:v>—</x:v>
      </x:c>
      <x:c r="C2452" s="55" t="str">
        <x:v>—</x:v>
      </x:c>
      <x:c r="D2452" s="55" t="str">
        <x:v>—</x:v>
      </x:c>
      <x:c r="E2452" s="55" t="inlineStr">
        <x:is>
          <x:t>仙星中原奇裝箱（網站未列地圖）；仙星特仕裝箱（網站未列地圖）；諸星報喜福袋（網站未列地圖）；瘡痍行者（終末之塔第89層）</x:t>
        </x:is>
      </x:c>
    </x:row>
    <x:row r="2453" ht="15" customHeight="1">
      <x:c r="A2453" s="55" t="str">
        <x:v>星鋒冑★★</x:v>
      </x:c>
      <x:c r="B2453" s="55" t="str">
        <x:v>—</x:v>
      </x:c>
      <x:c r="C2453" s="55" t="str">
        <x:v>—</x:v>
      </x:c>
      <x:c r="D2453" s="55" t="str">
        <x:v>—</x:v>
      </x:c>
      <x:c r="E2453" s="55" t="inlineStr">
        <x:is>
          <x:t>真‧仙星劍裝錦囊（網站未列地圖）；凱布利（荷魯斯聖祠）</x:t>
        </x:is>
      </x:c>
    </x:row>
    <x:row r="2454" ht="15" customHeight="1">
      <x:c r="A2454" s="55" t="str">
        <x:v>鬥星鎧★★</x:v>
      </x:c>
      <x:c r="B2454" s="55" t="str">
        <x:v>—</x:v>
      </x:c>
      <x:c r="C2454" s="55" t="str">
        <x:v>—</x:v>
      </x:c>
      <x:c r="D2454" s="55" t="str">
        <x:v>—</x:v>
      </x:c>
      <x:c r="E2454" s="55" t="inlineStr">
        <x:is>
          <x:t>真‧仙星勇裝錦囊（網站未列地圖）；左塞爾巨像（荷魯斯聖祠）</x:t>
        </x:is>
      </x:c>
    </x:row>
    <x:row r="2455" ht="15" customHeight="1">
      <x:c r="A2455" s="55" t="str">
        <x:v>遊星衣★★</x:v>
      </x:c>
      <x:c r="B2455" s="55" t="str">
        <x:v>—</x:v>
      </x:c>
      <x:c r="C2455" s="55" t="str">
        <x:v>—</x:v>
      </x:c>
      <x:c r="D2455" s="55" t="str">
        <x:v>—</x:v>
      </x:c>
      <x:c r="E2455" s="55" t="inlineStr">
        <x:is>
          <x:t>真‧仙星術裝錦囊（網站未列地圖）；索貝克（荷魯斯聖祠）</x:t>
        </x:is>
      </x:c>
    </x:row>
    <x:row r="2456" ht="15" customHeight="1">
      <x:c r="A2456" s="55" t="str">
        <x:v>星蹤袍★★</x:v>
      </x:c>
      <x:c r="B2456" s="55" t="str">
        <x:v>—</x:v>
      </x:c>
      <x:c r="C2456" s="55" t="str">
        <x:v>—</x:v>
      </x:c>
      <x:c r="D2456" s="55" t="str">
        <x:v>—</x:v>
      </x:c>
      <x:c r="E2456" s="55" t="inlineStr">
        <x:is>
          <x:t>真‧仙星道裝錦囊（網站未列地圖）；托特（荷魯斯聖祠）</x:t>
        </x:is>
      </x:c>
    </x:row>
    <x:row r="2457" ht="15" customHeight="1">
      <x:c r="A2457" s="55" t="str">
        <x:v>釋星袈★★</x:v>
      </x:c>
      <x:c r="B2457" s="55" t="str">
        <x:v>—</x:v>
      </x:c>
      <x:c r="C2457" s="55" t="str">
        <x:v>—</x:v>
      </x:c>
      <x:c r="D2457" s="55" t="str">
        <x:v>—</x:v>
      </x:c>
      <x:c r="E2457" s="55" t="inlineStr">
        <x:is>
          <x:t>真‧仙星僧裝錦囊（網站未列地圖）；塞赫麥特（荷魯斯聖祠）</x:t>
        </x:is>
      </x:c>
    </x:row>
    <x:row r="2458" ht="30" customHeight="1">
      <x:c r="A2458" s="55" t="str">
        <x:v>星兇鎧★★</x:v>
      </x:c>
      <x:c r="B2458" s="55" t="str">
        <x:v>—</x:v>
      </x:c>
      <x:c r="C2458" s="55" t="str">
        <x:v>—</x:v>
      </x:c>
      <x:c r="D2458" s="55" t="str">
        <x:v>—</x:v>
      </x:c>
      <x:c r="E2458" s="55" t="inlineStr">
        <x:is>
          <x:t>真‧仙星四兇霸箱（網站未列地圖）；真‧仙星特仕裝箱（網站未列地圖）；夏星創世錦囊（網站未列地圖）；扞河龐蟹（終末之塔第107層、終末之塔第108層）；星墜重隕（終末之塔第97層）</x:t>
        </x:is>
      </x:c>
    </x:row>
    <x:row r="2459" ht="30" customHeight="1">
      <x:c r="A2459" s="55" t="str">
        <x:v>煌天衣★★</x:v>
      </x:c>
      <x:c r="B2459" s="55" t="str">
        <x:v>—</x:v>
      </x:c>
      <x:c r="C2459" s="55" t="str">
        <x:v>—</x:v>
      </x:c>
      <x:c r="D2459" s="55" t="str">
        <x:v>—</x:v>
      </x:c>
      <x:c r="E2459" s="55" t="inlineStr">
        <x:is>
          <x:t>真‧仙星東瀛神箱（網站未列地圖）；真‧仙星特仕裝箱（網站未列地圖）；夏時無敵錦囊（網站未列地圖）；猛爆毒麟（終末之塔第101層、終末之塔第102層）</x:t>
        </x:is>
      </x:c>
    </x:row>
    <x:row r="2460" ht="45" customHeight="1">
      <x:c r="A2460" s="55" t="str">
        <x:v>奇隱甲★★</x:v>
      </x:c>
      <x:c r="B2460" s="55" t="str">
        <x:v>—</x:v>
      </x:c>
      <x:c r="C2460" s="55" t="str">
        <x:v>—</x:v>
      </x:c>
      <x:c r="D2460" s="55" t="str">
        <x:v>—</x:v>
      </x:c>
      <x:c r="E2460" s="55" t="inlineStr">
        <x:is>
          <x:t>真‧仙星中原奇箱（網站未列地圖）；真‧仙星特仕裝箱（網站未列地圖）；夏時無敵錦囊（網站未列地圖）；魔幻蜘蛛（終末之塔第113層、終末之塔第114層、終末之塔第112層）；幻殺修羅（終末之塔第102層、終末之塔第103層、終末之塔第104層）</x:t>
        </x:is>
      </x:c>
    </x:row>
    <x:row r="2461" ht="30" customHeight="1">
      <x:c r="A2461" s="55" t="str">
        <x:v>奇行裟★★</x:v>
      </x:c>
      <x:c r="B2461" s="55" t="str">
        <x:v>—</x:v>
      </x:c>
      <x:c r="C2461" s="55" t="str">
        <x:v>—</x:v>
      </x:c>
      <x:c r="D2461" s="55" t="str">
        <x:v>—</x:v>
      </x:c>
      <x:c r="E2461" s="55" t="inlineStr">
        <x:is>
          <x:t>真‧仙星中原奇箱（網站未列地圖）；真‧仙星特仕裝箱（網站未列地圖）；自走幽藤（終末之塔第112層、終末之塔第114層）；啼血哀鳳（終末之塔第104層、終末之塔第108層）；虛念頭陀（終末之塔第99層）</x:t>
        </x:is>
      </x:c>
    </x:row>
    <x:row r="2462" ht="15" customHeight="1">
      <x:c r="A2462" s="55" t="str">
        <x:v>星鋒冑★★★</x:v>
      </x:c>
      <x:c r="B2462" s="55" t="str">
        <x:v>—</x:v>
      </x:c>
      <x:c r="C2462" s="55" t="str">
        <x:v>—</x:v>
      </x:c>
      <x:c r="D2462" s="55" t="str">
        <x:v>—</x:v>
      </x:c>
      <x:c r="E2462" s="55" t="inlineStr">
        <x:is>
          <x:t>超‧仙星劍裝錦囊（網站未列地圖）</x:t>
        </x:is>
      </x:c>
    </x:row>
    <x:row r="2463" ht="15" customHeight="1">
      <x:c r="A2463" s="55" t="str">
        <x:v>鬥星鎧★★★</x:v>
      </x:c>
      <x:c r="B2463" s="55" t="str">
        <x:v>—</x:v>
      </x:c>
      <x:c r="C2463" s="55" t="str">
        <x:v>—</x:v>
      </x:c>
      <x:c r="D2463" s="55" t="str">
        <x:v>—</x:v>
      </x:c>
      <x:c r="E2463" s="55" t="inlineStr">
        <x:is>
          <x:t>超‧仙星勇裝錦囊（網站未列地圖）；艾濟鋼鎧蠍（神王金字塔）</x:t>
        </x:is>
      </x:c>
    </x:row>
    <x:row r="2464" ht="15" customHeight="1">
      <x:c r="A2464" s="55" t="str">
        <x:v>遊星衣★★★</x:v>
      </x:c>
      <x:c r="B2464" s="55" t="str">
        <x:v>—</x:v>
      </x:c>
      <x:c r="C2464" s="55" t="str">
        <x:v>—</x:v>
      </x:c>
      <x:c r="D2464" s="55" t="str">
        <x:v>—</x:v>
      </x:c>
      <x:c r="E2464" s="55" t="inlineStr">
        <x:is>
          <x:t>超‧仙星術裝錦囊（網站未列地圖）</x:t>
        </x:is>
      </x:c>
    </x:row>
    <x:row r="2465" ht="15" customHeight="1">
      <x:c r="A2465" s="55" t="str">
        <x:v>星蹤袍★★★</x:v>
      </x:c>
      <x:c r="B2465" s="55" t="str">
        <x:v>—</x:v>
      </x:c>
      <x:c r="C2465" s="55" t="str">
        <x:v>—</x:v>
      </x:c>
      <x:c r="D2465" s="55" t="str">
        <x:v>—</x:v>
      </x:c>
      <x:c r="E2465" s="55" t="inlineStr">
        <x:is>
          <x:t>超‧仙星道裝錦囊（網站未列地圖）</x:t>
        </x:is>
      </x:c>
    </x:row>
    <x:row r="2466" ht="15" customHeight="1">
      <x:c r="A2466" s="55" t="str">
        <x:v>釋星袈★★★</x:v>
      </x:c>
      <x:c r="B2466" s="55" t="str">
        <x:v>—</x:v>
      </x:c>
      <x:c r="C2466" s="55" t="str">
        <x:v>—</x:v>
      </x:c>
      <x:c r="D2466" s="55" t="str">
        <x:v>—</x:v>
      </x:c>
      <x:c r="E2466" s="55" t="inlineStr">
        <x:is>
          <x:t>超‧仙星僧裝錦囊（網站未列地圖）；浸幽木乃伊（神王金字塔）</x:t>
        </x:is>
      </x:c>
    </x:row>
    <x:row r="2467" ht="45" customHeight="1">
      <x:c r="A2467" s="55" t="str">
        <x:v>星兇鎧★★★</x:v>
      </x:c>
      <x:c r="B2467" s="55" t="str">
        <x:v>—</x:v>
      </x:c>
      <x:c r="C2467" s="55" t="str">
        <x:v>—</x:v>
      </x:c>
      <x:c r="D2467" s="55" t="str">
        <x:v>—</x:v>
      </x:c>
      <x:c r="E2467" s="55" t="inlineStr">
        <x:is>
          <x:t>超‧仙星四兇霸箱（網站未列地圖）；超‧仙星特仕裝箱（網站未列地圖）；天罪勇士錦囊（網站未列地圖）；衛塔戰偶（終末之塔第131層、終末之塔第132層）；淪劫迷者（終末之塔第113層、終末之塔第119層、終末之塔第111層）；猙獰角龜（終末之塔第122層）；東校場司尉（東校場）</x:t>
        </x:is>
      </x:c>
    </x:row>
    <x:row r="2468" ht="60" customHeight="1">
      <x:c r="A2468" s="55" t="str">
        <x:v>煌天衣★★★</x:v>
      </x:c>
      <x:c r="B2468" s="55" t="str">
        <x:v>—</x:v>
      </x:c>
      <x:c r="C2468" s="55" t="str">
        <x:v>—</x:v>
      </x:c>
      <x:c r="D2468" s="55" t="str">
        <x:v>—</x:v>
      </x:c>
      <x:c r="E2468" s="55" t="inlineStr">
        <x:is>
          <x:t>超‧仙星東瀛神箱（網站未列地圖）；超‧仙星特仕裝箱（網站未列地圖）；天罪僧侶錦囊（網站未列地圖）；淪劫尸骨（終末之塔第112層、終末之塔第118層、終末之塔第113層）；八敗命陀（終末之塔第128層）；咒殼蠕蝸（終末之塔第134層、終末之塔第133層、終末之塔第139層、終末之塔第138層、終末之塔第131層、終末之塔第135層、終末之塔第136層、終末之塔第137層）</x:t>
        </x:is>
      </x:c>
    </x:row>
    <x:row r="2469" ht="15" customHeight="1">
      <x:c r="A2469" s="55" t="str">
        <x:v>奇隱甲★★★</x:v>
      </x:c>
      <x:c r="B2469" s="55" t="str">
        <x:v>—</x:v>
      </x:c>
      <x:c r="C2469" s="55" t="str">
        <x:v>—</x:v>
      </x:c>
      <x:c r="D2469" s="55" t="str">
        <x:v>—</x:v>
      </x:c>
      <x:c r="E2469" s="55" t="inlineStr">
        <x:is>
          <x:t>超‧仙星中原奇箱（網站未列地圖）；超‧仙星特仕裝箱（網站未列地圖）</x:t>
        </x:is>
      </x:c>
    </x:row>
    <x:row r="2470" ht="15" customHeight="1">
      <x:c r="A2470" s="55" t="str">
        <x:v>奇行裟★★★</x:v>
      </x:c>
      <x:c r="B2470" s="55" t="str">
        <x:v>—</x:v>
      </x:c>
      <x:c r="C2470" s="55" t="str">
        <x:v>—</x:v>
      </x:c>
      <x:c r="D2470" s="55" t="str">
        <x:v>—</x:v>
      </x:c>
      <x:c r="E2470" s="55" t="inlineStr">
        <x:is>
          <x:t>超‧仙星中原奇箱（網站未列地圖）；超‧仙星特仕裝箱（網站未列地圖）；艾姆謝特（神王金字塔）</x:t>
        </x:is>
      </x:c>
    </x:row>
    <x:row r="2471" ht="15" customHeight="1">
      <x:c r="A2471" s="55" t="str">
        <x:v>星．智者聖甲</x:v>
      </x:c>
      <x:c r="B2471" s="55" t="str">
        <x:v>—</x:v>
      </x:c>
      <x:c r="C2471" s="55" t="str">
        <x:v>—</x:v>
      </x:c>
      <x:c r="D2471" s="55" t="str">
        <x:v>—</x:v>
      </x:c>
      <x:c r="E2471" s="55" t="inlineStr">
        <x:is>
          <x:t>巨星超凡入聖錦囊（網站未列地圖）；夏辰頂天錦囊（網站未列地圖）；世紀縱橫錦囊（網站未列地圖）</x:t>
        </x:is>
      </x:c>
    </x:row>
    <x:row r="2472" ht="30" customHeight="1">
      <x:c r="A2472" s="55" t="str">
        <x:v>星．仁者聖甲</x:v>
      </x:c>
      <x:c r="B2472" s="55" t="str">
        <x:v>—</x:v>
      </x:c>
      <x:c r="C2472" s="55" t="str">
        <x:v>—</x:v>
      </x:c>
      <x:c r="D2472" s="55" t="str">
        <x:v>—</x:v>
      </x:c>
      <x:c r="E2472" s="55" t="inlineStr">
        <x:is>
          <x:t>巨星超凡入聖錦囊（網站未列地圖）；夏星創世錦囊（網站未列地圖）；端午禮品香包2019（網站未列地圖）；超神豬刮刮樂（網站未列地圖）</x:t>
        </x:is>
      </x:c>
    </x:row>
    <x:row r="2473" ht="30" customHeight="1">
      <x:c r="A2473" s="55" t="str">
        <x:v>星．勇者聖甲</x:v>
      </x:c>
      <x:c r="B2473" s="55" t="str">
        <x:v>—</x:v>
      </x:c>
      <x:c r="C2473" s="55" t="str">
        <x:v>—</x:v>
      </x:c>
      <x:c r="D2473" s="55" t="str">
        <x:v>—</x:v>
      </x:c>
      <x:c r="E2473" s="55" t="inlineStr">
        <x:is>
          <x:t>巨星超凡入聖錦囊（網站未列地圖）；諸星報喜福袋（網站未列地圖）；夏時無敵錦囊（網站未列地圖）；鼠錢手軟寶箱（網站未列地圖）</x:t>
        </x:is>
      </x:c>
    </x:row>
    <x:row r="2474" ht="15" customHeight="1">
      <x:c r="A2474" s="55" t="str">
        <x:v>星．義者聖甲</x:v>
      </x:c>
      <x:c r="B2474" s="55" t="str">
        <x:v>—</x:v>
      </x:c>
      <x:c r="C2474" s="55" t="str">
        <x:v>—</x:v>
      </x:c>
      <x:c r="D2474" s="55" t="str">
        <x:v>—</x:v>
      </x:c>
      <x:c r="E2474" s="55" t="inlineStr">
        <x:is>
          <x:t>—</x:t>
        </x:is>
      </x:c>
    </x:row>
    <x:row r="2475" ht="15" customHeight="1">
      <x:c r="A2475" s="55" t="str">
        <x:v>烈煌冑☆</x:v>
      </x:c>
      <x:c r="B2475" s="55" t="str">
        <x:v>—</x:v>
      </x:c>
      <x:c r="C2475" s="55" t="str">
        <x:v>—</x:v>
      </x:c>
      <x:c r="D2475" s="55" t="str">
        <x:v>—</x:v>
      </x:c>
      <x:c r="E2475" s="55" t="inlineStr">
        <x:is>
          <x:t>煌星劍裝錦囊（網站未列地圖）</x:t>
        </x:is>
      </x:c>
    </x:row>
    <x:row r="2476" ht="15" customHeight="1">
      <x:c r="A2476" s="55" t="str">
        <x:v>戰煌鎧☆</x:v>
      </x:c>
      <x:c r="B2476" s="55" t="str">
        <x:v>—</x:v>
      </x:c>
      <x:c r="C2476" s="55" t="str">
        <x:v>—</x:v>
      </x:c>
      <x:c r="D2476" s="55" t="str">
        <x:v>—</x:v>
      </x:c>
      <x:c r="E2476" s="55" t="inlineStr">
        <x:is>
          <x:t>煌星勇裝錦囊（網站未列地圖）；&lt;艾濟鋼鎧蠍&gt;（修羅級神王金字塔）</x:t>
        </x:is>
      </x:c>
    </x:row>
    <x:row r="2477" ht="15" customHeight="1">
      <x:c r="A2477" s="55" t="str">
        <x:v>燦煌衣☆</x:v>
      </x:c>
      <x:c r="B2477" s="55" t="str">
        <x:v>—</x:v>
      </x:c>
      <x:c r="C2477" s="55" t="str">
        <x:v>—</x:v>
      </x:c>
      <x:c r="D2477" s="55" t="str">
        <x:v>—</x:v>
      </x:c>
      <x:c r="E2477" s="55" t="inlineStr">
        <x:is>
          <x:t>煌星術裝錦囊（網站未列地圖）</x:t>
        </x:is>
      </x:c>
    </x:row>
    <x:row r="2478" ht="15" customHeight="1">
      <x:c r="A2478" s="55" t="str">
        <x:v>道煌袍☆</x:v>
      </x:c>
      <x:c r="B2478" s="55" t="str">
        <x:v>—</x:v>
      </x:c>
      <x:c r="C2478" s="55" t="str">
        <x:v>—</x:v>
      </x:c>
      <x:c r="D2478" s="55" t="str">
        <x:v>—</x:v>
      </x:c>
      <x:c r="E2478" s="55" t="inlineStr">
        <x:is>
          <x:t>煌星道裝錦囊（網站未列地圖）</x:t>
        </x:is>
      </x:c>
    </x:row>
    <x:row r="2479" ht="15" customHeight="1">
      <x:c r="A2479" s="55" t="str">
        <x:v>佛煌裟☆</x:v>
      </x:c>
      <x:c r="B2479" s="55" t="str">
        <x:v>—</x:v>
      </x:c>
      <x:c r="C2479" s="55" t="str">
        <x:v>—</x:v>
      </x:c>
      <x:c r="D2479" s="55" t="str">
        <x:v>—</x:v>
      </x:c>
      <x:c r="E2479" s="55" t="inlineStr">
        <x:is>
          <x:t>煌星僧裝錦囊（網站未列地圖）；&lt;浸幽木乃伊&gt;（修羅級神王金字塔）</x:t>
        </x:is>
      </x:c>
    </x:row>
    <x:row r="2480" ht="30" customHeight="1">
      <x:c r="A2480" s="55" t="str">
        <x:v>鬼兇鎧☆</x:v>
      </x:c>
      <x:c r="B2480" s="55" t="str">
        <x:v>—</x:v>
      </x:c>
      <x:c r="C2480" s="55" t="str">
        <x:v>—</x:v>
      </x:c>
      <x:c r="D2480" s="55" t="str">
        <x:v>—</x:v>
      </x:c>
      <x:c r="E2480" s="55" t="inlineStr">
        <x:is>
          <x:t>煌星四兇霸裝箱（網站未列地圖）；煌星特仕裝箱（網站未列地圖）；冥府艷后克麗邁絲（神王金字塔）；艾濟神王寶箱（網站未列地圖）；合成馬蟻（終末之塔第145層）；武冠勇軍（皇城）</x:t>
        </x:is>
      </x:c>
    </x:row>
    <x:row r="2481" ht="30" customHeight="1">
      <x:c r="A2481" s="55" t="str">
        <x:v>柳天衣☆</x:v>
      </x:c>
      <x:c r="B2481" s="55" t="str">
        <x:v>—</x:v>
      </x:c>
      <x:c r="C2481" s="55" t="str">
        <x:v>—</x:v>
      </x:c>
      <x:c r="D2481" s="55" t="str">
        <x:v>—</x:v>
      </x:c>
      <x:c r="E2481" s="55" t="inlineStr">
        <x:is>
          <x:t>煌星東瀛神裝箱（網站未列地圖）；煌星特仕裝箱（網站未列地圖）；罪赦術者錦囊（網站未列地圖）；黃金鼠刮刮樂（網站未列地圖）；卜虛盲巫（終末之塔第131層、終末之塔第132層）</x:t>
        </x:is>
      </x:c>
    </x:row>
    <x:row r="2482" ht="15" customHeight="1">
      <x:c r="A2482" s="55" t="str">
        <x:v>碧隱甲☆</x:v>
      </x:c>
      <x:c r="B2482" s="55" t="str">
        <x:v>—</x:v>
      </x:c>
      <x:c r="C2482" s="55" t="str">
        <x:v>—</x:v>
      </x:c>
      <x:c r="D2482" s="55" t="str">
        <x:v>—</x:v>
      </x:c>
      <x:c r="E2482" s="55" t="inlineStr">
        <x:is>
          <x:t>煌星中原奇裝箱（網站未列地圖）；煌星特仕裝箱（網站未列地圖）；金鼠刮刮樂（網站未列地圖）</x:t>
        </x:is>
      </x:c>
    </x:row>
    <x:row r="2483" ht="15" customHeight="1">
      <x:c r="A2483" s="55" t="str">
        <x:v>碧行裟☆</x:v>
      </x:c>
      <x:c r="B2483" s="55" t="str">
        <x:v>—</x:v>
      </x:c>
      <x:c r="C2483" s="55" t="str">
        <x:v>—</x:v>
      </x:c>
      <x:c r="D2483" s="55" t="str">
        <x:v>—</x:v>
      </x:c>
      <x:c r="E2483" s="55" t="inlineStr">
        <x:is>
          <x:t>煌星中原奇裝箱（網站未列地圖）；煌星特仕裝箱（網站未列地圖）；&lt;艾姆謝特&gt;（修羅級神王金字塔）</x:t>
        </x:is>
      </x:c>
    </x:row>
    <x:row r="2484" ht="15" customHeight="1">
      <x:c r="A2484" s="55" t="str">
        <x:v>烈煌冑☆☆</x:v>
      </x:c>
      <x:c r="B2484" s="55" t="str">
        <x:v>—</x:v>
      </x:c>
      <x:c r="C2484" s="55" t="str">
        <x:v>—</x:v>
      </x:c>
      <x:c r="D2484" s="55" t="str">
        <x:v>—</x:v>
      </x:c>
      <x:c r="E2484" s="55" t="inlineStr">
        <x:is>
          <x:t>真‧煌星劍裝錦囊（網站未列地圖）</x:t>
        </x:is>
      </x:c>
    </x:row>
    <x:row r="2485" ht="15" customHeight="1">
      <x:c r="A2485" s="55" t="str">
        <x:v>戰煌鎧☆☆</x:v>
      </x:c>
      <x:c r="B2485" s="55" t="str">
        <x:v>—</x:v>
      </x:c>
      <x:c r="C2485" s="55" t="str">
        <x:v>—</x:v>
      </x:c>
      <x:c r="D2485" s="55" t="str">
        <x:v>—</x:v>
      </x:c>
      <x:c r="E2485" s="55" t="inlineStr">
        <x:is>
          <x:t>真‧煌星勇裝錦囊（網站未列地圖）</x:t>
        </x:is>
      </x:c>
    </x:row>
    <x:row r="2486" ht="15" customHeight="1">
      <x:c r="A2486" s="55" t="str">
        <x:v>燦煌衣☆☆</x:v>
      </x:c>
      <x:c r="B2486" s="55" t="str">
        <x:v>—</x:v>
      </x:c>
      <x:c r="C2486" s="55" t="str">
        <x:v>—</x:v>
      </x:c>
      <x:c r="D2486" s="55" t="str">
        <x:v>—</x:v>
      </x:c>
      <x:c r="E2486" s="55" t="inlineStr">
        <x:is>
          <x:t>真‧煌星術裝錦囊（網站未列地圖）</x:t>
        </x:is>
      </x:c>
    </x:row>
    <x:row r="2487" ht="15" customHeight="1">
      <x:c r="A2487" s="55" t="str">
        <x:v>道煌袍☆☆</x:v>
      </x:c>
      <x:c r="B2487" s="55" t="str">
        <x:v>—</x:v>
      </x:c>
      <x:c r="C2487" s="55" t="str">
        <x:v>—</x:v>
      </x:c>
      <x:c r="D2487" s="55" t="str">
        <x:v>—</x:v>
      </x:c>
      <x:c r="E2487" s="55" t="inlineStr">
        <x:is>
          <x:t>真‧煌星道裝錦囊（網站未列地圖）</x:t>
        </x:is>
      </x:c>
    </x:row>
    <x:row r="2488" ht="15" customHeight="1">
      <x:c r="A2488" s="55" t="str">
        <x:v>佛煌裟☆☆</x:v>
      </x:c>
      <x:c r="B2488" s="55" t="str">
        <x:v>—</x:v>
      </x:c>
      <x:c r="C2488" s="55" t="str">
        <x:v>—</x:v>
      </x:c>
      <x:c r="D2488" s="55" t="str">
        <x:v>—</x:v>
      </x:c>
      <x:c r="E2488" s="55" t="inlineStr">
        <x:is>
          <x:t>真‧煌星僧裝錦囊（網站未列地圖）</x:t>
        </x:is>
      </x:c>
    </x:row>
    <x:row r="2489" ht="30" customHeight="1">
      <x:c r="A2489" s="55" t="str">
        <x:v>鬼兇鎧☆☆</x:v>
      </x:c>
      <x:c r="B2489" s="55" t="str">
        <x:v>—</x:v>
      </x:c>
      <x:c r="C2489" s="55" t="str">
        <x:v>—</x:v>
      </x:c>
      <x:c r="D2489" s="55" t="str">
        <x:v>—</x:v>
      </x:c>
      <x:c r="E2489" s="55" t="inlineStr">
        <x:is>
          <x:t>真‧煌星四兇霸箱（網站未列地圖）；真‧煌星特仕裝箱（網站未列地圖）；真‧艾濟神王寶箱（網站未列地圖）；鑽身神司印曷闐（修羅級神王金字塔）</x:t>
        </x:is>
      </x:c>
    </x:row>
    <x:row r="2490" ht="45" customHeight="1">
      <x:c r="A2490" s="55" t="str">
        <x:v>柳天衣☆☆</x:v>
      </x:c>
      <x:c r="B2490" s="55" t="str">
        <x:v>—</x:v>
      </x:c>
      <x:c r="C2490" s="55" t="str">
        <x:v>—</x:v>
      </x:c>
      <x:c r="D2490" s="55" t="str">
        <x:v>—</x:v>
      </x:c>
      <x:c r="E2490" s="55" t="inlineStr">
        <x:is>
          <x:t>真‧煌星東瀛神箱（網站未列地圖）；真‧煌星特仕裝箱（網站未列地圖）；真‧太陽神典錦囊（網站未列地圖）；法皇罪裁錦囊（網站未列地圖）；終罪術者錦囊（網站未列地圖）；冥府艷后克麗邁絲（神王金字塔）；艾濟神王寶箱（網站未列地圖）</x:t>
        </x:is>
      </x:c>
    </x:row>
    <x:row r="2491" ht="15" customHeight="1">
      <x:c r="A2491" s="55" t="str">
        <x:v>碧隱甲☆☆</x:v>
      </x:c>
      <x:c r="B2491" s="55" t="str">
        <x:v>—</x:v>
      </x:c>
      <x:c r="C2491" s="55" t="str">
        <x:v>—</x:v>
      </x:c>
      <x:c r="D2491" s="55" t="str">
        <x:v>—</x:v>
      </x:c>
      <x:c r="E2491" s="55" t="inlineStr">
        <x:is>
          <x:t>真‧煌星中原奇箱（網站未列地圖）；真‧煌星特仕裝箱（網站未列地圖）</x:t>
        </x:is>
      </x:c>
    </x:row>
    <x:row r="2492" ht="15" customHeight="1">
      <x:c r="A2492" s="55" t="str">
        <x:v>碧行裟☆☆</x:v>
      </x:c>
      <x:c r="B2492" s="55" t="str">
        <x:v>—</x:v>
      </x:c>
      <x:c r="C2492" s="55" t="str">
        <x:v>—</x:v>
      </x:c>
      <x:c r="D2492" s="55" t="str">
        <x:v>—</x:v>
      </x:c>
      <x:c r="E2492" s="55" t="inlineStr">
        <x:is>
          <x:t>真‧煌星中原奇箱（網站未列地圖）；真‧煌星特仕裝箱（網站未列地圖）</x:t>
        </x:is>
      </x:c>
    </x:row>
    <x:row r="2493" ht="15" customHeight="1">
      <x:c r="A2493" s="55" t="str">
        <x:v>烈煌冑☆☆☆</x:v>
      </x:c>
      <x:c r="B2493" s="55" t="str">
        <x:v>—</x:v>
      </x:c>
      <x:c r="C2493" s="55" t="str">
        <x:v>—</x:v>
      </x:c>
      <x:c r="D2493" s="55" t="str">
        <x:v>—</x:v>
      </x:c>
      <x:c r="E2493" s="55" t="inlineStr">
        <x:is>
          <x:t>超‧煌星劍裝錦囊（網站未列地圖）</x:t>
        </x:is>
      </x:c>
    </x:row>
    <x:row r="2494" ht="15" customHeight="1">
      <x:c r="A2494" s="55" t="str">
        <x:v>戰煌鎧☆☆☆</x:v>
      </x:c>
      <x:c r="B2494" s="55" t="str">
        <x:v>—</x:v>
      </x:c>
      <x:c r="C2494" s="55" t="str">
        <x:v>—</x:v>
      </x:c>
      <x:c r="D2494" s="55" t="str">
        <x:v>—</x:v>
      </x:c>
      <x:c r="E2494" s="55" t="inlineStr">
        <x:is>
          <x:t>超‧煌星勇裝錦囊（網站未列地圖）</x:t>
        </x:is>
      </x:c>
    </x:row>
    <x:row r="2495" ht="15" customHeight="1">
      <x:c r="A2495" s="55" t="str">
        <x:v>燦煌衣☆☆☆</x:v>
      </x:c>
      <x:c r="B2495" s="55" t="str">
        <x:v>—</x:v>
      </x:c>
      <x:c r="C2495" s="55" t="str">
        <x:v>—</x:v>
      </x:c>
      <x:c r="D2495" s="55" t="str">
        <x:v>—</x:v>
      </x:c>
      <x:c r="E2495" s="55" t="inlineStr">
        <x:is>
          <x:t>超‧煌星術裝錦囊（網站未列地圖）</x:t>
        </x:is>
      </x:c>
    </x:row>
    <x:row r="2496" ht="15" customHeight="1">
      <x:c r="A2496" s="55" t="str">
        <x:v>道煌袍☆☆☆</x:v>
      </x:c>
      <x:c r="B2496" s="55" t="str">
        <x:v>—</x:v>
      </x:c>
      <x:c r="C2496" s="55" t="str">
        <x:v>—</x:v>
      </x:c>
      <x:c r="D2496" s="55" t="str">
        <x:v>—</x:v>
      </x:c>
      <x:c r="E2496" s="55" t="inlineStr">
        <x:is>
          <x:t>超‧煌星道裝錦囊（網站未列地圖）</x:t>
        </x:is>
      </x:c>
    </x:row>
    <x:row r="2497" ht="15" customHeight="1">
      <x:c r="A2497" s="55" t="str">
        <x:v>佛煌裟☆☆☆</x:v>
      </x:c>
      <x:c r="B2497" s="55" t="str">
        <x:v>—</x:v>
      </x:c>
      <x:c r="C2497" s="55" t="str">
        <x:v>—</x:v>
      </x:c>
      <x:c r="D2497" s="55" t="str">
        <x:v>—</x:v>
      </x:c>
      <x:c r="E2497" s="55" t="inlineStr">
        <x:is>
          <x:t>超‧煌星僧裝錦囊（網站未列地圖）</x:t>
        </x:is>
      </x:c>
    </x:row>
    <x:row r="2498" ht="15" customHeight="1">
      <x:c r="A2498" s="55" t="str">
        <x:v>鬼兇鎧☆☆☆</x:v>
      </x:c>
      <x:c r="B2498" s="55" t="str">
        <x:v>—</x:v>
      </x:c>
      <x:c r="C2498" s="55" t="str">
        <x:v>—</x:v>
      </x:c>
      <x:c r="D2498" s="55" t="str">
        <x:v>—</x:v>
      </x:c>
      <x:c r="E2498" s="55" t="inlineStr">
        <x:is>
          <x:t>超‧煌星四兇霸箱（網站未列地圖）；超‧煌星特仕裝箱（網站未列地圖）；虛無行者．獸（修羅級黃龍秘殿）</x:t>
        </x:is>
      </x:c>
    </x:row>
    <x:row r="2499" ht="30" customHeight="1">
      <x:c r="A2499" s="55" t="str">
        <x:v>柳天衣☆☆☆</x:v>
      </x:c>
      <x:c r="B2499" s="55" t="str">
        <x:v>—</x:v>
      </x:c>
      <x:c r="C2499" s="55" t="str">
        <x:v>—</x:v>
      </x:c>
      <x:c r="D2499" s="55" t="str">
        <x:v>—</x:v>
      </x:c>
      <x:c r="E2499" s="55" t="inlineStr">
        <x:is>
          <x:t>超‧煌星東瀛神箱（網站未列地圖）；超‧煌星特仕裝箱（網站未列地圖）；真‧艾濟神王寶箱（網站未列地圖）；鑽身神司印曷闐（修羅級神王金字塔）</x:t>
        </x:is>
      </x:c>
    </x:row>
    <x:row r="2500" ht="15" customHeight="1">
      <x:c r="A2500" s="55" t="str">
        <x:v>碧隱甲☆☆☆</x:v>
      </x:c>
      <x:c r="B2500" s="55" t="str">
        <x:v>—</x:v>
      </x:c>
      <x:c r="C2500" s="55" t="str">
        <x:v>—</x:v>
      </x:c>
      <x:c r="D2500" s="55" t="str">
        <x:v>—</x:v>
      </x:c>
      <x:c r="E2500" s="55" t="inlineStr">
        <x:is>
          <x:t>超‧煌星中原奇箱（網站未列地圖）；超‧煌星特仕裝箱（網站未列地圖）</x:t>
        </x:is>
      </x:c>
    </x:row>
    <x:row r="2501" ht="15" customHeight="1">
      <x:c r="A2501" s="55" t="str">
        <x:v>碧行裟☆☆☆</x:v>
      </x:c>
      <x:c r="B2501" s="55" t="str">
        <x:v>—</x:v>
      </x:c>
      <x:c r="C2501" s="55" t="str">
        <x:v>—</x:v>
      </x:c>
      <x:c r="D2501" s="55" t="str">
        <x:v>—</x:v>
      </x:c>
      <x:c r="E2501" s="55" t="inlineStr">
        <x:is>
          <x:t>超‧煌星中原奇箱（網站未列地圖）；超‧煌星特仕裝箱（網站未列地圖）</x:t>
        </x:is>
      </x:c>
    </x:row>
    <x:row r="2502" ht="15" customHeight="1">
      <x:c r="A2502" s="55" t="str">
        <x:v>昊．智者聖甲</x:v>
      </x:c>
      <x:c r="B2502" s="55" t="str">
        <x:v>—</x:v>
      </x:c>
      <x:c r="C2502" s="55" t="str">
        <x:v>—</x:v>
      </x:c>
      <x:c r="D2502" s="55" t="str">
        <x:v>—</x:v>
      </x:c>
      <x:c r="E2502" s="55" t="inlineStr">
        <x:is>
          <x:t>昊星超凡入聖錦囊（網站未列地圖）；麻辣艾濟錦囊（網站未列地圖）</x:t>
        </x:is>
      </x:c>
    </x:row>
    <x:row r="2503" ht="60" customHeight="1">
      <x:c r="A2503" s="55" t="str">
        <x:v>昊．仁者聖甲</x:v>
      </x:c>
      <x:c r="B2503" s="55" t="str">
        <x:v>—</x:v>
      </x:c>
      <x:c r="C2503" s="55" t="str">
        <x:v>—</x:v>
      </x:c>
      <x:c r="D2503" s="55" t="str">
        <x:v>—</x:v>
      </x:c>
      <x:c r="E2503" s="55" t="inlineStr">
        <x:is>
          <x:t>昊星超凡入聖錦囊（網站未列地圖）；法皇罪裁錦囊（網站未列地圖）；端午道儀香包（網站未列地圖）；冥府艷后克麗邁絲（神王金字塔）；艾濟神王寶箱（網站未列地圖）；非州精靈（網站未列地圖）；太極名醫（網站未列地圖）；休假忍者（網站未列地圖）；鬥魔騎士（網站未列地圖）；南洋遊客（網站未列地圖）；波斯商旅（網站未列地圖）；武窟精衛（藏意武窟）</x:t>
        </x:is>
      </x:c>
    </x:row>
    <x:row r="2504" ht="15" customHeight="1">
      <x:c r="A2504" s="55" t="str">
        <x:v>昊．勇者聖甲</x:v>
      </x:c>
      <x:c r="B2504" s="55" t="str">
        <x:v>—</x:v>
      </x:c>
      <x:c r="C2504" s="55" t="str">
        <x:v>—</x:v>
      </x:c>
      <x:c r="D2504" s="55" t="str">
        <x:v>—</x:v>
      </x:c>
      <x:c r="E2504" s="55" t="inlineStr">
        <x:is>
          <x:t>昊星超凡入聖錦囊（網站未列地圖）；武神‧異神靈識（殘雲天境）；太陽神典錦囊（網站未列地圖）</x:t>
        </x:is>
      </x:c>
    </x:row>
    <x:row r="2505" ht="30" customHeight="1">
      <x:c r="A2505" s="55" t="str">
        <x:v>昊．義者聖甲</x:v>
      </x:c>
      <x:c r="B2505" s="55" t="str">
        <x:v>—</x:v>
      </x:c>
      <x:c r="C2505" s="55" t="str">
        <x:v>—</x:v>
      </x:c>
      <x:c r="D2505" s="55" t="str">
        <x:v>—</x:v>
      </x:c>
      <x:c r="E2505" s="55" t="inlineStr">
        <x:is>
          <x:t>麻辣神柱錦囊（網站未列地圖）；鼠來寶開工禮袋（網站未列地圖）；太陰使徒（網站未列地圖）；黃金鼠刮刮樂（網站未列地圖）</x:t>
        </x:is>
      </x:c>
    </x:row>
    <x:row r="2506" ht="15" customHeight="1">
      <x:c r="A2506" s="55" t="str">
        <x:v>劍帝服☆</x:v>
      </x:c>
      <x:c r="B2506" s="55" t="str">
        <x:v>—</x:v>
      </x:c>
      <x:c r="C2506" s="55" t="str">
        <x:v>—</x:v>
      </x:c>
      <x:c r="D2506" s="55" t="str">
        <x:v>—</x:v>
      </x:c>
      <x:c r="E2506" s="55" t="inlineStr">
        <x:is>
          <x:t>帝星劍裝錦囊（網站未列地圖）；雷霸機關長（藏意武窟）</x:t>
        </x:is>
      </x:c>
    </x:row>
    <x:row r="2507" ht="15" customHeight="1">
      <x:c r="A2507" s="55" t="str">
        <x:v>武帝胄☆</x:v>
      </x:c>
      <x:c r="B2507" s="55" t="str">
        <x:v>—</x:v>
      </x:c>
      <x:c r="C2507" s="55" t="str">
        <x:v>—</x:v>
      </x:c>
      <x:c r="D2507" s="55" t="str">
        <x:v>—</x:v>
      </x:c>
      <x:c r="E2507" s="55" t="inlineStr">
        <x:is>
          <x:t>帝星勇裝錦囊（網站未列地圖）；鎮國黑虎騎（藏意武窟）</x:t>
        </x:is>
      </x:c>
    </x:row>
    <x:row r="2508" ht="15" customHeight="1">
      <x:c r="A2508" s="55" t="str">
        <x:v>幻帝裘☆</x:v>
      </x:c>
      <x:c r="B2508" s="55" t="str">
        <x:v>—</x:v>
      </x:c>
      <x:c r="C2508" s="55" t="str">
        <x:v>—</x:v>
      </x:c>
      <x:c r="D2508" s="55" t="str">
        <x:v>—</x:v>
      </x:c>
      <x:c r="E2508" s="55" t="inlineStr">
        <x:is>
          <x:t>帝星術裝錦囊（網站未列地圖）；影武暗部（藏意武窟）</x:t>
        </x:is>
      </x:c>
    </x:row>
    <x:row r="2509" ht="15" customHeight="1">
      <x:c r="A2509" s="55" t="str">
        <x:v>道帝袍☆</x:v>
      </x:c>
      <x:c r="B2509" s="55" t="str">
        <x:v>—</x:v>
      </x:c>
      <x:c r="C2509" s="55" t="str">
        <x:v>—</x:v>
      </x:c>
      <x:c r="D2509" s="55" t="str">
        <x:v>—</x:v>
      </x:c>
      <x:c r="E2509" s="55" t="inlineStr">
        <x:is>
          <x:t>帝星道裝錦囊（網站未列地圖）；武窟先銳（藏意武窟）</x:t>
        </x:is>
      </x:c>
    </x:row>
    <x:row r="2510" ht="15" customHeight="1">
      <x:c r="A2510" s="55" t="str">
        <x:v>禪帝衲☆</x:v>
      </x:c>
      <x:c r="B2510" s="55" t="str">
        <x:v>—</x:v>
      </x:c>
      <x:c r="C2510" s="55" t="str">
        <x:v>—</x:v>
      </x:c>
      <x:c r="D2510" s="55" t="str">
        <x:v>—</x:v>
      </x:c>
      <x:c r="E2510" s="55" t="inlineStr">
        <x:is>
          <x:t>帝星僧裝錦囊（網站未列地圖）；火武機關兵（藏意武窟）</x:t>
        </x:is>
      </x:c>
    </x:row>
    <x:row r="2511" ht="15" customHeight="1">
      <x:c r="A2511" s="55" t="str">
        <x:v>鬼帝鎧☆</x:v>
      </x:c>
      <x:c r="B2511" s="55" t="str">
        <x:v>—</x:v>
      </x:c>
      <x:c r="C2511" s="55" t="str">
        <x:v>—</x:v>
      </x:c>
      <x:c r="D2511" s="55" t="str">
        <x:v>—</x:v>
      </x:c>
      <x:c r="E2511" s="55" t="inlineStr">
        <x:is>
          <x:t>帝星四兇霸裝箱（網站未列地圖）；帝星特仕裝箱（網站未列地圖）</x:t>
        </x:is>
      </x:c>
    </x:row>
    <x:row r="2512" ht="15" customHeight="1">
      <x:c r="A2512" s="55" t="str">
        <x:v>黃天衣☆</x:v>
      </x:c>
      <x:c r="B2512" s="55" t="str">
        <x:v>—</x:v>
      </x:c>
      <x:c r="C2512" s="55" t="str">
        <x:v>—</x:v>
      </x:c>
      <x:c r="D2512" s="55" t="str">
        <x:v>—</x:v>
      </x:c>
      <x:c r="E2512" s="55" t="inlineStr">
        <x:is>
          <x:t>帝星東瀛神裝箱（網站未列地圖）；帝星特仕裝箱（網站未列地圖）；長疆靈貂（山海長疆）</x:t>
        </x:is>
      </x:c>
    </x:row>
    <x:row r="2513" ht="15" customHeight="1">
      <x:c r="A2513" s="55" t="str">
        <x:v>皇影甲☆</x:v>
      </x:c>
      <x:c r="B2513" s="55" t="str">
        <x:v>—</x:v>
      </x:c>
      <x:c r="C2513" s="55" t="str">
        <x:v>—</x:v>
      </x:c>
      <x:c r="D2513" s="55" t="str">
        <x:v>—</x:v>
      </x:c>
      <x:c r="E2513" s="55" t="inlineStr">
        <x:is>
          <x:t>帝星中原奇裝箱（網站未列地圖）；帝星特仕裝箱（網站未列地圖）；艾濟武姬（西宮翠苑）</x:t>
        </x:is>
      </x:c>
    </x:row>
    <x:row r="2514" ht="15" customHeight="1">
      <x:c r="A2514" s="55" t="str">
        <x:v>神無袈☆</x:v>
      </x:c>
      <x:c r="B2514" s="55" t="str">
        <x:v>—</x:v>
      </x:c>
      <x:c r="C2514" s="55" t="str">
        <x:v>—</x:v>
      </x:c>
      <x:c r="D2514" s="55" t="str">
        <x:v>—</x:v>
      </x:c>
      <x:c r="E2514" s="55" t="inlineStr">
        <x:is>
          <x:t>帝星中原奇裝箱（網站未列地圖）；帝星特仕裝箱（網站未列地圖）；東庭古木（東宮碧庭）</x:t>
        </x:is>
      </x:c>
    </x:row>
    <x:row r="2515" ht="15" customHeight="1">
      <x:c r="A2515" s="55" t="str">
        <x:v>劍帝服★</x:v>
      </x:c>
      <x:c r="B2515" s="55" t="str">
        <x:v>—</x:v>
      </x:c>
      <x:c r="C2515" s="55" t="str">
        <x:v>—</x:v>
      </x:c>
      <x:c r="D2515" s="55" t="str">
        <x:v>—</x:v>
      </x:c>
      <x:c r="E2515" s="55" t="inlineStr">
        <x:is>
          <x:t>真‧帝星劍裝錦囊（網站未列地圖）；長疆寇（山海長疆、太安道）</x:t>
        </x:is>
      </x:c>
    </x:row>
    <x:row r="2516" ht="15" customHeight="1">
      <x:c r="A2516" s="55" t="str">
        <x:v>武帝胄★</x:v>
      </x:c>
      <x:c r="B2516" s="55" t="str">
        <x:v>—</x:v>
      </x:c>
      <x:c r="C2516" s="55" t="str">
        <x:v>—</x:v>
      </x:c>
      <x:c r="D2516" s="55" t="str">
        <x:v>—</x:v>
      </x:c>
      <x:c r="E2516" s="55" t="inlineStr">
        <x:is>
          <x:t>真‧帝星勇裝錦囊（網站未列地圖）；飢戰海妖（東海道）</x:t>
        </x:is>
      </x:c>
    </x:row>
    <x:row r="2517" ht="15" customHeight="1">
      <x:c r="A2517" s="55" t="str">
        <x:v>幻帝裘★</x:v>
      </x:c>
      <x:c r="B2517" s="55" t="str">
        <x:v>—</x:v>
      </x:c>
      <x:c r="C2517" s="55" t="str">
        <x:v>—</x:v>
      </x:c>
      <x:c r="D2517" s="55" t="str">
        <x:v>—</x:v>
      </x:c>
      <x:c r="E2517" s="55" t="inlineStr">
        <x:is>
          <x:t>真‧帝星術裝錦囊（網站未列地圖）</x:t>
        </x:is>
      </x:c>
    </x:row>
    <x:row r="2518" ht="15" customHeight="1">
      <x:c r="A2518" s="55" t="str">
        <x:v>道帝袍★</x:v>
      </x:c>
      <x:c r="B2518" s="55" t="str">
        <x:v>—</x:v>
      </x:c>
      <x:c r="C2518" s="55" t="str">
        <x:v>—</x:v>
      </x:c>
      <x:c r="D2518" s="55" t="str">
        <x:v>—</x:v>
      </x:c>
      <x:c r="E2518" s="55" t="inlineStr">
        <x:is>
          <x:t>真‧帝星道裝錦囊（網站未列地圖）</x:t>
        </x:is>
      </x:c>
    </x:row>
    <x:row r="2519" ht="15" customHeight="1">
      <x:c r="A2519" s="55" t="str">
        <x:v>禪帝衲★</x:v>
      </x:c>
      <x:c r="B2519" s="55" t="str">
        <x:v>—</x:v>
      </x:c>
      <x:c r="C2519" s="55" t="str">
        <x:v>—</x:v>
      </x:c>
      <x:c r="D2519" s="55" t="str">
        <x:v>—</x:v>
      </x:c>
      <x:c r="E2519" s="55" t="inlineStr">
        <x:is>
          <x:t>真‧帝星僧裝錦囊（網站未列地圖）</x:t>
        </x:is>
      </x:c>
    </x:row>
    <x:row r="2520" ht="15" customHeight="1">
      <x:c r="A2520" s="55" t="str">
        <x:v>鬼帝鎧★</x:v>
      </x:c>
      <x:c r="B2520" s="55" t="str">
        <x:v>—</x:v>
      </x:c>
      <x:c r="C2520" s="55" t="str">
        <x:v>—</x:v>
      </x:c>
      <x:c r="D2520" s="55" t="str">
        <x:v>—</x:v>
      </x:c>
      <x:c r="E2520" s="55" t="inlineStr">
        <x:is>
          <x:t>真‧帝星四兇霸箱（網站未列地圖）；真‧帝星特仕裝箱（網站未列地圖）</x:t>
        </x:is>
      </x:c>
    </x:row>
    <x:row r="2521" ht="15" customHeight="1">
      <x:c r="A2521" s="55" t="str">
        <x:v>黃天衣★</x:v>
      </x:c>
      <x:c r="B2521" s="55" t="str">
        <x:v>—</x:v>
      </x:c>
      <x:c r="C2521" s="55" t="str">
        <x:v>—</x:v>
      </x:c>
      <x:c r="D2521" s="55" t="str">
        <x:v>—</x:v>
      </x:c>
      <x:c r="E2521" s="55" t="inlineStr">
        <x:is>
          <x:t>真‧帝星東瀛神箱（網站未列地圖）；真‧帝星特仕裝箱（網站未列地圖）；武冠術者錦囊（網站未列地圖）</x:t>
        </x:is>
      </x:c>
    </x:row>
    <x:row r="2522" ht="15" customHeight="1">
      <x:c r="A2522" s="55" t="str">
        <x:v>皇影甲★</x:v>
      </x:c>
      <x:c r="B2522" s="55" t="str">
        <x:v>—</x:v>
      </x:c>
      <x:c r="C2522" s="55" t="str">
        <x:v>—</x:v>
      </x:c>
      <x:c r="D2522" s="55" t="str">
        <x:v>—</x:v>
      </x:c>
      <x:c r="E2522" s="55" t="inlineStr">
        <x:is>
          <x:t>真‧帝星中原奇箱（網站未列地圖）；真‧帝星特仕裝箱（網站未列地圖）；東海溺靈（東海道）</x:t>
        </x:is>
      </x:c>
    </x:row>
    <x:row r="2523" ht="15" customHeight="1">
      <x:c r="A2523" s="55" t="str">
        <x:v>神無袈★</x:v>
      </x:c>
      <x:c r="B2523" s="55" t="str">
        <x:v>—</x:v>
      </x:c>
      <x:c r="C2523" s="55" t="str">
        <x:v>—</x:v>
      </x:c>
      <x:c r="D2523" s="55" t="str">
        <x:v>—</x:v>
      </x:c>
      <x:c r="E2523" s="55" t="inlineStr">
        <x:is>
          <x:t>真‧帝星中原奇箱（網站未列地圖）；真‧帝星特仕裝箱（網站未列地圖）；武冠僧侶錦囊（網站未列地圖）</x:t>
        </x:is>
      </x:c>
    </x:row>
    <x:row r="2524" ht="15" customHeight="1">
      <x:c r="A2524" s="55" t="str">
        <x:v>劍帝服★☆</x:v>
      </x:c>
      <x:c r="B2524" s="55" t="str">
        <x:v>—</x:v>
      </x:c>
      <x:c r="C2524" s="55" t="str">
        <x:v>—</x:v>
      </x:c>
      <x:c r="D2524" s="55" t="str">
        <x:v>—</x:v>
      </x:c>
      <x:c r="E2524" s="55" t="inlineStr">
        <x:is>
          <x:t>超‧帝星劍裝錦囊（網站未列地圖）</x:t>
        </x:is>
      </x:c>
    </x:row>
    <x:row r="2525" ht="15" customHeight="1">
      <x:c r="A2525" s="55" t="str">
        <x:v>武帝胄★☆</x:v>
      </x:c>
      <x:c r="B2525" s="55" t="str">
        <x:v>—</x:v>
      </x:c>
      <x:c r="C2525" s="55" t="str">
        <x:v>—</x:v>
      </x:c>
      <x:c r="D2525" s="55" t="str">
        <x:v>—</x:v>
      </x:c>
      <x:c r="E2525" s="55" t="inlineStr">
        <x:is>
          <x:t>超‧帝星勇裝錦囊（網站未列地圖）</x:t>
        </x:is>
      </x:c>
    </x:row>
    <x:row r="2526" ht="15" customHeight="1">
      <x:c r="A2526" s="55" t="str">
        <x:v>幻帝裘★☆</x:v>
      </x:c>
      <x:c r="B2526" s="55" t="str">
        <x:v>—</x:v>
      </x:c>
      <x:c r="C2526" s="55" t="str">
        <x:v>—</x:v>
      </x:c>
      <x:c r="D2526" s="55" t="str">
        <x:v>—</x:v>
      </x:c>
      <x:c r="E2526" s="55" t="inlineStr">
        <x:is>
          <x:t>超‧帝星術裝錦囊（網站未列地圖）</x:t>
        </x:is>
      </x:c>
    </x:row>
    <x:row r="2527" ht="15" customHeight="1">
      <x:c r="A2527" s="55" t="str">
        <x:v>道帝袍★☆</x:v>
      </x:c>
      <x:c r="B2527" s="55" t="str">
        <x:v>—</x:v>
      </x:c>
      <x:c r="C2527" s="55" t="str">
        <x:v>—</x:v>
      </x:c>
      <x:c r="D2527" s="55" t="str">
        <x:v>—</x:v>
      </x:c>
      <x:c r="E2527" s="55" t="inlineStr">
        <x:is>
          <x:t>超‧帝星道裝錦囊（網站未列地圖）</x:t>
        </x:is>
      </x:c>
    </x:row>
    <x:row r="2528" ht="15" customHeight="1">
      <x:c r="A2528" s="55" t="str">
        <x:v>禪帝衲★☆</x:v>
      </x:c>
      <x:c r="B2528" s="55" t="str">
        <x:v>—</x:v>
      </x:c>
      <x:c r="C2528" s="55" t="str">
        <x:v>—</x:v>
      </x:c>
      <x:c r="D2528" s="55" t="str">
        <x:v>—</x:v>
      </x:c>
      <x:c r="E2528" s="55" t="inlineStr">
        <x:is>
          <x:t>超‧帝星僧裝錦囊（網站未列地圖）</x:t>
        </x:is>
      </x:c>
    </x:row>
    <x:row r="2529" ht="15" customHeight="1">
      <x:c r="A2529" s="55" t="str">
        <x:v>鬼帝鎧★☆</x:v>
      </x:c>
      <x:c r="B2529" s="55" t="str">
        <x:v>—</x:v>
      </x:c>
      <x:c r="C2529" s="55" t="str">
        <x:v>—</x:v>
      </x:c>
      <x:c r="D2529" s="55" t="str">
        <x:v>—</x:v>
      </x:c>
      <x:c r="E2529" s="55" t="inlineStr">
        <x:is>
          <x:t>超‧帝星四兇霸箱（網站未列地圖）；超‧帝星特仕裝箱（網站未列地圖）</x:t>
        </x:is>
      </x:c>
    </x:row>
    <x:row r="2530" ht="15" customHeight="1">
      <x:c r="A2530" s="55" t="str">
        <x:v>黃天衣★☆</x:v>
      </x:c>
      <x:c r="B2530" s="55" t="str">
        <x:v>—</x:v>
      </x:c>
      <x:c r="C2530" s="55" t="str">
        <x:v>—</x:v>
      </x:c>
      <x:c r="D2530" s="55" t="str">
        <x:v>—</x:v>
      </x:c>
      <x:c r="E2530" s="55" t="inlineStr">
        <x:is>
          <x:t>超‧帝星東瀛神箱（網站未列地圖）；超‧帝星特仕裝箱（網站未列地圖）</x:t>
        </x:is>
      </x:c>
    </x:row>
    <x:row r="2531" ht="15" customHeight="1">
      <x:c r="A2531" s="55" t="str">
        <x:v>皇影甲★☆</x:v>
      </x:c>
      <x:c r="B2531" s="55" t="str">
        <x:v>—</x:v>
      </x:c>
      <x:c r="C2531" s="55" t="str">
        <x:v>—</x:v>
      </x:c>
      <x:c r="D2531" s="55" t="str">
        <x:v>—</x:v>
      </x:c>
      <x:c r="E2531" s="55" t="inlineStr">
        <x:is>
          <x:t>超‧帝星中原奇箱（網站未列地圖）；超‧帝星特仕裝箱（網站未列地圖）</x:t>
        </x:is>
      </x:c>
    </x:row>
    <x:row r="2532" ht="15" customHeight="1">
      <x:c r="A2532" s="55" t="str">
        <x:v>神無袈★☆</x:v>
      </x:c>
      <x:c r="B2532" s="55" t="str">
        <x:v>—</x:v>
      </x:c>
      <x:c r="C2532" s="55" t="str">
        <x:v>—</x:v>
      </x:c>
      <x:c r="D2532" s="55" t="str">
        <x:v>—</x:v>
      </x:c>
      <x:c r="E2532" s="55" t="inlineStr">
        <x:is>
          <x:t>超‧帝星中原奇箱（網站未列地圖）；超‧帝星特仕裝箱（網站未列地圖）</x:t>
        </x:is>
      </x:c>
    </x:row>
    <x:row r="2533" ht="15" customHeight="1">
      <x:c r="A2533" s="55" t="str">
        <x:v>劍帝服★★</x:v>
      </x:c>
      <x:c r="B2533" s="55" t="str">
        <x:v>—</x:v>
      </x:c>
      <x:c r="C2533" s="55" t="str">
        <x:v>—</x:v>
      </x:c>
      <x:c r="D2533" s="55" t="str">
        <x:v>—</x:v>
      </x:c>
      <x:c r="E2533" s="55" t="inlineStr">
        <x:is>
          <x:t>極‧帝星劍裝錦囊（網站未列地圖）</x:t>
        </x:is>
      </x:c>
    </x:row>
    <x:row r="2534" ht="15" customHeight="1">
      <x:c r="A2534" s="55" t="str">
        <x:v>武帝胄★★</x:v>
      </x:c>
      <x:c r="B2534" s="55" t="str">
        <x:v>—</x:v>
      </x:c>
      <x:c r="C2534" s="55" t="str">
        <x:v>—</x:v>
      </x:c>
      <x:c r="D2534" s="55" t="str">
        <x:v>—</x:v>
      </x:c>
      <x:c r="E2534" s="55" t="inlineStr">
        <x:is>
          <x:t>極‧帝星勇裝錦囊（網站未列地圖）</x:t>
        </x:is>
      </x:c>
    </x:row>
    <x:row r="2535" ht="15" customHeight="1">
      <x:c r="A2535" s="55" t="str">
        <x:v>幻帝裘★★</x:v>
      </x:c>
      <x:c r="B2535" s="55" t="str">
        <x:v>—</x:v>
      </x:c>
      <x:c r="C2535" s="55" t="str">
        <x:v>—</x:v>
      </x:c>
      <x:c r="D2535" s="55" t="str">
        <x:v>—</x:v>
      </x:c>
      <x:c r="E2535" s="55" t="inlineStr">
        <x:is>
          <x:t>極‧帝星術裝錦囊（網站未列地圖）</x:t>
        </x:is>
      </x:c>
    </x:row>
    <x:row r="2536" ht="15" customHeight="1">
      <x:c r="A2536" s="55" t="str">
        <x:v>道帝袍★★</x:v>
      </x:c>
      <x:c r="B2536" s="55" t="str">
        <x:v>—</x:v>
      </x:c>
      <x:c r="C2536" s="55" t="str">
        <x:v>—</x:v>
      </x:c>
      <x:c r="D2536" s="55" t="str">
        <x:v>—</x:v>
      </x:c>
      <x:c r="E2536" s="55" t="inlineStr">
        <x:is>
          <x:t>極‧帝星道裝錦囊（網站未列地圖）</x:t>
        </x:is>
      </x:c>
    </x:row>
    <x:row r="2537" ht="15" customHeight="1">
      <x:c r="A2537" s="55" t="str">
        <x:v>禪帝衲★★</x:v>
      </x:c>
      <x:c r="B2537" s="55" t="str">
        <x:v>—</x:v>
      </x:c>
      <x:c r="C2537" s="55" t="str">
        <x:v>—</x:v>
      </x:c>
      <x:c r="D2537" s="55" t="str">
        <x:v>—</x:v>
      </x:c>
      <x:c r="E2537" s="55" t="inlineStr">
        <x:is>
          <x:t>極‧帝星僧裝錦囊（網站未列地圖）</x:t>
        </x:is>
      </x:c>
    </x:row>
    <x:row r="2538" ht="15" customHeight="1">
      <x:c r="A2538" s="55" t="str">
        <x:v>鬼帝鎧★★</x:v>
      </x:c>
      <x:c r="B2538" s="55" t="str">
        <x:v>—</x:v>
      </x:c>
      <x:c r="C2538" s="55" t="str">
        <x:v>—</x:v>
      </x:c>
      <x:c r="D2538" s="55" t="str">
        <x:v>—</x:v>
      </x:c>
      <x:c r="E2538" s="55" t="inlineStr">
        <x:is>
          <x:t>極‧帝星四兇霸箱（網站未列地圖）；極‧帝星特仕裝箱（網站未列地圖）</x:t>
        </x:is>
      </x:c>
    </x:row>
    <x:row r="2539" ht="15" customHeight="1">
      <x:c r="A2539" s="55" t="str">
        <x:v>黃天衣★★</x:v>
      </x:c>
      <x:c r="B2539" s="55" t="str">
        <x:v>—</x:v>
      </x:c>
      <x:c r="C2539" s="55" t="str">
        <x:v>—</x:v>
      </x:c>
      <x:c r="D2539" s="55" t="str">
        <x:v>—</x:v>
      </x:c>
      <x:c r="E2539" s="55" t="inlineStr">
        <x:is>
          <x:t>極‧帝星東瀛神箱（網站未列地圖）；極‧帝星特仕裝箱（網站未列地圖）</x:t>
        </x:is>
      </x:c>
    </x:row>
    <x:row r="2540" ht="15" customHeight="1">
      <x:c r="A2540" s="55" t="str">
        <x:v>皇影甲★★</x:v>
      </x:c>
      <x:c r="B2540" s="55" t="str">
        <x:v>—</x:v>
      </x:c>
      <x:c r="C2540" s="55" t="str">
        <x:v>—</x:v>
      </x:c>
      <x:c r="D2540" s="55" t="str">
        <x:v>—</x:v>
      </x:c>
      <x:c r="E2540" s="55" t="inlineStr">
        <x:is>
          <x:t>極‧帝星中原奇箱（網站未列地圖）；極‧帝星特仕裝箱（網站未列地圖）</x:t>
        </x:is>
      </x:c>
    </x:row>
    <x:row r="2541" ht="15" customHeight="1">
      <x:c r="A2541" s="55" t="str">
        <x:v>神無袈★★</x:v>
      </x:c>
      <x:c r="B2541" s="55" t="str">
        <x:v>—</x:v>
      </x:c>
      <x:c r="C2541" s="55" t="str">
        <x:v>—</x:v>
      </x:c>
      <x:c r="D2541" s="55" t="str">
        <x:v>—</x:v>
      </x:c>
      <x:c r="E2541" s="55" t="inlineStr">
        <x:is>
          <x:t>極‧帝星中原奇箱（網站未列地圖）；極‧帝星特仕裝箱（網站未列地圖）</x:t>
        </x:is>
      </x:c>
    </x:row>
    <x:row r="2542" ht="15" customHeight="1">
      <x:c r="A2542" s="55" t="str">
        <x:v>劍帝服★★☆</x:v>
      </x:c>
      <x:c r="B2542" s="55" t="str">
        <x:v>—</x:v>
      </x:c>
      <x:c r="C2542" s="55" t="str">
        <x:v>—</x:v>
      </x:c>
      <x:c r="D2542" s="55" t="str">
        <x:v>—</x:v>
      </x:c>
      <x:c r="E2542" s="55" t="inlineStr">
        <x:is>
          <x:t>絕‧帝星劍裝錦囊（網站未列地圖）</x:t>
        </x:is>
      </x:c>
    </x:row>
    <x:row r="2543" ht="15" customHeight="1">
      <x:c r="A2543" s="55" t="str">
        <x:v>武帝胄★★☆</x:v>
      </x:c>
      <x:c r="B2543" s="55" t="str">
        <x:v>—</x:v>
      </x:c>
      <x:c r="C2543" s="55" t="str">
        <x:v>—</x:v>
      </x:c>
      <x:c r="D2543" s="55" t="str">
        <x:v>—</x:v>
      </x:c>
      <x:c r="E2543" s="55" t="inlineStr">
        <x:is>
          <x:t>絕‧帝星勇裝錦囊（網站未列地圖）</x:t>
        </x:is>
      </x:c>
    </x:row>
    <x:row r="2544" ht="15" customHeight="1">
      <x:c r="A2544" s="55" t="str">
        <x:v>幻帝裘★★☆</x:v>
      </x:c>
      <x:c r="B2544" s="55" t="str">
        <x:v>—</x:v>
      </x:c>
      <x:c r="C2544" s="55" t="str">
        <x:v>—</x:v>
      </x:c>
      <x:c r="D2544" s="55" t="str">
        <x:v>—</x:v>
      </x:c>
      <x:c r="E2544" s="55" t="inlineStr">
        <x:is>
          <x:t>絕‧帝星術裝錦囊（網站未列地圖）</x:t>
        </x:is>
      </x:c>
    </x:row>
    <x:row r="2545" ht="15" customHeight="1">
      <x:c r="A2545" s="55" t="str">
        <x:v>道帝袍★★☆</x:v>
      </x:c>
      <x:c r="B2545" s="55" t="str">
        <x:v>—</x:v>
      </x:c>
      <x:c r="C2545" s="55" t="str">
        <x:v>—</x:v>
      </x:c>
      <x:c r="D2545" s="55" t="str">
        <x:v>—</x:v>
      </x:c>
      <x:c r="E2545" s="55" t="inlineStr">
        <x:is>
          <x:t>絕‧帝星道裝錦囊（網站未列地圖）</x:t>
        </x:is>
      </x:c>
    </x:row>
    <x:row r="2546" ht="15" customHeight="1">
      <x:c r="A2546" s="55" t="str">
        <x:v>禪帝衲★★☆</x:v>
      </x:c>
      <x:c r="B2546" s="55" t="str">
        <x:v>—</x:v>
      </x:c>
      <x:c r="C2546" s="55" t="str">
        <x:v>—</x:v>
      </x:c>
      <x:c r="D2546" s="55" t="str">
        <x:v>—</x:v>
      </x:c>
      <x:c r="E2546" s="55" t="inlineStr">
        <x:is>
          <x:t>絕‧帝星僧裝錦囊（網站未列地圖）</x:t>
        </x:is>
      </x:c>
    </x:row>
    <x:row r="2547" ht="15" customHeight="1">
      <x:c r="A2547" s="55" t="str">
        <x:v>鬼帝鎧★★☆</x:v>
      </x:c>
      <x:c r="B2547" s="55" t="str">
        <x:v>—</x:v>
      </x:c>
      <x:c r="C2547" s="55" t="str">
        <x:v>—</x:v>
      </x:c>
      <x:c r="D2547" s="55" t="str">
        <x:v>—</x:v>
      </x:c>
      <x:c r="E2547" s="55" t="inlineStr">
        <x:is>
          <x:t>絕‧帝星四兇霸箱（網站未列地圖）；絕‧帝星特仕裝箱（網站未列地圖）</x:t>
        </x:is>
      </x:c>
    </x:row>
    <x:row r="2548" ht="15" customHeight="1">
      <x:c r="A2548" s="55" t="str">
        <x:v>黃天衣★★☆</x:v>
      </x:c>
      <x:c r="B2548" s="55" t="str">
        <x:v>—</x:v>
      </x:c>
      <x:c r="C2548" s="55" t="str">
        <x:v>—</x:v>
      </x:c>
      <x:c r="D2548" s="55" t="str">
        <x:v>—</x:v>
      </x:c>
      <x:c r="E2548" s="55" t="inlineStr">
        <x:is>
          <x:t>絕‧帝星東瀛神箱（網站未列地圖）；絕‧帝星特仕裝箱（網站未列地圖）；天元術者錦囊（網站未列地圖）</x:t>
        </x:is>
      </x:c>
    </x:row>
    <x:row r="2549" ht="15" customHeight="1">
      <x:c r="A2549" s="55" t="str">
        <x:v>皇影甲★★☆</x:v>
      </x:c>
      <x:c r="B2549" s="55" t="str">
        <x:v>—</x:v>
      </x:c>
      <x:c r="C2549" s="55" t="str">
        <x:v>—</x:v>
      </x:c>
      <x:c r="D2549" s="55" t="str">
        <x:v>—</x:v>
      </x:c>
      <x:c r="E2549" s="55" t="inlineStr">
        <x:is>
          <x:t>絕‧帝星中原奇箱（網站未列地圖）；絕‧帝星特仕裝箱（網站未列地圖）</x:t>
        </x:is>
      </x:c>
    </x:row>
    <x:row r="2550" ht="15" customHeight="1">
      <x:c r="A2550" s="55" t="str">
        <x:v>神無袈★★☆</x:v>
      </x:c>
      <x:c r="B2550" s="55" t="str">
        <x:v>—</x:v>
      </x:c>
      <x:c r="C2550" s="55" t="str">
        <x:v>—</x:v>
      </x:c>
      <x:c r="D2550" s="55" t="str">
        <x:v>—</x:v>
      </x:c>
      <x:c r="E2550" s="55" t="inlineStr">
        <x:is>
          <x:t>絕‧帝星中原奇箱（網站未列地圖）；絕‧帝星特仕裝箱（網站未列地圖）；天元僧侶錦囊（網站未列地圖）</x:t>
        </x:is>
      </x:c>
    </x:row>
    <x:row r="2551" ht="15" customHeight="1">
      <x:c r="A2551" s="55" t="str">
        <x:v>劍帝服★★★</x:v>
      </x:c>
      <x:c r="B2551" s="55" t="str">
        <x:v>—</x:v>
      </x:c>
      <x:c r="C2551" s="55" t="str">
        <x:v>—</x:v>
      </x:c>
      <x:c r="D2551" s="55" t="str">
        <x:v>—</x:v>
      </x:c>
      <x:c r="E2551" s="55" t="inlineStr">
        <x:is>
          <x:t>神‧帝星劍裝錦囊（網站未列地圖）</x:t>
        </x:is>
      </x:c>
    </x:row>
    <x:row r="2552" ht="15" customHeight="1">
      <x:c r="A2552" s="55" t="str">
        <x:v>武帝胄★★★</x:v>
      </x:c>
      <x:c r="B2552" s="55" t="str">
        <x:v>—</x:v>
      </x:c>
      <x:c r="C2552" s="55" t="str">
        <x:v>—</x:v>
      </x:c>
      <x:c r="D2552" s="55" t="str">
        <x:v>—</x:v>
      </x:c>
      <x:c r="E2552" s="55" t="inlineStr">
        <x:is>
          <x:t>神‧帝星勇裝錦囊（網站未列地圖）</x:t>
        </x:is>
      </x:c>
    </x:row>
    <x:row r="2553" ht="15" customHeight="1">
      <x:c r="A2553" s="55" t="str">
        <x:v>幻帝裘★★★</x:v>
      </x:c>
      <x:c r="B2553" s="55" t="str">
        <x:v>—</x:v>
      </x:c>
      <x:c r="C2553" s="55" t="str">
        <x:v>—</x:v>
      </x:c>
      <x:c r="D2553" s="55" t="str">
        <x:v>—</x:v>
      </x:c>
      <x:c r="E2553" s="55" t="inlineStr">
        <x:is>
          <x:t>神‧帝星術裝錦囊（網站未列地圖）</x:t>
        </x:is>
      </x:c>
    </x:row>
    <x:row r="2554" ht="15" customHeight="1">
      <x:c r="A2554" s="55" t="str">
        <x:v>道帝袍★★★</x:v>
      </x:c>
      <x:c r="B2554" s="55" t="str">
        <x:v>—</x:v>
      </x:c>
      <x:c r="C2554" s="55" t="str">
        <x:v>—</x:v>
      </x:c>
      <x:c r="D2554" s="55" t="str">
        <x:v>—</x:v>
      </x:c>
      <x:c r="E2554" s="55" t="inlineStr">
        <x:is>
          <x:t>神‧帝星道裝錦囊（網站未列地圖）</x:t>
        </x:is>
      </x:c>
    </x:row>
    <x:row r="2555" ht="15" customHeight="1">
      <x:c r="A2555" s="55" t="str">
        <x:v>禪帝衲★★★</x:v>
      </x:c>
      <x:c r="B2555" s="55" t="str">
        <x:v>—</x:v>
      </x:c>
      <x:c r="C2555" s="55" t="str">
        <x:v>—</x:v>
      </x:c>
      <x:c r="D2555" s="55" t="str">
        <x:v>—</x:v>
      </x:c>
      <x:c r="E2555" s="55" t="inlineStr">
        <x:is>
          <x:t>神‧帝星僧裝錦囊（網站未列地圖）</x:t>
        </x:is>
      </x:c>
    </x:row>
    <x:row r="2556" ht="15" customHeight="1">
      <x:c r="A2556" s="55" t="str">
        <x:v>鬼帝鎧★★★</x:v>
      </x:c>
      <x:c r="B2556" s="55" t="str">
        <x:v>—</x:v>
      </x:c>
      <x:c r="C2556" s="55" t="str">
        <x:v>—</x:v>
      </x:c>
      <x:c r="D2556" s="55" t="str">
        <x:v>—</x:v>
      </x:c>
      <x:c r="E2556" s="55" t="inlineStr">
        <x:is>
          <x:t>神‧帝星四兇霸箱（網站未列地圖）；神‧帝星特仕裝箱（網站未列地圖）</x:t>
        </x:is>
      </x:c>
    </x:row>
    <x:row r="2557" ht="15" customHeight="1">
      <x:c r="A2557" s="55" t="str">
        <x:v>黃天衣★★★</x:v>
      </x:c>
      <x:c r="B2557" s="55" t="str">
        <x:v>—</x:v>
      </x:c>
      <x:c r="C2557" s="55" t="str">
        <x:v>—</x:v>
      </x:c>
      <x:c r="D2557" s="55" t="str">
        <x:v>—</x:v>
      </x:c>
      <x:c r="E2557" s="55" t="inlineStr">
        <x:is>
          <x:t>神‧帝星東瀛神箱（網站未列地圖）；神‧帝星特仕裝箱（網站未列地圖）</x:t>
        </x:is>
      </x:c>
    </x:row>
    <x:row r="2558" ht="15" customHeight="1">
      <x:c r="A2558" s="55" t="str">
        <x:v>皇影甲★★★</x:v>
      </x:c>
      <x:c r="B2558" s="55" t="str">
        <x:v>—</x:v>
      </x:c>
      <x:c r="C2558" s="55" t="str">
        <x:v>—</x:v>
      </x:c>
      <x:c r="D2558" s="55" t="str">
        <x:v>—</x:v>
      </x:c>
      <x:c r="E2558" s="55" t="inlineStr">
        <x:is>
          <x:t>神‧帝星中原奇箱（網站未列地圖）；神‧帝星特仕裝箱（網站未列地圖）</x:t>
        </x:is>
      </x:c>
    </x:row>
    <x:row r="2559" ht="15" customHeight="1">
      <x:c r="A2559" s="55" t="str">
        <x:v>神無袈★★★</x:v>
      </x:c>
      <x:c r="B2559" s="55" t="str">
        <x:v>—</x:v>
      </x:c>
      <x:c r="C2559" s="55" t="str">
        <x:v>—</x:v>
      </x:c>
      <x:c r="D2559" s="55" t="str">
        <x:v>—</x:v>
      </x:c>
      <x:c r="E2559" s="55" t="inlineStr">
        <x:is>
          <x:t>神‧帝星中原奇箱（網站未列地圖）；神‧帝星特仕裝箱（網站未列地圖）</x:t>
        </x:is>
      </x:c>
    </x:row>
    <x:row r="2560" ht="15" customHeight="1">
      <x:c r="A2560" s="55" t="str">
        <x:v>皇．智者聖甲</x:v>
      </x:c>
      <x:c r="B2560" s="55" t="str">
        <x:v>—</x:v>
      </x:c>
      <x:c r="C2560" s="55" t="str">
        <x:v>—</x:v>
      </x:c>
      <x:c r="D2560" s="55" t="str">
        <x:v>—</x:v>
      </x:c>
      <x:c r="E2560" s="55" t="inlineStr">
        <x:is>
          <x:t>皇極超凡入聖錦囊（網站未列地圖）；帝星武裝承先箱（網站未列地圖）</x:t>
        </x:is>
      </x:c>
    </x:row>
    <x:row r="2561" ht="15" customHeight="1">
      <x:c r="A2561" s="55" t="str">
        <x:v>皇．仁者聖甲</x:v>
      </x:c>
      <x:c r="B2561" s="55" t="str">
        <x:v>—</x:v>
      </x:c>
      <x:c r="C2561" s="55" t="str">
        <x:v>—</x:v>
      </x:c>
      <x:c r="D2561" s="55" t="str">
        <x:v>—</x:v>
      </x:c>
      <x:c r="E2561" s="55" t="inlineStr">
        <x:is>
          <x:t>皇極超凡入聖錦囊（網站未列地圖）；帝星武裝承先箱（網站未列地圖）</x:t>
        </x:is>
      </x:c>
    </x:row>
    <x:row r="2562" ht="15" customHeight="1">
      <x:c r="A2562" s="55" t="str">
        <x:v>皇．勇者聖甲</x:v>
      </x:c>
      <x:c r="B2562" s="55" t="str">
        <x:v>—</x:v>
      </x:c>
      <x:c r="C2562" s="55" t="str">
        <x:v>—</x:v>
      </x:c>
      <x:c r="D2562" s="55" t="str">
        <x:v>—</x:v>
      </x:c>
      <x:c r="E2562" s="55" t="inlineStr">
        <x:is>
          <x:t>皇極超凡入聖錦囊（網站未列地圖）；帝星武裝承先箱（網站未列地圖）</x:t>
        </x:is>
      </x:c>
    </x:row>
    <x:row r="2563" ht="15" customHeight="1">
      <x:c r="A2563" s="55" t="str">
        <x:v>皇．義者聖甲</x:v>
      </x:c>
      <x:c r="B2563" s="55" t="str">
        <x:v>—</x:v>
      </x:c>
      <x:c r="C2563" s="55" t="str">
        <x:v>—</x:v>
      </x:c>
      <x:c r="D2563" s="55" t="str">
        <x:v>—</x:v>
      </x:c>
      <x:c r="E2563" s="55" t="inlineStr">
        <x:is>
          <x:t>帝星武裝承先箱（網站未列地圖）</x:t>
        </x:is>
      </x:c>
    </x:row>
    <x:row r="2564" ht="15" customHeight="1">
      <x:c r="A2564" s="55" t="str">
        <x:v>終極智者聖甲</x:v>
      </x:c>
      <x:c r="B2564" s="55" t="str">
        <x:v>—</x:v>
      </x:c>
      <x:c r="C2564" s="55" t="str">
        <x:v>—</x:v>
      </x:c>
      <x:c r="D2564" s="55" t="str">
        <x:v>—</x:v>
      </x:c>
      <x:c r="E2564" s="55" t="inlineStr">
        <x:is>
          <x:t>最後超凡入聖錦囊（網站未列地圖）；帝星武裝啟後箱（網站未列地圖）</x:t>
        </x:is>
      </x:c>
    </x:row>
    <x:row r="2565" ht="30" customHeight="1">
      <x:c r="A2565" s="55" t="str">
        <x:v>終極仁者聖甲</x:v>
      </x:c>
      <x:c r="B2565" s="55" t="str">
        <x:v>—</x:v>
      </x:c>
      <x:c r="C2565" s="55" t="str">
        <x:v>—</x:v>
      </x:c>
      <x:c r="D2565" s="55" t="str">
        <x:v>—</x:v>
      </x:c>
      <x:c r="E2565" s="55" t="inlineStr">
        <x:is>
          <x:t>最後超凡入聖錦囊（網站未列地圖）；帝星武裝啟後箱（網站未列地圖）；神州20錦囊（網站未列地圖）；通寶院富寶箱（網站未列地圖）</x:t>
        </x:is>
      </x:c>
    </x:row>
    <x:row r="2566" ht="30" customHeight="1">
      <x:c r="A2566" s="55" t="str">
        <x:v>終極勇者聖甲</x:v>
      </x:c>
      <x:c r="B2566" s="55" t="str">
        <x:v>—</x:v>
      </x:c>
      <x:c r="C2566" s="55" t="str">
        <x:v>—</x:v>
      </x:c>
      <x:c r="D2566" s="55" t="str">
        <x:v>—</x:v>
      </x:c>
      <x:c r="E2566" s="55" t="inlineStr">
        <x:is>
          <x:t>最後超凡入聖錦囊（網站未列地圖）；帝星武裝啟後箱（網站未列地圖）；新世紀．武神（網站未列地圖）；新紀武神寶箱（網站未列地圖）</x:t>
        </x:is>
      </x:c>
    </x:row>
    <x:row r="2567" ht="15" customHeight="1">
      <x:c r="A2567" s="55" t="str">
        <x:v>終極義者聖甲</x:v>
      </x:c>
      <x:c r="B2567" s="55" t="str">
        <x:v>—</x:v>
      </x:c>
      <x:c r="C2567" s="55" t="str">
        <x:v>—</x:v>
      </x:c>
      <x:c r="D2567" s="55" t="str">
        <x:v>—</x:v>
      </x:c>
      <x:c r="E2567" s="55" t="inlineStr">
        <x:is>
          <x:t>帝星武裝啟後箱（網站未列地圖）；歡慶二十寶箱（網站未列地圖）</x:t>
        </x:is>
      </x:c>
    </x:row>
    <x:row r="2568" ht="15" customHeight="1">
      <x:c r="A2568" s="55" t="str">
        <x:v>新星之劍英冑</x:v>
      </x:c>
      <x:c r="B2568" s="55" t="str">
        <x:v>—</x:v>
      </x:c>
      <x:c r="C2568" s="55" t="str">
        <x:v>—</x:v>
      </x:c>
      <x:c r="D2568" s="55" t="str">
        <x:v>—</x:v>
      </x:c>
      <x:c r="E2568" s="55" t="inlineStr">
        <x:is>
          <x:t>—</x:t>
        </x:is>
      </x:c>
    </x:row>
    <x:row r="2569" ht="15" customHeight="1">
      <x:c r="A2569" s="55" t="str">
        <x:v>新星之武豪鎧</x:v>
      </x:c>
      <x:c r="B2569" s="55" t="str">
        <x:v>—</x:v>
      </x:c>
      <x:c r="C2569" s="55" t="str">
        <x:v>—</x:v>
      </x:c>
      <x:c r="D2569" s="55" t="str">
        <x:v>—</x:v>
      </x:c>
      <x:c r="E2569" s="55" t="inlineStr">
        <x:is>
          <x:t>—</x:t>
        </x:is>
      </x:c>
    </x:row>
    <x:row r="2570" ht="15" customHeight="1">
      <x:c r="A2570" s="55" t="str">
        <x:v>新星之術潛裳</x:v>
      </x:c>
      <x:c r="B2570" s="55" t="str">
        <x:v>—</x:v>
      </x:c>
      <x:c r="C2570" s="55" t="str">
        <x:v>—</x:v>
      </x:c>
      <x:c r="D2570" s="55" t="str">
        <x:v>—</x:v>
      </x:c>
      <x:c r="E2570" s="55" t="inlineStr">
        <x:is>
          <x:t>—</x:t>
        </x:is>
      </x:c>
    </x:row>
    <x:row r="2571" ht="15" customHeight="1">
      <x:c r="A2571" s="55" t="str">
        <x:v>新星之道明服</x:v>
      </x:c>
      <x:c r="B2571" s="55" t="str">
        <x:v>—</x:v>
      </x:c>
      <x:c r="C2571" s="55" t="str">
        <x:v>—</x:v>
      </x:c>
      <x:c r="D2571" s="55" t="str">
        <x:v>—</x:v>
      </x:c>
      <x:c r="E2571" s="55" t="inlineStr">
        <x:is>
          <x:t>—</x:t>
        </x:is>
      </x:c>
    </x:row>
    <x:row r="2572" ht="15" customHeight="1">
      <x:c r="A2572" s="55" t="str">
        <x:v>新星之禪照衣</x:v>
      </x:c>
      <x:c r="B2572" s="55" t="str">
        <x:v>—</x:v>
      </x:c>
      <x:c r="C2572" s="55" t="str">
        <x:v>—</x:v>
      </x:c>
      <x:c r="D2572" s="55" t="str">
        <x:v>—</x:v>
      </x:c>
      <x:c r="E2572" s="55" t="inlineStr">
        <x:is>
          <x:t>—</x:t>
        </x:is>
      </x:c>
    </x:row>
    <x:row r="2573" ht="15" customHeight="1">
      <x:c r="A2573" s="55" t="str">
        <x:v>泰源布甲</x:v>
      </x:c>
      <x:c r="B2573" s="55" t="str">
        <x:v>神州2II主線</x:v>
      </x:c>
      <x:c r="C2573" s="55" t="str">
        <x:v>—</x:v>
      </x:c>
      <x:c r="D2573" s="55" t="str">
        <x:v>—</x:v>
      </x:c>
      <x:c r="E2573" s="55" t="inlineStr">
        <x:is>
          <x:t>—</x:t>
        </x:is>
      </x:c>
    </x:row>
    <x:row r="2574" ht="15" customHeight="1">
      <x:c r="A2574" s="55" t="str">
        <x:v>龍池藤甲</x:v>
      </x:c>
      <x:c r="B2574" s="55" t="str">
        <x:v>六宇浮上主線</x:v>
      </x:c>
      <x:c r="C2574" s="55" t="str">
        <x:v>—</x:v>
      </x:c>
      <x:c r="D2574" s="55" t="str">
        <x:v>—</x:v>
      </x:c>
      <x:c r="E2574" s="55" t="inlineStr">
        <x:is>
          <x:t>—</x:t>
        </x:is>
      </x:c>
    </x:row>
    <x:row r="2575" ht="15" customHeight="1">
      <x:c r="A2575" s="55" t="str">
        <x:v>劍豪旭裝Ⅰ</x:v>
      </x:c>
      <x:c r="B2575" s="55" t="str">
        <x:v>—</x:v>
      </x:c>
      <x:c r="C2575" s="55" t="str">
        <x:v>—</x:v>
      </x:c>
      <x:c r="D2575" s="55" t="str">
        <x:v>—</x:v>
      </x:c>
      <x:c r="E2575" s="55" t="inlineStr">
        <x:is>
          <x:t>—</x:t>
        </x:is>
      </x:c>
    </x:row>
    <x:row r="2576" ht="15" customHeight="1">
      <x:c r="A2576" s="55" t="str">
        <x:v>勇將旭甲Ⅰ</x:v>
      </x:c>
      <x:c r="B2576" s="55" t="str">
        <x:v>—</x:v>
      </x:c>
      <x:c r="C2576" s="55" t="str">
        <x:v>—</x:v>
      </x:c>
      <x:c r="D2576" s="55" t="str">
        <x:v>—</x:v>
      </x:c>
      <x:c r="E2576" s="55" t="inlineStr">
        <x:is>
          <x:t>—</x:t>
        </x:is>
      </x:c>
    </x:row>
    <x:row r="2577" ht="15" customHeight="1">
      <x:c r="A2577" s="55" t="str">
        <x:v>術凌旭服Ⅰ</x:v>
      </x:c>
      <x:c r="B2577" s="55" t="str">
        <x:v>—</x:v>
      </x:c>
      <x:c r="C2577" s="55" t="str">
        <x:v>—</x:v>
      </x:c>
      <x:c r="D2577" s="55" t="str">
        <x:v>—</x:v>
      </x:c>
      <x:c r="E2577" s="55" t="inlineStr">
        <x:is>
          <x:t>—</x:t>
        </x:is>
      </x:c>
    </x:row>
    <x:row r="2578" ht="15" customHeight="1">
      <x:c r="A2578" s="55" t="str">
        <x:v>道清旭袍Ⅰ</x:v>
      </x:c>
      <x:c r="B2578" s="55" t="str">
        <x:v>—</x:v>
      </x:c>
      <x:c r="C2578" s="55" t="str">
        <x:v>—</x:v>
      </x:c>
      <x:c r="D2578" s="55" t="str">
        <x:v>—</x:v>
      </x:c>
      <x:c r="E2578" s="55" t="inlineStr">
        <x:is>
          <x:t>—</x:t>
        </x:is>
      </x:c>
    </x:row>
    <x:row r="2579" ht="15" customHeight="1">
      <x:c r="A2579" s="55" t="str">
        <x:v>禪臺旭袈Ⅰ</x:v>
      </x:c>
      <x:c r="B2579" s="55" t="str">
        <x:v>—</x:v>
      </x:c>
      <x:c r="C2579" s="55" t="str">
        <x:v>—</x:v>
      </x:c>
      <x:c r="D2579" s="55" t="str">
        <x:v>—</x:v>
      </x:c>
      <x:c r="E2579" s="55" t="inlineStr">
        <x:is>
          <x:t>—</x:t>
        </x:is>
      </x:c>
    </x:row>
    <x:row r="2580" ht="15" customHeight="1">
      <x:c r="A2580" s="55" t="str">
        <x:v>狂陽耀鎧Ⅰ</x:v>
      </x:c>
      <x:c r="B2580" s="55" t="str">
        <x:v>—</x:v>
      </x:c>
      <x:c r="C2580" s="55" t="str">
        <x:v>—</x:v>
      </x:c>
      <x:c r="D2580" s="55" t="str">
        <x:v>—</x:v>
      </x:c>
      <x:c r="E2580" s="55" t="inlineStr">
        <x:is>
          <x:t>神島勇士錦囊（網站未列地圖）</x:t>
        </x:is>
      </x:c>
    </x:row>
    <x:row r="2581" ht="15" customHeight="1">
      <x:c r="A2581" s="55" t="str">
        <x:v>靜月簾衣Ⅰ</x:v>
      </x:c>
      <x:c r="B2581" s="55" t="str">
        <x:v>—</x:v>
      </x:c>
      <x:c r="C2581" s="55" t="str">
        <x:v>—</x:v>
      </x:c>
      <x:c r="D2581" s="55" t="str">
        <x:v>—</x:v>
      </x:c>
      <x:c r="E2581" s="55" t="inlineStr">
        <x:is>
          <x:t>神島道人錦囊（網站未列地圖）；幻三糜香錦囊（網站未列地圖）</x:t>
        </x:is>
      </x:c>
    </x:row>
    <x:row r="2582" ht="15" customHeight="1">
      <x:c r="A2582" s="55" t="str">
        <x:v>宿星燦甲Ⅰ</x:v>
      </x:c>
      <x:c r="B2582" s="55" t="str">
        <x:v>—</x:v>
      </x:c>
      <x:c r="C2582" s="55" t="str">
        <x:v>—</x:v>
      </x:c>
      <x:c r="D2582" s="55" t="str">
        <x:v>—</x:v>
      </x:c>
      <x:c r="E2582" s="55" t="inlineStr">
        <x:is>
          <x:t>—</x:t>
        </x:is>
      </x:c>
    </x:row>
    <x:row r="2583" ht="15" customHeight="1">
      <x:c r="A2583" s="55" t="str">
        <x:v>劍豪旭裝Ⅱ</x:v>
      </x:c>
      <x:c r="B2583" s="55" t="str">
        <x:v>—</x:v>
      </x:c>
      <x:c r="C2583" s="55" t="str">
        <x:v>—</x:v>
      </x:c>
      <x:c r="D2583" s="55" t="str">
        <x:v>—</x:v>
      </x:c>
      <x:c r="E2583" s="55" t="inlineStr">
        <x:is>
          <x:t>—</x:t>
        </x:is>
      </x:c>
    </x:row>
    <x:row r="2584" ht="15" customHeight="1">
      <x:c r="A2584" s="55" t="str">
        <x:v>勇將旭甲Ⅱ</x:v>
      </x:c>
      <x:c r="B2584" s="55" t="str">
        <x:v>—</x:v>
      </x:c>
      <x:c r="C2584" s="55" t="str">
        <x:v>—</x:v>
      </x:c>
      <x:c r="D2584" s="55" t="str">
        <x:v>—</x:v>
      </x:c>
      <x:c r="E2584" s="55" t="inlineStr">
        <x:is>
          <x:t>—</x:t>
        </x:is>
      </x:c>
    </x:row>
    <x:row r="2585" ht="15" customHeight="1">
      <x:c r="A2585" s="55" t="str">
        <x:v>術凌旭服Ⅱ</x:v>
      </x:c>
      <x:c r="B2585" s="55" t="str">
        <x:v>—</x:v>
      </x:c>
      <x:c r="C2585" s="55" t="str">
        <x:v>—</x:v>
      </x:c>
      <x:c r="D2585" s="55" t="str">
        <x:v>—</x:v>
      </x:c>
      <x:c r="E2585" s="55" t="inlineStr">
        <x:is>
          <x:t>—</x:t>
        </x:is>
      </x:c>
    </x:row>
    <x:row r="2586" ht="15" customHeight="1">
      <x:c r="A2586" s="55" t="str">
        <x:v>道清旭袍Ⅱ</x:v>
      </x:c>
      <x:c r="B2586" s="55" t="str">
        <x:v>—</x:v>
      </x:c>
      <x:c r="C2586" s="55" t="str">
        <x:v>—</x:v>
      </x:c>
      <x:c r="D2586" s="55" t="str">
        <x:v>—</x:v>
      </x:c>
      <x:c r="E2586" s="55" t="inlineStr">
        <x:is>
          <x:t>—</x:t>
        </x:is>
      </x:c>
    </x:row>
    <x:row r="2587" ht="15" customHeight="1">
      <x:c r="A2587" s="55" t="str">
        <x:v>禪臺旭袈Ⅱ</x:v>
      </x:c>
      <x:c r="B2587" s="55" t="str">
        <x:v>—</x:v>
      </x:c>
      <x:c r="C2587" s="55" t="str">
        <x:v>—</x:v>
      </x:c>
      <x:c r="D2587" s="55" t="str">
        <x:v>—</x:v>
      </x:c>
      <x:c r="E2587" s="55" t="inlineStr">
        <x:is>
          <x:t>—</x:t>
        </x:is>
      </x:c>
    </x:row>
    <x:row r="2588" ht="15" customHeight="1">
      <x:c r="A2588" s="55" t="str">
        <x:v>狂陽耀鎧Ⅱ</x:v>
      </x:c>
      <x:c r="B2588" s="55" t="str">
        <x:v>—</x:v>
      </x:c>
      <x:c r="C2588" s="55" t="str">
        <x:v>—</x:v>
      </x:c>
      <x:c r="D2588" s="55" t="str">
        <x:v>—</x:v>
      </x:c>
      <x:c r="E2588" s="55" t="inlineStr">
        <x:is>
          <x:t>—</x:t>
        </x:is>
      </x:c>
    </x:row>
    <x:row r="2589" ht="15" customHeight="1">
      <x:c r="A2589" s="55" t="str">
        <x:v>靜月簾衣Ⅱ</x:v>
      </x:c>
      <x:c r="B2589" s="55" t="str">
        <x:v>—</x:v>
      </x:c>
      <x:c r="C2589" s="55" t="str">
        <x:v>—</x:v>
      </x:c>
      <x:c r="D2589" s="55" t="str">
        <x:v>—</x:v>
      </x:c>
      <x:c r="E2589" s="55" t="inlineStr">
        <x:is>
          <x:t>—</x:t>
        </x:is>
      </x:c>
    </x:row>
    <x:row r="2590" ht="15" customHeight="1">
      <x:c r="A2590" s="55" t="str">
        <x:v>宿星燦甲Ⅱ</x:v>
      </x:c>
      <x:c r="B2590" s="55" t="str">
        <x:v>—</x:v>
      </x:c>
      <x:c r="C2590" s="55" t="str">
        <x:v>—</x:v>
      </x:c>
      <x:c r="D2590" s="55" t="str">
        <x:v>—</x:v>
      </x:c>
      <x:c r="E2590" s="55" t="inlineStr">
        <x:is>
          <x:t>—</x:t>
        </x:is>
      </x:c>
    </x:row>
    <x:row r="2591" ht="15" customHeight="1">
      <x:c r="A2591" s="55" t="str">
        <x:v>劍豪旭裝Ⅲ</x:v>
      </x:c>
      <x:c r="B2591" s="55" t="str">
        <x:v>—</x:v>
      </x:c>
      <x:c r="C2591" s="55" t="str">
        <x:v>—</x:v>
      </x:c>
      <x:c r="D2591" s="55" t="str">
        <x:v>—</x:v>
      </x:c>
      <x:c r="E2591" s="55" t="inlineStr">
        <x:is>
          <x:t>—</x:t>
        </x:is>
      </x:c>
    </x:row>
    <x:row r="2592" ht="15" customHeight="1">
      <x:c r="A2592" s="55" t="str">
        <x:v>勇將旭甲Ⅲ</x:v>
      </x:c>
      <x:c r="B2592" s="55" t="str">
        <x:v>—</x:v>
      </x:c>
      <x:c r="C2592" s="55" t="str">
        <x:v>—</x:v>
      </x:c>
      <x:c r="D2592" s="55" t="str">
        <x:v>—</x:v>
      </x:c>
      <x:c r="E2592" s="55" t="inlineStr">
        <x:is>
          <x:t>—</x:t>
        </x:is>
      </x:c>
    </x:row>
    <x:row r="2593" ht="15" customHeight="1">
      <x:c r="A2593" s="55" t="str">
        <x:v>術凌旭服Ⅲ</x:v>
      </x:c>
      <x:c r="B2593" s="55" t="str">
        <x:v>—</x:v>
      </x:c>
      <x:c r="C2593" s="55" t="str">
        <x:v>—</x:v>
      </x:c>
      <x:c r="D2593" s="55" t="str">
        <x:v>—</x:v>
      </x:c>
      <x:c r="E2593" s="55" t="inlineStr">
        <x:is>
          <x:t>—</x:t>
        </x:is>
      </x:c>
    </x:row>
    <x:row r="2594" ht="15" customHeight="1">
      <x:c r="A2594" s="55" t="str">
        <x:v>道清旭袍Ⅲ</x:v>
      </x:c>
      <x:c r="B2594" s="55" t="str">
        <x:v>—</x:v>
      </x:c>
      <x:c r="C2594" s="55" t="str">
        <x:v>—</x:v>
      </x:c>
      <x:c r="D2594" s="55" t="str">
        <x:v>—</x:v>
      </x:c>
      <x:c r="E2594" s="55" t="inlineStr">
        <x:is>
          <x:t>—</x:t>
        </x:is>
      </x:c>
    </x:row>
    <x:row r="2595" ht="15" customHeight="1">
      <x:c r="A2595" s="55" t="str">
        <x:v>禪臺旭袈Ⅲ</x:v>
      </x:c>
      <x:c r="B2595" s="55" t="str">
        <x:v>—</x:v>
      </x:c>
      <x:c r="C2595" s="55" t="str">
        <x:v>—</x:v>
      </x:c>
      <x:c r="D2595" s="55" t="str">
        <x:v>—</x:v>
      </x:c>
      <x:c r="E2595" s="55" t="inlineStr">
        <x:is>
          <x:t>—</x:t>
        </x:is>
      </x:c>
    </x:row>
    <x:row r="2596" ht="15" customHeight="1">
      <x:c r="A2596" s="55" t="str">
        <x:v>狂陽耀鎧Ⅲ</x:v>
      </x:c>
      <x:c r="B2596" s="55" t="str">
        <x:v>—</x:v>
      </x:c>
      <x:c r="C2596" s="55" t="str">
        <x:v>—</x:v>
      </x:c>
      <x:c r="D2596" s="55" t="str">
        <x:v>—</x:v>
      </x:c>
      <x:c r="E2596" s="55" t="inlineStr">
        <x:is>
          <x:t>—</x:t>
        </x:is>
      </x:c>
    </x:row>
    <x:row r="2597" ht="15" customHeight="1">
      <x:c r="A2597" s="55" t="str">
        <x:v>靜月簾衣Ⅲ</x:v>
      </x:c>
      <x:c r="B2597" s="55" t="str">
        <x:v>—</x:v>
      </x:c>
      <x:c r="C2597" s="55" t="str">
        <x:v>—</x:v>
      </x:c>
      <x:c r="D2597" s="55" t="str">
        <x:v>—</x:v>
      </x:c>
      <x:c r="E2597" s="55" t="inlineStr">
        <x:is>
          <x:t>—</x:t>
        </x:is>
      </x:c>
    </x:row>
    <x:row r="2598" ht="15" customHeight="1">
      <x:c r="A2598" s="55" t="str">
        <x:v>宿星燦甲Ⅲ</x:v>
      </x:c>
      <x:c r="B2598" s="55" t="str">
        <x:v>—</x:v>
      </x:c>
      <x:c r="C2598" s="55" t="str">
        <x:v>—</x:v>
      </x:c>
      <x:c r="D2598" s="55" t="str">
        <x:v>—</x:v>
      </x:c>
      <x:c r="E2598" s="55" t="inlineStr">
        <x:is>
          <x:t>—</x:t>
        </x:is>
      </x:c>
    </x:row>
    <x:row r="2599" ht="15" customHeight="1">
      <x:c r="A2599" s="55" t="str">
        <x:v>劍豪旭裝Ⅳ</x:v>
      </x:c>
      <x:c r="B2599" s="55" t="str">
        <x:v>—</x:v>
      </x:c>
      <x:c r="C2599" s="55" t="str">
        <x:v>—</x:v>
      </x:c>
      <x:c r="D2599" s="55" t="str">
        <x:v>—</x:v>
      </x:c>
      <x:c r="E2599" s="55" t="inlineStr">
        <x:is>
          <x:t>—</x:t>
        </x:is>
      </x:c>
    </x:row>
    <x:row r="2600" ht="15" customHeight="1">
      <x:c r="A2600" s="55" t="str">
        <x:v>勇將旭甲Ⅳ</x:v>
      </x:c>
      <x:c r="B2600" s="55" t="str">
        <x:v>—</x:v>
      </x:c>
      <x:c r="C2600" s="55" t="str">
        <x:v>—</x:v>
      </x:c>
      <x:c r="D2600" s="55" t="str">
        <x:v>—</x:v>
      </x:c>
      <x:c r="E2600" s="55" t="inlineStr">
        <x:is>
          <x:t>—</x:t>
        </x:is>
      </x:c>
    </x:row>
    <x:row r="2601" ht="15" customHeight="1">
      <x:c r="A2601" s="55" t="str">
        <x:v>術凌旭服Ⅳ</x:v>
      </x:c>
      <x:c r="B2601" s="55" t="str">
        <x:v>—</x:v>
      </x:c>
      <x:c r="C2601" s="55" t="str">
        <x:v>—</x:v>
      </x:c>
      <x:c r="D2601" s="55" t="str">
        <x:v>—</x:v>
      </x:c>
      <x:c r="E2601" s="55" t="inlineStr">
        <x:is>
          <x:t>—</x:t>
        </x:is>
      </x:c>
    </x:row>
    <x:row r="2602" ht="15" customHeight="1">
      <x:c r="A2602" s="55" t="str">
        <x:v>道清旭袍Ⅳ</x:v>
      </x:c>
      <x:c r="B2602" s="55" t="str">
        <x:v>—</x:v>
      </x:c>
      <x:c r="C2602" s="55" t="str">
        <x:v>—</x:v>
      </x:c>
      <x:c r="D2602" s="55" t="str">
        <x:v>—</x:v>
      </x:c>
      <x:c r="E2602" s="55" t="inlineStr">
        <x:is>
          <x:t>—</x:t>
        </x:is>
      </x:c>
    </x:row>
    <x:row r="2603" ht="15" customHeight="1">
      <x:c r="A2603" s="55" t="str">
        <x:v>禪臺旭袈Ⅳ</x:v>
      </x:c>
      <x:c r="B2603" s="55" t="str">
        <x:v>—</x:v>
      </x:c>
      <x:c r="C2603" s="55" t="str">
        <x:v>—</x:v>
      </x:c>
      <x:c r="D2603" s="55" t="str">
        <x:v>—</x:v>
      </x:c>
      <x:c r="E2603" s="55" t="inlineStr">
        <x:is>
          <x:t>—</x:t>
        </x:is>
      </x:c>
    </x:row>
    <x:row r="2604" ht="15" customHeight="1">
      <x:c r="A2604" s="55" t="str">
        <x:v>狂陽耀鎧Ⅳ</x:v>
      </x:c>
      <x:c r="B2604" s="55" t="str">
        <x:v>—</x:v>
      </x:c>
      <x:c r="C2604" s="55" t="str">
        <x:v>—</x:v>
      </x:c>
      <x:c r="D2604" s="55" t="str">
        <x:v>—</x:v>
      </x:c>
      <x:c r="E2604" s="55" t="inlineStr">
        <x:is>
          <x:t>—</x:t>
        </x:is>
      </x:c>
    </x:row>
    <x:row r="2605" ht="15" customHeight="1">
      <x:c r="A2605" s="55" t="str">
        <x:v>靜月簾衣Ⅳ</x:v>
      </x:c>
      <x:c r="B2605" s="55" t="str">
        <x:v>—</x:v>
      </x:c>
      <x:c r="C2605" s="55" t="str">
        <x:v>—</x:v>
      </x:c>
      <x:c r="D2605" s="55" t="str">
        <x:v>—</x:v>
      </x:c>
      <x:c r="E2605" s="55" t="inlineStr">
        <x:is>
          <x:t>阿爾貝盧法錦囊（網站未列地圖）</x:t>
        </x:is>
      </x:c>
    </x:row>
    <x:row r="2606" ht="15" customHeight="1">
      <x:c r="A2606" s="55" t="str">
        <x:v>宿星燦甲Ⅳ</x:v>
      </x:c>
      <x:c r="B2606" s="55" t="str">
        <x:v>—</x:v>
      </x:c>
      <x:c r="C2606" s="55" t="str">
        <x:v>—</x:v>
      </x:c>
      <x:c r="D2606" s="55" t="str">
        <x:v>—</x:v>
      </x:c>
      <x:c r="E2606" s="55" t="inlineStr">
        <x:is>
          <x:t>—</x:t>
        </x:is>
      </x:c>
    </x:row>
    <x:row r="2607" ht="15" customHeight="1">
      <x:c r="A2607" s="55" t="str">
        <x:v>劍豪旭裝Ⅴ</x:v>
      </x:c>
      <x:c r="B2607" s="55" t="str">
        <x:v>—</x:v>
      </x:c>
      <x:c r="C2607" s="55" t="str">
        <x:v>—</x:v>
      </x:c>
      <x:c r="D2607" s="55" t="str">
        <x:v>—</x:v>
      </x:c>
      <x:c r="E2607" s="55" t="inlineStr">
        <x:is>
          <x:t>—</x:t>
        </x:is>
      </x:c>
    </x:row>
    <x:row r="2608" ht="15" customHeight="1">
      <x:c r="A2608" s="55" t="str">
        <x:v>勇將旭甲Ⅴ</x:v>
      </x:c>
      <x:c r="B2608" s="55" t="str">
        <x:v>—</x:v>
      </x:c>
      <x:c r="C2608" s="55" t="str">
        <x:v>—</x:v>
      </x:c>
      <x:c r="D2608" s="55" t="str">
        <x:v>—</x:v>
      </x:c>
      <x:c r="E2608" s="55" t="inlineStr">
        <x:is>
          <x:t>—</x:t>
        </x:is>
      </x:c>
    </x:row>
    <x:row r="2609" ht="15" customHeight="1">
      <x:c r="A2609" s="55" t="str">
        <x:v>術凌旭服Ⅴ</x:v>
      </x:c>
      <x:c r="B2609" s="55" t="str">
        <x:v>—</x:v>
      </x:c>
      <x:c r="C2609" s="55" t="str">
        <x:v>—</x:v>
      </x:c>
      <x:c r="D2609" s="55" t="str">
        <x:v>—</x:v>
      </x:c>
      <x:c r="E2609" s="55" t="inlineStr">
        <x:is>
          <x:t>—</x:t>
        </x:is>
      </x:c>
    </x:row>
    <x:row r="2610" ht="15" customHeight="1">
      <x:c r="A2610" s="55" t="str">
        <x:v>道清旭袍Ⅴ</x:v>
      </x:c>
      <x:c r="B2610" s="55" t="str">
        <x:v>—</x:v>
      </x:c>
      <x:c r="C2610" s="55" t="str">
        <x:v>—</x:v>
      </x:c>
      <x:c r="D2610" s="55" t="str">
        <x:v>—</x:v>
      </x:c>
      <x:c r="E2610" s="55" t="inlineStr">
        <x:is>
          <x:t>—</x:t>
        </x:is>
      </x:c>
    </x:row>
    <x:row r="2611" ht="15" customHeight="1">
      <x:c r="A2611" s="55" t="str">
        <x:v>禪臺旭袈Ⅴ</x:v>
      </x:c>
      <x:c r="B2611" s="55" t="str">
        <x:v>—</x:v>
      </x:c>
      <x:c r="C2611" s="55" t="str">
        <x:v>—</x:v>
      </x:c>
      <x:c r="D2611" s="55" t="str">
        <x:v>—</x:v>
      </x:c>
      <x:c r="E2611" s="55" t="inlineStr">
        <x:is>
          <x:t>—</x:t>
        </x:is>
      </x:c>
    </x:row>
    <x:row r="2612" ht="15" customHeight="1">
      <x:c r="A2612" s="55" t="str">
        <x:v>狂陽耀鎧Ⅴ</x:v>
      </x:c>
      <x:c r="B2612" s="55" t="str">
        <x:v>—</x:v>
      </x:c>
      <x:c r="C2612" s="55" t="str">
        <x:v>—</x:v>
      </x:c>
      <x:c r="D2612" s="55" t="str">
        <x:v>—</x:v>
      </x:c>
      <x:c r="E2612" s="55" t="inlineStr">
        <x:is>
          <x:t>—</x:t>
        </x:is>
      </x:c>
    </x:row>
    <x:row r="2613" ht="15" customHeight="1">
      <x:c r="A2613" s="55" t="str">
        <x:v>靜月簾衣Ⅴ</x:v>
      </x:c>
      <x:c r="B2613" s="55" t="str">
        <x:v>—</x:v>
      </x:c>
      <x:c r="C2613" s="55" t="str">
        <x:v>—</x:v>
      </x:c>
      <x:c r="D2613" s="55" t="str">
        <x:v>—</x:v>
      </x:c>
      <x:c r="E2613" s="55" t="inlineStr">
        <x:is>
          <x:t>—</x:t>
        </x:is>
      </x:c>
    </x:row>
    <x:row r="2614" ht="15" customHeight="1">
      <x:c r="A2614" s="55" t="str">
        <x:v>宿星燦甲Ⅴ</x:v>
      </x:c>
      <x:c r="B2614" s="55" t="str">
        <x:v>—</x:v>
      </x:c>
      <x:c r="C2614" s="55" t="str">
        <x:v>—</x:v>
      </x:c>
      <x:c r="D2614" s="55" t="str">
        <x:v>—</x:v>
      </x:c>
      <x:c r="E2614" s="55" t="inlineStr">
        <x:is>
          <x:t>—</x:t>
        </x:is>
      </x:c>
    </x:row>
    <x:row r="2615" ht="15" customHeight="1">
      <x:c r="A2615" s="55" t="str">
        <x:v>宇鋒颯衣Ⅰ</x:v>
      </x:c>
      <x:c r="B2615" s="55" t="str">
        <x:v>—</x:v>
      </x:c>
      <x:c r="C2615" s="55" t="str">
        <x:v>—</x:v>
      </x:c>
      <x:c r="D2615" s="55" t="str">
        <x:v>—</x:v>
      </x:c>
      <x:c r="E2615" s="55" t="inlineStr">
        <x:is>
          <x:t>玄宙劍裝錦囊（網站未列地圖）</x:t>
        </x:is>
      </x:c>
    </x:row>
    <x:row r="2616" ht="15" customHeight="1">
      <x:c r="A2616" s="55" t="str">
        <x:v>天衛宙甲Ⅰ</x:v>
      </x:c>
      <x:c r="B2616" s="55" t="str">
        <x:v>—</x:v>
      </x:c>
      <x:c r="C2616" s="55" t="str">
        <x:v>—</x:v>
      </x:c>
      <x:c r="D2616" s="55" t="str">
        <x:v>—</x:v>
      </x:c>
      <x:c r="E2616" s="55" t="inlineStr">
        <x:is>
          <x:t>玄宙勇裝錦囊（網站未列地圖）</x:t>
        </x:is>
      </x:c>
    </x:row>
    <x:row r="2617" ht="15" customHeight="1">
      <x:c r="A2617" s="55" t="str">
        <x:v>光術旋披Ⅰ</x:v>
      </x:c>
      <x:c r="B2617" s="55" t="str">
        <x:v>—</x:v>
      </x:c>
      <x:c r="C2617" s="55" t="str">
        <x:v>—</x:v>
      </x:c>
      <x:c r="D2617" s="55" t="str">
        <x:v>—</x:v>
      </x:c>
      <x:c r="E2617" s="55" t="inlineStr">
        <x:is>
          <x:t>玄宙術裝錦囊（網站未列地圖）</x:t>
        </x:is>
      </x:c>
    </x:row>
    <x:row r="2618" ht="15" customHeight="1">
      <x:c r="A2618" s="55" t="str">
        <x:v>辰道玄袍Ⅰ</x:v>
      </x:c>
      <x:c r="B2618" s="55" t="str">
        <x:v>—</x:v>
      </x:c>
      <x:c r="C2618" s="55" t="str">
        <x:v>—</x:v>
      </x:c>
      <x:c r="D2618" s="55" t="str">
        <x:v>—</x:v>
      </x:c>
      <x:c r="E2618" s="55" t="inlineStr">
        <x:is>
          <x:t>玄宙道裝錦囊（網站未列地圖）</x:t>
        </x:is>
      </x:c>
    </x:row>
    <x:row r="2619" ht="15" customHeight="1">
      <x:c r="A2619" s="55" t="str">
        <x:v>寂禪鎏裟Ⅰ</x:v>
      </x:c>
      <x:c r="B2619" s="55" t="str">
        <x:v>—</x:v>
      </x:c>
      <x:c r="C2619" s="55" t="str">
        <x:v>—</x:v>
      </x:c>
      <x:c r="D2619" s="55" t="str">
        <x:v>—</x:v>
      </x:c>
      <x:c r="E2619" s="55" t="inlineStr">
        <x:is>
          <x:t>玄宙僧裝錦囊（網站未列地圖）</x:t>
        </x:is>
      </x:c>
    </x:row>
    <x:row r="2620" ht="15" customHeight="1">
      <x:c r="A2620" s="55" t="str">
        <x:v>騰陽雄鎧Ⅰ</x:v>
      </x:c>
      <x:c r="B2620" s="55" t="str">
        <x:v>—</x:v>
      </x:c>
      <x:c r="C2620" s="55" t="str">
        <x:v>—</x:v>
      </x:c>
      <x:c r="D2620" s="55" t="str">
        <x:v>—</x:v>
      </x:c>
      <x:c r="E2620" s="55" t="inlineStr">
        <x:is>
          <x:t>玄宙騰陽特裝箱（網站未列地圖）；玄宙特仕裝箱（網站未列地圖）</x:t>
        </x:is>
      </x:c>
    </x:row>
    <x:row r="2621" ht="15" customHeight="1">
      <x:c r="A2621" s="55" t="str">
        <x:v>凜月霜襟Ⅰ</x:v>
      </x:c>
      <x:c r="B2621" s="55" t="str">
        <x:v>—</x:v>
      </x:c>
      <x:c r="C2621" s="55" t="str">
        <x:v>—</x:v>
      </x:c>
      <x:c r="D2621" s="55" t="str">
        <x:v>—</x:v>
      </x:c>
      <x:c r="E2621" s="55" t="inlineStr">
        <x:is>
          <x:t>玄宙凜月特裝箱（網站未列地圖）；玄宙特仕裝箱（網站未列地圖）</x:t>
        </x:is>
      </x:c>
    </x:row>
    <x:row r="2622" ht="15" customHeight="1">
      <x:c r="A2622" s="55" t="str">
        <x:v>舞星鈦甲Ⅰ</x:v>
      </x:c>
      <x:c r="B2622" s="55" t="str">
        <x:v>—</x:v>
      </x:c>
      <x:c r="C2622" s="55" t="str">
        <x:v>—</x:v>
      </x:c>
      <x:c r="D2622" s="55" t="str">
        <x:v>—</x:v>
      </x:c>
      <x:c r="E2622" s="55" t="inlineStr">
        <x:is>
          <x:t>玄宙舞星特裝箱（網站未列地圖）；玄宙特仕裝箱（網站未列地圖）</x:t>
        </x:is>
      </x:c>
    </x:row>
    <x:row r="2623" ht="15" customHeight="1">
      <x:c r="A2623" s="55" t="str">
        <x:v>宇鋒颯衣Ⅱ</x:v>
      </x:c>
      <x:c r="B2623" s="55" t="str">
        <x:v>—</x:v>
      </x:c>
      <x:c r="C2623" s="55" t="str">
        <x:v>—</x:v>
      </x:c>
      <x:c r="D2623" s="55" t="str">
        <x:v>—</x:v>
      </x:c>
      <x:c r="E2623" s="55" t="inlineStr">
        <x:is>
          <x:t>真．玄宙劍裝錦囊（網站未列地圖）</x:t>
        </x:is>
      </x:c>
    </x:row>
    <x:row r="2624" ht="15" customHeight="1">
      <x:c r="A2624" s="55" t="str">
        <x:v>天衛宙甲Ⅱ</x:v>
      </x:c>
      <x:c r="B2624" s="55" t="str">
        <x:v>—</x:v>
      </x:c>
      <x:c r="C2624" s="55" t="str">
        <x:v>—</x:v>
      </x:c>
      <x:c r="D2624" s="55" t="str">
        <x:v>—</x:v>
      </x:c>
      <x:c r="E2624" s="55" t="inlineStr">
        <x:is>
          <x:t>真．玄宙勇裝錦囊（網站未列地圖）</x:t>
        </x:is>
      </x:c>
    </x:row>
    <x:row r="2625" ht="15" customHeight="1">
      <x:c r="A2625" s="55" t="str">
        <x:v>光術旋披Ⅱ</x:v>
      </x:c>
      <x:c r="B2625" s="55" t="str">
        <x:v>—</x:v>
      </x:c>
      <x:c r="C2625" s="55" t="str">
        <x:v>—</x:v>
      </x:c>
      <x:c r="D2625" s="55" t="str">
        <x:v>—</x:v>
      </x:c>
      <x:c r="E2625" s="55" t="inlineStr">
        <x:is>
          <x:t>真．玄宙術裝錦囊（網站未列地圖）</x:t>
        </x:is>
      </x:c>
    </x:row>
    <x:row r="2626" ht="15" customHeight="1">
      <x:c r="A2626" s="55" t="str">
        <x:v>辰道玄袍Ⅱ</x:v>
      </x:c>
      <x:c r="B2626" s="55" t="str">
        <x:v>—</x:v>
      </x:c>
      <x:c r="C2626" s="55" t="str">
        <x:v>—</x:v>
      </x:c>
      <x:c r="D2626" s="55" t="str">
        <x:v>—</x:v>
      </x:c>
      <x:c r="E2626" s="55" t="inlineStr">
        <x:is>
          <x:t>真．玄宙道裝錦囊（網站未列地圖）</x:t>
        </x:is>
      </x:c>
    </x:row>
    <x:row r="2627" ht="15" customHeight="1">
      <x:c r="A2627" s="55" t="str">
        <x:v>寂禪鎏裟Ⅱ</x:v>
      </x:c>
      <x:c r="B2627" s="55" t="str">
        <x:v>—</x:v>
      </x:c>
      <x:c r="C2627" s="55" t="str">
        <x:v>—</x:v>
      </x:c>
      <x:c r="D2627" s="55" t="str">
        <x:v>—</x:v>
      </x:c>
      <x:c r="E2627" s="55" t="inlineStr">
        <x:is>
          <x:t>真．玄宙僧裝錦囊（網站未列地圖）</x:t>
        </x:is>
      </x:c>
    </x:row>
    <x:row r="2628" ht="15" customHeight="1">
      <x:c r="A2628" s="55" t="str">
        <x:v>騰陽雄鎧Ⅱ</x:v>
      </x:c>
      <x:c r="B2628" s="55" t="str">
        <x:v>—</x:v>
      </x:c>
      <x:c r="C2628" s="55" t="str">
        <x:v>—</x:v>
      </x:c>
      <x:c r="D2628" s="55" t="str">
        <x:v>—</x:v>
      </x:c>
      <x:c r="E2628" s="55" t="inlineStr">
        <x:is>
          <x:t>真．玄宙騰陽裝箱（網站未列地圖）；真．玄宙特仕裝箱（網站未列地圖）；絕代燕南天錦囊（網站未列地圖）</x:t>
        </x:is>
      </x:c>
    </x:row>
    <x:row r="2629" ht="30" customHeight="1">
      <x:c r="A2629" s="55" t="str">
        <x:v>凜月霜襟Ⅱ</x:v>
      </x:c>
      <x:c r="B2629" s="55" t="str">
        <x:v>—</x:v>
      </x:c>
      <x:c r="C2629" s="55" t="str">
        <x:v>—</x:v>
      </x:c>
      <x:c r="D2629" s="55" t="str">
        <x:v>—</x:v>
      </x:c>
      <x:c r="E2629" s="55" t="inlineStr">
        <x:is>
          <x:t>真．玄宙凜月裝箱（網站未列地圖）；真．玄宙特仕裝箱（網站未列地圖）；活俠虞小梅錦囊（網站未列地圖）；絕代鐵心蘭錦囊（網站未列地圖）</x:t>
        </x:is>
      </x:c>
    </x:row>
    <x:row r="2630" ht="15" customHeight="1">
      <x:c r="A2630" s="55" t="str">
        <x:v>舞星鈦甲Ⅱ</x:v>
      </x:c>
      <x:c r="B2630" s="55" t="str">
        <x:v>—</x:v>
      </x:c>
      <x:c r="C2630" s="55" t="str">
        <x:v>—</x:v>
      </x:c>
      <x:c r="D2630" s="55" t="str">
        <x:v>—</x:v>
      </x:c>
      <x:c r="E2630" s="55" t="inlineStr">
        <x:is>
          <x:t>真．玄宙舞星裝箱（網站未列地圖）；真．玄宙特仕裝箱（網站未列地圖）</x:t>
        </x:is>
      </x:c>
    </x:row>
    <x:row r="2631" ht="15" customHeight="1">
      <x:c r="A2631" s="55" t="str">
        <x:v>宇鋒颯衣Ⅲ</x:v>
      </x:c>
      <x:c r="B2631" s="55" t="str">
        <x:v>—</x:v>
      </x:c>
      <x:c r="C2631" s="55" t="str">
        <x:v>—</x:v>
      </x:c>
      <x:c r="D2631" s="55" t="str">
        <x:v>—</x:v>
      </x:c>
      <x:c r="E2631" s="55" t="inlineStr">
        <x:is>
          <x:t>超．玄宙劍裝錦囊（網站未列地圖）</x:t>
        </x:is>
      </x:c>
    </x:row>
    <x:row r="2632" ht="15" customHeight="1">
      <x:c r="A2632" s="55" t="str">
        <x:v>天衛宙甲Ⅲ</x:v>
      </x:c>
      <x:c r="B2632" s="55" t="str">
        <x:v>—</x:v>
      </x:c>
      <x:c r="C2632" s="55" t="str">
        <x:v>—</x:v>
      </x:c>
      <x:c r="D2632" s="55" t="str">
        <x:v>—</x:v>
      </x:c>
      <x:c r="E2632" s="55" t="inlineStr">
        <x:is>
          <x:t>超．玄宙勇裝錦囊（網站未列地圖）</x:t>
        </x:is>
      </x:c>
    </x:row>
    <x:row r="2633" ht="15" customHeight="1">
      <x:c r="A2633" s="55" t="str">
        <x:v>光術旋披Ⅲ</x:v>
      </x:c>
      <x:c r="B2633" s="55" t="str">
        <x:v>—</x:v>
      </x:c>
      <x:c r="C2633" s="55" t="str">
        <x:v>—</x:v>
      </x:c>
      <x:c r="D2633" s="55" t="str">
        <x:v>—</x:v>
      </x:c>
      <x:c r="E2633" s="55" t="inlineStr">
        <x:is>
          <x:t>超．玄宙術裝錦囊（網站未列地圖）</x:t>
        </x:is>
      </x:c>
    </x:row>
    <x:row r="2634" ht="15" customHeight="1">
      <x:c r="A2634" s="55" t="str">
        <x:v>辰道玄袍Ⅲ</x:v>
      </x:c>
      <x:c r="B2634" s="55" t="str">
        <x:v>—</x:v>
      </x:c>
      <x:c r="C2634" s="55" t="str">
        <x:v>—</x:v>
      </x:c>
      <x:c r="D2634" s="55" t="str">
        <x:v>—</x:v>
      </x:c>
      <x:c r="E2634" s="55" t="inlineStr">
        <x:is>
          <x:t>超．玄宙道裝錦囊（網站未列地圖）</x:t>
        </x:is>
      </x:c>
    </x:row>
    <x:row r="2635" ht="15" customHeight="1">
      <x:c r="A2635" s="55" t="str">
        <x:v>寂禪鎏裟Ⅲ</x:v>
      </x:c>
      <x:c r="B2635" s="55" t="str">
        <x:v>—</x:v>
      </x:c>
      <x:c r="C2635" s="55" t="str">
        <x:v>—</x:v>
      </x:c>
      <x:c r="D2635" s="55" t="str">
        <x:v>—</x:v>
      </x:c>
      <x:c r="E2635" s="55" t="inlineStr">
        <x:is>
          <x:t>超．玄宙僧裝錦囊（網站未列地圖）</x:t>
        </x:is>
      </x:c>
    </x:row>
    <x:row r="2636" ht="15" customHeight="1">
      <x:c r="A2636" s="55" t="str">
        <x:v>騰陽雄鎧Ⅲ</x:v>
      </x:c>
      <x:c r="B2636" s="55" t="str">
        <x:v>—</x:v>
      </x:c>
      <x:c r="C2636" s="55" t="str">
        <x:v>—</x:v>
      </x:c>
      <x:c r="D2636" s="55" t="str">
        <x:v>—</x:v>
      </x:c>
      <x:c r="E2636" s="55" t="inlineStr">
        <x:is>
          <x:t>超．玄宙騰陽裝箱（網站未列地圖）；超．玄宙特仕裝箱（網站未列地圖）</x:t>
        </x:is>
      </x:c>
    </x:row>
    <x:row r="2637" ht="15" customHeight="1">
      <x:c r="A2637" s="55" t="str">
        <x:v>凜月霜襟Ⅲ</x:v>
      </x:c>
      <x:c r="B2637" s="55" t="str">
        <x:v>—</x:v>
      </x:c>
      <x:c r="C2637" s="55" t="str">
        <x:v>—</x:v>
      </x:c>
      <x:c r="D2637" s="55" t="str">
        <x:v>—</x:v>
      </x:c>
      <x:c r="E2637" s="55" t="inlineStr">
        <x:is>
          <x:t>超．玄宙凜月裝箱（網站未列地圖）；超．玄宙特仕裝箱（網站未列地圖）</x:t>
        </x:is>
      </x:c>
    </x:row>
    <x:row r="2638" ht="15" customHeight="1">
      <x:c r="A2638" s="55" t="str">
        <x:v>舞星鈦甲Ⅲ</x:v>
      </x:c>
      <x:c r="B2638" s="55" t="str">
        <x:v>—</x:v>
      </x:c>
      <x:c r="C2638" s="55" t="str">
        <x:v>—</x:v>
      </x:c>
      <x:c r="D2638" s="55" t="str">
        <x:v>—</x:v>
      </x:c>
      <x:c r="E2638" s="55" t="inlineStr">
        <x:is>
          <x:t>超．玄宙舞星裝箱（網站未列地圖）；超．玄宙特仕裝箱（網站未列地圖）</x:t>
        </x:is>
      </x:c>
    </x:row>
    <x:row r="2639" ht="15" customHeight="1">
      <x:c r="A2639" s="55" t="str">
        <x:v>宇鋒颯衣Ⅳ</x:v>
      </x:c>
      <x:c r="B2639" s="55" t="str">
        <x:v>—</x:v>
      </x:c>
      <x:c r="C2639" s="55" t="str">
        <x:v>—</x:v>
      </x:c>
      <x:c r="D2639" s="55" t="str">
        <x:v>—</x:v>
      </x:c>
      <x:c r="E2639" s="55" t="inlineStr">
        <x:is>
          <x:t>極．玄宙劍裝錦囊（網站未列地圖）</x:t>
        </x:is>
      </x:c>
    </x:row>
    <x:row r="2640" ht="15" customHeight="1">
      <x:c r="A2640" s="55" t="str">
        <x:v>天衛宙甲Ⅳ</x:v>
      </x:c>
      <x:c r="B2640" s="55" t="str">
        <x:v>—</x:v>
      </x:c>
      <x:c r="C2640" s="55" t="str">
        <x:v>—</x:v>
      </x:c>
      <x:c r="D2640" s="55" t="str">
        <x:v>—</x:v>
      </x:c>
      <x:c r="E2640" s="55" t="inlineStr">
        <x:is>
          <x:t>極．玄宙勇裝錦囊（網站未列地圖）</x:t>
        </x:is>
      </x:c>
    </x:row>
    <x:row r="2641" ht="15" customHeight="1">
      <x:c r="A2641" s="55" t="str">
        <x:v>光術旋披Ⅳ</x:v>
      </x:c>
      <x:c r="B2641" s="55" t="str">
        <x:v>—</x:v>
      </x:c>
      <x:c r="C2641" s="55" t="str">
        <x:v>—</x:v>
      </x:c>
      <x:c r="D2641" s="55" t="str">
        <x:v>—</x:v>
      </x:c>
      <x:c r="E2641" s="55" t="inlineStr">
        <x:is>
          <x:t>極．玄宙術裝錦囊（網站未列地圖）</x:t>
        </x:is>
      </x:c>
    </x:row>
    <x:row r="2642" ht="15" customHeight="1">
      <x:c r="A2642" s="55" t="str">
        <x:v>辰道玄袍Ⅳ</x:v>
      </x:c>
      <x:c r="B2642" s="55" t="str">
        <x:v>—</x:v>
      </x:c>
      <x:c r="C2642" s="55" t="str">
        <x:v>—</x:v>
      </x:c>
      <x:c r="D2642" s="55" t="str">
        <x:v>—</x:v>
      </x:c>
      <x:c r="E2642" s="55" t="inlineStr">
        <x:is>
          <x:t>極．玄宙道裝錦囊（網站未列地圖）</x:t>
        </x:is>
      </x:c>
    </x:row>
    <x:row r="2643" ht="15" customHeight="1">
      <x:c r="A2643" s="55" t="str">
        <x:v>寂禪鎏裟Ⅳ</x:v>
      </x:c>
      <x:c r="B2643" s="55" t="str">
        <x:v>—</x:v>
      </x:c>
      <x:c r="C2643" s="55" t="str">
        <x:v>—</x:v>
      </x:c>
      <x:c r="D2643" s="55" t="str">
        <x:v>—</x:v>
      </x:c>
      <x:c r="E2643" s="55" t="inlineStr">
        <x:is>
          <x:t>極．玄宙僧裝錦囊（網站未列地圖）</x:t>
        </x:is>
      </x:c>
    </x:row>
    <x:row r="2644" ht="15" customHeight="1">
      <x:c r="A2644" s="55" t="str">
        <x:v>騰陽雄鎧Ⅳ</x:v>
      </x:c>
      <x:c r="B2644" s="55" t="str">
        <x:v>—</x:v>
      </x:c>
      <x:c r="C2644" s="55" t="str">
        <x:v>—</x:v>
      </x:c>
      <x:c r="D2644" s="55" t="str">
        <x:v>—</x:v>
      </x:c>
      <x:c r="E2644" s="55" t="inlineStr">
        <x:is>
          <x:t>極．玄宙騰陽裝箱（網站未列地圖）；極．玄宙特仕裝箱（網站未列地圖）</x:t>
        </x:is>
      </x:c>
    </x:row>
    <x:row r="2645" ht="15" customHeight="1">
      <x:c r="A2645" s="55" t="str">
        <x:v>凜月霜襟Ⅳ</x:v>
      </x:c>
      <x:c r="B2645" s="55" t="str">
        <x:v>—</x:v>
      </x:c>
      <x:c r="C2645" s="55" t="str">
        <x:v>—</x:v>
      </x:c>
      <x:c r="D2645" s="55" t="str">
        <x:v>—</x:v>
      </x:c>
      <x:c r="E2645" s="55" t="inlineStr">
        <x:is>
          <x:t>極．玄宙凜月裝箱（網站未列地圖）；極．玄宙特仕裝箱（網站未列地圖）</x:t>
        </x:is>
      </x:c>
    </x:row>
    <x:row r="2646" ht="15" customHeight="1">
      <x:c r="A2646" s="55" t="str">
        <x:v>舞星鈦甲Ⅳ</x:v>
      </x:c>
      <x:c r="B2646" s="55" t="str">
        <x:v>—</x:v>
      </x:c>
      <x:c r="C2646" s="55" t="str">
        <x:v>—</x:v>
      </x:c>
      <x:c r="D2646" s="55" t="str">
        <x:v>—</x:v>
      </x:c>
      <x:c r="E2646" s="55" t="inlineStr">
        <x:is>
          <x:t>極．玄宙舞星裝箱（網站未列地圖）；極．玄宙特仕裝箱（網站未列地圖）</x:t>
        </x:is>
      </x:c>
    </x:row>
    <x:row r="2647" ht="15" customHeight="1">
      <x:c r="A2647" s="55" t="str">
        <x:v>宇鋒颯衣Ⅴ</x:v>
      </x:c>
      <x:c r="B2647" s="55" t="str">
        <x:v>—</x:v>
      </x:c>
      <x:c r="C2647" s="55" t="str">
        <x:v>—</x:v>
      </x:c>
      <x:c r="D2647" s="55" t="str">
        <x:v>—</x:v>
      </x:c>
      <x:c r="E2647" s="55" t="inlineStr">
        <x:is>
          <x:t>神．玄宙劍裝錦囊（網站未列地圖）</x:t>
        </x:is>
      </x:c>
    </x:row>
    <x:row r="2648" ht="15" customHeight="1">
      <x:c r="A2648" s="55" t="str">
        <x:v>天衛宙甲Ⅴ</x:v>
      </x:c>
      <x:c r="B2648" s="55" t="str">
        <x:v>—</x:v>
      </x:c>
      <x:c r="C2648" s="55" t="str">
        <x:v>—</x:v>
      </x:c>
      <x:c r="D2648" s="55" t="str">
        <x:v>—</x:v>
      </x:c>
      <x:c r="E2648" s="55" t="inlineStr">
        <x:is>
          <x:t>神．玄宙勇裝錦囊（網站未列地圖）</x:t>
        </x:is>
      </x:c>
    </x:row>
    <x:row r="2649" ht="15" customHeight="1">
      <x:c r="A2649" s="55" t="str">
        <x:v>光術旋披Ⅴ</x:v>
      </x:c>
      <x:c r="B2649" s="55" t="str">
        <x:v>—</x:v>
      </x:c>
      <x:c r="C2649" s="55" t="str">
        <x:v>—</x:v>
      </x:c>
      <x:c r="D2649" s="55" t="str">
        <x:v>—</x:v>
      </x:c>
      <x:c r="E2649" s="55" t="inlineStr">
        <x:is>
          <x:t>神．玄宙術裝錦囊（網站未列地圖）</x:t>
        </x:is>
      </x:c>
    </x:row>
    <x:row r="2650" ht="15" customHeight="1">
      <x:c r="A2650" s="55" t="str">
        <x:v>辰道玄袍Ⅴ</x:v>
      </x:c>
      <x:c r="B2650" s="55" t="str">
        <x:v>—</x:v>
      </x:c>
      <x:c r="C2650" s="55" t="str">
        <x:v>—</x:v>
      </x:c>
      <x:c r="D2650" s="55" t="str">
        <x:v>—</x:v>
      </x:c>
      <x:c r="E2650" s="55" t="inlineStr">
        <x:is>
          <x:t>神．玄宙道裝錦囊（網站未列地圖）</x:t>
        </x:is>
      </x:c>
    </x:row>
    <x:row r="2651" ht="15" customHeight="1">
      <x:c r="A2651" s="55" t="str">
        <x:v>寂禪鎏裟Ⅴ</x:v>
      </x:c>
      <x:c r="B2651" s="55" t="str">
        <x:v>—</x:v>
      </x:c>
      <x:c r="C2651" s="55" t="str">
        <x:v>—</x:v>
      </x:c>
      <x:c r="D2651" s="55" t="str">
        <x:v>—</x:v>
      </x:c>
      <x:c r="E2651" s="55" t="inlineStr">
        <x:is>
          <x:t>神．玄宙僧裝錦囊（網站未列地圖）</x:t>
        </x:is>
      </x:c>
    </x:row>
    <x:row r="2652" ht="15" customHeight="1">
      <x:c r="A2652" s="55" t="str">
        <x:v>騰陽雄鎧Ⅴ</x:v>
      </x:c>
      <x:c r="B2652" s="55" t="str">
        <x:v>—</x:v>
      </x:c>
      <x:c r="C2652" s="55" t="str">
        <x:v>—</x:v>
      </x:c>
      <x:c r="D2652" s="55" t="str">
        <x:v>—</x:v>
      </x:c>
      <x:c r="E2652" s="55" t="inlineStr">
        <x:is>
          <x:t>神．玄宙騰陽裝箱（網站未列地圖）；神．玄宙特仕裝箱（網站未列地圖）</x:t>
        </x:is>
      </x:c>
    </x:row>
    <x:row r="2653" ht="15" customHeight="1">
      <x:c r="A2653" s="55" t="str">
        <x:v>凜月霜襟Ⅴ</x:v>
      </x:c>
      <x:c r="B2653" s="55" t="str">
        <x:v>—</x:v>
      </x:c>
      <x:c r="C2653" s="55" t="str">
        <x:v>—</x:v>
      </x:c>
      <x:c r="D2653" s="55" t="str">
        <x:v>—</x:v>
      </x:c>
      <x:c r="E2653" s="55" t="inlineStr">
        <x:is>
          <x:t>神．玄宙凜月裝箱（網站未列地圖）；神．玄宙特仕裝箱（網站未列地圖）</x:t>
        </x:is>
      </x:c>
    </x:row>
    <x:row r="2654" ht="15" customHeight="1">
      <x:c r="A2654" s="55" t="str">
        <x:v>舞星鈦甲Ⅴ</x:v>
      </x:c>
      <x:c r="B2654" s="55" t="str">
        <x:v>—</x:v>
      </x:c>
      <x:c r="C2654" s="55" t="str">
        <x:v>—</x:v>
      </x:c>
      <x:c r="D2654" s="55" t="str">
        <x:v>—</x:v>
      </x:c>
      <x:c r="E2654" s="55" t="inlineStr">
        <x:is>
          <x:t>神．玄宙舞星裝箱（網站未列地圖）；神．玄宙特仕裝箱（網站未列地圖）</x:t>
        </x:is>
      </x:c>
    </x:row>
    <x:row r="2655" ht="45" customHeight="1">
      <x:c r="A2655" s="55" t="str">
        <x:v>纏布綁手</x:v>
      </x:c>
      <x:c r="B2655" s="55" t="str">
        <x:v>—</x:v>
      </x:c>
      <x:c r="C2655" s="55" t="str">
        <x:v>勇士村買賣人、劍俠村買賣人、術者村買賣人、道人村買賣人、僧侶村買賣人、京城打鐵舖</x:v>
      </x:c>
      <x:c r="D2655" s="55" t="str">
        <x:v>—</x:v>
      </x:c>
      <x:c r="E2655" s="55" t="inlineStr">
        <x:is>
          <x:t>—</x:t>
        </x:is>
      </x:c>
    </x:row>
    <x:row r="2656" ht="15" customHeight="1">
      <x:c r="A2656" s="55" t="str">
        <x:v>麻護腕</x:v>
      </x:c>
      <x:c r="B2656" s="55" t="str">
        <x:v>—</x:v>
      </x:c>
      <x:c r="C2656" s="55" t="str">
        <x:v>義勇軍校場買賣人、京城打鐵舖</x:v>
      </x:c>
      <x:c r="D2656" s="55" t="str">
        <x:v>—</x:v>
      </x:c>
      <x:c r="E2656" s="55" t="inlineStr">
        <x:is>
          <x:t>—</x:t>
        </x:is>
      </x:c>
    </x:row>
    <x:row r="2657" ht="15" customHeight="1">
      <x:c r="A2657" s="55" t="str">
        <x:v>布護腕</x:v>
      </x:c>
      <x:c r="B2657" s="55" t="str">
        <x:v>—</x:v>
      </x:c>
      <x:c r="C2657" s="55" t="str">
        <x:v>義勇軍校場買賣人、京城打鐵舖</x:v>
      </x:c>
      <x:c r="D2657" s="55" t="str">
        <x:v>—</x:v>
      </x:c>
      <x:c r="E2657" s="55" t="inlineStr">
        <x:is>
          <x:t>—</x:t>
        </x:is>
      </x:c>
    </x:row>
    <x:row r="2658" ht="15" customHeight="1">
      <x:c r="A2658" s="55" t="str">
        <x:v>絹甲護腕</x:v>
      </x:c>
      <x:c r="B2658" s="55" t="str">
        <x:v>—</x:v>
      </x:c>
      <x:c r="C2658" s="55" t="str">
        <x:v>京城打鐵舖</x:v>
      </x:c>
      <x:c r="D2658" s="55" t="str">
        <x:v>—</x:v>
      </x:c>
      <x:c r="E2658" s="55" t="inlineStr">
        <x:is>
          <x:t>—</x:t>
        </x:is>
      </x:c>
    </x:row>
    <x:row r="2659" ht="225" customHeight="1">
      <x:c r="A2659" s="55" t="str">
        <x:v>藤護腕</x:v>
      </x:c>
      <x:c r="B2659" s="55" t="str">
        <x:v>—</x:v>
      </x:c>
      <x:c r="C2659" s="55" t="str">
        <x:v>—</x:v>
      </x:c>
      <x:c r="D2659" s="55" t="str">
        <x:v>—</x:v>
      </x:c>
      <x:c r="E2659" s="55" t="inlineStr">
        <x:is>
          <x:t>巨靈魔（亂藤林、毒龍潭、摘星嶺、魔君陵墓）；巨靈魔王（摘星嶺、魔君陵墓、魔君陵寢一層、修羅窟）；夜叉王（摘星嶺、夜叉嶺）；夜叉王（玄州城、獄門峽、摘星嶺、夜叉嶺、異時界‧摘星嶺）；夜叉刺客（鎮南關）；{老樹精}（瀰煙山道、掩月松林）；&lt;老樹精&gt;（瀰煙山道、掩月松林）；老樹精（惡狼林、碧波谷徑、瘴癘修煉場、亂藤林、葬日沼澤、葬日沼澤北方）；邪樹妖（桃花林西方）；千年樹精（瀰煙山道、掩月松林、不老峰）；千年樹精（葬日沼澤、葬日沼澤北方、千佛遺跡東側）；[千年樹精]（網站未列地圖）；樹精（惡狼林、碧波谷徑、亂藤林）；樹精（桃花林西方、不老峰）；小夜叉士兵（獄門峽、亂藤林、亂藤林西方、摘星嶺、靖南古道、夜叉嶺）；小夜叉士兵（玄州城、獄門峽、亂藤林、亂藤林西方、摘星嶺、靖南古道、夜叉嶺、異時界‧亂藤林、異時界‧亂藤林西）；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奴隸（獄門峽、亂藤林西方、摘星嶺、靖南古道、夜叉嶺）；小夜叉奴隸（玄州城、獄門峽、亂藤林西方、摘星嶺、靖南古道、夜叉嶺）；夜叉長矛手（亂藤林西方、毒龍潭、摘星嶺、魔君陵寢一層、夜叉嶺、修羅窟）；夜叉刀斧手（獄門峽、亂藤林西方、毒龍潭、摘星嶺、魔君陵寢一層、夜叉嶺、修羅窟）；狂猴（葬劍崖護法院、試煉之窟）；蟾蜍（黑水潭地龍穴、試煉之窟）；野豬（山林地訓練營、試煉之窟）；蜘蛛（踏雲頂梵天寺、試煉之窟）；山犬（紫霞山養心觀、惡狼林、封神臺、試煉之窟）；小夜叉奴隸（玄州城、獄門峽）；小夜叉士兵（玄州城、獄門峽）；小夜叉飛斧手（玄州城、獄門峽）</x:t>
        </x:is>
      </x:c>
    </x:row>
    <x:row r="2660" ht="15" customHeight="1">
      <x:c r="A2660" s="55" t="str">
        <x:v>皮護腕</x:v>
      </x:c>
      <x:c r="B2660" s="55" t="str">
        <x:v>—</x:v>
      </x:c>
      <x:c r="C2660" s="55" t="str">
        <x:v>祁州打鐵舖</x:v>
      </x:c>
      <x:c r="D2660" s="55" t="str">
        <x:v>—</x:v>
      </x:c>
      <x:c r="E2660" s="55" t="inlineStr">
        <x:is>
          <x:t>—</x:t>
        </x:is>
      </x:c>
    </x:row>
    <x:row r="2661" ht="15" customHeight="1">
      <x:c r="A2661" s="55" t="str">
        <x:v>鱷皮護腕</x:v>
      </x:c>
      <x:c r="B2661" s="55" t="str">
        <x:v>—</x:v>
      </x:c>
      <x:c r="C2661" s="55" t="str">
        <x:v>祁州打鐵舖</x:v>
      </x:c>
      <x:c r="D2661" s="55" t="str">
        <x:v>—</x:v>
      </x:c>
      <x:c r="E2661" s="55" t="inlineStr">
        <x:is>
          <x:t>—</x:t>
        </x:is>
      </x:c>
    </x:row>
    <x:row r="2662" ht="15" customHeight="1">
      <x:c r="A2662" s="55" t="str">
        <x:v>巨犀護腕</x:v>
      </x:c>
      <x:c r="B2662" s="55" t="str">
        <x:v>—</x:v>
      </x:c>
      <x:c r="C2662" s="55" t="str">
        <x:v>祁州打鐵舖</x:v>
      </x:c>
      <x:c r="D2662" s="55" t="str">
        <x:v>—</x:v>
      </x:c>
      <x:c r="E2662" s="55" t="inlineStr">
        <x:is>
          <x:t>—</x:t>
        </x:is>
      </x:c>
    </x:row>
    <x:row r="2663" ht="15" customHeight="1">
      <x:c r="A2663" s="55" t="str">
        <x:v>鐵鎖護腕</x:v>
      </x:c>
      <x:c r="B2663" s="55" t="str">
        <x:v>—</x:v>
      </x:c>
      <x:c r="C2663" s="55" t="str">
        <x:v>玄州打鐵舖</x:v>
      </x:c>
      <x:c r="D2663" s="55" t="str">
        <x:v>—</x:v>
      </x:c>
      <x:c r="E2663" s="55" t="inlineStr">
        <x:is>
          <x:t>—</x:t>
        </x:is>
      </x:c>
    </x:row>
    <x:row r="2664" ht="15" customHeight="1">
      <x:c r="A2664" s="55" t="str">
        <x:v>精鋼護腕</x:v>
      </x:c>
      <x:c r="B2664" s="55" t="str">
        <x:v>—</x:v>
      </x:c>
      <x:c r="C2664" s="55" t="str">
        <x:v>玄州打鐵舖</x:v>
      </x:c>
      <x:c r="D2664" s="55" t="str">
        <x:v>—</x:v>
      </x:c>
      <x:c r="E2664" s="55" t="inlineStr">
        <x:is>
          <x:t>—</x:t>
        </x:is>
      </x:c>
    </x:row>
    <x:row r="2665" ht="15" customHeight="1">
      <x:c r="A2665" s="55" t="str">
        <x:v>銀縷護腕</x:v>
      </x:c>
      <x:c r="B2665" s="55" t="str">
        <x:v>—</x:v>
      </x:c>
      <x:c r="C2665" s="55" t="str">
        <x:v>玄州打鐵舖</x:v>
      </x:c>
      <x:c r="D2665" s="55" t="str">
        <x:v>—</x:v>
      </x:c>
      <x:c r="E2665" s="55" t="inlineStr">
        <x:is>
          <x:t>—</x:t>
        </x:is>
      </x:c>
    </x:row>
    <x:row r="2666" ht="15" customHeight="1">
      <x:c r="A2666" s="55" t="str">
        <x:v>明光護腕</x:v>
      </x:c>
      <x:c r="B2666" s="55" t="str">
        <x:v>—</x:v>
      </x:c>
      <x:c r="C2666" s="55" t="str">
        <x:v>玄州打鐵舖</x:v>
      </x:c>
      <x:c r="D2666" s="55" t="str">
        <x:v>—</x:v>
      </x:c>
      <x:c r="E2666" s="55" t="inlineStr">
        <x:is>
          <x:t>—</x:t>
        </x:is>
      </x:c>
    </x:row>
    <x:row r="2667" ht="15" customHeight="1">
      <x:c r="A2667" s="55" t="str">
        <x:v>驅邪護腕</x:v>
      </x:c>
      <x:c r="B2667" s="55" t="str">
        <x:v>—</x:v>
      </x:c>
      <x:c r="C2667" s="55" t="str">
        <x:v>釣日村武器店長</x:v>
      </x:c>
      <x:c r="D2667" s="55" t="str">
        <x:v>—</x:v>
      </x:c>
      <x:c r="E2667" s="55" t="inlineStr">
        <x:is>
          <x:t>—</x:t>
        </x:is>
      </x:c>
    </x:row>
    <x:row r="2668" ht="15" customHeight="1">
      <x:c r="A2668" s="55" t="str">
        <x:v>闢邪護腕</x:v>
      </x:c>
      <x:c r="B2668" s="55" t="str">
        <x:v>—</x:v>
      </x:c>
      <x:c r="C2668" s="55" t="str">
        <x:v>釣日村武器店長</x:v>
      </x:c>
      <x:c r="D2668" s="55" t="str">
        <x:v>—</x:v>
      </x:c>
      <x:c r="E2668" s="55" t="inlineStr">
        <x:is>
          <x:t>嗜血屍妖（鬼城）</x:t>
        </x:is>
      </x:c>
    </x:row>
    <x:row r="2669" ht="60" customHeight="1">
      <x:c r="A2669" s="55" t="str">
        <x:v>鎮邪護腕</x:v>
      </x:c>
      <x:c r="B2669" s="55" t="str">
        <x:v>—</x:v>
      </x:c>
      <x:c r="C2669" s="55" t="str">
        <x:v>—</x:v>
      </x:c>
      <x:c r="D2669" s="55" t="str">
        <x:v>—</x:v>
      </x:c>
      <x:c r="E2669" s="55" t="inlineStr">
        <x:is>
          <x:t>御史劍裝錦囊（網站未列地圖）；御史勇裝錦囊（網站未列地圖）；士兵俑（古皇陵第二層、古皇陵第三層）；鎖滅黑龍陣（網站未列地圖）；鎖滅銀龍陣（網站未列地圖）；鎖滅石龍陣（網站未列地圖）；終末邪龍鎮（終末之塔第15層）；終末邪龍鎮（終末之塔第24層）；終末邪龍鎮（終末之塔第35層）；終末邪龍鎮（終末之塔第146層）；鎖滅金龍陣（網站未列地圖）</x:t>
        </x:is>
      </x:c>
    </x:row>
    <x:row r="2670" ht="15" customHeight="1">
      <x:c r="A2670" s="55" t="str">
        <x:v>骨護腕</x:v>
      </x:c>
      <x:c r="B2670" s="55" t="str">
        <x:v>—</x:v>
      </x:c>
      <x:c r="C2670" s="55" t="str">
        <x:v>—</x:v>
      </x:c>
      <x:c r="D2670" s="55" t="str">
        <x:v>骨護腕配方</x:v>
      </x:c>
      <x:c r="E2670" s="55" t="inlineStr">
        <x:is>
          <x:t>夜叉長矛手（玄州城、獄門峽）；夜叉刀斧手（玄州城、獄門峽）；大野豬（試煉之窟）；大蜘蛛（試煉之窟）</x:t>
        </x:is>
      </x:c>
    </x:row>
    <x:row r="2671" ht="15" customHeight="1">
      <x:c r="A2671" s="55" t="str">
        <x:v>重骨護腕</x:v>
      </x:c>
      <x:c r="B2671" s="55" t="str">
        <x:v>—</x:v>
      </x:c>
      <x:c r="C2671" s="55" t="str">
        <x:v>—</x:v>
      </x:c>
      <x:c r="D2671" s="55" t="str">
        <x:v>重型護腕配方</x:v>
      </x:c>
      <x:c r="E2671" s="55" t="inlineStr">
        <x:is>
          <x:t>巨靈魔（獄門峽）；夜叉王（玄州城、獄門峽）；夜叉長矛手（玄州城、獄門峽）；夜叉刀斧手（玄州城、獄門峽）</x:t>
        </x:is>
      </x:c>
    </x:row>
    <x:row r="2672" ht="15" customHeight="1">
      <x:c r="A2672" s="55" t="str">
        <x:v>附靈護腕</x:v>
      </x:c>
      <x:c r="B2672" s="55" t="str">
        <x:v>—</x:v>
      </x:c>
      <x:c r="C2672" s="55" t="str">
        <x:v>—</x:v>
      </x:c>
      <x:c r="D2672" s="55" t="str">
        <x:v>附靈護腕配方</x:v>
      </x:c>
      <x:c r="E2672" s="55" t="inlineStr">
        <x:is>
          <x:t>校尉錦囊（網站未列地圖）；邪咒骷髏弓手（千佛遺跡東側、千佛遺跡西側）</x:t>
        </x:is>
      </x:c>
    </x:row>
    <x:row r="2673" ht="15" customHeight="1">
      <x:c r="A2673" s="55" t="str">
        <x:v>怨靈護腕</x:v>
      </x:c>
      <x:c r="B2673" s="55" t="str">
        <x:v>—</x:v>
      </x:c>
      <x:c r="C2673" s="55" t="str">
        <x:v>—</x:v>
      </x:c>
      <x:c r="D2673" s="55" t="str">
        <x:v>怨靈護腕配方</x:v>
      </x:c>
      <x:c r="E2673" s="55" t="inlineStr">
        <x:is>
          <x:t>邪咒骷髏弓手（千佛遺跡東側、千佛遺跡西側）</x:t>
        </x:is>
      </x:c>
    </x:row>
    <x:row r="2674" ht="15" customHeight="1">
      <x:c r="A2674" s="55" t="str">
        <x:v>山犬綁手</x:v>
      </x:c>
      <x:c r="B2674" s="55" t="str">
        <x:v>—</x:v>
      </x:c>
      <x:c r="C2674" s="55" t="str">
        <x:v>—</x:v>
      </x:c>
      <x:c r="D2674" s="55" t="str">
        <x:v>山犬綁手配方</x:v>
      </x:c>
      <x:c r="E2674" s="55" t="inlineStr">
        <x:is>
          <x:t>—</x:t>
        </x:is>
      </x:c>
    </x:row>
    <x:row r="2675" ht="15" customHeight="1">
      <x:c r="A2675" s="55" t="str">
        <x:v>惡狼綁手</x:v>
      </x:c>
      <x:c r="B2675" s="55" t="str">
        <x:v>—</x:v>
      </x:c>
      <x:c r="C2675" s="55" t="str">
        <x:v>—</x:v>
      </x:c>
      <x:c r="D2675" s="55" t="str">
        <x:v>惡狼綁手配方</x:v>
      </x:c>
      <x:c r="E2675" s="55" t="inlineStr">
        <x:is>
          <x:t>—</x:t>
        </x:is>
      </x:c>
    </x:row>
    <x:row r="2676" ht="15" customHeight="1">
      <x:c r="A2676" s="55" t="str">
        <x:v>鬼王護手</x:v>
      </x:c>
      <x:c r="B2676" s="55" t="str">
        <x:v>—</x:v>
      </x:c>
      <x:c r="C2676" s="55" t="str">
        <x:v>夸父-打鐵夸父</x:v>
      </x:c>
      <x:c r="D2676" s="55" t="str">
        <x:v>—</x:v>
      </x:c>
      <x:c r="E2676" s="55" t="inlineStr">
        <x:is>
          <x:t>食人巨蟒（葬日沼澤、葬日沼澤南方、盤蛇洞、河西谷地）；沙漠巨蟒（塔干沙漠南方）</x:t>
        </x:is>
      </x:c>
    </x:row>
    <x:row r="2677" ht="15" customHeight="1">
      <x:c r="A2677" s="55" t="str">
        <x:v>紅蓮護腕</x:v>
      </x:c>
      <x:c r="B2677" s="55" t="str">
        <x:v>—</x:v>
      </x:c>
      <x:c r="C2677" s="55" t="str">
        <x:v>維摩洞天-仙島工匠</x:v>
      </x:c>
      <x:c r="D2677" s="55" t="str">
        <x:v>—</x:v>
      </x:c>
      <x:c r="E2677" s="55" t="inlineStr">
        <x:is>
          <x:t>—</x:t>
        </x:is>
      </x:c>
    </x:row>
    <x:row r="2678" ht="15" customHeight="1">
      <x:c r="A2678" s="55" t="str">
        <x:v>布衣護腕</x:v>
      </x:c>
      <x:c r="B2678" s="55" t="str">
        <x:v>—</x:v>
      </x:c>
      <x:c r="C2678" s="55" t="str">
        <x:v>釣日村武器店長、維摩洞天-仙島工匠</x:v>
      </x:c>
      <x:c r="D2678" s="55" t="str">
        <x:v>—</x:v>
      </x:c>
      <x:c r="E2678" s="55" t="inlineStr">
        <x:is>
          <x:t>嗜血屍妖（鬼城）</x:t>
        </x:is>
      </x:c>
    </x:row>
    <x:row r="2679" ht="15" customHeight="1">
      <x:c r="A2679" s="55" t="str">
        <x:v>青甲護腕</x:v>
      </x:c>
      <x:c r="B2679" s="55" t="str">
        <x:v>—</x:v>
      </x:c>
      <x:c r="C2679" s="55" t="str">
        <x:v>釣日村武器店長</x:v>
      </x:c>
      <x:c r="D2679" s="55" t="str">
        <x:v>—</x:v>
      </x:c>
      <x:c r="E2679" s="55" t="inlineStr">
        <x:is>
          <x:t>—</x:t>
        </x:is>
      </x:c>
    </x:row>
    <x:row r="2680" ht="15" customHeight="1">
      <x:c r="A2680" s="55" t="str">
        <x:v>金甲護腕</x:v>
      </x:c>
      <x:c r="B2680" s="55" t="str">
        <x:v>—</x:v>
      </x:c>
      <x:c r="C2680" s="55" t="str">
        <x:v>釣日村武器店長</x:v>
      </x:c>
      <x:c r="D2680" s="55" t="str">
        <x:v>—</x:v>
      </x:c>
      <x:c r="E2680" s="55" t="inlineStr">
        <x:is>
          <x:t>長林惡匪（長林谷）；流亡叛軍隊長（八達嶺、古北口、古北大營）；流亡叛軍隊長（邊關要塞）</x:t>
        </x:is>
      </x:c>
    </x:row>
    <x:row r="2681" ht="15" customHeight="1">
      <x:c r="A2681" s="55" t="str">
        <x:v>漁人護腕</x:v>
      </x:c>
      <x:c r="B2681" s="55" t="str">
        <x:v>—</x:v>
      </x:c>
      <x:c r="C2681" s="55" t="str">
        <x:v>釣日村武器店長</x:v>
      </x:c>
      <x:c r="D2681" s="55" t="str">
        <x:v>—</x:v>
      </x:c>
      <x:c r="E2681" s="55" t="inlineStr">
        <x:is>
          <x:t>御史術裝錦囊（網站未列地圖）</x:t>
        </x:is>
      </x:c>
    </x:row>
    <x:row r="2682" ht="15" customHeight="1">
      <x:c r="A2682" s="55" t="str">
        <x:v>法意護腕</x:v>
      </x:c>
      <x:c r="B2682" s="55" t="str">
        <x:v>—</x:v>
      </x:c>
      <x:c r="C2682" s="55" t="str">
        <x:v>釣日村武器店長</x:v>
      </x:c>
      <x:c r="D2682" s="55" t="str">
        <x:v>—</x:v>
      </x:c>
      <x:c r="E2682" s="55" t="inlineStr">
        <x:is>
          <x:t>御史道裝錦囊（網站未列地圖）；御史僧裝錦囊（網站未列地圖）</x:t>
        </x:is>
      </x:c>
    </x:row>
    <x:row r="2683" ht="15" customHeight="1">
      <x:c r="A2683" s="55" t="str">
        <x:v>赤鐵護腕</x:v>
      </x:c>
      <x:c r="B2683" s="55" t="str">
        <x:v>—</x:v>
      </x:c>
      <x:c r="C2683" s="55" t="str">
        <x:v>維摩洞天-仙島工匠</x:v>
      </x:c>
      <x:c r="D2683" s="55" t="str">
        <x:v>—</x:v>
      </x:c>
      <x:c r="E2683" s="55" t="inlineStr">
        <x:is>
          <x:t>長林惡匪（長林谷）；流亡叛軍隊長（八達嶺、古北口、古北大營）；流亡叛軍隊長（邊關要塞）</x:t>
        </x:is>
      </x:c>
    </x:row>
    <x:row r="2684" ht="15" customHeight="1">
      <x:c r="A2684" s="55" t="str">
        <x:v>木靈護腕</x:v>
      </x:c>
      <x:c r="B2684" s="55" t="str">
        <x:v>—</x:v>
      </x:c>
      <x:c r="C2684" s="55" t="str">
        <x:v>維摩洞天-仙島工匠</x:v>
      </x:c>
      <x:c r="D2684" s="55" t="str">
        <x:v>—</x:v>
      </x:c>
      <x:c r="E2684" s="55" t="inlineStr">
        <x:is>
          <x:t>—</x:t>
        </x:is>
      </x:c>
    </x:row>
    <x:row r="2685" ht="15" customHeight="1">
      <x:c r="A2685" s="55" t="str">
        <x:v>墨鐵護腕</x:v>
      </x:c>
      <x:c r="B2685" s="55" t="str">
        <x:v>—</x:v>
      </x:c>
      <x:c r="C2685" s="55" t="str">
        <x:v>京城打鐵舖</x:v>
      </x:c>
      <x:c r="D2685" s="55" t="str">
        <x:v>—</x:v>
      </x:c>
      <x:c r="E2685" s="55" t="inlineStr">
        <x:is>
          <x:t>嗜血屍妖（鬼城）</x:t>
        </x:is>
      </x:c>
    </x:row>
    <x:row r="2686" ht="15" customHeight="1">
      <x:c r="A2686" s="55" t="str">
        <x:v>雪銀護腕</x:v>
      </x:c>
      <x:c r="B2686" s="55" t="str">
        <x:v>—</x:v>
      </x:c>
      <x:c r="C2686" s="55" t="str">
        <x:v>釣日村武器店長</x:v>
      </x:c>
      <x:c r="D2686" s="55" t="str">
        <x:v>—</x:v>
      </x:c>
      <x:c r="E2686" s="55" t="inlineStr">
        <x:is>
          <x:t>—</x:t>
        </x:is>
      </x:c>
    </x:row>
    <x:row r="2687" ht="15" customHeight="1">
      <x:c r="A2687" s="55" t="str">
        <x:v>追風護腕</x:v>
      </x:c>
      <x:c r="B2687" s="55" t="str">
        <x:v>—</x:v>
      </x:c>
      <x:c r="C2687" s="55" t="str">
        <x:v>京城打鐵舖</x:v>
      </x:c>
      <x:c r="D2687" s="55" t="str">
        <x:v>—</x:v>
      </x:c>
      <x:c r="E2687" s="55" t="inlineStr">
        <x:is>
          <x:t>嗜血屍妖（鬼城）</x:t>
        </x:is>
      </x:c>
    </x:row>
    <x:row r="2688" ht="15" customHeight="1">
      <x:c r="A2688" s="55" t="str">
        <x:v>道環護腕</x:v>
      </x:c>
      <x:c r="B2688" s="55" t="str">
        <x:v>—</x:v>
      </x:c>
      <x:c r="C2688" s="55" t="str">
        <x:v>京城打鐵舖</x:v>
      </x:c>
      <x:c r="D2688" s="55" t="str">
        <x:v>—</x:v>
      </x:c>
      <x:c r="E2688" s="55" t="inlineStr">
        <x:is>
          <x:t>校尉錦囊（網站未列地圖）</x:t>
        </x:is>
      </x:c>
    </x:row>
    <x:row r="2689" ht="15" customHeight="1">
      <x:c r="A2689" s="55" t="str">
        <x:v>法環護腕</x:v>
      </x:c>
      <x:c r="B2689" s="55" t="str">
        <x:v>—</x:v>
      </x:c>
      <x:c r="C2689" s="55" t="str">
        <x:v>京城打鐵舖</x:v>
      </x:c>
      <x:c r="D2689" s="55" t="str">
        <x:v>—</x:v>
      </x:c>
      <x:c r="E2689" s="55" t="inlineStr">
        <x:is>
          <x:t>白鹿（呼倫草原、貝爾草原、蒼狼大營）；白鹿（呼倫草原、貝爾草原、蒼狼大營）</x:t>
        </x:is>
      </x:c>
    </x:row>
    <x:row r="2690" ht="15" customHeight="1">
      <x:c r="A2690" s="55" t="str">
        <x:v>夜叉護腕</x:v>
      </x:c>
      <x:c r="B2690" s="55" t="str">
        <x:v>千里姻緣紅線牽系列</x:v>
      </x:c>
      <x:c r="C2690" s="55" t="str">
        <x:v>—</x:v>
      </x:c>
      <x:c r="D2690" s="55" t="str">
        <x:v>—</x:v>
      </x:c>
      <x:c r="E2690" s="55" t="inlineStr">
        <x:is>
          <x:t>—</x:t>
        </x:is>
      </x:c>
    </x:row>
    <x:row r="2691" ht="15" customHeight="1">
      <x:c r="A2691" s="55" t="str">
        <x:v>續命護腕</x:v>
      </x:c>
      <x:c r="B2691" s="55" t="str">
        <x:v>祈州道人職業任務</x:v>
      </x:c>
      <x:c r="C2691" s="55" t="str">
        <x:v>—</x:v>
      </x:c>
      <x:c r="D2691" s="55" t="str">
        <x:v>—</x:v>
      </x:c>
      <x:c r="E2691" s="55" t="inlineStr">
        <x:is>
          <x:t>—</x:t>
        </x:is>
      </x:c>
    </x:row>
    <x:row r="2692" ht="15" customHeight="1">
      <x:c r="A2692" s="55" t="str">
        <x:v>護法布腕</x:v>
      </x:c>
      <x:c r="B2692" s="55" t="str">
        <x:v>義勇軍-密函任務</x:v>
      </x:c>
      <x:c r="C2692" s="55" t="str">
        <x:v>—</x:v>
      </x:c>
      <x:c r="D2692" s="55" t="str">
        <x:v>—</x:v>
      </x:c>
      <x:c r="E2692" s="55" t="inlineStr">
        <x:is>
          <x:t>—</x:t>
        </x:is>
      </x:c>
    </x:row>
    <x:row r="2693" ht="15" customHeight="1">
      <x:c r="A2693" s="55" t="str">
        <x:v>征西戰腕</x:v>
      </x:c>
      <x:c r="B2693" s="55" t="str">
        <x:v>波斯主線</x:v>
      </x:c>
      <x:c r="C2693" s="55" t="str">
        <x:v>—</x:v>
      </x:c>
      <x:c r="D2693" s="55" t="str">
        <x:v>—</x:v>
      </x:c>
      <x:c r="E2693" s="55" t="inlineStr">
        <x:is>
          <x:t>—</x:t>
        </x:is>
      </x:c>
    </x:row>
    <x:row r="2694" ht="15" customHeight="1">
      <x:c r="A2694" s="55" t="str">
        <x:v>歐風戰腕</x:v>
      </x:c>
      <x:c r="B2694" s="55" t="str">
        <x:v>十字主線</x:v>
      </x:c>
      <x:c r="C2694" s="55" t="str">
        <x:v>—</x:v>
      </x:c>
      <x:c r="D2694" s="55" t="str">
        <x:v>—</x:v>
      </x:c>
      <x:c r="E2694" s="55" t="inlineStr">
        <x:is>
          <x:t>—</x:t>
        </x:is>
      </x:c>
    </x:row>
    <x:row r="2695" ht="15" customHeight="1">
      <x:c r="A2695" s="55" t="str">
        <x:v>異空戰腕</x:v>
      </x:c>
      <x:c r="B2695" s="55" t="str">
        <x:v>破滅主線</x:v>
      </x:c>
      <x:c r="C2695" s="55" t="str">
        <x:v>—</x:v>
      </x:c>
      <x:c r="D2695" s="55" t="str">
        <x:v>—</x:v>
      </x:c>
      <x:c r="E2695" s="55" t="inlineStr">
        <x:is>
          <x:t>—</x:t>
        </x:is>
      </x:c>
    </x:row>
    <x:row r="2696" ht="15" customHeight="1">
      <x:c r="A2696" s="55" t="str">
        <x:v>艾濟儀腕</x:v>
      </x:c>
      <x:c r="B2696" s="55" t="str">
        <x:v>艾濟主線</x:v>
      </x:c>
      <x:c r="C2696" s="55" t="str">
        <x:v>—</x:v>
      </x:c>
      <x:c r="D2696" s="55" t="str">
        <x:v>—</x:v>
      </x:c>
      <x:c r="E2696" s="55" t="inlineStr">
        <x:is>
          <x:t>—</x:t>
        </x:is>
      </x:c>
    </x:row>
    <x:row r="2697" ht="15" customHeight="1">
      <x:c r="A2697" s="55" t="str">
        <x:v>皇衛戰腕</x:v>
      </x:c>
      <x:c r="B2697" s="55" t="str">
        <x:v>皇城主線</x:v>
      </x:c>
      <x:c r="C2697" s="55" t="str">
        <x:v>—</x:v>
      </x:c>
      <x:c r="D2697" s="55" t="str">
        <x:v>—</x:v>
      </x:c>
      <x:c r="E2697" s="55" t="inlineStr">
        <x:is>
          <x:t>—</x:t>
        </x:is>
      </x:c>
    </x:row>
    <x:row r="2698" ht="15" customHeight="1">
      <x:c r="A2698" s="55" t="str">
        <x:v>長疆戰腕</x:v>
      </x:c>
      <x:c r="B2698" s="55" t="str">
        <x:v>長疆主線</x:v>
      </x:c>
      <x:c r="C2698" s="55" t="str">
        <x:v>—</x:v>
      </x:c>
      <x:c r="D2698" s="55" t="str">
        <x:v>—</x:v>
      </x:c>
      <x:c r="E2698" s="55" t="inlineStr">
        <x:is>
          <x:t>—</x:t>
        </x:is>
      </x:c>
    </x:row>
    <x:row r="2699" ht="15" customHeight="1">
      <x:c r="A2699" s="55" t="str">
        <x:v>南遼護腕</x:v>
      </x:c>
      <x:c r="B2699" s="55" t="str">
        <x:v>神州2主線</x:v>
      </x:c>
      <x:c r="C2699" s="55" t="str">
        <x:v>—</x:v>
      </x:c>
      <x:c r="D2699" s="55" t="str">
        <x:v>—</x:v>
      </x:c>
      <x:c r="E2699" s="55" t="inlineStr">
        <x:is>
          <x:t>—</x:t>
        </x:is>
      </x:c>
    </x:row>
    <x:row r="2700" ht="30" customHeight="1">
      <x:c r="A2700" s="55" t="str">
        <x:v>龍骨護腕</x:v>
      </x:c>
      <x:c r="B2700" s="55" t="str">
        <x:v>—</x:v>
      </x:c>
      <x:c r="C2700" s="55" t="str">
        <x:v>—</x:v>
      </x:c>
      <x:c r="D2700" s="55" t="str">
        <x:v>—</x:v>
      </x:c>
      <x:c r="E2700" s="55" t="inlineStr">
        <x:is>
          <x:t>輕車將軍錦囊（網站未列地圖）；黑巨蛟（東方海域）；龍王錦囊（網站未列地圖）；海巨蛟（東方海域）；長野海賊（長野沙濱）</x:t>
        </x:is>
      </x:c>
    </x:row>
    <x:row r="2701" ht="105" customHeight="1">
      <x:c r="A2701" s="55" t="str">
        <x:v>侏人護腕</x:v>
      </x:c>
      <x:c r="B2701" s="55" t="str">
        <x:v>—</x:v>
      </x:c>
      <x:c r="C2701" s="55" t="str">
        <x:v>—</x:v>
      </x:c>
      <x:c r="D2701" s="55" t="str">
        <x:v>—</x:v>
      </x:c>
      <x:c r="E2701" s="55" t="inlineStr">
        <x:is>
          <x:t>地煞幻影（神兵塚）；侏人狂戰將（礦坑戰場）；地煞（神兵塚）；[地煞]（網站未列地圖）；魔侏人戰將（神兵塚）；灰侏人戰將（地下水道、水晶礦坑）；侏人狂戰士（蕈菇林西方）；魔侏人炸彈兵（神兵塚）；毒蕈傘人（蕈菇林、蕈菇林東方、蕈菇林西方、侏人部落、晶湖水道、地下水道、神兵塚）；[毒蕈傘人]（網站未列地圖）；魔侏人戰士（神兵塚）；灰侏人戰士（晶湖水道、地下水道、水晶礦坑）；灰侏人狂戰將（網站未列地圖）；魔侏人狂戰士（神兵塚）；灰侏人狂戰士（地下水道、水晶礦坑）；侏人戰士鬼魂（幽玄靈界）；侏人戰士（蕈菇林東方、蕈菇林西方）；小蕈傘人（地靈穴、蕈菇林、蕈菇林東方、蕈菇林西方、侏人部落、神兵塚）；小蕈傘人元靈（幽玄靈界）；地靈（地靈穴、蕈菇林、蕈菇林東方）；兇地靈（地靈穴、蕈菇林、蕈菇林東方）</x:t>
        </x:is>
      </x:c>
    </x:row>
    <x:row r="2702" ht="45" customHeight="1">
      <x:c r="A2702" s="55" t="str">
        <x:v>虎王爪</x:v>
      </x:c>
      <x:c r="B2702" s="55" t="str">
        <x:v>—</x:v>
      </x:c>
      <x:c r="C2702" s="55" t="str">
        <x:v>—</x:v>
      </x:c>
      <x:c r="D2702" s="55" t="str">
        <x:v>—</x:v>
      </x:c>
      <x:c r="E2702" s="55" t="inlineStr">
        <x:is>
          <x:t>刑天魔王（葬日沼澤南方）；八路王將（永劫刑場、九曲邪徑、寒愴冰獄、奈落紅川）；摩羅女武侍（大梵河岸、金霄佛寺）；刑天戰狂（亂藤林、葬日沼澤、葬日沼澤南方）；刑天戰狂（亂藤林、葬日沼澤、葬日沼澤南方、異時界‧亂藤林）；鄉野浪人（葉隱蒼林、神室關所）</x:t>
        </x:is>
      </x:c>
    </x:row>
    <x:row r="2703" ht="30" customHeight="1">
      <x:c r="A2703" s="55" t="str">
        <x:v>鷹揚護腕</x:v>
      </x:c>
      <x:c r="B2703" s="55" t="str">
        <x:v>—</x:v>
      </x:c>
      <x:c r="C2703" s="55" t="str">
        <x:v>—</x:v>
      </x:c>
      <x:c r="D2703" s="55" t="str">
        <x:v>—</x:v>
      </x:c>
      <x:c r="E2703" s="55" t="inlineStr">
        <x:is>
          <x:t>金翅王（鷹翅族部落）；鷹族戰士（葬日沼澤、摘星嶺、鷹翅族部落）；野良犬（長野沙濱、葉隱蒼林、神室關所、內崎埠原）</x:t>
        </x:is>
      </x:c>
    </x:row>
    <x:row r="2704" ht="30" customHeight="1">
      <x:c r="A2704" s="55" t="str">
        <x:v>水琉護腕</x:v>
      </x:c>
      <x:c r="B2704" s="55" t="str">
        <x:v>—</x:v>
      </x:c>
      <x:c r="C2704" s="55" t="str">
        <x:v>—</x:v>
      </x:c>
      <x:c r="D2704" s="55" t="str">
        <x:v>—</x:v>
      </x:c>
      <x:c r="E2704" s="55" t="inlineStr">
        <x:is>
          <x:t>怨靈水母（龍宮第二層）；死靈水母（龍宮第七層、龍宮八層一隅、龍宮八層廣場）；幽靈水母（龍宮第五層、龍宮八層廣場）</x:t>
        </x:is>
      </x:c>
    </x:row>
    <x:row r="2705" ht="15" customHeight="1">
      <x:c r="A2705" s="55" t="str">
        <x:v>蛇靈皮腕</x:v>
      </x:c>
      <x:c r="B2705" s="55" t="str">
        <x:v>—</x:v>
      </x:c>
      <x:c r="C2705" s="55" t="str">
        <x:v>—</x:v>
      </x:c>
      <x:c r="D2705" s="55" t="str">
        <x:v>—</x:v>
      </x:c>
      <x:c r="E2705" s="55" t="inlineStr">
        <x:is>
          <x:t>蛇魔女王（盤蛇洞）；蛇魔女（盤蛇洞）；[蛇魔女]（網站未列地圖）</x:t>
        </x:is>
      </x:c>
    </x:row>
    <x:row r="2706" ht="30" customHeight="1">
      <x:c r="A2706" s="55" t="str">
        <x:v>降龍護手</x:v>
      </x:c>
      <x:c r="B2706" s="55" t="str">
        <x:v>—</x:v>
      </x:c>
      <x:c r="C2706" s="55" t="str">
        <x:v>—</x:v>
      </x:c>
      <x:c r="D2706" s="55" t="str">
        <x:v>—</x:v>
      </x:c>
      <x:c r="E2706" s="55" t="inlineStr">
        <x:is>
          <x:t>驃騎將軍錦囊（網站未列地圖）；龍駻將（龍宮八層一隅、龍宮八層廣場）；神龍將（龍宮八層廣場）；龍王錦囊（網站未列地圖）</x:t>
        </x:is>
      </x:c>
    </x:row>
    <x:row r="2707" ht="15" customHeight="1">
      <x:c r="A2707" s="55" t="str">
        <x:v>銅石護腕</x:v>
      </x:c>
      <x:c r="B2707" s="55" t="str">
        <x:v>—</x:v>
      </x:c>
      <x:c r="C2707" s="55" t="str">
        <x:v>—</x:v>
      </x:c>
      <x:c r="D2707" s="55" t="str">
        <x:v>—</x:v>
      </x:c>
      <x:c r="E2707" s="55" t="inlineStr">
        <x:is>
          <x:t>巨石魔（烈火靈界裂隙、怒雪靈界裂隙、五派禁地）；巨角龜精（網站未列地圖）；巨角龜（桃花林東方）</x:t>
        </x:is>
      </x:c>
    </x:row>
    <x:row r="2708" ht="15" customHeight="1">
      <x:c r="A2708" s="55" t="str">
        <x:v>佛陀護腕</x:v>
      </x:c>
      <x:c r="B2708" s="55" t="str">
        <x:v>—</x:v>
      </x:c>
      <x:c r="C2708" s="55" t="str">
        <x:v>—</x:v>
      </x:c>
      <x:c r="D2708" s="55" t="str">
        <x:v>—</x:v>
      </x:c>
      <x:c r="E2708" s="55" t="inlineStr">
        <x:is>
          <x:t>稀奇裝備箱．乙式（網站未列地圖）；土靈珠（網站未列地圖）；1轉女僧影（五派禁地）</x:t>
        </x:is>
      </x:c>
    </x:row>
    <x:row r="2709" ht="15" customHeight="1">
      <x:c r="A2709" s="55" t="str">
        <x:v>天仙護腕</x:v>
      </x:c>
      <x:c r="B2709" s="55" t="str">
        <x:v>—</x:v>
      </x:c>
      <x:c r="C2709" s="55" t="str">
        <x:v>—</x:v>
      </x:c>
      <x:c r="D2709" s="55" t="str">
        <x:v>—</x:v>
      </x:c>
      <x:c r="E2709" s="55" t="inlineStr">
        <x:is>
          <x:t>稀奇裝備箱．甲式（網站未列地圖）；雷靈珠（網站未列地圖）</x:t>
        </x:is>
      </x:c>
    </x:row>
    <x:row r="2710" ht="15" customHeight="1">
      <x:c r="A2710" s="55" t="str">
        <x:v>戰神護腕</x:v>
      </x:c>
      <x:c r="B2710" s="55" t="str">
        <x:v>—</x:v>
      </x:c>
      <x:c r="C2710" s="55" t="str">
        <x:v>—</x:v>
      </x:c>
      <x:c r="D2710" s="55" t="str">
        <x:v>—</x:v>
      </x:c>
      <x:c r="E2710" s="55" t="inlineStr">
        <x:is>
          <x:t>稀奇裝備箱．甲式（網站未列地圖）；龍珠（網站未列地圖）；海上怨靈（極東海域）</x:t>
        </x:is>
      </x:c>
    </x:row>
    <x:row r="2711" ht="60" customHeight="1">
      <x:c r="A2711" s="55" t="str">
        <x:v>黑石護腕</x:v>
      </x:c>
      <x:c r="B2711" s="55" t="str">
        <x:v>—</x:v>
      </x:c>
      <x:c r="C2711" s="55" t="str">
        <x:v>—</x:v>
      </x:c>
      <x:c r="D2711" s="55" t="str">
        <x:v>—</x:v>
      </x:c>
      <x:c r="E2711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2712" ht="60" customHeight="1">
      <x:c r="A2712" s="55" t="str">
        <x:v>黑武護腕</x:v>
      </x:c>
      <x:c r="B2712" s="55" t="str">
        <x:v>—</x:v>
      </x:c>
      <x:c r="C2712" s="55" t="str">
        <x:v>—</x:v>
      </x:c>
      <x:c r="D2712" s="55" t="str">
        <x:v>—</x:v>
      </x:c>
      <x:c r="E2712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2713" ht="60" customHeight="1">
      <x:c r="A2713" s="55" t="str">
        <x:v>黑捷護腕</x:v>
      </x:c>
      <x:c r="B2713" s="55" t="str">
        <x:v>—</x:v>
      </x:c>
      <x:c r="C2713" s="55" t="str">
        <x:v>—</x:v>
      </x:c>
      <x:c r="D2713" s="55" t="str">
        <x:v>—</x:v>
      </x:c>
      <x:c r="E2713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2714" ht="45" customHeight="1">
      <x:c r="A2714" s="55" t="str">
        <x:v>血翼護腕</x:v>
      </x:c>
      <x:c r="B2714" s="55" t="str">
        <x:v>—</x:v>
      </x:c>
      <x:c r="C2714" s="55" t="str">
        <x:v>—</x:v>
      </x:c>
      <x:c r="D2714" s="55" t="str">
        <x:v>—</x:v>
      </x:c>
      <x:c r="E2714" s="55" t="inlineStr">
        <x:is>
          <x: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x:t>
        </x:is>
      </x:c>
    </x:row>
    <x:row r="2715" ht="45" customHeight="1">
      <x:c r="A2715" s="55" t="str">
        <x:v>虎翼護腕</x:v>
      </x:c>
      <x:c r="B2715" s="55" t="str">
        <x:v>—</x:v>
      </x:c>
      <x:c r="C2715" s="55" t="str">
        <x:v>—</x:v>
      </x:c>
      <x:c r="D2715" s="55" t="str">
        <x:v>—</x:v>
      </x:c>
      <x:c r="E2715" s="55" t="inlineStr">
        <x:is>
          <x: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x:t>
        </x:is>
      </x:c>
    </x:row>
    <x:row r="2716" ht="45" customHeight="1">
      <x:c r="A2716" s="55" t="str">
        <x:v>風翼護腕</x:v>
      </x:c>
      <x:c r="B2716" s="55" t="str">
        <x:v>—</x:v>
      </x:c>
      <x:c r="C2716" s="55" t="str">
        <x:v>—</x:v>
      </x:c>
      <x:c r="D2716" s="55" t="str">
        <x:v>—</x:v>
      </x:c>
      <x:c r="E2716" s="55" t="inlineStr">
        <x:is>
          <x:t>劍裝錦囊（網站未列地圖）；御龍錦囊（網站未列地圖）；御史劍裝錦囊（網站未列地圖）；邊關賊寇隊長（邊關要塞）；邊關賊寇隊長（八達嶺、古北口、邊關要塞）；2轉女劍影（五派禁地）；煉氣宗（五派禁地）；玄氣宗（五派禁地）；1轉女劍影（五派禁地）</x:t>
        </x:is>
      </x:c>
    </x:row>
    <x:row r="2717" ht="30" customHeight="1">
      <x:c r="A2717" s="55" t="str">
        <x:v>蝶紋護腕</x:v>
      </x:c>
      <x:c r="B2717" s="55" t="str">
        <x:v>—</x:v>
      </x:c>
      <x:c r="C2717" s="55" t="str">
        <x:v>—</x:v>
      </x:c>
      <x:c r="D2717" s="55" t="str">
        <x:v>—</x:v>
      </x:c>
      <x:c r="E2717" s="55" t="inlineStr">
        <x:is>
          <x:t>術裝錦囊（網站未列地圖）；騰龍錦囊（網站未列地圖）；御史術裝錦囊（網站未列地圖）；女王護法（亂石林、黑城遺跡、疾風谷、大汗陵墓、蒼狼大營）；2轉女術影（五派禁地）；1轉女術影（五派禁地）</x:t>
        </x:is>
      </x:c>
    </x:row>
    <x:row r="2718" ht="30" customHeight="1">
      <x:c r="A2718" s="55" t="str">
        <x:v>虎紋護腕</x:v>
      </x:c>
      <x:c r="B2718" s="55" t="str">
        <x:v>—</x:v>
      </x:c>
      <x:c r="C2718" s="55" t="str">
        <x:v>—</x:v>
      </x:c>
      <x:c r="D2718" s="55" t="str">
        <x:v>—</x:v>
      </x:c>
      <x:c r="E2718" s="55" t="inlineStr">
        <x:is>
          <x:t>術裝錦囊（網站未列地圖）；騰龍錦囊（網站未列地圖）；御史術裝錦囊（網站未列地圖）；女王護法（亂石林、黑城遺跡、疾風谷、大汗陵墓、蒼狼大營）；2轉女術影（五派禁地）；1轉女術影（五派禁地）</x:t>
        </x:is>
      </x:c>
    </x:row>
    <x:row r="2719" ht="30" customHeight="1">
      <x:c r="A2719" s="55" t="str">
        <x:v>豹紋護腕</x:v>
      </x:c>
      <x:c r="B2719" s="55" t="str">
        <x:v>—</x:v>
      </x:c>
      <x:c r="C2719" s="55" t="str">
        <x:v>—</x:v>
      </x:c>
      <x:c r="D2719" s="55" t="str">
        <x:v>—</x:v>
      </x:c>
      <x:c r="E2719" s="55" t="inlineStr">
        <x:is>
          <x:t>術裝錦囊（網站未列地圖）；騰龍錦囊（網站未列地圖）；御史術裝錦囊（網站未列地圖）；女王護法（亂石林、黑城遺跡、疾風谷、大汗陵墓、蒼狼大營）；2轉女術影（五派禁地）；1轉女術影（五派禁地）</x:t>
        </x:is>
      </x:c>
    </x:row>
    <x:row r="2720" ht="30" customHeight="1">
      <x:c r="A2720" s="55" t="str">
        <x:v>鳳雉護腕</x:v>
      </x:c>
      <x:c r="B2720" s="55" t="str">
        <x:v>—</x:v>
      </x:c>
      <x:c r="C2720" s="55" t="str">
        <x:v>—</x:v>
      </x:c>
      <x:c r="D2720" s="55" t="str">
        <x:v>—</x:v>
      </x:c>
      <x:c r="E2720" s="55" t="inlineStr">
        <x:is>
          <x: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x:t>
        </x:is>
      </x:c>
    </x:row>
    <x:row r="2721" ht="30" customHeight="1">
      <x:c r="A2721" s="55" t="str">
        <x:v>雁翎護腕</x:v>
      </x:c>
      <x:c r="B2721" s="55" t="str">
        <x:v>—</x:v>
      </x:c>
      <x:c r="C2721" s="55" t="str">
        <x:v>—</x:v>
      </x:c>
      <x:c r="D2721" s="55" t="str">
        <x:v>—</x:v>
      </x:c>
      <x:c r="E2721" s="55" t="inlineStr">
        <x:is>
          <x: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x:t>
        </x:is>
      </x:c>
    </x:row>
    <x:row r="2722" ht="30" customHeight="1">
      <x:c r="A2722" s="55" t="str">
        <x:v>千鶴護腕</x:v>
      </x:c>
      <x:c r="B2722" s="55" t="str">
        <x:v>—</x:v>
      </x:c>
      <x:c r="C2722" s="55" t="str">
        <x:v>—</x:v>
      </x:c>
      <x:c r="D2722" s="55" t="str">
        <x:v>—</x:v>
      </x:c>
      <x:c r="E2722" s="55" t="inlineStr">
        <x:is>
          <x:t>道裝錦囊（網站未列地圖）；龍鳳錦囊（網站未列地圖）；御史道裝錦囊（網站未列地圖）；2轉女道影（五派禁地）；1轉女道影（五派禁地）；流亡叛軍士兵（邊關要塞）；流亡叛軍士兵（八達嶺、古北口、古北大營）</x:t>
        </x:is>
      </x:c>
    </x:row>
    <x:row r="2723" ht="45" customHeight="1">
      <x:c r="A2723" s="55" t="str">
        <x:v>擒龍護腕</x:v>
      </x:c>
      <x:c r="B2723" s="55" t="str">
        <x:v>—</x:v>
      </x:c>
      <x:c r="C2723" s="55" t="str">
        <x:v>—</x:v>
      </x:c>
      <x:c r="D2723" s="55" t="str">
        <x:v>—</x:v>
      </x:c>
      <x:c r="E2723" s="55" t="inlineStr">
        <x:is>
          <x: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4" ht="45" customHeight="1">
      <x:c r="A2724" s="55" t="str">
        <x:v>伏虎護腕</x:v>
      </x:c>
      <x:c r="B2724" s="55" t="str">
        <x:v>—</x:v>
      </x:c>
      <x:c r="C2724" s="55" t="str">
        <x:v>—</x:v>
      </x:c>
      <x:c r="D2724" s="55" t="str">
        <x:v>—</x:v>
      </x:c>
      <x:c r="E2724" s="55" t="inlineStr">
        <x:is>
          <x: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5" ht="45" customHeight="1">
      <x:c r="A2725" s="55" t="str">
        <x:v>除妖護腕</x:v>
      </x:c>
      <x:c r="B2725" s="55" t="str">
        <x:v>—</x:v>
      </x:c>
      <x:c r="C2725" s="55" t="str">
        <x:v>—</x:v>
      </x:c>
      <x:c r="D2725" s="55" t="str">
        <x:v>—</x:v>
      </x:c>
      <x:c r="E2725" s="55" t="inlineStr">
        <x:is>
          <x:t>僧裝錦囊（網站未列地圖）；龍紋錦囊（網站未列地圖）；御史僧裝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6" ht="30" customHeight="1">
      <x:c r="A2726" s="55" t="str">
        <x:v>斬蛟護腕</x:v>
      </x:c>
      <x:c r="B2726" s="55" t="str">
        <x:v>—</x:v>
      </x:c>
      <x:c r="C2726" s="55" t="str">
        <x:v>—</x:v>
      </x:c>
      <x:c r="D2726" s="55" t="str">
        <x:v>—</x:v>
      </x:c>
      <x:c r="E2726" s="55" t="inlineStr">
        <x:is>
          <x:t>僧裝錦囊（網站未列地圖）；龍紋錦囊（網站未列地圖）；2轉女僧影（五派禁地）；1轉女僧影（五派禁地）；邊關賊寇嘍囉（邊關要塞）；邊關賊寇嘍囉（八達嶺、古北口、古北大營、邊關要塞）</x:t>
        </x:is>
      </x:c>
    </x:row>
    <x:row r="2727" ht="30" customHeight="1">
      <x:c r="A2727" s="55" t="str">
        <x:v>冰侏護腕</x:v>
      </x:c>
      <x:c r="B2727" s="55" t="str">
        <x:v>—</x:v>
      </x:c>
      <x:c r="C2727" s="55" t="str">
        <x:v>—</x:v>
      </x:c>
      <x:c r="D2727" s="55" t="str">
        <x:v>—</x:v>
      </x:c>
      <x:c r="E2727" s="55" t="inlineStr">
        <x:is>
          <x:t>侏紋裝備錦囊（網站未列地圖）；侏人祭司（網站未列地圖）；侏人護法（蕈菇林西方）；魔侏人祭司（神兵塚）；灰侏人祭司（網站未列地圖）；灰侏人護法（地下水道、水晶礦坑）</x:t>
        </x:is>
      </x:c>
    </x:row>
    <x:row r="2728" ht="30" customHeight="1">
      <x:c r="A2728" s="55" t="str">
        <x:v>火侏護腕</x:v>
      </x:c>
      <x:c r="B2728" s="55" t="str">
        <x:v>—</x:v>
      </x:c>
      <x:c r="C2728" s="55" t="str">
        <x:v>—</x:v>
      </x:c>
      <x:c r="D2728" s="55" t="str">
        <x:v>—</x:v>
      </x:c>
      <x:c r="E2728" s="55" t="inlineStr">
        <x:is>
          <x:t>侏紋裝備錦囊（網站未列地圖）；侏人護法（蕈菇林西方）；魔侏人祭司（神兵塚）；灰侏人祭司（網站未列地圖）；灰侏人護法（地下水道、水晶礦坑）</x:t>
        </x:is>
      </x:c>
    </x:row>
    <x:row r="2729" ht="15" customHeight="1">
      <x:c r="A2729" s="55" t="str">
        <x:v>雷侏護腕</x:v>
      </x:c>
      <x:c r="B2729" s="55" t="str">
        <x:v>—</x:v>
      </x:c>
      <x:c r="C2729" s="55" t="str">
        <x:v>—</x:v>
      </x:c>
      <x:c r="D2729" s="55" t="str">
        <x:v>—</x:v>
      </x:c>
      <x:c r="E2729" s="55" t="inlineStr">
        <x:is>
          <x:t>侏紋裝備錦囊（網站未列地圖）；魔侏人祭司（神兵塚）；灰侏人祭司（網站未列地圖）</x:t>
        </x:is>
      </x:c>
    </x:row>
    <x:row r="2730" ht="30" customHeight="1">
      <x:c r="A2730" s="55" t="str">
        <x:v>冥侏護腕</x:v>
      </x:c>
      <x:c r="B2730" s="55" t="str">
        <x:v>—</x:v>
      </x:c>
      <x:c r="C2730" s="55" t="str">
        <x:v>—</x:v>
      </x:c>
      <x:c r="D2730" s="55" t="str">
        <x:v>—</x:v>
      </x:c>
      <x:c r="E2730" s="55" t="inlineStr">
        <x:is>
          <x:t>侏紋裝備錦囊（網站未列地圖）；侏人祭司（網站未列地圖）；侏人護法（蕈菇林西方）；灰侏人護法（地下水道、水晶礦坑）</x:t>
        </x:is>
      </x:c>
    </x:row>
    <x:row r="2731" ht="15" customHeight="1">
      <x:c r="A2731" s="55" t="str">
        <x:v>玄冰地靈護腕</x:v>
      </x:c>
      <x:c r="B2731" s="55" t="str">
        <x:v>—</x:v>
      </x:c>
      <x:c r="C2731" s="55" t="str">
        <x:v>—</x:v>
      </x:c>
      <x:c r="D2731" s="55" t="str">
        <x:v>—</x:v>
      </x:c>
      <x:c r="E2731" s="55" t="inlineStr">
        <x:is>
          <x:t>地靈裝備錦囊（網站未列地圖）</x:t>
        </x:is>
      </x:c>
    </x:row>
    <x:row r="2732" ht="15" customHeight="1">
      <x:c r="A2732" s="55" t="str">
        <x:v>真火地靈護腕</x:v>
      </x:c>
      <x:c r="B2732" s="55" t="str">
        <x:v>—</x:v>
      </x:c>
      <x:c r="C2732" s="55" t="str">
        <x:v>—</x:v>
      </x:c>
      <x:c r="D2732" s="55" t="str">
        <x:v>—</x:v>
      </x:c>
      <x:c r="E2732" s="55" t="inlineStr">
        <x:is>
          <x:t>地靈裝備錦囊（網站未列地圖）</x:t>
        </x:is>
      </x:c>
    </x:row>
    <x:row r="2733" ht="15" customHeight="1">
      <x:c r="A2733" s="55" t="str">
        <x:v>天雷地靈護腕</x:v>
      </x:c>
      <x:c r="B2733" s="55" t="str">
        <x:v>—</x:v>
      </x:c>
      <x:c r="C2733" s="55" t="str">
        <x:v>—</x:v>
      </x:c>
      <x:c r="D2733" s="55" t="str">
        <x:v>—</x:v>
      </x:c>
      <x:c r="E2733" s="55" t="inlineStr">
        <x:is>
          <x:t>地靈裝備錦囊（網站未列地圖）</x:t>
        </x:is>
      </x:c>
    </x:row>
    <x:row r="2734" ht="15" customHeight="1">
      <x:c r="A2734" s="55" t="str">
        <x:v>歸冥地靈護腕</x:v>
      </x:c>
      <x:c r="B2734" s="55" t="str">
        <x:v>—</x:v>
      </x:c>
      <x:c r="C2734" s="55" t="str">
        <x:v>—</x:v>
      </x:c>
      <x:c r="D2734" s="55" t="str">
        <x:v>—</x:v>
      </x:c>
      <x:c r="E2734" s="55" t="inlineStr">
        <x:is>
          <x:t>地靈裝備錦囊（網站未列地圖）</x:t>
        </x:is>
      </x:c>
    </x:row>
    <x:row r="2735" ht="15" customHeight="1">
      <x:c r="A2735" s="55" t="str">
        <x:v>玄冰天晶護腕</x:v>
      </x:c>
      <x:c r="B2735" s="55" t="str">
        <x:v>—</x:v>
      </x:c>
      <x:c r="C2735" s="55" t="str">
        <x:v>—</x:v>
      </x:c>
      <x:c r="D2735" s="55" t="str">
        <x:v>—</x:v>
      </x:c>
      <x:c r="E2735" s="55" t="inlineStr">
        <x:is>
          <x:t>天晶裝備錦囊（網站未列地圖）</x:t>
        </x:is>
      </x:c>
    </x:row>
    <x:row r="2736" ht="15" customHeight="1">
      <x:c r="A2736" s="55" t="str">
        <x:v>真火天晶護腕</x:v>
      </x:c>
      <x:c r="B2736" s="55" t="str">
        <x:v>—</x:v>
      </x:c>
      <x:c r="C2736" s="55" t="str">
        <x:v>—</x:v>
      </x:c>
      <x:c r="D2736" s="55" t="str">
        <x:v>—</x:v>
      </x:c>
      <x:c r="E2736" s="55" t="inlineStr">
        <x:is>
          <x:t>天晶裝備錦囊（網站未列地圖）</x:t>
        </x:is>
      </x:c>
    </x:row>
    <x:row r="2737" ht="15" customHeight="1">
      <x:c r="A2737" s="55" t="str">
        <x:v>天雷天晶護腕</x:v>
      </x:c>
      <x:c r="B2737" s="55" t="str">
        <x:v>—</x:v>
      </x:c>
      <x:c r="C2737" s="55" t="str">
        <x:v>—</x:v>
      </x:c>
      <x:c r="D2737" s="55" t="str">
        <x:v>—</x:v>
      </x:c>
      <x:c r="E2737" s="55" t="inlineStr">
        <x:is>
          <x:t>天晶裝備錦囊（網站未列地圖）</x:t>
        </x:is>
      </x:c>
    </x:row>
    <x:row r="2738" ht="15" customHeight="1">
      <x:c r="A2738" s="55" t="str">
        <x:v>歸冥天晶護腕</x:v>
      </x:c>
      <x:c r="B2738" s="55" t="str">
        <x:v>—</x:v>
      </x:c>
      <x:c r="C2738" s="55" t="str">
        <x:v>—</x:v>
      </x:c>
      <x:c r="D2738" s="55" t="str">
        <x:v>—</x:v>
      </x:c>
      <x:c r="E2738" s="55" t="inlineStr">
        <x:is>
          <x:t>天晶裝備錦囊（網站未列地圖）</x:t>
        </x:is>
      </x:c>
    </x:row>
    <x:row r="2739" ht="30" customHeight="1">
      <x:c r="A2739" s="55" t="str">
        <x:v>青鋼護手</x:v>
      </x:c>
      <x:c r="B2739" s="55" t="str">
        <x:v>—</x:v>
      </x:c>
      <x:c r="C2739" s="55" t="str">
        <x:v>—</x:v>
      </x:c>
      <x:c r="D2739" s="55" t="str">
        <x:v>—</x:v>
      </x:c>
      <x:c r="E2739" s="55" t="inlineStr">
        <x:is>
          <x:t>西域勇裝錦囊（網站未列地圖）；黑天勇裝元靈（網站未列地圖）；火岩龜（火焰山）；礫岩龜（塔干沙漠南方、塔干沙漠西方）</x:t>
        </x:is>
      </x:c>
    </x:row>
    <x:row r="2740" ht="30" customHeight="1">
      <x:c r="A2740" s="55" t="str">
        <x:v>金鏈護腕</x:v>
      </x:c>
      <x:c r="B2740" s="55" t="str">
        <x:v>—</x:v>
      </x:c>
      <x:c r="C2740" s="55" t="str">
        <x:v>—</x:v>
      </x:c>
      <x:c r="D2740" s="55" t="str">
        <x:v>—</x:v>
      </x:c>
      <x:c r="E2740" s="55" t="inlineStr">
        <x:is>
          <x:t>西域劍裝錦囊（網站未列地圖）；黑天劍裝元靈（網站未列地圖）；妖化沙蟲（火焰山）；狼斑沙蟲（塔干沙漠東方、萬佛窟、樓蘭遺址）</x:t>
        </x:is>
      </x:c>
    </x:row>
    <x:row r="2741" ht="30" customHeight="1">
      <x:c r="A2741" s="55" t="str">
        <x:v>樓蘭織護手</x:v>
      </x:c>
      <x:c r="B2741" s="55" t="str">
        <x:v>—</x:v>
      </x:c>
      <x:c r="C2741" s="55" t="str">
        <x:v>—</x:v>
      </x:c>
      <x:c r="D2741" s="55" t="str">
        <x:v>—</x:v>
      </x:c>
      <x:c r="E2741" s="55" t="inlineStr">
        <x:is>
          <x:t>西域道裝錦囊（網站未列地圖）；黑天道裝元靈（網站未列地圖）；鬼禿鷹（火焰山）；巨禿鷹（塔干沙漠東方、塔干沙漠南方、萬佛窟、樓蘭遺址、火焰山）；[巨禿鷹]（網站未列地圖）</x:t>
        </x:is>
      </x:c>
    </x:row>
    <x:row r="2742" ht="30" customHeight="1">
      <x:c r="A2742" s="55" t="str">
        <x:v>千手護腕</x:v>
      </x:c>
      <x:c r="B2742" s="55" t="str">
        <x:v>—</x:v>
      </x:c>
      <x:c r="C2742" s="55" t="str">
        <x:v>—</x:v>
      </x:c>
      <x:c r="D2742" s="55" t="str">
        <x:v>—</x:v>
      </x:c>
      <x:c r="E2742" s="55" t="inlineStr">
        <x:is>
          <x:t>西域僧裝錦囊（網站未列地圖）；黑天僧裝元靈（網站未列地圖）；邪跳鼠（火焰山）；飛毛跳鼠（塔干沙漠東方、塔干沙漠西方、萬佛窟、樓蘭遺址）；[飛毛跳鼠]（網站未列地圖）</x:t>
        </x:is>
      </x:c>
    </x:row>
    <x:row r="2743" ht="75" customHeight="1">
      <x:c r="A2743" s="55" t="str">
        <x:v>羅剎護腕</x:v>
      </x:c>
      <x:c r="B2743" s="55" t="str">
        <x:v>—</x:v>
      </x:c>
      <x:c r="C2743" s="55" t="str">
        <x:v>—</x:v>
      </x:c>
      <x:c r="D2743" s="55" t="str">
        <x:v>—</x:v>
      </x:c>
      <x:c r="E2743" s="55" t="inlineStr">
        <x:is>
          <x:t>西域術裝錦囊（網站未列地圖）；黑天術裝元靈（網站未列地圖）；羅剎女妖（火焰山）；羅剎部隊長（塔干沙漠西方）；羅剎男妖（火焰山）；傀儡羅剎劍俠（網站未列地圖）；羅剎鞭手遊魂（網站未列地圖）；傀儡羅剎鞭手（網站未列地圖）；羅剎鞭子手（塔干沙漠西方）；羅剎槍士（塔干沙漠西方）；羅剎劍俠遊魂（網站未列地圖）；羅剎鏢客（塔干沙漠西方）；羅剎鏢客遊魂（網站未列地圖）；傀儡羅剎鏢客（網站未列地圖）；羅剎劍俠（塔干沙漠西方）；傀儡羅剎槍士（網站未列地圖）；羅剎槍士遊魂（網站未列地圖）</x:t>
        </x:is>
      </x:c>
    </x:row>
    <x:row r="2744" ht="45" customHeight="1">
      <x:c r="A2744" s="55" t="str">
        <x:v>玄武爪</x:v>
      </x:c>
      <x:c r="B2744" s="55" t="str">
        <x:v>—</x:v>
      </x:c>
      <x:c r="C2744" s="55" t="str">
        <x:v>—</x:v>
      </x:c>
      <x:c r="D2744" s="55" t="str">
        <x:v>—</x:v>
      </x:c>
      <x:c r="E2744" s="55" t="inlineStr">
        <x:is>
          <x: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x:t>
        </x:is>
      </x:c>
    </x:row>
    <x:row r="2745" ht="30" customHeight="1">
      <x:c r="A2745" s="55" t="str">
        <x:v>玉鱗護腕</x:v>
      </x:c>
      <x:c r="B2745" s="55" t="str">
        <x:v>—</x:v>
      </x:c>
      <x:c r="C2745" s="55" t="str">
        <x:v>—</x:v>
      </x:c>
      <x:c r="D2745" s="55" t="str">
        <x:v>—</x:v>
      </x:c>
      <x:c r="E2745" s="55" t="inlineStr">
        <x:is>
          <x:t>西域劍裝錦囊（網站未列地圖）；黑天劍裝元靈（網站未列地圖）；征西劍俠錦囊（網站未列地圖）；樓蘭劍俠錦囊（網站未列地圖）；妖煞蟲王（火焰山）；沙蟲蠱王（樓蘭遺址）</x:t>
        </x:is>
      </x:c>
    </x:row>
    <x:row r="2746" ht="30" customHeight="1">
      <x:c r="A2746" s="55" t="str">
        <x:v>翡翠錦護手</x:v>
      </x:c>
      <x:c r="B2746" s="55" t="str">
        <x:v>—</x:v>
      </x:c>
      <x:c r="C2746" s="55" t="str">
        <x:v>—</x:v>
      </x:c>
      <x:c r="D2746" s="55" t="str">
        <x:v>—</x:v>
      </x:c>
      <x:c r="E2746" s="55" t="inlineStr">
        <x:is>
          <x:t>西域道裝錦囊（網站未列地圖）；黑天道裝元靈（網站未列地圖）；征西道人錦囊（網站未列地圖）；樓蘭道人錦囊（網站未列地圖）；血神禿鷹（火焰山）；嗜血禿鷹（塔干沙漠南方）</x:t>
        </x:is>
      </x:c>
    </x:row>
    <x:row r="2747" ht="45" customHeight="1">
      <x:c r="A2747" s="55" t="str">
        <x:v>萬佛護腕</x:v>
      </x:c>
      <x:c r="B2747" s="55" t="str">
        <x:v>—</x:v>
      </x:c>
      <x:c r="C2747" s="55" t="str">
        <x:v>—</x:v>
      </x:c>
      <x:c r="D2747" s="55" t="str">
        <x:v>—</x:v>
      </x:c>
      <x:c r="E2747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2748" ht="60" customHeight="1">
      <x:c r="A2748" s="55" t="str">
        <x:v>天羅護腕</x:v>
      </x:c>
      <x:c r="B2748" s="55" t="str">
        <x:v>—</x:v>
      </x:c>
      <x:c r="C2748" s="55" t="str">
        <x:v>—</x:v>
      </x:c>
      <x:c r="D2748" s="55" t="str">
        <x:v>—</x:v>
      </x:c>
      <x:c r="E2748" s="55" t="inlineStr">
        <x:is>
          <x:t>西域術裝錦囊（網站未列地圖）；黑天術裝元靈（網站未列地圖）；征西術者錦囊（網站未列地圖）；樓蘭術者錦囊（網站未列地圖）；羅剎女妖（火焰山）；羅剎部隊長（塔干沙漠西方）；傀儡羅剎劍俠（網站未列地圖）；羅剎鞭手遊魂（網站未列地圖）；傀儡羅剎鞭手（網站未列地圖）；羅剎鞭子手（塔干沙漠西方）；羅剎劍俠遊魂（網站未列地圖）；羅剎劍俠（塔干沙漠西方）</x:t>
        </x:is>
      </x:c>
    </x:row>
    <x:row r="2749" ht="15" customHeight="1">
      <x:c r="A2749" s="55" t="str">
        <x:v>摘星護腕</x:v>
      </x:c>
      <x:c r="B2749" s="55" t="str">
        <x:v>—</x:v>
      </x:c>
      <x:c r="C2749" s="55" t="str">
        <x:v>—</x:v>
      </x:c>
      <x:c r="D2749" s="55" t="str">
        <x:v>—</x:v>
      </x:c>
      <x:c r="E2749" s="55" t="inlineStr">
        <x:is>
          <x:t>天界神裝錦囊（網站未列地圖）；戰神錦囊（網站未列地圖）</x:t>
        </x:is>
      </x:c>
    </x:row>
    <x:row r="2750" ht="30" customHeight="1">
      <x:c r="A2750" s="55" t="str">
        <x:v>德津護腕</x:v>
      </x:c>
      <x:c r="B2750" s="55" t="str">
        <x:v>—</x:v>
      </x:c>
      <x:c r="C2750" s="55" t="str">
        <x:v>—</x:v>
      </x:c>
      <x:c r="D2750" s="55" t="str">
        <x:v>—</x:v>
      </x:c>
      <x:c r="E2750" s="55" t="inlineStr">
        <x:is>
          <x:t>東瀛劍裝錦囊（網站未列地圖）；東瀛劍裝禮盒（網站未列地圖）；御史劍裝錦囊（網站未列地圖）；鬼將青面般若（伊取川大陣）；鬼嶽親衛弓侍（伊取川大陣）</x:t>
        </x:is>
      </x:c>
    </x:row>
    <x:row r="2751" ht="45" customHeight="1">
      <x:c r="A2751" s="55" t="str">
        <x:v>綱岐護腕</x:v>
      </x:c>
      <x:c r="B2751" s="55" t="str">
        <x:v>—</x:v>
      </x:c>
      <x:c r="C2751" s="55" t="str">
        <x:v>—</x:v>
      </x:c>
      <x:c r="D2751" s="55" t="str">
        <x:v>—</x:v>
      </x:c>
      <x:c r="E2751" s="55" t="inlineStr">
        <x:is>
          <x:t>東瀛勇裝錦囊（網站未列地圖）；東瀛勇裝禮盒（網站未列地圖）；御史勇裝錦囊（網站未列地圖）；烏羽天狗（網站未列地圖）；[鴉天狗]（網站未列地圖）；鴉天狗（天照不二峰、八荒古墳）；鬼將大天狗（伊取川大陣）；鴉（網站未列地圖）</x:t>
        </x:is>
      </x:c>
    </x:row>
    <x:row r="2752" ht="45" customHeight="1">
      <x:c r="A2752" s="55" t="str">
        <x:v>葵越護腕</x:v>
      </x:c>
      <x:c r="B2752" s="55" t="str">
        <x:v>—</x:v>
      </x:c>
      <x:c r="C2752" s="55" t="str">
        <x:v>—</x:v>
      </x:c>
      <x:c r="D2752" s="55" t="str">
        <x:v>—</x:v>
      </x:c>
      <x:c r="E2752" s="55" t="inlineStr">
        <x:is>
          <x:t>東瀛道裝錦囊（網站未列地圖）；東瀛道裝禮盒（網站未列地圖）；御史道裝錦囊（網站未列地圖）；鬼將酒吞（伊取川大陣）；惡鬼（內崎埠原、八荒古墳）；[惡鬼]（網站未列地圖）；夜帝勇士（網站未列地圖）；惡鬼（古皇陵近郊、內崎埠原、八荒古墳）</x:t>
        </x:is>
      </x:c>
    </x:row>
    <x:row r="2753" ht="30" customHeight="1">
      <x:c r="A2753" s="55" t="str">
        <x:v>笠紀護腕</x:v>
      </x:c>
      <x:c r="B2753" s="55" t="str">
        <x:v>—</x:v>
      </x:c>
      <x:c r="C2753" s="55" t="str">
        <x:v>—</x:v>
      </x:c>
      <x:c r="D2753" s="55" t="str">
        <x:v>—</x:v>
      </x:c>
      <x:c r="E2753" s="55" t="inlineStr">
        <x:is>
          <x:t>東瀛僧裝錦囊（網站未列地圖）；東瀛僧裝禮盒（網站未列地圖）；御史僧裝錦囊（網站未列地圖）；咒法陰陽師（外崎埠原、十津原樹海、八荒古墳）；直島新太郎（外崎埠原）；大黑天（萬佛窟、火焰山）</x:t>
        </x:is>
      </x:c>
    </x:row>
    <x:row r="2754" ht="30" customHeight="1">
      <x:c r="A2754" s="55" t="str">
        <x:v>伏藏護腕</x:v>
      </x:c>
      <x:c r="B2754" s="55" t="str">
        <x:v>—</x:v>
      </x:c>
      <x:c r="C2754" s="55" t="str">
        <x:v>—</x:v>
      </x:c>
      <x:c r="D2754" s="55" t="str">
        <x:v>—</x:v>
      </x:c>
      <x:c r="E2754" s="55" t="inlineStr">
        <x:is>
          <x:t>東瀛術裝錦囊（網站未列地圖）；東瀛術裝禮盒（網站未列地圖）；御史術裝錦囊（網站未列地圖）；宇都宮長齋（內崎埠原）；[劍刺傘鬼]（網站未列地圖）；劍刺傘鬼（八荒古墳）</x:t>
        </x:is>
      </x:c>
    </x:row>
    <x:row r="2755" ht="15" customHeight="1">
      <x:c r="A2755" s="55" t="str">
        <x:v>武幕護腕</x:v>
      </x:c>
      <x:c r="B2755" s="55" t="str">
        <x:v>—</x:v>
      </x:c>
      <x:c r="C2755" s="55" t="str">
        <x:v>—</x:v>
      </x:c>
      <x:c r="D2755" s="55" t="str">
        <x:v>—</x:v>
      </x:c>
      <x:c r="E2755" s="55" t="inlineStr">
        <x:is>
          <x:t>東瀛劍裝禮盒（網站未列地圖）</x:t>
        </x:is>
      </x:c>
    </x:row>
    <x:row r="2756" ht="15" customHeight="1">
      <x:c r="A2756" s="55" t="str">
        <x:v>霸統護腕</x:v>
      </x:c>
      <x:c r="B2756" s="55" t="str">
        <x:v>—</x:v>
      </x:c>
      <x:c r="C2756" s="55" t="str">
        <x:v>—</x:v>
      </x:c>
      <x:c r="D2756" s="55" t="str">
        <x:v>—</x:v>
      </x:c>
      <x:c r="E2756" s="55" t="inlineStr">
        <x:is>
          <x:t>東瀛勇裝禮盒（網站未列地圖）</x:t>
        </x:is>
      </x:c>
    </x:row>
    <x:row r="2757" ht="15" customHeight="1">
      <x:c r="A2757" s="55" t="str">
        <x:v>陣澤護腕</x:v>
      </x:c>
      <x:c r="B2757" s="55" t="str">
        <x:v>—</x:v>
      </x:c>
      <x:c r="C2757" s="55" t="str">
        <x:v>—</x:v>
      </x:c>
      <x:c r="D2757" s="55" t="str">
        <x:v>—</x:v>
      </x:c>
      <x:c r="E2757" s="55" t="inlineStr">
        <x:is>
          <x:t>東瀛道裝禮盒（網站未列地圖）；原碼改造電眼（王統新市）</x:t>
        </x:is>
      </x:c>
    </x:row>
    <x:row r="2758" ht="15" customHeight="1">
      <x:c r="A2758" s="55" t="str">
        <x:v>伊幡護腕</x:v>
      </x:c>
      <x:c r="B2758" s="55" t="str">
        <x:v>—</x:v>
      </x:c>
      <x:c r="C2758" s="55" t="str">
        <x:v>—</x:v>
      </x:c>
      <x:c r="D2758" s="55" t="str">
        <x:v>—</x:v>
      </x:c>
      <x:c r="E2758" s="55" t="inlineStr">
        <x:is>
          <x:t>東瀛僧裝禮盒（網站未列地圖）</x:t>
        </x:is>
      </x:c>
    </x:row>
    <x:row r="2759" ht="15" customHeight="1">
      <x:c r="A2759" s="55" t="str">
        <x:v>丸勢護腕</x:v>
      </x:c>
      <x:c r="B2759" s="55" t="str">
        <x:v>—</x:v>
      </x:c>
      <x:c r="C2759" s="55" t="str">
        <x:v>—</x:v>
      </x:c>
      <x:c r="D2759" s="55" t="str">
        <x:v>—</x:v>
      </x:c>
      <x:c r="E2759" s="55" t="inlineStr">
        <x:is>
          <x:t>東瀛術裝禮盒（網站未列地圖）</x:t>
        </x:is>
      </x:c>
    </x:row>
    <x:row r="2760" ht="15" customHeight="1">
      <x:c r="A2760" s="55" t="str">
        <x:v>素盞鳴鋼腕</x:v>
      </x:c>
      <x:c r="B2760" s="55" t="str">
        <x:v>—</x:v>
      </x:c>
      <x:c r="C2760" s="55" t="str">
        <x:v>—</x:v>
      </x:c>
      <x:c r="D2760" s="55" t="str">
        <x:v>—</x:v>
      </x:c>
      <x:c r="E2760" s="55" t="inlineStr">
        <x:is>
          <x:t>東瀛奇甲錦囊（網站未列地圖）；武冠兵甲錦囊．戌（網站未列地圖）；惡行犯（終末之塔第11層）</x:t>
        </x:is>
      </x:c>
    </x:row>
    <x:row r="2761" ht="15" customHeight="1">
      <x:c r="A2761" s="55" t="str">
        <x:v>烈雷腕胄</x:v>
      </x:c>
      <x:c r="B2761" s="55" t="str">
        <x:v>—</x:v>
      </x:c>
      <x:c r="C2761" s="55" t="str">
        <x:v>—</x:v>
      </x:c>
      <x:c r="D2761" s="55" t="str">
        <x:v>—</x:v>
      </x:c>
      <x:c r="E2761" s="55" t="inlineStr">
        <x:is>
          <x:t>平倭勇裝錦囊（網站未列地圖）</x:t>
        </x:is>
      </x:c>
    </x:row>
    <x:row r="2762" ht="15" customHeight="1">
      <x:c r="A2762" s="55" t="str">
        <x:v>震雷腕胄</x:v>
      </x:c>
      <x:c r="B2762" s="55" t="str">
        <x:v>—</x:v>
      </x:c>
      <x:c r="C2762" s="55" t="str">
        <x:v>—</x:v>
      </x:c>
      <x:c r="D2762" s="55" t="str">
        <x:v>—</x:v>
      </x:c>
      <x:c r="E2762" s="55" t="inlineStr">
        <x:is>
          <x:t>平倭勇裝錦囊（網站未列地圖）</x:t>
        </x:is>
      </x:c>
    </x:row>
    <x:row r="2763" ht="15" customHeight="1">
      <x:c r="A2763" s="55" t="str">
        <x:v>驚雷腕胄</x:v>
      </x:c>
      <x:c r="B2763" s="55" t="str">
        <x:v>—</x:v>
      </x:c>
      <x:c r="C2763" s="55" t="str">
        <x:v>—</x:v>
      </x:c>
      <x:c r="D2763" s="55" t="str">
        <x:v>—</x:v>
      </x:c>
      <x:c r="E2763" s="55" t="inlineStr">
        <x:is>
          <x:t>平倭勇裝錦囊（網站未列地圖）</x:t>
        </x:is>
      </x:c>
    </x:row>
    <x:row r="2764" ht="15" customHeight="1">
      <x:c r="A2764" s="55" t="str">
        <x:v>翔雲護腕</x:v>
      </x:c>
      <x:c r="B2764" s="55" t="str">
        <x:v>—</x:v>
      </x:c>
      <x:c r="C2764" s="55" t="str">
        <x:v>—</x:v>
      </x:c>
      <x:c r="D2764" s="55" t="str">
        <x:v>—</x:v>
      </x:c>
      <x:c r="E2764" s="55" t="inlineStr">
        <x:is>
          <x:t>平倭劍裝錦囊（網站未列地圖）</x:t>
        </x:is>
      </x:c>
    </x:row>
    <x:row r="2765" ht="15" customHeight="1">
      <x:c r="A2765" s="55" t="str">
        <x:v>瑞雲護腕</x:v>
      </x:c>
      <x:c r="B2765" s="55" t="str">
        <x:v>—</x:v>
      </x:c>
      <x:c r="C2765" s="55" t="str">
        <x:v>—</x:v>
      </x:c>
      <x:c r="D2765" s="55" t="str">
        <x:v>—</x:v>
      </x:c>
      <x:c r="E2765" s="55" t="inlineStr">
        <x:is>
          <x:t>平倭劍裝錦囊（網站未列地圖）</x:t>
        </x:is>
      </x:c>
    </x:row>
    <x:row r="2766" ht="15" customHeight="1">
      <x:c r="A2766" s="55" t="str">
        <x:v>飛雲護腕</x:v>
      </x:c>
      <x:c r="B2766" s="55" t="str">
        <x:v>—</x:v>
      </x:c>
      <x:c r="C2766" s="55" t="str">
        <x:v>—</x:v>
      </x:c>
      <x:c r="D2766" s="55" t="str">
        <x:v>—</x:v>
      </x:c>
      <x:c r="E2766" s="55" t="inlineStr">
        <x:is>
          <x:t>平倭劍裝錦囊（網站未列地圖）</x:t>
        </x:is>
      </x:c>
    </x:row>
    <x:row r="2767" ht="15" customHeight="1">
      <x:c r="A2767" s="55" t="str">
        <x:v>新月護腕</x:v>
      </x:c>
      <x:c r="B2767" s="55" t="str">
        <x:v>—</x:v>
      </x:c>
      <x:c r="C2767" s="55" t="str">
        <x:v>—</x:v>
      </x:c>
      <x:c r="D2767" s="55" t="str">
        <x:v>—</x:v>
      </x:c>
      <x:c r="E2767" s="55" t="inlineStr">
        <x:is>
          <x:t>平倭術裝錦囊（網站未列地圖）</x:t>
        </x:is>
      </x:c>
    </x:row>
    <x:row r="2768" ht="15" customHeight="1">
      <x:c r="A2768" s="55" t="str">
        <x:v>朧月護腕</x:v>
      </x:c>
      <x:c r="B2768" s="55" t="str">
        <x:v>—</x:v>
      </x:c>
      <x:c r="C2768" s="55" t="str">
        <x:v>—</x:v>
      </x:c>
      <x:c r="D2768" s="55" t="str">
        <x:v>—</x:v>
      </x:c>
      <x:c r="E2768" s="55" t="inlineStr">
        <x:is>
          <x:t>平倭術裝錦囊（網站未列地圖）</x:t>
        </x:is>
      </x:c>
    </x:row>
    <x:row r="2769" ht="15" customHeight="1">
      <x:c r="A2769" s="55" t="str">
        <x:v>殘月護腕</x:v>
      </x:c>
      <x:c r="B2769" s="55" t="str">
        <x:v>—</x:v>
      </x:c>
      <x:c r="C2769" s="55" t="str">
        <x:v>—</x:v>
      </x:c>
      <x:c r="D2769" s="55" t="str">
        <x:v>—</x:v>
      </x:c>
      <x:c r="E2769" s="55" t="inlineStr">
        <x:is>
          <x:t>平倭術裝錦囊（網站未列地圖）</x:t>
        </x:is>
      </x:c>
    </x:row>
    <x:row r="2770" ht="15" customHeight="1">
      <x:c r="A2770" s="55" t="str">
        <x:v>昇陽法腕</x:v>
      </x:c>
      <x:c r="B2770" s="55" t="str">
        <x:v>—</x:v>
      </x:c>
      <x:c r="C2770" s="55" t="str">
        <x:v>—</x:v>
      </x:c>
      <x:c r="D2770" s="55" t="str">
        <x:v>—</x:v>
      </x:c>
      <x:c r="E2770" s="55" t="inlineStr">
        <x:is>
          <x:t>平倭道裝錦囊（網站未列地圖）</x:t>
        </x:is>
      </x:c>
    </x:row>
    <x:row r="2771" ht="15" customHeight="1">
      <x:c r="A2771" s="55" t="str">
        <x:v>朝陽法腕</x:v>
      </x:c>
      <x:c r="B2771" s="55" t="str">
        <x:v>—</x:v>
      </x:c>
      <x:c r="C2771" s="55" t="str">
        <x:v>—</x:v>
      </x:c>
      <x:c r="D2771" s="55" t="str">
        <x:v>—</x:v>
      </x:c>
      <x:c r="E2771" s="55" t="inlineStr">
        <x:is>
          <x:t>平倭道裝錦囊（網站未列地圖）</x:t>
        </x:is>
      </x:c>
    </x:row>
    <x:row r="2772" ht="15" customHeight="1">
      <x:c r="A2772" s="55" t="str">
        <x:v>玄陽法腕</x:v>
      </x:c>
      <x:c r="B2772" s="55" t="str">
        <x:v>—</x:v>
      </x:c>
      <x:c r="C2772" s="55" t="str">
        <x:v>—</x:v>
      </x:c>
      <x:c r="D2772" s="55" t="str">
        <x:v>—</x:v>
      </x:c>
      <x:c r="E2772" s="55" t="inlineStr">
        <x:is>
          <x:t>平倭道裝錦囊（網站未列地圖）</x:t>
        </x:is>
      </x:c>
    </x:row>
    <x:row r="2773" ht="15" customHeight="1">
      <x:c r="A2773" s="55" t="str">
        <x:v>聖空護腕</x:v>
      </x:c>
      <x:c r="B2773" s="55" t="str">
        <x:v>—</x:v>
      </x:c>
      <x:c r="C2773" s="55" t="str">
        <x:v>—</x:v>
      </x:c>
      <x:c r="D2773" s="55" t="str">
        <x:v>—</x:v>
      </x:c>
      <x:c r="E2773" s="55" t="inlineStr">
        <x:is>
          <x:t>平倭僧裝錦囊（網站未列地圖）</x:t>
        </x:is>
      </x:c>
    </x:row>
    <x:row r="2774" ht="15" customHeight="1">
      <x:c r="A2774" s="55" t="str">
        <x:v>圓空護腕</x:v>
      </x:c>
      <x:c r="B2774" s="55" t="str">
        <x:v>—</x:v>
      </x:c>
      <x:c r="C2774" s="55" t="str">
        <x:v>—</x:v>
      </x:c>
      <x:c r="D2774" s="55" t="str">
        <x:v>—</x:v>
      </x:c>
      <x:c r="E2774" s="55" t="inlineStr">
        <x:is>
          <x:t>平倭僧裝錦囊（網站未列地圖）</x:t>
        </x:is>
      </x:c>
    </x:row>
    <x:row r="2775" ht="15" customHeight="1">
      <x:c r="A2775" s="55" t="str">
        <x:v>明空護腕</x:v>
      </x:c>
      <x:c r="B2775" s="55" t="str">
        <x:v>—</x:v>
      </x:c>
      <x:c r="C2775" s="55" t="str">
        <x:v>—</x:v>
      </x:c>
      <x:c r="D2775" s="55" t="str">
        <x:v>—</x:v>
      </x:c>
      <x:c r="E2775" s="55" t="inlineStr">
        <x:is>
          <x:t>平倭僧裝錦囊（網站未列地圖）</x:t>
        </x:is>
      </x:c>
    </x:row>
    <x:row r="2776" ht="30" customHeight="1">
      <x:c r="A2776" s="55" t="str">
        <x:v>蘭若護腕</x:v>
      </x:c>
      <x:c r="B2776" s="55" t="str">
        <x:v>—</x:v>
      </x:c>
      <x:c r="C2776" s="55" t="str">
        <x:v>—</x:v>
      </x:c>
      <x:c r="D2776" s="55" t="str">
        <x:v>—</x:v>
      </x:c>
      <x:c r="E2776" s="55" t="inlineStr">
        <x:is>
          <x:t>摩羅劍裝錦囊（網站未列地圖）；真佛劍裝錦囊（網站未列地圖）；大鵬金翅鳥（金霄佛寺、濕婆神廟）；御象尊者（網站未列地圖）；巨象騎射手（金霄佛寺）</x:t>
        </x:is>
      </x:c>
    </x:row>
    <x:row r="2777" ht="15" customHeight="1">
      <x:c r="A2777" s="55" t="str">
        <x:v>戒日護腕</x:v>
      </x:c>
      <x:c r="B2777" s="55" t="str">
        <x:v>—</x:v>
      </x:c>
      <x:c r="C2777" s="55" t="str">
        <x:v>—</x:v>
      </x:c>
      <x:c r="D2777" s="55" t="str">
        <x:v>—</x:v>
      </x:c>
      <x:c r="E2777" s="55" t="inlineStr">
        <x:is>
          <x:t>摩羅勇裝錦囊（網站未列地圖）；真佛勇裝錦囊（網站未列地圖）；喪魂邪屍（濕婆神廟）；怒威象神（濕婆神廟）</x:t>
        </x:is>
      </x:c>
    </x:row>
    <x:row r="2778" ht="15" customHeight="1">
      <x:c r="A2778" s="55" t="str">
        <x:v>朱綾護腕</x:v>
      </x:c>
      <x:c r="B2778" s="55" t="str">
        <x:v>—</x:v>
      </x:c>
      <x:c r="C2778" s="55" t="str">
        <x:v>—</x:v>
      </x:c>
      <x:c r="D2778" s="55" t="str">
        <x:v>—</x:v>
      </x:c>
      <x:c r="E2778" s="55" t="inlineStr">
        <x:is>
          <x:t>摩羅術裝錦囊（網站未列地圖）；真佛術裝錦囊（網站未列地圖）；摩羅戰象（菩提聖原）</x:t>
        </x:is>
      </x:c>
    </x:row>
    <x:row r="2779" ht="30" customHeight="1">
      <x:c r="A2779" s="55" t="str">
        <x:v>紫懿護腕</x:v>
      </x:c>
      <x:c r="B2779" s="55" t="str">
        <x:v>—</x:v>
      </x:c>
      <x:c r="C2779" s="55" t="str">
        <x:v>—</x:v>
      </x:c>
      <x:c r="D2779" s="55" t="str">
        <x:v>—</x:v>
      </x:c>
      <x:c r="E2779" s="55" t="inlineStr">
        <x:is>
          <x:t>摩羅道裝錦囊（網站未列地圖）；真佛道裝錦囊（網站未列地圖）；怒砂土靈（黃塵荒漠、聖域之門）；怒獄土魔（網站未列地圖）；旱野蛇魔（菩提聖原、大梵河岸、金霄佛寺）</x:t>
        </x:is>
      </x:c>
    </x:row>
    <x:row r="2780" ht="15" customHeight="1">
      <x:c r="A2780" s="55" t="str">
        <x:v>正定護腕</x:v>
      </x:c>
      <x:c r="B2780" s="55" t="str">
        <x:v>—</x:v>
      </x:c>
      <x:c r="C2780" s="55" t="str">
        <x:v>—</x:v>
      </x:c>
      <x:c r="D2780" s="55" t="str">
        <x:v>—</x:v>
      </x:c>
      <x:c r="E2780" s="55" t="inlineStr">
        <x:is>
          <x:t>摩羅僧裝錦囊（網站未列地圖）；真佛僧裝錦囊（網站未列地圖）；象騎兵（摩羅國境、菩提聖原）</x:t>
        </x:is>
      </x:c>
    </x:row>
    <x:row r="2781" ht="15" customHeight="1">
      <x:c r="A2781" s="55" t="str">
        <x:v>悉檀護腕</x:v>
      </x:c>
      <x:c r="B2781" s="55" t="str">
        <x:v>—</x:v>
      </x:c>
      <x:c r="C2781" s="55" t="str">
        <x:v>—</x:v>
      </x:c>
      <x:c r="D2781" s="55" t="str">
        <x:v>—</x:v>
      </x:c>
      <x:c r="E2781" s="55" t="inlineStr">
        <x:is>
          <x:t>真佛劍裝錦囊（網站未列地圖）；黑教侍衛（登天棧道、懸空仙嶺、青藏高原、大梵聖湖）；仙嶺妖禽（懸空仙嶺）</x:t>
        </x:is>
      </x:c>
    </x:row>
    <x:row r="2782" ht="15" customHeight="1">
      <x:c r="A2782" s="55" t="str">
        <x:v>最勝護腕</x:v>
      </x:c>
      <x:c r="B2782" s="55" t="str">
        <x:v>—</x:v>
      </x:c>
      <x:c r="C2782" s="55" t="str">
        <x:v>—</x:v>
      </x:c>
      <x:c r="D2782" s="55" t="str">
        <x:v>—</x:v>
      </x:c>
      <x:c r="E2782" s="55" t="inlineStr">
        <x:is>
          <x:t>真佛勇裝錦囊（網站未列地圖）；真知芳衛（清教院街）</x:t>
        </x:is>
      </x:c>
    </x:row>
    <x:row r="2783" ht="15" customHeight="1">
      <x:c r="A2783" s="55" t="str">
        <x:v>吠陀護腕</x:v>
      </x:c>
      <x:c r="B2783" s="55" t="str">
        <x:v>—</x:v>
      </x:c>
      <x:c r="C2783" s="55" t="str">
        <x:v>—</x:v>
      </x:c>
      <x:c r="D2783" s="55" t="str">
        <x:v>—</x:v>
      </x:c>
      <x:c r="E2783" s="55" t="inlineStr">
        <x:is>
          <x:t>真佛術裝錦囊（網站未列地圖）；波斯步卒（聖域之門、清教院街）</x:t>
        </x:is>
      </x:c>
    </x:row>
    <x:row r="2784" ht="15" customHeight="1">
      <x:c r="A2784" s="55" t="str">
        <x:v>煌天護腕</x:v>
      </x:c>
      <x:c r="B2784" s="55" t="str">
        <x:v>—</x:v>
      </x:c>
      <x:c r="C2784" s="55" t="str">
        <x:v>—</x:v>
      </x:c>
      <x:c r="D2784" s="55" t="str">
        <x:v>—</x:v>
      </x:c>
      <x:c r="E2784" s="55" t="inlineStr">
        <x:is>
          <x:t>真佛道裝錦囊（網站未列地圖）；絕峰禿鷹（香格里拉聖路）</x:t>
        </x:is>
      </x:c>
    </x:row>
    <x:row r="2785" ht="30" customHeight="1">
      <x:c r="A2785" s="55" t="str">
        <x:v>華嚴護腕</x:v>
      </x:c>
      <x:c r="B2785" s="55" t="str">
        <x:v>—</x:v>
      </x:c>
      <x:c r="C2785" s="55" t="str">
        <x:v>—</x:v>
      </x:c>
      <x:c r="D2785" s="55" t="str">
        <x:v>—</x:v>
      </x:c>
      <x:c r="E2785" s="55" t="inlineStr">
        <x:is>
          <x:t>真佛僧裝錦囊（網站未列地圖）；吞天梵鬼（網站未列地圖）；輪迴外邪（懸空仙嶺、青藏高原、大梵聖湖、萬岳聖峰、香格里拉聖路）；[輪迴外邪]（網站未列地圖）</x:t>
        </x:is>
      </x:c>
    </x:row>
    <x:row r="2786" ht="15" customHeight="1">
      <x:c r="A2786" s="55" t="str">
        <x:v>真．摘星護腕</x:v>
      </x:c>
      <x:c r="B2786" s="55" t="str">
        <x:v>—</x:v>
      </x:c>
      <x:c r="C2786" s="55" t="str">
        <x:v>—</x:v>
      </x:c>
      <x:c r="D2786" s="55" t="str">
        <x:v>天極護腕配方</x:v>
      </x:c>
      <x:c r="E2786" s="55" t="inlineStr">
        <x:is>
          <x:t>真天界神裝錦囊（網站未列地圖）；玄冑之核（網站未列地圖）</x:t>
        </x:is>
      </x:c>
    </x:row>
    <x:row r="2787" ht="30" customHeight="1">
      <x:c r="A2787" s="55" t="str">
        <x:v>驕陽護手</x:v>
      </x:c>
      <x:c r="B2787" s="55" t="str">
        <x:v>—</x:v>
      </x:c>
      <x:c r="C2787" s="55" t="str">
        <x:v>—</x:v>
      </x:c>
      <x:c r="D2787" s="55" t="str">
        <x:v>—</x:v>
      </x:c>
      <x:c r="E2787" s="55" t="inlineStr">
        <x:is>
          <x:t>煉獄劍裝錦囊（網站未列地圖）；魔天劍裝錦囊（網站未列地圖）；煉獄邪眼（森羅閻殿、永劫刑場、荒禍殘墟）；征軍駱駝（波斯西市、漆黑水路）</x:t>
        </x:is>
      </x:c>
    </x:row>
    <x:row r="2788" ht="30" customHeight="1">
      <x:c r="A2788" s="55" t="str">
        <x:v>銀蟒護腕</x:v>
      </x:c>
      <x:c r="B2788" s="55" t="str">
        <x:v>—</x:v>
      </x:c>
      <x:c r="C2788" s="55" t="str">
        <x:v>—</x:v>
      </x:c>
      <x:c r="D2788" s="55" t="str">
        <x:v>—</x:v>
      </x:c>
      <x:c r="E2788" s="55" t="inlineStr">
        <x:is>
          <x:t>煉獄勇裝錦囊（網站未列地圖）；魔天勇裝錦囊（網站未列地圖）；弔靈八王爺（森羅閻殿、奈落紅川、荒禍殘墟）；奪魄黑死將（天戮魔殿）</x:t>
        </x:is>
      </x:c>
    </x:row>
    <x:row r="2789" ht="15" customHeight="1">
      <x:c r="A2789" s="55" t="str">
        <x:v>白門腕甲</x:v>
      </x:c>
      <x:c r="B2789" s="55" t="str">
        <x:v>—</x:v>
      </x:c>
      <x:c r="C2789" s="55" t="str">
        <x:v>—</x:v>
      </x:c>
      <x:c r="D2789" s="55" t="str">
        <x:v>—</x:v>
      </x:c>
      <x:c r="E2789" s="55" t="inlineStr">
        <x:is>
          <x:t>煉獄術裝錦囊（網站未列地圖）；魔天術裝錦囊（網站未列地圖）；晶凍傀儡（寒愴冰獄）</x:t>
        </x:is>
      </x:c>
    </x:row>
    <x:row r="2790" ht="30" customHeight="1">
      <x:c r="A2790" s="55" t="str">
        <x:v>三世靈腕</x:v>
      </x:c>
      <x:c r="B2790" s="55" t="str">
        <x:v>—</x:v>
      </x:c>
      <x:c r="C2790" s="55" t="str">
        <x:v>—</x:v>
      </x:c>
      <x:c r="D2790" s="55" t="str">
        <x:v>—</x:v>
      </x:c>
      <x:c r="E2790" s="55" t="inlineStr">
        <x:is>
          <x:t>煉獄道裝錦囊（網站未列地圖）；魔天道裝錦囊（網站未列地圖）；弔靈八王爺（森羅閻殿、奈落紅川、荒禍殘墟）；奪魄黑死將（天戮魔殿）</x:t>
        </x:is>
      </x:c>
    </x:row>
    <x:row r="2791" ht="30" customHeight="1">
      <x:c r="A2791" s="55" t="str">
        <x:v>妙法織腕</x:v>
      </x:c>
      <x:c r="B2791" s="55" t="str">
        <x:v>—</x:v>
      </x:c>
      <x:c r="C2791" s="55" t="str">
        <x:v>—</x:v>
      </x:c>
      <x:c r="D2791" s="55" t="str">
        <x:v>—</x:v>
      </x:c>
      <x:c r="E2791" s="55" t="inlineStr">
        <x:is>
          <x:t>煉獄僧裝錦囊（網站未列地圖）；魔天僧裝錦囊（網站未列地圖）；業火獅王（荒禍殘墟）；金剛仁波切（吐蕃集鎮、香格里拉聖路、香格里拉神廟、天授之間）；九瞋喇嘛（網站未列地圖）；血靈禪尊（網站未列地圖）</x:t>
        </x:is>
      </x:c>
    </x:row>
    <x:row r="2792" ht="15" customHeight="1">
      <x:c r="A2792" s="55" t="str">
        <x:v>蒼烈護手</x:v>
      </x:c>
      <x:c r="B2792" s="55" t="str">
        <x:v>—</x:v>
      </x:c>
      <x:c r="C2792" s="55" t="str">
        <x:v>—</x:v>
      </x:c>
      <x:c r="D2792" s="55" t="str">
        <x:v>—</x:v>
      </x:c>
      <x:c r="E2792" s="55" t="inlineStr">
        <x:is>
          <x:t>魔天劍裝錦囊（網站未列地圖）；蜥蜴人（豐穗平原、血鴉嶺）</x:t>
        </x:is>
      </x:c>
    </x:row>
    <x:row r="2793" ht="15" customHeight="1">
      <x:c r="A2793" s="55" t="str">
        <x:v>龍魔護腕</x:v>
      </x:c>
      <x:c r="B2793" s="55" t="str">
        <x:v>—</x:v>
      </x:c>
      <x:c r="C2793" s="55" t="str">
        <x:v>—</x:v>
      </x:c>
      <x:c r="D2793" s="55" t="str">
        <x:v>—</x:v>
      </x:c>
      <x:c r="E2793" s="55" t="inlineStr">
        <x:is>
          <x:t>魔天勇裝錦囊（網站未列地圖）；赫丕族女（止戰邊境、豐穗平原）</x:t>
        </x:is>
      </x:c>
    </x:row>
    <x:row r="2794" ht="15" customHeight="1">
      <x:c r="A2794" s="55" t="str">
        <x:v>阿鼻邪腕</x:v>
      </x:c>
      <x:c r="B2794" s="55" t="str">
        <x:v>—</x:v>
      </x:c>
      <x:c r="C2794" s="55" t="str">
        <x:v>—</x:v>
      </x:c>
      <x:c r="D2794" s="55" t="str">
        <x:v>—</x:v>
      </x:c>
      <x:c r="E2794" s="55" t="inlineStr">
        <x:is>
          <x:t>魔天術裝錦囊（網站未列地圖）</x:t>
        </x:is>
      </x:c>
    </x:row>
    <x:row r="2795" ht="15" customHeight="1">
      <x:c r="A2795" s="55" t="str">
        <x:v>玉清靈腕</x:v>
      </x:c>
      <x:c r="B2795" s="55" t="str">
        <x:v>—</x:v>
      </x:c>
      <x:c r="C2795" s="55" t="str">
        <x:v>—</x:v>
      </x:c>
      <x:c r="D2795" s="55" t="str">
        <x:v>—</x:v>
      </x:c>
      <x:c r="E2795" s="55" t="inlineStr">
        <x:is>
          <x:t>魔天道裝錦囊（網站未列地圖）；聖峰白虎（萬岳聖峰、香格里拉聖路）</x:t>
        </x:is>
      </x:c>
    </x:row>
    <x:row r="2796" ht="15" customHeight="1">
      <x:c r="A2796" s="55" t="str">
        <x:v>轉輪織腕</x:v>
      </x:c>
      <x:c r="B2796" s="55" t="str">
        <x:v>—</x:v>
      </x:c>
      <x:c r="C2796" s="55" t="str">
        <x:v>—</x:v>
      </x:c>
      <x:c r="D2796" s="55" t="str">
        <x:v>—</x:v>
      </x:c>
      <x:c r="E2796" s="55" t="inlineStr">
        <x:is>
          <x:t>魔天僧裝錦囊（網站未列地圖）；夜鴆鱗莽（波斯西市、漆黑水路）</x:t>
        </x:is>
      </x:c>
    </x:row>
    <x:row r="2797" ht="60" customHeight="1">
      <x:c r="A2797" s="55" t="str">
        <x:v>繁星一掌執</x:v>
      </x:c>
      <x:c r="B2797" s="55" t="str">
        <x:v>—</x:v>
      </x:c>
      <x:c r="C2797" s="55" t="str">
        <x:v>—</x:v>
      </x:c>
      <x:c r="D2797" s="55" t="str">
        <x:v>蒼天護腕配方</x:v>
      </x:c>
      <x:c r="E2797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眾靈妖祭（托勒密山麓）；虛行蜴魔（終末之塔第76層）</x:t>
        </x:is>
      </x:c>
    </x:row>
    <x:row r="2798" ht="30" customHeight="1">
      <x:c r="A2798" s="55" t="str">
        <x:v>素盞鳴神鋼腕</x:v>
      </x:c>
      <x:c r="B2798" s="55" t="str">
        <x:v>—</x:v>
      </x:c>
      <x:c r="C2798" s="55" t="str">
        <x:v>—</x:v>
      </x:c>
      <x:c r="D2798" s="55" t="str">
        <x:v>東瀛神腕配方</x:v>
      </x:c>
      <x:c r="E2798" s="55" t="inlineStr">
        <x:is>
          <x:t>東瀛幻甲錦囊（網站未列地圖）；沙暴先鋒（古翰大沙漠）；萬鈞碎錘（終末之塔第30層、終末之塔第23層）；尼絡狂鱷（終末之塔第54層、終末之塔第55層）；白金之猩（終末之塔第44層、終末之塔第43層）</x:t>
        </x:is>
      </x:c>
    </x:row>
    <x:row r="2799" ht="15" customHeight="1">
      <x:c r="A2799" s="55" t="str">
        <x:v>墨武腕甲</x:v>
      </x:c>
      <x:c r="B2799" s="55" t="str">
        <x:v>—</x:v>
      </x:c>
      <x:c r="C2799" s="55" t="str">
        <x:v>—</x:v>
      </x:c>
      <x:c r="D2799" s="55" t="str">
        <x:v>—</x:v>
      </x:c>
      <x:c r="E2799" s="55" t="inlineStr">
        <x:is>
          <x:t>天都劍裝錦囊（網站未列地圖）；魔劍子（登龍道、凌風修境）</x:t>
        </x:is>
      </x:c>
    </x:row>
    <x:row r="2800" ht="15" customHeight="1">
      <x:c r="A2800" s="55" t="str">
        <x:v>耀宇臂鎧</x:v>
      </x:c>
      <x:c r="B2800" s="55" t="str">
        <x:v>—</x:v>
      </x:c>
      <x:c r="C2800" s="55" t="str">
        <x:v>—</x:v>
      </x:c>
      <x:c r="D2800" s="55" t="str">
        <x:v>—</x:v>
      </x:c>
      <x:c r="E2800" s="55" t="inlineStr">
        <x:is>
          <x:t>天都勇裝錦囊（網站未列地圖）；激震土靈（漆黑水路、真知寺）</x:t>
        </x:is>
      </x:c>
    </x:row>
    <x:row r="2801" ht="15" customHeight="1">
      <x:c r="A2801" s="55" t="str">
        <x:v>天鏡甲臂</x:v>
      </x:c>
      <x:c r="B2801" s="55" t="str">
        <x:v>—</x:v>
      </x:c>
      <x:c r="C2801" s="55" t="str">
        <x:v>—</x:v>
      </x:c>
      <x:c r="D2801" s="55" t="str">
        <x:v>—</x:v>
      </x:c>
      <x:c r="E2801" s="55" t="inlineStr">
        <x:is>
          <x:t>天都術裝錦囊（網站未列地圖）；原始風靈（擎空壁壘）</x:t>
        </x:is>
      </x:c>
    </x:row>
    <x:row r="2802" ht="15" customHeight="1">
      <x:c r="A2802" s="55" t="str">
        <x:v>納真護手</x:v>
      </x:c>
      <x:c r="B2802" s="55" t="str">
        <x:v>—</x:v>
      </x:c>
      <x:c r="C2802" s="55" t="str">
        <x:v>—</x:v>
      </x:c>
      <x:c r="D2802" s="55" t="str">
        <x:v>—</x:v>
      </x:c>
      <x:c r="E2802" s="55" t="inlineStr">
        <x:is>
          <x:t>天都道裝錦囊（網站未列地圖）；剎羽風靈（法誡參道、漆黑水路、真知寺）</x:t>
        </x:is>
      </x:c>
    </x:row>
    <x:row r="2803" ht="15" customHeight="1">
      <x:c r="A2803" s="55" t="str">
        <x:v>三千法腕</x:v>
      </x:c>
      <x:c r="B2803" s="55" t="str">
        <x:v>—</x:v>
      </x:c>
      <x:c r="C2803" s="55" t="str">
        <x:v>—</x:v>
      </x:c>
      <x:c r="D2803" s="55" t="str">
        <x:v>—</x:v>
      </x:c>
      <x:c r="E2803" s="55" t="inlineStr">
        <x:is>
          <x:t>天都僧裝錦囊（網站未列地圖）</x:t>
        </x:is>
      </x:c>
    </x:row>
    <x:row r="2804" ht="15" customHeight="1">
      <x:c r="A2804" s="55" t="str">
        <x:v>南日采腕</x:v>
      </x:c>
      <x:c r="B2804" s="55" t="str">
        <x:v>—</x:v>
      </x:c>
      <x:c r="C2804" s="55" t="str">
        <x:v>—</x:v>
      </x:c>
      <x:c r="D2804" s="55" t="str">
        <x:v>—</x:v>
      </x:c>
      <x:c r="E2804" s="55" t="inlineStr">
        <x:is>
          <x:t>問頂劍裝錦囊（網站未列地圖）；原始火靈（獅堡軍事區）</x:t>
        </x:is>
      </x:c>
    </x:row>
    <x:row r="2805" ht="15" customHeight="1">
      <x:c r="A2805" s="55" t="str">
        <x:v>古茹臂鎧</x:v>
      </x:c>
      <x:c r="B2805" s="55" t="str">
        <x:v>—</x:v>
      </x:c>
      <x:c r="C2805" s="55" t="str">
        <x:v>—</x:v>
      </x:c>
      <x:c r="D2805" s="55" t="str">
        <x:v>—</x:v>
      </x:c>
      <x:c r="E2805" s="55" t="inlineStr">
        <x:is>
          <x:t>問頂勇裝錦囊（網站未列地圖）；窮奇（登龍道、凌風修境）</x:t>
        </x:is>
      </x:c>
    </x:row>
    <x:row r="2806" ht="30" customHeight="1">
      <x:c r="A2806" s="55" t="str">
        <x:v>穆赤臂甲</x:v>
      </x:c>
      <x:c r="B2806" s="55" t="str">
        <x:v>—</x:v>
      </x:c>
      <x:c r="C2806" s="55" t="str">
        <x:v>—</x:v>
      </x:c>
      <x:c r="D2806" s="55" t="str">
        <x:v>—</x:v>
      </x:c>
      <x:c r="E2806" s="55" t="inlineStr">
        <x:is>
          <x:t>問頂術裝錦囊（網站未列地圖）；霧城巨獅（網站未列地圖）；歐陸雄獅（靜默之丘、擎空壁壘、獅堡軍事區、凱旋廣場）</x:t>
        </x:is>
      </x:c>
    </x:row>
    <x:row r="2807" ht="15" customHeight="1">
      <x:c r="A2807" s="55" t="str">
        <x:v>朗達瑪腕</x:v>
      </x:c>
      <x:c r="B2807" s="55" t="str">
        <x:v>—</x:v>
      </x:c>
      <x:c r="C2807" s="55" t="str">
        <x:v>—</x:v>
      </x:c>
      <x:c r="D2807" s="55" t="str">
        <x:v>—</x:v>
      </x:c>
      <x:c r="E2807" s="55" t="inlineStr">
        <x:is>
          <x:t>問頂道裝錦囊（網站未列地圖）</x:t>
        </x:is>
      </x:c>
    </x:row>
    <x:row r="2808" ht="15" customHeight="1">
      <x:c r="A2808" s="55" t="str">
        <x:v>牟如法腕</x:v>
      </x:c>
      <x:c r="B2808" s="55" t="str">
        <x:v>—</x:v>
      </x:c>
      <x:c r="C2808" s="55" t="str">
        <x:v>—</x:v>
      </x:c>
      <x:c r="D2808" s="55" t="str">
        <x:v>—</x:v>
      </x:c>
      <x:c r="E2808" s="55" t="inlineStr">
        <x:is>
          <x:t>問頂僧裝錦囊（網站未列地圖）</x:t>
        </x:is>
      </x:c>
    </x:row>
    <x:row r="2809" ht="15" customHeight="1">
      <x:c r="A2809" s="55" t="str">
        <x:v>素盞鳴腕‧絕</x:v>
      </x:c>
      <x:c r="B2809" s="55" t="str">
        <x:v>—</x:v>
      </x:c>
      <x:c r="C2809" s="55" t="str">
        <x:v>—</x:v>
      </x:c>
      <x:c r="D2809" s="55" t="str">
        <x:v>—</x:v>
      </x:c>
      <x:c r="E2809" s="55" t="inlineStr">
        <x:is>
          <x:t>東瀛絕甲錦囊（網站未列地圖）；砌塔石奴（終末之塔第61層、終末之塔第62層）</x:t>
        </x:is>
      </x:c>
    </x:row>
    <x:row r="2810" ht="15" customHeight="1">
      <x:c r="A2810" s="55" t="str">
        <x:v>軍星腕胄</x:v>
      </x:c>
      <x:c r="B2810" s="55" t="str">
        <x:v>—</x:v>
      </x:c>
      <x:c r="C2810" s="55" t="str">
        <x:v>—</x:v>
      </x:c>
      <x:c r="D2810" s="55" t="str">
        <x:v>—</x:v>
      </x:c>
      <x:c r="E2810" s="55" t="inlineStr">
        <x:is>
          <x:t>聖魔勇裝錦囊（網站未列地圖）</x:t>
        </x:is>
      </x:c>
    </x:row>
    <x:row r="2811" ht="15" customHeight="1">
      <x:c r="A2811" s="55" t="str">
        <x:v>鐵星腕胄</x:v>
      </x:c>
      <x:c r="B2811" s="55" t="str">
        <x:v>—</x:v>
      </x:c>
      <x:c r="C2811" s="55" t="str">
        <x:v>—</x:v>
      </x:c>
      <x:c r="D2811" s="55" t="str">
        <x:v>—</x:v>
      </x:c>
      <x:c r="E2811" s="55" t="inlineStr">
        <x:is>
          <x:t>聖魔勇裝錦囊（網站未列地圖）</x:t>
        </x:is>
      </x:c>
    </x:row>
    <x:row r="2812" ht="15" customHeight="1">
      <x:c r="A2812" s="55" t="str">
        <x:v>武星腕胄</x:v>
      </x:c>
      <x:c r="B2812" s="55" t="str">
        <x:v>—</x:v>
      </x:c>
      <x:c r="C2812" s="55" t="str">
        <x:v>—</x:v>
      </x:c>
      <x:c r="D2812" s="55" t="str">
        <x:v>—</x:v>
      </x:c>
      <x:c r="E2812" s="55" t="inlineStr">
        <x:is>
          <x:t>聖魔勇裝錦囊（網站未列地圖）</x:t>
        </x:is>
      </x:c>
    </x:row>
    <x:row r="2813" ht="15" customHeight="1">
      <x:c r="A2813" s="55" t="str">
        <x:v>赫煉護腕</x:v>
      </x:c>
      <x:c r="B2813" s="55" t="str">
        <x:v>—</x:v>
      </x:c>
      <x:c r="C2813" s="55" t="str">
        <x:v>—</x:v>
      </x:c>
      <x:c r="D2813" s="55" t="str">
        <x:v>—</x:v>
      </x:c>
      <x:c r="E2813" s="55" t="inlineStr">
        <x:is>
          <x:t>聖魔劍裝錦囊（網站未列地圖）</x:t>
        </x:is>
      </x:c>
    </x:row>
    <x:row r="2814" ht="15" customHeight="1">
      <x:c r="A2814" s="55" t="str">
        <x:v>浩煉護腕</x:v>
      </x:c>
      <x:c r="B2814" s="55" t="str">
        <x:v>—</x:v>
      </x:c>
      <x:c r="C2814" s="55" t="str">
        <x:v>—</x:v>
      </x:c>
      <x:c r="D2814" s="55" t="str">
        <x:v>—</x:v>
      </x:c>
      <x:c r="E2814" s="55" t="inlineStr">
        <x:is>
          <x:t>聖魔劍裝錦囊（網站未列地圖）</x:t>
        </x:is>
      </x:c>
    </x:row>
    <x:row r="2815" ht="15" customHeight="1">
      <x:c r="A2815" s="55" t="str">
        <x:v>騰煉護腕</x:v>
      </x:c>
      <x:c r="B2815" s="55" t="str">
        <x:v>—</x:v>
      </x:c>
      <x:c r="C2815" s="55" t="str">
        <x:v>—</x:v>
      </x:c>
      <x:c r="D2815" s="55" t="str">
        <x:v>—</x:v>
      </x:c>
      <x:c r="E2815" s="55" t="inlineStr">
        <x:is>
          <x:t>聖魔劍裝錦囊（網站未列地圖）</x:t>
        </x:is>
      </x:c>
    </x:row>
    <x:row r="2816" ht="15" customHeight="1">
      <x:c r="A2816" s="55" t="str">
        <x:v>六虛護腕</x:v>
      </x:c>
      <x:c r="B2816" s="55" t="str">
        <x:v>—</x:v>
      </x:c>
      <x:c r="C2816" s="55" t="str">
        <x:v>—</x:v>
      </x:c>
      <x:c r="D2816" s="55" t="str">
        <x:v>—</x:v>
      </x:c>
      <x:c r="E2816" s="55" t="inlineStr">
        <x:is>
          <x:t>聖魔術裝錦囊（網站未列地圖）</x:t>
        </x:is>
      </x:c>
    </x:row>
    <x:row r="2817" ht="15" customHeight="1">
      <x:c r="A2817" s="55" t="str">
        <x:v>碧虛護腕</x:v>
      </x:c>
      <x:c r="B2817" s="55" t="str">
        <x:v>—</x:v>
      </x:c>
      <x:c r="C2817" s="55" t="str">
        <x:v>—</x:v>
      </x:c>
      <x:c r="D2817" s="55" t="str">
        <x:v>—</x:v>
      </x:c>
      <x:c r="E2817" s="55" t="inlineStr">
        <x:is>
          <x:t>聖魔術裝錦囊（網站未列地圖）</x:t>
        </x:is>
      </x:c>
    </x:row>
    <x:row r="2818" ht="15" customHeight="1">
      <x:c r="A2818" s="55" t="str">
        <x:v>太虛護腕</x:v>
      </x:c>
      <x:c r="B2818" s="55" t="str">
        <x:v>—</x:v>
      </x:c>
      <x:c r="C2818" s="55" t="str">
        <x:v>—</x:v>
      </x:c>
      <x:c r="D2818" s="55" t="str">
        <x:v>—</x:v>
      </x:c>
      <x:c r="E2818" s="55" t="inlineStr">
        <x:is>
          <x:t>聖魔術裝錦囊（網站未列地圖）</x:t>
        </x:is>
      </x:c>
    </x:row>
    <x:row r="2819" ht="15" customHeight="1">
      <x:c r="A2819" s="55" t="str">
        <x:v>鴻緒道腕</x:v>
      </x:c>
      <x:c r="B2819" s="55" t="str">
        <x:v>—</x:v>
      </x:c>
      <x:c r="C2819" s="55" t="str">
        <x:v>—</x:v>
      </x:c>
      <x:c r="D2819" s="55" t="str">
        <x:v>—</x:v>
      </x:c>
      <x:c r="E2819" s="55" t="inlineStr">
        <x:is>
          <x:t>聖魔道裝錦囊（網站未列地圖）</x:t>
        </x:is>
      </x:c>
    </x:row>
    <x:row r="2820" ht="15" customHeight="1">
      <x:c r="A2820" s="55" t="str">
        <x:v>明緒道腕</x:v>
      </x:c>
      <x:c r="B2820" s="55" t="str">
        <x:v>—</x:v>
      </x:c>
      <x:c r="C2820" s="55" t="str">
        <x:v>—</x:v>
      </x:c>
      <x:c r="D2820" s="55" t="str">
        <x:v>—</x:v>
      </x:c>
      <x:c r="E2820" s="55" t="inlineStr">
        <x:is>
          <x:t>聖魔道裝錦囊（網站未列地圖）</x:t>
        </x:is>
      </x:c>
    </x:row>
    <x:row r="2821" ht="15" customHeight="1">
      <x:c r="A2821" s="55" t="str">
        <x:v>正緒道腕</x:v>
      </x:c>
      <x:c r="B2821" s="55" t="str">
        <x:v>—</x:v>
      </x:c>
      <x:c r="C2821" s="55" t="str">
        <x:v>—</x:v>
      </x:c>
      <x:c r="D2821" s="55" t="str">
        <x:v>—</x:v>
      </x:c>
      <x:c r="E2821" s="55" t="inlineStr">
        <x:is>
          <x:t>聖魔道裝錦囊（網站未列地圖）</x:t>
        </x:is>
      </x:c>
    </x:row>
    <x:row r="2822" ht="15" customHeight="1">
      <x:c r="A2822" s="55" t="str">
        <x:v>定恆禪腕</x:v>
      </x:c>
      <x:c r="B2822" s="55" t="str">
        <x:v>—</x:v>
      </x:c>
      <x:c r="C2822" s="55" t="str">
        <x:v>—</x:v>
      </x:c>
      <x:c r="D2822" s="55" t="str">
        <x:v>—</x:v>
      </x:c>
      <x:c r="E2822" s="55" t="inlineStr">
        <x:is>
          <x:t>聖魔僧裝錦囊（網站未列地圖）</x:t>
        </x:is>
      </x:c>
    </x:row>
    <x:row r="2823" ht="15" customHeight="1">
      <x:c r="A2823" s="55" t="str">
        <x:v>常恆禪腕</x:v>
      </x:c>
      <x:c r="B2823" s="55" t="str">
        <x:v>—</x:v>
      </x:c>
      <x:c r="C2823" s="55" t="str">
        <x:v>—</x:v>
      </x:c>
      <x:c r="D2823" s="55" t="str">
        <x:v>—</x:v>
      </x:c>
      <x:c r="E2823" s="55" t="inlineStr">
        <x:is>
          <x:t>聖魔僧裝錦囊（網站未列地圖）</x:t>
        </x:is>
      </x:c>
    </x:row>
    <x:row r="2824" ht="15" customHeight="1">
      <x:c r="A2824" s="55" t="str">
        <x:v>念恆禪腕</x:v>
      </x:c>
      <x:c r="B2824" s="55" t="str">
        <x:v>—</x:v>
      </x:c>
      <x:c r="C2824" s="55" t="str">
        <x:v>—</x:v>
      </x:c>
      <x:c r="D2824" s="55" t="str">
        <x:v>—</x:v>
      </x:c>
      <x:c r="E2824" s="55" t="inlineStr">
        <x:is>
          <x:t>聖魔僧裝錦囊（網站未列地圖）</x:t>
        </x:is>
      </x:c>
    </x:row>
    <x:row r="2825" ht="15" customHeight="1">
      <x:c r="A2825" s="55" t="str">
        <x:v>希亞護腕</x:v>
      </x:c>
      <x:c r="B2825" s="55" t="str">
        <x:v>—</x:v>
      </x:c>
      <x:c r="C2825" s="55" t="str">
        <x:v>—</x:v>
      </x:c>
      <x:c r="D2825" s="55" t="str">
        <x:v>—</x:v>
      </x:c>
      <x:c r="E2825" s="55" t="inlineStr">
        <x:is>
          <x:t>波斯劍裝錦囊（網站未列地圖）</x:t>
        </x:is>
      </x:c>
    </x:row>
    <x:row r="2826" ht="15" customHeight="1">
      <x:c r="A2826" s="55" t="str">
        <x:v>花剌腕甲</x:v>
      </x:c>
      <x:c r="B2826" s="55" t="str">
        <x:v>—</x:v>
      </x:c>
      <x:c r="C2826" s="55" t="str">
        <x:v>—</x:v>
      </x:c>
      <x:c r="D2826" s="55" t="str">
        <x:v>—</x:v>
      </x:c>
      <x:c r="E2826" s="55" t="inlineStr">
        <x:is>
          <x:t>波斯勇裝錦囊（網站未列地圖）；酷瘧蜥魔（獅堡軍事區、凱旋廣場、聖禱天廳）</x:t>
        </x:is>
      </x:c>
    </x:row>
    <x:row r="2827" ht="15" customHeight="1">
      <x:c r="A2827" s="55" t="str">
        <x:v>波斯鐵掌</x:v>
      </x:c>
      <x:c r="B2827" s="55" t="str">
        <x:v>—</x:v>
      </x:c>
      <x:c r="C2827" s="55" t="str">
        <x:v>—</x:v>
      </x:c>
      <x:c r="D2827" s="55" t="str">
        <x:v>—</x:v>
      </x:c>
      <x:c r="E2827" s="55" t="inlineStr">
        <x:is>
          <x:t>波斯術裝錦囊（網站未列地圖）</x:t>
        </x:is>
      </x:c>
    </x:row>
    <x:row r="2828" ht="15" customHeight="1">
      <x:c r="A2828" s="55" t="str">
        <x:v>薩珊法腕</x:v>
      </x:c>
      <x:c r="B2828" s="55" t="str">
        <x:v>—</x:v>
      </x:c>
      <x:c r="C2828" s="55" t="str">
        <x:v>—</x:v>
      </x:c>
      <x:c r="D2828" s="55" t="str">
        <x:v>—</x:v>
      </x:c>
      <x:c r="E2828" s="55" t="inlineStr">
        <x:is>
          <x:t>波斯道裝錦囊（網站未列地圖）；賦文臣（登龍道、凌風修境、繚空碎島）</x:t>
        </x:is>
      </x:c>
    </x:row>
    <x:row r="2829" ht="15" customHeight="1">
      <x:c r="A2829" s="55" t="str">
        <x:v>兩河禪腕</x:v>
      </x:c>
      <x:c r="B2829" s="55" t="str">
        <x:v>—</x:v>
      </x:c>
      <x:c r="C2829" s="55" t="str">
        <x:v>—</x:v>
      </x:c>
      <x:c r="D2829" s="55" t="str">
        <x:v>—</x:v>
      </x:c>
      <x:c r="E2829" s="55" t="inlineStr">
        <x:is>
          <x:t>波斯僧裝錦囊（網站未列地圖）；豬痴妖（登龍道、凌風修境、繚空碎島）</x:t>
        </x:is>
      </x:c>
    </x:row>
    <x:row r="2830" ht="15" customHeight="1">
      <x:c r="A2830" s="55" t="str">
        <x:v>天揚銳手</x:v>
      </x:c>
      <x:c r="B2830" s="55" t="str">
        <x:v>—</x:v>
      </x:c>
      <x:c r="C2830" s="55" t="str">
        <x:v>—</x:v>
      </x:c>
      <x:c r="D2830" s="55" t="str">
        <x:v>—</x:v>
      </x:c>
      <x:c r="E2830" s="55" t="inlineStr">
        <x:is>
          <x:t>驍武劍裝錦囊（網站未列地圖）</x:t>
        </x:is>
      </x:c>
    </x:row>
    <x:row r="2831" ht="15" customHeight="1">
      <x:c r="A2831" s="55" t="str">
        <x:v>鎢銀肘甲</x:v>
      </x:c>
      <x:c r="B2831" s="55" t="str">
        <x:v>—</x:v>
      </x:c>
      <x:c r="C2831" s="55" t="str">
        <x:v>—</x:v>
      </x:c>
      <x:c r="D2831" s="55" t="str">
        <x:v>—</x:v>
      </x:c>
      <x:c r="E2831" s="55" t="inlineStr">
        <x:is>
          <x:t>驍武勇裝錦囊（網站未列地圖）</x:t>
        </x:is>
      </x:c>
    </x:row>
    <x:row r="2832" ht="15" customHeight="1">
      <x:c r="A2832" s="55" t="str">
        <x:v>逐浪鱗腕</x:v>
      </x:c>
      <x:c r="B2832" s="55" t="str">
        <x:v>—</x:v>
      </x:c>
      <x:c r="C2832" s="55" t="str">
        <x:v>—</x:v>
      </x:c>
      <x:c r="D2832" s="55" t="str">
        <x:v>—</x:v>
      </x:c>
      <x:c r="E2832" s="55" t="inlineStr">
        <x:is>
          <x:t>驍武術裝錦囊（網站未列地圖）</x:t>
        </x:is>
      </x:c>
    </x:row>
    <x:row r="2833" ht="15" customHeight="1">
      <x:c r="A2833" s="55" t="str">
        <x:v>星儀流腕</x:v>
      </x:c>
      <x:c r="B2833" s="55" t="str">
        <x:v>—</x:v>
      </x:c>
      <x:c r="C2833" s="55" t="str">
        <x:v>—</x:v>
      </x:c>
      <x:c r="D2833" s="55" t="str">
        <x:v>—</x:v>
      </x:c>
      <x:c r="E2833" s="55" t="inlineStr">
        <x:is>
          <x:t>驍武道裝錦囊（網站未列地圖）</x:t>
        </x:is>
      </x:c>
    </x:row>
    <x:row r="2834" ht="15" customHeight="1">
      <x:c r="A2834" s="55" t="str">
        <x:v>智法禪腕</x:v>
      </x:c>
      <x:c r="B2834" s="55" t="str">
        <x:v>—</x:v>
      </x:c>
      <x:c r="C2834" s="55" t="str">
        <x:v>—</x:v>
      </x:c>
      <x:c r="D2834" s="55" t="str">
        <x:v>—</x:v>
      </x:c>
      <x:c r="E2834" s="55" t="inlineStr">
        <x:is>
          <x:t>驍武僧裝錦囊（網站未列地圖）；神水領主（聖禱天廳）</x:t>
        </x:is>
      </x:c>
    </x:row>
    <x:row r="2835" ht="30" customHeight="1">
      <x:c r="A2835" s="55" t="str">
        <x:v>銀宇幻虹腕</x:v>
      </x:c>
      <x:c r="B2835" s="55" t="str">
        <x:v>—</x:v>
      </x:c>
      <x:c r="C2835" s="55" t="str">
        <x:v>—</x:v>
      </x:c>
      <x:c r="D2835" s="55" t="str">
        <x:v>天宇護腕配方</x:v>
      </x:c>
      <x:c r="E2835" s="55" t="inlineStr">
        <x:is>
          <x:t>宇宙神裝錦囊（網站未列地圖）；新‧玄冑之核（網站未列地圖）；玄冑之核（網站未列地圖）；飲歲羅蛟（青龍東殿）</x:t>
        </x:is>
      </x:c>
    </x:row>
    <x:row r="2836" ht="30" customHeight="1">
      <x:c r="A2836" s="55" t="str">
        <x:v>素盞鳴腕‧帝</x:v>
      </x:c>
      <x:c r="B2836" s="55" t="str">
        <x:v>—</x:v>
      </x:c>
      <x:c r="C2836" s="55" t="str">
        <x:v>—</x:v>
      </x:c>
      <x:c r="D2836" s="55" t="str">
        <x:v>東瀛帝腕配方</x:v>
      </x:c>
      <x:c r="E2836" s="55" t="inlineStr">
        <x:is>
          <x:t>東瀛帝甲錦囊（網站未列地圖）；新‧玄冑之核（網站未列地圖）；八荒碧龍麟（青龍東殿）；國破兇卒（終末之塔第87層、終末之塔第88層）</x:t>
        </x:is>
      </x:c>
    </x:row>
    <x:row r="2837" ht="15" customHeight="1">
      <x:c r="A2837" s="55" t="str">
        <x:v>圓桌護手</x:v>
      </x:c>
      <x:c r="B2837" s="55" t="str">
        <x:v>—</x:v>
      </x:c>
      <x:c r="C2837" s="55" t="str">
        <x:v>—</x:v>
      </x:c>
      <x:c r="D2837" s="55" t="str">
        <x:v>—</x:v>
      </x:c>
      <x:c r="E2837" s="55" t="inlineStr">
        <x:is>
          <x:t>帝國劍裝錦囊（網站未列地圖）；巡天舞將（凌風修境、繚空碎島）</x:t>
        </x:is>
      </x:c>
    </x:row>
    <x:row r="2838" ht="15" customHeight="1">
      <x:c r="A2838" s="55" t="str">
        <x:v>獅王臂甲</x:v>
      </x:c>
      <x:c r="B2838" s="55" t="str">
        <x:v>—</x:v>
      </x:c>
      <x:c r="C2838" s="55" t="str">
        <x:v>—</x:v>
      </x:c>
      <x:c r="D2838" s="55" t="str">
        <x:v>—</x:v>
      </x:c>
      <x:c r="E2838" s="55" t="inlineStr">
        <x:is>
          <x:t>帝國勇裝錦囊（網站未列地圖）；九天神將（仙庭玉階、闕真金閣）；八界武軍（網站未列地圖）</x:t>
        </x:is>
      </x:c>
    </x:row>
    <x:row r="2839" ht="15" customHeight="1">
      <x:c r="A2839" s="55" t="str">
        <x:v>夜龍腕甲</x:v>
      </x:c>
      <x:c r="B2839" s="55" t="str">
        <x:v>—</x:v>
      </x:c>
      <x:c r="C2839" s="55" t="str">
        <x:v>—</x:v>
      </x:c>
      <x:c r="D2839" s="55" t="str">
        <x:v>—</x:v>
      </x:c>
      <x:c r="E2839" s="55" t="inlineStr">
        <x:is>
          <x:t>帝國術裝錦囊（網站未列地圖）；靨羽蝶后（仙庭玉階、闕真金閣）；墨心神蝶（網站未列地圖）</x:t>
        </x:is>
      </x:c>
    </x:row>
    <x:row r="2840" ht="15" customHeight="1">
      <x:c r="A2840" s="55" t="str">
        <x:v>沐聖道腕</x:v>
      </x:c>
      <x:c r="B2840" s="55" t="str">
        <x:v>—</x:v>
      </x:c>
      <x:c r="C2840" s="55" t="str">
        <x:v>—</x:v>
      </x:c>
      <x:c r="D2840" s="55" t="str">
        <x:v>—</x:v>
      </x:c>
      <x:c r="E2840" s="55" t="inlineStr">
        <x:is>
          <x:t>帝國道裝錦囊（網站未列地圖）</x:t>
        </x:is>
      </x:c>
    </x:row>
    <x:row r="2841" ht="15" customHeight="1">
      <x:c r="A2841" s="55" t="str">
        <x:v>典儀禪腕</x:v>
      </x:c>
      <x:c r="B2841" s="55" t="str">
        <x:v>—</x:v>
      </x:c>
      <x:c r="C2841" s="55" t="str">
        <x:v>—</x:v>
      </x:c>
      <x:c r="D2841" s="55" t="str">
        <x:v>—</x:v>
      </x:c>
      <x:c r="E2841" s="55" t="inlineStr">
        <x:is>
          <x:t>帝國僧裝錦囊（網站未列地圖）</x:t>
        </x:is>
      </x:c>
    </x:row>
    <x:row r="2842" ht="15" customHeight="1">
      <x:c r="A2842" s="55" t="str">
        <x:v>龍閣護手</x:v>
      </x:c>
      <x:c r="B2842" s="55" t="str">
        <x:v>—</x:v>
      </x:c>
      <x:c r="C2842" s="55" t="str">
        <x:v>—</x:v>
      </x:c>
      <x:c r="D2842" s="55" t="str">
        <x:v>—</x:v>
      </x:c>
      <x:c r="E2842" s="55" t="inlineStr">
        <x:is>
          <x:t>歐帝劍裝錦囊（網站未列地圖）</x:t>
        </x:is>
      </x:c>
    </x:row>
    <x:row r="2843" ht="15" customHeight="1">
      <x:c r="A2843" s="55" t="str">
        <x:v>聖皇臂甲</x:v>
      </x:c>
      <x:c r="B2843" s="55" t="str">
        <x:v>—</x:v>
      </x:c>
      <x:c r="C2843" s="55" t="str">
        <x:v>—</x:v>
      </x:c>
      <x:c r="D2843" s="55" t="str">
        <x:v>—</x:v>
      </x:c>
      <x:c r="E2843" s="55" t="inlineStr">
        <x:is>
          <x:t>歐帝勇裝錦囊（網站未列地圖）</x:t>
        </x:is>
      </x:c>
    </x:row>
    <x:row r="2844" ht="15" customHeight="1">
      <x:c r="A2844" s="55" t="str">
        <x:v>魔滅護爪</x:v>
      </x:c>
      <x:c r="B2844" s="55" t="str">
        <x:v>—</x:v>
      </x:c>
      <x:c r="C2844" s="55" t="str">
        <x:v>—</x:v>
      </x:c>
      <x:c r="D2844" s="55" t="str">
        <x:v>—</x:v>
      </x:c>
      <x:c r="E2844" s="55" t="inlineStr">
        <x:is>
          <x:t>歐帝術裝錦囊（網站未列地圖）</x:t>
        </x:is>
      </x:c>
    </x:row>
    <x:row r="2845" ht="15" customHeight="1">
      <x:c r="A2845" s="55" t="str">
        <x:v>聖庇道腕</x:v>
      </x:c>
      <x:c r="B2845" s="55" t="str">
        <x:v>—</x:v>
      </x:c>
      <x:c r="C2845" s="55" t="str">
        <x:v>—</x:v>
      </x:c>
      <x:c r="D2845" s="55" t="str">
        <x:v>—</x:v>
      </x:c>
      <x:c r="E2845" s="55" t="inlineStr">
        <x:is>
          <x:t>歐帝道裝錦囊（網站未列地圖）</x:t>
        </x:is>
      </x:c>
    </x:row>
    <x:row r="2846" ht="15" customHeight="1">
      <x:c r="A2846" s="55" t="str">
        <x:v>天導禪腕</x:v>
      </x:c>
      <x:c r="B2846" s="55" t="str">
        <x:v>—</x:v>
      </x:c>
      <x:c r="C2846" s="55" t="str">
        <x:v>—</x:v>
      </x:c>
      <x:c r="D2846" s="55" t="str">
        <x:v>—</x:v>
      </x:c>
      <x:c r="E2846" s="55" t="inlineStr">
        <x:is>
          <x:t>歐帝僧裝錦囊（網站未列地圖）</x:t>
        </x:is>
      </x:c>
    </x:row>
    <x:row r="2847" ht="30" customHeight="1">
      <x:c r="A2847" s="55" t="str">
        <x:v>銀宇真幻虹腕</x:v>
      </x:c>
      <x:c r="B2847" s="55" t="str">
        <x:v>—</x:v>
      </x:c>
      <x:c r="C2847" s="55" t="str">
        <x:v>—</x:v>
      </x:c>
      <x:c r="D2847" s="55" t="str">
        <x:v>—</x:v>
      </x:c>
      <x:c r="E2847" s="55" t="inlineStr">
        <x:is>
          <x:t>真‧宇宙神裝錦囊（網站未列地圖）；新‧玄冑之核（網站未列地圖）；怨咒靈車（終末之塔第95層、終末之塔第96層）；索貝克（荷魯斯聖祠）</x:t>
        </x:is>
      </x:c>
    </x:row>
    <x:row r="2848" ht="15" customHeight="1">
      <x:c r="A2848" s="55" t="str">
        <x:v>劍宗御護腕</x:v>
      </x:c>
      <x:c r="B2848" s="55" t="str">
        <x:v>—</x:v>
      </x:c>
      <x:c r="C2848" s="55" t="str">
        <x:v>—</x:v>
      </x:c>
      <x:c r="D2848" s="55" t="str">
        <x:v>—</x:v>
      </x:c>
      <x:c r="E2848" s="55" t="inlineStr">
        <x:is>
          <x:t>仙宗劍裝錦囊（網站未列地圖）；仙宗護具禮盒（網站未列地圖）</x:t>
        </x:is>
      </x:c>
    </x:row>
    <x:row r="2849" ht="15" customHeight="1">
      <x:c r="A2849" s="55" t="str">
        <x:v>武宗尊勇臂</x:v>
      </x:c>
      <x:c r="B2849" s="55" t="str">
        <x:v>—</x:v>
      </x:c>
      <x:c r="C2849" s="55" t="str">
        <x:v>—</x:v>
      </x:c>
      <x:c r="D2849" s="55" t="str">
        <x:v>—</x:v>
      </x:c>
      <x:c r="E2849" s="55" t="inlineStr">
        <x:is>
          <x:t>仙宗勇裝錦囊（網站未列地圖）；仙宗護具禮盒（網站未列地圖）</x:t>
        </x:is>
      </x:c>
    </x:row>
    <x:row r="2850" ht="15" customHeight="1">
      <x:c r="A2850" s="55" t="str">
        <x:v>術宗雲飛手</x:v>
      </x:c>
      <x:c r="B2850" s="55" t="str">
        <x:v>—</x:v>
      </x:c>
      <x:c r="C2850" s="55" t="str">
        <x:v>—</x:v>
      </x:c>
      <x:c r="D2850" s="55" t="str">
        <x:v>—</x:v>
      </x:c>
      <x:c r="E2850" s="55" t="inlineStr">
        <x:is>
          <x:t>仙宗術裝錦囊（網站未列地圖）；仙宗護具禮盒（網站未列地圖）</x:t>
        </x:is>
      </x:c>
    </x:row>
    <x:row r="2851" ht="15" customHeight="1">
      <x:c r="A2851" s="55" t="str">
        <x:v>道宗太幻腕</x:v>
      </x:c>
      <x:c r="B2851" s="55" t="str">
        <x:v>—</x:v>
      </x:c>
      <x:c r="C2851" s="55" t="str">
        <x:v>—</x:v>
      </x:c>
      <x:c r="D2851" s="55" t="str">
        <x:v>—</x:v>
      </x:c>
      <x:c r="E2851" s="55" t="inlineStr">
        <x:is>
          <x:t>仙宗道裝錦囊（網站未列地圖）；仙宗護具禮盒（網站未列地圖）</x:t>
        </x:is>
      </x:c>
    </x:row>
    <x:row r="2852" ht="15" customHeight="1">
      <x:c r="A2852" s="55" t="str">
        <x:v>禪宗妙法腕</x:v>
      </x:c>
      <x:c r="B2852" s="55" t="str">
        <x:v>—</x:v>
      </x:c>
      <x:c r="C2852" s="55" t="str">
        <x:v>—</x:v>
      </x:c>
      <x:c r="D2852" s="55" t="str">
        <x:v>—</x:v>
      </x:c>
      <x:c r="E2852" s="55" t="inlineStr">
        <x:is>
          <x:t>仙宗僧裝錦囊（網站未列地圖）；仙宗護具禮盒（網站未列地圖）</x:t>
        </x:is>
      </x:c>
    </x:row>
    <x:row r="2853" ht="15" customHeight="1">
      <x:c r="A2853" s="55" t="str">
        <x:v>飛仙雲腕</x:v>
      </x:c>
      <x:c r="B2853" s="55" t="str">
        <x:v>—</x:v>
      </x:c>
      <x:c r="C2853" s="55" t="str">
        <x:v>—</x:v>
      </x:c>
      <x:c r="D2853" s="55" t="str">
        <x:v>—</x:v>
      </x:c>
      <x:c r="E2853" s="55" t="inlineStr">
        <x:is>
          <x:t>九天劍裝錦囊（網站未列地圖）；混沌（闕真金閣）</x:t>
        </x:is>
      </x:c>
    </x:row>
    <x:row r="2854" ht="15" customHeight="1">
      <x:c r="A2854" s="55" t="str">
        <x:v>泰山巨臂</x:v>
      </x:c>
      <x:c r="B2854" s="55" t="str">
        <x:v>—</x:v>
      </x:c>
      <x:c r="C2854" s="55" t="str">
        <x:v>—</x:v>
      </x:c>
      <x:c r="D2854" s="55" t="str">
        <x:v>—</x:v>
      </x:c>
      <x:c r="E2854" s="55" t="inlineStr">
        <x:is>
          <x:t>九天勇裝錦囊（網站未列地圖）；穹天千戶（天啟八關）</x:t>
        </x:is>
      </x:c>
    </x:row>
    <x:row r="2855" ht="30" customHeight="1">
      <x:c r="A2855" s="55" t="str">
        <x:v>天蝶靈手</x:v>
      </x:c>
      <x:c r="B2855" s="55" t="str">
        <x:v>—</x:v>
      </x:c>
      <x:c r="C2855" s="55" t="str">
        <x:v>—</x:v>
      </x:c>
      <x:c r="D2855" s="55" t="str">
        <x:v>—</x:v>
      </x:c>
      <x:c r="E2855" s="55" t="inlineStr">
        <x:is>
          <x:t>九天術裝錦囊（網站未列地圖）；連雲精衛（天啟八關）；天海神蛟（仙庭玉階、闕真金閣）；紫雷蠻蛟（網站未列地圖）</x:t>
        </x:is>
      </x:c>
    </x:row>
    <x:row r="2856" ht="15" customHeight="1">
      <x:c r="A2856" s="55" t="str">
        <x:v>重陽道腕</x:v>
      </x:c>
      <x:c r="B2856" s="55" t="str">
        <x:v>—</x:v>
      </x:c>
      <x:c r="C2856" s="55" t="str">
        <x:v>—</x:v>
      </x:c>
      <x:c r="D2856" s="55" t="str">
        <x:v>—</x:v>
      </x:c>
      <x:c r="E2856" s="55" t="inlineStr">
        <x:is>
          <x:t>九天道裝錦囊（網站未列地圖）</x:t>
        </x:is>
      </x:c>
    </x:row>
    <x:row r="2857" ht="15" customHeight="1">
      <x:c r="A2857" s="55" t="str">
        <x:v>樓至佛腕</x:v>
      </x:c>
      <x:c r="B2857" s="55" t="str">
        <x:v>—</x:v>
      </x:c>
      <x:c r="C2857" s="55" t="str">
        <x:v>—</x:v>
      </x:c>
      <x:c r="D2857" s="55" t="str">
        <x:v>—</x:v>
      </x:c>
      <x:c r="E2857" s="55" t="inlineStr">
        <x:is>
          <x:t>九天僧裝錦囊（網站未列地圖）；肅狄夷公（天啟八關）；挪宇大風神（闕真金閣）；嘯風天尊（網站未列地圖）</x:t>
        </x:is>
      </x:c>
    </x:row>
    <x:row r="2858" ht="15" customHeight="1">
      <x:c r="A2858" s="55" t="str">
        <x:v>剎霆之手</x:v>
      </x:c>
      <x:c r="B2858" s="55" t="str">
        <x:v>—</x:v>
      </x:c>
      <x:c r="C2858" s="55" t="str">
        <x:v>—</x:v>
      </x:c>
      <x:c r="D2858" s="55" t="str">
        <x:v>—</x:v>
      </x:c>
      <x:c r="E2858" s="55" t="inlineStr">
        <x:is>
          <x:t>仙庭劍裝錦囊（網站未列地圖）；電影疾鷹（紫雷轟原）</x:t>
        </x:is>
      </x:c>
    </x:row>
    <x:row r="2859" ht="15" customHeight="1">
      <x:c r="A2859" s="55" t="str">
        <x:v>英霸鋼臂</x:v>
      </x:c>
      <x:c r="B2859" s="55" t="str">
        <x:v>—</x:v>
      </x:c>
      <x:c r="C2859" s="55" t="str">
        <x:v>—</x:v>
      </x:c>
      <x:c r="D2859" s="55" t="str">
        <x:v>—</x:v>
      </x:c>
      <x:c r="E2859" s="55" t="inlineStr">
        <x:is>
          <x:t>仙庭勇裝錦囊（網站未列地圖）；太古戰俑（紫雷轟原）</x:t>
        </x:is>
      </x:c>
    </x:row>
    <x:row r="2860" ht="15" customHeight="1">
      <x:c r="A2860" s="55" t="str">
        <x:v>燕霑護手</x:v>
      </x:c>
      <x:c r="B2860" s="55" t="str">
        <x:v>—</x:v>
      </x:c>
      <x:c r="C2860" s="55" t="str">
        <x:v>—</x:v>
      </x:c>
      <x:c r="D2860" s="55" t="str">
        <x:v>—</x:v>
      </x:c>
      <x:c r="E2860" s="55" t="inlineStr">
        <x:is>
          <x:t>仙庭術裝錦囊（網站未列地圖）</x:t>
        </x:is>
      </x:c>
    </x:row>
    <x:row r="2861" ht="15" customHeight="1">
      <x:c r="A2861" s="55" t="str">
        <x:v>渺霧道腕</x:v>
      </x:c>
      <x:c r="B2861" s="55" t="str">
        <x:v>—</x:v>
      </x:c>
      <x:c r="C2861" s="55" t="str">
        <x:v>—</x:v>
      </x:c>
      <x:c r="D2861" s="55" t="str">
        <x:v>—</x:v>
      </x:c>
      <x:c r="E2861" s="55" t="inlineStr">
        <x:is>
          <x:t>仙庭道裝錦囊（網站未列地圖）</x:t>
        </x:is>
      </x:c>
    </x:row>
    <x:row r="2862" ht="15" customHeight="1">
      <x:c r="A2862" s="55" t="str">
        <x:v>祈霖佛腕</x:v>
      </x:c>
      <x:c r="B2862" s="55" t="str">
        <x:v>—</x:v>
      </x:c>
      <x:c r="C2862" s="55" t="str">
        <x:v>—</x:v>
      </x:c>
      <x:c r="D2862" s="55" t="str">
        <x:v>—</x:v>
      </x:c>
      <x:c r="E2862" s="55" t="inlineStr">
        <x:is>
          <x:t>仙庭僧裝錦囊（網站未列地圖）；虎台白吼（四聖祭台）</x:t>
        </x:is>
      </x:c>
    </x:row>
    <x:row r="2863" ht="15" customHeight="1">
      <x:c r="A2863" s="55" t="str">
        <x:v>檮杌空滅手</x:v>
      </x:c>
      <x:c r="B2863" s="55" t="str">
        <x:v>—</x:v>
      </x:c>
      <x:c r="C2863" s="55" t="str">
        <x:v>—</x:v>
      </x:c>
      <x:c r="D2863" s="55" t="str">
        <x:v>四兇滅腕配方</x:v>
      </x:c>
      <x:c r="E2863" s="55" t="inlineStr">
        <x:is>
          <x:t>四兇霸裝錦囊（網站未列地圖）</x:t>
        </x:is>
      </x:c>
    </x:row>
    <x:row r="2864" ht="30" customHeight="1">
      <x:c r="A2864" s="55" t="str">
        <x:v>素盞鳴腕‧終</x:v>
      </x:c>
      <x:c r="B2864" s="55" t="str">
        <x:v>—</x:v>
      </x:c>
      <x:c r="C2864" s="55" t="str">
        <x:v>—</x:v>
      </x:c>
      <x:c r="D2864" s="55" t="str">
        <x:v>東瀛終腕配方</x:v>
      </x:c>
      <x:c r="E2864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2865" ht="30" customHeight="1">
      <x:c r="A2865" s="55" t="str">
        <x:v>天鍛‧劍聖腕</x:v>
      </x:c>
      <x:c r="B2865" s="55" t="str">
        <x:v>—</x:v>
      </x:c>
      <x:c r="C2865" s="55" t="str">
        <x:v>—</x:v>
      </x:c>
      <x:c r="D2865" s="55" t="str">
        <x:v>—</x:v>
      </x:c>
      <x:c r="E2865" s="55" t="inlineStr">
        <x:is>
          <x:t>無限劍裝錦囊（網站未列地圖）；怒疆霸龍（青龍東殿）；疲憊的阿修羅戰士（異時界‧亂藤林東）；舞墓白獅（異時界‧亂藤林西）</x:t>
        </x:is>
      </x:c>
    </x:row>
    <x:row r="2866" ht="15" customHeight="1">
      <x:c r="A2866" s="55" t="str">
        <x:v>天鍛‧武尊臂</x:v>
      </x:c>
      <x:c r="B2866" s="55" t="str">
        <x:v>—</x:v>
      </x:c>
      <x:c r="C2866" s="55" t="str">
        <x:v>—</x:v>
      </x:c>
      <x:c r="D2866" s="55" t="str">
        <x:v>—</x:v>
      </x:c>
      <x:c r="E2866" s="55" t="inlineStr">
        <x:is>
          <x:t>無限勇裝錦囊（網站未列地圖）；破日鬥龍（青龍東殿）；疲憊的夸父戰士（異時界‧亂藤林東）</x:t>
        </x:is>
      </x:c>
    </x:row>
    <x:row r="2867" ht="30" customHeight="1">
      <x:c r="A2867" s="55" t="str">
        <x:v>天鍛‧術幻指</x:v>
      </x:c>
      <x:c r="B2867" s="55" t="str">
        <x:v>—</x:v>
      </x:c>
      <x:c r="C2867" s="55" t="str">
        <x:v>—</x:v>
      </x:c>
      <x:c r="D2867" s="55" t="str">
        <x:v>—</x:v>
      </x:c>
      <x:c r="E2867" s="55" t="inlineStr">
        <x:is>
          <x:t>無限術裝錦囊（網站未列地圖）；雷海神蛟（青龍東殿）；綠林蜥蜴（異時界‧亂藤林南）；疲憊的鷹族戰士（異時界‧亂藤林東）</x:t>
        </x:is>
      </x:c>
    </x:row>
    <x:row r="2868" ht="15" customHeight="1">
      <x:c r="A2868" s="55" t="str">
        <x:v>天鍛‧道輝手</x:v>
      </x:c>
      <x:c r="B2868" s="55" t="str">
        <x:v>—</x:v>
      </x:c>
      <x:c r="C2868" s="55" t="str">
        <x:v>—</x:v>
      </x:c>
      <x:c r="D2868" s="55" t="str">
        <x:v>—</x:v>
      </x:c>
      <x:c r="E2868" s="55" t="inlineStr">
        <x:is>
          <x:t>無限道裝錦囊（網站未列地圖）；拂雲崩龍（青龍東殿）；造殺判官（異時界‧亂藤林西）</x:t>
        </x:is>
      </x:c>
    </x:row>
    <x:row r="2869" ht="30" customHeight="1">
      <x:c r="A2869" s="55" t="str">
        <x:v>天鍛‧禪光握</x:v>
      </x:c>
      <x:c r="B2869" s="55" t="str">
        <x:v>—</x:v>
      </x:c>
      <x:c r="C2869" s="55" t="str">
        <x:v>—</x:v>
      </x:c>
      <x:c r="D2869" s="55" t="str">
        <x:v>—</x:v>
      </x:c>
      <x:c r="E2869" s="55" t="inlineStr">
        <x:is>
          <x:t>無限僧裝錦囊（網站未列地圖）；東天龍人（青龍東殿）；大黑豹（異時界‧亂藤林南）；烈火蜈蚣（異時界‧亂藤林南）</x:t>
        </x:is>
      </x:c>
    </x:row>
    <x:row r="2870" ht="15" customHeight="1">
      <x:c r="A2870" s="55" t="str">
        <x:v>天鍛‧檮杌手</x:v>
      </x:c>
      <x:c r="B2870" s="55" t="str">
        <x:v>—</x:v>
      </x:c>
      <x:c r="C2870" s="55" t="str">
        <x:v>—</x:v>
      </x:c>
      <x:c r="D2870" s="55" t="str">
        <x:v>四兇無限腕配方</x:v>
      </x:c>
      <x:c r="E2870" s="55" t="inlineStr">
        <x:is>
          <x:t>無限四兇霸裝錦囊（網站未列地圖）；天俠特仕裝箱（網站未列地圖）</x:t>
        </x:is>
      </x:c>
    </x:row>
    <x:row r="2871" ht="15" customHeight="1">
      <x:c r="A2871" s="55" t="str">
        <x:v>天鍛‧素鳴腕</x:v>
      </x:c>
      <x:c r="B2871" s="55" t="str">
        <x:v>—</x:v>
      </x:c>
      <x:c r="C2871" s="55" t="str">
        <x:v>—</x:v>
      </x:c>
      <x:c r="D2871" s="55" t="str">
        <x:v>東瀛無限腕配方</x:v>
      </x:c>
      <x:c r="E2871" s="55" t="inlineStr">
        <x:is>
          <x:t>無限東瀛神裝錦囊（網站未列地圖）；天俠特仕裝箱（網站未列地圖）</x:t>
        </x:is>
      </x:c>
    </x:row>
    <x:row r="2872" ht="15" customHeight="1">
      <x:c r="A2872" s="55" t="str">
        <x:v>仙鑄‧劍聖腕</x:v>
      </x:c>
      <x:c r="B2872" s="55" t="str">
        <x:v>—</x:v>
      </x:c>
      <x:c r="C2872" s="55" t="str">
        <x:v>—</x:v>
      </x:c>
      <x:c r="D2872" s="55" t="str">
        <x:v>—</x:v>
      </x:c>
      <x:c r="E2872" s="55" t="inlineStr">
        <x:is>
          <x:t>大無限劍裝錦囊（網站未列地圖）；鷹翅天衛（異時界‧修羅窟）；百眼巫妖（異時界‧修羅窟）</x:t>
        </x:is>
      </x:c>
    </x:row>
    <x:row r="2873" ht="15" customHeight="1">
      <x:c r="A2873" s="55" t="str">
        <x:v>仙鑄‧武尊臂</x:v>
      </x:c>
      <x:c r="B2873" s="55" t="str">
        <x:v>—</x:v>
      </x:c>
      <x:c r="C2873" s="55" t="str">
        <x:v>—</x:v>
      </x:c>
      <x:c r="D2873" s="55" t="str">
        <x:v>—</x:v>
      </x:c>
      <x:c r="E2873" s="55" t="inlineStr">
        <x:is>
          <x:t>大無限勇裝錦囊（網站未列地圖）；沼巨蟒（異時界‧葬日沼南）；巨靈魔侍（異時界‧葬日沼南）</x:t>
        </x:is>
      </x:c>
    </x:row>
    <x:row r="2874" ht="15" customHeight="1">
      <x:c r="A2874" s="55" t="str">
        <x:v>仙鑄‧術幻指</x:v>
      </x:c>
      <x:c r="B2874" s="55" t="str">
        <x:v>—</x:v>
      </x:c>
      <x:c r="C2874" s="55" t="str">
        <x:v>—</x:v>
      </x:c>
      <x:c r="D2874" s="55" t="str">
        <x:v>—</x:v>
      </x:c>
      <x:c r="E2874" s="55" t="inlineStr">
        <x:is>
          <x:t>大無限術裝錦囊（網站未列地圖）；毒嚙鱷（異時界‧毒龍潭）</x:t>
        </x:is>
      </x:c>
    </x:row>
    <x:row r="2875" ht="15" customHeight="1">
      <x:c r="A2875" s="55" t="str">
        <x:v>仙鑄‧道輝手</x:v>
      </x:c>
      <x:c r="B2875" s="55" t="str">
        <x:v>—</x:v>
      </x:c>
      <x:c r="C2875" s="55" t="str">
        <x:v>—</x:v>
      </x:c>
      <x:c r="D2875" s="55" t="str">
        <x:v>—</x:v>
      </x:c>
      <x:c r="E2875" s="55" t="inlineStr">
        <x:is>
          <x:t>大無限道裝錦囊（網站未列地圖）；濕婆軍強弓手（異時界‧葬日沼澤）</x:t>
        </x:is>
      </x:c>
    </x:row>
    <x:row r="2876" ht="15" customHeight="1">
      <x:c r="A2876" s="55" t="str">
        <x:v>仙鑄‧禪光握</x:v>
      </x:c>
      <x:c r="B2876" s="55" t="str">
        <x:v>—</x:v>
      </x:c>
      <x:c r="C2876" s="55" t="str">
        <x:v>—</x:v>
      </x:c>
      <x:c r="D2876" s="55" t="str">
        <x:v>—</x:v>
      </x:c>
      <x:c r="E2876" s="55" t="inlineStr">
        <x:is>
          <x:t>大無限僧裝錦囊（網站未列地圖）；亡邪血斧夜叉（異時界‧葬日沼北）；亡邪巨靈殭魔（異時界‧葬日沼北）</x:t>
        </x:is>
      </x:c>
    </x:row>
    <x:row r="2877" ht="30" customHeight="1">
      <x:c r="A2877" s="55" t="str">
        <x:v>仙鑄‧檮杌手</x:v>
      </x:c>
      <x:c r="B2877" s="55" t="str">
        <x:v>—</x:v>
      </x:c>
      <x:c r="C2877" s="55" t="str">
        <x:v>—</x:v>
      </x:c>
      <x:c r="D2877" s="55" t="str">
        <x:v>—</x:v>
      </x:c>
      <x:c r="E2877" s="55" t="inlineStr">
        <x:is>
          <x:t>真無限四兇霸裝箱（網站未列地圖）；真．天俠特仕裝箱（網站未列地圖）；綠后頂裝寶箱（網站未列地圖）；太古土魁‧強（殘雲天境）</x:t>
        </x:is>
      </x:c>
    </x:row>
    <x:row r="2878" ht="30" customHeight="1">
      <x:c r="A2878" s="55" t="str">
        <x:v>仙鑄‧素鳴腕</x:v>
      </x:c>
      <x:c r="B2878" s="55" t="str">
        <x:v>—</x:v>
      </x:c>
      <x:c r="C2878" s="55" t="str">
        <x:v>—</x:v>
      </x:c>
      <x:c r="D2878" s="55" t="str">
        <x:v>—</x:v>
      </x:c>
      <x:c r="E2878" s="55" t="inlineStr">
        <x:is>
          <x:t>真無限東瀛神裝箱（網站未列地圖）；真．天俠特仕裝箱（網站未列地圖）；綠后頂裝寶箱（網站未列地圖）；天命寶箱（網站未列地圖）；刑天殺王（異時界‧葬日沼南）；太古火尊‧強（殘雲天境）</x:t>
        </x:is>
      </x:c>
    </x:row>
    <x:row r="2879" ht="15" customHeight="1">
      <x:c r="A2879" s="55" t="str">
        <x:v>神煉‧劍聖腕</x:v>
      </x:c>
      <x:c r="B2879" s="55" t="str">
        <x:v>—</x:v>
      </x:c>
      <x:c r="C2879" s="55" t="str">
        <x:v>—</x:v>
      </x:c>
      <x:c r="D2879" s="55" t="str">
        <x:v>—</x:v>
      </x:c>
      <x:c r="E2879" s="55" t="inlineStr">
        <x:is>
          <x:t>超無限劍裝錦囊（網站未列地圖）；蒼狼‧強（殘雲天境）</x:t>
        </x:is>
      </x:c>
    </x:row>
    <x:row r="2880" ht="15" customHeight="1">
      <x:c r="A2880" s="55" t="str">
        <x:v>神煉‧武尊臂</x:v>
      </x:c>
      <x:c r="B2880" s="55" t="str">
        <x:v>—</x:v>
      </x:c>
      <x:c r="C2880" s="55" t="str">
        <x:v>—</x:v>
      </x:c>
      <x:c r="D2880" s="55" t="str">
        <x:v>—</x:v>
      </x:c>
      <x:c r="E2880" s="55" t="inlineStr">
        <x:is>
          <x:t>超無限勇裝錦囊（網站未列地圖）；太古土魁‧強（殘雲天境）</x:t>
        </x:is>
      </x:c>
    </x:row>
    <x:row r="2881" ht="15" customHeight="1">
      <x:c r="A2881" s="55" t="str">
        <x:v>神煉‧術幻指</x:v>
      </x:c>
      <x:c r="B2881" s="55" t="str">
        <x:v>—</x:v>
      </x:c>
      <x:c r="C2881" s="55" t="str">
        <x:v>—</x:v>
      </x:c>
      <x:c r="D2881" s="55" t="str">
        <x:v>—</x:v>
      </x:c>
      <x:c r="E2881" s="55" t="inlineStr">
        <x:is>
          <x:t>超無限術裝錦囊（網站未列地圖）；女邪蜘蛛‧強（殘雲天境）</x:t>
        </x:is>
      </x:c>
    </x:row>
    <x:row r="2882" ht="15" customHeight="1">
      <x:c r="A2882" s="55" t="str">
        <x:v>神煉‧道輝手</x:v>
      </x:c>
      <x:c r="B2882" s="55" t="str">
        <x:v>—</x:v>
      </x:c>
      <x:c r="C2882" s="55" t="str">
        <x:v>—</x:v>
      </x:c>
      <x:c r="D2882" s="55" t="str">
        <x:v>—</x:v>
      </x:c>
      <x:c r="E2882" s="55" t="inlineStr">
        <x:is>
          <x:t>超無限道裝錦囊（網站未列地圖）；空靈虛狐（時沒邊界）</x:t>
        </x:is>
      </x:c>
    </x:row>
    <x:row r="2883" ht="15" customHeight="1">
      <x:c r="A2883" s="55" t="str">
        <x:v>神煉‧禪光握</x:v>
      </x:c>
      <x:c r="B2883" s="55" t="str">
        <x:v>—</x:v>
      </x:c>
      <x:c r="C2883" s="55" t="str">
        <x:v>—</x:v>
      </x:c>
      <x:c r="D2883" s="55" t="str">
        <x:v>—</x:v>
      </x:c>
      <x:c r="E2883" s="55" t="inlineStr">
        <x:is>
          <x:t>超無限僧裝錦囊（網站未列地圖）；射命虛狸（網站未列地圖）；獵鷹‧強（殘雲天境）</x:t>
        </x:is>
      </x:c>
    </x:row>
    <x:row r="2884" ht="30" customHeight="1">
      <x:c r="A2884" s="55" t="str">
        <x:v>神煉‧檮杌手</x:v>
      </x:c>
      <x:c r="B2884" s="55" t="str">
        <x:v>—</x:v>
      </x:c>
      <x:c r="C2884" s="55" t="str">
        <x:v>—</x:v>
      </x:c>
      <x:c r="D2884" s="55" t="str">
        <x:v>—</x:v>
      </x:c>
      <x:c r="E2884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超無限四兇霸裝箱（網站未列地圖）；超．天俠特仕裝箱（網站未列地圖）；三之極限福袋（網站未列地圖）；天命逆轉寶箱（網站未列地圖）；真天命逆轉寶箱（網站未列地圖）；鎮土鬼偶（音無晶宇）</x:t>
        </x:is>
      </x:c>
    </x:row>
    <x:row r="2885" ht="30" customHeight="1">
      <x:c r="A2885" s="55" t="str">
        <x:v>神煉‧素鳴腕</x:v>
      </x:c>
      <x:c r="B2885" s="55" t="str">
        <x:v>—</x:v>
      </x:c>
      <x:c r="C2885" s="55" t="str">
        <x:v>—</x:v>
      </x:c>
      <x:c r="D2885" s="55" t="str">
        <x:v>—</x:v>
      </x:c>
      <x:c r="E2885" s="55" t="inlineStr">
        <x:is>
          <x:t>超無限東瀛神裝箱（網站未列地圖）；超．天俠特仕裝箱（網站未列地圖）；三之極限福袋（網站未列地圖）；天意寶箱（網站未列地圖）；沒日夸父（觀無巽宇）</x:t>
        </x:is>
      </x:c>
    </x:row>
    <x:row r="2886" ht="15" customHeight="1">
      <x:c r="A2886" s="55" t="str">
        <x:v>宇傲‧劍聖腕</x:v>
      </x:c>
      <x:c r="B2886" s="55" t="str">
        <x:v>—</x:v>
      </x:c>
      <x:c r="C2886" s="55" t="str">
        <x:v>—</x:v>
      </x:c>
      <x:c r="D2886" s="55" t="str">
        <x:v>—</x:v>
      </x:c>
      <x:c r="E2886" s="55" t="inlineStr">
        <x:is>
          <x:t>極無限劍裝錦囊（網站未列地圖）；廢土犁者（覺無洋宇）；陌形劍者（時沒邊界）</x:t>
        </x:is>
      </x:c>
    </x:row>
    <x:row r="2887" ht="15" customHeight="1">
      <x:c r="A2887" s="55" t="str">
        <x:v>宇傲‧武尊臂</x:v>
      </x:c>
      <x:c r="B2887" s="55" t="str">
        <x:v>—</x:v>
      </x:c>
      <x:c r="C2887" s="55" t="str">
        <x:v>—</x:v>
      </x:c>
      <x:c r="D2887" s="55" t="str">
        <x:v>—</x:v>
      </x:c>
      <x:c r="E2887" s="55" t="inlineStr">
        <x:is>
          <x:t>極無限勇裝錦囊（網站未列地圖）；降禍邪孽（覺無洋宇）；陌形武宗（時沒邊界）</x:t>
        </x:is>
      </x:c>
    </x:row>
    <x:row r="2888" ht="15" customHeight="1">
      <x:c r="A2888" s="55" t="str">
        <x:v>宇傲‧術幻指</x:v>
      </x:c>
      <x:c r="B2888" s="55" t="str">
        <x:v>—</x:v>
      </x:c>
      <x:c r="C2888" s="55" t="str">
        <x:v>—</x:v>
      </x:c>
      <x:c r="D2888" s="55" t="str">
        <x:v>—</x:v>
      </x:c>
      <x:c r="E2888" s="55" t="inlineStr">
        <x:is>
          <x:t>極無限術裝錦囊（網站未列地圖）；釧刀鼬（覺無洋宇）；陌形雷手（時沒邊界）</x:t>
        </x:is>
      </x:c>
    </x:row>
    <x:row r="2889" ht="15" customHeight="1">
      <x:c r="A2889" s="55" t="str">
        <x:v>宇傲‧道輝手</x:v>
      </x:c>
      <x:c r="B2889" s="55" t="str">
        <x:v>—</x:v>
      </x:c>
      <x:c r="C2889" s="55" t="str">
        <x:v>—</x:v>
      </x:c>
      <x:c r="D2889" s="55" t="str">
        <x:v>—</x:v>
      </x:c>
      <x:c r="E2889" s="55" t="inlineStr">
        <x:is>
          <x:t>極無限道裝錦囊（網站未列地圖）；虛遊之魂（觀無巽宇）；陌形隱道（時沒邊界）</x:t>
        </x:is>
      </x:c>
    </x:row>
    <x:row r="2890" ht="15" customHeight="1">
      <x:c r="A2890" s="55" t="str">
        <x:v>宇傲‧禪光握</x:v>
      </x:c>
      <x:c r="B2890" s="55" t="str">
        <x:v>—</x:v>
      </x:c>
      <x:c r="C2890" s="55" t="str">
        <x:v>—</x:v>
      </x:c>
      <x:c r="D2890" s="55" t="str">
        <x:v>—</x:v>
      </x:c>
      <x:c r="E2890" s="55" t="inlineStr">
        <x:is>
          <x:t>極無限僧裝錦囊（網站未列地圖）；百變蛇魅（覺無洋宇）；陌形幻僧（時沒邊界）</x:t>
        </x:is>
      </x:c>
    </x:row>
    <x:row r="2891" ht="30" customHeight="1">
      <x:c r="A2891" s="55" t="str">
        <x:v>宇傲‧檮杌手</x:v>
      </x:c>
      <x:c r="B2891" s="55" t="str">
        <x:v>—</x:v>
      </x:c>
      <x:c r="C2891" s="55" t="str">
        <x:v>—</x:v>
      </x:c>
      <x:c r="D2891" s="55" t="str">
        <x:v>—</x:v>
      </x:c>
      <x:c r="E2891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</x:t>
        </x:is>
      </x:c>
    </x:row>
    <x:row r="2892" ht="30" customHeight="1">
      <x:c r="A2892" s="55" t="str">
        <x:v>宇傲‧素鳴腕</x:v>
      </x:c>
      <x:c r="B2892" s="55" t="str">
        <x:v>—</x:v>
      </x:c>
      <x:c r="C2892" s="55" t="str">
        <x:v>—</x:v>
      </x:c>
      <x:c r="D2892" s="55" t="str">
        <x:v>—</x:v>
      </x:c>
      <x:c r="E2892" s="55" t="inlineStr">
        <x:is>
          <x:t>極無限東瀛神裝箱（網站未列地圖）；極．天俠特仕裝箱（網站未列地圖）；超級旗開得勝錦囊（網站未列地圖）；王者天下錦囊（網站未列地圖）；獄門劍尊（不解迴路）</x:t>
        </x:is>
      </x:c>
    </x:row>
    <x:row r="2893" ht="30" customHeight="1">
      <x:c r="A2893" s="55" t="str">
        <x:v>峻霆‧劍聖腕</x:v>
      </x:c>
      <x:c r="B2893" s="55" t="str">
        <x:v>—</x:v>
      </x:c>
      <x:c r="C2893" s="55" t="str">
        <x:v>—</x:v>
      </x:c>
      <x:c r="D2893" s="55" t="str">
        <x:v>—</x:v>
      </x:c>
      <x:c r="E2893" s="55" t="inlineStr">
        <x:is>
          <x:t>絕無限劍裝錦囊（網站未列地圖）；搗蛋天鬼神（網站未列地圖）；賀歲大金雞（網站未列地圖）；眾天外邪（星群碎道）</x:t>
        </x:is>
      </x:c>
    </x:row>
    <x:row r="2894" ht="30" customHeight="1">
      <x:c r="A2894" s="55" t="str">
        <x:v>峻霆‧武尊臂</x:v>
      </x:c>
      <x:c r="B2894" s="55" t="str">
        <x:v>—</x:v>
      </x:c>
      <x:c r="C2894" s="55" t="str">
        <x:v>—</x:v>
      </x:c>
      <x:c r="D2894" s="55" t="str">
        <x:v>—</x:v>
      </x:c>
      <x:c r="E2894" s="55" t="inlineStr">
        <x:is>
          <x:t>絕無限勇裝錦囊（網站未列地圖）；搗蛋天鬼神（網站未列地圖）；賀歲大金雞（網站未列地圖）；晶嶽巨像（星群碎道）</x:t>
        </x:is>
      </x:c>
    </x:row>
    <x:row r="2895" ht="30" customHeight="1">
      <x:c r="A2895" s="55" t="str">
        <x:v>峻霆‧術幻指</x:v>
      </x:c>
      <x:c r="B2895" s="55" t="str">
        <x:v>—</x:v>
      </x:c>
      <x:c r="C2895" s="55" t="str">
        <x:v>—</x:v>
      </x:c>
      <x:c r="D2895" s="55" t="str">
        <x:v>—</x:v>
      </x:c>
      <x:c r="E2895" s="55" t="inlineStr">
        <x:is>
          <x:t>絕無限術裝錦囊（網站未列地圖）；搗蛋天鬼神（網站未列地圖）；賀歲大金雞（網站未列地圖）；雙面刀鬼女（星群碎道）</x:t>
        </x:is>
      </x:c>
    </x:row>
    <x:row r="2896" ht="30" customHeight="1">
      <x:c r="A2896" s="55" t="str">
        <x:v>峻霆‧道輝手</x:v>
      </x:c>
      <x:c r="B2896" s="55" t="str">
        <x:v>—</x:v>
      </x:c>
      <x:c r="C2896" s="55" t="str">
        <x:v>—</x:v>
      </x:c>
      <x:c r="D2896" s="55" t="str">
        <x:v>—</x:v>
      </x:c>
      <x:c r="E2896" s="55" t="inlineStr">
        <x:is>
          <x:t>絕無限道裝錦囊（網站未列地圖）；搗蛋天鬼神（網站未列地圖）；賀歲大金雞（網站未列地圖）；蒼凰一奇（星群碎道）</x:t>
        </x:is>
      </x:c>
    </x:row>
    <x:row r="2897" ht="30" customHeight="1">
      <x:c r="A2897" s="55" t="str">
        <x:v>峻霆‧禪光握</x:v>
      </x:c>
      <x:c r="B2897" s="55" t="str">
        <x:v>—</x:v>
      </x:c>
      <x:c r="C2897" s="55" t="str">
        <x:v>—</x:v>
      </x:c>
      <x:c r="D2897" s="55" t="str">
        <x:v>—</x:v>
      </x:c>
      <x:c r="E2897" s="55" t="inlineStr">
        <x:is>
          <x:t>絕無限僧裝錦囊（網站未列地圖）；搗蛋天鬼神（網站未列地圖）；賀歲大金雞（網站未列地圖）；六首邪鱗（星群碎道）</x:t>
        </x:is>
      </x:c>
    </x:row>
    <x:row r="2898" ht="15" customHeight="1">
      <x:c r="A2898" s="55" t="str">
        <x:v>峻霆‧檮杌手</x:v>
      </x:c>
      <x:c r="B2898" s="55" t="str">
        <x:v>—</x:v>
      </x:c>
      <x:c r="C2898" s="55" t="str">
        <x:v>—</x:v>
      </x:c>
      <x:c r="D2898" s="55" t="str">
        <x:v>—</x:v>
      </x:c>
      <x:c r="E2898" s="55" t="inlineStr">
        <x:is>
          <x:t>絕無限四兇霸裝箱（網站未列地圖）；絕．天俠特仕裝箱（網站未列地圖）；沒世蒼勇冠（虛空渦心）</x:t>
        </x:is>
      </x:c>
    </x:row>
    <x:row r="2899" ht="15" customHeight="1">
      <x:c r="A2899" s="55" t="str">
        <x:v>峻霆‧素鳴腕</x:v>
      </x:c>
      <x:c r="B2899" s="55" t="str">
        <x:v>—</x:v>
      </x:c>
      <x:c r="C2899" s="55" t="str">
        <x:v>—</x:v>
      </x:c>
      <x:c r="D2899" s="55" t="str">
        <x:v>—</x:v>
      </x:c>
      <x:c r="E2899" s="55" t="inlineStr">
        <x:is>
          <x:t>絕無限東瀛神裝箱（網站未列地圖）；絕．天俠特仕裝箱（網站未列地圖）；虛雷天尊（虛空渦心）</x:t>
        </x:is>
      </x:c>
    </x:row>
    <x:row r="2900" ht="15" customHeight="1">
      <x:c r="A2900" s="55" t="str">
        <x:v>窮極‧劍聖腕</x:v>
      </x:c>
      <x:c r="B2900" s="55" t="str">
        <x:v>—</x:v>
      </x:c>
      <x:c r="C2900" s="55" t="str">
        <x:v>—</x:v>
      </x:c>
      <x:c r="D2900" s="55" t="str">
        <x:v>—</x:v>
      </x:c>
      <x:c r="E2900" s="55" t="inlineStr">
        <x:is>
          <x:t>無無限劍裝錦囊（網站未列地圖）；冥虛短使（虛空渦心）</x:t>
        </x:is>
      </x:c>
    </x:row>
    <x:row r="2901" ht="15" customHeight="1">
      <x:c r="A2901" s="55" t="str">
        <x:v>窮極‧武尊臂</x:v>
      </x:c>
      <x:c r="B2901" s="55" t="str">
        <x:v>—</x:v>
      </x:c>
      <x:c r="C2901" s="55" t="str">
        <x:v>—</x:v>
      </x:c>
      <x:c r="D2901" s="55" t="str">
        <x:v>—</x:v>
      </x:c>
      <x:c r="E2901" s="55" t="inlineStr">
        <x:is>
          <x:t>無無限勇裝錦囊（網站未列地圖）；虛燁（虛空渦心）</x:t>
        </x:is>
      </x:c>
    </x:row>
    <x:row r="2902" ht="15" customHeight="1">
      <x:c r="A2902" s="55" t="str">
        <x:v>窮極‧術幻指</x:v>
      </x:c>
      <x:c r="B2902" s="55" t="str">
        <x:v>—</x:v>
      </x:c>
      <x:c r="C2902" s="55" t="str">
        <x:v>—</x:v>
      </x:c>
      <x:c r="D2902" s="55" t="str">
        <x:v>—</x:v>
      </x:c>
      <x:c r="E2902" s="55" t="inlineStr">
        <x:is>
          <x:t>無無限術裝錦囊（網站未列地圖）；虛嵐（虛空渦心）</x:t>
        </x:is>
      </x:c>
    </x:row>
    <x:row r="2903" ht="15" customHeight="1">
      <x:c r="A2903" s="55" t="str">
        <x:v>窮極‧道輝手</x:v>
      </x:c>
      <x:c r="B2903" s="55" t="str">
        <x:v>—</x:v>
      </x:c>
      <x:c r="C2903" s="55" t="str">
        <x:v>—</x:v>
      </x:c>
      <x:c r="D2903" s="55" t="str">
        <x:v>—</x:v>
      </x:c>
      <x:c r="E2903" s="55" t="inlineStr">
        <x:is>
          <x:t>無無限道裝錦囊（網站未列地圖）；冥虛判官（虛空渦心）</x:t>
        </x:is>
      </x:c>
    </x:row>
    <x:row r="2904" ht="15" customHeight="1">
      <x:c r="A2904" s="55" t="str">
        <x:v>窮極‧禪光握</x:v>
      </x:c>
      <x:c r="B2904" s="55" t="str">
        <x:v>—</x:v>
      </x:c>
      <x:c r="C2904" s="55" t="str">
        <x:v>—</x:v>
      </x:c>
      <x:c r="D2904" s="55" t="str">
        <x:v>—</x:v>
      </x:c>
      <x:c r="E2904" s="55" t="inlineStr">
        <x:is>
          <x:t>無無限僧裝錦囊（網站未列地圖）；冥虛長使（虛空渦心）</x:t>
        </x:is>
      </x:c>
    </x:row>
    <x:row r="2905" ht="15" customHeight="1">
      <x:c r="A2905" s="55" t="str">
        <x:v>窮極‧檮杌手</x:v>
      </x:c>
      <x:c r="B2905" s="55" t="str">
        <x:v>—</x:v>
      </x:c>
      <x:c r="C2905" s="55" t="str">
        <x:v>—</x:v>
      </x:c>
      <x:c r="D2905" s="55" t="str">
        <x:v>—</x:v>
      </x:c>
      <x:c r="E2905" s="55" t="inlineStr">
        <x:is>
          <x:t>無無限四兇霸裝箱（網站未列地圖）；無．天俠特仕裝箱（網站未列地圖）</x:t>
        </x:is>
      </x:c>
    </x:row>
    <x:row r="2906" ht="15" customHeight="1">
      <x:c r="A2906" s="55" t="str">
        <x:v>窮極‧素鳴腕</x:v>
      </x:c>
      <x:c r="B2906" s="55" t="str">
        <x:v>—</x:v>
      </x:c>
      <x:c r="C2906" s="55" t="str">
        <x:v>—</x:v>
      </x:c>
      <x:c r="D2906" s="55" t="str">
        <x:v>—</x:v>
      </x:c>
      <x:c r="E2906" s="55" t="inlineStr">
        <x:is>
          <x:t>無無限東瀛神裝箱（網站未列地圖）；無．天俠特仕裝箱（網站未列地圖）；虛空寶箱（網站未列地圖）</x:t>
        </x:is>
      </x:c>
    </x:row>
    <x:row r="2907" ht="15" customHeight="1">
      <x:c r="A2907" s="55" t="str">
        <x:v>元宙‧劍聖腕</x:v>
      </x:c>
      <x:c r="B2907" s="55" t="str">
        <x:v>—</x:v>
      </x:c>
      <x:c r="C2907" s="55" t="str">
        <x:v>—</x:v>
      </x:c>
      <x:c r="D2907" s="55" t="str">
        <x:v>—</x:v>
      </x:c>
      <x:c r="E2907" s="55" t="inlineStr">
        <x:is>
          <x:t>帝無限劍裝錦囊（網站未列地圖）；大滅霸（終末之塔第25層、終末之塔第27層）</x:t>
        </x:is>
      </x:c>
    </x:row>
    <x:row r="2908" ht="15" customHeight="1">
      <x:c r="A2908" s="55" t="str">
        <x:v>元宙‧武尊臂</x:v>
      </x:c>
      <x:c r="B2908" s="55" t="str">
        <x:v>—</x:v>
      </x:c>
      <x:c r="C2908" s="55" t="str">
        <x:v>—</x:v>
      </x:c>
      <x:c r="D2908" s="55" t="str">
        <x:v>—</x:v>
      </x:c>
      <x:c r="E2908" s="55" t="inlineStr">
        <x:is>
          <x:t>帝無限勇裝錦囊（網站未列地圖）；虐殺犯（終末之塔第11層）</x:t>
        </x:is>
      </x:c>
    </x:row>
    <x:row r="2909" ht="15" customHeight="1">
      <x:c r="A2909" s="55" t="str">
        <x:v>元宙‧術幻指</x:v>
      </x:c>
      <x:c r="B2909" s="55" t="str">
        <x:v>—</x:v>
      </x:c>
      <x:c r="C2909" s="55" t="str">
        <x:v>—</x:v>
      </x:c>
      <x:c r="D2909" s="55" t="str">
        <x:v>—</x:v>
      </x:c>
      <x:c r="E2909" s="55" t="inlineStr">
        <x:is>
          <x:t>帝無限術裝錦囊（網站未列地圖）；魔極四叉（終末之塔第4層、終末之塔第5層）</x:t>
        </x:is>
      </x:c>
    </x:row>
    <x:row r="2910" ht="15" customHeight="1">
      <x:c r="A2910" s="55" t="str">
        <x:v>元宙‧道輝手</x:v>
      </x:c>
      <x:c r="B2910" s="55" t="str">
        <x:v>—</x:v>
      </x:c>
      <x:c r="C2910" s="55" t="str">
        <x:v>—</x:v>
      </x:c>
      <x:c r="D2910" s="55" t="str">
        <x:v>—</x:v>
      </x:c>
      <x:c r="E2910" s="55" t="inlineStr">
        <x:is>
          <x:t>帝無限道裝錦囊（網站未列地圖）；爬脊獸（終末之塔第14層）</x:t>
        </x:is>
      </x:c>
    </x:row>
    <x:row r="2911" ht="15" customHeight="1">
      <x:c r="A2911" s="55" t="str">
        <x:v>元宙‧禪光握</x:v>
      </x:c>
      <x:c r="B2911" s="55" t="str">
        <x:v>—</x:v>
      </x:c>
      <x:c r="C2911" s="55" t="str">
        <x:v>—</x:v>
      </x:c>
      <x:c r="D2911" s="55" t="str">
        <x:v>—</x:v>
      </x:c>
      <x:c r="E2911" s="55" t="inlineStr">
        <x:is>
          <x:t>帝無限僧裝錦囊（網站未列地圖）；碎骨者（終末之塔第15層、終末之塔第13層）</x:t>
        </x:is>
      </x:c>
    </x:row>
    <x:row r="2912" ht="30" customHeight="1">
      <x:c r="A2912" s="55" t="str">
        <x:v>元宙‧檮杌手</x:v>
      </x:c>
      <x:c r="B2912" s="55" t="str">
        <x:v>—</x:v>
      </x:c>
      <x:c r="C2912" s="55" t="str">
        <x:v>—</x:v>
      </x:c>
      <x:c r="D2912" s="55" t="str">
        <x:v>—</x:v>
      </x:c>
      <x:c r="E2912" s="55" t="inlineStr">
        <x:is>
          <x:t>帝無限四兇霸裝箱（網站未列地圖）；帝．天俠特仕裝箱（網站未列地圖）；虛空主宰寶箱（網站未列地圖）；真‧虛空寶箱（網站未列地圖）；完銷紀念寶箱（網站未列地圖）</x:t>
        </x:is>
      </x:c>
    </x:row>
    <x:row r="2913" ht="15" customHeight="1">
      <x:c r="A2913" s="55" t="str">
        <x:v>元宙‧素鳴腕</x:v>
      </x:c>
      <x:c r="B2913" s="55" t="str">
        <x:v>—</x:v>
      </x:c>
      <x:c r="C2913" s="55" t="str">
        <x:v>—</x:v>
      </x:c>
      <x:c r="D2913" s="55" t="str">
        <x:v>—</x:v>
      </x:c>
      <x:c r="E2913" s="55" t="inlineStr">
        <x:is>
          <x:t>帝無限東瀛神裝箱（網站未列地圖）；帝．天俠特仕裝箱（網站未列地圖）；真‧虛空寶箱（網站未列地圖）</x:t>
        </x:is>
      </x:c>
    </x:row>
    <x:row r="2914" ht="15" customHeight="1">
      <x:c r="A2914" s="55" t="str">
        <x:v>真宇傲劍聖腕</x:v>
      </x:c>
      <x:c r="B2914" s="55" t="str">
        <x:v>—</x:v>
      </x:c>
      <x:c r="C2914" s="55" t="str">
        <x:v>—</x:v>
      </x:c>
      <x:c r="D2914" s="55" t="str">
        <x:v>—</x:v>
      </x:c>
      <x:c r="E2914" s="55" t="inlineStr">
        <x:is>
          <x:t>終無限劍裝錦囊（網站未列地圖）</x:t>
        </x:is>
      </x:c>
    </x:row>
    <x:row r="2915" ht="15" customHeight="1">
      <x:c r="A2915" s="55" t="str">
        <x:v>真宇傲武尊臂</x:v>
      </x:c>
      <x:c r="B2915" s="55" t="str">
        <x:v>—</x:v>
      </x:c>
      <x:c r="C2915" s="55" t="str">
        <x:v>—</x:v>
      </x:c>
      <x:c r="D2915" s="55" t="str">
        <x:v>—</x:v>
      </x:c>
      <x:c r="E2915" s="55" t="inlineStr">
        <x:is>
          <x:t>終無限勇裝錦囊（網站未列地圖）</x:t>
        </x:is>
      </x:c>
    </x:row>
    <x:row r="2916" ht="15" customHeight="1">
      <x:c r="A2916" s="55" t="str">
        <x:v>真宇傲術幻指</x:v>
      </x:c>
      <x:c r="B2916" s="55" t="str">
        <x:v>—</x:v>
      </x:c>
      <x:c r="C2916" s="55" t="str">
        <x:v>—</x:v>
      </x:c>
      <x:c r="D2916" s="55" t="str">
        <x:v>—</x:v>
      </x:c>
      <x:c r="E2916" s="55" t="inlineStr">
        <x:is>
          <x:t>終無限術裝錦囊（網站未列地圖）</x:t>
        </x:is>
      </x:c>
    </x:row>
    <x:row r="2917" ht="15" customHeight="1">
      <x:c r="A2917" s="55" t="str">
        <x:v>真宇傲道輝手</x:v>
      </x:c>
      <x:c r="B2917" s="55" t="str">
        <x:v>—</x:v>
      </x:c>
      <x:c r="C2917" s="55" t="str">
        <x:v>—</x:v>
      </x:c>
      <x:c r="D2917" s="55" t="str">
        <x:v>—</x:v>
      </x:c>
      <x:c r="E2917" s="55" t="inlineStr">
        <x:is>
          <x:t>終無限道裝錦囊（網站未列地圖）</x:t>
        </x:is>
      </x:c>
    </x:row>
    <x:row r="2918" ht="15" customHeight="1">
      <x:c r="A2918" s="55" t="str">
        <x:v>真宇傲禪光握</x:v>
      </x:c>
      <x:c r="B2918" s="55" t="str">
        <x:v>—</x:v>
      </x:c>
      <x:c r="C2918" s="55" t="str">
        <x:v>—</x:v>
      </x:c>
      <x:c r="D2918" s="55" t="str">
        <x:v>—</x:v>
      </x:c>
      <x:c r="E2918" s="55" t="inlineStr">
        <x:is>
          <x:t>終無限僧裝錦囊（網站未列地圖）</x:t>
        </x:is>
      </x:c>
    </x:row>
    <x:row r="2919" ht="30" customHeight="1">
      <x:c r="A2919" s="55" t="str">
        <x:v>真宇傲檮杌手</x:v>
      </x:c>
      <x:c r="B2919" s="55" t="str">
        <x:v>—</x:v>
      </x:c>
      <x:c r="C2919" s="55" t="str">
        <x:v>—</x:v>
      </x:c>
      <x:c r="D2919" s="55" t="str">
        <x:v>—</x:v>
      </x:c>
      <x:c r="E2919" s="55" t="inlineStr">
        <x:is>
          <x:t>終無限四兇霸裝箱（網站未列地圖）；終．天俠特仕裝箱（網站未列地圖）；夏日關頭錦囊（網站未列地圖）；真‧虛空主宰寶箱（網站未列地圖）；造亂思魅（終末之塔第82層、終末之塔第81層）</x:t>
        </x:is>
      </x:c>
    </x:row>
    <x:row r="2920" ht="30" customHeight="1">
      <x:c r="A2920" s="55" t="str">
        <x:v>真宇傲素鳴腕</x:v>
      </x:c>
      <x:c r="B2920" s="55" t="str">
        <x:v>—</x:v>
      </x:c>
      <x:c r="C2920" s="55" t="str">
        <x:v>—</x:v>
      </x:c>
      <x:c r="D2920" s="55" t="str">
        <x:v>—</x:v>
      </x:c>
      <x:c r="E2920" s="55" t="inlineStr">
        <x:is>
          <x:t>終無限東瀛神裝箱（網站未列地圖）；終．天俠特仕裝箱（網站未列地圖）；天冠善勝錦囊（網站未列地圖）；真‧虛空主宰寶箱（網站未列地圖）</x:t>
        </x:is>
      </x:c>
    </x:row>
    <x:row r="2921" ht="15" customHeight="1">
      <x:c r="A2921" s="55" t="str">
        <x:v>星鋒腕★</x:v>
      </x:c>
      <x:c r="B2921" s="55" t="str">
        <x:v>—</x:v>
      </x:c>
      <x:c r="C2921" s="55" t="str">
        <x:v>—</x:v>
      </x:c>
      <x:c r="D2921" s="55" t="str">
        <x:v>—</x:v>
      </x:c>
      <x:c r="E2921" s="55" t="inlineStr">
        <x:is>
          <x:t>仙星劍裝錦囊（網站未列地圖）；尼絡女鬥士（太陽神大道）</x:t>
        </x:is>
      </x:c>
    </x:row>
    <x:row r="2922" ht="15" customHeight="1">
      <x:c r="A2922" s="55" t="str">
        <x:v>鬥星臂★</x:v>
      </x:c>
      <x:c r="B2922" s="55" t="str">
        <x:v>—</x:v>
      </x:c>
      <x:c r="C2922" s="55" t="str">
        <x:v>—</x:v>
      </x:c>
      <x:c r="D2922" s="55" t="str">
        <x:v>—</x:v>
      </x:c>
      <x:c r="E2922" s="55" t="inlineStr">
        <x:is>
          <x:t>仙星勇裝錦囊（網站未列地圖）；王都守衛（太陽神大道）</x:t>
        </x:is>
      </x:c>
    </x:row>
    <x:row r="2923" ht="15" customHeight="1">
      <x:c r="A2923" s="55" t="str">
        <x:v>遊星掌★</x:v>
      </x:c>
      <x:c r="B2923" s="55" t="str">
        <x:v>—</x:v>
      </x:c>
      <x:c r="C2923" s="55" t="str">
        <x:v>—</x:v>
      </x:c>
      <x:c r="D2923" s="55" t="str">
        <x:v>—</x:v>
      </x:c>
      <x:c r="E2923" s="55" t="inlineStr">
        <x:is>
          <x:t>仙星術裝錦囊（網站未列地圖）；港灣鱷人（太陽神大道）</x:t>
        </x:is>
      </x:c>
    </x:row>
    <x:row r="2924" ht="15" customHeight="1">
      <x:c r="A2924" s="55" t="str">
        <x:v>星蹤手★</x:v>
      </x:c>
      <x:c r="B2924" s="55" t="str">
        <x:v>—</x:v>
      </x:c>
      <x:c r="C2924" s="55" t="str">
        <x:v>—</x:v>
      </x:c>
      <x:c r="D2924" s="55" t="str">
        <x:v>—</x:v>
      </x:c>
      <x:c r="E2924" s="55" t="inlineStr">
        <x:is>
          <x:t>仙星道裝錦囊（網站未列地圖）；彎刀河獸（太陽神大道）；艾濟原人（終末之塔第52層、終末之塔第53層）</x:t>
        </x:is>
      </x:c>
    </x:row>
    <x:row r="2925" ht="15" customHeight="1">
      <x:c r="A2925" s="55" t="str">
        <x:v>釋星拱★</x:v>
      </x:c>
      <x:c r="B2925" s="55" t="str">
        <x:v>—</x:v>
      </x:c>
      <x:c r="C2925" s="55" t="str">
        <x:v>—</x:v>
      </x:c>
      <x:c r="D2925" s="55" t="str">
        <x:v>—</x:v>
      </x:c>
      <x:c r="E2925" s="55" t="inlineStr">
        <x:is>
          <x:t>仙星僧裝錦囊（網站未列地圖）；艾濟巡督（太陽神大道）；喚虛女巫（終末之塔第58層、終末之塔第59層）</x:t>
        </x:is>
      </x:c>
    </x:row>
    <x:row r="2926" ht="30" customHeight="1">
      <x:c r="A2926" s="55" t="str">
        <x:v>星兇手★</x:v>
      </x:c>
      <x:c r="B2926" s="55" t="str">
        <x:v>—</x:v>
      </x:c>
      <x:c r="C2926" s="55" t="str">
        <x:v>—</x:v>
      </x:c>
      <x:c r="D2926" s="55" t="str">
        <x:v>—</x:v>
      </x:c>
      <x:c r="E2926" s="55" t="inlineStr">
        <x:is>
          <x:t>仙星四兇霸裝箱（網站未列地圖）；仙星特仕裝箱（網站未列地圖）；午陽‧糯米精（網站未列地圖）；幽閉怒獸（終末之塔第91層、終末之塔第100層）；一杖虛導（終末之塔第79層）</x:t>
        </x:is>
      </x:c>
    </x:row>
    <x:row r="2927" ht="30" customHeight="1">
      <x:c r="A2927" s="55" t="str">
        <x:v>煌嗚腕★</x:v>
      </x:c>
      <x:c r="B2927" s="55" t="str">
        <x:v>—</x:v>
      </x:c>
      <x:c r="C2927" s="55" t="str">
        <x:v>—</x:v>
      </x:c>
      <x:c r="D2927" s="55" t="str">
        <x:v>—</x:v>
      </x:c>
      <x:c r="E2927" s="55" t="inlineStr">
        <x:is>
          <x:t>仙星東瀛神裝箱（網站未列地圖）；仙星特仕裝箱（網站未列地圖）；皇家聖衛（王都盧索）；沙暴先鋒隊長（古翰大沙漠）；皇家聖衛（托勒密山麓）</x:t>
        </x:is>
      </x:c>
    </x:row>
    <x:row r="2928" ht="15" customHeight="1">
      <x:c r="A2928" s="55" t="str">
        <x:v>星鋒腕★★</x:v>
      </x:c>
      <x:c r="B2928" s="55" t="str">
        <x:v>—</x:v>
      </x:c>
      <x:c r="C2928" s="55" t="str">
        <x:v>—</x:v>
      </x:c>
      <x:c r="D2928" s="55" t="str">
        <x:v>—</x:v>
      </x:c>
      <x:c r="E2928" s="55" t="inlineStr">
        <x:is>
          <x:t>真‧仙星劍裝錦囊（網站未列地圖）；護棺刃鱷（赫勒神殿遺址）</x:t>
        </x:is>
      </x:c>
    </x:row>
    <x:row r="2929" ht="15" customHeight="1">
      <x:c r="A2929" s="55" t="str">
        <x:v>鬥星臂★★</x:v>
      </x:c>
      <x:c r="B2929" s="55" t="str">
        <x:v>—</x:v>
      </x:c>
      <x:c r="C2929" s="55" t="str">
        <x:v>—</x:v>
      </x:c>
      <x:c r="D2929" s="55" t="str">
        <x:v>—</x:v>
      </x:c>
      <x:c r="E2929" s="55" t="inlineStr">
        <x:is>
          <x:t>真‧仙星勇裝錦囊（網站未列地圖）；赤瞳犄角（赫勒神殿遺址）</x:t>
        </x:is>
      </x:c>
    </x:row>
    <x:row r="2930" ht="15" customHeight="1">
      <x:c r="A2930" s="55" t="str">
        <x:v>遊星掌★★</x:v>
      </x:c>
      <x:c r="B2930" s="55" t="str">
        <x:v>—</x:v>
      </x:c>
      <x:c r="C2930" s="55" t="str">
        <x:v>—</x:v>
      </x:c>
      <x:c r="D2930" s="55" t="str">
        <x:v>—</x:v>
      </x:c>
      <x:c r="E2930" s="55" t="inlineStr">
        <x:is>
          <x:t>真‧仙星術裝錦囊（網站未列地圖）；守陵人獅像（赫勒神殿遺址）</x:t>
        </x:is>
      </x:c>
    </x:row>
    <x:row r="2931" ht="15" customHeight="1">
      <x:c r="A2931" s="55" t="str">
        <x:v>星蹤手★★</x:v>
      </x:c>
      <x:c r="B2931" s="55" t="str">
        <x:v>—</x:v>
      </x:c>
      <x:c r="C2931" s="55" t="str">
        <x:v>—</x:v>
      </x:c>
      <x:c r="D2931" s="55" t="str">
        <x:v>—</x:v>
      </x:c>
      <x:c r="E2931" s="55" t="inlineStr">
        <x:is>
          <x:t>真‧仙星道裝錦囊（網站未列地圖）；芭絲特（荷魯斯聖祠）</x:t>
        </x:is>
      </x:c>
    </x:row>
    <x:row r="2932" ht="15" customHeight="1">
      <x:c r="A2932" s="55" t="str">
        <x:v>釋星拱★★</x:v>
      </x:c>
      <x:c r="B2932" s="55" t="str">
        <x:v>—</x:v>
      </x:c>
      <x:c r="C2932" s="55" t="str">
        <x:v>—</x:v>
      </x:c>
      <x:c r="D2932" s="55" t="str">
        <x:v>—</x:v>
      </x:c>
      <x:c r="E2932" s="55" t="inlineStr">
        <x:is>
          <x:t>真‧仙星僧裝錦囊（網站未列地圖）；鎮碑儀主（赫勒神殿遺址）</x:t>
        </x:is>
      </x:c>
    </x:row>
    <x:row r="2933" ht="30" customHeight="1">
      <x:c r="A2933" s="55" t="str">
        <x:v>星兇手★★</x:v>
      </x:c>
      <x:c r="B2933" s="55" t="str">
        <x:v>—</x:v>
      </x:c>
      <x:c r="C2933" s="55" t="str">
        <x:v>—</x:v>
      </x:c>
      <x:c r="D2933" s="55" t="str">
        <x:v>—</x:v>
      </x:c>
      <x:c r="E2933" s="55" t="inlineStr">
        <x:is>
          <x:t>真‧仙星四兇霸箱（網站未列地圖）；真‧仙星特仕裝箱（網站未列地圖）；裂變鬼兵（終末之塔第101層）；鬼雷驚爪（終末之塔第94層、終末之塔第95層）</x:t>
        </x:is>
      </x:c>
    </x:row>
    <x:row r="2934" ht="30" customHeight="1">
      <x:c r="A2934" s="55" t="str">
        <x:v>煌嗚腕★★</x:v>
      </x:c>
      <x:c r="B2934" s="55" t="str">
        <x:v>—</x:v>
      </x:c>
      <x:c r="C2934" s="55" t="str">
        <x:v>—</x:v>
      </x:c>
      <x:c r="D2934" s="55" t="str">
        <x:v>—</x:v>
      </x:c>
      <x:c r="E2934" s="55" t="inlineStr">
        <x:is>
          <x:t>真‧仙星東瀛神箱（網站未列地圖）；真‧仙星特仕裝箱（網站未列地圖）；夏辰頂天錦囊（網站未列地圖）；吞虛兇鱷（終末之塔第102層、終末之塔第103層）；百虛操偶（終末之塔第99層）</x:t>
        </x:is>
      </x:c>
    </x:row>
    <x:row r="2935" ht="15" customHeight="1">
      <x:c r="A2935" s="55" t="str">
        <x:v>星鋒腕★★★</x:v>
      </x:c>
      <x:c r="B2935" s="55" t="str">
        <x:v>—</x:v>
      </x:c>
      <x:c r="C2935" s="55" t="str">
        <x:v>—</x:v>
      </x:c>
      <x:c r="D2935" s="55" t="str">
        <x:v>—</x:v>
      </x:c>
      <x:c r="E2935" s="55" t="inlineStr">
        <x:is>
          <x:t>超‧仙星劍裝錦囊（網站未列地圖）；斯芬克斯銅像（神王金字塔）</x:t>
        </x:is>
      </x:c>
    </x:row>
    <x:row r="2936" ht="15" customHeight="1">
      <x:c r="A2936" s="55" t="str">
        <x:v>鬥星臂★★★</x:v>
      </x:c>
      <x:c r="B2936" s="55" t="str">
        <x:v>—</x:v>
      </x:c>
      <x:c r="C2936" s="55" t="str">
        <x:v>—</x:v>
      </x:c>
      <x:c r="D2936" s="55" t="str">
        <x:v>—</x:v>
      </x:c>
      <x:c r="E2936" s="55" t="inlineStr">
        <x:is>
          <x:t>超‧仙星勇裝錦囊（網站未列地圖）</x:t>
        </x:is>
      </x:c>
    </x:row>
    <x:row r="2937" ht="15" customHeight="1">
      <x:c r="A2937" s="55" t="str">
        <x:v>遊星掌★★★</x:v>
      </x:c>
      <x:c r="B2937" s="55" t="str">
        <x:v>—</x:v>
      </x:c>
      <x:c r="C2937" s="55" t="str">
        <x:v>—</x:v>
      </x:c>
      <x:c r="D2937" s="55" t="str">
        <x:v>—</x:v>
      </x:c>
      <x:c r="E2937" s="55" t="inlineStr">
        <x:is>
          <x:t>超‧仙星術裝錦囊（網站未列地圖）</x:t>
        </x:is>
      </x:c>
    </x:row>
    <x:row r="2938" ht="15" customHeight="1">
      <x:c r="A2938" s="55" t="str">
        <x:v>星蹤手★★★</x:v>
      </x:c>
      <x:c r="B2938" s="55" t="str">
        <x:v>—</x:v>
      </x:c>
      <x:c r="C2938" s="55" t="str">
        <x:v>—</x:v>
      </x:c>
      <x:c r="D2938" s="55" t="str">
        <x:v>—</x:v>
      </x:c>
      <x:c r="E2938" s="55" t="inlineStr">
        <x:is>
          <x:t>超‧仙星道裝錦囊（網站未列地圖）；邪甲幽蛛妃（神王金字塔）</x:t>
        </x:is>
      </x:c>
    </x:row>
    <x:row r="2939" ht="15" customHeight="1">
      <x:c r="A2939" s="55" t="str">
        <x:v>釋星拱★★★</x:v>
      </x:c>
      <x:c r="B2939" s="55" t="str">
        <x:v>—</x:v>
      </x:c>
      <x:c r="C2939" s="55" t="str">
        <x:v>—</x:v>
      </x:c>
      <x:c r="D2939" s="55" t="str">
        <x:v>—</x:v>
      </x:c>
      <x:c r="E2939" s="55" t="inlineStr">
        <x:is>
          <x:t>超‧仙星僧裝錦囊（網站未列地圖）；虛空爬行者（神王金字塔）</x:t>
        </x:is>
      </x:c>
    </x:row>
    <x:row r="2940" ht="30" customHeight="1">
      <x:c r="A2940" s="55" t="str">
        <x:v>星兇手★★★</x:v>
      </x:c>
      <x:c r="B2940" s="55" t="str">
        <x:v>—</x:v>
      </x:c>
      <x:c r="C2940" s="55" t="str">
        <x:v>—</x:v>
      </x:c>
      <x:c r="D2940" s="55" t="str">
        <x:v>—</x:v>
      </x:c>
      <x:c r="E2940" s="55" t="inlineStr">
        <x:is>
          <x:t>超‧仙星四兇霸箱（網站未列地圖）；超‧仙星特仕裝箱（網站未列地圖）；天罪道人錦囊（網站未列地圖）；怪物大王（終末之塔第128層、終末之塔第124層）</x:t>
        </x:is>
      </x:c>
    </x:row>
    <x:row r="2941" ht="45" customHeight="1">
      <x:c r="A2941" s="55" t="str">
        <x:v>煌嗚腕★★★</x:v>
      </x:c>
      <x:c r="B2941" s="55" t="str">
        <x:v>—</x:v>
      </x:c>
      <x:c r="C2941" s="55" t="str">
        <x:v>—</x:v>
      </x:c>
      <x:c r="D2941" s="55" t="str">
        <x:v>—</x:v>
      </x:c>
      <x:c r="E2941" s="55" t="inlineStr">
        <x:is>
          <x:t>超‧仙星東瀛神箱（網站未列地圖）；超‧仙星特仕裝箱（網站未列地圖）；終塔之寶&lt;V&gt;（終末之塔第47層、終末之塔第55層）；淪劫徊者（終末之塔第119層）；七災鬼侯（終末之塔第125層、終末之塔第127層）；皇城駐軍（皇城）</x:t>
        </x:is>
      </x:c>
    </x:row>
    <x:row r="2942" ht="15" customHeight="1">
      <x:c r="A2942" s="55" t="str">
        <x:v>烈煌腕☆</x:v>
      </x:c>
      <x:c r="B2942" s="55" t="str">
        <x:v>—</x:v>
      </x:c>
      <x:c r="C2942" s="55" t="str">
        <x:v>—</x:v>
      </x:c>
      <x:c r="D2942" s="55" t="str">
        <x:v>—</x:v>
      </x:c>
      <x:c r="E2942" s="55" t="inlineStr">
        <x:is>
          <x:t>煌星劍裝錦囊（網站未列地圖）；&lt;斯芬克斯銅像&gt;（修羅級神王金字塔）</x:t>
        </x:is>
      </x:c>
    </x:row>
    <x:row r="2943" ht="15" customHeight="1">
      <x:c r="A2943" s="55" t="str">
        <x:v>戰煌臂☆</x:v>
      </x:c>
      <x:c r="B2943" s="55" t="str">
        <x:v>—</x:v>
      </x:c>
      <x:c r="C2943" s="55" t="str">
        <x:v>—</x:v>
      </x:c>
      <x:c r="D2943" s="55" t="str">
        <x:v>—</x:v>
      </x:c>
      <x:c r="E2943" s="55" t="inlineStr">
        <x:is>
          <x:t>煌星勇裝錦囊（網站未列地圖）</x:t>
        </x:is>
      </x:c>
    </x:row>
    <x:row r="2944" ht="15" customHeight="1">
      <x:c r="A2944" s="55" t="str">
        <x:v>燦煌掌☆</x:v>
      </x:c>
      <x:c r="B2944" s="55" t="str">
        <x:v>—</x:v>
      </x:c>
      <x:c r="C2944" s="55" t="str">
        <x:v>—</x:v>
      </x:c>
      <x:c r="D2944" s="55" t="str">
        <x:v>—</x:v>
      </x:c>
      <x:c r="E2944" s="55" t="inlineStr">
        <x:is>
          <x:t>煌星術裝錦囊（網站未列地圖）</x:t>
        </x:is>
      </x:c>
    </x:row>
    <x:row r="2945" ht="15" customHeight="1">
      <x:c r="A2945" s="55" t="str">
        <x:v>道煌擎☆</x:v>
      </x:c>
      <x:c r="B2945" s="55" t="str">
        <x:v>—</x:v>
      </x:c>
      <x:c r="C2945" s="55" t="str">
        <x:v>—</x:v>
      </x:c>
      <x:c r="D2945" s="55" t="str">
        <x:v>—</x:v>
      </x:c>
      <x:c r="E2945" s="55" t="inlineStr">
        <x:is>
          <x:t>煌星道裝錦囊（網站未列地圖）；&lt;邪甲幽蛛妃&gt;（修羅級神王金字塔）</x:t>
        </x:is>
      </x:c>
    </x:row>
    <x:row r="2946" ht="15" customHeight="1">
      <x:c r="A2946" s="55" t="str">
        <x:v>佛煌纏☆</x:v>
      </x:c>
      <x:c r="B2946" s="55" t="str">
        <x:v>—</x:v>
      </x:c>
      <x:c r="C2946" s="55" t="str">
        <x:v>—</x:v>
      </x:c>
      <x:c r="D2946" s="55" t="str">
        <x:v>—</x:v>
      </x:c>
      <x:c r="E2946" s="55" t="inlineStr">
        <x:is>
          <x:t>煌星僧裝錦囊（網站未列地圖）；&lt;虛空爬行者&gt;（修羅級神王金字塔）</x:t>
        </x:is>
      </x:c>
    </x:row>
    <x:row r="2947" ht="30" customHeight="1">
      <x:c r="A2947" s="55" t="str">
        <x:v>鬼兇手☆</x:v>
      </x:c>
      <x:c r="B2947" s="55" t="str">
        <x:v>—</x:v>
      </x:c>
      <x:c r="C2947" s="55" t="str">
        <x:v>—</x:v>
      </x:c>
      <x:c r="D2947" s="55" t="str">
        <x:v>—</x:v>
      </x:c>
      <x:c r="E2947" s="55" t="inlineStr">
        <x:is>
          <x:t>煌星四兇霸裝箱（網站未列地圖）；煌星特仕裝箱（網站未列地圖）；衛塔金獸（終末之塔第143層、終末之塔第146層）</x:t>
        </x:is>
      </x:c>
    </x:row>
    <x:row r="2948" ht="30" customHeight="1">
      <x:c r="A2948" s="55" t="str">
        <x:v>柳嗚腕☆</x:v>
      </x:c>
      <x:c r="B2948" s="55" t="str">
        <x:v>—</x:v>
      </x:c>
      <x:c r="C2948" s="55" t="str">
        <x:v>—</x:v>
      </x:c>
      <x:c r="D2948" s="55" t="str">
        <x:v>—</x:v>
      </x:c>
      <x:c r="E2948" s="55" t="inlineStr">
        <x:is>
          <x:t>煌星東瀛神裝箱（網站未列地圖）；煌星特仕裝箱（網站未列地圖）；罪赦勇士錦囊（網站未列地圖）；冥府艷后克麗邁絲（神王金字塔）；艾濟神王寶箱（網站未列地圖）；吞星大饕（終末之塔第148層、終末之塔第149層）</x:t>
        </x:is>
      </x:c>
    </x:row>
    <x:row r="2949" ht="15" customHeight="1">
      <x:c r="A2949" s="55" t="str">
        <x:v>烈煌腕☆☆</x:v>
      </x:c>
      <x:c r="B2949" s="55" t="str">
        <x:v>—</x:v>
      </x:c>
      <x:c r="C2949" s="55" t="str">
        <x:v>—</x:v>
      </x:c>
      <x:c r="D2949" s="55" t="str">
        <x:v>—</x:v>
      </x:c>
      <x:c r="E2949" s="55" t="inlineStr">
        <x:is>
          <x:t>真‧煌星劍裝錦囊（網站未列地圖）</x:t>
        </x:is>
      </x:c>
    </x:row>
    <x:row r="2950" ht="15" customHeight="1">
      <x:c r="A2950" s="55" t="str">
        <x:v>戰煌臂☆☆</x:v>
      </x:c>
      <x:c r="B2950" s="55" t="str">
        <x:v>—</x:v>
      </x:c>
      <x:c r="C2950" s="55" t="str">
        <x:v>—</x:v>
      </x:c>
      <x:c r="D2950" s="55" t="str">
        <x:v>—</x:v>
      </x:c>
      <x:c r="E2950" s="55" t="inlineStr">
        <x:is>
          <x:t>真‧煌星勇裝錦囊（網站未列地圖）</x:t>
        </x:is>
      </x:c>
    </x:row>
    <x:row r="2951" ht="15" customHeight="1">
      <x:c r="A2951" s="55" t="str">
        <x:v>燦煌掌☆☆</x:v>
      </x:c>
      <x:c r="B2951" s="55" t="str">
        <x:v>—</x:v>
      </x:c>
      <x:c r="C2951" s="55" t="str">
        <x:v>—</x:v>
      </x:c>
      <x:c r="D2951" s="55" t="str">
        <x:v>—</x:v>
      </x:c>
      <x:c r="E2951" s="55" t="inlineStr">
        <x:is>
          <x:t>真‧煌星術裝錦囊（網站未列地圖）</x:t>
        </x:is>
      </x:c>
    </x:row>
    <x:row r="2952" ht="15" customHeight="1">
      <x:c r="A2952" s="55" t="str">
        <x:v>道煌擎☆☆</x:v>
      </x:c>
      <x:c r="B2952" s="55" t="str">
        <x:v>—</x:v>
      </x:c>
      <x:c r="C2952" s="55" t="str">
        <x:v>—</x:v>
      </x:c>
      <x:c r="D2952" s="55" t="str">
        <x:v>—</x:v>
      </x:c>
      <x:c r="E2952" s="55" t="inlineStr">
        <x:is>
          <x:t>真‧煌星道裝錦囊（網站未列地圖）</x:t>
        </x:is>
      </x:c>
    </x:row>
    <x:row r="2953" ht="15" customHeight="1">
      <x:c r="A2953" s="55" t="str">
        <x:v>佛煌纏☆☆</x:v>
      </x:c>
      <x:c r="B2953" s="55" t="str">
        <x:v>—</x:v>
      </x:c>
      <x:c r="C2953" s="55" t="str">
        <x:v>—</x:v>
      </x:c>
      <x:c r="D2953" s="55" t="str">
        <x:v>—</x:v>
      </x:c>
      <x:c r="E2953" s="55" t="inlineStr">
        <x:is>
          <x:t>真‧煌星僧裝錦囊（網站未列地圖）</x:t>
        </x:is>
      </x:c>
    </x:row>
    <x:row r="2954" ht="15" customHeight="1">
      <x:c r="A2954" s="55" t="str">
        <x:v>鬼兇手☆☆</x:v>
      </x:c>
      <x:c r="B2954" s="55" t="str">
        <x:v>—</x:v>
      </x:c>
      <x:c r="C2954" s="55" t="str">
        <x:v>—</x:v>
      </x:c>
      <x:c r="D2954" s="55" t="str">
        <x:v>—</x:v>
      </x:c>
      <x:c r="E2954" s="55" t="inlineStr">
        <x:is>
          <x:t>真‧煌星四兇霸箱（網站未列地圖）；真‧煌星特仕裝箱（網站未列地圖）；真‧太陽神典錦囊（網站未列地圖）</x:t>
        </x:is>
      </x:c>
    </x:row>
    <x:row r="2955" ht="30" customHeight="1">
      <x:c r="A2955" s="55" t="str">
        <x:v>柳嗚腕☆☆</x:v>
      </x:c>
      <x:c r="B2955" s="55" t="str">
        <x:v>—</x:v>
      </x:c>
      <x:c r="C2955" s="55" t="str">
        <x:v>—</x:v>
      </x:c>
      <x:c r="D2955" s="55" t="str">
        <x:v>—</x:v>
      </x:c>
      <x:c r="E2955" s="55" t="inlineStr">
        <x:is>
          <x:t>真‧煌星東瀛神箱（網站未列地圖）；真‧煌星特仕裝箱（網站未列地圖）；終罪勇士錦囊（網站未列地圖）；鑽身神司印曷闐（修羅級神王金字塔）</x:t>
        </x:is>
      </x:c>
    </x:row>
    <x:row r="2956" ht="15" customHeight="1">
      <x:c r="A2956" s="55" t="str">
        <x:v>烈煌腕☆☆☆</x:v>
      </x:c>
      <x:c r="B2956" s="55" t="str">
        <x:v>—</x:v>
      </x:c>
      <x:c r="C2956" s="55" t="str">
        <x:v>—</x:v>
      </x:c>
      <x:c r="D2956" s="55" t="str">
        <x:v>—</x:v>
      </x:c>
      <x:c r="E2956" s="55" t="inlineStr">
        <x:is>
          <x:t>超‧煌星劍裝錦囊（網站未列地圖）</x:t>
        </x:is>
      </x:c>
    </x:row>
    <x:row r="2957" ht="15" customHeight="1">
      <x:c r="A2957" s="55" t="str">
        <x:v>戰煌臂☆☆☆</x:v>
      </x:c>
      <x:c r="B2957" s="55" t="str">
        <x:v>—</x:v>
      </x:c>
      <x:c r="C2957" s="55" t="str">
        <x:v>—</x:v>
      </x:c>
      <x:c r="D2957" s="55" t="str">
        <x:v>—</x:v>
      </x:c>
      <x:c r="E2957" s="55" t="inlineStr">
        <x:is>
          <x:t>超‧煌星勇裝錦囊（網站未列地圖）</x:t>
        </x:is>
      </x:c>
    </x:row>
    <x:row r="2958" ht="15" customHeight="1">
      <x:c r="A2958" s="55" t="str">
        <x:v>燦煌掌☆☆☆</x:v>
      </x:c>
      <x:c r="B2958" s="55" t="str">
        <x:v>—</x:v>
      </x:c>
      <x:c r="C2958" s="55" t="str">
        <x:v>—</x:v>
      </x:c>
      <x:c r="D2958" s="55" t="str">
        <x:v>—</x:v>
      </x:c>
      <x:c r="E2958" s="55" t="inlineStr">
        <x:is>
          <x:t>超‧煌星術裝錦囊（網站未列地圖）</x:t>
        </x:is>
      </x:c>
    </x:row>
    <x:row r="2959" ht="15" customHeight="1">
      <x:c r="A2959" s="55" t="str">
        <x:v>道煌擎☆☆☆</x:v>
      </x:c>
      <x:c r="B2959" s="55" t="str">
        <x:v>—</x:v>
      </x:c>
      <x:c r="C2959" s="55" t="str">
        <x:v>—</x:v>
      </x:c>
      <x:c r="D2959" s="55" t="str">
        <x:v>—</x:v>
      </x:c>
      <x:c r="E2959" s="55" t="inlineStr">
        <x:is>
          <x:t>超‧煌星道裝錦囊（網站未列地圖）</x:t>
        </x:is>
      </x:c>
    </x:row>
    <x:row r="2960" ht="15" customHeight="1">
      <x:c r="A2960" s="55" t="str">
        <x:v>佛煌纏☆☆☆</x:v>
      </x:c>
      <x:c r="B2960" s="55" t="str">
        <x:v>—</x:v>
      </x:c>
      <x:c r="C2960" s="55" t="str">
        <x:v>—</x:v>
      </x:c>
      <x:c r="D2960" s="55" t="str">
        <x:v>—</x:v>
      </x:c>
      <x:c r="E2960" s="55" t="inlineStr">
        <x:is>
          <x:t>超‧煌星僧裝錦囊（網站未列地圖）</x:t>
        </x:is>
      </x:c>
    </x:row>
    <x:row r="2961" ht="30" customHeight="1">
      <x:c r="A2961" s="55" t="str">
        <x:v>鬼兇手☆☆☆</x:v>
      </x:c>
      <x:c r="B2961" s="55" t="str">
        <x:v>—</x:v>
      </x:c>
      <x:c r="C2961" s="55" t="str">
        <x:v>—</x:v>
      </x:c>
      <x:c r="D2961" s="55" t="str">
        <x:v>—</x:v>
      </x:c>
      <x:c r="E2961" s="55" t="inlineStr">
        <x:is>
          <x:t>超‧煌星四兇霸箱（網站未列地圖）；超‧煌星特仕裝箱（網站未列地圖）；麻辣神柱錦囊（網站未列地圖）；虛無行者．拳（修羅級黃龍秘殿）</x:t>
        </x:is>
      </x:c>
    </x:row>
    <x:row r="2962" ht="15" customHeight="1">
      <x:c r="A2962" s="55" t="str">
        <x:v>柳嗚腕☆☆☆</x:v>
      </x:c>
      <x:c r="B2962" s="55" t="str">
        <x:v>—</x:v>
      </x:c>
      <x:c r="C2962" s="55" t="str">
        <x:v>—</x:v>
      </x:c>
      <x:c r="D2962" s="55" t="str">
        <x:v>—</x:v>
      </x:c>
      <x:c r="E2962" s="55" t="inlineStr">
        <x:is>
          <x:t>超‧煌星東瀛神箱（網站未列地圖）；超‧煌星特仕裝箱（網站未列地圖）</x:t>
        </x:is>
      </x:c>
    </x:row>
    <x:row r="2963" ht="15" customHeight="1">
      <x:c r="A2963" s="55" t="str">
        <x:v>劍帝握☆</x:v>
      </x:c>
      <x:c r="B2963" s="55" t="str">
        <x:v>—</x:v>
      </x:c>
      <x:c r="C2963" s="55" t="str">
        <x:v>—</x:v>
      </x:c>
      <x:c r="D2963" s="55" t="str">
        <x:v>—</x:v>
      </x:c>
      <x:c r="E2963" s="55" t="inlineStr">
        <x:is>
          <x:t>帝星劍裝錦囊（網站未列地圖）；羅剎劍瑛（西宮翠苑）</x:t>
        </x:is>
      </x:c>
    </x:row>
    <x:row r="2964" ht="15" customHeight="1">
      <x:c r="A2964" s="55" t="str">
        <x:v>武帝掌☆</x:v>
      </x:c>
      <x:c r="B2964" s="55" t="str">
        <x:v>—</x:v>
      </x:c>
      <x:c r="C2964" s="55" t="str">
        <x:v>—</x:v>
      </x:c>
      <x:c r="D2964" s="55" t="str">
        <x:v>—</x:v>
      </x:c>
      <x:c r="E2964" s="55" t="inlineStr">
        <x:is>
          <x:t>帝星勇裝錦囊（網站未列地圖）；朱燕后衛（西宮翠苑）</x:t>
        </x:is>
      </x:c>
    </x:row>
    <x:row r="2965" ht="15" customHeight="1">
      <x:c r="A2965" s="55" t="str">
        <x:v>幻帝手☆</x:v>
      </x:c>
      <x:c r="B2965" s="55" t="str">
        <x:v>—</x:v>
      </x:c>
      <x:c r="C2965" s="55" t="str">
        <x:v>—</x:v>
      </x:c>
      <x:c r="D2965" s="55" t="str">
        <x:v>—</x:v>
      </x:c>
      <x:c r="E2965" s="55" t="inlineStr">
        <x:is>
          <x:t>帝星術裝錦囊（網站未列地圖）；紅櫻藝者（西宮翠苑）</x:t>
        </x:is>
      </x:c>
    </x:row>
    <x:row r="2966" ht="15" customHeight="1">
      <x:c r="A2966" s="55" t="str">
        <x:v>道帝袖☆</x:v>
      </x:c>
      <x:c r="B2966" s="55" t="str">
        <x:v>—</x:v>
      </x:c>
      <x:c r="C2966" s="55" t="str">
        <x:v>—</x:v>
      </x:c>
      <x:c r="D2966" s="55" t="str">
        <x:v>—</x:v>
      </x:c>
      <x:c r="E2966" s="55" t="inlineStr">
        <x:is>
          <x:t>帝星道裝錦囊（網站未列地圖）；麗火魔法使（西宮翠苑）</x:t>
        </x:is>
      </x:c>
    </x:row>
    <x:row r="2967" ht="15" customHeight="1">
      <x:c r="A2967" s="55" t="str">
        <x:v>禪帝捻☆</x:v>
      </x:c>
      <x:c r="B2967" s="55" t="str">
        <x:v>—</x:v>
      </x:c>
      <x:c r="C2967" s="55" t="str">
        <x:v>—</x:v>
      </x:c>
      <x:c r="D2967" s="55" t="str">
        <x:v>—</x:v>
      </x:c>
      <x:c r="E2967" s="55" t="inlineStr">
        <x:is>
          <x:t>帝星僧裝錦囊（網站未列地圖）；金蓮碧手（西宮翠苑）</x:t>
        </x:is>
      </x:c>
    </x:row>
    <x:row r="2968" ht="15" customHeight="1">
      <x:c r="A2968" s="55" t="str">
        <x:v>鬼帝臂☆</x:v>
      </x:c>
      <x:c r="B2968" s="55" t="str">
        <x:v>—</x:v>
      </x:c>
      <x:c r="C2968" s="55" t="str">
        <x:v>—</x:v>
      </x:c>
      <x:c r="D2968" s="55" t="str">
        <x:v>—</x:v>
      </x:c>
      <x:c r="E2968" s="55" t="inlineStr">
        <x:is>
          <x:t>帝星四兇霸裝箱（網站未列地圖）；帝星特仕裝箱（網站未列地圖）；長疆大蟲（山海長疆）</x:t>
        </x:is>
      </x:c>
    </x:row>
    <x:row r="2969" ht="15" customHeight="1">
      <x:c r="A2969" s="55" t="str">
        <x:v>黃鳴腕☆</x:v>
      </x:c>
      <x:c r="B2969" s="55" t="str">
        <x:v>—</x:v>
      </x:c>
      <x:c r="C2969" s="55" t="str">
        <x:v>—</x:v>
      </x:c>
      <x:c r="D2969" s="55" t="str">
        <x:v>—</x:v>
      </x:c>
      <x:c r="E2969" s="55" t="inlineStr">
        <x:is>
          <x:t>帝星東瀛神裝箱（網站未列地圖）；帝星特仕裝箱（網站未列地圖）</x:t>
        </x:is>
      </x:c>
    </x:row>
    <x:row r="2970" ht="15" customHeight="1">
      <x:c r="A2970" s="55" t="str">
        <x:v>劍帝握★</x:v>
      </x:c>
      <x:c r="B2970" s="55" t="str">
        <x:v>—</x:v>
      </x:c>
      <x:c r="C2970" s="55" t="str">
        <x:v>—</x:v>
      </x:c>
      <x:c r="D2970" s="55" t="str">
        <x:v>—</x:v>
      </x:c>
      <x:c r="E2970" s="55" t="inlineStr">
        <x:is>
          <x:t>真‧帝星劍裝錦囊（網站未列地圖）</x:t>
        </x:is>
      </x:c>
    </x:row>
    <x:row r="2971" ht="15" customHeight="1">
      <x:c r="A2971" s="55" t="str">
        <x:v>武帝掌★</x:v>
      </x:c>
      <x:c r="B2971" s="55" t="str">
        <x:v>—</x:v>
      </x:c>
      <x:c r="C2971" s="55" t="str">
        <x:v>—</x:v>
      </x:c>
      <x:c r="D2971" s="55" t="str">
        <x:v>—</x:v>
      </x:c>
      <x:c r="E2971" s="55" t="inlineStr">
        <x:is>
          <x:t>真‧帝星勇裝錦囊（網站未列地圖）</x:t>
        </x:is>
      </x:c>
    </x:row>
    <x:row r="2972" ht="15" customHeight="1">
      <x:c r="A2972" s="55" t="str">
        <x:v>幻帝手★</x:v>
      </x:c>
      <x:c r="B2972" s="55" t="str">
        <x:v>—</x:v>
      </x:c>
      <x:c r="C2972" s="55" t="str">
        <x:v>—</x:v>
      </x:c>
      <x:c r="D2972" s="55" t="str">
        <x:v>—</x:v>
      </x:c>
      <x:c r="E2972" s="55" t="inlineStr">
        <x:is>
          <x:t>真‧帝星術裝錦囊（網站未列地圖）</x:t>
        </x:is>
      </x:c>
    </x:row>
    <x:row r="2973" ht="15" customHeight="1">
      <x:c r="A2973" s="55" t="str">
        <x:v>道帝袖★</x:v>
      </x:c>
      <x:c r="B2973" s="55" t="str">
        <x:v>—</x:v>
      </x:c>
      <x:c r="C2973" s="55" t="str">
        <x:v>—</x:v>
      </x:c>
      <x:c r="D2973" s="55" t="str">
        <x:v>—</x:v>
      </x:c>
      <x:c r="E2973" s="55" t="inlineStr">
        <x:is>
          <x:t>真‧帝星道裝錦囊（網站未列地圖）</x:t>
        </x:is>
      </x:c>
    </x:row>
    <x:row r="2974" ht="15" customHeight="1">
      <x:c r="A2974" s="55" t="str">
        <x:v>禪帝捻★</x:v>
      </x:c>
      <x:c r="B2974" s="55" t="str">
        <x:v>—</x:v>
      </x:c>
      <x:c r="C2974" s="55" t="str">
        <x:v>—</x:v>
      </x:c>
      <x:c r="D2974" s="55" t="str">
        <x:v>—</x:v>
      </x:c>
      <x:c r="E2974" s="55" t="inlineStr">
        <x:is>
          <x:t>真‧帝星僧裝錦囊（網站未列地圖）</x:t>
        </x:is>
      </x:c>
    </x:row>
    <x:row r="2975" ht="15" customHeight="1">
      <x:c r="A2975" s="55" t="str">
        <x:v>鬼帝臂★</x:v>
      </x:c>
      <x:c r="B2975" s="55" t="str">
        <x:v>—</x:v>
      </x:c>
      <x:c r="C2975" s="55" t="str">
        <x:v>—</x:v>
      </x:c>
      <x:c r="D2975" s="55" t="str">
        <x:v>—</x:v>
      </x:c>
      <x:c r="E2975" s="55" t="inlineStr">
        <x:is>
          <x:t>真‧帝星四兇霸箱（網站未列地圖）；真‧帝星特仕裝箱（網站未列地圖）</x:t>
        </x:is>
      </x:c>
    </x:row>
    <x:row r="2976" ht="15" customHeight="1">
      <x:c r="A2976" s="55" t="str">
        <x:v>黃鳴腕★</x:v>
      </x:c>
      <x:c r="B2976" s="55" t="str">
        <x:v>—</x:v>
      </x:c>
      <x:c r="C2976" s="55" t="str">
        <x:v>—</x:v>
      </x:c>
      <x:c r="D2976" s="55" t="str">
        <x:v>—</x:v>
      </x:c>
      <x:c r="E2976" s="55" t="inlineStr">
        <x:is>
          <x:t>真‧帝星東瀛神箱（網站未列地圖）；真‧帝星特仕裝箱（網站未列地圖）；武冠勇士錦囊（網站未列地圖）</x:t>
        </x:is>
      </x:c>
    </x:row>
    <x:row r="2977" ht="15" customHeight="1">
      <x:c r="A2977" s="55" t="str">
        <x:v>劍帝握★☆</x:v>
      </x:c>
      <x:c r="B2977" s="55" t="str">
        <x:v>—</x:v>
      </x:c>
      <x:c r="C2977" s="55" t="str">
        <x:v>—</x:v>
      </x:c>
      <x:c r="D2977" s="55" t="str">
        <x:v>—</x:v>
      </x:c>
      <x:c r="E2977" s="55" t="inlineStr">
        <x:is>
          <x:t>超‧帝星劍裝錦囊（網站未列地圖）</x:t>
        </x:is>
      </x:c>
    </x:row>
    <x:row r="2978" ht="15" customHeight="1">
      <x:c r="A2978" s="55" t="str">
        <x:v>武帝掌★☆</x:v>
      </x:c>
      <x:c r="B2978" s="55" t="str">
        <x:v>—</x:v>
      </x:c>
      <x:c r="C2978" s="55" t="str">
        <x:v>—</x:v>
      </x:c>
      <x:c r="D2978" s="55" t="str">
        <x:v>—</x:v>
      </x:c>
      <x:c r="E2978" s="55" t="inlineStr">
        <x:is>
          <x:t>超‧帝星勇裝錦囊（網站未列地圖）</x:t>
        </x:is>
      </x:c>
    </x:row>
    <x:row r="2979" ht="15" customHeight="1">
      <x:c r="A2979" s="55" t="str">
        <x:v>幻帝手★☆</x:v>
      </x:c>
      <x:c r="B2979" s="55" t="str">
        <x:v>—</x:v>
      </x:c>
      <x:c r="C2979" s="55" t="str">
        <x:v>—</x:v>
      </x:c>
      <x:c r="D2979" s="55" t="str">
        <x:v>—</x:v>
      </x:c>
      <x:c r="E2979" s="55" t="inlineStr">
        <x:is>
          <x:t>超‧帝星術裝錦囊（網站未列地圖）</x:t>
        </x:is>
      </x:c>
    </x:row>
    <x:row r="2980" ht="15" customHeight="1">
      <x:c r="A2980" s="55" t="str">
        <x:v>道帝袖★☆</x:v>
      </x:c>
      <x:c r="B2980" s="55" t="str">
        <x:v>—</x:v>
      </x:c>
      <x:c r="C2980" s="55" t="str">
        <x:v>—</x:v>
      </x:c>
      <x:c r="D2980" s="55" t="str">
        <x:v>—</x:v>
      </x:c>
      <x:c r="E2980" s="55" t="inlineStr">
        <x:is>
          <x:t>超‧帝星道裝錦囊（網站未列地圖）</x:t>
        </x:is>
      </x:c>
    </x:row>
    <x:row r="2981" ht="15" customHeight="1">
      <x:c r="A2981" s="55" t="str">
        <x:v>禪帝捻★☆</x:v>
      </x:c>
      <x:c r="B2981" s="55" t="str">
        <x:v>—</x:v>
      </x:c>
      <x:c r="C2981" s="55" t="str">
        <x:v>—</x:v>
      </x:c>
      <x:c r="D2981" s="55" t="str">
        <x:v>—</x:v>
      </x:c>
      <x:c r="E2981" s="55" t="inlineStr">
        <x:is>
          <x:t>超‧帝星僧裝錦囊（網站未列地圖）</x:t>
        </x:is>
      </x:c>
    </x:row>
    <x:row r="2982" ht="15" customHeight="1">
      <x:c r="A2982" s="55" t="str">
        <x:v>鬼帝臂★☆</x:v>
      </x:c>
      <x:c r="B2982" s="55" t="str">
        <x:v>—</x:v>
      </x:c>
      <x:c r="C2982" s="55" t="str">
        <x:v>—</x:v>
      </x:c>
      <x:c r="D2982" s="55" t="str">
        <x:v>—</x:v>
      </x:c>
      <x:c r="E2982" s="55" t="inlineStr">
        <x:is>
          <x:t>超‧帝星四兇霸箱（網站未列地圖）；超‧帝星特仕裝箱（網站未列地圖）</x:t>
        </x:is>
      </x:c>
    </x:row>
    <x:row r="2983" ht="15" customHeight="1">
      <x:c r="A2983" s="55" t="str">
        <x:v>黃鳴腕★☆</x:v>
      </x:c>
      <x:c r="B2983" s="55" t="str">
        <x:v>—</x:v>
      </x:c>
      <x:c r="C2983" s="55" t="str">
        <x:v>—</x:v>
      </x:c>
      <x:c r="D2983" s="55" t="str">
        <x:v>—</x:v>
      </x:c>
      <x:c r="E2983" s="55" t="inlineStr">
        <x:is>
          <x:t>超‧帝星東瀛神箱（網站未列地圖）；超‧帝星特仕裝箱（網站未列地圖）</x:t>
        </x:is>
      </x:c>
    </x:row>
    <x:row r="2984" ht="15" customHeight="1">
      <x:c r="A2984" s="55" t="str">
        <x:v>劍帝握★★</x:v>
      </x:c>
      <x:c r="B2984" s="55" t="str">
        <x:v>—</x:v>
      </x:c>
      <x:c r="C2984" s="55" t="str">
        <x:v>—</x:v>
      </x:c>
      <x:c r="D2984" s="55" t="str">
        <x:v>—</x:v>
      </x:c>
      <x:c r="E2984" s="55" t="inlineStr">
        <x:is>
          <x:t>極‧帝星劍裝錦囊（網站未列地圖）</x:t>
        </x:is>
      </x:c>
    </x:row>
    <x:row r="2985" ht="15" customHeight="1">
      <x:c r="A2985" s="55" t="str">
        <x:v>武帝掌★★</x:v>
      </x:c>
      <x:c r="B2985" s="55" t="str">
        <x:v>—</x:v>
      </x:c>
      <x:c r="C2985" s="55" t="str">
        <x:v>—</x:v>
      </x:c>
      <x:c r="D2985" s="55" t="str">
        <x:v>—</x:v>
      </x:c>
      <x:c r="E2985" s="55" t="inlineStr">
        <x:is>
          <x:t>極‧帝星勇裝錦囊（網站未列地圖）</x:t>
        </x:is>
      </x:c>
    </x:row>
    <x:row r="2986" ht="15" customHeight="1">
      <x:c r="A2986" s="55" t="str">
        <x:v>幻帝手★★</x:v>
      </x:c>
      <x:c r="B2986" s="55" t="str">
        <x:v>—</x:v>
      </x:c>
      <x:c r="C2986" s="55" t="str">
        <x:v>—</x:v>
      </x:c>
      <x:c r="D2986" s="55" t="str">
        <x:v>—</x:v>
      </x:c>
      <x:c r="E2986" s="55" t="inlineStr">
        <x:is>
          <x:t>極‧帝星術裝錦囊（網站未列地圖）</x:t>
        </x:is>
      </x:c>
    </x:row>
    <x:row r="2987" ht="15" customHeight="1">
      <x:c r="A2987" s="55" t="str">
        <x:v>道帝袖★★</x:v>
      </x:c>
      <x:c r="B2987" s="55" t="str">
        <x:v>—</x:v>
      </x:c>
      <x:c r="C2987" s="55" t="str">
        <x:v>—</x:v>
      </x:c>
      <x:c r="D2987" s="55" t="str">
        <x:v>—</x:v>
      </x:c>
      <x:c r="E2987" s="55" t="inlineStr">
        <x:is>
          <x:t>極‧帝星道裝錦囊（網站未列地圖）</x:t>
        </x:is>
      </x:c>
    </x:row>
    <x:row r="2988" ht="15" customHeight="1">
      <x:c r="A2988" s="55" t="str">
        <x:v>禪帝捻★★</x:v>
      </x:c>
      <x:c r="B2988" s="55" t="str">
        <x:v>—</x:v>
      </x:c>
      <x:c r="C2988" s="55" t="str">
        <x:v>—</x:v>
      </x:c>
      <x:c r="D2988" s="55" t="str">
        <x:v>—</x:v>
      </x:c>
      <x:c r="E2988" s="55" t="inlineStr">
        <x:is>
          <x:t>極‧帝星僧裝錦囊（網站未列地圖）</x:t>
        </x:is>
      </x:c>
    </x:row>
    <x:row r="2989" ht="15" customHeight="1">
      <x:c r="A2989" s="55" t="str">
        <x:v>鬼帝臂★★</x:v>
      </x:c>
      <x:c r="B2989" s="55" t="str">
        <x:v>—</x:v>
      </x:c>
      <x:c r="C2989" s="55" t="str">
        <x:v>—</x:v>
      </x:c>
      <x:c r="D2989" s="55" t="str">
        <x:v>—</x:v>
      </x:c>
      <x:c r="E2989" s="55" t="inlineStr">
        <x:is>
          <x:t>極‧帝星四兇霸箱（網站未列地圖）；極‧帝星特仕裝箱（網站未列地圖）</x:t>
        </x:is>
      </x:c>
    </x:row>
    <x:row r="2990" ht="15" customHeight="1">
      <x:c r="A2990" s="55" t="str">
        <x:v>黃鳴腕★★</x:v>
      </x:c>
      <x:c r="B2990" s="55" t="str">
        <x:v>—</x:v>
      </x:c>
      <x:c r="C2990" s="55" t="str">
        <x:v>—</x:v>
      </x:c>
      <x:c r="D2990" s="55" t="str">
        <x:v>—</x:v>
      </x:c>
      <x:c r="E2990" s="55" t="inlineStr">
        <x:is>
          <x:t>極‧帝星東瀛神箱（網站未列地圖）；極‧帝星特仕裝箱（網站未列地圖）</x:t>
        </x:is>
      </x:c>
    </x:row>
    <x:row r="2991" ht="15" customHeight="1">
      <x:c r="A2991" s="55" t="str">
        <x:v>劍帝握★★☆</x:v>
      </x:c>
      <x:c r="B2991" s="55" t="str">
        <x:v>—</x:v>
      </x:c>
      <x:c r="C2991" s="55" t="str">
        <x:v>—</x:v>
      </x:c>
      <x:c r="D2991" s="55" t="str">
        <x:v>—</x:v>
      </x:c>
      <x:c r="E2991" s="55" t="inlineStr">
        <x:is>
          <x:t>絕‧帝星劍裝錦囊（網站未列地圖）</x:t>
        </x:is>
      </x:c>
    </x:row>
    <x:row r="2992" ht="15" customHeight="1">
      <x:c r="A2992" s="55" t="str">
        <x:v>武帝掌★★☆</x:v>
      </x:c>
      <x:c r="B2992" s="55" t="str">
        <x:v>—</x:v>
      </x:c>
      <x:c r="C2992" s="55" t="str">
        <x:v>—</x:v>
      </x:c>
      <x:c r="D2992" s="55" t="str">
        <x:v>—</x:v>
      </x:c>
      <x:c r="E2992" s="55" t="inlineStr">
        <x:is>
          <x:t>絕‧帝星勇裝錦囊（網站未列地圖）</x:t>
        </x:is>
      </x:c>
    </x:row>
    <x:row r="2993" ht="15" customHeight="1">
      <x:c r="A2993" s="55" t="str">
        <x:v>幻帝手★★☆</x:v>
      </x:c>
      <x:c r="B2993" s="55" t="str">
        <x:v>—</x:v>
      </x:c>
      <x:c r="C2993" s="55" t="str">
        <x:v>—</x:v>
      </x:c>
      <x:c r="D2993" s="55" t="str">
        <x:v>—</x:v>
      </x:c>
      <x:c r="E2993" s="55" t="inlineStr">
        <x:is>
          <x:t>絕‧帝星術裝錦囊（網站未列地圖）</x:t>
        </x:is>
      </x:c>
    </x:row>
    <x:row r="2994" ht="15" customHeight="1">
      <x:c r="A2994" s="55" t="str">
        <x:v>道帝袖★★☆</x:v>
      </x:c>
      <x:c r="B2994" s="55" t="str">
        <x:v>—</x:v>
      </x:c>
      <x:c r="C2994" s="55" t="str">
        <x:v>—</x:v>
      </x:c>
      <x:c r="D2994" s="55" t="str">
        <x:v>—</x:v>
      </x:c>
      <x:c r="E2994" s="55" t="inlineStr">
        <x:is>
          <x:t>絕‧帝星道裝錦囊（網站未列地圖）</x:t>
        </x:is>
      </x:c>
    </x:row>
    <x:row r="2995" ht="15" customHeight="1">
      <x:c r="A2995" s="55" t="str">
        <x:v>禪帝捻★★☆</x:v>
      </x:c>
      <x:c r="B2995" s="55" t="str">
        <x:v>—</x:v>
      </x:c>
      <x:c r="C2995" s="55" t="str">
        <x:v>—</x:v>
      </x:c>
      <x:c r="D2995" s="55" t="str">
        <x:v>—</x:v>
      </x:c>
      <x:c r="E2995" s="55" t="inlineStr">
        <x:is>
          <x:t>絕‧帝星僧裝錦囊（網站未列地圖）</x:t>
        </x:is>
      </x:c>
    </x:row>
    <x:row r="2996" ht="15" customHeight="1">
      <x:c r="A2996" s="55" t="str">
        <x:v>鬼帝臂★★☆</x:v>
      </x:c>
      <x:c r="B2996" s="55" t="str">
        <x:v>—</x:v>
      </x:c>
      <x:c r="C2996" s="55" t="str">
        <x:v>—</x:v>
      </x:c>
      <x:c r="D2996" s="55" t="str">
        <x:v>—</x:v>
      </x:c>
      <x:c r="E2996" s="55" t="inlineStr">
        <x:is>
          <x:t>絕‧帝星四兇霸箱（網站未列地圖）；絕‧帝星特仕裝箱（網站未列地圖）</x:t>
        </x:is>
      </x:c>
    </x:row>
    <x:row r="2997" ht="15" customHeight="1">
      <x:c r="A2997" s="55" t="str">
        <x:v>黃鳴腕★★☆</x:v>
      </x:c>
      <x:c r="B2997" s="55" t="str">
        <x:v>—</x:v>
      </x:c>
      <x:c r="C2997" s="55" t="str">
        <x:v>—</x:v>
      </x:c>
      <x:c r="D2997" s="55" t="str">
        <x:v>—</x:v>
      </x:c>
      <x:c r="E2997" s="55" t="inlineStr">
        <x:is>
          <x:t>絕‧帝星東瀛神箱（網站未列地圖）；絕‧帝星特仕裝箱（網站未列地圖）；天元勇士錦囊（網站未列地圖）</x:t>
        </x:is>
      </x:c>
    </x:row>
    <x:row r="2998" ht="15" customHeight="1">
      <x:c r="A2998" s="55" t="str">
        <x:v>劍帝握★★★</x:v>
      </x:c>
      <x:c r="B2998" s="55" t="str">
        <x:v>—</x:v>
      </x:c>
      <x:c r="C2998" s="55" t="str">
        <x:v>—</x:v>
      </x:c>
      <x:c r="D2998" s="55" t="str">
        <x:v>—</x:v>
      </x:c>
      <x:c r="E2998" s="55" t="inlineStr">
        <x:is>
          <x:t>神‧帝星劍裝錦囊（網站未列地圖）</x:t>
        </x:is>
      </x:c>
    </x:row>
    <x:row r="2999" ht="15" customHeight="1">
      <x:c r="A2999" s="55" t="str">
        <x:v>武帝掌★★★</x:v>
      </x:c>
      <x:c r="B2999" s="55" t="str">
        <x:v>—</x:v>
      </x:c>
      <x:c r="C2999" s="55" t="str">
        <x:v>—</x:v>
      </x:c>
      <x:c r="D2999" s="55" t="str">
        <x:v>—</x:v>
      </x:c>
      <x:c r="E2999" s="55" t="inlineStr">
        <x:is>
          <x:t>神‧帝星勇裝錦囊（網站未列地圖）</x:t>
        </x:is>
      </x:c>
    </x:row>
    <x:row r="3000" ht="15" customHeight="1">
      <x:c r="A3000" s="55" t="str">
        <x:v>幻帝手★★★</x:v>
      </x:c>
      <x:c r="B3000" s="55" t="str">
        <x:v>—</x:v>
      </x:c>
      <x:c r="C3000" s="55" t="str">
        <x:v>—</x:v>
      </x:c>
      <x:c r="D3000" s="55" t="str">
        <x:v>—</x:v>
      </x:c>
      <x:c r="E3000" s="55" t="inlineStr">
        <x:is>
          <x:t>神‧帝星術裝錦囊（網站未列地圖）</x:t>
        </x:is>
      </x:c>
    </x:row>
    <x:row r="3001" ht="15" customHeight="1">
      <x:c r="A3001" s="55" t="str">
        <x:v>道帝袖★★★</x:v>
      </x:c>
      <x:c r="B3001" s="55" t="str">
        <x:v>—</x:v>
      </x:c>
      <x:c r="C3001" s="55" t="str">
        <x:v>—</x:v>
      </x:c>
      <x:c r="D3001" s="55" t="str">
        <x:v>—</x:v>
      </x:c>
      <x:c r="E3001" s="55" t="inlineStr">
        <x:is>
          <x:t>神‧帝星道裝錦囊（網站未列地圖）</x:t>
        </x:is>
      </x:c>
    </x:row>
    <x:row r="3002" ht="15" customHeight="1">
      <x:c r="A3002" s="55" t="str">
        <x:v>禪帝捻★★★</x:v>
      </x:c>
      <x:c r="B3002" s="55" t="str">
        <x:v>—</x:v>
      </x:c>
      <x:c r="C3002" s="55" t="str">
        <x:v>—</x:v>
      </x:c>
      <x:c r="D3002" s="55" t="str">
        <x:v>—</x:v>
      </x:c>
      <x:c r="E3002" s="55" t="inlineStr">
        <x:is>
          <x:t>神‧帝星僧裝錦囊（網站未列地圖）</x:t>
        </x:is>
      </x:c>
    </x:row>
    <x:row r="3003" ht="15" customHeight="1">
      <x:c r="A3003" s="55" t="str">
        <x:v>鬼帝臂★★★</x:v>
      </x:c>
      <x:c r="B3003" s="55" t="str">
        <x:v>—</x:v>
      </x:c>
      <x:c r="C3003" s="55" t="str">
        <x:v>—</x:v>
      </x:c>
      <x:c r="D3003" s="55" t="str">
        <x:v>—</x:v>
      </x:c>
      <x:c r="E3003" s="55" t="inlineStr">
        <x:is>
          <x:t>神‧帝星四兇霸箱（網站未列地圖）；神‧帝星特仕裝箱（網站未列地圖）</x:t>
        </x:is>
      </x:c>
    </x:row>
    <x:row r="3004" ht="15" customHeight="1">
      <x:c r="A3004" s="55" t="str">
        <x:v>黃鳴腕★★★</x:v>
      </x:c>
      <x:c r="B3004" s="55" t="str">
        <x:v>—</x:v>
      </x:c>
      <x:c r="C3004" s="55" t="str">
        <x:v>—</x:v>
      </x:c>
      <x:c r="D3004" s="55" t="str">
        <x:v>—</x:v>
      </x:c>
      <x:c r="E3004" s="55" t="inlineStr">
        <x:is>
          <x:t>神‧帝星東瀛神箱（網站未列地圖）；神‧帝星特仕裝箱（網站未列地圖）</x:t>
        </x:is>
      </x:c>
    </x:row>
    <x:row r="3005" ht="15" customHeight="1">
      <x:c r="A3005" s="55" t="str">
        <x:v>新星之劍英腕</x:v>
      </x:c>
      <x:c r="B3005" s="55" t="str">
        <x:v>—</x:v>
      </x:c>
      <x:c r="C3005" s="55" t="str">
        <x:v>—</x:v>
      </x:c>
      <x:c r="D3005" s="55" t="str">
        <x:v>—</x:v>
      </x:c>
      <x:c r="E3005" s="55" t="inlineStr">
        <x:is>
          <x:t>—</x:t>
        </x:is>
      </x:c>
    </x:row>
    <x:row r="3006" ht="15" customHeight="1">
      <x:c r="A3006" s="55" t="str">
        <x:v>新星之武豪臂</x:v>
      </x:c>
      <x:c r="B3006" s="55" t="str">
        <x:v>—</x:v>
      </x:c>
      <x:c r="C3006" s="55" t="str">
        <x:v>—</x:v>
      </x:c>
      <x:c r="D3006" s="55" t="str">
        <x:v>—</x:v>
      </x:c>
      <x:c r="E3006" s="55" t="inlineStr">
        <x:is>
          <x:t>—</x:t>
        </x:is>
      </x:c>
    </x:row>
    <x:row r="3007" ht="15" customHeight="1">
      <x:c r="A3007" s="55" t="str">
        <x:v>新星之術潛指</x:v>
      </x:c>
      <x:c r="B3007" s="55" t="str">
        <x:v>—</x:v>
      </x:c>
      <x:c r="C3007" s="55" t="str">
        <x:v>—</x:v>
      </x:c>
      <x:c r="D3007" s="55" t="str">
        <x:v>—</x:v>
      </x:c>
      <x:c r="E3007" s="55" t="inlineStr">
        <x:is>
          <x:t>—</x:t>
        </x:is>
      </x:c>
    </x:row>
    <x:row r="3008" ht="15" customHeight="1">
      <x:c r="A3008" s="55" t="str">
        <x:v>新星之道明手</x:v>
      </x:c>
      <x:c r="B3008" s="55" t="str">
        <x:v>—</x:v>
      </x:c>
      <x:c r="C3008" s="55" t="str">
        <x:v>—</x:v>
      </x:c>
      <x:c r="D3008" s="55" t="str">
        <x:v>—</x:v>
      </x:c>
      <x:c r="E3008" s="55" t="inlineStr">
        <x:is>
          <x:t>—</x:t>
        </x:is>
      </x:c>
    </x:row>
    <x:row r="3009" ht="15" customHeight="1">
      <x:c r="A3009" s="55" t="str">
        <x:v>新星之禪照握</x:v>
      </x:c>
      <x:c r="B3009" s="55" t="str">
        <x:v>—</x:v>
      </x:c>
      <x:c r="C3009" s="55" t="str">
        <x:v>—</x:v>
      </x:c>
      <x:c r="D3009" s="55" t="str">
        <x:v>—</x:v>
      </x:c>
      <x:c r="E3009" s="55" t="inlineStr">
        <x:is>
          <x:t>—</x:t>
        </x:is>
      </x:c>
    </x:row>
    <x:row r="3010" ht="15" customHeight="1">
      <x:c r="A3010" s="55" t="str">
        <x:v>泰源織腕</x:v>
      </x:c>
      <x:c r="B3010" s="55" t="str">
        <x:v>神州2II主線</x:v>
      </x:c>
      <x:c r="C3010" s="55" t="str">
        <x:v>—</x:v>
      </x:c>
      <x:c r="D3010" s="55" t="str">
        <x:v>—</x:v>
      </x:c>
      <x:c r="E3010" s="55" t="inlineStr">
        <x:is>
          <x:t>—</x:t>
        </x:is>
      </x:c>
    </x:row>
    <x:row r="3011" ht="15" customHeight="1">
      <x:c r="A3011" s="55" t="str">
        <x:v>龍池漆腕</x:v>
      </x:c>
      <x:c r="B3011" s="55" t="str">
        <x:v>六宇浮上主線</x:v>
      </x:c>
      <x:c r="C3011" s="55" t="str">
        <x:v>—</x:v>
      </x:c>
      <x:c r="D3011" s="55" t="str">
        <x:v>—</x:v>
      </x:c>
      <x:c r="E3011" s="55" t="inlineStr">
        <x:is>
          <x:t>—</x:t>
        </x:is>
      </x:c>
    </x:row>
    <x:row r="3012" ht="15" customHeight="1">
      <x:c r="A3012" s="55" t="str">
        <x:v>劍豪旭腕Ⅰ</x:v>
      </x:c>
      <x:c r="B3012" s="55" t="str">
        <x:v>—</x:v>
      </x:c>
      <x:c r="C3012" s="55" t="str">
        <x:v>—</x:v>
      </x:c>
      <x:c r="D3012" s="55" t="str">
        <x:v>—</x:v>
      </x:c>
      <x:c r="E3012" s="55" t="inlineStr">
        <x:is>
          <x:t>—</x:t>
        </x:is>
      </x:c>
    </x:row>
    <x:row r="3013" ht="15" customHeight="1">
      <x:c r="A3013" s="55" t="str">
        <x:v>勇將旭掌Ⅰ</x:v>
      </x:c>
      <x:c r="B3013" s="55" t="str">
        <x:v>—</x:v>
      </x:c>
      <x:c r="C3013" s="55" t="str">
        <x:v>—</x:v>
      </x:c>
      <x:c r="D3013" s="55" t="str">
        <x:v>—</x:v>
      </x:c>
      <x:c r="E3013" s="55" t="inlineStr">
        <x:is>
          <x:t>—</x:t>
        </x:is>
      </x:c>
    </x:row>
    <x:row r="3014" ht="15" customHeight="1">
      <x:c r="A3014" s="55" t="str">
        <x:v>術凌旭指Ⅰ</x:v>
      </x:c>
      <x:c r="B3014" s="55" t="str">
        <x:v>—</x:v>
      </x:c>
      <x:c r="C3014" s="55" t="str">
        <x:v>—</x:v>
      </x:c>
      <x:c r="D3014" s="55" t="str">
        <x:v>—</x:v>
      </x:c>
      <x:c r="E3014" s="55" t="inlineStr">
        <x:is>
          <x:t>—</x:t>
        </x:is>
      </x:c>
    </x:row>
    <x:row r="3015" ht="15" customHeight="1">
      <x:c r="A3015" s="55" t="str">
        <x:v>道清旭袖Ⅰ</x:v>
      </x:c>
      <x:c r="B3015" s="55" t="str">
        <x:v>—</x:v>
      </x:c>
      <x:c r="C3015" s="55" t="str">
        <x:v>—</x:v>
      </x:c>
      <x:c r="D3015" s="55" t="str">
        <x:v>—</x:v>
      </x:c>
      <x:c r="E3015" s="55" t="inlineStr">
        <x:is>
          <x:t>—</x:t>
        </x:is>
      </x:c>
    </x:row>
    <x:row r="3016" ht="15" customHeight="1">
      <x:c r="A3016" s="55" t="str">
        <x:v>禪臺旭執Ⅰ</x:v>
      </x:c>
      <x:c r="B3016" s="55" t="str">
        <x:v>—</x:v>
      </x:c>
      <x:c r="C3016" s="55" t="str">
        <x:v>—</x:v>
      </x:c>
      <x:c r="D3016" s="55" t="str">
        <x:v>—</x:v>
      </x:c>
      <x:c r="E3016" s="55" t="inlineStr">
        <x:is>
          <x:t>—</x:t>
        </x:is>
      </x:c>
    </x:row>
    <x:row r="3017" ht="15" customHeight="1">
      <x:c r="A3017" s="55" t="str">
        <x:v>狂陽赤手Ⅰ</x:v>
      </x:c>
      <x:c r="B3017" s="55" t="str">
        <x:v>—</x:v>
      </x:c>
      <x:c r="C3017" s="55" t="str">
        <x:v>—</x:v>
      </x:c>
      <x:c r="D3017" s="55" t="str">
        <x:v>—</x:v>
      </x:c>
      <x:c r="E3017" s="55" t="inlineStr">
        <x:is>
          <x:t>神島劍俠錦囊（網站未列地圖）；幻三姬霜錦囊（網站未列地圖）</x:t>
        </x:is>
      </x:c>
    </x:row>
    <x:row r="3018" ht="15" customHeight="1">
      <x:c r="A3018" s="55" t="str">
        <x:v>靜月帷腕Ⅰ</x:v>
      </x:c>
      <x:c r="B3018" s="55" t="str">
        <x:v>—</x:v>
      </x:c>
      <x:c r="C3018" s="55" t="str">
        <x:v>—</x:v>
      </x:c>
      <x:c r="D3018" s="55" t="str">
        <x:v>—</x:v>
      </x:c>
      <x:c r="E3018" s="55" t="inlineStr">
        <x:is>
          <x:t>神島僧侶錦囊（網站未列地圖）；幻三虞冰錦囊（網站未列地圖）</x:t>
        </x:is>
      </x:c>
    </x:row>
    <x:row r="3019" ht="15" customHeight="1">
      <x:c r="A3019" s="55" t="str">
        <x:v>宿星爍臂Ⅰ</x:v>
      </x:c>
      <x:c r="B3019" s="55" t="str">
        <x:v>—</x:v>
      </x:c>
      <x:c r="C3019" s="55" t="str">
        <x:v>—</x:v>
      </x:c>
      <x:c r="D3019" s="55" t="str">
        <x:v>—</x:v>
      </x:c>
      <x:c r="E3019" s="55" t="inlineStr">
        <x:is>
          <x:t>幻三姬軒錦囊（網站未列地圖）</x:t>
        </x:is>
      </x:c>
    </x:row>
    <x:row r="3020" ht="15" customHeight="1">
      <x:c r="A3020" s="55" t="str">
        <x:v>劍豪旭腕Ⅱ</x:v>
      </x:c>
      <x:c r="B3020" s="55" t="str">
        <x:v>—</x:v>
      </x:c>
      <x:c r="C3020" s="55" t="str">
        <x:v>—</x:v>
      </x:c>
      <x:c r="D3020" s="55" t="str">
        <x:v>—</x:v>
      </x:c>
      <x:c r="E3020" s="55" t="inlineStr">
        <x:is>
          <x:t>—</x:t>
        </x:is>
      </x:c>
    </x:row>
    <x:row r="3021" ht="15" customHeight="1">
      <x:c r="A3021" s="55" t="str">
        <x:v>勇將旭掌Ⅱ</x:v>
      </x:c>
      <x:c r="B3021" s="55" t="str">
        <x:v>—</x:v>
      </x:c>
      <x:c r="C3021" s="55" t="str">
        <x:v>—</x:v>
      </x:c>
      <x:c r="D3021" s="55" t="str">
        <x:v>—</x:v>
      </x:c>
      <x:c r="E3021" s="55" t="inlineStr">
        <x:is>
          <x:t>—</x:t>
        </x:is>
      </x:c>
    </x:row>
    <x:row r="3022" ht="15" customHeight="1">
      <x:c r="A3022" s="55" t="str">
        <x:v>術凌旭指Ⅱ</x:v>
      </x:c>
      <x:c r="B3022" s="55" t="str">
        <x:v>—</x:v>
      </x:c>
      <x:c r="C3022" s="55" t="str">
        <x:v>—</x:v>
      </x:c>
      <x:c r="D3022" s="55" t="str">
        <x:v>—</x:v>
      </x:c>
      <x:c r="E3022" s="55" t="inlineStr">
        <x:is>
          <x:t>—</x:t>
        </x:is>
      </x:c>
    </x:row>
    <x:row r="3023" ht="15" customHeight="1">
      <x:c r="A3023" s="55" t="str">
        <x:v>道清旭袖Ⅱ</x:v>
      </x:c>
      <x:c r="B3023" s="55" t="str">
        <x:v>—</x:v>
      </x:c>
      <x:c r="C3023" s="55" t="str">
        <x:v>—</x:v>
      </x:c>
      <x:c r="D3023" s="55" t="str">
        <x:v>—</x:v>
      </x:c>
      <x:c r="E3023" s="55" t="inlineStr">
        <x:is>
          <x:t>—</x:t>
        </x:is>
      </x:c>
    </x:row>
    <x:row r="3024" ht="15" customHeight="1">
      <x:c r="A3024" s="55" t="str">
        <x:v>禪臺旭執Ⅱ</x:v>
      </x:c>
      <x:c r="B3024" s="55" t="str">
        <x:v>—</x:v>
      </x:c>
      <x:c r="C3024" s="55" t="str">
        <x:v>—</x:v>
      </x:c>
      <x:c r="D3024" s="55" t="str">
        <x:v>—</x:v>
      </x:c>
      <x:c r="E3024" s="55" t="inlineStr">
        <x:is>
          <x:t>—</x:t>
        </x:is>
      </x:c>
    </x:row>
    <x:row r="3025" ht="15" customHeight="1">
      <x:c r="A3025" s="55" t="str">
        <x:v>狂陽赤手Ⅱ</x:v>
      </x:c>
      <x:c r="B3025" s="55" t="str">
        <x:v>—</x:v>
      </x:c>
      <x:c r="C3025" s="55" t="str">
        <x:v>—</x:v>
      </x:c>
      <x:c r="D3025" s="55" t="str">
        <x:v>—</x:v>
      </x:c>
      <x:c r="E3025" s="55" t="inlineStr">
        <x:is>
          <x:t>—</x:t>
        </x:is>
      </x:c>
    </x:row>
    <x:row r="3026" ht="15" customHeight="1">
      <x:c r="A3026" s="55" t="str">
        <x:v>靜月帷腕Ⅱ</x:v>
      </x:c>
      <x:c r="B3026" s="55" t="str">
        <x:v>—</x:v>
      </x:c>
      <x:c r="C3026" s="55" t="str">
        <x:v>—</x:v>
      </x:c>
      <x:c r="D3026" s="55" t="str">
        <x:v>—</x:v>
      </x:c>
      <x:c r="E3026" s="55" t="inlineStr">
        <x:is>
          <x:t>—</x:t>
        </x:is>
      </x:c>
    </x:row>
    <x:row r="3027" ht="15" customHeight="1">
      <x:c r="A3027" s="55" t="str">
        <x:v>宿星爍臂Ⅱ</x:v>
      </x:c>
      <x:c r="B3027" s="55" t="str">
        <x:v>—</x:v>
      </x:c>
      <x:c r="C3027" s="55" t="str">
        <x:v>—</x:v>
      </x:c>
      <x:c r="D3027" s="55" t="str">
        <x:v>—</x:v>
      </x:c>
      <x:c r="E3027" s="55" t="inlineStr">
        <x:is>
          <x:t>—</x:t>
        </x:is>
      </x:c>
    </x:row>
    <x:row r="3028" ht="15" customHeight="1">
      <x:c r="A3028" s="55" t="str">
        <x:v>劍豪旭腕Ⅲ</x:v>
      </x:c>
      <x:c r="B3028" s="55" t="str">
        <x:v>—</x:v>
      </x:c>
      <x:c r="C3028" s="55" t="str">
        <x:v>—</x:v>
      </x:c>
      <x:c r="D3028" s="55" t="str">
        <x:v>—</x:v>
      </x:c>
      <x:c r="E3028" s="55" t="inlineStr">
        <x:is>
          <x:t>—</x:t>
        </x:is>
      </x:c>
    </x:row>
    <x:row r="3029" ht="15" customHeight="1">
      <x:c r="A3029" s="55" t="str">
        <x:v>勇將旭掌Ⅲ</x:v>
      </x:c>
      <x:c r="B3029" s="55" t="str">
        <x:v>—</x:v>
      </x:c>
      <x:c r="C3029" s="55" t="str">
        <x:v>—</x:v>
      </x:c>
      <x:c r="D3029" s="55" t="str">
        <x:v>—</x:v>
      </x:c>
      <x:c r="E3029" s="55" t="inlineStr">
        <x:is>
          <x:t>—</x:t>
        </x:is>
      </x:c>
    </x:row>
    <x:row r="3030" ht="15" customHeight="1">
      <x:c r="A3030" s="55" t="str">
        <x:v>術凌旭指Ⅲ</x:v>
      </x:c>
      <x:c r="B3030" s="55" t="str">
        <x:v>—</x:v>
      </x:c>
      <x:c r="C3030" s="55" t="str">
        <x:v>—</x:v>
      </x:c>
      <x:c r="D3030" s="55" t="str">
        <x:v>—</x:v>
      </x:c>
      <x:c r="E3030" s="55" t="inlineStr">
        <x:is>
          <x:t>—</x:t>
        </x:is>
      </x:c>
    </x:row>
    <x:row r="3031" ht="15" customHeight="1">
      <x:c r="A3031" s="55" t="str">
        <x:v>道清旭袖Ⅲ</x:v>
      </x:c>
      <x:c r="B3031" s="55" t="str">
        <x:v>—</x:v>
      </x:c>
      <x:c r="C3031" s="55" t="str">
        <x:v>—</x:v>
      </x:c>
      <x:c r="D3031" s="55" t="str">
        <x:v>—</x:v>
      </x:c>
      <x:c r="E3031" s="55" t="inlineStr">
        <x:is>
          <x:t>—</x:t>
        </x:is>
      </x:c>
    </x:row>
    <x:row r="3032" ht="15" customHeight="1">
      <x:c r="A3032" s="55" t="str">
        <x:v>禪臺旭執Ⅲ</x:v>
      </x:c>
      <x:c r="B3032" s="55" t="str">
        <x:v>—</x:v>
      </x:c>
      <x:c r="C3032" s="55" t="str">
        <x:v>—</x:v>
      </x:c>
      <x:c r="D3032" s="55" t="str">
        <x:v>—</x:v>
      </x:c>
      <x:c r="E3032" s="55" t="inlineStr">
        <x:is>
          <x:t>—</x:t>
        </x:is>
      </x:c>
    </x:row>
    <x:row r="3033" ht="15" customHeight="1">
      <x:c r="A3033" s="55" t="str">
        <x:v>狂陽赤手Ⅲ</x:v>
      </x:c>
      <x:c r="B3033" s="55" t="str">
        <x:v>—</x:v>
      </x:c>
      <x:c r="C3033" s="55" t="str">
        <x:v>—</x:v>
      </x:c>
      <x:c r="D3033" s="55" t="str">
        <x:v>—</x:v>
      </x:c>
      <x:c r="E3033" s="55" t="inlineStr">
        <x:is>
          <x:t>—</x:t>
        </x:is>
      </x:c>
    </x:row>
    <x:row r="3034" ht="15" customHeight="1">
      <x:c r="A3034" s="55" t="str">
        <x:v>靜月帷腕Ⅲ</x:v>
      </x:c>
      <x:c r="B3034" s="55" t="str">
        <x:v>—</x:v>
      </x:c>
      <x:c r="C3034" s="55" t="str">
        <x:v>—</x:v>
      </x:c>
      <x:c r="D3034" s="55" t="str">
        <x:v>—</x:v>
      </x:c>
      <x:c r="E3034" s="55" t="inlineStr">
        <x:is>
          <x:t>—</x:t>
        </x:is>
      </x:c>
    </x:row>
    <x:row r="3035" ht="15" customHeight="1">
      <x:c r="A3035" s="55" t="str">
        <x:v>宿星爍臂Ⅲ</x:v>
      </x:c>
      <x:c r="B3035" s="55" t="str">
        <x:v>—</x:v>
      </x:c>
      <x:c r="C3035" s="55" t="str">
        <x:v>—</x:v>
      </x:c>
      <x:c r="D3035" s="55" t="str">
        <x:v>—</x:v>
      </x:c>
      <x:c r="E3035" s="55" t="inlineStr">
        <x:is>
          <x:t>—</x:t>
        </x:is>
      </x:c>
    </x:row>
    <x:row r="3036" ht="15" customHeight="1">
      <x:c r="A3036" s="55" t="str">
        <x:v>劍豪旭腕Ⅳ</x:v>
      </x:c>
      <x:c r="B3036" s="55" t="str">
        <x:v>—</x:v>
      </x:c>
      <x:c r="C3036" s="55" t="str">
        <x:v>—</x:v>
      </x:c>
      <x:c r="D3036" s="55" t="str">
        <x:v>—</x:v>
      </x:c>
      <x:c r="E3036" s="55" t="inlineStr">
        <x:is>
          <x:t>—</x:t>
        </x:is>
      </x:c>
    </x:row>
    <x:row r="3037" ht="15" customHeight="1">
      <x:c r="A3037" s="55" t="str">
        <x:v>勇將旭掌Ⅳ</x:v>
      </x:c>
      <x:c r="B3037" s="55" t="str">
        <x:v>—</x:v>
      </x:c>
      <x:c r="C3037" s="55" t="str">
        <x:v>—</x:v>
      </x:c>
      <x:c r="D3037" s="55" t="str">
        <x:v>—</x:v>
      </x:c>
      <x:c r="E3037" s="55" t="inlineStr">
        <x:is>
          <x:t>—</x:t>
        </x:is>
      </x:c>
    </x:row>
    <x:row r="3038" ht="15" customHeight="1">
      <x:c r="A3038" s="55" t="str">
        <x:v>術凌旭指Ⅳ</x:v>
      </x:c>
      <x:c r="B3038" s="55" t="str">
        <x:v>—</x:v>
      </x:c>
      <x:c r="C3038" s="55" t="str">
        <x:v>—</x:v>
      </x:c>
      <x:c r="D3038" s="55" t="str">
        <x:v>—</x:v>
      </x:c>
      <x:c r="E3038" s="55" t="inlineStr">
        <x:is>
          <x:t>—</x:t>
        </x:is>
      </x:c>
    </x:row>
    <x:row r="3039" ht="15" customHeight="1">
      <x:c r="A3039" s="55" t="str">
        <x:v>道清旭袖Ⅳ</x:v>
      </x:c>
      <x:c r="B3039" s="55" t="str">
        <x:v>—</x:v>
      </x:c>
      <x:c r="C3039" s="55" t="str">
        <x:v>—</x:v>
      </x:c>
      <x:c r="D3039" s="55" t="str">
        <x:v>—</x:v>
      </x:c>
      <x:c r="E3039" s="55" t="inlineStr">
        <x:is>
          <x:t>—</x:t>
        </x:is>
      </x:c>
    </x:row>
    <x:row r="3040" ht="15" customHeight="1">
      <x:c r="A3040" s="55" t="str">
        <x:v>禪臺旭執Ⅳ</x:v>
      </x:c>
      <x:c r="B3040" s="55" t="str">
        <x:v>—</x:v>
      </x:c>
      <x:c r="C3040" s="55" t="str">
        <x:v>—</x:v>
      </x:c>
      <x:c r="D3040" s="55" t="str">
        <x:v>—</x:v>
      </x:c>
      <x:c r="E3040" s="55" t="inlineStr">
        <x:is>
          <x:t>—</x:t>
        </x:is>
      </x:c>
    </x:row>
    <x:row r="3041" ht="15" customHeight="1">
      <x:c r="A3041" s="55" t="str">
        <x:v>狂陽赤手Ⅳ</x:v>
      </x:c>
      <x:c r="B3041" s="55" t="str">
        <x:v>—</x:v>
      </x:c>
      <x:c r="C3041" s="55" t="str">
        <x:v>—</x:v>
      </x:c>
      <x:c r="D3041" s="55" t="str">
        <x:v>—</x:v>
      </x:c>
      <x:c r="E3041" s="55" t="inlineStr">
        <x:is>
          <x:t>殤不患錦囊（網站未列地圖）</x:t>
        </x:is>
      </x:c>
    </x:row>
    <x:row r="3042" ht="15" customHeight="1">
      <x:c r="A3042" s="55" t="str">
        <x:v>靜月帷腕Ⅳ</x:v>
      </x:c>
      <x:c r="B3042" s="55" t="str">
        <x:v>—</x:v>
      </x:c>
      <x:c r="C3042" s="55" t="str">
        <x:v>—</x:v>
      </x:c>
      <x:c r="D3042" s="55" t="str">
        <x:v>—</x:v>
      </x:c>
      <x:c r="E3042" s="55" t="inlineStr">
        <x:is>
          <x:t>浪巫謠錦囊（網站未列地圖）</x:t>
        </x:is>
      </x:c>
    </x:row>
    <x:row r="3043" ht="15" customHeight="1">
      <x:c r="A3043" s="55" t="str">
        <x:v>宿星爍臂Ⅳ</x:v>
      </x:c>
      <x:c r="B3043" s="55" t="str">
        <x:v>—</x:v>
      </x:c>
      <x:c r="C3043" s="55" t="str">
        <x:v>—</x:v>
      </x:c>
      <x:c r="D3043" s="55" t="str">
        <x:v>—</x:v>
      </x:c>
      <x:c r="E3043" s="55" t="inlineStr">
        <x:is>
          <x:t>—</x:t>
        </x:is>
      </x:c>
    </x:row>
    <x:row r="3044" ht="15" customHeight="1">
      <x:c r="A3044" s="55" t="str">
        <x:v>劍豪旭腕Ⅴ</x:v>
      </x:c>
      <x:c r="B3044" s="55" t="str">
        <x:v>—</x:v>
      </x:c>
      <x:c r="C3044" s="55" t="str">
        <x:v>—</x:v>
      </x:c>
      <x:c r="D3044" s="55" t="str">
        <x:v>—</x:v>
      </x:c>
      <x:c r="E3044" s="55" t="inlineStr">
        <x:is>
          <x:t>—</x:t>
        </x:is>
      </x:c>
    </x:row>
    <x:row r="3045" ht="15" customHeight="1">
      <x:c r="A3045" s="55" t="str">
        <x:v>勇將旭掌Ⅴ</x:v>
      </x:c>
      <x:c r="B3045" s="55" t="str">
        <x:v>—</x:v>
      </x:c>
      <x:c r="C3045" s="55" t="str">
        <x:v>—</x:v>
      </x:c>
      <x:c r="D3045" s="55" t="str">
        <x:v>—</x:v>
      </x:c>
      <x:c r="E3045" s="55" t="inlineStr">
        <x:is>
          <x:t>—</x:t>
        </x:is>
      </x:c>
    </x:row>
    <x:row r="3046" ht="15" customHeight="1">
      <x:c r="A3046" s="55" t="str">
        <x:v>術凌旭指Ⅴ</x:v>
      </x:c>
      <x:c r="B3046" s="55" t="str">
        <x:v>—</x:v>
      </x:c>
      <x:c r="C3046" s="55" t="str">
        <x:v>—</x:v>
      </x:c>
      <x:c r="D3046" s="55" t="str">
        <x:v>—</x:v>
      </x:c>
      <x:c r="E3046" s="55" t="inlineStr">
        <x:is>
          <x:t>—</x:t>
        </x:is>
      </x:c>
    </x:row>
    <x:row r="3047" ht="15" customHeight="1">
      <x:c r="A3047" s="55" t="str">
        <x:v>道清旭袖Ⅴ</x:v>
      </x:c>
      <x:c r="B3047" s="55" t="str">
        <x:v>—</x:v>
      </x:c>
      <x:c r="C3047" s="55" t="str">
        <x:v>—</x:v>
      </x:c>
      <x:c r="D3047" s="55" t="str">
        <x:v>—</x:v>
      </x:c>
      <x:c r="E3047" s="55" t="inlineStr">
        <x:is>
          <x:t>—</x:t>
        </x:is>
      </x:c>
    </x:row>
    <x:row r="3048" ht="15" customHeight="1">
      <x:c r="A3048" s="55" t="str">
        <x:v>禪臺旭執Ⅴ</x:v>
      </x:c>
      <x:c r="B3048" s="55" t="str">
        <x:v>—</x:v>
      </x:c>
      <x:c r="C3048" s="55" t="str">
        <x:v>—</x:v>
      </x:c>
      <x:c r="D3048" s="55" t="str">
        <x:v>—</x:v>
      </x:c>
      <x:c r="E3048" s="55" t="inlineStr">
        <x:is>
          <x:t>—</x:t>
        </x:is>
      </x:c>
    </x:row>
    <x:row r="3049" ht="15" customHeight="1">
      <x:c r="A3049" s="55" t="str">
        <x:v>狂陽赤手Ⅴ</x:v>
      </x:c>
      <x:c r="B3049" s="55" t="str">
        <x:v>—</x:v>
      </x:c>
      <x:c r="C3049" s="55" t="str">
        <x:v>—</x:v>
      </x:c>
      <x:c r="D3049" s="55" t="str">
        <x:v>—</x:v>
      </x:c>
      <x:c r="E3049" s="55" t="inlineStr">
        <x:is>
          <x:t>—</x:t>
        </x:is>
      </x:c>
    </x:row>
    <x:row r="3050" ht="15" customHeight="1">
      <x:c r="A3050" s="55" t="str">
        <x:v>靜月帷腕Ⅴ</x:v>
      </x:c>
      <x:c r="B3050" s="55" t="str">
        <x:v>—</x:v>
      </x:c>
      <x:c r="C3050" s="55" t="str">
        <x:v>—</x:v>
      </x:c>
      <x:c r="D3050" s="55" t="str">
        <x:v>—</x:v>
      </x:c>
      <x:c r="E3050" s="55" t="inlineStr">
        <x:is>
          <x:t>—</x:t>
        </x:is>
      </x:c>
    </x:row>
    <x:row r="3051" ht="15" customHeight="1">
      <x:c r="A3051" s="55" t="str">
        <x:v>宿星爍臂Ⅴ</x:v>
      </x:c>
      <x:c r="B3051" s="55" t="str">
        <x:v>—</x:v>
      </x:c>
      <x:c r="C3051" s="55" t="str">
        <x:v>—</x:v>
      </x:c>
      <x:c r="D3051" s="55" t="str">
        <x:v>—</x:v>
      </x:c>
      <x:c r="E3051" s="55" t="inlineStr">
        <x:is>
          <x:t>—</x:t>
        </x:is>
      </x:c>
    </x:row>
    <x:row r="3052" ht="15" customHeight="1">
      <x:c r="A3052" s="55" t="str">
        <x:v>宇鋒飄腕Ⅰ</x:v>
      </x:c>
      <x:c r="B3052" s="55" t="str">
        <x:v>—</x:v>
      </x:c>
      <x:c r="C3052" s="55" t="str">
        <x:v>—</x:v>
      </x:c>
      <x:c r="D3052" s="55" t="str">
        <x:v>—</x:v>
      </x:c>
      <x:c r="E3052" s="55" t="inlineStr">
        <x:is>
          <x:t>玄宙劍裝錦囊（網站未列地圖）</x:t>
        </x:is>
      </x:c>
    </x:row>
    <x:row r="3053" ht="15" customHeight="1">
      <x:c r="A3053" s="55" t="str">
        <x:v>天衛宙臂Ⅰ</x:v>
      </x:c>
      <x:c r="B3053" s="55" t="str">
        <x:v>—</x:v>
      </x:c>
      <x:c r="C3053" s="55" t="str">
        <x:v>—</x:v>
      </x:c>
      <x:c r="D3053" s="55" t="str">
        <x:v>—</x:v>
      </x:c>
      <x:c r="E3053" s="55" t="inlineStr">
        <x:is>
          <x:t>玄宙勇裝錦囊（網站未列地圖）</x:t>
        </x:is>
      </x:c>
    </x:row>
    <x:row r="3054" ht="15" customHeight="1">
      <x:c r="A3054" s="55" t="str">
        <x:v>光術快手Ⅰ</x:v>
      </x:c>
      <x:c r="B3054" s="55" t="str">
        <x:v>—</x:v>
      </x:c>
      <x:c r="C3054" s="55" t="str">
        <x:v>—</x:v>
      </x:c>
      <x:c r="D3054" s="55" t="str">
        <x:v>—</x:v>
      </x:c>
      <x:c r="E3054" s="55" t="inlineStr">
        <x:is>
          <x:t>玄宙術裝錦囊（網站未列地圖）</x:t>
        </x:is>
      </x:c>
    </x:row>
    <x:row r="3055" ht="15" customHeight="1">
      <x:c r="A3055" s="55" t="str">
        <x:v>辰道玄袖Ⅰ</x:v>
      </x:c>
      <x:c r="B3055" s="55" t="str">
        <x:v>—</x:v>
      </x:c>
      <x:c r="C3055" s="55" t="str">
        <x:v>—</x:v>
      </x:c>
      <x:c r="D3055" s="55" t="str">
        <x:v>—</x:v>
      </x:c>
      <x:c r="E3055" s="55" t="inlineStr">
        <x:is>
          <x:t>玄宙道裝錦囊（網站未列地圖）</x:t>
        </x:is>
      </x:c>
    </x:row>
    <x:row r="3056" ht="15" customHeight="1">
      <x:c r="A3056" s="55" t="str">
        <x:v>寂禪若持Ⅰ</x:v>
      </x:c>
      <x:c r="B3056" s="55" t="str">
        <x:v>—</x:v>
      </x:c>
      <x:c r="C3056" s="55" t="str">
        <x:v>—</x:v>
      </x:c>
      <x:c r="D3056" s="55" t="str">
        <x:v>—</x:v>
      </x:c>
      <x:c r="E3056" s="55" t="inlineStr">
        <x:is>
          <x:t>玄宙僧裝錦囊（網站未列地圖）</x:t>
        </x:is>
      </x:c>
    </x:row>
    <x:row r="3057" ht="15" customHeight="1">
      <x:c r="A3057" s="55" t="str">
        <x:v>騰陽烈釬Ⅰ</x:v>
      </x:c>
      <x:c r="B3057" s="55" t="str">
        <x:v>—</x:v>
      </x:c>
      <x:c r="C3057" s="55" t="str">
        <x:v>—</x:v>
      </x:c>
      <x:c r="D3057" s="55" t="str">
        <x:v>—</x:v>
      </x:c>
      <x:c r="E3057" s="55" t="inlineStr">
        <x:is>
          <x:t>玄宙騰陽特裝箱（網站未列地圖）；玄宙特仕裝箱（網站未列地圖）</x:t>
        </x:is>
      </x:c>
    </x:row>
    <x:row r="3058" ht="15" customHeight="1">
      <x:c r="A3058" s="55" t="str">
        <x:v>凜月影束Ⅰ</x:v>
      </x:c>
      <x:c r="B3058" s="55" t="str">
        <x:v>—</x:v>
      </x:c>
      <x:c r="C3058" s="55" t="str">
        <x:v>—</x:v>
      </x:c>
      <x:c r="D3058" s="55" t="str">
        <x:v>—</x:v>
      </x:c>
      <x:c r="E3058" s="55" t="inlineStr">
        <x:is>
          <x:t>玄宙凜月特裝箱（網站未列地圖）；玄宙特仕裝箱（網站未列地圖）</x:t>
        </x:is>
      </x:c>
    </x:row>
    <x:row r="3059" ht="15" customHeight="1">
      <x:c r="A3059" s="55" t="str">
        <x:v>舞星鎢掌Ⅰ</x:v>
      </x:c>
      <x:c r="B3059" s="55" t="str">
        <x:v>—</x:v>
      </x:c>
      <x:c r="C3059" s="55" t="str">
        <x:v>—</x:v>
      </x:c>
      <x:c r="D3059" s="55" t="str">
        <x:v>—</x:v>
      </x:c>
      <x:c r="E3059" s="55" t="inlineStr">
        <x:is>
          <x:t>玄宙舞星特裝箱（網站未列地圖）；玄宙特仕裝箱（網站未列地圖）</x:t>
        </x:is>
      </x:c>
    </x:row>
    <x:row r="3060" ht="15" customHeight="1">
      <x:c r="A3060" s="55" t="str">
        <x:v>宇鋒飄腕Ⅱ</x:v>
      </x:c>
      <x:c r="B3060" s="55" t="str">
        <x:v>—</x:v>
      </x:c>
      <x:c r="C3060" s="55" t="str">
        <x:v>—</x:v>
      </x:c>
      <x:c r="D3060" s="55" t="str">
        <x:v>—</x:v>
      </x:c>
      <x:c r="E3060" s="55" t="inlineStr">
        <x:is>
          <x:t>真．玄宙劍裝錦囊（網站未列地圖）</x:t>
        </x:is>
      </x:c>
    </x:row>
    <x:row r="3061" ht="15" customHeight="1">
      <x:c r="A3061" s="55" t="str">
        <x:v>天衛宙臂Ⅱ</x:v>
      </x:c>
      <x:c r="B3061" s="55" t="str">
        <x:v>—</x:v>
      </x:c>
      <x:c r="C3061" s="55" t="str">
        <x:v>—</x:v>
      </x:c>
      <x:c r="D3061" s="55" t="str">
        <x:v>—</x:v>
      </x:c>
      <x:c r="E3061" s="55" t="inlineStr">
        <x:is>
          <x:t>真．玄宙勇裝錦囊（網站未列地圖）</x:t>
        </x:is>
      </x:c>
    </x:row>
    <x:row r="3062" ht="15" customHeight="1">
      <x:c r="A3062" s="55" t="str">
        <x:v>光術快手Ⅱ</x:v>
      </x:c>
      <x:c r="B3062" s="55" t="str">
        <x:v>—</x:v>
      </x:c>
      <x:c r="C3062" s="55" t="str">
        <x:v>—</x:v>
      </x:c>
      <x:c r="D3062" s="55" t="str">
        <x:v>—</x:v>
      </x:c>
      <x:c r="E3062" s="55" t="inlineStr">
        <x:is>
          <x:t>真．玄宙術裝錦囊（網站未列地圖）</x:t>
        </x:is>
      </x:c>
    </x:row>
    <x:row r="3063" ht="15" customHeight="1">
      <x:c r="A3063" s="55" t="str">
        <x:v>辰道玄袖Ⅱ</x:v>
      </x:c>
      <x:c r="B3063" s="55" t="str">
        <x:v>—</x:v>
      </x:c>
      <x:c r="C3063" s="55" t="str">
        <x:v>—</x:v>
      </x:c>
      <x:c r="D3063" s="55" t="str">
        <x:v>—</x:v>
      </x:c>
      <x:c r="E3063" s="55" t="inlineStr">
        <x:is>
          <x:t>真．玄宙道裝錦囊（網站未列地圖）</x:t>
        </x:is>
      </x:c>
    </x:row>
    <x:row r="3064" ht="15" customHeight="1">
      <x:c r="A3064" s="55" t="str">
        <x:v>寂禪若持Ⅱ</x:v>
      </x:c>
      <x:c r="B3064" s="55" t="str">
        <x:v>—</x:v>
      </x:c>
      <x:c r="C3064" s="55" t="str">
        <x:v>—</x:v>
      </x:c>
      <x:c r="D3064" s="55" t="str">
        <x:v>—</x:v>
      </x:c>
      <x:c r="E3064" s="55" t="inlineStr">
        <x:is>
          <x:t>真．玄宙僧裝錦囊（網站未列地圖）</x:t>
        </x:is>
      </x:c>
    </x:row>
    <x:row r="3065" ht="15" customHeight="1">
      <x:c r="A3065" s="55" t="str">
        <x:v>騰陽烈釬Ⅱ</x:v>
      </x:c>
      <x:c r="B3065" s="55" t="str">
        <x:v>—</x:v>
      </x:c>
      <x:c r="C3065" s="55" t="str">
        <x:v>—</x:v>
      </x:c>
      <x:c r="D3065" s="55" t="str">
        <x:v>—</x:v>
      </x:c>
      <x:c r="E3065" s="55" t="inlineStr">
        <x:is>
          <x:t>真．玄宙騰陽裝箱（網站未列地圖）；真．玄宙特仕裝箱（網站未列地圖）</x:t>
        </x:is>
      </x:c>
    </x:row>
    <x:row r="3066" ht="15" customHeight="1">
      <x:c r="A3066" s="55" t="str">
        <x:v>凜月影束Ⅱ</x:v>
      </x:c>
      <x:c r="B3066" s="55" t="str">
        <x:v>—</x:v>
      </x:c>
      <x:c r="C3066" s="55" t="str">
        <x:v>—</x:v>
      </x:c>
      <x:c r="D3066" s="55" t="str">
        <x:v>—</x:v>
      </x:c>
      <x:c r="E3066" s="55" t="inlineStr">
        <x:is>
          <x:t>真．玄宙凜月裝箱（網站未列地圖）；真．玄宙特仕裝箱（網站未列地圖）；活俠唐布衣錦囊（網站未列地圖）</x:t>
        </x:is>
      </x:c>
    </x:row>
    <x:row r="3067" ht="15" customHeight="1">
      <x:c r="A3067" s="55" t="str">
        <x:v>舞星鎢掌Ⅱ</x:v>
      </x:c>
      <x:c r="B3067" s="55" t="str">
        <x:v>—</x:v>
      </x:c>
      <x:c r="C3067" s="55" t="str">
        <x:v>—</x:v>
      </x:c>
      <x:c r="D3067" s="55" t="str">
        <x:v>—</x:v>
      </x:c>
      <x:c r="E3067" s="55" t="inlineStr">
        <x:is>
          <x:t>真．玄宙舞星裝箱（網站未列地圖）；真．玄宙特仕裝箱（網站未列地圖）；絕代江小魚錦囊（網站未列地圖）</x:t>
        </x:is>
      </x:c>
    </x:row>
    <x:row r="3068" ht="15" customHeight="1">
      <x:c r="A3068" s="55" t="str">
        <x:v>宇鋒飄腕Ⅲ</x:v>
      </x:c>
      <x:c r="B3068" s="55" t="str">
        <x:v>—</x:v>
      </x:c>
      <x:c r="C3068" s="55" t="str">
        <x:v>—</x:v>
      </x:c>
      <x:c r="D3068" s="55" t="str">
        <x:v>—</x:v>
      </x:c>
      <x:c r="E3068" s="55" t="inlineStr">
        <x:is>
          <x:t>超．玄宙劍裝錦囊（網站未列地圖）</x:t>
        </x:is>
      </x:c>
    </x:row>
    <x:row r="3069" ht="15" customHeight="1">
      <x:c r="A3069" s="55" t="str">
        <x:v>天衛宙臂Ⅲ</x:v>
      </x:c>
      <x:c r="B3069" s="55" t="str">
        <x:v>—</x:v>
      </x:c>
      <x:c r="C3069" s="55" t="str">
        <x:v>—</x:v>
      </x:c>
      <x:c r="D3069" s="55" t="str">
        <x:v>—</x:v>
      </x:c>
      <x:c r="E3069" s="55" t="inlineStr">
        <x:is>
          <x:t>超．玄宙勇裝錦囊（網站未列地圖）</x:t>
        </x:is>
      </x:c>
    </x:row>
    <x:row r="3070" ht="15" customHeight="1">
      <x:c r="A3070" s="55" t="str">
        <x:v>光術快手Ⅲ</x:v>
      </x:c>
      <x:c r="B3070" s="55" t="str">
        <x:v>—</x:v>
      </x:c>
      <x:c r="C3070" s="55" t="str">
        <x:v>—</x:v>
      </x:c>
      <x:c r="D3070" s="55" t="str">
        <x:v>—</x:v>
      </x:c>
      <x:c r="E3070" s="55" t="inlineStr">
        <x:is>
          <x:t>超．玄宙術裝錦囊（網站未列地圖）</x:t>
        </x:is>
      </x:c>
    </x:row>
    <x:row r="3071" ht="15" customHeight="1">
      <x:c r="A3071" s="55" t="str">
        <x:v>辰道玄袖Ⅲ</x:v>
      </x:c>
      <x:c r="B3071" s="55" t="str">
        <x:v>—</x:v>
      </x:c>
      <x:c r="C3071" s="55" t="str">
        <x:v>—</x:v>
      </x:c>
      <x:c r="D3071" s="55" t="str">
        <x:v>—</x:v>
      </x:c>
      <x:c r="E3071" s="55" t="inlineStr">
        <x:is>
          <x:t>超．玄宙道裝錦囊（網站未列地圖）</x:t>
        </x:is>
      </x:c>
    </x:row>
    <x:row r="3072" ht="15" customHeight="1">
      <x:c r="A3072" s="55" t="str">
        <x:v>寂禪若持Ⅲ</x:v>
      </x:c>
      <x:c r="B3072" s="55" t="str">
        <x:v>—</x:v>
      </x:c>
      <x:c r="C3072" s="55" t="str">
        <x:v>—</x:v>
      </x:c>
      <x:c r="D3072" s="55" t="str">
        <x:v>—</x:v>
      </x:c>
      <x:c r="E3072" s="55" t="inlineStr">
        <x:is>
          <x:t>超．玄宙僧裝錦囊（網站未列地圖）</x:t>
        </x:is>
      </x:c>
    </x:row>
    <x:row r="3073" ht="15" customHeight="1">
      <x:c r="A3073" s="55" t="str">
        <x:v>騰陽烈釬Ⅲ</x:v>
      </x:c>
      <x:c r="B3073" s="55" t="str">
        <x:v>—</x:v>
      </x:c>
      <x:c r="C3073" s="55" t="str">
        <x:v>—</x:v>
      </x:c>
      <x:c r="D3073" s="55" t="str">
        <x:v>—</x:v>
      </x:c>
      <x:c r="E3073" s="55" t="inlineStr">
        <x:is>
          <x:t>超．玄宙騰陽裝箱（網站未列地圖）；超．玄宙特仕裝箱（網站未列地圖）</x:t>
        </x:is>
      </x:c>
    </x:row>
    <x:row r="3074" ht="15" customHeight="1">
      <x:c r="A3074" s="55" t="str">
        <x:v>凜月影束Ⅲ</x:v>
      </x:c>
      <x:c r="B3074" s="55" t="str">
        <x:v>—</x:v>
      </x:c>
      <x:c r="C3074" s="55" t="str">
        <x:v>—</x:v>
      </x:c>
      <x:c r="D3074" s="55" t="str">
        <x:v>—</x:v>
      </x:c>
      <x:c r="E3074" s="55" t="inlineStr">
        <x:is>
          <x:t>超．玄宙凜月裝箱（網站未列地圖）；超．玄宙特仕裝箱（網站未列地圖）</x:t>
        </x:is>
      </x:c>
    </x:row>
    <x:row r="3075" ht="15" customHeight="1">
      <x:c r="A3075" s="55" t="str">
        <x:v>舞星鎢掌Ⅲ</x:v>
      </x:c>
      <x:c r="B3075" s="55" t="str">
        <x:v>—</x:v>
      </x:c>
      <x:c r="C3075" s="55" t="str">
        <x:v>—</x:v>
      </x:c>
      <x:c r="D3075" s="55" t="str">
        <x:v>—</x:v>
      </x:c>
      <x:c r="E3075" s="55" t="inlineStr">
        <x:is>
          <x:t>超．玄宙舞星裝箱（網站未列地圖）；超．玄宙特仕裝箱（網站未列地圖）</x:t>
        </x:is>
      </x:c>
    </x:row>
    <x:row r="3076" ht="15" customHeight="1">
      <x:c r="A3076" s="55" t="str">
        <x:v>宇鋒飄腕Ⅳ</x:v>
      </x:c>
      <x:c r="B3076" s="55" t="str">
        <x:v>—</x:v>
      </x:c>
      <x:c r="C3076" s="55" t="str">
        <x:v>—</x:v>
      </x:c>
      <x:c r="D3076" s="55" t="str">
        <x:v>—</x:v>
      </x:c>
      <x:c r="E3076" s="55" t="inlineStr">
        <x:is>
          <x:t>極．玄宙劍裝錦囊（網站未列地圖）</x:t>
        </x:is>
      </x:c>
    </x:row>
    <x:row r="3077" ht="15" customHeight="1">
      <x:c r="A3077" s="55" t="str">
        <x:v>天衛宙臂Ⅳ</x:v>
      </x:c>
      <x:c r="B3077" s="55" t="str">
        <x:v>—</x:v>
      </x:c>
      <x:c r="C3077" s="55" t="str">
        <x:v>—</x:v>
      </x:c>
      <x:c r="D3077" s="55" t="str">
        <x:v>—</x:v>
      </x:c>
      <x:c r="E3077" s="55" t="inlineStr">
        <x:is>
          <x:t>極．玄宙勇裝錦囊（網站未列地圖）</x:t>
        </x:is>
      </x:c>
    </x:row>
    <x:row r="3078" ht="15" customHeight="1">
      <x:c r="A3078" s="55" t="str">
        <x:v>光術快手Ⅳ</x:v>
      </x:c>
      <x:c r="B3078" s="55" t="str">
        <x:v>—</x:v>
      </x:c>
      <x:c r="C3078" s="55" t="str">
        <x:v>—</x:v>
      </x:c>
      <x:c r="D3078" s="55" t="str">
        <x:v>—</x:v>
      </x:c>
      <x:c r="E3078" s="55" t="inlineStr">
        <x:is>
          <x:t>極．玄宙術裝錦囊（網站未列地圖）</x:t>
        </x:is>
      </x:c>
    </x:row>
    <x:row r="3079" ht="15" customHeight="1">
      <x:c r="A3079" s="55" t="str">
        <x:v>辰道玄袖Ⅳ</x:v>
      </x:c>
      <x:c r="B3079" s="55" t="str">
        <x:v>—</x:v>
      </x:c>
      <x:c r="C3079" s="55" t="str">
        <x:v>—</x:v>
      </x:c>
      <x:c r="D3079" s="55" t="str">
        <x:v>—</x:v>
      </x:c>
      <x:c r="E3079" s="55" t="inlineStr">
        <x:is>
          <x:t>極．玄宙道裝錦囊（網站未列地圖）</x:t>
        </x:is>
      </x:c>
    </x:row>
    <x:row r="3080" ht="15" customHeight="1">
      <x:c r="A3080" s="55" t="str">
        <x:v>寂禪若持Ⅳ</x:v>
      </x:c>
      <x:c r="B3080" s="55" t="str">
        <x:v>—</x:v>
      </x:c>
      <x:c r="C3080" s="55" t="str">
        <x:v>—</x:v>
      </x:c>
      <x:c r="D3080" s="55" t="str">
        <x:v>—</x:v>
      </x:c>
      <x:c r="E3080" s="55" t="inlineStr">
        <x:is>
          <x:t>極．玄宙僧裝錦囊（網站未列地圖）</x:t>
        </x:is>
      </x:c>
    </x:row>
    <x:row r="3081" ht="15" customHeight="1">
      <x:c r="A3081" s="55" t="str">
        <x:v>騰陽烈釬Ⅳ</x:v>
      </x:c>
      <x:c r="B3081" s="55" t="str">
        <x:v>—</x:v>
      </x:c>
      <x:c r="C3081" s="55" t="str">
        <x:v>—</x:v>
      </x:c>
      <x:c r="D3081" s="55" t="str">
        <x:v>—</x:v>
      </x:c>
      <x:c r="E3081" s="55" t="inlineStr">
        <x:is>
          <x:t>極．玄宙騰陽裝箱（網站未列地圖）；極．玄宙特仕裝箱（網站未列地圖）</x:t>
        </x:is>
      </x:c>
    </x:row>
    <x:row r="3082" ht="15" customHeight="1">
      <x:c r="A3082" s="55" t="str">
        <x:v>凜月影束Ⅳ</x:v>
      </x:c>
      <x:c r="B3082" s="55" t="str">
        <x:v>—</x:v>
      </x:c>
      <x:c r="C3082" s="55" t="str">
        <x:v>—</x:v>
      </x:c>
      <x:c r="D3082" s="55" t="str">
        <x:v>—</x:v>
      </x:c>
      <x:c r="E3082" s="55" t="inlineStr">
        <x:is>
          <x:t>極．玄宙凜月裝箱（網站未列地圖）；極．玄宙特仕裝箱（網站未列地圖）</x:t>
        </x:is>
      </x:c>
    </x:row>
    <x:row r="3083" ht="15" customHeight="1">
      <x:c r="A3083" s="55" t="str">
        <x:v>舞星鎢掌Ⅳ</x:v>
      </x:c>
      <x:c r="B3083" s="55" t="str">
        <x:v>—</x:v>
      </x:c>
      <x:c r="C3083" s="55" t="str">
        <x:v>—</x:v>
      </x:c>
      <x:c r="D3083" s="55" t="str">
        <x:v>—</x:v>
      </x:c>
      <x:c r="E3083" s="55" t="inlineStr">
        <x:is>
          <x:t>極．玄宙舞星裝箱（網站未列地圖）；極．玄宙特仕裝箱（網站未列地圖）</x:t>
        </x:is>
      </x:c>
    </x:row>
    <x:row r="3084" ht="15" customHeight="1">
      <x:c r="A3084" s="55" t="str">
        <x:v>宇鋒飄腕Ⅴ</x:v>
      </x:c>
      <x:c r="B3084" s="55" t="str">
        <x:v>—</x:v>
      </x:c>
      <x:c r="C3084" s="55" t="str">
        <x:v>—</x:v>
      </x:c>
      <x:c r="D3084" s="55" t="str">
        <x:v>—</x:v>
      </x:c>
      <x:c r="E3084" s="55" t="inlineStr">
        <x:is>
          <x:t>神．玄宙劍裝錦囊（網站未列地圖）</x:t>
        </x:is>
      </x:c>
    </x:row>
    <x:row r="3085" ht="15" customHeight="1">
      <x:c r="A3085" s="55" t="str">
        <x:v>天衛宙臂Ⅴ</x:v>
      </x:c>
      <x:c r="B3085" s="55" t="str">
        <x:v>—</x:v>
      </x:c>
      <x:c r="C3085" s="55" t="str">
        <x:v>—</x:v>
      </x:c>
      <x:c r="D3085" s="55" t="str">
        <x:v>—</x:v>
      </x:c>
      <x:c r="E3085" s="55" t="inlineStr">
        <x:is>
          <x:t>神．玄宙勇裝錦囊（網站未列地圖）</x:t>
        </x:is>
      </x:c>
    </x:row>
    <x:row r="3086" ht="15" customHeight="1">
      <x:c r="A3086" s="55" t="str">
        <x:v>光術快手Ⅴ</x:v>
      </x:c>
      <x:c r="B3086" s="55" t="str">
        <x:v>—</x:v>
      </x:c>
      <x:c r="C3086" s="55" t="str">
        <x:v>—</x:v>
      </x:c>
      <x:c r="D3086" s="55" t="str">
        <x:v>—</x:v>
      </x:c>
      <x:c r="E3086" s="55" t="inlineStr">
        <x:is>
          <x:t>神．玄宙術裝錦囊（網站未列地圖）</x:t>
        </x:is>
      </x:c>
    </x:row>
    <x:row r="3087" ht="15" customHeight="1">
      <x:c r="A3087" s="55" t="str">
        <x:v>辰道玄袖Ⅴ</x:v>
      </x:c>
      <x:c r="B3087" s="55" t="str">
        <x:v>—</x:v>
      </x:c>
      <x:c r="C3087" s="55" t="str">
        <x:v>—</x:v>
      </x:c>
      <x:c r="D3087" s="55" t="str">
        <x:v>—</x:v>
      </x:c>
      <x:c r="E3087" s="55" t="inlineStr">
        <x:is>
          <x:t>神．玄宙道裝錦囊（網站未列地圖）</x:t>
        </x:is>
      </x:c>
    </x:row>
    <x:row r="3088" ht="15" customHeight="1">
      <x:c r="A3088" s="55" t="str">
        <x:v>寂禪若持Ⅴ</x:v>
      </x:c>
      <x:c r="B3088" s="55" t="str">
        <x:v>—</x:v>
      </x:c>
      <x:c r="C3088" s="55" t="str">
        <x:v>—</x:v>
      </x:c>
      <x:c r="D3088" s="55" t="str">
        <x:v>—</x:v>
      </x:c>
      <x:c r="E3088" s="55" t="inlineStr">
        <x:is>
          <x:t>神．玄宙僧裝錦囊（網站未列地圖）</x:t>
        </x:is>
      </x:c>
    </x:row>
    <x:row r="3089" ht="15" customHeight="1">
      <x:c r="A3089" s="55" t="str">
        <x:v>騰陽烈釬Ⅴ</x:v>
      </x:c>
      <x:c r="B3089" s="55" t="str">
        <x:v>—</x:v>
      </x:c>
      <x:c r="C3089" s="55" t="str">
        <x:v>—</x:v>
      </x:c>
      <x:c r="D3089" s="55" t="str">
        <x:v>—</x:v>
      </x:c>
      <x:c r="E3089" s="55" t="inlineStr">
        <x:is>
          <x:t>神．玄宙騰陽裝箱（網站未列地圖）；神．玄宙特仕裝箱（網站未列地圖）</x:t>
        </x:is>
      </x:c>
    </x:row>
    <x:row r="3090" ht="15" customHeight="1">
      <x:c r="A3090" s="55" t="str">
        <x:v>凜月影束Ⅴ</x:v>
      </x:c>
      <x:c r="B3090" s="55" t="str">
        <x:v>—</x:v>
      </x:c>
      <x:c r="C3090" s="55" t="str">
        <x:v>—</x:v>
      </x:c>
      <x:c r="D3090" s="55" t="str">
        <x:v>—</x:v>
      </x:c>
      <x:c r="E3090" s="55" t="inlineStr">
        <x:is>
          <x:t>神．玄宙凜月裝箱（網站未列地圖）；神．玄宙特仕裝箱（網站未列地圖）</x:t>
        </x:is>
      </x:c>
    </x:row>
    <x:row r="3091" ht="15" customHeight="1">
      <x:c r="A3091" s="55" t="str">
        <x:v>舞星鎢掌Ⅴ</x:v>
      </x:c>
      <x:c r="B3091" s="55" t="str">
        <x:v>—</x:v>
      </x:c>
      <x:c r="C3091" s="55" t="str">
        <x:v>—</x:v>
      </x:c>
      <x:c r="D3091" s="55" t="str">
        <x:v>—</x:v>
      </x:c>
      <x:c r="E3091" s="55" t="inlineStr">
        <x:is>
          <x:t>神．玄宙舞星裝箱（網站未列地圖）；神．玄宙特仕裝箱（網站未列地圖）</x:t>
        </x:is>
      </x:c>
    </x:row>
    <x:row r="3092" ht="45" customHeight="1">
      <x:c r="A3092" s="55" t="str">
        <x:v>麻鞋</x:v>
      </x:c>
      <x:c r="B3092" s="55" t="str">
        <x:v>—</x:v>
      </x:c>
      <x:c r="C3092" s="55" t="str">
        <x:v>勇士村買賣人、劍俠村買賣人、術者村買賣人、道人村買賣人、僧侶村買賣人、京城打鐵舖</x:v>
      </x:c>
      <x:c r="D3092" s="55" t="str">
        <x:v>—</x:v>
      </x:c>
      <x:c r="E3092" s="55" t="inlineStr">
        <x:is>
          <x:t>—</x:t>
        </x:is>
      </x:c>
    </x:row>
    <x:row r="3093" ht="15" customHeight="1">
      <x:c r="A3093" s="55" t="str">
        <x:v>布鞋</x:v>
      </x:c>
      <x:c r="B3093" s="55" t="str">
        <x:v>—</x:v>
      </x:c>
      <x:c r="C3093" s="55" t="str">
        <x:v>義勇軍校場買賣人、京城打鐵舖</x:v>
      </x:c>
      <x:c r="D3093" s="55" t="str">
        <x:v>—</x:v>
      </x:c>
      <x:c r="E3093" s="55" t="inlineStr">
        <x:is>
          <x:t>—</x:t>
        </x:is>
      </x:c>
    </x:row>
    <x:row r="3094" ht="30" customHeight="1">
      <x:c r="A3094" s="55" t="str">
        <x:v>布靴</x:v>
      </x:c>
      <x:c r="B3094" s="55" t="str">
        <x:v>—</x:v>
      </x:c>
      <x:c r="C3094" s="55" t="str">
        <x:v>義勇軍校場買賣人、京城打鐵舖</x:v>
      </x:c>
      <x:c r="D3094" s="55" t="str">
        <x:v>—</x:v>
      </x:c>
      <x:c r="E3094" s="55" t="inlineStr">
        <x:is>
          <x:t>狂猴（葬劍崖護法院、試煉之窟）；蟾蜍（黑水潭地龍穴、試煉之窟）；野豬（山林地訓練營、試煉之窟）；蜘蛛（踏雲頂梵天寺、試煉之窟）；山犬（紫霞山養心觀、惡狼林、封神臺、試煉之窟）</x:t>
        </x:is>
      </x:c>
    </x:row>
    <x:row r="3095" ht="15" customHeight="1">
      <x:c r="A3095" s="55" t="str">
        <x:v>皮靴</x:v>
      </x:c>
      <x:c r="B3095" s="55" t="str">
        <x:v>—</x:v>
      </x:c>
      <x:c r="C3095" s="55" t="str">
        <x:v>祁州打鐵舖</x:v>
      </x:c>
      <x:c r="D3095" s="55" t="str">
        <x:v>—</x:v>
      </x:c>
      <x:c r="E3095" s="55" t="inlineStr">
        <x:is>
          <x:t>—</x:t>
        </x:is>
      </x:c>
    </x:row>
    <x:row r="3096" ht="15" customHeight="1">
      <x:c r="A3096" s="55" t="str">
        <x:v>鱷皮靴</x:v>
      </x:c>
      <x:c r="B3096" s="55" t="str">
        <x:v>—</x:v>
      </x:c>
      <x:c r="C3096" s="55" t="str">
        <x:v>祁州打鐵舖</x:v>
      </x:c>
      <x:c r="D3096" s="55" t="str">
        <x:v>—</x:v>
      </x:c>
      <x:c r="E3096" s="55" t="inlineStr">
        <x:is>
          <x:t>—</x:t>
        </x:is>
      </x:c>
    </x:row>
    <x:row r="3097" ht="15" customHeight="1">
      <x:c r="A3097" s="55" t="str">
        <x:v>巨犀皮靴</x:v>
      </x:c>
      <x:c r="B3097" s="55" t="str">
        <x:v>—</x:v>
      </x:c>
      <x:c r="C3097" s="55" t="str">
        <x:v>祁州打鐵舖</x:v>
      </x:c>
      <x:c r="D3097" s="55" t="str">
        <x:v>—</x:v>
      </x:c>
      <x:c r="E3097" s="55" t="inlineStr">
        <x:is>
          <x:t>悍野獅（止戰邊境、豐穗平原）</x:t>
        </x:is>
      </x:c>
    </x:row>
    <x:row r="3098" ht="15" customHeight="1">
      <x:c r="A3098" s="55" t="str">
        <x:v>鐵鎖戰靴</x:v>
      </x:c>
      <x:c r="B3098" s="55" t="str">
        <x:v>—</x:v>
      </x:c>
      <x:c r="C3098" s="55" t="str">
        <x:v>玄州打鐵舖</x:v>
      </x:c>
      <x:c r="D3098" s="55" t="str">
        <x:v>—</x:v>
      </x:c>
      <x:c r="E3098" s="55" t="inlineStr">
        <x:is>
          <x:t>—</x:t>
        </x:is>
      </x:c>
    </x:row>
    <x:row r="3099" ht="15" customHeight="1">
      <x:c r="A3099" s="55" t="str">
        <x:v>精鋼戰靴</x:v>
      </x:c>
      <x:c r="B3099" s="55" t="str">
        <x:v>—</x:v>
      </x:c>
      <x:c r="C3099" s="55" t="str">
        <x:v>玄州打鐵舖</x:v>
      </x:c>
      <x:c r="D3099" s="55" t="str">
        <x:v>—</x:v>
      </x:c>
      <x:c r="E3099" s="55" t="inlineStr">
        <x:is>
          <x:t>—</x:t>
        </x:is>
      </x:c>
    </x:row>
    <x:row r="3100" ht="15" customHeight="1">
      <x:c r="A3100" s="55" t="str">
        <x:v>銀縷戰靴</x:v>
      </x:c>
      <x:c r="B3100" s="55" t="str">
        <x:v>—</x:v>
      </x:c>
      <x:c r="C3100" s="55" t="str">
        <x:v>玄州打鐵舖</x:v>
      </x:c>
      <x:c r="D3100" s="55" t="str">
        <x:v>—</x:v>
      </x:c>
      <x:c r="E3100" s="55" t="inlineStr">
        <x:is>
          <x:t>—</x:t>
        </x:is>
      </x:c>
    </x:row>
    <x:row r="3101" ht="15" customHeight="1">
      <x:c r="A3101" s="55" t="str">
        <x:v>明光戰靴</x:v>
      </x:c>
      <x:c r="B3101" s="55" t="str">
        <x:v>—</x:v>
      </x:c>
      <x:c r="C3101" s="55" t="str">
        <x:v>玄州打鐵舖</x:v>
      </x:c>
      <x:c r="D3101" s="55" t="str">
        <x:v>—</x:v>
      </x:c>
      <x:c r="E3101" s="55" t="inlineStr">
        <x:is>
          <x:t>—</x:t>
        </x:is>
      </x:c>
    </x:row>
    <x:row r="3102" ht="15" customHeight="1">
      <x:c r="A3102" s="55" t="str">
        <x:v>驅邪布靴</x:v>
      </x:c>
      <x:c r="B3102" s="55" t="str">
        <x:v>—</x:v>
      </x:c>
      <x:c r="C3102" s="55" t="str">
        <x:v>釣日村武器店長</x:v>
      </x:c>
      <x:c r="D3102" s="55" t="str">
        <x:v>—</x:v>
      </x:c>
      <x:c r="E3102" s="55" t="inlineStr">
        <x:is>
          <x:t>—</x:t>
        </x:is>
      </x:c>
    </x:row>
    <x:row r="3103" ht="15" customHeight="1">
      <x:c r="A3103" s="55" t="str">
        <x:v>闢邪皮靴</x:v>
      </x:c>
      <x:c r="B3103" s="55" t="str">
        <x:v>—</x:v>
      </x:c>
      <x:c r="C3103" s="55" t="str">
        <x:v>釣日村武器店長</x:v>
      </x:c>
      <x:c r="D3103" s="55" t="str">
        <x:v>—</x:v>
      </x:c>
      <x:c r="E3103" s="55" t="inlineStr">
        <x:is>
          <x:t>幽駭犬（鬼城）</x:t>
        </x:is>
      </x:c>
    </x:row>
    <x:row r="3104" ht="30" customHeight="1">
      <x:c r="A3104" s="55" t="str">
        <x:v>鎮邪戰靴</x:v>
      </x:c>
      <x:c r="B3104" s="55" t="str">
        <x:v>—</x:v>
      </x:c>
      <x:c r="C3104" s="55" t="str">
        <x:v>—</x:v>
      </x:c>
      <x:c r="D3104" s="55" t="str">
        <x:v>—</x:v>
      </x:c>
      <x:c r="E3104" s="55" t="inlineStr">
        <x:is>
          <x:t>禿鷹幫首領（高昌郡）；御史劍裝錦囊（網站未列地圖）；御史勇裝錦囊（網站未列地圖）；禿鷹幫響馬（高昌郡）；布衣幫響馬（高昌郡）；邪神信徒（火焰山）；士兵俑（古皇陵第二層、古皇陵第三層）</x:t>
        </x:is>
      </x:c>
    </x:row>
    <x:row r="3105" ht="15" customHeight="1">
      <x:c r="A3105" s="55" t="str">
        <x:v>骨靴</x:v>
      </x:c>
      <x:c r="B3105" s="55" t="str">
        <x:v>—</x:v>
      </x:c>
      <x:c r="C3105" s="55" t="str">
        <x:v>—</x:v>
      </x:c>
      <x:c r="D3105" s="55" t="str">
        <x:v>骨靴配方</x:v>
      </x:c>
      <x:c r="E3105" s="55" t="inlineStr">
        <x:is>
          <x:t>夜叉長矛手（玄州城、獄門峽）；夜叉刀斧手（玄州城、獄門峽）；大山犬（試煉之窟）</x:t>
        </x:is>
      </x:c>
    </x:row>
    <x:row r="3106" ht="15" customHeight="1">
      <x:c r="A3106" s="55" t="str">
        <x:v>重骨靴</x:v>
      </x:c>
      <x:c r="B3106" s="55" t="str">
        <x:v>—</x:v>
      </x:c>
      <x:c r="C3106" s="55" t="str">
        <x:v>—</x:v>
      </x:c>
      <x:c r="D3106" s="55" t="str">
        <x:v>重骨靴配方</x:v>
      </x:c>
      <x:c r="E3106" s="55" t="inlineStr">
        <x:is>
          <x:t>巨靈魔（獄門峽）；夜叉王（玄州城、獄門峽）；夜叉長矛手（玄州城、獄門峽）；夜叉刀斧手（玄州城、獄門峽）</x:t>
        </x:is>
      </x:c>
    </x:row>
    <x:row r="3107" ht="15" customHeight="1">
      <x:c r="A3107" s="55" t="str">
        <x:v>附靈骨靴</x:v>
      </x:c>
      <x:c r="B3107" s="55" t="str">
        <x:v>—</x:v>
      </x:c>
      <x:c r="C3107" s="55" t="str">
        <x:v>—</x:v>
      </x:c>
      <x:c r="D3107" s="55" t="str">
        <x:v>附靈骨靴配方</x:v>
      </x:c>
      <x:c r="E3107" s="55" t="inlineStr">
        <x:is>
          <x:t>校尉錦囊（網站未列地圖）</x:t>
        </x:is>
      </x:c>
    </x:row>
    <x:row r="3108" ht="15" customHeight="1">
      <x:c r="A3108" s="55" t="str">
        <x:v>怨靈骨靴</x:v>
      </x:c>
      <x:c r="B3108" s="55" t="str">
        <x:v>—</x:v>
      </x:c>
      <x:c r="C3108" s="55" t="str">
        <x:v>—</x:v>
      </x:c>
      <x:c r="D3108" s="55" t="str">
        <x:v>怨靈骨靴配方</x:v>
      </x:c>
      <x:c r="E3108" s="55" t="inlineStr">
        <x:is>
          <x:t>—</x:t>
        </x:is>
      </x:c>
    </x:row>
    <x:row r="3109" ht="15" customHeight="1">
      <x:c r="A3109" s="55" t="str">
        <x:v>山犬靴</x:v>
      </x:c>
      <x:c r="B3109" s="55" t="str">
        <x:v>—</x:v>
      </x:c>
      <x:c r="C3109" s="55" t="str">
        <x:v>—</x:v>
      </x:c>
      <x:c r="D3109" s="55" t="str">
        <x:v>山犬靴配方</x:v>
      </x:c>
      <x:c r="E3109" s="55" t="inlineStr">
        <x:is>
          <x:t>—</x:t>
        </x:is>
      </x:c>
    </x:row>
    <x:row r="3110" ht="15" customHeight="1">
      <x:c r="A3110" s="55" t="str">
        <x:v>惡狼皮靴</x:v>
      </x:c>
      <x:c r="B3110" s="55" t="str">
        <x:v>—</x:v>
      </x:c>
      <x:c r="C3110" s="55" t="str">
        <x:v>—</x:v>
      </x:c>
      <x:c r="D3110" s="55" t="str">
        <x:v>惡狼皮靴配方</x:v>
      </x:c>
      <x:c r="E3110" s="55" t="inlineStr">
        <x:is>
          <x:t>—</x:t>
        </x:is>
      </x:c>
    </x:row>
    <x:row r="3111" ht="15" customHeight="1">
      <x:c r="A3111" s="55" t="str">
        <x:v>浮雲靴</x:v>
      </x:c>
      <x:c r="B3111" s="55" t="str">
        <x:v>—</x:v>
      </x:c>
      <x:c r="C3111" s="55" t="str">
        <x:v>—</x:v>
      </x:c>
      <x:c r="D3111" s="55" t="str">
        <x:v>浮雲靴配方</x:v>
      </x:c>
      <x:c r="E3111" s="55" t="inlineStr">
        <x:is>
          <x:t>—</x:t>
        </x:is>
      </x:c>
    </x:row>
    <x:row r="3112" ht="30" customHeight="1">
      <x:c r="A3112" s="55" t="str">
        <x:v>力士鞋</x:v>
      </x:c>
      <x:c r="B3112" s="55" t="str">
        <x:v>—</x:v>
      </x:c>
      <x:c r="C3112" s="55" t="str">
        <x:v>—</x:v>
      </x:c>
      <x:c r="D3112" s="55" t="str">
        <x:v>力士鞋配方</x:v>
      </x:c>
      <x:c r="E3112" s="55" t="inlineStr">
        <x:is>
          <x:t>將軍俑（古皇陵第三層）；[將軍俑]（網站未列地圖）；屍靈將軍俑（古皇陵密室）；蠱毒鬼卒（瘴癘靈界裂隙）；毒界鬼卒（瘴癘靈界通道、蠱毒洞府、瘴癘修煉場）；血參巫（網站未列地圖）</x:t>
        </x:is>
      </x:c>
    </x:row>
    <x:row r="3113" ht="15" customHeight="1">
      <x:c r="A3113" s="55" t="str">
        <x:v>乘波鞋</x:v>
      </x:c>
      <x:c r="B3113" s="55" t="str">
        <x:v>—</x:v>
      </x:c>
      <x:c r="C3113" s="55" t="str">
        <x:v>—</x:v>
      </x:c>
      <x:c r="D3113" s="55" t="str">
        <x:v>乘波鞋配方</x:v>
      </x:c>
      <x:c r="E3113" s="55" t="inlineStr">
        <x:is>
          <x:t>寒冰鬼卒（怒雪靈界裂隙）；血參巫（網站未列地圖）；冰界鬼卒（怒雪靈界通道、怒雪洞府、怒雪修煉場）</x:t>
        </x:is>
      </x:c>
    </x:row>
    <x:row r="3114" ht="15" customHeight="1">
      <x:c r="A3114" s="55" t="str">
        <x:v>避火鞋</x:v>
      </x:c>
      <x:c r="B3114" s="55" t="str">
        <x:v>—</x:v>
      </x:c>
      <x:c r="C3114" s="55" t="str">
        <x:v>—</x:v>
      </x:c>
      <x:c r="D3114" s="55" t="str">
        <x:v>避火鞋配方</x:v>
      </x:c>
      <x:c r="E3114" s="55" t="inlineStr">
        <x:is>
          <x:t>黯火鬼卒（烈火靈界裂隙）；火界鬼卒（烈火靈界通道、火雲洞府、烈火修煉場）；血參巫（網站未列地圖）</x:t>
        </x:is>
      </x:c>
    </x:row>
    <x:row r="3115" ht="15" customHeight="1">
      <x:c r="A3115" s="55" t="str">
        <x:v>紅蓮靴</x:v>
      </x:c>
      <x:c r="B3115" s="55" t="str">
        <x:v>—</x:v>
      </x:c>
      <x:c r="C3115" s="55" t="str">
        <x:v>維摩洞天-仙島工匠</x:v>
      </x:c>
      <x:c r="D3115" s="55" t="str">
        <x:v>—</x:v>
      </x:c>
      <x:c r="E3115" s="55" t="inlineStr">
        <x:is>
          <x:t>—</x:t>
        </x:is>
      </x:c>
    </x:row>
    <x:row r="3116" ht="15" customHeight="1">
      <x:c r="A3116" s="55" t="str">
        <x:v>青甲戰靴</x:v>
      </x:c>
      <x:c r="B3116" s="55" t="str">
        <x:v>—</x:v>
      </x:c>
      <x:c r="C3116" s="55" t="str">
        <x:v>釣日村武器店長</x:v>
      </x:c>
      <x:c r="D3116" s="55" t="str">
        <x:v>—</x:v>
      </x:c>
      <x:c r="E3116" s="55" t="inlineStr">
        <x:is>
          <x:t>—</x:t>
        </x:is>
      </x:c>
    </x:row>
    <x:row r="3117" ht="15" customHeight="1">
      <x:c r="A3117" s="55" t="str">
        <x:v>貝鱗戰靴</x:v>
      </x:c>
      <x:c r="B3117" s="55" t="str">
        <x:v>—</x:v>
      </x:c>
      <x:c r="C3117" s="55" t="str">
        <x:v>釣日村武器店長</x:v>
      </x:c>
      <x:c r="D3117" s="55" t="str">
        <x:v>—</x:v>
      </x:c>
      <x:c r="E3117" s="55" t="inlineStr">
        <x:is>
          <x:t>御史術裝錦囊（網站未列地圖）</x:t>
        </x:is>
      </x:c>
    </x:row>
    <x:row r="3118" ht="15" customHeight="1">
      <x:c r="A3118" s="55" t="str">
        <x:v>金甲戰靴</x:v>
      </x:c>
      <x:c r="B3118" s="55" t="str">
        <x:v>—</x:v>
      </x:c>
      <x:c r="C3118" s="55" t="str">
        <x:v>釣日村武器店長</x:v>
      </x:c>
      <x:c r="D3118" s="55" t="str">
        <x:v>—</x:v>
      </x:c>
      <x:c r="E3118" s="55" t="inlineStr">
        <x:is>
          <x:t>—</x:t>
        </x:is>
      </x:c>
    </x:row>
    <x:row r="3119" ht="15" customHeight="1">
      <x:c r="A3119" s="55" t="str">
        <x:v>木靈鞋</x:v>
      </x:c>
      <x:c r="B3119" s="55" t="str">
        <x:v>—</x:v>
      </x:c>
      <x:c r="C3119" s="55" t="str">
        <x:v>維摩洞天-仙島工匠</x:v>
      </x:c>
      <x:c r="D3119" s="55" t="str">
        <x:v>—</x:v>
      </x:c>
      <x:c r="E3119" s="55" t="inlineStr">
        <x:is>
          <x:t>—</x:t>
        </x:is>
      </x:c>
    </x:row>
    <x:row r="3120" ht="15" customHeight="1">
      <x:c r="A3120" s="55" t="str">
        <x:v>仙靈鞋</x:v>
      </x:c>
      <x:c r="B3120" s="55" t="str">
        <x:v>—</x:v>
      </x:c>
      <x:c r="C3120" s="55" t="str">
        <x:v>維摩洞天-仙島工匠</x:v>
      </x:c>
      <x:c r="D3120" s="55" t="str">
        <x:v>—</x:v>
      </x:c>
      <x:c r="E3120" s="55" t="inlineStr">
        <x:is>
          <x:t>御史道裝錦囊（網站未列地圖）；御史僧裝錦囊（網站未列地圖）</x:t>
        </x:is>
      </x:c>
    </x:row>
    <x:row r="3121" ht="15" customHeight="1">
      <x:c r="A3121" s="55" t="str">
        <x:v>墨鐵戰靴</x:v>
      </x:c>
      <x:c r="B3121" s="55" t="str">
        <x:v>—</x:v>
      </x:c>
      <x:c r="C3121" s="55" t="str">
        <x:v>京城打鐵舖</x:v>
      </x:c>
      <x:c r="D3121" s="55" t="str">
        <x:v>—</x:v>
      </x:c>
      <x:c r="E3121" s="55" t="inlineStr">
        <x:is>
          <x:t>幽駭犬（鬼城）</x:t>
        </x:is>
      </x:c>
    </x:row>
    <x:row r="3122" ht="15" customHeight="1">
      <x:c r="A3122" s="55" t="str">
        <x:v>雪銀戰靴</x:v>
      </x:c>
      <x:c r="B3122" s="55" t="str">
        <x:v>—</x:v>
      </x:c>
      <x:c r="C3122" s="55" t="str">
        <x:v>釣日村武器店長</x:v>
      </x:c>
      <x:c r="D3122" s="55" t="str">
        <x:v>—</x:v>
      </x:c>
      <x:c r="E3122" s="55" t="inlineStr">
        <x:is>
          <x:t>—</x:t>
        </x:is>
      </x:c>
    </x:row>
    <x:row r="3123" ht="15" customHeight="1">
      <x:c r="A3123" s="55" t="str">
        <x:v>追風靴</x:v>
      </x:c>
      <x:c r="B3123" s="55" t="str">
        <x:v>—</x:v>
      </x:c>
      <x:c r="C3123" s="55" t="str">
        <x:v>京城打鐵舖</x:v>
      </x:c>
      <x:c r="D3123" s="55" t="str">
        <x:v>—</x:v>
      </x:c>
      <x:c r="E3123" s="55" t="inlineStr">
        <x:is>
          <x:t>幽駭犬（鬼城）</x:t>
        </x:is>
      </x:c>
    </x:row>
    <x:row r="3124" ht="15" customHeight="1">
      <x:c r="A3124" s="55" t="str">
        <x:v>道環皮靴</x:v>
      </x:c>
      <x:c r="B3124" s="55" t="str">
        <x:v>—</x:v>
      </x:c>
      <x:c r="C3124" s="55" t="str">
        <x:v>京城打鐵舖</x:v>
      </x:c>
      <x:c r="D3124" s="55" t="str">
        <x:v>—</x:v>
      </x:c>
      <x:c r="E3124" s="55" t="inlineStr">
        <x:is>
          <x:t>校尉錦囊（網站未列地圖）</x:t>
        </x:is>
      </x:c>
    </x:row>
    <x:row r="3125" ht="15" customHeight="1">
      <x:c r="A3125" s="55" t="str">
        <x:v>法環皮靴</x:v>
      </x:c>
      <x:c r="B3125" s="55" t="str">
        <x:v>—</x:v>
      </x:c>
      <x:c r="C3125" s="55" t="str">
        <x:v>京城打鐵舖</x:v>
      </x:c>
      <x:c r="D3125" s="55" t="str">
        <x:v>—</x:v>
      </x:c>
      <x:c r="E3125" s="55" t="inlineStr">
        <x:is>
          <x:t>白鹿（呼倫草原、貝爾草原、蒼狼大營）；白鹿（呼倫草原、貝爾草原、蒼狼大營）</x:t>
        </x:is>
      </x:c>
    </x:row>
    <x:row r="3126" ht="15" customHeight="1">
      <x:c r="A3126" s="55" t="str">
        <x:v>夜叉鞋</x:v>
      </x:c>
      <x:c r="B3126" s="55" t="str">
        <x:v>千里姻緣紅線牽系列</x:v>
      </x:c>
      <x:c r="C3126" s="55" t="str">
        <x:v>—</x:v>
      </x:c>
      <x:c r="D3126" s="55" t="str">
        <x:v>—</x:v>
      </x:c>
      <x:c r="E3126" s="55" t="inlineStr">
        <x:is>
          <x:t>—</x:t>
        </x:is>
      </x:c>
    </x:row>
    <x:row r="3127" ht="15" customHeight="1">
      <x:c r="A3127" s="55" t="str">
        <x:v>地龍鞋</x:v>
      </x:c>
      <x:c r="B3127" s="55" t="str">
        <x:v>義勇軍-密函任務</x:v>
      </x:c>
      <x:c r="C3127" s="55" t="str">
        <x:v>—</x:v>
      </x:c>
      <x:c r="D3127" s="55" t="str">
        <x:v>—</x:v>
      </x:c>
      <x:c r="E3127" s="55" t="inlineStr">
        <x:is>
          <x:t>—</x:t>
        </x:is>
      </x:c>
    </x:row>
    <x:row r="3128" ht="15" customHeight="1">
      <x:c r="A3128" s="55" t="str">
        <x:v>冥鬼鞋</x:v>
      </x:c>
      <x:c r="B3128" s="55" t="str">
        <x:v>—</x:v>
      </x:c>
      <x:c r="C3128" s="55" t="str">
        <x:v>—</x:v>
      </x:c>
      <x:c r="D3128" s="55" t="str">
        <x:v>—</x:v>
      </x:c>
      <x:c r="E3128" s="55" t="inlineStr">
        <x:is>
          <x:t>—</x:t>
        </x:is>
      </x:c>
    </x:row>
    <x:row r="3129" ht="15" customHeight="1">
      <x:c r="A3129" s="55" t="str">
        <x:v>征西戰靴</x:v>
      </x:c>
      <x:c r="B3129" s="55" t="str">
        <x:v>波斯主線</x:v>
      </x:c>
      <x:c r="C3129" s="55" t="str">
        <x:v>—</x:v>
      </x:c>
      <x:c r="D3129" s="55" t="str">
        <x:v>—</x:v>
      </x:c>
      <x:c r="E3129" s="55" t="inlineStr">
        <x:is>
          <x:t>—</x:t>
        </x:is>
      </x:c>
    </x:row>
    <x:row r="3130" ht="15" customHeight="1">
      <x:c r="A3130" s="55" t="str">
        <x:v>歐風戰靴</x:v>
      </x:c>
      <x:c r="B3130" s="55" t="str">
        <x:v>十字主線</x:v>
      </x:c>
      <x:c r="C3130" s="55" t="str">
        <x:v>—</x:v>
      </x:c>
      <x:c r="D3130" s="55" t="str">
        <x:v>—</x:v>
      </x:c>
      <x:c r="E3130" s="55" t="inlineStr">
        <x:is>
          <x:t>—</x:t>
        </x:is>
      </x:c>
    </x:row>
    <x:row r="3131" ht="15" customHeight="1">
      <x:c r="A3131" s="55" t="str">
        <x:v>異空戰靴</x:v>
      </x:c>
      <x:c r="B3131" s="55" t="str">
        <x:v>破滅主線</x:v>
      </x:c>
      <x:c r="C3131" s="55" t="str">
        <x:v>—</x:v>
      </x:c>
      <x:c r="D3131" s="55" t="str">
        <x:v>—</x:v>
      </x:c>
      <x:c r="E3131" s="55" t="inlineStr">
        <x:is>
          <x:t>—</x:t>
        </x:is>
      </x:c>
    </x:row>
    <x:row r="3132" ht="15" customHeight="1">
      <x:c r="A3132" s="55" t="str">
        <x:v>艾濟儀靴</x:v>
      </x:c>
      <x:c r="B3132" s="55" t="str">
        <x:v>艾濟主線</x:v>
      </x:c>
      <x:c r="C3132" s="55" t="str">
        <x:v>—</x:v>
      </x:c>
      <x:c r="D3132" s="55" t="str">
        <x:v>—</x:v>
      </x:c>
      <x:c r="E3132" s="55" t="inlineStr">
        <x:is>
          <x:t>—</x:t>
        </x:is>
      </x:c>
    </x:row>
    <x:row r="3133" ht="15" customHeight="1">
      <x:c r="A3133" s="55" t="str">
        <x:v>皇衛戰靴</x:v>
      </x:c>
      <x:c r="B3133" s="55" t="str">
        <x:v>皇城主線</x:v>
      </x:c>
      <x:c r="C3133" s="55" t="str">
        <x:v>—</x:v>
      </x:c>
      <x:c r="D3133" s="55" t="str">
        <x:v>—</x:v>
      </x:c>
      <x:c r="E3133" s="55" t="inlineStr">
        <x:is>
          <x:t>—</x:t>
        </x:is>
      </x:c>
    </x:row>
    <x:row r="3134" ht="15" customHeight="1">
      <x:c r="A3134" s="55" t="str">
        <x:v>長疆戰靴</x:v>
      </x:c>
      <x:c r="B3134" s="55" t="str">
        <x:v>長疆主線</x:v>
      </x:c>
      <x:c r="C3134" s="55" t="str">
        <x:v>—</x:v>
      </x:c>
      <x:c r="D3134" s="55" t="str">
        <x:v>—</x:v>
      </x:c>
      <x:c r="E3134" s="55" t="inlineStr">
        <x:is>
          <x:t>—</x:t>
        </x:is>
      </x:c>
    </x:row>
    <x:row r="3135" ht="15" customHeight="1">
      <x:c r="A3135" s="55" t="str">
        <x:v>南遼護靴</x:v>
      </x:c>
      <x:c r="B3135" s="55" t="str">
        <x:v>神州2主線</x:v>
      </x:c>
      <x:c r="C3135" s="55" t="str">
        <x:v>—</x:v>
      </x:c>
      <x:c r="D3135" s="55" t="str">
        <x:v>—</x:v>
      </x:c>
      <x:c r="E3135" s="55" t="inlineStr">
        <x:is>
          <x:t>—</x:t>
        </x:is>
      </x:c>
    </x:row>
    <x:row r="3136" ht="15" customHeight="1">
      <x:c r="A3136" s="55" t="str">
        <x:v>皇宮繡花鞋</x:v>
      </x:c>
      <x:c r="B3136" s="55" t="str">
        <x:v>貴妃的繡花鞋</x:v>
      </x:c>
      <x:c r="C3136" s="55" t="str">
        <x:v>—</x:v>
      </x:c>
      <x:c r="D3136" s="55" t="str">
        <x:v>—</x:v>
      </x:c>
      <x:c r="E3136" s="55" t="inlineStr">
        <x:is>
          <x:t>—</x:t>
        </x:is>
      </x:c>
    </x:row>
    <x:row r="3137" ht="30" customHeight="1">
      <x:c r="A3137" s="55" t="str">
        <x:v>疾風靴</x:v>
      </x:c>
      <x:c r="B3137" s="55" t="str">
        <x:v>—</x:v>
      </x:c>
      <x:c r="C3137" s="55" t="str">
        <x:v>—</x:v>
      </x:c>
      <x:c r="D3137" s="55" t="str">
        <x:v>—</x:v>
      </x:c>
      <x:c r="E3137" s="55" t="inlineStr">
        <x:is>
          <x:t>狼王（天山冰池、八達嶺）；天山雪狼（天山冰池）；天山惡狼（天山冰池）；蒼狼（呼倫草原、貝爾草原、黑城遺跡、關外草原、統萬大營）；蒼狼（關外草原）；蒼狼（呼倫草原、貝爾草原、黑城遺跡、統萬大營）</x:t>
        </x:is>
      </x:c>
    </x:row>
    <x:row r="3138" ht="15" customHeight="1">
      <x:c r="A3138" s="55" t="str">
        <x:v>虎王靴</x:v>
      </x:c>
      <x:c r="B3138" s="55" t="str">
        <x:v>—</x:v>
      </x:c>
      <x:c r="C3138" s="55" t="str">
        <x:v>刑天-劍齒鱷</x:v>
      </x:c>
      <x:c r="D3138" s="55" t="str">
        <x:v>—</x:v>
      </x:c>
      <x:c r="E3138" s="55" t="inlineStr">
        <x:is>
          <x:t>巨象騎兵（金霄佛寺）</x:t>
        </x:is>
      </x:c>
    </x:row>
    <x:row r="3139" ht="30" customHeight="1">
      <x:c r="A3139" s="55" t="str">
        <x:v>鬼王靴</x:v>
      </x:c>
      <x:c r="B3139" s="55" t="str">
        <x:v>—</x:v>
      </x:c>
      <x:c r="C3139" s="55" t="str">
        <x:v>—</x:v>
      </x:c>
      <x:c r="D3139" s="55" t="str">
        <x:v>—</x:v>
      </x:c>
      <x:c r="E3139" s="55" t="inlineStr">
        <x:is>
          <x:t>校尉錦囊（網站未列地圖）；巨靈魔王（摘星嶺、魔君陵墓、魔君陵寢一層、修羅窟）；巨靈魔（亂藤林、毒龍潭、摘星嶺、魔君陵墓）</x:t>
        </x:is>
      </x:c>
    </x:row>
    <x:row r="3140" ht="165" customHeight="1">
      <x:c r="A3140" s="55" t="str">
        <x:v>流星靴</x:v>
      </x:c>
      <x:c r="B3140" s="55" t="str">
        <x:v>—</x:v>
      </x:c>
      <x:c r="C3140" s="55" t="str">
        <x:v>—</x:v>
      </x:c>
      <x:c r="D3140" s="55" t="str">
        <x:v>流星靴配方</x:v>
      </x:c>
      <x:c r="E3140" s="55" t="inlineStr">
        <x:is>
          <x:t>中原奇裝錦囊（網站未列地圖）；修羅族大魔王（網站未列地圖）；神來裝樂透卡之七（網站未列地圖）；豪華來電寶袋（網站未列地圖）；超級來電錦袋（網站未列地圖）；風雲錦囊（網站未列地圖）；電玩瘋錦囊（網站未列地圖）；義軍精銳福袋（網站未列地圖）；真傳情錦囊（網站未列地圖）；天皇御賜錦囊（網站未列地圖）；來電通豪華寶盒（網站未列地圖）；真尚寶寶箱（網站未列地圖）；頂峰新手錦囊（網站未列地圖）；神通錦囊（網站未列地圖）；辟毒香囊（網站未列地圖）；波斯新手錦囊（網站未列地圖）；大轉輪錦囊（網站未列地圖）；修羅魔君鬼魂（魔君陵寢二層）；爽翻天錦囊（網站未列地圖）；三轉錦囊（網站未列地圖）；征北錦囊（網站未列地圖）；射日紀念福袋（網站未列地圖）；革新紀念錦囊（網站未列地圖）；阿修羅王（魔君陵寢一層）；蒼狼族女王（蒼狼大營）；黑巨蛟（東方海域）；屍靈首（古皇陵密室）；鬼修羅（五派禁地）；蒼狼千夫長（網站未列地圖）；北斗星君（五派禁地）；江湖刀客（長林谷）；蛇魔女王（盤蛇洞）；鴻星扛把子（碧波幽谷）；阿修羅戰士（魔君陵墓、魔君陵寢一層、魔君陵寢二層、修羅窟）；阿修羅戰士（魔君陵墓、魔君陵寢一層、魔君陵寢二層、修羅窟、異時界‧修羅窟）；北天吼霸（玄武北殿）</x:t>
        </x:is>
      </x:c>
    </x:row>
    <x:row r="3141" ht="15" customHeight="1">
      <x:c r="A3141" s="55" t="str">
        <x:v>蛇靈靴</x:v>
      </x:c>
      <x:c r="B3141" s="55" t="str">
        <x:v>—</x:v>
      </x:c>
      <x:c r="C3141" s="55" t="str">
        <x:v>—</x:v>
      </x:c>
      <x:c r="D3141" s="55" t="str">
        <x:v>—</x:v>
      </x:c>
      <x:c r="E3141" s="55" t="inlineStr">
        <x:is>
          <x:t>蛇魔女王（盤蛇洞）；蛇魔女（盤蛇洞）；[蛇魔女]（網站未列地圖）</x:t>
        </x:is>
      </x:c>
    </x:row>
    <x:row r="3142" ht="15" customHeight="1">
      <x:c r="A3142" s="55" t="str">
        <x:v>鯊皮軟靴</x:v>
      </x:c>
      <x:c r="B3142" s="55" t="str">
        <x:v>—</x:v>
      </x:c>
      <x:c r="C3142" s="55" t="str">
        <x:v>—</x:v>
      </x:c>
      <x:c r="D3142" s="55" t="str">
        <x:v>—</x:v>
      </x:c>
      <x:c r="E3142" s="55" t="inlineStr">
        <x:is>
          <x:t>鯊將軍（龍宮八層一隅、龍宮八層廣場）；藍鯊兵（龍宮第六層、龍宮第七層、龍宮八層一隅、龍宮八層廣場）</x:t>
        </x:is>
      </x:c>
    </x:row>
    <x:row r="3143" ht="15" customHeight="1">
      <x:c r="A3143" s="55" t="str">
        <x:v>降龍靴</x:v>
      </x:c>
      <x:c r="B3143" s="55" t="str">
        <x:v>—</x:v>
      </x:c>
      <x:c r="C3143" s="55" t="str">
        <x:v>—</x:v>
      </x:c>
      <x:c r="D3143" s="55" t="str">
        <x:v>—</x:v>
      </x:c>
      <x:c r="E3143" s="55" t="inlineStr">
        <x:is>
          <x:t>驃騎將軍錦囊（網站未列地圖）；龍駻將（龍宮八層一隅、龍宮八層廣場）；神龍將（龍宮八層廣場）</x:t>
        </x:is>
      </x:c>
    </x:row>
    <x:row r="3144" ht="15" customHeight="1">
      <x:c r="A3144" s="55" t="str">
        <x:v>銅石戰靴</x:v>
      </x:c>
      <x:c r="B3144" s="55" t="str">
        <x:v>—</x:v>
      </x:c>
      <x:c r="C3144" s="55" t="str">
        <x:v>—</x:v>
      </x:c>
      <x:c r="D3144" s="55" t="str">
        <x:v>—</x:v>
      </x:c>
      <x:c r="E3144" s="55" t="inlineStr">
        <x:is>
          <x:t>巨石魔（烈火靈界裂隙、怒雪靈界裂隙、五派禁地）；巨角龜精（網站未列地圖）；巨角龜（桃花林東方）</x:t>
        </x:is>
      </x:c>
    </x:row>
    <x:row r="3145" ht="30" customHeight="1">
      <x:c r="A3145" s="55" t="str">
        <x:v>羅漢鞋</x:v>
      </x:c>
      <x:c r="B3145" s="55" t="str">
        <x:v>—</x:v>
      </x:c>
      <x:c r="C3145" s="55" t="str">
        <x:v>—</x:v>
      </x:c>
      <x:c r="D3145" s="55" t="str">
        <x:v>—</x:v>
      </x:c>
      <x:c r="E3145" s="55" t="inlineStr">
        <x:is>
          <x:t>鳳凰包裹（網站未列地圖）；真火鳳凰（鳳凰台）；真火鳳凰（鳳凰台）；泣命煉首（網站未列地圖）；紫燄影凰（網站未列地圖）；1轉僧影（五派禁地）；鳳凰（棲鳳崖、鳳凰台）；火鳳凰（棲鳳崖）</x:t>
        </x:is>
      </x:c>
    </x:row>
    <x:row r="3146" ht="30" customHeight="1">
      <x:c r="A3146" s="55" t="str">
        <x:v>踢斗鞋</x:v>
      </x:c>
      <x:c r="B3146" s="55" t="str">
        <x:v>—</x:v>
      </x:c>
      <x:c r="C3146" s="55" t="str">
        <x:v>—</x:v>
      </x:c>
      <x:c r="D3146" s="55" t="str">
        <x:v>—</x:v>
      </x:c>
      <x:c r="E3146" s="55" t="inlineStr">
        <x:is>
          <x:t>鳳凰包裹（網站未列地圖）；真火鳳凰（鳳凰台）；真火鳳凰（鳳凰台）；泣命煉首（網站未列地圖）；紫燄影凰（網站未列地圖）；玄天宗師（五派禁地）；1轉女道影（五派禁地）；鳳凰（棲鳳崖、鳳凰台）；火鳳凰（棲鳳崖）</x:t>
        </x:is>
      </x:c>
    </x:row>
    <x:row r="3147" ht="15" customHeight="1">
      <x:c r="A3147" s="55" t="str">
        <x:v>戰神靴</x:v>
      </x:c>
      <x:c r="B3147" s="55" t="str">
        <x:v>—</x:v>
      </x:c>
      <x:c r="C3147" s="55" t="str">
        <x:v>—</x:v>
      </x:c>
      <x:c r="D3147" s="55" t="str">
        <x:v>—</x:v>
      </x:c>
      <x:c r="E3147" s="55" t="inlineStr">
        <x:is>
          <x:t>稀奇裝備箱．甲式（網站未列地圖）；蛇女包裹（網站未列地圖）</x:t>
        </x:is>
      </x:c>
    </x:row>
    <x:row r="3148" ht="15" customHeight="1">
      <x:c r="A3148" s="55" t="str">
        <x:v>龍骨靴</x:v>
      </x:c>
      <x:c r="B3148" s="55" t="str">
        <x:v>—</x:v>
      </x:c>
      <x:c r="C3148" s="55" t="str">
        <x:v>—</x:v>
      </x:c>
      <x:c r="D3148" s="55" t="str">
        <x:v>—</x:v>
      </x:c>
      <x:c r="E3148" s="55" t="inlineStr">
        <x:is>
          <x:t>黑巨蛟（東方海域）；龍王錦囊（網站未列地圖）；海巨蛟（東方海域）</x:t>
        </x:is>
      </x:c>
    </x:row>
    <x:row r="3149" ht="15" customHeight="1">
      <x:c r="A3149" s="55" t="str">
        <x:v>鯊皮靴</x:v>
      </x:c>
      <x:c r="B3149" s="55" t="str">
        <x:v>—</x:v>
      </x:c>
      <x:c r="C3149" s="55" t="str">
        <x:v>—</x:v>
      </x:c>
      <x:c r="D3149" s="55" t="str">
        <x:v>—</x:v>
      </x:c>
      <x:c r="E3149" s="55" t="inlineStr">
        <x:is>
          <x:t>藍鯊兵（龍宮第六層、龍宮第七層、龍宮八層一隅、龍宮八層廣場）；鯊將軍（龍宮八層一隅、龍宮八層廣場）</x:t>
        </x:is>
      </x:c>
    </x:row>
    <x:row r="3150" ht="60" customHeight="1">
      <x:c r="A3150" s="55" t="str">
        <x:v>黑石戰靴</x:v>
      </x:c>
      <x:c r="B3150" s="55" t="str">
        <x:v>—</x:v>
      </x:c>
      <x:c r="C3150" s="55" t="str">
        <x:v>—</x:v>
      </x:c>
      <x:c r="D3150" s="55" t="str">
        <x:v>—</x:v>
      </x:c>
      <x:c r="E3150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3151" ht="60" customHeight="1">
      <x:c r="A3151" s="55" t="str">
        <x:v>黑武戰靴</x:v>
      </x:c>
      <x:c r="B3151" s="55" t="str">
        <x:v>—</x:v>
      </x:c>
      <x:c r="C3151" s="55" t="str">
        <x:v>—</x:v>
      </x:c>
      <x:c r="D3151" s="55" t="str">
        <x:v>—</x:v>
      </x:c>
      <x:c r="E3151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3152" ht="60" customHeight="1">
      <x:c r="A3152" s="55" t="str">
        <x:v>黑捷戰靴</x:v>
      </x:c>
      <x:c r="B3152" s="55" t="str">
        <x:v>—</x:v>
      </x:c>
      <x:c r="C3152" s="55" t="str">
        <x:v>—</x:v>
      </x:c>
      <x:c r="D3152" s="55" t="str">
        <x:v>—</x:v>
      </x:c>
      <x:c r="E3152" s="55" t="inlineStr">
        <x:is>
          <x:t>勇裝錦囊（網站未列地圖）；祥龍錦囊（網站未列地圖）；御史勇裝錦囊（網站未列地圖）；勇士合薩兒（亂石林、蒼狼大營）；合薩兒幻影（亂石林）；合薩兒（大汗陵墓）；勇士合薩兒（關外草原）；2轉女勇影（五派禁地）；1轉女勇影（五派禁地）；草原刀盾兵（關外草原）；草原刀盾兵（塞北草原、呼倫草原、亂石林、大汗陵墓、統萬大營）</x:t>
        </x:is>
      </x:c>
    </x:row>
    <x:row r="3153" ht="45" customHeight="1">
      <x:c r="A3153" s="55" t="str">
        <x:v>血翼戰靴</x:v>
      </x:c>
      <x:c r="B3153" s="55" t="str">
        <x:v>—</x:v>
      </x:c>
      <x:c r="C3153" s="55" t="str">
        <x:v>—</x:v>
      </x:c>
      <x:c r="D3153" s="55" t="str">
        <x:v>—</x:v>
      </x:c>
      <x:c r="E3153" s="55" t="inlineStr">
        <x:is>
          <x: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x:t>
        </x:is>
      </x:c>
    </x:row>
    <x:row r="3154" ht="45" customHeight="1">
      <x:c r="A3154" s="55" t="str">
        <x:v>虎翼戰靴</x:v>
      </x:c>
      <x:c r="B3154" s="55" t="str">
        <x:v>—</x:v>
      </x:c>
      <x:c r="C3154" s="55" t="str">
        <x:v>—</x:v>
      </x:c>
      <x:c r="D3154" s="55" t="str">
        <x:v>—</x:v>
      </x:c>
      <x:c r="E3154" s="55" t="inlineStr">
        <x:is>
          <x: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x:t>
        </x:is>
      </x:c>
    </x:row>
    <x:row r="3155" ht="45" customHeight="1">
      <x:c r="A3155" s="55" t="str">
        <x:v>風翼戰靴</x:v>
      </x:c>
      <x:c r="B3155" s="55" t="str">
        <x:v>—</x:v>
      </x:c>
      <x:c r="C3155" s="55" t="str">
        <x:v>—</x:v>
      </x:c>
      <x:c r="D3155" s="55" t="str">
        <x:v>—</x:v>
      </x:c>
      <x:c r="E3155" s="55" t="inlineStr">
        <x:is>
          <x:t>劍裝錦囊（網站未列地圖）；御龍錦囊（網站未列地圖）；御史劍裝錦囊（網站未列地圖）；流亡叛軍隊長（八達嶺、古北口、古北大營）；流亡叛軍隊長（邊關要塞）；2轉女劍影（五派禁地）；煉氣宗（五派禁地）；玄氣宗（五派禁地）；1轉女劍影（五派禁地）</x:t>
        </x:is>
      </x:c>
    </x:row>
    <x:row r="3156" ht="30" customHeight="1">
      <x:c r="A3156" s="55" t="str">
        <x:v>蝶紋靴</x:v>
      </x:c>
      <x:c r="B3156" s="55" t="str">
        <x:v>—</x:v>
      </x:c>
      <x:c r="C3156" s="55" t="str">
        <x:v>—</x:v>
      </x:c>
      <x:c r="D3156" s="55" t="str">
        <x:v>—</x:v>
      </x:c>
      <x:c r="E3156" s="55" t="inlineStr">
        <x:is>
          <x:t>術裝錦囊（網站未列地圖）；騰龍錦囊（網站未列地圖）；御史術裝錦囊（網站未列地圖）；大汗親兵（亂石林、黑城遺跡、疾風谷、大汗陵墓、統萬大營）；2轉女術影（五派禁地）；1轉女術影（五派禁地）</x:t>
        </x:is>
      </x:c>
    </x:row>
    <x:row r="3157" ht="30" customHeight="1">
      <x:c r="A3157" s="55" t="str">
        <x:v>虎紋靴</x:v>
      </x:c>
      <x:c r="B3157" s="55" t="str">
        <x:v>—</x:v>
      </x:c>
      <x:c r="C3157" s="55" t="str">
        <x:v>—</x:v>
      </x:c>
      <x:c r="D3157" s="55" t="str">
        <x:v>—</x:v>
      </x:c>
      <x:c r="E3157" s="55" t="inlineStr">
        <x:is>
          <x:t>術裝錦囊（網站未列地圖）；騰龍錦囊（網站未列地圖）；御史術裝錦囊（網站未列地圖）；大汗親兵（亂石林、黑城遺跡、疾風谷、大汗陵墓、統萬大營）；2轉女術影（五派禁地）；1轉女術影（五派禁地）</x:t>
        </x:is>
      </x:c>
    </x:row>
    <x:row r="3158" ht="30" customHeight="1">
      <x:c r="A3158" s="55" t="str">
        <x:v>豹紋靴</x:v>
      </x:c>
      <x:c r="B3158" s="55" t="str">
        <x:v>—</x:v>
      </x:c>
      <x:c r="C3158" s="55" t="str">
        <x:v>—</x:v>
      </x:c>
      <x:c r="D3158" s="55" t="str">
        <x:v>—</x:v>
      </x:c>
      <x:c r="E3158" s="55" t="inlineStr">
        <x:is>
          <x:t>術裝錦囊（網站未列地圖）；騰龍錦囊（網站未列地圖）；御史術裝錦囊（網站未列地圖）；大汗親兵（亂石林、黑城遺跡、疾風谷、大汗陵墓、統萬大營）；2轉女術影（五派禁地）；1轉女術影（五派禁地）</x:t>
        </x:is>
      </x:c>
    </x:row>
    <x:row r="3159" ht="60" customHeight="1">
      <x:c r="A3159" s="55" t="str">
        <x:v>鳳雉靴</x:v>
      </x:c>
      <x:c r="B3159" s="55" t="str">
        <x:v>—</x:v>
      </x:c>
      <x:c r="C3159" s="55" t="str">
        <x:v>—</x:v>
      </x:c>
      <x:c r="D3159" s="55" t="str">
        <x:v>—</x:v>
      </x:c>
      <x:c r="E3159" s="55" t="inlineStr">
        <x:is>
          <x: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x:t>
        </x:is>
      </x:c>
    </x:row>
    <x:row r="3160" ht="60" customHeight="1">
      <x:c r="A3160" s="55" t="str">
        <x:v>雁翎靴</x:v>
      </x:c>
      <x:c r="B3160" s="55" t="str">
        <x:v>—</x:v>
      </x:c>
      <x:c r="C3160" s="55" t="str">
        <x:v>—</x:v>
      </x:c>
      <x:c r="D3160" s="55" t="str">
        <x:v>—</x:v>
      </x:c>
      <x:c r="E3160" s="55" t="inlineStr">
        <x:is>
          <x: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x:t>
        </x:is>
      </x:c>
    </x:row>
    <x:row r="3161" ht="60" customHeight="1">
      <x:c r="A3161" s="55" t="str">
        <x:v>千鶴靴</x:v>
      </x:c>
      <x:c r="B3161" s="55" t="str">
        <x:v>—</x:v>
      </x:c>
      <x:c r="C3161" s="55" t="str">
        <x:v>—</x:v>
      </x:c>
      <x:c r="D3161" s="55" t="str">
        <x:v>—</x:v>
      </x:c>
      <x:c r="E3161" s="55" t="inlineStr">
        <x:is>
          <x:t>道裝錦囊（網站未列地圖）；龍鳳錦囊（網站未列地圖）；御史道裝錦囊（網站未列地圖）；獵鷹（關外草原）；獵鷹（八達嶺、塞北草原、呼倫草原、貝爾草原、黑城遺跡、疾風谷、古北大營）；[獵鷹]（網站未列地圖）；獵鷹（八達嶺、塞北草原、呼倫草原、貝爾草原、黑城遺跡、疾風谷、關外草原、古北大營）；2轉女道影（五派禁地）；1轉女道影（五派禁地）</x:t>
        </x:is>
      </x:c>
    </x:row>
    <x:row r="3162" ht="45" customHeight="1">
      <x:c r="A3162" s="55" t="str">
        <x:v>擒龍靴</x:v>
      </x:c>
      <x:c r="B3162" s="55" t="str">
        <x:v>—</x:v>
      </x:c>
      <x:c r="C3162" s="55" t="str">
        <x:v>—</x:v>
      </x:c>
      <x:c r="D3162" s="55" t="str">
        <x:v>—</x:v>
      </x:c>
      <x:c r="E3162" s="55" t="inlineStr">
        <x:is>
          <x: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3" ht="45" customHeight="1">
      <x:c r="A3163" s="55" t="str">
        <x:v>伏虎靴</x:v>
      </x:c>
      <x:c r="B3163" s="55" t="str">
        <x:v>—</x:v>
      </x:c>
      <x:c r="C3163" s="55" t="str">
        <x:v>—</x:v>
      </x:c>
      <x:c r="D3163" s="55" t="str">
        <x:v>—</x:v>
      </x:c>
      <x:c r="E3163" s="55" t="inlineStr">
        <x:is>
          <x: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4" ht="45" customHeight="1">
      <x:c r="A3164" s="55" t="str">
        <x:v>除妖靴</x:v>
      </x:c>
      <x:c r="B3164" s="55" t="str">
        <x:v>—</x:v>
      </x:c>
      <x:c r="C3164" s="55" t="str">
        <x:v>—</x:v>
      </x:c>
      <x:c r="D3164" s="55" t="str">
        <x:v>—</x:v>
      </x:c>
      <x:c r="E3164" s="55" t="inlineStr">
        <x:is>
          <x:t>僧裝錦囊（網站未列地圖）；龍紋錦囊（網站未列地圖）；御史僧裝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5" ht="45" customHeight="1">
      <x:c r="A3165" s="55" t="str">
        <x:v>斬蛟靴</x:v>
      </x:c>
      <x:c r="B3165" s="55" t="str">
        <x:v>—</x:v>
      </x:c>
      <x:c r="C3165" s="55" t="str">
        <x:v>—</x:v>
      </x:c>
      <x:c r="D3165" s="55" t="str">
        <x:v>—</x:v>
      </x:c>
      <x:c r="E3165" s="55" t="inlineStr">
        <x:is>
          <x:t>僧裝錦囊（網站未列地圖）；龍紋錦囊（網站未列地圖）；2轉女僧影（五派禁地）；1轉女僧影（五派禁地）；黑豹（關外草原）；黑豹（亂石林、黑城遺跡、疾風谷）；[黑豹]（網站未列地圖）；黑豹（亂石林、黑城遺跡、疾風谷、關外草原）</x:t>
        </x:is>
      </x:c>
    </x:row>
    <x:row r="3166" ht="45" customHeight="1">
      <x:c r="A3166" s="55" t="str">
        <x:v>侏紋冰靴</x:v>
      </x:c>
      <x:c r="B3166" s="55" t="str">
        <x:v>—</x:v>
      </x:c>
      <x:c r="C3166" s="55" t="str">
        <x:v>—</x:v>
      </x:c>
      <x:c r="D3166" s="55" t="str">
        <x:v>—</x:v>
      </x:c>
      <x:c r="E3166" s="55" t="inlineStr">
        <x:is>
          <x:t>侏紋裝備錦囊（網站未列地圖）；魔侏人工頭（神兵塚）；灰侏人鐵鎬兵（晶湖水道、地下水道、水晶礦坑）；灰侏人工鏟兵（晶湖水道、地下水道、水晶礦坑）；魔侏人戰將（神兵塚）；灰侏人戰將（地下水道、水晶礦坑）；侏人狂戰士（蕈菇林西方）；侏人戰將（蕈菇林西方）；侏人炸彈兵（蕈菇林東方、蕈菇林西方、地下水道）</x:t>
        </x:is>
      </x:c>
    </x:row>
    <x:row r="3167" ht="30" customHeight="1">
      <x:c r="A3167" s="55" t="str">
        <x:v>侏紋火靴</x:v>
      </x:c>
      <x:c r="B3167" s="55" t="str">
        <x:v>—</x:v>
      </x:c>
      <x:c r="C3167" s="55" t="str">
        <x:v>—</x:v>
      </x:c>
      <x:c r="D3167" s="55" t="str">
        <x:v>—</x:v>
      </x:c>
      <x:c r="E3167" s="55" t="inlineStr">
        <x:is>
          <x:t>侏紋裝備錦囊（網站未列地圖）；魔侏人狂戰士（神兵塚）；灰侏人狂戰士（地下水道、水晶礦坑）；魔侏人炸彈兵（神兵塚）；灰侏人炸彈兵（晶湖水道、地下水道、水晶礦坑）</x:t>
        </x:is>
      </x:c>
    </x:row>
    <x:row r="3168" ht="30" customHeight="1">
      <x:c r="A3168" s="55" t="str">
        <x:v>侏紋雷靴</x:v>
      </x:c>
      <x:c r="B3168" s="55" t="str">
        <x:v>—</x:v>
      </x:c>
      <x:c r="C3168" s="55" t="str">
        <x:v>—</x:v>
      </x:c>
      <x:c r="D3168" s="55" t="str">
        <x:v>—</x:v>
      </x:c>
      <x:c r="E3168" s="55" t="inlineStr">
        <x:is>
          <x:t>侏紋裝備錦囊（網站未列地圖）；地煞幻影（神兵塚）；侏人狂戰將（礦坑戰場）；地煞（神兵塚）；[地煞]（網站未列地圖）</x:t>
        </x:is>
      </x:c>
    </x:row>
    <x:row r="3169" ht="60" customHeight="1">
      <x:c r="A3169" s="55" t="str">
        <x:v>侏紋冥靴</x:v>
      </x:c>
      <x:c r="B3169" s="55" t="str">
        <x:v>—</x:v>
      </x:c>
      <x:c r="C3169" s="55" t="str">
        <x:v>—</x:v>
      </x:c>
      <x:c r="D3169" s="55" t="str">
        <x:v>—</x:v>
      </x:c>
      <x:c r="E3169" s="55" t="inlineStr">
        <x:is>
          <x:t>侏紋裝備錦囊（網站未列地圖）；魔侏人戰士（神兵塚）；灰侏人戰士（晶湖水道、地下水道、水晶礦坑）；灰侏人狂戰將（網站未列地圖）；侏人工鏟兵（蕈菇林、蕈菇林東方、蕈菇林西方）；魔侏人工鏟兵（神兵塚）；侏人工兵鬼魂（幽玄靈界）；侏人戰士鬼魂（幽玄靈界）；侏人戰士（蕈菇林東方、蕈菇林西方）；侏人鐵鎬兵（蕈菇林、蕈菇林東方、蕈菇林西方）</x:t>
        </x:is>
      </x:c>
    </x:row>
    <x:row r="3170" ht="15" customHeight="1">
      <x:c r="A3170" s="55" t="str">
        <x:v>地靈冰靴</x:v>
      </x:c>
      <x:c r="B3170" s="55" t="str">
        <x:v>—</x:v>
      </x:c>
      <x:c r="C3170" s="55" t="str">
        <x:v>—</x:v>
      </x:c>
      <x:c r="D3170" s="55" t="str">
        <x:v>—</x:v>
      </x:c>
      <x:c r="E3170" s="55" t="inlineStr">
        <x:is>
          <x:t>地靈裝備錦囊（網站未列地圖）</x:t>
        </x:is>
      </x:c>
    </x:row>
    <x:row r="3171" ht="15" customHeight="1">
      <x:c r="A3171" s="55" t="str">
        <x:v>地靈火靴</x:v>
      </x:c>
      <x:c r="B3171" s="55" t="str">
        <x:v>—</x:v>
      </x:c>
      <x:c r="C3171" s="55" t="str">
        <x:v>—</x:v>
      </x:c>
      <x:c r="D3171" s="55" t="str">
        <x:v>—</x:v>
      </x:c>
      <x:c r="E3171" s="55" t="inlineStr">
        <x:is>
          <x:t>地靈裝備錦囊（網站未列地圖）</x:t>
        </x:is>
      </x:c>
    </x:row>
    <x:row r="3172" ht="15" customHeight="1">
      <x:c r="A3172" s="55" t="str">
        <x:v>地靈雷靴</x:v>
      </x:c>
      <x:c r="B3172" s="55" t="str">
        <x:v>—</x:v>
      </x:c>
      <x:c r="C3172" s="55" t="str">
        <x:v>—</x:v>
      </x:c>
      <x:c r="D3172" s="55" t="str">
        <x:v>—</x:v>
      </x:c>
      <x:c r="E3172" s="55" t="inlineStr">
        <x:is>
          <x:t>地靈裝備錦囊（網站未列地圖）</x:t>
        </x:is>
      </x:c>
    </x:row>
    <x:row r="3173" ht="15" customHeight="1">
      <x:c r="A3173" s="55" t="str">
        <x:v>地靈冥靴</x:v>
      </x:c>
      <x:c r="B3173" s="55" t="str">
        <x:v>—</x:v>
      </x:c>
      <x:c r="C3173" s="55" t="str">
        <x:v>—</x:v>
      </x:c>
      <x:c r="D3173" s="55" t="str">
        <x:v>—</x:v>
      </x:c>
      <x:c r="E3173" s="55" t="inlineStr">
        <x:is>
          <x:t>地靈裝備錦囊（網站未列地圖）</x:t>
        </x:is>
      </x:c>
    </x:row>
    <x:row r="3174" ht="15" customHeight="1">
      <x:c r="A3174" s="55" t="str">
        <x:v>天晶冰靴</x:v>
      </x:c>
      <x:c r="B3174" s="55" t="str">
        <x:v>—</x:v>
      </x:c>
      <x:c r="C3174" s="55" t="str">
        <x:v>—</x:v>
      </x:c>
      <x:c r="D3174" s="55" t="str">
        <x:v>—</x:v>
      </x:c>
      <x:c r="E3174" s="55" t="inlineStr">
        <x:is>
          <x:t>天晶裝備錦囊（網站未列地圖）</x:t>
        </x:is>
      </x:c>
    </x:row>
    <x:row r="3175" ht="15" customHeight="1">
      <x:c r="A3175" s="55" t="str">
        <x:v>天晶火靴</x:v>
      </x:c>
      <x:c r="B3175" s="55" t="str">
        <x:v>—</x:v>
      </x:c>
      <x:c r="C3175" s="55" t="str">
        <x:v>—</x:v>
      </x:c>
      <x:c r="D3175" s="55" t="str">
        <x:v>—</x:v>
      </x:c>
      <x:c r="E3175" s="55" t="inlineStr">
        <x:is>
          <x:t>天晶裝備錦囊（網站未列地圖）</x:t>
        </x:is>
      </x:c>
    </x:row>
    <x:row r="3176" ht="15" customHeight="1">
      <x:c r="A3176" s="55" t="str">
        <x:v>天晶雷靴</x:v>
      </x:c>
      <x:c r="B3176" s="55" t="str">
        <x:v>—</x:v>
      </x:c>
      <x:c r="C3176" s="55" t="str">
        <x:v>—</x:v>
      </x:c>
      <x:c r="D3176" s="55" t="str">
        <x:v>—</x:v>
      </x:c>
      <x:c r="E3176" s="55" t="inlineStr">
        <x:is>
          <x:t>天晶裝備錦囊（網站未列地圖）</x:t>
        </x:is>
      </x:c>
    </x:row>
    <x:row r="3177" ht="15" customHeight="1">
      <x:c r="A3177" s="55" t="str">
        <x:v>天晶冥靴</x:v>
      </x:c>
      <x:c r="B3177" s="55" t="str">
        <x:v>—</x:v>
      </x:c>
      <x:c r="C3177" s="55" t="str">
        <x:v>—</x:v>
      </x:c>
      <x:c r="D3177" s="55" t="str">
        <x:v>—</x:v>
      </x:c>
      <x:c r="E3177" s="55" t="inlineStr">
        <x:is>
          <x:t>天晶裝備錦囊（網站未列地圖）</x:t>
        </x:is>
      </x:c>
    </x:row>
    <x:row r="3178" ht="30" customHeight="1">
      <x:c r="A3178" s="55" t="str">
        <x:v>青鋼護腿</x:v>
      </x:c>
      <x:c r="B3178" s="55" t="str">
        <x:v>—</x:v>
      </x:c>
      <x:c r="C3178" s="55" t="str">
        <x:v>—</x:v>
      </x:c>
      <x:c r="D3178" s="55" t="str">
        <x:v>—</x:v>
      </x:c>
      <x:c r="E3178" s="55" t="inlineStr">
        <x:is>
          <x:t>西域勇裝錦囊（網站未列地圖）；黑天勇裝元靈（網站未列地圖）；火岩龜（火焰山）；礫岩龜（塔干沙漠南方、塔干沙漠西方）</x:t>
        </x:is>
      </x:c>
    </x:row>
    <x:row r="3179" ht="30" customHeight="1">
      <x:c r="A3179" s="55" t="str">
        <x:v>金鏈靴</x:v>
      </x:c>
      <x:c r="B3179" s="55" t="str">
        <x:v>—</x:v>
      </x:c>
      <x:c r="C3179" s="55" t="str">
        <x:v>—</x:v>
      </x:c>
      <x:c r="D3179" s="55" t="str">
        <x:v>—</x:v>
      </x:c>
      <x:c r="E3179" s="55" t="inlineStr">
        <x:is>
          <x:t>西域劍裝錦囊（網站未列地圖）；黑天劍裝元靈（網站未列地圖）；妖化沙蟲（火焰山）；狼斑沙蟲（塔干沙漠東方、萬佛窟、樓蘭遺址）</x:t>
        </x:is>
      </x:c>
    </x:row>
    <x:row r="3180" ht="30" customHeight="1">
      <x:c r="A3180" s="55" t="str">
        <x:v>樓蘭織鞋</x:v>
      </x:c>
      <x:c r="B3180" s="55" t="str">
        <x:v>—</x:v>
      </x:c>
      <x:c r="C3180" s="55" t="str">
        <x:v>—</x:v>
      </x:c>
      <x:c r="D3180" s="55" t="str">
        <x:v>—</x:v>
      </x:c>
      <x:c r="E3180" s="55" t="inlineStr">
        <x:is>
          <x:t>西域道裝錦囊（網站未列地圖）；黑天道裝元靈（網站未列地圖）；鬼禿鷹（火焰山）；巨禿鷹（塔干沙漠東方、塔干沙漠南方、萬佛窟、樓蘭遺址、火焰山）；[巨禿鷹]（網站未列地圖）</x:t>
        </x:is>
      </x:c>
    </x:row>
    <x:row r="3181" ht="30" customHeight="1">
      <x:c r="A3181" s="55" t="str">
        <x:v>千手鞋</x:v>
      </x:c>
      <x:c r="B3181" s="55" t="str">
        <x:v>—</x:v>
      </x:c>
      <x:c r="C3181" s="55" t="str">
        <x:v>—</x:v>
      </x:c>
      <x:c r="D3181" s="55" t="str">
        <x:v>—</x:v>
      </x:c>
      <x:c r="E3181" s="55" t="inlineStr">
        <x:is>
          <x:t>西域僧裝錦囊（網站未列地圖）；黑天僧裝元靈（網站未列地圖）；邪跳鼠（火焰山）；飛毛跳鼠（塔干沙漠東方、塔干沙漠西方、萬佛窟、樓蘭遺址）；[飛毛跳鼠]（網站未列地圖）</x:t>
        </x:is>
      </x:c>
    </x:row>
    <x:row r="3182" ht="75" customHeight="1">
      <x:c r="A3182" s="55" t="str">
        <x:v>羅剎皮靴</x:v>
      </x:c>
      <x:c r="B3182" s="55" t="str">
        <x:v>—</x:v>
      </x:c>
      <x:c r="C3182" s="55" t="str">
        <x:v>—</x:v>
      </x:c>
      <x:c r="D3182" s="55" t="str">
        <x:v>—</x:v>
      </x:c>
      <x:c r="E3182" s="55" t="inlineStr">
        <x:is>
          <x:t>西域術裝錦囊（網站未列地圖）；黑天術裝元靈（網站未列地圖）；羅剎女妖（火焰山）；羅剎部隊長（塔干沙漠西方）；羅剎男妖（火焰山）；傀儡羅剎劍俠（網站未列地圖）；羅剎鞭手遊魂（網站未列地圖）；傀儡羅剎鞭手（網站未列地圖）；羅剎鞭子手（塔干沙漠西方）；羅剎槍士（塔干沙漠西方）；羅剎劍俠遊魂（網站未列地圖）；羅剎鏢客（塔干沙漠西方）；羅剎鏢客遊魂（網站未列地圖）；傀儡羅剎鏢客（網站未列地圖）；羅剎劍俠（塔干沙漠西方）；傀儡羅剎槍士（網站未列地圖）；羅剎槍士遊魂（網站未列地圖）</x:t>
        </x:is>
      </x:c>
    </x:row>
    <x:row r="3183" ht="45" customHeight="1">
      <x:c r="A3183" s="55" t="str">
        <x:v>玄武戰靴</x:v>
      </x:c>
      <x:c r="B3183" s="55" t="str">
        <x:v>—</x:v>
      </x:c>
      <x:c r="C3183" s="55" t="str">
        <x:v>—</x:v>
      </x:c>
      <x:c r="D3183" s="55" t="str">
        <x:v>—</x:v>
      </x:c>
      <x:c r="E3183" s="55" t="inlineStr">
        <x:is>
          <x:t>西域勇裝錦囊（網站未列地圖）；黑天勇裝元靈（網站未列地圖）；征西勇士錦囊（網站未列地圖）；樓蘭勇士錦囊（網站未列地圖）；噴焰巨龜（火焰山）；銅石龜（塔干沙漠南方、塔干沙漠西方、樓蘭遺址）；[銅石龜]（網站未列地圖）</x:t>
        </x:is>
      </x:c>
    </x:row>
    <x:row r="3184" ht="30" customHeight="1">
      <x:c r="A3184" s="55" t="str">
        <x:v>玉鱗戰靴</x:v>
      </x:c>
      <x:c r="B3184" s="55" t="str">
        <x:v>—</x:v>
      </x:c>
      <x:c r="C3184" s="55" t="str">
        <x:v>—</x:v>
      </x:c>
      <x:c r="D3184" s="55" t="str">
        <x:v>—</x:v>
      </x:c>
      <x:c r="E3184" s="55" t="inlineStr">
        <x:is>
          <x:t>西域劍裝錦囊（網站未列地圖）；黑天劍裝元靈（網站未列地圖）；征西劍俠錦囊（網站未列地圖）；樓蘭劍俠錦囊（網站未列地圖）；妖煞蟲王（火焰山）；沙蟲蠱王（樓蘭遺址）</x:t>
        </x:is>
      </x:c>
    </x:row>
    <x:row r="3185" ht="30" customHeight="1">
      <x:c r="A3185" s="55" t="str">
        <x:v>翡翠錦鞋</x:v>
      </x:c>
      <x:c r="B3185" s="55" t="str">
        <x:v>—</x:v>
      </x:c>
      <x:c r="C3185" s="55" t="str">
        <x:v>—</x:v>
      </x:c>
      <x:c r="D3185" s="55" t="str">
        <x:v>—</x:v>
      </x:c>
      <x:c r="E3185" s="55" t="inlineStr">
        <x:is>
          <x:t>西域道裝錦囊（網站未列地圖）；黑天道裝元靈（網站未列地圖）；征西道人錦囊（網站未列地圖）；樓蘭道人錦囊（網站未列地圖）；血神禿鷹（火焰山）；嗜血禿鷹（塔干沙漠南方）</x:t>
        </x:is>
      </x:c>
    </x:row>
    <x:row r="3186" ht="45" customHeight="1">
      <x:c r="A3186" s="55" t="str">
        <x:v>萬佛靴</x:v>
      </x:c>
      <x:c r="B3186" s="55" t="str">
        <x:v>—</x:v>
      </x:c>
      <x:c r="C3186" s="55" t="str">
        <x:v>—</x:v>
      </x:c>
      <x:c r="D3186" s="55" t="str">
        <x:v>—</x:v>
      </x:c>
      <x:c r="E3186" s="55" t="inlineStr">
        <x:is>
          <x:t>西域僧裝錦囊（網站未列地圖）；黑天僧裝元靈（網站未列地圖）；征西僧侶錦囊（網站未列地圖）；樓蘭僧侶錦囊（網站未列地圖）；邪魔靈鼠（火焰山）；神行跳鼠（萬魔蜃樓陣、萬魔蜃樓陣檢錄處、塔干沙漠西方、萬佛窟、樓蘭遺址）；[神行跳鼠]（網站未列地圖）</x:t>
        </x:is>
      </x:c>
    </x:row>
    <x:row r="3187" ht="60" customHeight="1">
      <x:c r="A3187" s="55" t="str">
        <x:v>天羅皮靴</x:v>
      </x:c>
      <x:c r="B3187" s="55" t="str">
        <x:v>—</x:v>
      </x:c>
      <x:c r="C3187" s="55" t="str">
        <x:v>—</x:v>
      </x:c>
      <x:c r="D3187" s="55" t="str">
        <x:v>—</x:v>
      </x:c>
      <x:c r="E3187" s="55" t="inlineStr">
        <x:is>
          <x:t>西域術裝錦囊（網站未列地圖）；黑天術裝元靈（網站未列地圖）；征西術者錦囊（網站未列地圖）；樓蘭術者錦囊（網站未列地圖）；羅剎女妖（火焰山）；羅剎部隊長（塔干沙漠西方）；傀儡羅剎劍俠（網站未列地圖）；羅剎鞭手遊魂（網站未列地圖）；傀儡羅剎鞭手（網站未列地圖）；羅剎鞭子手（塔干沙漠西方）；羅剎劍俠遊魂（網站未列地圖）；羅剎劍俠（塔干沙漠西方）</x:t>
        </x:is>
      </x:c>
    </x:row>
    <x:row r="3188" ht="15" customHeight="1">
      <x:c r="A3188" s="55" t="str">
        <x:v>御雲戰靴</x:v>
      </x:c>
      <x:c r="B3188" s="55" t="str">
        <x:v>—</x:v>
      </x:c>
      <x:c r="C3188" s="55" t="str">
        <x:v>—</x:v>
      </x:c>
      <x:c r="D3188" s="55" t="str">
        <x:v>—</x:v>
      </x:c>
      <x:c r="E3188" s="55" t="inlineStr">
        <x:is>
          <x:t>天界神裝錦囊（網站未列地圖）；戰神錦囊（網站未列地圖）</x:t>
        </x:is>
      </x:c>
    </x:row>
    <x:row r="3189" ht="30" customHeight="1">
      <x:c r="A3189" s="55" t="str">
        <x:v>德津戰靴</x:v>
      </x:c>
      <x:c r="B3189" s="55" t="str">
        <x:v>—</x:v>
      </x:c>
      <x:c r="C3189" s="55" t="str">
        <x:v>—</x:v>
      </x:c>
      <x:c r="D3189" s="55" t="str">
        <x:v>—</x:v>
      </x:c>
      <x:c r="E3189" s="55" t="inlineStr">
        <x:is>
          <x:t>東瀛劍裝錦囊（網站未列地圖）；東瀛劍裝禮盒（網站未列地圖）；御史劍裝錦囊（網站未列地圖）；冥戶永德（八荒古墳）；血刃般若（天照不二峰、八荒古墳）</x:t>
        </x:is>
      </x:c>
    </x:row>
    <x:row r="3190" ht="30" customHeight="1">
      <x:c r="A3190" s="55" t="str">
        <x:v>綱岐戰靴</x:v>
      </x:c>
      <x:c r="B3190" s="55" t="str">
        <x:v>—</x:v>
      </x:c>
      <x:c r="C3190" s="55" t="str">
        <x:v>—</x:v>
      </x:c>
      <x:c r="D3190" s="55" t="str">
        <x:v>—</x:v>
      </x:c>
      <x:c r="E3190" s="55" t="inlineStr">
        <x:is>
          <x:t>東瀛勇裝錦囊（網站未列地圖）；東瀛勇裝禮盒（網站未列地圖）；御史勇裝錦囊（網站未列地圖）；鬼將妖河童（伊取川大陣）；幕影忍者（外崎埠原、十津原樹海、伊取川大陣）</x:t>
        </x:is>
      </x:c>
    </x:row>
    <x:row r="3191" ht="30" customHeight="1">
      <x:c r="A3191" s="55" t="str">
        <x:v>葵越紋靴</x:v>
      </x:c>
      <x:c r="B3191" s="55" t="str">
        <x:v>—</x:v>
      </x:c>
      <x:c r="C3191" s="55" t="str">
        <x:v>—</x:v>
      </x:c>
      <x:c r="D3191" s="55" t="str">
        <x:v>—</x:v>
      </x:c>
      <x:c r="E3191" s="55" t="inlineStr">
        <x:is>
          <x:t>東瀛道裝錦囊（網站未列地圖）；東瀛道裝禮盒（網站未列地圖）；御史道裝錦囊（網站未列地圖）；谷村真一（神室關所）；流亡山賊（葉隱蒼林）</x:t>
        </x:is>
      </x:c>
    </x:row>
    <x:row r="3192" ht="30" customHeight="1">
      <x:c r="A3192" s="55" t="str">
        <x:v>笠紀禪靴</x:v>
      </x:c>
      <x:c r="B3192" s="55" t="str">
        <x:v>—</x:v>
      </x:c>
      <x:c r="C3192" s="55" t="str">
        <x:v>—</x:v>
      </x:c>
      <x:c r="D3192" s="55" t="str">
        <x:v>—</x:v>
      </x:c>
      <x:c r="E3192" s="55" t="inlineStr">
        <x:is>
          <x:t>東瀛僧裝錦囊（網站未列地圖）；東瀛僧裝禮盒（網站未列地圖）；御史僧裝錦囊（網站未列地圖）；溺誘河童（內崎埠原、外崎埠原、十津原樹海）；巨鮫平次郎（長野沙濱）</x:t>
        </x:is>
      </x:c>
    </x:row>
    <x:row r="3193" ht="30" customHeight="1">
      <x:c r="A3193" s="55" t="str">
        <x:v>伏藏護靴</x:v>
      </x:c>
      <x:c r="B3193" s="55" t="str">
        <x:v>—</x:v>
      </x:c>
      <x:c r="C3193" s="55" t="str">
        <x:v>—</x:v>
      </x:c>
      <x:c r="D3193" s="55" t="str">
        <x:v>—</x:v>
      </x:c>
      <x:c r="E3193" s="55" t="inlineStr">
        <x:is>
          <x:t>東瀛術裝錦囊（網站未列地圖）；東瀛術裝禮盒（網站未列地圖）；御史術裝錦囊（網站未列地圖）；玉藻九尾狐（十津原樹海）；富田莊八郎（長野沙濱）</x:t>
        </x:is>
      </x:c>
    </x:row>
    <x:row r="3194" ht="15" customHeight="1">
      <x:c r="A3194" s="55" t="str">
        <x:v>武幕戰靴</x:v>
      </x:c>
      <x:c r="B3194" s="55" t="str">
        <x:v>—</x:v>
      </x:c>
      <x:c r="C3194" s="55" t="str">
        <x:v>—</x:v>
      </x:c>
      <x:c r="D3194" s="55" t="str">
        <x:v>—</x:v>
      </x:c>
      <x:c r="E3194" s="55" t="inlineStr">
        <x:is>
          <x:t>東瀛劍裝禮盒（網站未列地圖）</x:t>
        </x:is>
      </x:c>
    </x:row>
    <x:row r="3195" ht="15" customHeight="1">
      <x:c r="A3195" s="55" t="str">
        <x:v>霸統戰靴</x:v>
      </x:c>
      <x:c r="B3195" s="55" t="str">
        <x:v>—</x:v>
      </x:c>
      <x:c r="C3195" s="55" t="str">
        <x:v>—</x:v>
      </x:c>
      <x:c r="D3195" s="55" t="str">
        <x:v>—</x:v>
      </x:c>
      <x:c r="E3195" s="55" t="inlineStr">
        <x:is>
          <x:t>東瀛勇裝禮盒（網站未列地圖）</x:t>
        </x:is>
      </x:c>
    </x:row>
    <x:row r="3196" ht="15" customHeight="1">
      <x:c r="A3196" s="55" t="str">
        <x:v>陣澤紋靴</x:v>
      </x:c>
      <x:c r="B3196" s="55" t="str">
        <x:v>—</x:v>
      </x:c>
      <x:c r="C3196" s="55" t="str">
        <x:v>—</x:v>
      </x:c>
      <x:c r="D3196" s="55" t="str">
        <x:v>—</x:v>
      </x:c>
      <x:c r="E3196" s="55" t="inlineStr">
        <x:is>
          <x:t>東瀛道裝禮盒（網站未列地圖）</x:t>
        </x:is>
      </x:c>
    </x:row>
    <x:row r="3197" ht="15" customHeight="1">
      <x:c r="A3197" s="55" t="str">
        <x:v>伊幡禪靴</x:v>
      </x:c>
      <x:c r="B3197" s="55" t="str">
        <x:v>—</x:v>
      </x:c>
      <x:c r="C3197" s="55" t="str">
        <x:v>—</x:v>
      </x:c>
      <x:c r="D3197" s="55" t="str">
        <x:v>—</x:v>
      </x:c>
      <x:c r="E3197" s="55" t="inlineStr">
        <x:is>
          <x:t>東瀛僧裝禮盒（網站未列地圖）</x:t>
        </x:is>
      </x:c>
    </x:row>
    <x:row r="3198" ht="15" customHeight="1">
      <x:c r="A3198" s="55" t="str">
        <x:v>丸勢護靴</x:v>
      </x:c>
      <x:c r="B3198" s="55" t="str">
        <x:v>—</x:v>
      </x:c>
      <x:c r="C3198" s="55" t="str">
        <x:v>—</x:v>
      </x:c>
      <x:c r="D3198" s="55" t="str">
        <x:v>—</x:v>
      </x:c>
      <x:c r="E3198" s="55" t="inlineStr">
        <x:is>
          <x:t>東瀛術裝禮盒（網站未列地圖）</x:t>
        </x:is>
      </x:c>
    </x:row>
    <x:row r="3199" ht="45" customHeight="1">
      <x:c r="A3199" s="55" t="str">
        <x:v>韋駝天足具</x:v>
      </x:c>
      <x:c r="B3199" s="55" t="str">
        <x:v>—</x:v>
      </x:c>
      <x:c r="C3199" s="55" t="str">
        <x:v>—</x:v>
      </x:c>
      <x:c r="D3199" s="55" t="str">
        <x:v>—</x:v>
      </x:c>
      <x:c r="E3199" s="55" t="inlineStr">
        <x:is>
          <x:t>東瀛奇甲錦囊（網站未列地圖）；萬象始元錦囊（網站未列地圖）；武冠兵甲錦囊．戌（網站未列地圖）；東昇錦囊（網站未列地圖）；旭日東昇錦囊（網站未列地圖）；揚威錦囊（網站未列地圖）；虛潛獸（終末之塔第12層、終末之塔第15層）</x:t>
        </x:is>
      </x:c>
    </x:row>
    <x:row r="3200" ht="15" customHeight="1">
      <x:c r="A3200" s="55" t="str">
        <x:v>烈雷脛甲</x:v>
      </x:c>
      <x:c r="B3200" s="55" t="str">
        <x:v>—</x:v>
      </x:c>
      <x:c r="C3200" s="55" t="str">
        <x:v>—</x:v>
      </x:c>
      <x:c r="D3200" s="55" t="str">
        <x:v>—</x:v>
      </x:c>
      <x:c r="E3200" s="55" t="inlineStr">
        <x:is>
          <x:t>平倭勇裝錦囊（網站未列地圖）</x:t>
        </x:is>
      </x:c>
    </x:row>
    <x:row r="3201" ht="15" customHeight="1">
      <x:c r="A3201" s="55" t="str">
        <x:v>震雷脛甲</x:v>
      </x:c>
      <x:c r="B3201" s="55" t="str">
        <x:v>—</x:v>
      </x:c>
      <x:c r="C3201" s="55" t="str">
        <x:v>—</x:v>
      </x:c>
      <x:c r="D3201" s="55" t="str">
        <x:v>—</x:v>
      </x:c>
      <x:c r="E3201" s="55" t="inlineStr">
        <x:is>
          <x:t>平倭勇裝錦囊（網站未列地圖）</x:t>
        </x:is>
      </x:c>
    </x:row>
    <x:row r="3202" ht="15" customHeight="1">
      <x:c r="A3202" s="55" t="str">
        <x:v>驚雷脛甲</x:v>
      </x:c>
      <x:c r="B3202" s="55" t="str">
        <x:v>—</x:v>
      </x:c>
      <x:c r="C3202" s="55" t="str">
        <x:v>—</x:v>
      </x:c>
      <x:c r="D3202" s="55" t="str">
        <x:v>—</x:v>
      </x:c>
      <x:c r="E3202" s="55" t="inlineStr">
        <x:is>
          <x:t>平倭勇裝錦囊（網站未列地圖）</x:t>
        </x:is>
      </x:c>
    </x:row>
    <x:row r="3203" ht="15" customHeight="1">
      <x:c r="A3203" s="55" t="str">
        <x:v>翔雲戰靴</x:v>
      </x:c>
      <x:c r="B3203" s="55" t="str">
        <x:v>—</x:v>
      </x:c>
      <x:c r="C3203" s="55" t="str">
        <x:v>—</x:v>
      </x:c>
      <x:c r="D3203" s="55" t="str">
        <x:v>—</x:v>
      </x:c>
      <x:c r="E3203" s="55" t="inlineStr">
        <x:is>
          <x:t>平倭劍裝錦囊（網站未列地圖）</x:t>
        </x:is>
      </x:c>
    </x:row>
    <x:row r="3204" ht="15" customHeight="1">
      <x:c r="A3204" s="55" t="str">
        <x:v>瑞雲戰靴</x:v>
      </x:c>
      <x:c r="B3204" s="55" t="str">
        <x:v>—</x:v>
      </x:c>
      <x:c r="C3204" s="55" t="str">
        <x:v>—</x:v>
      </x:c>
      <x:c r="D3204" s="55" t="str">
        <x:v>—</x:v>
      </x:c>
      <x:c r="E3204" s="55" t="inlineStr">
        <x:is>
          <x:t>平倭劍裝錦囊（網站未列地圖）</x:t>
        </x:is>
      </x:c>
    </x:row>
    <x:row r="3205" ht="15" customHeight="1">
      <x:c r="A3205" s="55" t="str">
        <x:v>飛雲戰靴</x:v>
      </x:c>
      <x:c r="B3205" s="55" t="str">
        <x:v>—</x:v>
      </x:c>
      <x:c r="C3205" s="55" t="str">
        <x:v>—</x:v>
      </x:c>
      <x:c r="D3205" s="55" t="str">
        <x:v>—</x:v>
      </x:c>
      <x:c r="E3205" s="55" t="inlineStr">
        <x:is>
          <x:t>平倭劍裝錦囊（網站未列地圖）</x:t>
        </x:is>
      </x:c>
    </x:row>
    <x:row r="3206" ht="15" customHeight="1">
      <x:c r="A3206" s="55" t="str">
        <x:v>新月護靴</x:v>
      </x:c>
      <x:c r="B3206" s="55" t="str">
        <x:v>—</x:v>
      </x:c>
      <x:c r="C3206" s="55" t="str">
        <x:v>—</x:v>
      </x:c>
      <x:c r="D3206" s="55" t="str">
        <x:v>—</x:v>
      </x:c>
      <x:c r="E3206" s="55" t="inlineStr">
        <x:is>
          <x:t>平倭術裝錦囊（網站未列地圖）</x:t>
        </x:is>
      </x:c>
    </x:row>
    <x:row r="3207" ht="15" customHeight="1">
      <x:c r="A3207" s="55" t="str">
        <x:v>朧月護靴</x:v>
      </x:c>
      <x:c r="B3207" s="55" t="str">
        <x:v>—</x:v>
      </x:c>
      <x:c r="C3207" s="55" t="str">
        <x:v>—</x:v>
      </x:c>
      <x:c r="D3207" s="55" t="str">
        <x:v>—</x:v>
      </x:c>
      <x:c r="E3207" s="55" t="inlineStr">
        <x:is>
          <x:t>平倭術裝錦囊（網站未列地圖）</x:t>
        </x:is>
      </x:c>
    </x:row>
    <x:row r="3208" ht="15" customHeight="1">
      <x:c r="A3208" s="55" t="str">
        <x:v>殘月護靴</x:v>
      </x:c>
      <x:c r="B3208" s="55" t="str">
        <x:v>—</x:v>
      </x:c>
      <x:c r="C3208" s="55" t="str">
        <x:v>—</x:v>
      </x:c>
      <x:c r="D3208" s="55" t="str">
        <x:v>—</x:v>
      </x:c>
      <x:c r="E3208" s="55" t="inlineStr">
        <x:is>
          <x:t>平倭術裝錦囊（網站未列地圖）</x:t>
        </x:is>
      </x:c>
    </x:row>
    <x:row r="3209" ht="15" customHeight="1">
      <x:c r="A3209" s="55" t="str">
        <x:v>昇陽紋靴</x:v>
      </x:c>
      <x:c r="B3209" s="55" t="str">
        <x:v>—</x:v>
      </x:c>
      <x:c r="C3209" s="55" t="str">
        <x:v>—</x:v>
      </x:c>
      <x:c r="D3209" s="55" t="str">
        <x:v>—</x:v>
      </x:c>
      <x:c r="E3209" s="55" t="inlineStr">
        <x:is>
          <x:t>平倭道裝錦囊（網站未列地圖）</x:t>
        </x:is>
      </x:c>
    </x:row>
    <x:row r="3210" ht="15" customHeight="1">
      <x:c r="A3210" s="55" t="str">
        <x:v>朝陽紋靴</x:v>
      </x:c>
      <x:c r="B3210" s="55" t="str">
        <x:v>—</x:v>
      </x:c>
      <x:c r="C3210" s="55" t="str">
        <x:v>—</x:v>
      </x:c>
      <x:c r="D3210" s="55" t="str">
        <x:v>—</x:v>
      </x:c>
      <x:c r="E3210" s="55" t="inlineStr">
        <x:is>
          <x:t>平倭道裝錦囊（網站未列地圖）</x:t>
        </x:is>
      </x:c>
    </x:row>
    <x:row r="3211" ht="15" customHeight="1">
      <x:c r="A3211" s="55" t="str">
        <x:v>玄陽紋靴</x:v>
      </x:c>
      <x:c r="B3211" s="55" t="str">
        <x:v>—</x:v>
      </x:c>
      <x:c r="C3211" s="55" t="str">
        <x:v>—</x:v>
      </x:c>
      <x:c r="D3211" s="55" t="str">
        <x:v>—</x:v>
      </x:c>
      <x:c r="E3211" s="55" t="inlineStr">
        <x:is>
          <x:t>平倭道裝錦囊（網站未列地圖）</x:t>
        </x:is>
      </x:c>
    </x:row>
    <x:row r="3212" ht="15" customHeight="1">
      <x:c r="A3212" s="55" t="str">
        <x:v>聖空禪靴</x:v>
      </x:c>
      <x:c r="B3212" s="55" t="str">
        <x:v>—</x:v>
      </x:c>
      <x:c r="C3212" s="55" t="str">
        <x:v>—</x:v>
      </x:c>
      <x:c r="D3212" s="55" t="str">
        <x:v>—</x:v>
      </x:c>
      <x:c r="E3212" s="55" t="inlineStr">
        <x:is>
          <x:t>平倭僧裝錦囊（網站未列地圖）</x:t>
        </x:is>
      </x:c>
    </x:row>
    <x:row r="3213" ht="15" customHeight="1">
      <x:c r="A3213" s="55" t="str">
        <x:v>圓空禪靴</x:v>
      </x:c>
      <x:c r="B3213" s="55" t="str">
        <x:v>—</x:v>
      </x:c>
      <x:c r="C3213" s="55" t="str">
        <x:v>—</x:v>
      </x:c>
      <x:c r="D3213" s="55" t="str">
        <x:v>—</x:v>
      </x:c>
      <x:c r="E3213" s="55" t="inlineStr">
        <x:is>
          <x:t>平倭僧裝錦囊（網站未列地圖）</x:t>
        </x:is>
      </x:c>
    </x:row>
    <x:row r="3214" ht="15" customHeight="1">
      <x:c r="A3214" s="55" t="str">
        <x:v>明空禪靴</x:v>
      </x:c>
      <x:c r="B3214" s="55" t="str">
        <x:v>—</x:v>
      </x:c>
      <x:c r="C3214" s="55" t="str">
        <x:v>—</x:v>
      </x:c>
      <x:c r="D3214" s="55" t="str">
        <x:v>—</x:v>
      </x:c>
      <x:c r="E3214" s="55" t="inlineStr">
        <x:is>
          <x:t>平倭僧裝錦囊（網站未列地圖）</x:t>
        </x:is>
      </x:c>
    </x:row>
    <x:row r="3215" ht="30" customHeight="1">
      <x:c r="A3215" s="55" t="str">
        <x:v>蘭若戰靴</x:v>
      </x:c>
      <x:c r="B3215" s="55" t="str">
        <x:v>—</x:v>
      </x:c>
      <x:c r="C3215" s="55" t="str">
        <x:v>—</x:v>
      </x:c>
      <x:c r="D3215" s="55" t="str">
        <x:v>—</x:v>
      </x:c>
      <x:c r="E3215" s="55" t="inlineStr">
        <x:is>
          <x:t>摩羅劍裝錦囊（網站未列地圖）；真佛劍裝錦囊（網站未列地圖）；拔山象妖（摩羅國境、菩提聖原）；[拔山象妖]（網站未列地圖）</x:t>
        </x:is>
      </x:c>
    </x:row>
    <x:row r="3216" ht="15" customHeight="1">
      <x:c r="A3216" s="55" t="str">
        <x:v>戒日戰靴</x:v>
      </x:c>
      <x:c r="B3216" s="55" t="str">
        <x:v>—</x:v>
      </x:c>
      <x:c r="C3216" s="55" t="str">
        <x:v>—</x:v>
      </x:c>
      <x:c r="D3216" s="55" t="str">
        <x:v>—</x:v>
      </x:c>
      <x:c r="E3216" s="55" t="inlineStr">
        <x:is>
          <x:t>摩羅勇裝錦囊（網站未列地圖）；真佛勇裝錦囊（網站未列地圖）；邪甲巨象（大梵河岸）</x:t>
        </x:is>
      </x:c>
    </x:row>
    <x:row r="3217" ht="30" customHeight="1">
      <x:c r="A3217" s="55" t="str">
        <x:v>朱綾護靴</x:v>
      </x:c>
      <x:c r="B3217" s="55" t="str">
        <x:v>—</x:v>
      </x:c>
      <x:c r="C3217" s="55" t="str">
        <x:v>—</x:v>
      </x:c>
      <x:c r="D3217" s="55" t="str">
        <x:v>—</x:v>
      </x:c>
      <x:c r="E3217" s="55" t="inlineStr">
        <x:is>
          <x:t>摩羅術裝錦囊（網站未列地圖）；真佛術裝錦囊（網站未列地圖）；白猿鬥神（金霄佛寺、濕婆神廟）；羅剎流寇（黃塵荒漠）；半身虎人（黃塵荒漠、聖域之門、飛簷頂徑）；[半身虎人]（網站未列地圖）</x:t>
        </x:is>
      </x:c>
    </x:row>
    <x:row r="3218" ht="30" customHeight="1">
      <x:c r="A3218" s="55" t="str">
        <x:v>紫懿道靴</x:v>
      </x:c>
      <x:c r="B3218" s="55" t="str">
        <x:v>—</x:v>
      </x:c>
      <x:c r="C3218" s="55" t="str">
        <x:v>—</x:v>
      </x:c>
      <x:c r="D3218" s="55" t="str">
        <x:v>—</x:v>
      </x:c>
      <x:c r="E3218" s="55" t="inlineStr">
        <x:is>
          <x:t>摩羅道裝錦囊（網站未列地圖）；真佛道裝錦囊（網站未列地圖）；高原冰靈（登天棧道、懸空仙嶺）；摩羅女武侍（大梵河岸、金霄佛寺）</x:t>
        </x:is>
      </x:c>
    </x:row>
    <x:row r="3219" ht="15" customHeight="1">
      <x:c r="A3219" s="55" t="str">
        <x:v>正定禪靴</x:v>
      </x:c>
      <x:c r="B3219" s="55" t="str">
        <x:v>—</x:v>
      </x:c>
      <x:c r="C3219" s="55" t="str">
        <x:v>—</x:v>
      </x:c>
      <x:c r="D3219" s="55" t="str">
        <x:v>—</x:v>
      </x:c>
      <x:c r="E3219" s="55" t="inlineStr">
        <x:is>
          <x:t>摩羅僧裝錦囊（網站未列地圖）；真佛僧裝錦囊（網站未列地圖）；九首邪蟒（濕婆神廟）</x:t>
        </x:is>
      </x:c>
    </x:row>
    <x:row r="3220" ht="15" customHeight="1">
      <x:c r="A3220" s="55" t="str">
        <x:v>悉檀戰靴</x:v>
      </x:c>
      <x:c r="B3220" s="55" t="str">
        <x:v>—</x:v>
      </x:c>
      <x:c r="C3220" s="55" t="str">
        <x:v>—</x:v>
      </x:c>
      <x:c r="D3220" s="55" t="str">
        <x:v>—</x:v>
      </x:c>
      <x:c r="E3220" s="55" t="inlineStr">
        <x:is>
          <x:t>真佛劍裝錦囊（網站未列地圖）</x:t>
        </x:is>
      </x:c>
    </x:row>
    <x:row r="3221" ht="30" customHeight="1">
      <x:c r="A3221" s="55" t="str">
        <x:v>最勝戰靴</x:v>
      </x:c>
      <x:c r="B3221" s="55" t="str">
        <x:v>—</x:v>
      </x:c>
      <x:c r="C3221" s="55" t="str">
        <x:v>—</x:v>
      </x:c>
      <x:c r="D3221" s="55" t="str">
        <x:v>—</x:v>
      </x:c>
      <x:c r="E3221" s="55" t="inlineStr">
        <x:is>
          <x:t>真佛勇裝錦囊（網站未列地圖）；藏地氂牛（登天棧道、懸空仙嶺、青藏高原）；[藏地氂牛]（網站未列地圖）；雲霓戰牛（網站未列地圖）</x:t>
        </x:is>
      </x:c>
    </x:row>
    <x:row r="3222" ht="15" customHeight="1">
      <x:c r="A3222" s="55" t="str">
        <x:v>吠陀護靴</x:v>
      </x:c>
      <x:c r="B3222" s="55" t="str">
        <x:v>—</x:v>
      </x:c>
      <x:c r="C3222" s="55" t="str">
        <x:v>—</x:v>
      </x:c>
      <x:c r="D3222" s="55" t="str">
        <x:v>—</x:v>
      </x:c>
      <x:c r="E3222" s="55" t="inlineStr">
        <x:is>
          <x:t>真佛術裝錦囊（網站未列地圖）</x:t>
        </x:is>
      </x:c>
    </x:row>
    <x:row r="3223" ht="15" customHeight="1">
      <x:c r="A3223" s="55" t="str">
        <x:v>煌天道靴</x:v>
      </x:c>
      <x:c r="B3223" s="55" t="str">
        <x:v>—</x:v>
      </x:c>
      <x:c r="C3223" s="55" t="str">
        <x:v>—</x:v>
      </x:c>
      <x:c r="D3223" s="55" t="str">
        <x:v>—</x:v>
      </x:c>
      <x:c r="E3223" s="55" t="inlineStr">
        <x:is>
          <x:t>真佛道裝錦囊（網站未列地圖）</x:t>
        </x:is>
      </x:c>
    </x:row>
    <x:row r="3224" ht="15" customHeight="1">
      <x:c r="A3224" s="55" t="str">
        <x:v>華嚴禪靴</x:v>
      </x:c>
      <x:c r="B3224" s="55" t="str">
        <x:v>—</x:v>
      </x:c>
      <x:c r="C3224" s="55" t="str">
        <x:v>—</x:v>
      </x:c>
      <x:c r="D3224" s="55" t="str">
        <x:v>—</x:v>
      </x:c>
      <x:c r="E3224" s="55" t="inlineStr">
        <x:is>
          <x:t>真佛僧裝錦囊（網站未列地圖）；赤日火靈（聖域之門、清教院街）；狂獄火魔（網站未列地圖）</x:t>
        </x:is>
      </x:c>
    </x:row>
    <x:row r="3225" ht="15" customHeight="1">
      <x:c r="A3225" s="55" t="str">
        <x:v>真．御雲戰靴</x:v>
      </x:c>
      <x:c r="B3225" s="55" t="str">
        <x:v>—</x:v>
      </x:c>
      <x:c r="C3225" s="55" t="str">
        <x:v>—</x:v>
      </x:c>
      <x:c r="D3225" s="55" t="str">
        <x:v>天極戰靴配方</x:v>
      </x:c>
      <x:c r="E3225" s="55" t="inlineStr">
        <x:is>
          <x:t>真天界神裝錦囊（網站未列地圖）；玄冑之核（網站未列地圖）</x:t>
        </x:is>
      </x:c>
    </x:row>
    <x:row r="3226" ht="30" customHeight="1">
      <x:c r="A3226" s="55" t="str">
        <x:v>驕陽戰靴</x:v>
      </x:c>
      <x:c r="B3226" s="55" t="str">
        <x:v>—</x:v>
      </x:c>
      <x:c r="C3226" s="55" t="str">
        <x:v>—</x:v>
      </x:c>
      <x:c r="D3226" s="55" t="str">
        <x:v>—</x:v>
      </x:c>
      <x:c r="E3226" s="55" t="inlineStr">
        <x:is>
          <x:t>煉獄劍裝錦囊（網站未列地圖）；魔天劍裝錦囊（網站未列地圖）；奈落邪鬼（奈落紅川）；奈落邪鬼（永劫刑場）；衝雲亂梟（大梵聖湖、萬岳聖峰）</x:t>
        </x:is>
      </x:c>
    </x:row>
    <x:row r="3227" ht="30" customHeight="1">
      <x:c r="A3227" s="55" t="str">
        <x:v>銀蟒鍊靴</x:v>
      </x:c>
      <x:c r="B3227" s="55" t="str">
        <x:v>—</x:v>
      </x:c>
      <x:c r="C3227" s="55" t="str">
        <x:v>—</x:v>
      </x:c>
      <x:c r="D3227" s="55" t="str">
        <x:v>—</x:v>
      </x:c>
      <x:c r="E3227" s="55" t="inlineStr">
        <x:is>
          <x:t>煉獄勇裝錦囊（網站未列地圖）；魔天勇裝錦囊（網站未列地圖）；晶凍傀儡（寒愴冰獄）；絕凍冰妖（萬岳聖峰、香格里拉聖路）</x:t>
        </x:is>
      </x:c>
    </x:row>
    <x:row r="3228" ht="30" customHeight="1">
      <x:c r="A3228" s="55" t="str">
        <x:v>白門輕靴</x:v>
      </x:c>
      <x:c r="B3228" s="55" t="str">
        <x:v>—</x:v>
      </x:c>
      <x:c r="C3228" s="55" t="str">
        <x:v>—</x:v>
      </x:c>
      <x:c r="D3228" s="55" t="str">
        <x:v>—</x:v>
      </x:c>
      <x:c r="E3228" s="55" t="inlineStr">
        <x:is>
          <x:t>煉獄術裝錦囊（網站未列地圖）；魔天術裝錦囊（網站未列地圖）；報喪七王爺（森羅閻殿、奈落紅川、荒禍殘墟）；掠魂白死將（天戮魔殿）；波斯騎兵（聖域之門、清教院街、飛簷頂徑、波斯西市）</x:t>
        </x:is>
      </x:c>
    </x:row>
    <x:row r="3229" ht="30" customHeight="1">
      <x:c r="A3229" s="55" t="str">
        <x:v>三世道靴</x:v>
      </x:c>
      <x:c r="B3229" s="55" t="str">
        <x:v>—</x:v>
      </x:c>
      <x:c r="C3229" s="55" t="str">
        <x:v>—</x:v>
      </x:c>
      <x:c r="D3229" s="55" t="str">
        <x:v>—</x:v>
      </x:c>
      <x:c r="E3229" s="55" t="inlineStr">
        <x:is>
          <x:t>煉獄道裝錦囊（網站未列地圖）；魔天道裝錦囊（網站未列地圖）；業火獅王（荒禍殘墟）；嘯狂之風（清教院街、飛簷頂徑、波斯西市）；[嘯狂之風]（網站未列地圖）</x:t>
        </x:is>
      </x:c>
    </x:row>
    <x:row r="3230" ht="15" customHeight="1">
      <x:c r="A3230" s="55" t="str">
        <x:v>妙法禪履</x:v>
      </x:c>
      <x:c r="B3230" s="55" t="str">
        <x:v>—</x:v>
      </x:c>
      <x:c r="C3230" s="55" t="str">
        <x:v>—</x:v>
      </x:c>
      <x:c r="D3230" s="55" t="str">
        <x:v>—</x:v>
      </x:c>
      <x:c r="E3230" s="55" t="inlineStr">
        <x:is>
          <x:t>煉獄僧裝錦囊（網站未列地圖）；魔天僧裝錦囊（網站未列地圖）；煉獄邪眼（森羅閻殿、永劫刑場、荒禍殘墟）</x:t>
        </x:is>
      </x:c>
    </x:row>
    <x:row r="3231" ht="15" customHeight="1">
      <x:c r="A3231" s="55" t="str">
        <x:v>蒼烈戰靴</x:v>
      </x:c>
      <x:c r="B3231" s="55" t="str">
        <x:v>—</x:v>
      </x:c>
      <x:c r="C3231" s="55" t="str">
        <x:v>—</x:v>
      </x:c>
      <x:c r="D3231" s="55" t="str">
        <x:v>—</x:v>
      </x:c>
      <x:c r="E3231" s="55" t="inlineStr">
        <x:is>
          <x:t>魔天劍裝錦囊（網站未列地圖）；護天金翅鳥（香格里拉神廟）</x:t>
        </x:is>
      </x:c>
    </x:row>
    <x:row r="3232" ht="15" customHeight="1">
      <x:c r="A3232" s="55" t="str">
        <x:v>龍魔爪甲</x:v>
      </x:c>
      <x:c r="B3232" s="55" t="str">
        <x:v>—</x:v>
      </x:c>
      <x:c r="C3232" s="55" t="str">
        <x:v>—</x:v>
      </x:c>
      <x:c r="D3232" s="55" t="str">
        <x:v>—</x:v>
      </x:c>
      <x:c r="E3232" s="55" t="inlineStr">
        <x:is>
          <x:t>魔天勇裝錦囊（網站未列地圖）</x:t>
        </x:is>
      </x:c>
    </x:row>
    <x:row r="3233" ht="30" customHeight="1">
      <x:c r="A3233" s="55" t="str">
        <x:v>阿鼻邪爪</x:v>
      </x:c>
      <x:c r="B3233" s="55" t="str">
        <x:v>—</x:v>
      </x:c>
      <x:c r="C3233" s="55" t="str">
        <x:v>—</x:v>
      </x:c>
      <x:c r="D3233" s="55" t="str">
        <x:v>—</x:v>
      </x:c>
      <x:c r="E3233" s="55" t="inlineStr">
        <x:is>
          <x:t>魔天術裝錦囊（網站未列地圖）；聖血戰虎（波斯西市、法誡參道、漆黑水路）；御天七彩牛（吐蕃集鎮、香格里拉神廟、天授之間）；虹霓聖牛（網站未列地圖）</x:t>
        </x:is>
      </x:c>
    </x:row>
    <x:row r="3234" ht="15" customHeight="1">
      <x:c r="A3234" s="55" t="str">
        <x:v>玉清道靴</x:v>
      </x:c>
      <x:c r="B3234" s="55" t="str">
        <x:v>—</x:v>
      </x:c>
      <x:c r="C3234" s="55" t="str">
        <x:v>—</x:v>
      </x:c>
      <x:c r="D3234" s="55" t="str">
        <x:v>—</x:v>
      </x:c>
      <x:c r="E3234" s="55" t="inlineStr">
        <x:is>
          <x:t>魔天道裝錦囊（網站未列地圖）</x:t>
        </x:is>
      </x:c>
    </x:row>
    <x:row r="3235" ht="15" customHeight="1">
      <x:c r="A3235" s="55" t="str">
        <x:v>轉輪禪履</x:v>
      </x:c>
      <x:c r="B3235" s="55" t="str">
        <x:v>—</x:v>
      </x:c>
      <x:c r="C3235" s="55" t="str">
        <x:v>—</x:v>
      </x:c>
      <x:c r="D3235" s="55" t="str">
        <x:v>—</x:v>
      </x:c>
      <x:c r="E3235" s="55" t="inlineStr">
        <x:is>
          <x:t>魔天僧裝錦囊（網站未列地圖）</x:t>
        </x:is>
      </x:c>
    </x:row>
    <x:row r="3236" ht="60" customHeight="1">
      <x:c r="A3236" s="55" t="str">
        <x:v>銀河凌虛越</x:v>
      </x:c>
      <x:c r="B3236" s="55" t="str">
        <x:v>—</x:v>
      </x:c>
      <x:c r="C3236" s="55" t="str">
        <x:v>—</x:v>
      </x:c>
      <x:c r="D3236" s="55" t="str">
        <x:v>蒼天戰靴配方</x:v>
      </x:c>
      <x:c r="E3236" s="55" t="inlineStr">
        <x:is>
          <x:t>蒼天神裝錦囊（網站未列地圖）；玄冑之核（網站未列地圖）；超凡尚寶寶箱（網站未列地圖）；神來裝樂透卡之十（網站未列地圖）；大神跡錦囊（網站未列地圖）；五神樂暑錦囊（網站未列地圖）；傾天絕邪（寒愴冰獄）；喜兔防具錦囊‧玖（網站未列地圖）；侯氏百守錦囊2011（網站未列地圖）；侯氏百守錦囊（網站未列地圖）；黃金風蛇（托勒密山麓）；木乃伊（終末之塔第71層）</x:t>
        </x:is>
      </x:c>
    </x:row>
    <x:row r="3237" ht="30" customHeight="1">
      <x:c r="A3237" s="55" t="str">
        <x:v>韋駝天神足具</x:v>
      </x:c>
      <x:c r="B3237" s="55" t="str">
        <x:v>—</x:v>
      </x:c>
      <x:c r="C3237" s="55" t="str">
        <x:v>—</x:v>
      </x:c>
      <x:c r="D3237" s="55" t="str">
        <x:v>東瀛神足配方</x:v>
      </x:c>
      <x:c r="E3237" s="55" t="inlineStr">
        <x:is>
          <x:t>東瀛幻甲錦囊（網站未列地圖）；殺傷跳鼠（古翰大沙漠）；艾濟原人（終末之塔第52層、終末之塔第53層）；魔空邪祀（終末之塔第23層、終末之塔第24層）；金奇電鼠（終末之塔第42層、終末之塔第45層）</x:t>
        </x:is>
      </x:c>
    </x:row>
    <x:row r="3238" ht="15" customHeight="1">
      <x:c r="A3238" s="55" t="str">
        <x:v>墨武戰靴</x:v>
      </x:c>
      <x:c r="B3238" s="55" t="str">
        <x:v>—</x:v>
      </x:c>
      <x:c r="C3238" s="55" t="str">
        <x:v>—</x:v>
      </x:c>
      <x:c r="D3238" s="55" t="str">
        <x:v>—</x:v>
      </x:c>
      <x:c r="E3238" s="55" t="inlineStr">
        <x:is>
          <x:t>天都劍裝錦囊（網站未列地圖）；燎原火靈（漆黑水路、真知寺）</x:t>
        </x:is>
      </x:c>
    </x:row>
    <x:row r="3239" ht="15" customHeight="1">
      <x:c r="A3239" s="55" t="str">
        <x:v>耀宇腿甲</x:v>
      </x:c>
      <x:c r="B3239" s="55" t="str">
        <x:v>—</x:v>
      </x:c>
      <x:c r="C3239" s="55" t="str">
        <x:v>—</x:v>
      </x:c>
      <x:c r="D3239" s="55" t="str">
        <x:v>—</x:v>
      </x:c>
      <x:c r="E3239" s="55" t="inlineStr">
        <x:is>
          <x:t>天都勇裝錦囊（網站未列地圖）；惡魔（豐穗平原、血鴉嶺、靜默之丘、擎空壁壘）</x:t>
        </x:is>
      </x:c>
    </x:row>
    <x:row r="3240" ht="15" customHeight="1">
      <x:c r="A3240" s="55" t="str">
        <x:v>天鏡輕履</x:v>
      </x:c>
      <x:c r="B3240" s="55" t="str">
        <x:v>—</x:v>
      </x:c>
      <x:c r="C3240" s="55" t="str">
        <x:v>—</x:v>
      </x:c>
      <x:c r="D3240" s="55" t="str">
        <x:v>—</x:v>
      </x:c>
      <x:c r="E3240" s="55" t="inlineStr">
        <x:is>
          <x:t>天都術裝錦囊（網站未列地圖）；火之精靈（靜默之丘）</x:t>
        </x:is>
      </x:c>
    </x:row>
    <x:row r="3241" ht="15" customHeight="1">
      <x:c r="A3241" s="55" t="str">
        <x:v>納真道靴</x:v>
      </x:c>
      <x:c r="B3241" s="55" t="str">
        <x:v>—</x:v>
      </x:c>
      <x:c r="C3241" s="55" t="str">
        <x:v>—</x:v>
      </x:c>
      <x:c r="D3241" s="55" t="str">
        <x:v>—</x:v>
      </x:c>
      <x:c r="E3241" s="55" t="inlineStr">
        <x:is>
          <x:t>天都道裝錦囊（網站未列地圖）；四相位靈尊（漆黑水路、真知寺、萬識聖宮）</x:t>
        </x:is>
      </x:c>
    </x:row>
    <x:row r="3242" ht="15" customHeight="1">
      <x:c r="A3242" s="55" t="str">
        <x:v>三千法行</x:v>
      </x:c>
      <x:c r="B3242" s="55" t="str">
        <x:v>—</x:v>
      </x:c>
      <x:c r="C3242" s="55" t="str">
        <x:v>—</x:v>
      </x:c>
      <x:c r="D3242" s="55" t="str">
        <x:v>—</x:v>
      </x:c>
      <x:c r="E3242" s="55" t="inlineStr">
        <x:is>
          <x:t>天都僧裝錦囊（網站未列地圖）</x:t>
        </x:is>
      </x:c>
    </x:row>
    <x:row r="3243" ht="15" customHeight="1">
      <x:c r="A3243" s="55" t="str">
        <x:v>南日戰靴</x:v>
      </x:c>
      <x:c r="B3243" s="55" t="str">
        <x:v>—</x:v>
      </x:c>
      <x:c r="C3243" s="55" t="str">
        <x:v>—</x:v>
      </x:c>
      <x:c r="D3243" s="55" t="str">
        <x:v>—</x:v>
      </x:c>
      <x:c r="E3243" s="55" t="inlineStr">
        <x:is>
          <x:t>問頂劍裝錦囊（網站未列地圖）</x:t>
        </x:is>
      </x:c>
    </x:row>
    <x:row r="3244" ht="15" customHeight="1">
      <x:c r="A3244" s="55" t="str">
        <x:v>古茹鋼靴</x:v>
      </x:c>
      <x:c r="B3244" s="55" t="str">
        <x:v>—</x:v>
      </x:c>
      <x:c r="C3244" s="55" t="str">
        <x:v>—</x:v>
      </x:c>
      <x:c r="D3244" s="55" t="str">
        <x:v>—</x:v>
      </x:c>
      <x:c r="E3244" s="55" t="inlineStr">
        <x:is>
          <x:t>問頂勇裝錦囊（網站未列地圖）</x:t>
        </x:is>
      </x:c>
    </x:row>
    <x:row r="3245" ht="15" customHeight="1">
      <x:c r="A3245" s="55" t="str">
        <x:v>穆赤風履</x:v>
      </x:c>
      <x:c r="B3245" s="55" t="str">
        <x:v>—</x:v>
      </x:c>
      <x:c r="C3245" s="55" t="str">
        <x:v>—</x:v>
      </x:c>
      <x:c r="D3245" s="55" t="str">
        <x:v>—</x:v>
      </x:c>
      <x:c r="E3245" s="55" t="inlineStr">
        <x:is>
          <x:t>問頂術裝錦囊（網站未列地圖）；原始水靈（靜默之丘、擎空壁壘、獅堡軍事區）</x:t>
        </x:is>
      </x:c>
    </x:row>
    <x:row r="3246" ht="15" customHeight="1">
      <x:c r="A3246" s="55" t="str">
        <x:v>朗達瑪靴</x:v>
      </x:c>
      <x:c r="B3246" s="55" t="str">
        <x:v>—</x:v>
      </x:c>
      <x:c r="C3246" s="55" t="str">
        <x:v>—</x:v>
      </x:c>
      <x:c r="D3246" s="55" t="str">
        <x:v>—</x:v>
      </x:c>
      <x:c r="E3246" s="55" t="inlineStr">
        <x:is>
          <x:t>問頂道裝錦囊（網站未列地圖）；地獄女爵（凱旋廣場、聖禱天廳）</x:t>
        </x:is>
      </x:c>
    </x:row>
    <x:row r="3247" ht="15" customHeight="1">
      <x:c r="A3247" s="55" t="str">
        <x:v>牟如行腳</x:v>
      </x:c>
      <x:c r="B3247" s="55" t="str">
        <x:v>—</x:v>
      </x:c>
      <x:c r="C3247" s="55" t="str">
        <x:v>—</x:v>
      </x:c>
      <x:c r="D3247" s="55" t="str">
        <x:v>—</x:v>
      </x:c>
      <x:c r="E3247" s="55" t="inlineStr">
        <x:is>
          <x:t>問頂僧裝錦囊（網站未列地圖）</x:t>
        </x:is>
      </x:c>
    </x:row>
    <x:row r="3248" ht="15" customHeight="1">
      <x:c r="A3248" s="55" t="str">
        <x:v>韋駝天足‧絕</x:v>
      </x:c>
      <x:c r="B3248" s="55" t="str">
        <x:v>—</x:v>
      </x:c>
      <x:c r="C3248" s="55" t="str">
        <x:v>—</x:v>
      </x:c>
      <x:c r="D3248" s="55" t="str">
        <x:v>—</x:v>
      </x:c>
      <x:c r="E3248" s="55" t="inlineStr">
        <x:is>
          <x:t>東瀛絕甲錦囊（網站未列地圖）；諸肢惡樓（終末之塔第69層）</x:t>
        </x:is>
      </x:c>
    </x:row>
    <x:row r="3249" ht="15" customHeight="1">
      <x:c r="A3249" s="55" t="str">
        <x:v>軍星足甲</x:v>
      </x:c>
      <x:c r="B3249" s="55" t="str">
        <x:v>—</x:v>
      </x:c>
      <x:c r="C3249" s="55" t="str">
        <x:v>—</x:v>
      </x:c>
      <x:c r="D3249" s="55" t="str">
        <x:v>—</x:v>
      </x:c>
      <x:c r="E3249" s="55" t="inlineStr">
        <x:is>
          <x:t>聖魔勇裝錦囊（網站未列地圖）</x:t>
        </x:is>
      </x:c>
    </x:row>
    <x:row r="3250" ht="15" customHeight="1">
      <x:c r="A3250" s="55" t="str">
        <x:v>鐵星足甲</x:v>
      </x:c>
      <x:c r="B3250" s="55" t="str">
        <x:v>—</x:v>
      </x:c>
      <x:c r="C3250" s="55" t="str">
        <x:v>—</x:v>
      </x:c>
      <x:c r="D3250" s="55" t="str">
        <x:v>—</x:v>
      </x:c>
      <x:c r="E3250" s="55" t="inlineStr">
        <x:is>
          <x:t>聖魔勇裝錦囊（網站未列地圖）</x:t>
        </x:is>
      </x:c>
    </x:row>
    <x:row r="3251" ht="15" customHeight="1">
      <x:c r="A3251" s="55" t="str">
        <x:v>武星足甲</x:v>
      </x:c>
      <x:c r="B3251" s="55" t="str">
        <x:v>—</x:v>
      </x:c>
      <x:c r="C3251" s="55" t="str">
        <x:v>—</x:v>
      </x:c>
      <x:c r="D3251" s="55" t="str">
        <x:v>—</x:v>
      </x:c>
      <x:c r="E3251" s="55" t="inlineStr">
        <x:is>
          <x:t>聖魔勇裝錦囊（網站未列地圖）</x:t>
        </x:is>
      </x:c>
    </x:row>
    <x:row r="3252" ht="15" customHeight="1">
      <x:c r="A3252" s="55" t="str">
        <x:v>赫煉戰靴</x:v>
      </x:c>
      <x:c r="B3252" s="55" t="str">
        <x:v>—</x:v>
      </x:c>
      <x:c r="C3252" s="55" t="str">
        <x:v>—</x:v>
      </x:c>
      <x:c r="D3252" s="55" t="str">
        <x:v>—</x:v>
      </x:c>
      <x:c r="E3252" s="55" t="inlineStr">
        <x:is>
          <x:t>聖魔劍裝錦囊（網站未列地圖）</x:t>
        </x:is>
      </x:c>
    </x:row>
    <x:row r="3253" ht="15" customHeight="1">
      <x:c r="A3253" s="55" t="str">
        <x:v>浩煉戰靴</x:v>
      </x:c>
      <x:c r="B3253" s="55" t="str">
        <x:v>—</x:v>
      </x:c>
      <x:c r="C3253" s="55" t="str">
        <x:v>—</x:v>
      </x:c>
      <x:c r="D3253" s="55" t="str">
        <x:v>—</x:v>
      </x:c>
      <x:c r="E3253" s="55" t="inlineStr">
        <x:is>
          <x:t>聖魔劍裝錦囊（網站未列地圖）</x:t>
        </x:is>
      </x:c>
    </x:row>
    <x:row r="3254" ht="15" customHeight="1">
      <x:c r="A3254" s="55" t="str">
        <x:v>騰煉戰靴</x:v>
      </x:c>
      <x:c r="B3254" s="55" t="str">
        <x:v>—</x:v>
      </x:c>
      <x:c r="C3254" s="55" t="str">
        <x:v>—</x:v>
      </x:c>
      <x:c r="D3254" s="55" t="str">
        <x:v>—</x:v>
      </x:c>
      <x:c r="E3254" s="55" t="inlineStr">
        <x:is>
          <x:t>聖魔劍裝錦囊（網站未列地圖）</x:t>
        </x:is>
      </x:c>
    </x:row>
    <x:row r="3255" ht="15" customHeight="1">
      <x:c r="A3255" s="55" t="str">
        <x:v>六虛靈靴</x:v>
      </x:c>
      <x:c r="B3255" s="55" t="str">
        <x:v>—</x:v>
      </x:c>
      <x:c r="C3255" s="55" t="str">
        <x:v>—</x:v>
      </x:c>
      <x:c r="D3255" s="55" t="str">
        <x:v>—</x:v>
      </x:c>
      <x:c r="E3255" s="55" t="inlineStr">
        <x:is>
          <x:t>聖魔術裝錦囊（網站未列地圖）</x:t>
        </x:is>
      </x:c>
    </x:row>
    <x:row r="3256" ht="15" customHeight="1">
      <x:c r="A3256" s="55" t="str">
        <x:v>碧虛靈靴</x:v>
      </x:c>
      <x:c r="B3256" s="55" t="str">
        <x:v>—</x:v>
      </x:c>
      <x:c r="C3256" s="55" t="str">
        <x:v>—</x:v>
      </x:c>
      <x:c r="D3256" s="55" t="str">
        <x:v>—</x:v>
      </x:c>
      <x:c r="E3256" s="55" t="inlineStr">
        <x:is>
          <x:t>聖魔術裝錦囊（網站未列地圖）</x:t>
        </x:is>
      </x:c>
    </x:row>
    <x:row r="3257" ht="15" customHeight="1">
      <x:c r="A3257" s="55" t="str">
        <x:v>太虛靈靴</x:v>
      </x:c>
      <x:c r="B3257" s="55" t="str">
        <x:v>—</x:v>
      </x:c>
      <x:c r="C3257" s="55" t="str">
        <x:v>—</x:v>
      </x:c>
      <x:c r="D3257" s="55" t="str">
        <x:v>—</x:v>
      </x:c>
      <x:c r="E3257" s="55" t="inlineStr">
        <x:is>
          <x:t>聖魔術裝錦囊（網站未列地圖）</x:t>
        </x:is>
      </x:c>
    </x:row>
    <x:row r="3258" ht="15" customHeight="1">
      <x:c r="A3258" s="55" t="str">
        <x:v>鴻緒道靴</x:v>
      </x:c>
      <x:c r="B3258" s="55" t="str">
        <x:v>—</x:v>
      </x:c>
      <x:c r="C3258" s="55" t="str">
        <x:v>—</x:v>
      </x:c>
      <x:c r="D3258" s="55" t="str">
        <x:v>—</x:v>
      </x:c>
      <x:c r="E3258" s="55" t="inlineStr">
        <x:is>
          <x:t>聖魔道裝錦囊（網站未列地圖）</x:t>
        </x:is>
      </x:c>
    </x:row>
    <x:row r="3259" ht="15" customHeight="1">
      <x:c r="A3259" s="55" t="str">
        <x:v>明緒道靴</x:v>
      </x:c>
      <x:c r="B3259" s="55" t="str">
        <x:v>—</x:v>
      </x:c>
      <x:c r="C3259" s="55" t="str">
        <x:v>—</x:v>
      </x:c>
      <x:c r="D3259" s="55" t="str">
        <x:v>—</x:v>
      </x:c>
      <x:c r="E3259" s="55" t="inlineStr">
        <x:is>
          <x:t>聖魔道裝錦囊（網站未列地圖）</x:t>
        </x:is>
      </x:c>
    </x:row>
    <x:row r="3260" ht="15" customHeight="1">
      <x:c r="A3260" s="55" t="str">
        <x:v>正緒道靴</x:v>
      </x:c>
      <x:c r="B3260" s="55" t="str">
        <x:v>—</x:v>
      </x:c>
      <x:c r="C3260" s="55" t="str">
        <x:v>—</x:v>
      </x:c>
      <x:c r="D3260" s="55" t="str">
        <x:v>—</x:v>
      </x:c>
      <x:c r="E3260" s="55" t="inlineStr">
        <x:is>
          <x:t>聖魔道裝錦囊（網站未列地圖）</x:t>
        </x:is>
      </x:c>
    </x:row>
    <x:row r="3261" ht="15" customHeight="1">
      <x:c r="A3261" s="55" t="str">
        <x:v>定恆禪靴</x:v>
      </x:c>
      <x:c r="B3261" s="55" t="str">
        <x:v>—</x:v>
      </x:c>
      <x:c r="C3261" s="55" t="str">
        <x:v>—</x:v>
      </x:c>
      <x:c r="D3261" s="55" t="str">
        <x:v>—</x:v>
      </x:c>
      <x:c r="E3261" s="55" t="inlineStr">
        <x:is>
          <x:t>聖魔僧裝錦囊（網站未列地圖）</x:t>
        </x:is>
      </x:c>
    </x:row>
    <x:row r="3262" ht="15" customHeight="1">
      <x:c r="A3262" s="55" t="str">
        <x:v>常恆禪靴</x:v>
      </x:c>
      <x:c r="B3262" s="55" t="str">
        <x:v>—</x:v>
      </x:c>
      <x:c r="C3262" s="55" t="str">
        <x:v>—</x:v>
      </x:c>
      <x:c r="D3262" s="55" t="str">
        <x:v>—</x:v>
      </x:c>
      <x:c r="E3262" s="55" t="inlineStr">
        <x:is>
          <x:t>聖魔僧裝錦囊（網站未列地圖）</x:t>
        </x:is>
      </x:c>
    </x:row>
    <x:row r="3263" ht="15" customHeight="1">
      <x:c r="A3263" s="55" t="str">
        <x:v>念恆禪靴</x:v>
      </x:c>
      <x:c r="B3263" s="55" t="str">
        <x:v>—</x:v>
      </x:c>
      <x:c r="C3263" s="55" t="str">
        <x:v>—</x:v>
      </x:c>
      <x:c r="D3263" s="55" t="str">
        <x:v>—</x:v>
      </x:c>
      <x:c r="E3263" s="55" t="inlineStr">
        <x:is>
          <x:t>聖魔僧裝錦囊（網站未列地圖）</x:t>
        </x:is>
      </x:c>
    </x:row>
    <x:row r="3264" ht="15" customHeight="1">
      <x:c r="A3264" s="55" t="str">
        <x:v>希亞輕靴</x:v>
      </x:c>
      <x:c r="B3264" s="55" t="str">
        <x:v>—</x:v>
      </x:c>
      <x:c r="C3264" s="55" t="str">
        <x:v>—</x:v>
      </x:c>
      <x:c r="D3264" s="55" t="str">
        <x:v>—</x:v>
      </x:c>
      <x:c r="E3264" s="55" t="inlineStr">
        <x:is>
          <x:t>波斯劍裝錦囊（網站未列地圖）</x:t>
        </x:is>
      </x:c>
    </x:row>
    <x:row r="3265" ht="15" customHeight="1">
      <x:c r="A3265" s="55" t="str">
        <x:v>花剌鋼靴</x:v>
      </x:c>
      <x:c r="B3265" s="55" t="str">
        <x:v>—</x:v>
      </x:c>
      <x:c r="C3265" s="55" t="str">
        <x:v>—</x:v>
      </x:c>
      <x:c r="D3265" s="55" t="str">
        <x:v>—</x:v>
      </x:c>
      <x:c r="E3265" s="55" t="inlineStr">
        <x:is>
          <x:t>波斯勇裝錦囊（網站未列地圖）；神火領主（凱旋廣場、聖禱天廳）</x:t>
        </x:is>
      </x:c>
    </x:row>
    <x:row r="3266" ht="15" customHeight="1">
      <x:c r="A3266" s="55" t="str">
        <x:v>波斯迅履</x:v>
      </x:c>
      <x:c r="B3266" s="55" t="str">
        <x:v>—</x:v>
      </x:c>
      <x:c r="C3266" s="55" t="str">
        <x:v>—</x:v>
      </x:c>
      <x:c r="D3266" s="55" t="str">
        <x:v>—</x:v>
      </x:c>
      <x:c r="E3266" s="55" t="inlineStr">
        <x:is>
          <x:t>波斯術裝錦囊（網站未列地圖）；巡天遊龍（登龍道）</x:t>
        </x:is>
      </x:c>
    </x:row>
    <x:row r="3267" ht="15" customHeight="1">
      <x:c r="A3267" s="55" t="str">
        <x:v>薩珊錦鞋</x:v>
      </x:c>
      <x:c r="B3267" s="55" t="str">
        <x:v>—</x:v>
      </x:c>
      <x:c r="C3267" s="55" t="str">
        <x:v>—</x:v>
      </x:c>
      <x:c r="D3267" s="55" t="str">
        <x:v>—</x:v>
      </x:c>
      <x:c r="E3267" s="55" t="inlineStr">
        <x:is>
          <x:t>波斯道裝錦囊（網站未列地圖）</x:t>
        </x:is>
      </x:c>
    </x:row>
    <x:row r="3268" ht="15" customHeight="1">
      <x:c r="A3268" s="55" t="str">
        <x:v>兩河僧靴</x:v>
      </x:c>
      <x:c r="B3268" s="55" t="str">
        <x:v>—</x:v>
      </x:c>
      <x:c r="C3268" s="55" t="str">
        <x:v>—</x:v>
      </x:c>
      <x:c r="D3268" s="55" t="str">
        <x:v>—</x:v>
      </x:c>
      <x:c r="E3268" s="55" t="inlineStr">
        <x:is>
          <x:t>波斯僧裝錦囊（網站未列地圖）；紫羽災后（凱旋廣場、聖禱天廳）</x:t>
        </x:is>
      </x:c>
    </x:row>
    <x:row r="3269" ht="15" customHeight="1">
      <x:c r="A3269" s="55" t="str">
        <x:v>天揚劍靴</x:v>
      </x:c>
      <x:c r="B3269" s="55" t="str">
        <x:v>—</x:v>
      </x:c>
      <x:c r="C3269" s="55" t="str">
        <x:v>—</x:v>
      </x:c>
      <x:c r="D3269" s="55" t="str">
        <x:v>—</x:v>
      </x:c>
      <x:c r="E3269" s="55" t="inlineStr">
        <x:is>
          <x:t>驍武劍裝錦囊（網站未列地圖）；蕩神劍聖（橫劍天關、仙庭玉階、闕真金閣）；墮真劍邪（網站未列地圖）</x:t>
        </x:is>
      </x:c>
    </x:row>
    <x:row r="3270" ht="15" customHeight="1">
      <x:c r="A3270" s="55" t="str">
        <x:v>鎢銀護靴</x:v>
      </x:c>
      <x:c r="B3270" s="55" t="str">
        <x:v>—</x:v>
      </x:c>
      <x:c r="C3270" s="55" t="str">
        <x:v>—</x:v>
      </x:c>
      <x:c r="D3270" s="55" t="str">
        <x:v>—</x:v>
      </x:c>
      <x:c r="E3270" s="55" t="inlineStr">
        <x:is>
          <x:t>驍武勇裝錦囊（網站未列地圖）；巡天千戶（飛雲忘野、橫劍天關）</x:t>
        </x:is>
      </x:c>
    </x:row>
    <x:row r="3271" ht="15" customHeight="1">
      <x:c r="A3271" s="55" t="str">
        <x:v>逐浪神步</x:v>
      </x:c>
      <x:c r="B3271" s="55" t="str">
        <x:v>—</x:v>
      </x:c>
      <x:c r="C3271" s="55" t="str">
        <x:v>—</x:v>
      </x:c>
      <x:c r="D3271" s="55" t="str">
        <x:v>—</x:v>
      </x:c>
      <x:c r="E3271" s="55" t="inlineStr">
        <x:is>
          <x:t>驍武術裝錦囊（網站未列地圖）；雲蛟衛（登龍道、凌風修境、繚空碎島）</x:t>
        </x:is>
      </x:c>
    </x:row>
    <x:row r="3272" ht="15" customHeight="1">
      <x:c r="A3272" s="55" t="str">
        <x:v>星儀神遊</x:v>
      </x:c>
      <x:c r="B3272" s="55" t="str">
        <x:v>—</x:v>
      </x:c>
      <x:c r="C3272" s="55" t="str">
        <x:v>—</x:v>
      </x:c>
      <x:c r="D3272" s="55" t="str">
        <x:v>—</x:v>
      </x:c>
      <x:c r="E3272" s="55" t="inlineStr">
        <x:is>
          <x:t>驍武道裝錦囊（網站未列地圖）</x:t>
        </x:is>
      </x:c>
    </x:row>
    <x:row r="3273" ht="15" customHeight="1">
      <x:c r="A3273" s="55" t="str">
        <x:v>智法越行</x:v>
      </x:c>
      <x:c r="B3273" s="55" t="str">
        <x:v>—</x:v>
      </x:c>
      <x:c r="C3273" s="55" t="str">
        <x:v>—</x:v>
      </x:c>
      <x:c r="D3273" s="55" t="str">
        <x:v>—</x:v>
      </x:c>
      <x:c r="E3273" s="55" t="inlineStr">
        <x:is>
          <x:t>驍武僧裝錦囊（網站未列地圖）；千斤豬狂（飛雲忘野、橫劍天關）</x:t>
        </x:is>
      </x:c>
    </x:row>
    <x:row r="3274" ht="30" customHeight="1">
      <x:c r="A3274" s="55" t="str">
        <x:v>寰地仙馳靴</x:v>
      </x:c>
      <x:c r="B3274" s="55" t="str">
        <x:v>—</x:v>
      </x:c>
      <x:c r="C3274" s="55" t="str">
        <x:v>—</x:v>
      </x:c>
      <x:c r="D3274" s="55" t="str">
        <x:v>天宇戰靴配方</x:v>
      </x:c>
      <x:c r="E3274" s="55" t="inlineStr">
        <x:is>
          <x:t>宇宙神裝錦囊（網站未列地圖）；新‧玄冑之核（網站未列地圖）；玄冑之核（網站未列地圖）；鎮國象神（白虎西殿）</x:t>
        </x:is>
      </x:c>
    </x:row>
    <x:row r="3275" ht="30" customHeight="1">
      <x:c r="A3275" s="55" t="str">
        <x:v>韋駝天足‧帝</x:v>
      </x:c>
      <x:c r="B3275" s="55" t="str">
        <x:v>—</x:v>
      </x:c>
      <x:c r="C3275" s="55" t="str">
        <x:v>—</x:v>
      </x:c>
      <x:c r="D3275" s="55" t="str">
        <x:v>東瀛帝足配方</x:v>
      </x:c>
      <x:c r="E3275" s="55" t="inlineStr">
        <x:is>
          <x:t>東瀛帝甲錦囊（網站未列地圖）；新‧玄冑之核（網站未列地圖）；八卦戰虎王（白虎西殿）；失序亂兵（終末之塔第85層、終末之塔第86層）</x:t>
        </x:is>
      </x:c>
    </x:row>
    <x:row r="3276" ht="45" customHeight="1">
      <x:c r="A3276" s="55" t="str">
        <x:v>流星疾靴</x:v>
      </x:c>
      <x:c r="B3276" s="55" t="str">
        <x:v>—</x:v>
      </x:c>
      <x:c r="C3276" s="55" t="str">
        <x:v>—</x:v>
      </x:c>
      <x:c r="D3276" s="55" t="str">
        <x:v>流星再造配方</x:v>
      </x:c>
      <x:c r="E3276" s="55" t="inlineStr">
        <x:is>
          <x:t>三合奇裝寶箱（網站未列地圖）；新‧玄冑之核（網站未列地圖）；十字新手錦囊（網站未列地圖）；破壞神寶箱（網站未列地圖）；端午龍舟香囊（網站未列地圖）；虛來殺爪（吉薩走廊）；虛空妖龍（終末之塔第8層、終末之塔第9層）</x:t>
        </x:is>
      </x:c>
    </x:row>
    <x:row r="3277" ht="15" customHeight="1">
      <x:c r="A3277" s="55" t="str">
        <x:v>圓桌戰靴</x:v>
      </x:c>
      <x:c r="B3277" s="55" t="str">
        <x:v>—</x:v>
      </x:c>
      <x:c r="C3277" s="55" t="str">
        <x:v>—</x:v>
      </x:c>
      <x:c r="D3277" s="55" t="str">
        <x:v>—</x:v>
      </x:c>
      <x:c r="E3277" s="55" t="inlineStr">
        <x:is>
          <x:t>帝國劍裝錦囊（網站未列地圖）</x:t>
        </x:is>
      </x:c>
    </x:row>
    <x:row r="3278" ht="15" customHeight="1">
      <x:c r="A3278" s="55" t="str">
        <x:v>獅王重靴</x:v>
      </x:c>
      <x:c r="B3278" s="55" t="str">
        <x:v>—</x:v>
      </x:c>
      <x:c r="C3278" s="55" t="str">
        <x:v>—</x:v>
      </x:c>
      <x:c r="D3278" s="55" t="str">
        <x:v>—</x:v>
      </x:c>
      <x:c r="E3278" s="55" t="inlineStr">
        <x:is>
          <x:t>帝國勇裝錦囊（網站未列地圖）；太初劍魄（橫劍天關）</x:t>
        </x:is>
      </x:c>
    </x:row>
    <x:row r="3279" ht="15" customHeight="1">
      <x:c r="A3279" s="55" t="str">
        <x:v>夜龍脛甲</x:v>
      </x:c>
      <x:c r="B3279" s="55" t="str">
        <x:v>—</x:v>
      </x:c>
      <x:c r="C3279" s="55" t="str">
        <x:v>—</x:v>
      </x:c>
      <x:c r="D3279" s="55" t="str">
        <x:v>—</x:v>
      </x:c>
      <x:c r="E3279" s="55" t="inlineStr">
        <x:is>
          <x:t>帝國術裝錦囊（網站未列地圖）</x:t>
        </x:is>
      </x:c>
    </x:row>
    <x:row r="3280" ht="15" customHeight="1">
      <x:c r="A3280" s="55" t="str">
        <x:v>沐聖道靴</x:v>
      </x:c>
      <x:c r="B3280" s="55" t="str">
        <x:v>—</x:v>
      </x:c>
      <x:c r="C3280" s="55" t="str">
        <x:v>—</x:v>
      </x:c>
      <x:c r="D3280" s="55" t="str">
        <x:v>—</x:v>
      </x:c>
      <x:c r="E3280" s="55" t="inlineStr">
        <x:is>
          <x:t>帝國道裝錦囊（網站未列地圖）；瑞照天官（飛雲忘野、橫劍天關）</x:t>
        </x:is>
      </x:c>
    </x:row>
    <x:row r="3281" ht="15" customHeight="1">
      <x:c r="A3281" s="55" t="str">
        <x:v>典儀禪鞋</x:v>
      </x:c>
      <x:c r="B3281" s="55" t="str">
        <x:v>—</x:v>
      </x:c>
      <x:c r="C3281" s="55" t="str">
        <x:v>—</x:v>
      </x:c>
      <x:c r="D3281" s="55" t="str">
        <x:v>—</x:v>
      </x:c>
      <x:c r="E3281" s="55" t="inlineStr">
        <x:is>
          <x:t>帝國僧裝錦囊（網站未列地圖）；暴風尊者（飛雲忘野、橫劍天關、仙庭玉階）</x:t>
        </x:is>
      </x:c>
    </x:row>
    <x:row r="3282" ht="15" customHeight="1">
      <x:c r="A3282" s="55" t="str">
        <x:v>龍閣戰靴</x:v>
      </x:c>
      <x:c r="B3282" s="55" t="str">
        <x:v>—</x:v>
      </x:c>
      <x:c r="C3282" s="55" t="str">
        <x:v>—</x:v>
      </x:c>
      <x:c r="D3282" s="55" t="str">
        <x:v>—</x:v>
      </x:c>
      <x:c r="E3282" s="55" t="inlineStr">
        <x:is>
          <x:t>歐帝劍裝錦囊（網站未列地圖）</x:t>
        </x:is>
      </x:c>
    </x:row>
    <x:row r="3283" ht="15" customHeight="1">
      <x:c r="A3283" s="55" t="str">
        <x:v>聖皇重靴</x:v>
      </x:c>
      <x:c r="B3283" s="55" t="str">
        <x:v>—</x:v>
      </x:c>
      <x:c r="C3283" s="55" t="str">
        <x:v>—</x:v>
      </x:c>
      <x:c r="D3283" s="55" t="str">
        <x:v>—</x:v>
      </x:c>
      <x:c r="E3283" s="55" t="inlineStr">
        <x:is>
          <x:t>歐帝勇裝錦囊（網站未列地圖）</x:t>
        </x:is>
      </x:c>
    </x:row>
    <x:row r="3284" ht="15" customHeight="1">
      <x:c r="A3284" s="55" t="str">
        <x:v>魔滅脛甲</x:v>
      </x:c>
      <x:c r="B3284" s="55" t="str">
        <x:v>—</x:v>
      </x:c>
      <x:c r="C3284" s="55" t="str">
        <x:v>—</x:v>
      </x:c>
      <x:c r="D3284" s="55" t="str">
        <x:v>—</x:v>
      </x:c>
      <x:c r="E3284" s="55" t="inlineStr">
        <x:is>
          <x:t>歐帝術裝錦囊（網站未列地圖）</x:t>
        </x:is>
      </x:c>
    </x:row>
    <x:row r="3285" ht="15" customHeight="1">
      <x:c r="A3285" s="55" t="str">
        <x:v>聖庇道靴</x:v>
      </x:c>
      <x:c r="B3285" s="55" t="str">
        <x:v>—</x:v>
      </x:c>
      <x:c r="C3285" s="55" t="str">
        <x:v>—</x:v>
      </x:c>
      <x:c r="D3285" s="55" t="str">
        <x:v>—</x:v>
      </x:c>
      <x:c r="E3285" s="55" t="inlineStr">
        <x:is>
          <x:t>歐帝道裝錦囊（網站未列地圖）</x:t>
        </x:is>
      </x:c>
    </x:row>
    <x:row r="3286" ht="15" customHeight="1">
      <x:c r="A3286" s="55" t="str">
        <x:v>天導禪靴</x:v>
      </x:c>
      <x:c r="B3286" s="55" t="str">
        <x:v>—</x:v>
      </x:c>
      <x:c r="C3286" s="55" t="str">
        <x:v>—</x:v>
      </x:c>
      <x:c r="D3286" s="55" t="str">
        <x:v>—</x:v>
      </x:c>
      <x:c r="E3286" s="55" t="inlineStr">
        <x:is>
          <x:t>歐帝僧裝錦囊（網站未列地圖）</x:t>
        </x:is>
      </x:c>
    </x:row>
    <x:row r="3287" ht="30" customHeight="1">
      <x:c r="A3287" s="55" t="str">
        <x:v>寰地真仙馳靴</x:v>
      </x:c>
      <x:c r="B3287" s="55" t="str">
        <x:v>—</x:v>
      </x:c>
      <x:c r="C3287" s="55" t="str">
        <x:v>—</x:v>
      </x:c>
      <x:c r="D3287" s="55" t="str">
        <x:v>—</x:v>
      </x:c>
      <x:c r="E3287" s="55" t="inlineStr">
        <x:is>
          <x:t>真‧宇宙神裝錦囊（網站未列地圖）；新‧玄冑之核（網站未列地圖）；四腳魔像（終末之塔第97層、終末之塔第96層）</x:t>
        </x:is>
      </x:c>
    </x:row>
    <x:row r="3288" ht="15" customHeight="1">
      <x:c r="A3288" s="55" t="str">
        <x:v>劍宗御氣靴</x:v>
      </x:c>
      <x:c r="B3288" s="55" t="str">
        <x:v>—</x:v>
      </x:c>
      <x:c r="C3288" s="55" t="str">
        <x:v>—</x:v>
      </x:c>
      <x:c r="D3288" s="55" t="str">
        <x:v>—</x:v>
      </x:c>
      <x:c r="E3288" s="55" t="inlineStr">
        <x:is>
          <x:t>仙宗劍裝錦囊（網站未列地圖）；仙宗護具禮盒（網站未列地圖）</x:t>
        </x:is>
      </x:c>
    </x:row>
    <x:row r="3289" ht="15" customHeight="1">
      <x:c r="A3289" s="55" t="str">
        <x:v>武宗尊勇靴</x:v>
      </x:c>
      <x:c r="B3289" s="55" t="str">
        <x:v>—</x:v>
      </x:c>
      <x:c r="C3289" s="55" t="str">
        <x:v>—</x:v>
      </x:c>
      <x:c r="D3289" s="55" t="str">
        <x:v>—</x:v>
      </x:c>
      <x:c r="E3289" s="55" t="inlineStr">
        <x:is>
          <x:t>仙宗勇裝錦囊（網站未列地圖）；仙宗護具禮盒（網站未列地圖）</x:t>
        </x:is>
      </x:c>
    </x:row>
    <x:row r="3290" ht="15" customHeight="1">
      <x:c r="A3290" s="55" t="str">
        <x:v>術宗雲踏履</x:v>
      </x:c>
      <x:c r="B3290" s="55" t="str">
        <x:v>—</x:v>
      </x:c>
      <x:c r="C3290" s="55" t="str">
        <x:v>—</x:v>
      </x:c>
      <x:c r="D3290" s="55" t="str">
        <x:v>—</x:v>
      </x:c>
      <x:c r="E3290" s="55" t="inlineStr">
        <x:is>
          <x:t>仙宗術裝錦囊（網站未列地圖）；仙宗護具禮盒（網站未列地圖）</x:t>
        </x:is>
      </x:c>
    </x:row>
    <x:row r="3291" ht="15" customHeight="1">
      <x:c r="A3291" s="55" t="str">
        <x:v>道宗太獨靴</x:v>
      </x:c>
      <x:c r="B3291" s="55" t="str">
        <x:v>—</x:v>
      </x:c>
      <x:c r="C3291" s="55" t="str">
        <x:v>—</x:v>
      </x:c>
      <x:c r="D3291" s="55" t="str">
        <x:v>—</x:v>
      </x:c>
      <x:c r="E3291" s="55" t="inlineStr">
        <x:is>
          <x:t>仙宗道裝錦囊（網站未列地圖）；仙宗護具禮盒（網站未列地圖）</x:t>
        </x:is>
      </x:c>
    </x:row>
    <x:row r="3292" ht="15" customHeight="1">
      <x:c r="A3292" s="55" t="str">
        <x:v>禪宗妙行足</x:v>
      </x:c>
      <x:c r="B3292" s="55" t="str">
        <x:v>—</x:v>
      </x:c>
      <x:c r="C3292" s="55" t="str">
        <x:v>—</x:v>
      </x:c>
      <x:c r="D3292" s="55" t="str">
        <x:v>—</x:v>
      </x:c>
      <x:c r="E3292" s="55" t="inlineStr">
        <x:is>
          <x:t>仙宗僧裝錦囊（網站未列地圖）；仙宗護具禮盒（網站未列地圖）</x:t>
        </x:is>
      </x:c>
    </x:row>
    <x:row r="3293" ht="15" customHeight="1">
      <x:c r="A3293" s="55" t="str">
        <x:v>飛仙雲踏</x:v>
      </x:c>
      <x:c r="B3293" s="55" t="str">
        <x:v>—</x:v>
      </x:c>
      <x:c r="C3293" s="55" t="str">
        <x:v>—</x:v>
      </x:c>
      <x:c r="D3293" s="55" t="str">
        <x:v>—</x:v>
      </x:c>
      <x:c r="E3293" s="55" t="inlineStr">
        <x:is>
          <x:t>九天劍裝錦囊（網站未列地圖）</x:t>
        </x:is>
      </x:c>
    </x:row>
    <x:row r="3294" ht="15" customHeight="1">
      <x:c r="A3294" s="55" t="str">
        <x:v>泰山定靴</x:v>
      </x:c>
      <x:c r="B3294" s="55" t="str">
        <x:v>—</x:v>
      </x:c>
      <x:c r="C3294" s="55" t="str">
        <x:v>—</x:v>
      </x:c>
      <x:c r="D3294" s="55" t="str">
        <x:v>—</x:v>
      </x:c>
      <x:c r="E3294" s="55" t="inlineStr">
        <x:is>
          <x:t>九天勇裝錦囊（網站未列地圖）；劈天大雷神（闕真金閣）；霸雷天尊（網站未列地圖）</x:t>
        </x:is>
      </x:c>
    </x:row>
    <x:row r="3295" ht="15" customHeight="1">
      <x:c r="A3295" s="55" t="str">
        <x:v>天蝶仙履</x:v>
      </x:c>
      <x:c r="B3295" s="55" t="str">
        <x:v>—</x:v>
      </x:c>
      <x:c r="C3295" s="55" t="str">
        <x:v>—</x:v>
      </x:c>
      <x:c r="D3295" s="55" t="str">
        <x:v>—</x:v>
      </x:c>
      <x:c r="E3295" s="55" t="inlineStr">
        <x:is>
          <x:t>九天術裝錦囊（網站未列地圖）</x:t>
        </x:is>
      </x:c>
    </x:row>
    <x:row r="3296" ht="15" customHeight="1">
      <x:c r="A3296" s="55" t="str">
        <x:v>重陽道靴</x:v>
      </x:c>
      <x:c r="B3296" s="55" t="str">
        <x:v>—</x:v>
      </x:c>
      <x:c r="C3296" s="55" t="str">
        <x:v>—</x:v>
      </x:c>
      <x:c r="D3296" s="55" t="str">
        <x:v>—</x:v>
      </x:c>
      <x:c r="E3296" s="55" t="inlineStr">
        <x:is>
          <x:t>九天道裝錦囊（網站未列地圖）；神御泰平龍（闕真金閣）；八部天章（天啟八關）</x:t>
        </x:is>
      </x:c>
    </x:row>
    <x:row r="3297" ht="15" customHeight="1">
      <x:c r="A3297" s="55" t="str">
        <x:v>樓至行腳</x:v>
      </x:c>
      <x:c r="B3297" s="55" t="str">
        <x:v>—</x:v>
      </x:c>
      <x:c r="C3297" s="55" t="str">
        <x:v>—</x:v>
      </x:c>
      <x:c r="D3297" s="55" t="str">
        <x:v>—</x:v>
      </x:c>
      <x:c r="E3297" s="55" t="inlineStr">
        <x:is>
          <x:t>九天僧裝錦囊（網站未列地圖）</x:t>
        </x:is>
      </x:c>
    </x:row>
    <x:row r="3298" ht="15" customHeight="1">
      <x:c r="A3298" s="55" t="str">
        <x:v>剎霆之步</x:v>
      </x:c>
      <x:c r="B3298" s="55" t="str">
        <x:v>—</x:v>
      </x:c>
      <x:c r="C3298" s="55" t="str">
        <x:v>—</x:v>
      </x:c>
      <x:c r="D3298" s="55" t="str">
        <x:v>—</x:v>
      </x:c>
      <x:c r="E3298" s="55" t="inlineStr">
        <x:is>
          <x:t>仙庭劍裝錦囊（網站未列地圖）</x:t>
        </x:is>
      </x:c>
    </x:row>
    <x:row r="3299" ht="15" customHeight="1">
      <x:c r="A3299" s="55" t="str">
        <x:v>英霸鋼靴</x:v>
      </x:c>
      <x:c r="B3299" s="55" t="str">
        <x:v>—</x:v>
      </x:c>
      <x:c r="C3299" s="55" t="str">
        <x:v>—</x:v>
      </x:c>
      <x:c r="D3299" s="55" t="str">
        <x:v>—</x:v>
      </x:c>
      <x:c r="E3299" s="55" t="inlineStr">
        <x:is>
          <x:t>仙庭勇裝錦囊（網站未列地圖）</x:t>
        </x:is>
      </x:c>
    </x:row>
    <x:row r="3300" ht="15" customHeight="1">
      <x:c r="A3300" s="55" t="str">
        <x:v>燕霑天履</x:v>
      </x:c>
      <x:c r="B3300" s="55" t="str">
        <x:v>—</x:v>
      </x:c>
      <x:c r="C3300" s="55" t="str">
        <x:v>—</x:v>
      </x:c>
      <x:c r="D3300" s="55" t="str">
        <x:v>—</x:v>
      </x:c>
      <x:c r="E3300" s="55" t="inlineStr">
        <x:is>
          <x:t>仙庭術裝錦囊（網站未列地圖）</x:t>
        </x:is>
      </x:c>
    </x:row>
    <x:row r="3301" ht="15" customHeight="1">
      <x:c r="A3301" s="55" t="str">
        <x:v>渺霧道靴</x:v>
      </x:c>
      <x:c r="B3301" s="55" t="str">
        <x:v>—</x:v>
      </x:c>
      <x:c r="C3301" s="55" t="str">
        <x:v>—</x:v>
      </x:c>
      <x:c r="D3301" s="55" t="str">
        <x:v>—</x:v>
      </x:c>
      <x:c r="E3301" s="55" t="inlineStr">
        <x:is>
          <x:t>仙庭道裝錦囊（網站未列地圖）；八天左雷王（紫雷轟原）</x:t>
        </x:is>
      </x:c>
    </x:row>
    <x:row r="3302" ht="15" customHeight="1">
      <x:c r="A3302" s="55" t="str">
        <x:v>祈霖禪靴</x:v>
      </x:c>
      <x:c r="B3302" s="55" t="str">
        <x:v>—</x:v>
      </x:c>
      <x:c r="C3302" s="55" t="str">
        <x:v>—</x:v>
      </x:c>
      <x:c r="D3302" s="55" t="str">
        <x:v>—</x:v>
      </x:c>
      <x:c r="E3302" s="55" t="inlineStr">
        <x:is>
          <x:t>仙庭僧裝錦囊（網站未列地圖）；佑天神僧（紫雷轟原）</x:t>
        </x:is>
      </x:c>
    </x:row>
    <x:row r="3303" ht="15" customHeight="1">
      <x:c r="A3303" s="55" t="str">
        <x:v>窮奇千煞靴</x:v>
      </x:c>
      <x:c r="B3303" s="55" t="str">
        <x:v>—</x:v>
      </x:c>
      <x:c r="C3303" s="55" t="str">
        <x:v>—</x:v>
      </x:c>
      <x:c r="D3303" s="55" t="str">
        <x:v>四兇煞腳配方</x:v>
      </x:c>
      <x:c r="E3303" s="55" t="inlineStr">
        <x:is>
          <x:t>四兇霸裝錦囊（網站未列地圖）</x:t>
        </x:is>
      </x:c>
    </x:row>
    <x:row r="3304" ht="30" customHeight="1">
      <x:c r="A3304" s="55" t="str">
        <x:v>韋駝天足‧終</x:v>
      </x:c>
      <x:c r="B3304" s="55" t="str">
        <x:v>—</x:v>
      </x:c>
      <x:c r="C3304" s="55" t="str">
        <x:v>—</x:v>
      </x:c>
      <x:c r="D3304" s="55" t="str">
        <x:v>東瀛終足配方</x:v>
      </x:c>
      <x:c r="E3304" s="55" t="inlineStr">
        <x:is>
          <x:t>東瀛終甲錦囊（網站未列地圖）；新‧東裝配方錦囊（網站未列地圖）；超靈基福袋（網站未列地圖）；仙道錦囊（網站未列地圖）</x:t>
        </x:is>
      </x:c>
    </x:row>
    <x:row r="3305" ht="30" customHeight="1">
      <x:c r="A3305" s="55" t="str">
        <x:v>流星雲湘靴</x:v>
      </x:c>
      <x:c r="B3305" s="55" t="str">
        <x:v>—</x:v>
      </x:c>
      <x:c r="C3305" s="55" t="str">
        <x:v>—</x:v>
      </x:c>
      <x:c r="D3305" s="55" t="str">
        <x:v>流星仙造配方</x:v>
      </x:c>
      <x:c r="E3305" s="55" t="inlineStr">
        <x:is>
          <x:t>真三合奇裝寶箱（網站未列地圖）；稀奇裝備箱．甲式（網站未列地圖）；怒咆穢猿（終末之塔第31層、終末之塔第32層）</x:t>
        </x:is>
      </x:c>
    </x:row>
    <x:row r="3306" ht="30" customHeight="1">
      <x:c r="A3306" s="55" t="str">
        <x:v>天鍛‧劍聖靴</x:v>
      </x:c>
      <x:c r="B3306" s="55" t="str">
        <x:v>—</x:v>
      </x:c>
      <x:c r="C3306" s="55" t="str">
        <x:v>—</x:v>
      </x:c>
      <x:c r="D3306" s="55" t="str">
        <x:v>—</x:v>
      </x:c>
      <x:c r="E3306" s="55" t="inlineStr">
        <x:is>
          <x:t>無限劍裝錦囊（網站未列地圖）；天尊獅座（白虎西殿）；刑天戰狂（異時界‧亂藤林）；疲憊的刑天戰士（異時界‧亂藤林東）</x:t>
        </x:is>
      </x:c>
    </x:row>
    <x:row r="3307" ht="15" customHeight="1">
      <x:c r="A3307" s="55" t="str">
        <x:v>天鍛‧武尊踏</x:v>
      </x:c>
      <x:c r="B3307" s="55" t="str">
        <x:v>—</x:v>
      </x:c>
      <x:c r="C3307" s="55" t="str">
        <x:v>—</x:v>
      </x:c>
      <x:c r="D3307" s="55" t="str">
        <x:v>—</x:v>
      </x:c>
      <x:c r="E3307" s="55" t="inlineStr">
        <x:is>
          <x:t>無限勇裝錦囊（網站未列地圖）；碎時狂虎（白虎西殿）；太白無常（異時界‧亂藤林西）</x:t>
        </x:is>
      </x:c>
    </x:row>
    <x:row r="3308" ht="15" customHeight="1">
      <x:c r="A3308" s="55" t="str">
        <x:v>天鍛‧術幻履</x:v>
      </x:c>
      <x:c r="B3308" s="55" t="str">
        <x:v>—</x:v>
      </x:c>
      <x:c r="C3308" s="55" t="str">
        <x:v>—</x:v>
      </x:c>
      <x:c r="D3308" s="55" t="str">
        <x:v>—</x:v>
      </x:c>
      <x:c r="E3308" s="55" t="inlineStr">
        <x:is>
          <x:t>無限術裝錦囊（網站未列地圖）；銀霜神牛（白虎西殿）</x:t>
        </x:is>
      </x:c>
    </x:row>
    <x:row r="3309" ht="15" customHeight="1">
      <x:c r="A3309" s="55" t="str">
        <x:v>天鍛‧道輝步</x:v>
      </x:c>
      <x:c r="B3309" s="55" t="str">
        <x:v>—</x:v>
      </x:c>
      <x:c r="C3309" s="55" t="str">
        <x:v>—</x:v>
      </x:c>
      <x:c r="D3309" s="55" t="str">
        <x:v>—</x:v>
      </x:c>
      <x:c r="E3309" s="55" t="inlineStr">
        <x:is>
          <x:t>無限道裝錦囊（網站未列地圖）；截拳虎衛（白虎西殿）；冰絕蜈蚣（異時界‧亂藤林南）</x:t>
        </x:is>
      </x:c>
    </x:row>
    <x:row r="3310" ht="15" customHeight="1">
      <x:c r="A3310" s="55" t="str">
        <x:v>天鍛‧禪光行</x:v>
      </x:c>
      <x:c r="B3310" s="55" t="str">
        <x:v>—</x:v>
      </x:c>
      <x:c r="C3310" s="55" t="str">
        <x:v>—</x:v>
      </x:c>
      <x:c r="D3310" s="55" t="str">
        <x:v>—</x:v>
      </x:c>
      <x:c r="E3310" s="55" t="inlineStr">
        <x:is>
          <x:t>無限僧裝錦囊（網站未列地圖）；星虎白皇（白虎西殿）；劍齒灰狼（異時界‧亂藤林南）</x:t>
        </x:is>
      </x:c>
    </x:row>
    <x:row r="3311" ht="15" customHeight="1">
      <x:c r="A3311" s="55" t="str">
        <x:v>天鍛‧窮奇靴</x:v>
      </x:c>
      <x:c r="B3311" s="55" t="str">
        <x:v>—</x:v>
      </x:c>
      <x:c r="C3311" s="55" t="str">
        <x:v>—</x:v>
      </x:c>
      <x:c r="D3311" s="55" t="str">
        <x:v>四兇無限腳配方</x:v>
      </x:c>
      <x:c r="E3311" s="55" t="inlineStr">
        <x:is>
          <x:t>無限四兇霸裝錦囊（網站未列地圖）；天俠特仕裝箱（網站未列地圖）</x:t>
        </x:is>
      </x:c>
    </x:row>
    <x:row r="3312" ht="15" customHeight="1">
      <x:c r="A3312" s="55" t="str">
        <x:v>天鍛‧韋駝足</x:v>
      </x:c>
      <x:c r="B3312" s="55" t="str">
        <x:v>—</x:v>
      </x:c>
      <x:c r="C3312" s="55" t="str">
        <x:v>—</x:v>
      </x:c>
      <x:c r="D3312" s="55" t="str">
        <x:v>東瀛無限足配方</x:v>
      </x:c>
      <x:c r="E3312" s="55" t="inlineStr">
        <x:is>
          <x:t>無限東瀛神裝錦囊（網站未列地圖）；天俠特仕裝箱（網站未列地圖）</x:t>
        </x:is>
      </x:c>
    </x:row>
    <x:row r="3313" ht="15" customHeight="1">
      <x:c r="A3313" s="55" t="str">
        <x:v>天鍛‧流星靴</x:v>
      </x:c>
      <x:c r="B3313" s="55" t="str">
        <x:v>—</x:v>
      </x:c>
      <x:c r="C3313" s="55" t="str">
        <x:v>—</x:v>
      </x:c>
      <x:c r="D3313" s="55" t="str">
        <x:v>流星無限配方</x:v>
      </x:c>
      <x:c r="E3313" s="55" t="inlineStr">
        <x:is>
          <x:t>無限中原奇裝錦囊（網站未列地圖）；天俠特仕裝箱（網站未列地圖）</x:t>
        </x:is>
      </x:c>
    </x:row>
    <x:row r="3314" ht="15" customHeight="1">
      <x:c r="A3314" s="55" t="str">
        <x:v>仙鑄‧劍聖靴</x:v>
      </x:c>
      <x:c r="B3314" s="55" t="str">
        <x:v>—</x:v>
      </x:c>
      <x:c r="C3314" s="55" t="str">
        <x:v>—</x:v>
      </x:c>
      <x:c r="D3314" s="55" t="str">
        <x:v>—</x:v>
      </x:c>
      <x:c r="E3314" s="55" t="inlineStr">
        <x:is>
          <x:t>大無限劍裝錦囊（網站未列地圖）；夜叉鬼斧者（異時界‧修羅窟）；土行刺客（異時界‧修羅窟）</x:t>
        </x:is>
      </x:c>
    </x:row>
    <x:row r="3315" ht="15" customHeight="1">
      <x:c r="A3315" s="55" t="str">
        <x:v>仙鑄‧武尊踏</x:v>
      </x:c>
      <x:c r="B3315" s="55" t="str">
        <x:v>—</x:v>
      </x:c>
      <x:c r="C3315" s="55" t="str">
        <x:v>—</x:v>
      </x:c>
      <x:c r="D3315" s="55" t="str">
        <x:v>—</x:v>
      </x:c>
      <x:c r="E3315" s="55" t="inlineStr">
        <x:is>
          <x:t>大無限勇裝錦囊（網站未列地圖）；修羅巨蟒（異時界‧葬日沼南）；夸父猛者（異時界‧葬日沼南）</x:t>
        </x:is>
      </x:c>
    </x:row>
    <x:row r="3316" ht="15" customHeight="1">
      <x:c r="A3316" s="55" t="str">
        <x:v>仙鑄‧術幻履</x:v>
      </x:c>
      <x:c r="B3316" s="55" t="str">
        <x:v>—</x:v>
      </x:c>
      <x:c r="C3316" s="55" t="str">
        <x:v>—</x:v>
      </x:c>
      <x:c r="D3316" s="55" t="str">
        <x:v>—</x:v>
      </x:c>
      <x:c r="E3316" s="55" t="inlineStr">
        <x:is>
          <x:t>大無限術裝錦囊（網站未列地圖）；夜叉鬼斧者（異時界‧毒龍潭）</x:t>
        </x:is>
      </x:c>
    </x:row>
    <x:row r="3317" ht="15" customHeight="1">
      <x:c r="A3317" s="55" t="str">
        <x:v>仙鑄‧道輝步</x:v>
      </x:c>
      <x:c r="B3317" s="55" t="str">
        <x:v>—</x:v>
      </x:c>
      <x:c r="C3317" s="55" t="str">
        <x:v>—</x:v>
      </x:c>
      <x:c r="D3317" s="55" t="str">
        <x:v>—</x:v>
      </x:c>
      <x:c r="E3317" s="55" t="inlineStr">
        <x:is>
          <x:t>大無限道裝錦囊（網站未列地圖）；魔心殺猿（異時界‧葬日沼澤）；護教金鳥（異時界‧葬日沼澤）</x:t>
        </x:is>
      </x:c>
    </x:row>
    <x:row r="3318" ht="15" customHeight="1">
      <x:c r="A3318" s="55" t="str">
        <x:v>仙鑄‧禪光行</x:v>
      </x:c>
      <x:c r="B3318" s="55" t="str">
        <x:v>—</x:v>
      </x:c>
      <x:c r="C3318" s="55" t="str">
        <x:v>—</x:v>
      </x:c>
      <x:c r="D3318" s="55" t="str">
        <x:v>—</x:v>
      </x:c>
      <x:c r="E3318" s="55" t="inlineStr">
        <x:is>
          <x:t>大無限僧裝錦囊（網站未列地圖）；亡邪鷹族喪兵（異時界‧葬日沼北）；亡邪阿修羅鬼（異時界‧葬日沼北）</x:t>
        </x:is>
      </x:c>
    </x:row>
    <x:row r="3319" ht="30" customHeight="1">
      <x:c r="A3319" s="55" t="str">
        <x:v>仙鑄‧窮奇靴</x:v>
      </x:c>
      <x:c r="B3319" s="55" t="str">
        <x:v>—</x:v>
      </x:c>
      <x:c r="C3319" s="55" t="str">
        <x:v>—</x:v>
      </x:c>
      <x:c r="D3319" s="55" t="str">
        <x:v>—</x:v>
      </x:c>
      <x:c r="E3319" s="55" t="inlineStr">
        <x:is>
          <x:t>真無限四兇霸裝箱（網站未列地圖）；真．天俠特仕裝箱（網站未列地圖）；綠后頂裝寶箱（網站未列地圖）；凶星狼（覺無洋宇）</x:t>
        </x:is>
      </x:c>
    </x:row>
    <x:row r="3320" ht="30" customHeight="1">
      <x:c r="A3320" s="55" t="str">
        <x:v>仙鑄‧韋駝足</x:v>
      </x:c>
      <x:c r="B3320" s="55" t="str">
        <x:v>—</x:v>
      </x:c>
      <x:c r="C3320" s="55" t="str">
        <x:v>—</x:v>
      </x:c>
      <x:c r="D3320" s="55" t="str">
        <x:v>—</x:v>
      </x:c>
      <x:c r="E3320" s="55" t="inlineStr">
        <x:is>
          <x:t>真無限東瀛神裝箱（網站未列地圖）；真．天俠特仕裝箱（網站未列地圖）；綠后頂裝寶箱（網站未列地圖）；天命寶箱（網站未列地圖）；夜叉王（異時界‧摘星嶺）；煉黑巨龍首（異時界‧毒龍潭）；女邪蜘蛛‧強（殘雲天境）</x:t>
        </x:is>
      </x:c>
    </x:row>
    <x:row r="3321" ht="30" customHeight="1">
      <x:c r="A3321" s="55" t="str">
        <x:v>仙鑄‧流星靴</x:v>
      </x:c>
      <x:c r="B3321" s="55" t="str">
        <x:v>—</x:v>
      </x:c>
      <x:c r="C3321" s="55" t="str">
        <x:v>—</x:v>
      </x:c>
      <x:c r="D3321" s="55" t="str">
        <x:v>—</x:v>
      </x:c>
      <x:c r="E3321" s="55" t="inlineStr">
        <x:is>
          <x:t>真無限中原奇裝箱（網站未列地圖）；真．天俠特仕裝箱（網站未列地圖）；綠后頂裝寶箱（網站未列地圖）；天命寶箱（網站未列地圖）；金毛鷹王（異時界‧摘星嶺）；嵐荒天虎‧強（殘雲天境）</x:t>
        </x:is>
      </x:c>
    </x:row>
    <x:row r="3322" ht="15" customHeight="1">
      <x:c r="A3322" s="55" t="str">
        <x:v>神煉‧劍聖靴</x:v>
      </x:c>
      <x:c r="B3322" s="55" t="str">
        <x:v>—</x:v>
      </x:c>
      <x:c r="C3322" s="55" t="str">
        <x:v>—</x:v>
      </x:c>
      <x:c r="D3322" s="55" t="str">
        <x:v>—</x:v>
      </x:c>
      <x:c r="E3322" s="55" t="inlineStr">
        <x:is>
          <x:t>超無限劍裝錦囊（網站未列地圖）；墮真劍邪‧強（殘雲天境）</x:t>
        </x:is>
      </x:c>
    </x:row>
    <x:row r="3323" ht="15" customHeight="1">
      <x:c r="A3323" s="55" t="str">
        <x:v>神煉‧武尊踏</x:v>
      </x:c>
      <x:c r="B3323" s="55" t="str">
        <x:v>—</x:v>
      </x:c>
      <x:c r="C3323" s="55" t="str">
        <x:v>—</x:v>
      </x:c>
      <x:c r="D3323" s="55" t="str">
        <x:v>—</x:v>
      </x:c>
      <x:c r="E3323" s="55" t="inlineStr">
        <x:is>
          <x:t>超無限勇裝錦囊（網站未列地圖）；霧城巨獅‧強（殘雲天境）</x:t>
        </x:is>
      </x:c>
    </x:row>
    <x:row r="3324" ht="15" customHeight="1">
      <x:c r="A3324" s="55" t="str">
        <x:v>神煉‧術幻履</x:v>
      </x:c>
      <x:c r="B3324" s="55" t="str">
        <x:v>—</x:v>
      </x:c>
      <x:c r="C3324" s="55" t="str">
        <x:v>—</x:v>
      </x:c>
      <x:c r="D3324" s="55" t="str">
        <x:v>—</x:v>
      </x:c>
      <x:c r="E3324" s="55" t="inlineStr">
        <x:is>
          <x:t>超無限術裝錦囊（網站未列地圖）；人蔘精‧強（殘雲天境）</x:t>
        </x:is>
      </x:c>
    </x:row>
    <x:row r="3325" ht="15" customHeight="1">
      <x:c r="A3325" s="55" t="str">
        <x:v>神煉‧道輝步</x:v>
      </x:c>
      <x:c r="B3325" s="55" t="str">
        <x:v>—</x:v>
      </x:c>
      <x:c r="C3325" s="55" t="str">
        <x:v>—</x:v>
      </x:c>
      <x:c r="D3325" s="55" t="str">
        <x:v>—</x:v>
      </x:c>
      <x:c r="E3325" s="55" t="inlineStr">
        <x:is>
          <x:t>超無限道裝錦囊（網站未列地圖）；無之虛魅（時沒邊界）</x:t>
        </x:is>
      </x:c>
    </x:row>
    <x:row r="3326" ht="15" customHeight="1">
      <x:c r="A3326" s="55" t="str">
        <x:v>神煉‧禪光行</x:v>
      </x:c>
      <x:c r="B3326" s="55" t="str">
        <x:v>—</x:v>
      </x:c>
      <x:c r="C3326" s="55" t="str">
        <x:v>—</x:v>
      </x:c>
      <x:c r="D3326" s="55" t="str">
        <x:v>—</x:v>
      </x:c>
      <x:c r="E3326" s="55" t="inlineStr">
        <x:is>
          <x:t>超無限僧裝錦囊（網站未列地圖）；噬地梵鬼‧強（殘雲天境）</x:t>
        </x:is>
      </x:c>
    </x:row>
    <x:row r="3327" ht="30" customHeight="1">
      <x:c r="A3327" s="55" t="str">
        <x:v>神煉‧窮奇靴</x:v>
      </x:c>
      <x:c r="B3327" s="55" t="str">
        <x:v>—</x:v>
      </x:c>
      <x:c r="C3327" s="55" t="str">
        <x:v>—</x:v>
      </x:c>
      <x:c r="D3327" s="55" t="str">
        <x:v>—</x:v>
      </x:c>
      <x:c r="E3327" s="55" t="inlineStr">
        <x:is>
          <x:t>超無限四兇霸裝箱（網站未列地圖）；超．天俠特仕裝箱（網站未列地圖）；三之極限福袋（網站未列地圖）；天命逆轉寶箱（網站未列地圖）；真天命逆轉寶箱（網站未列地圖）；空斬般若（觀無巽宇）</x:t>
        </x:is>
      </x:c>
    </x:row>
    <x:row r="3328" ht="30" customHeight="1">
      <x:c r="A3328" s="55" t="str">
        <x:v>神煉‧韋駝足</x:v>
      </x:c>
      <x:c r="B3328" s="55" t="str">
        <x:v>—</x:v>
      </x:c>
      <x:c r="C3328" s="55" t="str">
        <x:v>—</x:v>
      </x:c>
      <x:c r="D3328" s="55" t="str">
        <x:v>—</x:v>
      </x:c>
      <x:c r="E3328" s="55" t="inlineStr">
        <x:is>
          <x:t>超無限東瀛神裝箱（網站未列地圖）；超．天俠特仕裝箱（網站未列地圖）；三之極限福袋（網站未列地圖）；天意寶箱（網站未列地圖）；暴風虛魂（音無晶宇）</x:t>
        </x:is>
      </x:c>
    </x:row>
    <x:row r="3329" ht="30" customHeight="1">
      <x:c r="A3329" s="55" t="str">
        <x:v>神煉‧流星靴</x:v>
      </x:c>
      <x:c r="B3329" s="55" t="str">
        <x:v>—</x:v>
      </x:c>
      <x:c r="C3329" s="55" t="str">
        <x:v>—</x:v>
      </x:c>
      <x:c r="D3329" s="55" t="str">
        <x:v>—</x:v>
      </x:c>
      <x:c r="E3329" s="55" t="inlineStr">
        <x:is>
          <x:t>超無限中原奇裝箱（網站未列地圖）；超．天俠特仕裝箱（網站未列地圖）；天意寶箱（網站未列地圖）；天命逆轉寶箱（網站未列地圖）；真天命逆轉寶箱（網站未列地圖）；三徊朽靈（觀無巽宇）</x:t>
        </x:is>
      </x:c>
    </x:row>
    <x:row r="3330" ht="15" customHeight="1">
      <x:c r="A3330" s="55" t="str">
        <x:v>宇傲‧劍聖靴</x:v>
      </x:c>
      <x:c r="B3330" s="55" t="str">
        <x:v>—</x:v>
      </x:c>
      <x:c r="C3330" s="55" t="str">
        <x:v>—</x:v>
      </x:c>
      <x:c r="D3330" s="55" t="str">
        <x:v>—</x:v>
      </x:c>
      <x:c r="E3330" s="55" t="inlineStr">
        <x:is>
          <x:t>極無限劍裝錦囊（網站未列地圖）；擲虛夜叉（觀無巽宇）</x:t>
        </x:is>
      </x:c>
    </x:row>
    <x:row r="3331" ht="15" customHeight="1">
      <x:c r="A3331" s="55" t="str">
        <x:v>宇傲‧武尊踏</x:v>
      </x:c>
      <x:c r="B3331" s="55" t="str">
        <x:v>—</x:v>
      </x:c>
      <x:c r="C3331" s="55" t="str">
        <x:v>—</x:v>
      </x:c>
      <x:c r="D3331" s="55" t="str">
        <x:v>—</x:v>
      </x:c>
      <x:c r="E3331" s="55" t="inlineStr">
        <x:is>
          <x:t>極無限勇裝錦囊（網站未列地圖）；渴血魔刀（觀無巽宇）；晶化蕈體（覺無洋宇）</x:t>
        </x:is>
      </x:c>
    </x:row>
    <x:row r="3332" ht="15" customHeight="1">
      <x:c r="A3332" s="55" t="str">
        <x:v>宇傲‧術幻履</x:v>
      </x:c>
      <x:c r="B3332" s="55" t="str">
        <x:v>—</x:v>
      </x:c>
      <x:c r="C3332" s="55" t="str">
        <x:v>—</x:v>
      </x:c>
      <x:c r="D3332" s="55" t="str">
        <x:v>—</x:v>
      </x:c>
      <x:c r="E3332" s="55" t="inlineStr">
        <x:is>
          <x:t>極無限術裝錦囊（網站未列地圖）；迷界幻忍（觀無巽宇）</x:t>
        </x:is>
      </x:c>
    </x:row>
    <x:row r="3333" ht="15" customHeight="1">
      <x:c r="A3333" s="55" t="str">
        <x:v>宇傲‧道輝步</x:v>
      </x:c>
      <x:c r="B3333" s="55" t="str">
        <x:v>—</x:v>
      </x:c>
      <x:c r="C3333" s="55" t="str">
        <x:v>—</x:v>
      </x:c>
      <x:c r="D3333" s="55" t="str">
        <x:v>—</x:v>
      </x:c>
      <x:c r="E3333" s="55" t="inlineStr">
        <x:is>
          <x:t>極無限道裝錦囊（網站未列地圖）；墮虛之翅（覺無洋宇）</x:t>
        </x:is>
      </x:c>
    </x:row>
    <x:row r="3334" ht="15" customHeight="1">
      <x:c r="A3334" s="55" t="str">
        <x:v>宇傲‧禪光行</x:v>
      </x:c>
      <x:c r="B3334" s="55" t="str">
        <x:v>—</x:v>
      </x:c>
      <x:c r="C3334" s="55" t="str">
        <x:v>—</x:v>
      </x:c>
      <x:c r="D3334" s="55" t="str">
        <x:v>—</x:v>
      </x:c>
      <x:c r="E3334" s="55" t="inlineStr">
        <x:is>
          <x:t>極無限僧裝錦囊（網站未列地圖）；沉迭巨猿（覺無洋宇）</x:t>
        </x:is>
      </x:c>
    </x:row>
    <x:row r="3335" ht="45" customHeight="1">
      <x:c r="A3335" s="55" t="str">
        <x:v>宇傲‧窮奇靴</x:v>
      </x:c>
      <x:c r="B3335" s="55" t="str">
        <x:v>—</x:v>
      </x:c>
      <x:c r="C3335" s="55" t="str">
        <x:v>—</x:v>
      </x:c>
      <x:c r="D3335" s="55" t="str">
        <x:v>—</x:v>
      </x:c>
      <x:c r="E3335" s="55" t="inlineStr">
        <x:is>
          <x:t>極無限四兇霸裝箱（網站未列地圖）；極．天俠特仕裝箱（網站未列地圖）；超級旗開得勝錦囊（網站未列地圖）；百勝稱雄錦囊（網站未列地圖）；天意逆轉寶箱（網站未列地圖）；真天意逆轉寶箱（網站未列地圖）；變態蟲人（不解迴路）</x:t>
        </x:is>
      </x:c>
    </x:row>
    <x:row r="3336" ht="30" customHeight="1">
      <x:c r="A3336" s="55" t="str">
        <x:v>宇傲‧韋駝足</x:v>
      </x:c>
      <x:c r="B3336" s="55" t="str">
        <x:v>—</x:v>
      </x:c>
      <x:c r="C3336" s="55" t="str">
        <x:v>—</x:v>
      </x:c>
      <x:c r="D3336" s="55" t="str">
        <x:v>—</x:v>
      </x:c>
      <x:c r="E3336" s="55" t="inlineStr">
        <x:is>
          <x:t>極無限東瀛神裝箱（網站未列地圖）；極．天俠特仕裝箱（網站未列地圖）；超級旗開得勝錦囊（網站未列地圖）；王者天下錦囊（網站未列地圖）</x:t>
        </x:is>
      </x:c>
    </x:row>
    <x:row r="3337" ht="45" customHeight="1">
      <x:c r="A3337" s="55" t="str">
        <x:v>宇傲‧流星靴</x:v>
      </x:c>
      <x:c r="B3337" s="55" t="str">
        <x:v>—</x:v>
      </x:c>
      <x:c r="C3337" s="55" t="str">
        <x:v>—</x:v>
      </x:c>
      <x:c r="D3337" s="55" t="str">
        <x:v>—</x:v>
      </x:c>
      <x:c r="E3337" s="55" t="inlineStr">
        <x:is>
          <x:t>極無限中原奇裝箱（網站未列地圖）；極．天俠特仕裝箱（網站未列地圖）；超級旗開得勝錦囊（網站未列地圖）；百戰論皇錦囊（網站未列地圖）；天意逆轉寶箱（網站未列地圖）；真天意逆轉寶箱（網站未列地圖）；禁軒瘋王（星群碎道）</x:t>
        </x:is>
      </x:c>
    </x:row>
    <x:row r="3338" ht="30" customHeight="1">
      <x:c r="A3338" s="55" t="str">
        <x:v>峻霆‧劍聖靴</x:v>
      </x:c>
      <x:c r="B3338" s="55" t="str">
        <x:v>—</x:v>
      </x:c>
      <x:c r="C3338" s="55" t="str">
        <x:v>—</x:v>
      </x:c>
      <x:c r="D3338" s="55" t="str">
        <x:v>—</x:v>
      </x:c>
      <x:c r="E3338" s="55" t="inlineStr">
        <x:is>
          <x:t>絕無限劍裝錦囊（網站未列地圖）；搗蛋天鬼神（網站未列地圖）；賀歲大金雞（網站未列地圖）；天影犄麟（星群碎道）</x:t>
        </x:is>
      </x:c>
    </x:row>
    <x:row r="3339" ht="30" customHeight="1">
      <x:c r="A3339" s="55" t="str">
        <x:v>峻霆‧武尊踏</x:v>
      </x:c>
      <x:c r="B3339" s="55" t="str">
        <x:v>—</x:v>
      </x:c>
      <x:c r="C3339" s="55" t="str">
        <x:v>—</x:v>
      </x:c>
      <x:c r="D3339" s="55" t="str">
        <x:v>—</x:v>
      </x:c>
      <x:c r="E3339" s="55" t="inlineStr">
        <x:is>
          <x:t>絕無限勇裝錦囊（網站未列地圖）；搗蛋天鬼神（網站未列地圖）；賀歲大金雞（網站未列地圖）；奠甲鬥士（星群碎道）</x:t>
        </x:is>
      </x:c>
    </x:row>
    <x:row r="3340" ht="30" customHeight="1">
      <x:c r="A3340" s="55" t="str">
        <x:v>峻霆‧術幻履</x:v>
      </x:c>
      <x:c r="B3340" s="55" t="str">
        <x:v>—</x:v>
      </x:c>
      <x:c r="C3340" s="55" t="str">
        <x:v>—</x:v>
      </x:c>
      <x:c r="D3340" s="55" t="str">
        <x:v>—</x:v>
      </x:c>
      <x:c r="E3340" s="55" t="inlineStr">
        <x:is>
          <x:t>絕無限術裝錦囊（網站未列地圖）；搗蛋天鬼神（網站未列地圖）；賀歲大金雞（網站未列地圖）；穿虛異蟲（星群碎道）</x:t>
        </x:is>
      </x:c>
    </x:row>
    <x:row r="3341" ht="30" customHeight="1">
      <x:c r="A3341" s="55" t="str">
        <x:v>峻霆‧道輝步</x:v>
      </x:c>
      <x:c r="B3341" s="55" t="str">
        <x:v>—</x:v>
      </x:c>
      <x:c r="C3341" s="55" t="str">
        <x:v>—</x:v>
      </x:c>
      <x:c r="D3341" s="55" t="str">
        <x:v>—</x:v>
      </x:c>
      <x:c r="E3341" s="55" t="inlineStr">
        <x:is>
          <x:t>絕無限道裝錦囊（網站未列地圖）；搗蛋天鬼神（網站未列地圖）；賀歲大金雞（網站未列地圖）；暗風追翼（星群碎道）</x:t>
        </x:is>
      </x:c>
    </x:row>
    <x:row r="3342" ht="30" customHeight="1">
      <x:c r="A3342" s="55" t="str">
        <x:v>峻霆‧禪光行</x:v>
      </x:c>
      <x:c r="B3342" s="55" t="str">
        <x:v>—</x:v>
      </x:c>
      <x:c r="C3342" s="55" t="str">
        <x:v>—</x:v>
      </x:c>
      <x:c r="D3342" s="55" t="str">
        <x:v>—</x:v>
      </x:c>
      <x:c r="E3342" s="55" t="inlineStr">
        <x:is>
          <x:t>絕無限僧裝錦囊（網站未列地圖）；搗蛋天鬼神（網站未列地圖）；賀歲大金雞（網站未列地圖）；王嚎金鋼（星群碎道）</x:t>
        </x:is>
      </x:c>
    </x:row>
    <x:row r="3343" ht="15" customHeight="1">
      <x:c r="A3343" s="55" t="str">
        <x:v>峻霆‧窮奇靴</x:v>
      </x:c>
      <x:c r="B3343" s="55" t="str">
        <x:v>—</x:v>
      </x:c>
      <x:c r="C3343" s="55" t="str">
        <x:v>—</x:v>
      </x:c>
      <x:c r="D3343" s="55" t="str">
        <x:v>—</x:v>
      </x:c>
      <x:c r="E3343" s="55" t="inlineStr">
        <x:is>
          <x:t>絕無限四兇霸裝箱（網站未列地圖）；絕．天俠特仕裝箱（網站未列地圖）；沒世蒼陵將（虛空渦心）</x:t>
        </x:is>
      </x:c>
    </x:row>
    <x:row r="3344" ht="15" customHeight="1">
      <x:c r="A3344" s="55" t="str">
        <x:v>峻霆‧韋駝足</x:v>
      </x:c>
      <x:c r="B3344" s="55" t="str">
        <x:v>—</x:v>
      </x:c>
      <x:c r="C3344" s="55" t="str">
        <x:v>—</x:v>
      </x:c>
      <x:c r="D3344" s="55" t="str">
        <x:v>—</x:v>
      </x:c>
      <x:c r="E3344" s="55" t="inlineStr">
        <x:is>
          <x:t>絕無限東瀛神裝箱（網站未列地圖）；絕．天俠特仕裝箱（網站未列地圖）</x:t>
        </x:is>
      </x:c>
    </x:row>
    <x:row r="3345" ht="15" customHeight="1">
      <x:c r="A3345" s="55" t="str">
        <x:v>峻霆‧流星靴</x:v>
      </x:c>
      <x:c r="B3345" s="55" t="str">
        <x:v>—</x:v>
      </x:c>
      <x:c r="C3345" s="55" t="str">
        <x:v>—</x:v>
      </x:c>
      <x:c r="D3345" s="55" t="str">
        <x:v>—</x:v>
      </x:c>
      <x:c r="E3345" s="55" t="inlineStr">
        <x:is>
          <x:t>絕無限中原奇裝箱（網站未列地圖）；絕．天俠特仕裝箱（網站未列地圖）；虛風天尊（虛空渦心）</x:t>
        </x:is>
      </x:c>
    </x:row>
    <x:row r="3346" ht="15" customHeight="1">
      <x:c r="A3346" s="55" t="str">
        <x:v>窮極‧劍聖靴</x:v>
      </x:c>
      <x:c r="B3346" s="55" t="str">
        <x:v>—</x:v>
      </x:c>
      <x:c r="C3346" s="55" t="str">
        <x:v>—</x:v>
      </x:c>
      <x:c r="D3346" s="55" t="str">
        <x:v>—</x:v>
      </x:c>
      <x:c r="E3346" s="55" t="inlineStr">
        <x:is>
          <x:t>無無限劍裝錦囊（網站未列地圖）；沒世天可汗（虛空渦心）</x:t>
        </x:is>
      </x:c>
    </x:row>
    <x:row r="3347" ht="15" customHeight="1">
      <x:c r="A3347" s="55" t="str">
        <x:v>窮極‧武尊踏</x:v>
      </x:c>
      <x:c r="B3347" s="55" t="str">
        <x:v>—</x:v>
      </x:c>
      <x:c r="C3347" s="55" t="str">
        <x:v>—</x:v>
      </x:c>
      <x:c r="D3347" s="55" t="str">
        <x:v>—</x:v>
      </x:c>
      <x:c r="E3347" s="55" t="inlineStr">
        <x:is>
          <x:t>無無限勇裝錦囊（網站未列地圖）；沒世蒼勇冠（虛空渦心）</x:t>
        </x:is>
      </x:c>
    </x:row>
    <x:row r="3348" ht="15" customHeight="1">
      <x:c r="A3348" s="55" t="str">
        <x:v>窮極‧術幻履</x:v>
      </x:c>
      <x:c r="B3348" s="55" t="str">
        <x:v>—</x:v>
      </x:c>
      <x:c r="C3348" s="55" t="str">
        <x:v>—</x:v>
      </x:c>
      <x:c r="D3348" s="55" t="str">
        <x:v>—</x:v>
      </x:c>
      <x:c r="E3348" s="55" t="inlineStr">
        <x:is>
          <x:t>無無限術裝錦囊（網站未列地圖）</x:t>
        </x:is>
      </x:c>
    </x:row>
    <x:row r="3349" ht="15" customHeight="1">
      <x:c r="A3349" s="55" t="str">
        <x:v>窮極‧道輝步</x:v>
      </x:c>
      <x:c r="B3349" s="55" t="str">
        <x:v>—</x:v>
      </x:c>
      <x:c r="C3349" s="55" t="str">
        <x:v>—</x:v>
      </x:c>
      <x:c r="D3349" s="55" t="str">
        <x:v>—</x:v>
      </x:c>
      <x:c r="E3349" s="55" t="inlineStr">
        <x:is>
          <x:t>無無限道裝錦囊（網站未列地圖）；沒世飛司祭（虛空渦心）</x:t>
        </x:is>
      </x:c>
    </x:row>
    <x:row r="3350" ht="15" customHeight="1">
      <x:c r="A3350" s="55" t="str">
        <x:v>窮極‧禪光行</x:v>
      </x:c>
      <x:c r="B3350" s="55" t="str">
        <x:v>—</x:v>
      </x:c>
      <x:c r="C3350" s="55" t="str">
        <x:v>—</x:v>
      </x:c>
      <x:c r="D3350" s="55" t="str">
        <x:v>—</x:v>
      </x:c>
      <x:c r="E3350" s="55" t="inlineStr">
        <x:is>
          <x:t>無無限僧裝錦囊（網站未列地圖）</x:t>
        </x:is>
      </x:c>
    </x:row>
    <x:row r="3351" ht="15" customHeight="1">
      <x:c r="A3351" s="55" t="str">
        <x:v>窮極‧窮奇靴</x:v>
      </x:c>
      <x:c r="B3351" s="55" t="str">
        <x:v>—</x:v>
      </x:c>
      <x:c r="C3351" s="55" t="str">
        <x:v>—</x:v>
      </x:c>
      <x:c r="D3351" s="55" t="str">
        <x:v>—</x:v>
      </x:c>
      <x:c r="E3351" s="55" t="inlineStr">
        <x:is>
          <x:t>無無限四兇霸裝箱（網站未列地圖）；無．天俠特仕裝箱（網站未列地圖）；虛空寶箱（網站未列地圖）</x:t>
        </x:is>
      </x:c>
    </x:row>
    <x:row r="3352" ht="15" customHeight="1">
      <x:c r="A3352" s="55" t="str">
        <x:v>窮極‧韋駝足</x:v>
      </x:c>
      <x:c r="B3352" s="55" t="str">
        <x:v>—</x:v>
      </x:c>
      <x:c r="C3352" s="55" t="str">
        <x:v>—</x:v>
      </x:c>
      <x:c r="D3352" s="55" t="str">
        <x:v>—</x:v>
      </x:c>
      <x:c r="E3352" s="55" t="inlineStr">
        <x:is>
          <x:t>無無限東瀛神裝箱（網站未列地圖）；無．天俠特仕裝箱（網站未列地圖）</x:t>
        </x:is>
      </x:c>
    </x:row>
    <x:row r="3353" ht="15" customHeight="1">
      <x:c r="A3353" s="55" t="str">
        <x:v>窮極‧流星靴</x:v>
      </x:c>
      <x:c r="B3353" s="55" t="str">
        <x:v>—</x:v>
      </x:c>
      <x:c r="C3353" s="55" t="str">
        <x:v>—</x:v>
      </x:c>
      <x:c r="D3353" s="55" t="str">
        <x:v>—</x:v>
      </x:c>
      <x:c r="E3353" s="55" t="inlineStr">
        <x:is>
          <x:t>無無限中原奇裝箱（網站未列地圖）；無．天俠特仕裝箱（網站未列地圖）</x:t>
        </x:is>
      </x:c>
    </x:row>
    <x:row r="3354" ht="15" customHeight="1">
      <x:c r="A3354" s="55" t="str">
        <x:v>元宙‧劍聖靴</x:v>
      </x:c>
      <x:c r="B3354" s="55" t="str">
        <x:v>—</x:v>
      </x:c>
      <x:c r="C3354" s="55" t="str">
        <x:v>—</x:v>
      </x:c>
      <x:c r="D3354" s="55" t="str">
        <x:v>—</x:v>
      </x:c>
      <x:c r="E3354" s="55" t="inlineStr">
        <x:is>
          <x:t>帝無限劍裝錦囊（網站未列地圖）；疤枷?（終末之塔第13層）</x:t>
        </x:is>
      </x:c>
    </x:row>
    <x:row r="3355" ht="15" customHeight="1">
      <x:c r="A3355" s="55" t="str">
        <x:v>元宙‧武尊踏</x:v>
      </x:c>
      <x:c r="B3355" s="55" t="str">
        <x:v>—</x:v>
      </x:c>
      <x:c r="C3355" s="55" t="str">
        <x:v>—</x:v>
      </x:c>
      <x:c r="D3355" s="55" t="str">
        <x:v>—</x:v>
      </x:c>
      <x:c r="E3355" s="55" t="inlineStr">
        <x:is>
          <x:t>帝無限勇裝錦囊（網站未列地圖）；天慧爆錘（終末之塔第7層、終末之塔第8層）</x:t>
        </x:is>
      </x:c>
    </x:row>
    <x:row r="3356" ht="15" customHeight="1">
      <x:c r="A3356" s="55" t="str">
        <x:v>元宙‧術幻履</x:v>
      </x:c>
      <x:c r="B3356" s="55" t="str">
        <x:v>—</x:v>
      </x:c>
      <x:c r="C3356" s="55" t="str">
        <x:v>—</x:v>
      </x:c>
      <x:c r="D3356" s="55" t="str">
        <x:v>—</x:v>
      </x:c>
      <x:c r="E3356" s="55" t="inlineStr">
        <x:is>
          <x:t>帝無限術裝錦囊（網站未列地圖）；冷血者（終末之塔第14層、終末之塔第12層）</x:t>
        </x:is>
      </x:c>
    </x:row>
    <x:row r="3357" ht="15" customHeight="1">
      <x:c r="A3357" s="55" t="str">
        <x:v>元宙‧道輝步</x:v>
      </x:c>
      <x:c r="B3357" s="55" t="str">
        <x:v>—</x:v>
      </x:c>
      <x:c r="C3357" s="55" t="str">
        <x:v>—</x:v>
      </x:c>
      <x:c r="D3357" s="55" t="str">
        <x:v>—</x:v>
      </x:c>
      <x:c r="E3357" s="55" t="inlineStr">
        <x:is>
          <x:t>帝無限道裝錦囊（網站未列地圖）；虛潛獸（終末之塔第12層、終末之塔第15層）</x:t>
        </x:is>
      </x:c>
    </x:row>
    <x:row r="3358" ht="15" customHeight="1">
      <x:c r="A3358" s="55" t="str">
        <x:v>元宙‧禪光行</x:v>
      </x:c>
      <x:c r="B3358" s="55" t="str">
        <x:v>—</x:v>
      </x:c>
      <x:c r="C3358" s="55" t="str">
        <x:v>—</x:v>
      </x:c>
      <x:c r="D3358" s="55" t="str">
        <x:v>—</x:v>
      </x:c>
      <x:c r="E3358" s="55" t="inlineStr">
        <x:is>
          <x:t>帝無限僧裝錦囊（網站未列地圖）；惡行犯（終末之塔第11層）</x:t>
        </x:is>
      </x:c>
    </x:row>
    <x:row r="3359" ht="30" customHeight="1">
      <x:c r="A3359" s="55" t="str">
        <x:v>元宙‧窮奇靴</x:v>
      </x:c>
      <x:c r="B3359" s="55" t="str">
        <x:v>—</x:v>
      </x:c>
      <x:c r="C3359" s="55" t="str">
        <x:v>—</x:v>
      </x:c>
      <x:c r="D3359" s="55" t="str">
        <x:v>—</x:v>
      </x:c>
      <x:c r="E3359" s="55" t="inlineStr">
        <x:is>
          <x:t>帝無限四兇霸裝箱（網站未列地圖）；帝．天俠特仕裝箱（網站未列地圖）；虛空主宰寶箱（網站未列地圖）；真‧虛空寶箱（網站未列地圖）；完銷紀念寶箱（網站未列地圖）</x:t>
        </x:is>
      </x:c>
    </x:row>
    <x:row r="3360" ht="15" customHeight="1">
      <x:c r="A3360" s="55" t="str">
        <x:v>元宙‧韋駝足</x:v>
      </x:c>
      <x:c r="B3360" s="55" t="str">
        <x:v>—</x:v>
      </x:c>
      <x:c r="C3360" s="55" t="str">
        <x:v>—</x:v>
      </x:c>
      <x:c r="D3360" s="55" t="str">
        <x:v>—</x:v>
      </x:c>
      <x:c r="E3360" s="55" t="inlineStr">
        <x:is>
          <x:t>帝無限東瀛神裝箱（網站未列地圖）；帝．天俠特仕裝箱（網站未列地圖）；虛空主宰寶箱（網站未列地圖）</x:t>
        </x:is>
      </x:c>
    </x:row>
    <x:row r="3361" ht="30" customHeight="1">
      <x:c r="A3361" s="55" t="str">
        <x:v>元宙‧流星靴</x:v>
      </x:c>
      <x:c r="B3361" s="55" t="str">
        <x:v>—</x:v>
      </x:c>
      <x:c r="C3361" s="55" t="str">
        <x:v>—</x:v>
      </x:c>
      <x:c r="D3361" s="55" t="str">
        <x:v>—</x:v>
      </x:c>
      <x:c r="E3361" s="55" t="inlineStr">
        <x:is>
          <x:t>帝無限中原奇裝箱（網站未列地圖）；帝．天俠特仕裝箱（網站未列地圖）；虛空主宰寶箱（網站未列地圖）；真‧虛空寶箱（網站未列地圖）；完銷紀念寶箱（網站未列地圖）</x:t>
        </x:is>
      </x:c>
    </x:row>
    <x:row r="3362" ht="30" customHeight="1">
      <x:c r="A3362" s="55" t="str">
        <x:v>真宇傲劍聖靴</x:v>
      </x:c>
      <x:c r="B3362" s="55" t="str">
        <x:v>—</x:v>
      </x:c>
      <x:c r="C3362" s="55" t="str">
        <x:v>—</x:v>
      </x:c>
      <x:c r="D3362" s="55" t="str">
        <x:v>—</x:v>
      </x:c>
      <x:c r="E3362" s="55" t="inlineStr">
        <x:is>
          <x:t>終無限劍裝錦囊（網站未列地圖）；無旌戰狼（終末之塔第33層、終末之塔第34層）；王谷兵蜂（終末之塔第44層、終末之塔第45層）</x:t>
        </x:is>
      </x:c>
    </x:row>
    <x:row r="3363" ht="30" customHeight="1">
      <x:c r="A3363" s="55" t="str">
        <x:v>真宇傲武尊踏</x:v>
      </x:c>
      <x:c r="B3363" s="55" t="str">
        <x:v>—</x:v>
      </x:c>
      <x:c r="C3363" s="55" t="str">
        <x:v>—</x:v>
      </x:c>
      <x:c r="D3363" s="55" t="str">
        <x:v>—</x:v>
      </x:c>
      <x:c r="E3363" s="55" t="inlineStr">
        <x:is>
          <x:t>終無限勇裝錦囊（網站未列地圖）；萬金錘蜴（終末之塔第32層、終末之塔第33層）；金奇電鼠（終末之塔第42層、終末之塔第45層）</x:t>
        </x:is>
      </x:c>
    </x:row>
    <x:row r="3364" ht="15" customHeight="1">
      <x:c r="A3364" s="55" t="str">
        <x:v>真宇傲術幻履</x:v>
      </x:c>
      <x:c r="B3364" s="55" t="str">
        <x:v>—</x:v>
      </x:c>
      <x:c r="C3364" s="55" t="str">
        <x:v>—</x:v>
      </x:c>
      <x:c r="D3364" s="55" t="str">
        <x:v>—</x:v>
      </x:c>
      <x:c r="E3364" s="55" t="inlineStr">
        <x:is>
          <x:t>終無限術裝錦囊（網站未列地圖）；瞠目兇首（終末之塔第31層）；沙野夜叉（終末之塔第41層）</x:t>
        </x:is>
      </x:c>
    </x:row>
    <x:row r="3365" ht="30" customHeight="1">
      <x:c r="A3365" s="55" t="str">
        <x:v>真宇傲道輝步</x:v>
      </x:c>
      <x:c r="B3365" s="55" t="str">
        <x:v>—</x:v>
      </x:c>
      <x:c r="C3365" s="55" t="str">
        <x:v>—</x:v>
      </x:c>
      <x:c r="D3365" s="55" t="str">
        <x:v>—</x:v>
      </x:c>
      <x:c r="E3365" s="55" t="inlineStr">
        <x:is>
          <x:t>終無限道裝錦囊（網站未列地圖）；招靈巫祀（終末之塔第34層）；白金之猩（終末之塔第44層、終末之塔第43層）</x:t>
        </x:is>
      </x:c>
    </x:row>
    <x:row r="3366" ht="30" customHeight="1">
      <x:c r="A3366" s="55" t="str">
        <x:v>真宇傲禪光行</x:v>
      </x:c>
      <x:c r="B3366" s="55" t="str">
        <x:v>—</x:v>
      </x:c>
      <x:c r="C3366" s="55" t="str">
        <x:v>—</x:v>
      </x:c>
      <x:c r="D3366" s="55" t="str">
        <x:v>—</x:v>
      </x:c>
      <x:c r="E3366" s="55" t="inlineStr">
        <x:is>
          <x:t>終無限僧裝錦囊（網站未列地圖）；虛海獵叉（終末之塔第37層、終末之塔第35層）；窮兇極鱷（終末之塔第43層、終末之塔第46層）</x:t>
        </x:is>
      </x:c>
    </x:row>
    <x:row r="3367" ht="15" customHeight="1">
      <x:c r="A3367" s="55" t="str">
        <x:v>真宇傲窮奇靴</x:v>
      </x:c>
      <x:c r="B3367" s="55" t="str">
        <x:v>—</x:v>
      </x:c>
      <x:c r="C3367" s="55" t="str">
        <x:v>—</x:v>
      </x:c>
      <x:c r="D3367" s="55" t="str">
        <x:v>—</x:v>
      </x:c>
      <x:c r="E3367" s="55" t="inlineStr">
        <x:is>
          <x:t>終無限四兇霸裝箱（網站未列地圖）；終．天俠特仕裝箱（網站未列地圖）；真‧虛空主宰寶箱（網站未列地圖）</x:t>
        </x:is>
      </x:c>
    </x:row>
    <x:row r="3368" ht="15" customHeight="1">
      <x:c r="A3368" s="55" t="str">
        <x:v>真宇傲韋駝足</x:v>
      </x:c>
      <x:c r="B3368" s="55" t="str">
        <x:v>—</x:v>
      </x:c>
      <x:c r="C3368" s="55" t="str">
        <x:v>—</x:v>
      </x:c>
      <x:c r="D3368" s="55" t="str">
        <x:v>—</x:v>
      </x:c>
      <x:c r="E3368" s="55" t="inlineStr">
        <x:is>
          <x:t>終無限東瀛神裝箱（網站未列地圖）；終．天俠特仕裝箱（網站未列地圖）</x:t>
        </x:is>
      </x:c>
    </x:row>
    <x:row r="3369" ht="30" customHeight="1">
      <x:c r="A3369" s="55" t="str">
        <x:v>真宇傲流星靴</x:v>
      </x:c>
      <x:c r="B3369" s="55" t="str">
        <x:v>—</x:v>
      </x:c>
      <x:c r="C3369" s="55" t="str">
        <x:v>—</x:v>
      </x:c>
      <x:c r="D3369" s="55" t="str">
        <x:v>—</x:v>
      </x:c>
      <x:c r="E3369" s="55" t="inlineStr">
        <x:is>
          <x:t>終無限中原奇裝箱（網站未列地圖）；終．天俠特仕裝箱（網站未列地圖）；真‧虛空主宰寶箱（網站未列地圖）；端午粽合寶箱（網站未列地圖）</x:t>
        </x:is>
      </x:c>
    </x:row>
    <x:row r="3370" ht="15" customHeight="1">
      <x:c r="A3370" s="55" t="str">
        <x:v>星鋒靴★</x:v>
      </x:c>
      <x:c r="B3370" s="55" t="str">
        <x:v>—</x:v>
      </x:c>
      <x:c r="C3370" s="55" t="str">
        <x:v>—</x:v>
      </x:c>
      <x:c r="D3370" s="55" t="str">
        <x:v>—</x:v>
      </x:c>
      <x:c r="E3370" s="55" t="inlineStr">
        <x:is>
          <x:t>仙星劍裝錦囊（網站未列地圖）；盧索警司（王都盧索）</x:t>
        </x:is>
      </x:c>
    </x:row>
    <x:row r="3371" ht="15" customHeight="1">
      <x:c r="A3371" s="55" t="str">
        <x:v>鬥星脛★</x:v>
      </x:c>
      <x:c r="B3371" s="55" t="str">
        <x:v>—</x:v>
      </x:c>
      <x:c r="C3371" s="55" t="str">
        <x:v>—</x:v>
      </x:c>
      <x:c r="D3371" s="55" t="str">
        <x:v>—</x:v>
      </x:c>
      <x:c r="E3371" s="55" t="inlineStr">
        <x:is>
          <x:t>仙星勇裝錦囊（網站未列地圖）；衛城鬃獅（王都盧索）</x:t>
        </x:is>
      </x:c>
    </x:row>
    <x:row r="3372" ht="15" customHeight="1">
      <x:c r="A3372" s="55" t="str">
        <x:v>遊星足★</x:v>
      </x:c>
      <x:c r="B3372" s="55" t="str">
        <x:v>—</x:v>
      </x:c>
      <x:c r="C3372" s="55" t="str">
        <x:v>—</x:v>
      </x:c>
      <x:c r="D3372" s="55" t="str">
        <x:v>—</x:v>
      </x:c>
      <x:c r="E3372" s="55" t="inlineStr">
        <x:is>
          <x:t>仙星術裝錦囊（網站未列地圖）；盧索野民（王都盧索）；尼絡暴獸（終末之塔第53層、終末之塔第54層）</x:t>
        </x:is>
      </x:c>
    </x:row>
    <x:row r="3373" ht="15" customHeight="1">
      <x:c r="A3373" s="55" t="str">
        <x:v>星蹤履★</x:v>
      </x:c>
      <x:c r="B3373" s="55" t="str">
        <x:v>—</x:v>
      </x:c>
      <x:c r="C3373" s="55" t="str">
        <x:v>—</x:v>
      </x:c>
      <x:c r="D3373" s="55" t="str">
        <x:v>—</x:v>
      </x:c>
      <x:c r="E3373" s="55" t="inlineStr">
        <x:is>
          <x:t>仙星道裝錦囊（網站未列地圖）；雪槍狂豹（太陽神大道）</x:t>
        </x:is>
      </x:c>
    </x:row>
    <x:row r="3374" ht="15" customHeight="1">
      <x:c r="A3374" s="55" t="str">
        <x:v>釋星行★</x:v>
      </x:c>
      <x:c r="B3374" s="55" t="str">
        <x:v>—</x:v>
      </x:c>
      <x:c r="C3374" s="55" t="str">
        <x:v>—</x:v>
      </x:c>
      <x:c r="D3374" s="55" t="str">
        <x:v>—</x:v>
      </x:c>
      <x:c r="E3374" s="55" t="inlineStr">
        <x:is>
          <x:t>仙星僧裝錦囊（網站未列地圖）；穿雲鐵鷹（太陽神大道）</x:t>
        </x:is>
      </x:c>
    </x:row>
    <x:row r="3375" ht="30" customHeight="1">
      <x:c r="A3375" s="55" t="str">
        <x:v>星兇靴★</x:v>
      </x:c>
      <x:c r="B3375" s="55" t="str">
        <x:v>—</x:v>
      </x:c>
      <x:c r="C3375" s="55" t="str">
        <x:v>—</x:v>
      </x:c>
      <x:c r="D3375" s="55" t="str">
        <x:v>—</x:v>
      </x:c>
      <x:c r="E3375" s="55" t="inlineStr">
        <x:is>
          <x:t>仙星四兇霸裝箱（網站未列地圖）；仙星特仕裝箱（網站未列地圖）；午陽‧多肉精（網站未列地圖）；八顛虛兇（終末之塔第79層）</x:t>
        </x:is>
      </x:c>
    </x:row>
    <x:row r="3376" ht="15" customHeight="1">
      <x:c r="A3376" s="55" t="str">
        <x:v>煌韋足★</x:v>
      </x:c>
      <x:c r="B3376" s="55" t="str">
        <x:v>—</x:v>
      </x:c>
      <x:c r="C3376" s="55" t="str">
        <x:v>—</x:v>
      </x:c>
      <x:c r="D3376" s="55" t="str">
        <x:v>—</x:v>
      </x:c>
      <x:c r="E3376" s="55" t="inlineStr">
        <x:is>
          <x:t>仙星東瀛神裝箱（網站未列地圖）；仙星特仕裝箱（網站未列地圖）</x:t>
        </x:is>
      </x:c>
    </x:row>
    <x:row r="3377" ht="15" customHeight="1">
      <x:c r="A3377" s="55" t="str">
        <x:v>奇星靴★</x:v>
      </x:c>
      <x:c r="B3377" s="55" t="str">
        <x:v>—</x:v>
      </x:c>
      <x:c r="C3377" s="55" t="str">
        <x:v>—</x:v>
      </x:c>
      <x:c r="D3377" s="55" t="str">
        <x:v>—</x:v>
      </x:c>
      <x:c r="E3377" s="55" t="inlineStr">
        <x:is>
          <x:t>仙星中原奇裝箱（網站未列地圖）；仙星特仕裝箱（網站未列地圖）</x:t>
        </x:is>
      </x:c>
    </x:row>
    <x:row r="3378" ht="15" customHeight="1">
      <x:c r="A3378" s="55" t="str">
        <x:v>星鋒靴★★</x:v>
      </x:c>
      <x:c r="B3378" s="55" t="str">
        <x:v>—</x:v>
      </x:c>
      <x:c r="C3378" s="55" t="str">
        <x:v>—</x:v>
      </x:c>
      <x:c r="D3378" s="55" t="str">
        <x:v>—</x:v>
      </x:c>
      <x:c r="E3378" s="55" t="inlineStr">
        <x:is>
          <x:t>真‧仙星劍裝錦囊（網站未列地圖）；衛陵煞豹（赫勒神殿遺址）</x:t>
        </x:is>
      </x:c>
    </x:row>
    <x:row r="3379" ht="15" customHeight="1">
      <x:c r="A3379" s="55" t="str">
        <x:v>鬥星脛★★</x:v>
      </x:c>
      <x:c r="B3379" s="55" t="str">
        <x:v>—</x:v>
      </x:c>
      <x:c r="C3379" s="55" t="str">
        <x:v>—</x:v>
      </x:c>
      <x:c r="D3379" s="55" t="str">
        <x:v>—</x:v>
      </x:c>
      <x:c r="E3379" s="55" t="inlineStr">
        <x:is>
          <x:t>真‧仙星勇裝錦囊（網站未列地圖）；黑喪使徒（赫勒神殿遺址）</x:t>
        </x:is>
      </x:c>
    </x:row>
    <x:row r="3380" ht="15" customHeight="1">
      <x:c r="A3380" s="55" t="str">
        <x:v>遊星足★★</x:v>
      </x:c>
      <x:c r="B3380" s="55" t="str">
        <x:v>—</x:v>
      </x:c>
      <x:c r="C3380" s="55" t="str">
        <x:v>—</x:v>
      </x:c>
      <x:c r="D3380" s="55" t="str">
        <x:v>—</x:v>
      </x:c>
      <x:c r="E3380" s="55" t="inlineStr">
        <x:is>
          <x:t>真‧仙星術裝錦囊（網站未列地圖）；禍天翼蛇（赫勒神殿遺址）</x:t>
        </x:is>
      </x:c>
    </x:row>
    <x:row r="3381" ht="15" customHeight="1">
      <x:c r="A3381" s="55" t="str">
        <x:v>星蹤履★★</x:v>
      </x:c>
      <x:c r="B3381" s="55" t="str">
        <x:v>—</x:v>
      </x:c>
      <x:c r="C3381" s="55" t="str">
        <x:v>—</x:v>
      </x:c>
      <x:c r="D3381" s="55" t="str">
        <x:v>—</x:v>
      </x:c>
      <x:c r="E3381" s="55" t="inlineStr">
        <x:is>
          <x:t>真‧仙星道裝錦囊（網站未列地圖）；盜墓侏賊（赫勒神殿遺址）</x:t>
        </x:is>
      </x:c>
    </x:row>
    <x:row r="3382" ht="15" customHeight="1">
      <x:c r="A3382" s="55" t="str">
        <x:v>釋星行★★</x:v>
      </x:c>
      <x:c r="B3382" s="55" t="str">
        <x:v>—</x:v>
      </x:c>
      <x:c r="C3382" s="55" t="str">
        <x:v>—</x:v>
      </x:c>
      <x:c r="D3382" s="55" t="str">
        <x:v>—</x:v>
      </x:c>
      <x:c r="E3382" s="55" t="inlineStr">
        <x:is>
          <x:t>真‧仙星僧裝錦囊（網站未列地圖）；殉王木乃伊（赫勒神殿遺址）</x:t>
        </x:is>
      </x:c>
    </x:row>
    <x:row r="3383" ht="45" customHeight="1">
      <x:c r="A3383" s="55" t="str">
        <x:v>星兇靴★★</x:v>
      </x:c>
      <x:c r="B3383" s="55" t="str">
        <x:v>—</x:v>
      </x:c>
      <x:c r="C3383" s="55" t="str">
        <x:v>—</x:v>
      </x:c>
      <x:c r="D3383" s="55" t="str">
        <x:v>—</x:v>
      </x:c>
      <x:c r="E3383" s="55" t="inlineStr">
        <x:is>
          <x:t>真‧仙星四兇霸箱（網站未列地圖）；真‧仙星特仕裝箱（網站未列地圖）；咒命夕鶴（終末之塔第113層、終末之塔第115層、終末之塔第116層）；沉池鑿蝦（終末之塔第101層、終末之塔第106層、終末之塔第107層）；四腳魔像（終末之塔第97層、終末之塔第96層）</x:t>
        </x:is>
      </x:c>
    </x:row>
    <x:row r="3384" ht="30" customHeight="1">
      <x:c r="A3384" s="55" t="str">
        <x:v>煌韋足★★</x:v>
      </x:c>
      <x:c r="B3384" s="55" t="str">
        <x:v>—</x:v>
      </x:c>
      <x:c r="C3384" s="55" t="str">
        <x:v>—</x:v>
      </x:c>
      <x:c r="D3384" s="55" t="str">
        <x:v>—</x:v>
      </x:c>
      <x:c r="E3384" s="55" t="inlineStr">
        <x:is>
          <x:t>真‧仙星東瀛神箱（網站未列地圖）；真‧仙星特仕裝箱（網站未列地圖）；兆嗔惡靈（終末之塔第108層、終末之塔第109層、終末之塔第104層）</x:t>
        </x:is>
      </x:c>
    </x:row>
    <x:row r="3385" ht="45" customHeight="1">
      <x:c r="A3385" s="55" t="str">
        <x:v>奇星靴★★</x:v>
      </x:c>
      <x:c r="B3385" s="55" t="str">
        <x:v>—</x:v>
      </x:c>
      <x:c r="C3385" s="55" t="str">
        <x:v>—</x:v>
      </x:c>
      <x:c r="D3385" s="55" t="str">
        <x:v>—</x:v>
      </x:c>
      <x:c r="E3385" s="55" t="inlineStr">
        <x:is>
          <x:t>真‧仙星中原奇箱（網站未列地圖）；真‧仙星特仕裝箱（網站未列地圖）；夏辰頂天錦囊（網站未列地圖）；終塔之寶&lt;IV&gt;（終末之塔第40層、終末之塔第43層）；終塔寶物箱IV（網站未列地圖）；歐印白狐（終末之塔第117層、終末之塔第112層、終末之塔第118層）；怨咒靈車（終末之塔第95層、終末之塔第96層）</x:t>
        </x:is>
      </x:c>
    </x:row>
    <x:row r="3386" ht="15" customHeight="1">
      <x:c r="A3386" s="55" t="str">
        <x:v>星鋒靴★★★</x:v>
      </x:c>
      <x:c r="B3386" s="55" t="str">
        <x:v>—</x:v>
      </x:c>
      <x:c r="C3386" s="55" t="str">
        <x:v>—</x:v>
      </x:c>
      <x:c r="D3386" s="55" t="str">
        <x:v>—</x:v>
      </x:c>
      <x:c r="E3386" s="55" t="inlineStr">
        <x:is>
          <x:t>超‧仙星劍裝錦囊（網站未列地圖）</x:t>
        </x:is>
      </x:c>
    </x:row>
    <x:row r="3387" ht="15" customHeight="1">
      <x:c r="A3387" s="55" t="str">
        <x:v>鬥星脛★★★</x:v>
      </x:c>
      <x:c r="B3387" s="55" t="str">
        <x:v>—</x:v>
      </x:c>
      <x:c r="C3387" s="55" t="str">
        <x:v>—</x:v>
      </x:c>
      <x:c r="D3387" s="55" t="str">
        <x:v>—</x:v>
      </x:c>
      <x:c r="E3387" s="55" t="inlineStr">
        <x:is>
          <x:t>超‧仙星勇裝錦囊（網站未列地圖）</x:t>
        </x:is>
      </x:c>
    </x:row>
    <x:row r="3388" ht="15" customHeight="1">
      <x:c r="A3388" s="55" t="str">
        <x:v>遊星足★★★</x:v>
      </x:c>
      <x:c r="B3388" s="55" t="str">
        <x:v>—</x:v>
      </x:c>
      <x:c r="C3388" s="55" t="str">
        <x:v>—</x:v>
      </x:c>
      <x:c r="D3388" s="55" t="str">
        <x:v>—</x:v>
      </x:c>
      <x:c r="E3388" s="55" t="inlineStr">
        <x:is>
          <x:t>超‧仙星術裝錦囊（網站未列地圖）；凱夫山納（神王金字塔）</x:t>
        </x:is>
      </x:c>
    </x:row>
    <x:row r="3389" ht="15" customHeight="1">
      <x:c r="A3389" s="55" t="str">
        <x:v>星蹤履★★★</x:v>
      </x:c>
      <x:c r="B3389" s="55" t="str">
        <x:v>—</x:v>
      </x:c>
      <x:c r="C3389" s="55" t="str">
        <x:v>—</x:v>
      </x:c>
      <x:c r="D3389" s="55" t="str">
        <x:v>—</x:v>
      </x:c>
      <x:c r="E3389" s="55" t="inlineStr">
        <x:is>
          <x:t>超‧仙星道裝錦囊（網站未列地圖）</x:t>
        </x:is>
      </x:c>
    </x:row>
    <x:row r="3390" ht="15" customHeight="1">
      <x:c r="A3390" s="55" t="str">
        <x:v>釋星行★★★</x:v>
      </x:c>
      <x:c r="B3390" s="55" t="str">
        <x:v>—</x:v>
      </x:c>
      <x:c r="C3390" s="55" t="str">
        <x:v>—</x:v>
      </x:c>
      <x:c r="D3390" s="55" t="str">
        <x:v>—</x:v>
      </x:c>
      <x:c r="E3390" s="55" t="inlineStr">
        <x:is>
          <x:t>超‧仙星僧裝錦囊（網站未列地圖）</x:t>
        </x:is>
      </x:c>
    </x:row>
    <x:row r="3391" ht="30" customHeight="1">
      <x:c r="A3391" s="55" t="str">
        <x:v>星兇靴★★★</x:v>
      </x:c>
      <x:c r="B3391" s="55" t="str">
        <x:v>—</x:v>
      </x:c>
      <x:c r="C3391" s="55" t="str">
        <x:v>—</x:v>
      </x:c>
      <x:c r="D3391" s="55" t="str">
        <x:v>—</x:v>
      </x:c>
      <x:c r="E3391" s="55" t="inlineStr">
        <x:is>
          <x:t>超‧仙星四兇霸箱（網站未列地圖）；超‧仙星特仕裝箱（網站未列地圖）；天罪劍俠錦囊（網站未列地圖）；九廢金剛（終末之塔第129層、終末之塔第126層）；皇城武衛（皇城）</x:t>
        </x:is>
      </x:c>
    </x:row>
    <x:row r="3392" ht="30" customHeight="1">
      <x:c r="A3392" s="55" t="str">
        <x:v>煌韋足★★★</x:v>
      </x:c>
      <x:c r="B3392" s="55" t="str">
        <x:v>—</x:v>
      </x:c>
      <x:c r="C3392" s="55" t="str">
        <x:v>—</x:v>
      </x:c>
      <x:c r="D3392" s="55" t="str">
        <x:v>—</x:v>
      </x:c>
      <x:c r="E3392" s="55" t="inlineStr">
        <x:is>
          <x:t>超‧仙星東瀛神箱（網站未列地圖）；超‧仙星特仕裝箱（網站未列地圖）；劫掠布盜（終末之塔第121層、終末之塔第125層、終末之塔第128層）；東校場士兵（東校場）</x:t>
        </x:is>
      </x:c>
    </x:row>
    <x:row r="3393" ht="30" customHeight="1">
      <x:c r="A3393" s="55" t="str">
        <x:v>奇星靴★★★</x:v>
      </x:c>
      <x:c r="B3393" s="55" t="str">
        <x:v>—</x:v>
      </x:c>
      <x:c r="C3393" s="55" t="str">
        <x:v>—</x:v>
      </x:c>
      <x:c r="D3393" s="55" t="str">
        <x:v>—</x:v>
      </x:c>
      <x:c r="E3393" s="55" t="inlineStr">
        <x:is>
          <x:t>超‧仙星中原奇箱（網站未列地圖）；超‧仙星特仕裝箱（網站未列地圖）；賽特（神王金字塔）；迷航探偵機（終末之塔第132層）；裂地幼鮫（終末之塔第122層）</x:t>
        </x:is>
      </x:c>
    </x:row>
    <x:row r="3394" ht="15" customHeight="1">
      <x:c r="A3394" s="55" t="str">
        <x:v>烈煌靴☆</x:v>
      </x:c>
      <x:c r="B3394" s="55" t="str">
        <x:v>—</x:v>
      </x:c>
      <x:c r="C3394" s="55" t="str">
        <x:v>—</x:v>
      </x:c>
      <x:c r="D3394" s="55" t="str">
        <x:v>—</x:v>
      </x:c>
      <x:c r="E3394" s="55" t="inlineStr">
        <x:is>
          <x:t>煌星劍裝錦囊（網站未列地圖）</x:t>
        </x:is>
      </x:c>
    </x:row>
    <x:row r="3395" ht="15" customHeight="1">
      <x:c r="A3395" s="55" t="str">
        <x:v>戰煌脛☆</x:v>
      </x:c>
      <x:c r="B3395" s="55" t="str">
        <x:v>—</x:v>
      </x:c>
      <x:c r="C3395" s="55" t="str">
        <x:v>—</x:v>
      </x:c>
      <x:c r="D3395" s="55" t="str">
        <x:v>—</x:v>
      </x:c>
      <x:c r="E3395" s="55" t="inlineStr">
        <x:is>
          <x:t>煌星勇裝錦囊（網站未列地圖）</x:t>
        </x:is>
      </x:c>
    </x:row>
    <x:row r="3396" ht="15" customHeight="1">
      <x:c r="A3396" s="55" t="str">
        <x:v>燦煌足☆</x:v>
      </x:c>
      <x:c r="B3396" s="55" t="str">
        <x:v>—</x:v>
      </x:c>
      <x:c r="C3396" s="55" t="str">
        <x:v>—</x:v>
      </x:c>
      <x:c r="D3396" s="55" t="str">
        <x:v>—</x:v>
      </x:c>
      <x:c r="E3396" s="55" t="inlineStr">
        <x:is>
          <x:t>煌星術裝錦囊（網站未列地圖）；&lt;凱夫山納&gt;（修羅級神王金字塔）</x:t>
        </x:is>
      </x:c>
    </x:row>
    <x:row r="3397" ht="15" customHeight="1">
      <x:c r="A3397" s="55" t="str">
        <x:v>道煌履☆</x:v>
      </x:c>
      <x:c r="B3397" s="55" t="str">
        <x:v>—</x:v>
      </x:c>
      <x:c r="C3397" s="55" t="str">
        <x:v>—</x:v>
      </x:c>
      <x:c r="D3397" s="55" t="str">
        <x:v>—</x:v>
      </x:c>
      <x:c r="E3397" s="55" t="inlineStr">
        <x:is>
          <x:t>煌星道裝錦囊（網站未列地圖）</x:t>
        </x:is>
      </x:c>
    </x:row>
    <x:row r="3398" ht="15" customHeight="1">
      <x:c r="A3398" s="55" t="str">
        <x:v>佛煌行☆</x:v>
      </x:c>
      <x:c r="B3398" s="55" t="str">
        <x:v>—</x:v>
      </x:c>
      <x:c r="C3398" s="55" t="str">
        <x:v>—</x:v>
      </x:c>
      <x:c r="D3398" s="55" t="str">
        <x:v>—</x:v>
      </x:c>
      <x:c r="E3398" s="55" t="inlineStr">
        <x:is>
          <x:t>煌星僧裝錦囊（網站未列地圖）</x:t>
        </x:is>
      </x:c>
    </x:row>
    <x:row r="3399" ht="30" customHeight="1">
      <x:c r="A3399" s="55" t="str">
        <x:v>鬼兇靴☆</x:v>
      </x:c>
      <x:c r="B3399" s="55" t="str">
        <x:v>—</x:v>
      </x:c>
      <x:c r="C3399" s="55" t="str">
        <x:v>—</x:v>
      </x:c>
      <x:c r="D3399" s="55" t="str">
        <x:v>—</x:v>
      </x:c>
      <x:c r="E3399" s="55" t="inlineStr">
        <x:is>
          <x:t>煌星四兇霸裝箱（網站未列地圖）；煌星特仕裝箱（網站未列地圖）；罪赦劍俠錦囊（網站未列地圖）；月光鋼豹（終末之塔第147層、終末之塔第142層、終末之塔第141層）</x:t>
        </x:is>
      </x:c>
    </x:row>
    <x:row r="3400" ht="15" customHeight="1">
      <x:c r="A3400" s="55" t="str">
        <x:v>柳韋足☆</x:v>
      </x:c>
      <x:c r="B3400" s="55" t="str">
        <x:v>—</x:v>
      </x:c>
      <x:c r="C3400" s="55" t="str">
        <x:v>—</x:v>
      </x:c>
      <x:c r="D3400" s="55" t="str">
        <x:v>—</x:v>
      </x:c>
      <x:c r="E3400" s="55" t="inlineStr">
        <x:is>
          <x:t>煌星東瀛神裝箱（網站未列地圖）；煌星特仕裝箱（網站未列地圖）</x:t>
        </x:is>
      </x:c>
    </x:row>
    <x:row r="3401" ht="30" customHeight="1">
      <x:c r="A3401" s="55" t="str">
        <x:v>碧星靴☆</x:v>
      </x:c>
      <x:c r="B3401" s="55" t="str">
        <x:v>—</x:v>
      </x:c>
      <x:c r="C3401" s="55" t="str">
        <x:v>—</x:v>
      </x:c>
      <x:c r="D3401" s="55" t="str">
        <x:v>—</x:v>
      </x:c>
      <x:c r="E3401" s="55" t="inlineStr">
        <x:is>
          <x:t>煌星中原奇裝箱（網站未列地圖）；煌星特仕裝箱（網站未列地圖）；冥府艷后克麗邁絲（神王金字塔）；艾濟神王寶箱（網站未列地圖）；&lt;賽特&gt;（修羅級神王金字塔）；武冠驍衛（皇城）</x:t>
        </x:is>
      </x:c>
    </x:row>
    <x:row r="3402" ht="15" customHeight="1">
      <x:c r="A3402" s="55" t="str">
        <x:v>烈煌靴☆☆</x:v>
      </x:c>
      <x:c r="B3402" s="55" t="str">
        <x:v>—</x:v>
      </x:c>
      <x:c r="C3402" s="55" t="str">
        <x:v>—</x:v>
      </x:c>
      <x:c r="D3402" s="55" t="str">
        <x:v>—</x:v>
      </x:c>
      <x:c r="E3402" s="55" t="inlineStr">
        <x:is>
          <x:t>真‧煌星劍裝錦囊（網站未列地圖）</x:t>
        </x:is>
      </x:c>
    </x:row>
    <x:row r="3403" ht="15" customHeight="1">
      <x:c r="A3403" s="55" t="str">
        <x:v>戰煌脛☆☆</x:v>
      </x:c>
      <x:c r="B3403" s="55" t="str">
        <x:v>—</x:v>
      </x:c>
      <x:c r="C3403" s="55" t="str">
        <x:v>—</x:v>
      </x:c>
      <x:c r="D3403" s="55" t="str">
        <x:v>—</x:v>
      </x:c>
      <x:c r="E3403" s="55" t="inlineStr">
        <x:is>
          <x:t>真‧煌星勇裝錦囊（網站未列地圖）</x:t>
        </x:is>
      </x:c>
    </x:row>
    <x:row r="3404" ht="15" customHeight="1">
      <x:c r="A3404" s="55" t="str">
        <x:v>燦煌足☆☆</x:v>
      </x:c>
      <x:c r="B3404" s="55" t="str">
        <x:v>—</x:v>
      </x:c>
      <x:c r="C3404" s="55" t="str">
        <x:v>—</x:v>
      </x:c>
      <x:c r="D3404" s="55" t="str">
        <x:v>—</x:v>
      </x:c>
      <x:c r="E3404" s="55" t="inlineStr">
        <x:is>
          <x:t>真‧煌星術裝錦囊（網站未列地圖）</x:t>
        </x:is>
      </x:c>
    </x:row>
    <x:row r="3405" ht="15" customHeight="1">
      <x:c r="A3405" s="55" t="str">
        <x:v>道煌履☆☆</x:v>
      </x:c>
      <x:c r="B3405" s="55" t="str">
        <x:v>—</x:v>
      </x:c>
      <x:c r="C3405" s="55" t="str">
        <x:v>—</x:v>
      </x:c>
      <x:c r="D3405" s="55" t="str">
        <x:v>—</x:v>
      </x:c>
      <x:c r="E3405" s="55" t="inlineStr">
        <x:is>
          <x:t>真‧煌星道裝錦囊（網站未列地圖）</x:t>
        </x:is>
      </x:c>
    </x:row>
    <x:row r="3406" ht="15" customHeight="1">
      <x:c r="A3406" s="55" t="str">
        <x:v>佛煌行☆☆</x:v>
      </x:c>
      <x:c r="B3406" s="55" t="str">
        <x:v>—</x:v>
      </x:c>
      <x:c r="C3406" s="55" t="str">
        <x:v>—</x:v>
      </x:c>
      <x:c r="D3406" s="55" t="str">
        <x:v>—</x:v>
      </x:c>
      <x:c r="E3406" s="55" t="inlineStr">
        <x:is>
          <x:t>真‧煌星僧裝錦囊（網站未列地圖）</x:t>
        </x:is>
      </x:c>
    </x:row>
    <x:row r="3407" ht="30" customHeight="1">
      <x:c r="A3407" s="55" t="str">
        <x:v>鬼兇靴☆☆</x:v>
      </x:c>
      <x:c r="B3407" s="55" t="str">
        <x:v>—</x:v>
      </x:c>
      <x:c r="C3407" s="55" t="str">
        <x:v>—</x:v>
      </x:c>
      <x:c r="D3407" s="55" t="str">
        <x:v>—</x:v>
      </x:c>
      <x:c r="E3407" s="55" t="inlineStr">
        <x:is>
          <x:t>真‧煌星四兇霸箱（網站未列地圖）；真‧煌星特仕裝箱（網站未列地圖）；真‧太陽神典錦囊（網站未列地圖）；終罪劍俠錦囊（網站未列地圖）</x:t>
        </x:is>
      </x:c>
    </x:row>
    <x:row r="3408" ht="15" customHeight="1">
      <x:c r="A3408" s="55" t="str">
        <x:v>柳韋足☆☆</x:v>
      </x:c>
      <x:c r="B3408" s="55" t="str">
        <x:v>—</x:v>
      </x:c>
      <x:c r="C3408" s="55" t="str">
        <x:v>—</x:v>
      </x:c>
      <x:c r="D3408" s="55" t="str">
        <x:v>—</x:v>
      </x:c>
      <x:c r="E3408" s="55" t="inlineStr">
        <x:is>
          <x:t>真‧煌星東瀛神箱（網站未列地圖）；真‧煌星特仕裝箱（網站未列地圖）</x:t>
        </x:is>
      </x:c>
    </x:row>
    <x:row r="3409" ht="30" customHeight="1">
      <x:c r="A3409" s="55" t="str">
        <x:v>碧星靴☆☆</x:v>
      </x:c>
      <x:c r="B3409" s="55" t="str">
        <x:v>—</x:v>
      </x:c>
      <x:c r="C3409" s="55" t="str">
        <x:v>—</x:v>
      </x:c>
      <x:c r="D3409" s="55" t="str">
        <x:v>—</x:v>
      </x:c>
      <x:c r="E3409" s="55" t="inlineStr">
        <x:is>
          <x:t>真‧煌星中原奇箱（網站未列地圖）；真‧煌星特仕裝箱（網站未列地圖）；法皇罪裁錦囊（網站未列地圖）；冥府艷后克麗邁絲（神王金字塔）；艾濟神王寶箱（網站未列地圖）</x:t>
        </x:is>
      </x:c>
    </x:row>
    <x:row r="3410" ht="15" customHeight="1">
      <x:c r="A3410" s="55" t="str">
        <x:v>烈煌靴☆☆☆</x:v>
      </x:c>
      <x:c r="B3410" s="55" t="str">
        <x:v>—</x:v>
      </x:c>
      <x:c r="C3410" s="55" t="str">
        <x:v>—</x:v>
      </x:c>
      <x:c r="D3410" s="55" t="str">
        <x:v>—</x:v>
      </x:c>
      <x:c r="E3410" s="55" t="inlineStr">
        <x:is>
          <x:t>超‧煌星劍裝錦囊（網站未列地圖）</x:t>
        </x:is>
      </x:c>
    </x:row>
    <x:row r="3411" ht="15" customHeight="1">
      <x:c r="A3411" s="55" t="str">
        <x:v>戰煌脛☆☆☆</x:v>
      </x:c>
      <x:c r="B3411" s="55" t="str">
        <x:v>—</x:v>
      </x:c>
      <x:c r="C3411" s="55" t="str">
        <x:v>—</x:v>
      </x:c>
      <x:c r="D3411" s="55" t="str">
        <x:v>—</x:v>
      </x:c>
      <x:c r="E3411" s="55" t="inlineStr">
        <x:is>
          <x:t>超‧煌星勇裝錦囊（網站未列地圖）</x:t>
        </x:is>
      </x:c>
    </x:row>
    <x:row r="3412" ht="15" customHeight="1">
      <x:c r="A3412" s="55" t="str">
        <x:v>燦煌足☆☆☆</x:v>
      </x:c>
      <x:c r="B3412" s="55" t="str">
        <x:v>—</x:v>
      </x:c>
      <x:c r="C3412" s="55" t="str">
        <x:v>—</x:v>
      </x:c>
      <x:c r="D3412" s="55" t="str">
        <x:v>—</x:v>
      </x:c>
      <x:c r="E3412" s="55" t="inlineStr">
        <x:is>
          <x:t>超‧煌星術裝錦囊（網站未列地圖）</x:t>
        </x:is>
      </x:c>
    </x:row>
    <x:row r="3413" ht="15" customHeight="1">
      <x:c r="A3413" s="55" t="str">
        <x:v>道煌履☆☆☆</x:v>
      </x:c>
      <x:c r="B3413" s="55" t="str">
        <x:v>—</x:v>
      </x:c>
      <x:c r="C3413" s="55" t="str">
        <x:v>—</x:v>
      </x:c>
      <x:c r="D3413" s="55" t="str">
        <x:v>—</x:v>
      </x:c>
      <x:c r="E3413" s="55" t="inlineStr">
        <x:is>
          <x:t>超‧煌星道裝錦囊（網站未列地圖）</x:t>
        </x:is>
      </x:c>
    </x:row>
    <x:row r="3414" ht="15" customHeight="1">
      <x:c r="A3414" s="55" t="str">
        <x:v>佛煌行☆☆☆</x:v>
      </x:c>
      <x:c r="B3414" s="55" t="str">
        <x:v>—</x:v>
      </x:c>
      <x:c r="C3414" s="55" t="str">
        <x:v>—</x:v>
      </x:c>
      <x:c r="D3414" s="55" t="str">
        <x:v>—</x:v>
      </x:c>
      <x:c r="E3414" s="55" t="inlineStr">
        <x:is>
          <x:t>超‧煌星僧裝錦囊（網站未列地圖）</x:t>
        </x:is>
      </x:c>
    </x:row>
    <x:row r="3415" ht="15" customHeight="1">
      <x:c r="A3415" s="55" t="str">
        <x:v>鬼兇靴☆☆☆</x:v>
      </x:c>
      <x:c r="B3415" s="55" t="str">
        <x:v>—</x:v>
      </x:c>
      <x:c r="C3415" s="55" t="str">
        <x:v>—</x:v>
      </x:c>
      <x:c r="D3415" s="55" t="str">
        <x:v>—</x:v>
      </x:c>
      <x:c r="E3415" s="55" t="inlineStr">
        <x:is>
          <x:t>超‧煌星四兇霸箱（網站未列地圖）；超‧煌星特仕裝箱（網站未列地圖）</x:t>
        </x:is>
      </x:c>
    </x:row>
    <x:row r="3416" ht="30" customHeight="1">
      <x:c r="A3416" s="55" t="str">
        <x:v>柳韋足☆☆☆</x:v>
      </x:c>
      <x:c r="B3416" s="55" t="str">
        <x:v>—</x:v>
      </x:c>
      <x:c r="C3416" s="55" t="str">
        <x:v>—</x:v>
      </x:c>
      <x:c r="D3416" s="55" t="str">
        <x:v>—</x:v>
      </x:c>
      <x:c r="E3416" s="55" t="inlineStr">
        <x:is>
          <x:t>超‧煌星東瀛神箱（網站未列地圖）；超‧煌星特仕裝箱（網站未列地圖）；虛空誅異使（黃龍秘殿）；&lt;虛空誅異使&gt;（修羅級黃龍秘殿）</x:t>
        </x:is>
      </x:c>
    </x:row>
    <x:row r="3417" ht="30" customHeight="1">
      <x:c r="A3417" s="55" t="str">
        <x:v>碧星靴☆☆☆</x:v>
      </x:c>
      <x:c r="B3417" s="55" t="str">
        <x:v>—</x:v>
      </x:c>
      <x:c r="C3417" s="55" t="str">
        <x:v>—</x:v>
      </x:c>
      <x:c r="D3417" s="55" t="str">
        <x:v>—</x:v>
      </x:c>
      <x:c r="E3417" s="55" t="inlineStr">
        <x:is>
          <x:t>超‧煌星中原奇箱（網站未列地圖）；超‧煌星特仕裝箱（網站未列地圖）；真‧艾濟神王寶箱（網站未列地圖）；鑽身神司印曷闐（修羅級神王金字塔）</x:t>
        </x:is>
      </x:c>
    </x:row>
    <x:row r="3418" ht="15" customHeight="1">
      <x:c r="A3418" s="55" t="str">
        <x:v>劍帝履☆</x:v>
      </x:c>
      <x:c r="B3418" s="55" t="str">
        <x:v>—</x:v>
      </x:c>
      <x:c r="C3418" s="55" t="str">
        <x:v>—</x:v>
      </x:c>
      <x:c r="D3418" s="55" t="str">
        <x:v>—</x:v>
      </x:c>
      <x:c r="E3418" s="55" t="inlineStr">
        <x:is>
          <x:t>帝星劍裝錦囊（網站未列地圖）；南境蒔花（東宮碧庭）</x:t>
        </x:is>
      </x:c>
    </x:row>
    <x:row r="3419" ht="15" customHeight="1">
      <x:c r="A3419" s="55" t="str">
        <x:v>武帝踏☆</x:v>
      </x:c>
      <x:c r="B3419" s="55" t="str">
        <x:v>—</x:v>
      </x:c>
      <x:c r="C3419" s="55" t="str">
        <x:v>—</x:v>
      </x:c>
      <x:c r="D3419" s="55" t="str">
        <x:v>—</x:v>
      </x:c>
      <x:c r="E3419" s="55" t="inlineStr">
        <x:is>
          <x:t>帝星勇裝錦囊（網站未列地圖）；磐石精（東宮碧庭）</x:t>
        </x:is>
      </x:c>
    </x:row>
    <x:row r="3420" ht="15" customHeight="1">
      <x:c r="A3420" s="55" t="str">
        <x:v>幻帝步☆</x:v>
      </x:c>
      <x:c r="B3420" s="55" t="str">
        <x:v>—</x:v>
      </x:c>
      <x:c r="C3420" s="55" t="str">
        <x:v>—</x:v>
      </x:c>
      <x:c r="D3420" s="55" t="str">
        <x:v>—</x:v>
      </x:c>
      <x:c r="E3420" s="55" t="inlineStr">
        <x:is>
          <x:t>帝星術裝錦囊（網站未列地圖）；錦卉旋蜂（東宮碧庭）</x:t>
        </x:is>
      </x:c>
    </x:row>
    <x:row r="3421" ht="15" customHeight="1">
      <x:c r="A3421" s="55" t="str">
        <x:v>道帝行☆</x:v>
      </x:c>
      <x:c r="B3421" s="55" t="str">
        <x:v>—</x:v>
      </x:c>
      <x:c r="C3421" s="55" t="str">
        <x:v>—</x:v>
      </x:c>
      <x:c r="D3421" s="55" t="str">
        <x:v>—</x:v>
      </x:c>
      <x:c r="E3421" s="55" t="inlineStr">
        <x:is>
          <x:t>帝星道裝錦囊（網站未列地圖）；亭台聽蝶（東宮碧庭）</x:t>
        </x:is>
      </x:c>
    </x:row>
    <x:row r="3422" ht="15" customHeight="1">
      <x:c r="A3422" s="55" t="str">
        <x:v>禪帝渡☆</x:v>
      </x:c>
      <x:c r="B3422" s="55" t="str">
        <x:v>—</x:v>
      </x:c>
      <x:c r="C3422" s="55" t="str">
        <x:v>—</x:v>
      </x:c>
      <x:c r="D3422" s="55" t="str">
        <x:v>—</x:v>
      </x:c>
      <x:c r="E3422" s="55" t="inlineStr">
        <x:is>
          <x:t>帝星僧裝錦囊（網站未列地圖）；龍脈神蔘（東宮碧庭）</x:t>
        </x:is>
      </x:c>
    </x:row>
    <x:row r="3423" ht="15" customHeight="1">
      <x:c r="A3423" s="55" t="str">
        <x:v>鬼帝道☆</x:v>
      </x:c>
      <x:c r="B3423" s="55" t="str">
        <x:v>—</x:v>
      </x:c>
      <x:c r="C3423" s="55" t="str">
        <x:v>—</x:v>
      </x:c>
      <x:c r="D3423" s="55" t="str">
        <x:v>—</x:v>
      </x:c>
      <x:c r="E3423" s="55" t="inlineStr">
        <x:is>
          <x:t>帝星四兇霸裝箱（網站未列地圖）；帝星特仕裝箱（網站未列地圖）</x:t>
        </x:is>
      </x:c>
    </x:row>
    <x:row r="3424" ht="15" customHeight="1">
      <x:c r="A3424" s="55" t="str">
        <x:v>黃韋足☆</x:v>
      </x:c>
      <x:c r="B3424" s="55" t="str">
        <x:v>—</x:v>
      </x:c>
      <x:c r="C3424" s="55" t="str">
        <x:v>—</x:v>
      </x:c>
      <x:c r="D3424" s="55" t="str">
        <x:v>—</x:v>
      </x:c>
      <x:c r="E3424" s="55" t="inlineStr">
        <x:is>
          <x:t>帝星東瀛神裝箱（網站未列地圖）；帝星特仕裝箱（網站未列地圖）</x:t>
        </x:is>
      </x:c>
    </x:row>
    <x:row r="3425" ht="15" customHeight="1">
      <x:c r="A3425" s="55" t="str">
        <x:v>君星靴☆</x:v>
      </x:c>
      <x:c r="B3425" s="55" t="str">
        <x:v>—</x:v>
      </x:c>
      <x:c r="C3425" s="55" t="str">
        <x:v>—</x:v>
      </x:c>
      <x:c r="D3425" s="55" t="str">
        <x:v>—</x:v>
      </x:c>
      <x:c r="E3425" s="55" t="inlineStr">
        <x:is>
          <x:t>帝星中原奇裝箱（網站未列地圖）；帝星特仕裝箱（網站未列地圖）</x:t>
        </x:is>
      </x:c>
    </x:row>
    <x:row r="3426" ht="15" customHeight="1">
      <x:c r="A3426" s="55" t="str">
        <x:v>劍帝履★</x:v>
      </x:c>
      <x:c r="B3426" s="55" t="str">
        <x:v>—</x:v>
      </x:c>
      <x:c r="C3426" s="55" t="str">
        <x:v>—</x:v>
      </x:c>
      <x:c r="D3426" s="55" t="str">
        <x:v>—</x:v>
      </x:c>
      <x:c r="E3426" s="55" t="inlineStr">
        <x:is>
          <x:t>真‧帝星劍裝錦囊（網站未列地圖）</x:t>
        </x:is>
      </x:c>
    </x:row>
    <x:row r="3427" ht="15" customHeight="1">
      <x:c r="A3427" s="55" t="str">
        <x:v>武帝踏★</x:v>
      </x:c>
      <x:c r="B3427" s="55" t="str">
        <x:v>—</x:v>
      </x:c>
      <x:c r="C3427" s="55" t="str">
        <x:v>—</x:v>
      </x:c>
      <x:c r="D3427" s="55" t="str">
        <x:v>—</x:v>
      </x:c>
      <x:c r="E3427" s="55" t="inlineStr">
        <x:is>
          <x:t>真‧帝星勇裝錦囊（網站未列地圖）</x:t>
        </x:is>
      </x:c>
    </x:row>
    <x:row r="3428" ht="15" customHeight="1">
      <x:c r="A3428" s="55" t="str">
        <x:v>幻帝步★</x:v>
      </x:c>
      <x:c r="B3428" s="55" t="str">
        <x:v>—</x:v>
      </x:c>
      <x:c r="C3428" s="55" t="str">
        <x:v>—</x:v>
      </x:c>
      <x:c r="D3428" s="55" t="str">
        <x:v>—</x:v>
      </x:c>
      <x:c r="E3428" s="55" t="inlineStr">
        <x:is>
          <x:t>真‧帝星術裝錦囊（網站未列地圖）</x:t>
        </x:is>
      </x:c>
    </x:row>
    <x:row r="3429" ht="15" customHeight="1">
      <x:c r="A3429" s="55" t="str">
        <x:v>道帝行★</x:v>
      </x:c>
      <x:c r="B3429" s="55" t="str">
        <x:v>—</x:v>
      </x:c>
      <x:c r="C3429" s="55" t="str">
        <x:v>—</x:v>
      </x:c>
      <x:c r="D3429" s="55" t="str">
        <x:v>—</x:v>
      </x:c>
      <x:c r="E3429" s="55" t="inlineStr">
        <x:is>
          <x:t>真‧帝星道裝錦囊（網站未列地圖）</x:t>
        </x:is>
      </x:c>
    </x:row>
    <x:row r="3430" ht="15" customHeight="1">
      <x:c r="A3430" s="55" t="str">
        <x:v>禪帝渡★</x:v>
      </x:c>
      <x:c r="B3430" s="55" t="str">
        <x:v>—</x:v>
      </x:c>
      <x:c r="C3430" s="55" t="str">
        <x:v>—</x:v>
      </x:c>
      <x:c r="D3430" s="55" t="str">
        <x:v>—</x:v>
      </x:c>
      <x:c r="E3430" s="55" t="inlineStr">
        <x:is>
          <x:t>真‧帝星僧裝錦囊（網站未列地圖）</x:t>
        </x:is>
      </x:c>
    </x:row>
    <x:row r="3431" ht="15" customHeight="1">
      <x:c r="A3431" s="55" t="str">
        <x:v>鬼帝道★</x:v>
      </x:c>
      <x:c r="B3431" s="55" t="str">
        <x:v>—</x:v>
      </x:c>
      <x:c r="C3431" s="55" t="str">
        <x:v>—</x:v>
      </x:c>
      <x:c r="D3431" s="55" t="str">
        <x:v>—</x:v>
      </x:c>
      <x:c r="E3431" s="55" t="inlineStr">
        <x:is>
          <x:t>真‧帝星四兇霸箱（網站未列地圖）；真‧帝星特仕裝箱（網站未列地圖）；武冠劍俠錦囊（網站未列地圖）</x:t>
        </x:is>
      </x:c>
    </x:row>
    <x:row r="3432" ht="15" customHeight="1">
      <x:c r="A3432" s="55" t="str">
        <x:v>黃韋足★</x:v>
      </x:c>
      <x:c r="B3432" s="55" t="str">
        <x:v>—</x:v>
      </x:c>
      <x:c r="C3432" s="55" t="str">
        <x:v>—</x:v>
      </x:c>
      <x:c r="D3432" s="55" t="str">
        <x:v>—</x:v>
      </x:c>
      <x:c r="E3432" s="55" t="inlineStr">
        <x:is>
          <x:t>真‧帝星東瀛神箱（網站未列地圖）；真‧帝星特仕裝箱（網站未列地圖）</x:t>
        </x:is>
      </x:c>
    </x:row>
    <x:row r="3433" ht="15" customHeight="1">
      <x:c r="A3433" s="55" t="str">
        <x:v>君星靴★</x:v>
      </x:c>
      <x:c r="B3433" s="55" t="str">
        <x:v>—</x:v>
      </x:c>
      <x:c r="C3433" s="55" t="str">
        <x:v>—</x:v>
      </x:c>
      <x:c r="D3433" s="55" t="str">
        <x:v>—</x:v>
      </x:c>
      <x:c r="E3433" s="55" t="inlineStr">
        <x:is>
          <x:t>真‧帝星中原奇箱（網站未列地圖）；真‧帝星特仕裝箱（網站未列地圖）</x:t>
        </x:is>
      </x:c>
    </x:row>
    <x:row r="3434" ht="15" customHeight="1">
      <x:c r="A3434" s="55" t="str">
        <x:v>劍帝履★☆</x:v>
      </x:c>
      <x:c r="B3434" s="55" t="str">
        <x:v>—</x:v>
      </x:c>
      <x:c r="C3434" s="55" t="str">
        <x:v>—</x:v>
      </x:c>
      <x:c r="D3434" s="55" t="str">
        <x:v>—</x:v>
      </x:c>
      <x:c r="E3434" s="55" t="inlineStr">
        <x:is>
          <x:t>超‧帝星劍裝錦囊（網站未列地圖）</x:t>
        </x:is>
      </x:c>
    </x:row>
    <x:row r="3435" ht="15" customHeight="1">
      <x:c r="A3435" s="55" t="str">
        <x:v>武帝踏★☆</x:v>
      </x:c>
      <x:c r="B3435" s="55" t="str">
        <x:v>—</x:v>
      </x:c>
      <x:c r="C3435" s="55" t="str">
        <x:v>—</x:v>
      </x:c>
      <x:c r="D3435" s="55" t="str">
        <x:v>—</x:v>
      </x:c>
      <x:c r="E3435" s="55" t="inlineStr">
        <x:is>
          <x:t>超‧帝星勇裝錦囊（網站未列地圖）</x:t>
        </x:is>
      </x:c>
    </x:row>
    <x:row r="3436" ht="15" customHeight="1">
      <x:c r="A3436" s="55" t="str">
        <x:v>幻帝步★☆</x:v>
      </x:c>
      <x:c r="B3436" s="55" t="str">
        <x:v>—</x:v>
      </x:c>
      <x:c r="C3436" s="55" t="str">
        <x:v>—</x:v>
      </x:c>
      <x:c r="D3436" s="55" t="str">
        <x:v>—</x:v>
      </x:c>
      <x:c r="E3436" s="55" t="inlineStr">
        <x:is>
          <x:t>超‧帝星術裝錦囊（網站未列地圖）</x:t>
        </x:is>
      </x:c>
    </x:row>
    <x:row r="3437" ht="15" customHeight="1">
      <x:c r="A3437" s="55" t="str">
        <x:v>道帝行★☆</x:v>
      </x:c>
      <x:c r="B3437" s="55" t="str">
        <x:v>—</x:v>
      </x:c>
      <x:c r="C3437" s="55" t="str">
        <x:v>—</x:v>
      </x:c>
      <x:c r="D3437" s="55" t="str">
        <x:v>—</x:v>
      </x:c>
      <x:c r="E3437" s="55" t="inlineStr">
        <x:is>
          <x:t>超‧帝星道裝錦囊（網站未列地圖）</x:t>
        </x:is>
      </x:c>
    </x:row>
    <x:row r="3438" ht="15" customHeight="1">
      <x:c r="A3438" s="55" t="str">
        <x:v>禪帝渡★☆</x:v>
      </x:c>
      <x:c r="B3438" s="55" t="str">
        <x:v>—</x:v>
      </x:c>
      <x:c r="C3438" s="55" t="str">
        <x:v>—</x:v>
      </x:c>
      <x:c r="D3438" s="55" t="str">
        <x:v>—</x:v>
      </x:c>
      <x:c r="E3438" s="55" t="inlineStr">
        <x:is>
          <x:t>超‧帝星僧裝錦囊（網站未列地圖）</x:t>
        </x:is>
      </x:c>
    </x:row>
    <x:row r="3439" ht="15" customHeight="1">
      <x:c r="A3439" s="55" t="str">
        <x:v>鬼帝道★☆</x:v>
      </x:c>
      <x:c r="B3439" s="55" t="str">
        <x:v>—</x:v>
      </x:c>
      <x:c r="C3439" s="55" t="str">
        <x:v>—</x:v>
      </x:c>
      <x:c r="D3439" s="55" t="str">
        <x:v>—</x:v>
      </x:c>
      <x:c r="E3439" s="55" t="inlineStr">
        <x:is>
          <x:t>超‧帝星四兇霸箱（網站未列地圖）；超‧帝星特仕裝箱（網站未列地圖）</x:t>
        </x:is>
      </x:c>
    </x:row>
    <x:row r="3440" ht="15" customHeight="1">
      <x:c r="A3440" s="55" t="str">
        <x:v>黃韋足★☆</x:v>
      </x:c>
      <x:c r="B3440" s="55" t="str">
        <x:v>—</x:v>
      </x:c>
      <x:c r="C3440" s="55" t="str">
        <x:v>—</x:v>
      </x:c>
      <x:c r="D3440" s="55" t="str">
        <x:v>—</x:v>
      </x:c>
      <x:c r="E3440" s="55" t="inlineStr">
        <x:is>
          <x:t>超‧帝星東瀛神箱（網站未列地圖）；超‧帝星特仕裝箱（網站未列地圖）</x:t>
        </x:is>
      </x:c>
    </x:row>
    <x:row r="3441" ht="15" customHeight="1">
      <x:c r="A3441" s="55" t="str">
        <x:v>君星靴★☆</x:v>
      </x:c>
      <x:c r="B3441" s="55" t="str">
        <x:v>—</x:v>
      </x:c>
      <x:c r="C3441" s="55" t="str">
        <x:v>—</x:v>
      </x:c>
      <x:c r="D3441" s="55" t="str">
        <x:v>—</x:v>
      </x:c>
      <x:c r="E3441" s="55" t="inlineStr">
        <x:is>
          <x:t>超‧帝星中原奇箱（網站未列地圖）；超‧帝星特仕裝箱（網站未列地圖）</x:t>
        </x:is>
      </x:c>
    </x:row>
    <x:row r="3442" ht="15" customHeight="1">
      <x:c r="A3442" s="55" t="str">
        <x:v>劍帝履★★</x:v>
      </x:c>
      <x:c r="B3442" s="55" t="str">
        <x:v>—</x:v>
      </x:c>
      <x:c r="C3442" s="55" t="str">
        <x:v>—</x:v>
      </x:c>
      <x:c r="D3442" s="55" t="str">
        <x:v>—</x:v>
      </x:c>
      <x:c r="E3442" s="55" t="inlineStr">
        <x:is>
          <x:t>極‧帝星劍裝錦囊（網站未列地圖）</x:t>
        </x:is>
      </x:c>
    </x:row>
    <x:row r="3443" ht="15" customHeight="1">
      <x:c r="A3443" s="55" t="str">
        <x:v>武帝踏★★</x:v>
      </x:c>
      <x:c r="B3443" s="55" t="str">
        <x:v>—</x:v>
      </x:c>
      <x:c r="C3443" s="55" t="str">
        <x:v>—</x:v>
      </x:c>
      <x:c r="D3443" s="55" t="str">
        <x:v>—</x:v>
      </x:c>
      <x:c r="E3443" s="55" t="inlineStr">
        <x:is>
          <x:t>極‧帝星勇裝錦囊（網站未列地圖）</x:t>
        </x:is>
      </x:c>
    </x:row>
    <x:row r="3444" ht="15" customHeight="1">
      <x:c r="A3444" s="55" t="str">
        <x:v>幻帝步★★</x:v>
      </x:c>
      <x:c r="B3444" s="55" t="str">
        <x:v>—</x:v>
      </x:c>
      <x:c r="C3444" s="55" t="str">
        <x:v>—</x:v>
      </x:c>
      <x:c r="D3444" s="55" t="str">
        <x:v>—</x:v>
      </x:c>
      <x:c r="E3444" s="55" t="inlineStr">
        <x:is>
          <x:t>極‧帝星術裝錦囊（網站未列地圖）</x:t>
        </x:is>
      </x:c>
    </x:row>
    <x:row r="3445" ht="15" customHeight="1">
      <x:c r="A3445" s="55" t="str">
        <x:v>道帝行★★</x:v>
      </x:c>
      <x:c r="B3445" s="55" t="str">
        <x:v>—</x:v>
      </x:c>
      <x:c r="C3445" s="55" t="str">
        <x:v>—</x:v>
      </x:c>
      <x:c r="D3445" s="55" t="str">
        <x:v>—</x:v>
      </x:c>
      <x:c r="E3445" s="55" t="inlineStr">
        <x:is>
          <x:t>極‧帝星道裝錦囊（網站未列地圖）</x:t>
        </x:is>
      </x:c>
    </x:row>
    <x:row r="3446" ht="15" customHeight="1">
      <x:c r="A3446" s="55" t="str">
        <x:v>禪帝渡★★</x:v>
      </x:c>
      <x:c r="B3446" s="55" t="str">
        <x:v>—</x:v>
      </x:c>
      <x:c r="C3446" s="55" t="str">
        <x:v>—</x:v>
      </x:c>
      <x:c r="D3446" s="55" t="str">
        <x:v>—</x:v>
      </x:c>
      <x:c r="E3446" s="55" t="inlineStr">
        <x:is>
          <x:t>極‧帝星僧裝錦囊（網站未列地圖）</x:t>
        </x:is>
      </x:c>
    </x:row>
    <x:row r="3447" ht="15" customHeight="1">
      <x:c r="A3447" s="55" t="str">
        <x:v>鬼帝道★★</x:v>
      </x:c>
      <x:c r="B3447" s="55" t="str">
        <x:v>—</x:v>
      </x:c>
      <x:c r="C3447" s="55" t="str">
        <x:v>—</x:v>
      </x:c>
      <x:c r="D3447" s="55" t="str">
        <x:v>—</x:v>
      </x:c>
      <x:c r="E3447" s="55" t="inlineStr">
        <x:is>
          <x:t>極‧帝星四兇霸箱（網站未列地圖）；極‧帝星特仕裝箱（網站未列地圖）</x:t>
        </x:is>
      </x:c>
    </x:row>
    <x:row r="3448" ht="15" customHeight="1">
      <x:c r="A3448" s="55" t="str">
        <x:v>黃韋足★★</x:v>
      </x:c>
      <x:c r="B3448" s="55" t="str">
        <x:v>—</x:v>
      </x:c>
      <x:c r="C3448" s="55" t="str">
        <x:v>—</x:v>
      </x:c>
      <x:c r="D3448" s="55" t="str">
        <x:v>—</x:v>
      </x:c>
      <x:c r="E3448" s="55" t="inlineStr">
        <x:is>
          <x:t>極‧帝星東瀛神箱（網站未列地圖）；極‧帝星特仕裝箱（網站未列地圖）</x:t>
        </x:is>
      </x:c>
    </x:row>
    <x:row r="3449" ht="15" customHeight="1">
      <x:c r="A3449" s="55" t="str">
        <x:v>君星靴★★</x:v>
      </x:c>
      <x:c r="B3449" s="55" t="str">
        <x:v>—</x:v>
      </x:c>
      <x:c r="C3449" s="55" t="str">
        <x:v>—</x:v>
      </x:c>
      <x:c r="D3449" s="55" t="str">
        <x:v>—</x:v>
      </x:c>
      <x:c r="E3449" s="55" t="inlineStr">
        <x:is>
          <x:t>極‧帝星中原奇箱（網站未列地圖）；極‧帝星特仕裝箱（網站未列地圖）</x:t>
        </x:is>
      </x:c>
    </x:row>
    <x:row r="3450" ht="15" customHeight="1">
      <x:c r="A3450" s="55" t="str">
        <x:v>劍帝履★★☆</x:v>
      </x:c>
      <x:c r="B3450" s="55" t="str">
        <x:v>—</x:v>
      </x:c>
      <x:c r="C3450" s="55" t="str">
        <x:v>—</x:v>
      </x:c>
      <x:c r="D3450" s="55" t="str">
        <x:v>—</x:v>
      </x:c>
      <x:c r="E3450" s="55" t="inlineStr">
        <x:is>
          <x:t>絕‧帝星劍裝錦囊（網站未列地圖）</x:t>
        </x:is>
      </x:c>
    </x:row>
    <x:row r="3451" ht="15" customHeight="1">
      <x:c r="A3451" s="55" t="str">
        <x:v>武帝踏★★☆</x:v>
      </x:c>
      <x:c r="B3451" s="55" t="str">
        <x:v>—</x:v>
      </x:c>
      <x:c r="C3451" s="55" t="str">
        <x:v>—</x:v>
      </x:c>
      <x:c r="D3451" s="55" t="str">
        <x:v>—</x:v>
      </x:c>
      <x:c r="E3451" s="55" t="inlineStr">
        <x:is>
          <x:t>絕‧帝星勇裝錦囊（網站未列地圖）</x:t>
        </x:is>
      </x:c>
    </x:row>
    <x:row r="3452" ht="15" customHeight="1">
      <x:c r="A3452" s="55" t="str">
        <x:v>幻帝步★★☆</x:v>
      </x:c>
      <x:c r="B3452" s="55" t="str">
        <x:v>—</x:v>
      </x:c>
      <x:c r="C3452" s="55" t="str">
        <x:v>—</x:v>
      </x:c>
      <x:c r="D3452" s="55" t="str">
        <x:v>—</x:v>
      </x:c>
      <x:c r="E3452" s="55" t="inlineStr">
        <x:is>
          <x:t>絕‧帝星術裝錦囊（網站未列地圖）</x:t>
        </x:is>
      </x:c>
    </x:row>
    <x:row r="3453" ht="15" customHeight="1">
      <x:c r="A3453" s="55" t="str">
        <x:v>道帝行★★☆</x:v>
      </x:c>
      <x:c r="B3453" s="55" t="str">
        <x:v>—</x:v>
      </x:c>
      <x:c r="C3453" s="55" t="str">
        <x:v>—</x:v>
      </x:c>
      <x:c r="D3453" s="55" t="str">
        <x:v>—</x:v>
      </x:c>
      <x:c r="E3453" s="55" t="inlineStr">
        <x:is>
          <x:t>絕‧帝星道裝錦囊（網站未列地圖）</x:t>
        </x:is>
      </x:c>
    </x:row>
    <x:row r="3454" ht="15" customHeight="1">
      <x:c r="A3454" s="55" t="str">
        <x:v>禪帝渡★★☆</x:v>
      </x:c>
      <x:c r="B3454" s="55" t="str">
        <x:v>—</x:v>
      </x:c>
      <x:c r="C3454" s="55" t="str">
        <x:v>—</x:v>
      </x:c>
      <x:c r="D3454" s="55" t="str">
        <x:v>—</x:v>
      </x:c>
      <x:c r="E3454" s="55" t="inlineStr">
        <x:is>
          <x:t>絕‧帝星僧裝錦囊（網站未列地圖）</x:t>
        </x:is>
      </x:c>
    </x:row>
    <x:row r="3455" ht="15" customHeight="1">
      <x:c r="A3455" s="55" t="str">
        <x:v>鬼帝道★★☆</x:v>
      </x:c>
      <x:c r="B3455" s="55" t="str">
        <x:v>—</x:v>
      </x:c>
      <x:c r="C3455" s="55" t="str">
        <x:v>—</x:v>
      </x:c>
      <x:c r="D3455" s="55" t="str">
        <x:v>—</x:v>
      </x:c>
      <x:c r="E3455" s="55" t="inlineStr">
        <x:is>
          <x:t>絕‧帝星四兇霸箱（網站未列地圖）；絕‧帝星特仕裝箱（網站未列地圖）；天元劍俠錦囊（網站未列地圖）</x:t>
        </x:is>
      </x:c>
    </x:row>
    <x:row r="3456" ht="15" customHeight="1">
      <x:c r="A3456" s="55" t="str">
        <x:v>黃韋足★★☆</x:v>
      </x:c>
      <x:c r="B3456" s="55" t="str">
        <x:v>—</x:v>
      </x:c>
      <x:c r="C3456" s="55" t="str">
        <x:v>—</x:v>
      </x:c>
      <x:c r="D3456" s="55" t="str">
        <x:v>—</x:v>
      </x:c>
      <x:c r="E3456" s="55" t="inlineStr">
        <x:is>
          <x:t>絕‧帝星東瀛神箱（網站未列地圖）；絕‧帝星特仕裝箱（網站未列地圖）</x:t>
        </x:is>
      </x:c>
    </x:row>
    <x:row r="3457" ht="15" customHeight="1">
      <x:c r="A3457" s="55" t="str">
        <x:v>君星靴★★☆</x:v>
      </x:c>
      <x:c r="B3457" s="55" t="str">
        <x:v>—</x:v>
      </x:c>
      <x:c r="C3457" s="55" t="str">
        <x:v>—</x:v>
      </x:c>
      <x:c r="D3457" s="55" t="str">
        <x:v>—</x:v>
      </x:c>
      <x:c r="E3457" s="55" t="inlineStr">
        <x:is>
          <x:t>絕‧帝星中原奇箱（網站未列地圖）；絕‧帝星特仕裝箱（網站未列地圖）</x:t>
        </x:is>
      </x:c>
    </x:row>
    <x:row r="3458" ht="15" customHeight="1">
      <x:c r="A3458" s="55" t="str">
        <x:v>劍帝履★★★</x:v>
      </x:c>
      <x:c r="B3458" s="55" t="str">
        <x:v>—</x:v>
      </x:c>
      <x:c r="C3458" s="55" t="str">
        <x:v>—</x:v>
      </x:c>
      <x:c r="D3458" s="55" t="str">
        <x:v>—</x:v>
      </x:c>
      <x:c r="E3458" s="55" t="inlineStr">
        <x:is>
          <x:t>神‧帝星劍裝錦囊（網站未列地圖）</x:t>
        </x:is>
      </x:c>
    </x:row>
    <x:row r="3459" ht="15" customHeight="1">
      <x:c r="A3459" s="55" t="str">
        <x:v>武帝踏★★★</x:v>
      </x:c>
      <x:c r="B3459" s="55" t="str">
        <x:v>—</x:v>
      </x:c>
      <x:c r="C3459" s="55" t="str">
        <x:v>—</x:v>
      </x:c>
      <x:c r="D3459" s="55" t="str">
        <x:v>—</x:v>
      </x:c>
      <x:c r="E3459" s="55" t="inlineStr">
        <x:is>
          <x:t>神‧帝星勇裝錦囊（網站未列地圖）</x:t>
        </x:is>
      </x:c>
    </x:row>
    <x:row r="3460" ht="15" customHeight="1">
      <x:c r="A3460" s="55" t="str">
        <x:v>幻帝步★★★</x:v>
      </x:c>
      <x:c r="B3460" s="55" t="str">
        <x:v>—</x:v>
      </x:c>
      <x:c r="C3460" s="55" t="str">
        <x:v>—</x:v>
      </x:c>
      <x:c r="D3460" s="55" t="str">
        <x:v>—</x:v>
      </x:c>
      <x:c r="E3460" s="55" t="inlineStr">
        <x:is>
          <x:t>神‧帝星術裝錦囊（網站未列地圖）</x:t>
        </x:is>
      </x:c>
    </x:row>
    <x:row r="3461" ht="15" customHeight="1">
      <x:c r="A3461" s="55" t="str">
        <x:v>道帝行★★★</x:v>
      </x:c>
      <x:c r="B3461" s="55" t="str">
        <x:v>—</x:v>
      </x:c>
      <x:c r="C3461" s="55" t="str">
        <x:v>—</x:v>
      </x:c>
      <x:c r="D3461" s="55" t="str">
        <x:v>—</x:v>
      </x:c>
      <x:c r="E3461" s="55" t="inlineStr">
        <x:is>
          <x:t>神‧帝星道裝錦囊（網站未列地圖）</x:t>
        </x:is>
      </x:c>
    </x:row>
    <x:row r="3462" ht="15" customHeight="1">
      <x:c r="A3462" s="55" t="str">
        <x:v>禪帝渡★★★</x:v>
      </x:c>
      <x:c r="B3462" s="55" t="str">
        <x:v>—</x:v>
      </x:c>
      <x:c r="C3462" s="55" t="str">
        <x:v>—</x:v>
      </x:c>
      <x:c r="D3462" s="55" t="str">
        <x:v>—</x:v>
      </x:c>
      <x:c r="E3462" s="55" t="inlineStr">
        <x:is>
          <x:t>神‧帝星僧裝錦囊（網站未列地圖）</x:t>
        </x:is>
      </x:c>
    </x:row>
    <x:row r="3463" ht="15" customHeight="1">
      <x:c r="A3463" s="55" t="str">
        <x:v>鬼帝道★★★</x:v>
      </x:c>
      <x:c r="B3463" s="55" t="str">
        <x:v>—</x:v>
      </x:c>
      <x:c r="C3463" s="55" t="str">
        <x:v>—</x:v>
      </x:c>
      <x:c r="D3463" s="55" t="str">
        <x:v>—</x:v>
      </x:c>
      <x:c r="E3463" s="55" t="inlineStr">
        <x:is>
          <x:t>神‧帝星四兇霸箱（網站未列地圖）；神‧帝星特仕裝箱（網站未列地圖）</x:t>
        </x:is>
      </x:c>
    </x:row>
    <x:row r="3464" ht="15" customHeight="1">
      <x:c r="A3464" s="55" t="str">
        <x:v>黃韋足★★★</x:v>
      </x:c>
      <x:c r="B3464" s="55" t="str">
        <x:v>—</x:v>
      </x:c>
      <x:c r="C3464" s="55" t="str">
        <x:v>—</x:v>
      </x:c>
      <x:c r="D3464" s="55" t="str">
        <x:v>—</x:v>
      </x:c>
      <x:c r="E3464" s="55" t="inlineStr">
        <x:is>
          <x:t>神‧帝星東瀛神箱（網站未列地圖）；神‧帝星特仕裝箱（網站未列地圖）</x:t>
        </x:is>
      </x:c>
    </x:row>
    <x:row r="3465" ht="15" customHeight="1">
      <x:c r="A3465" s="55" t="str">
        <x:v>君星靴★★★</x:v>
      </x:c>
      <x:c r="B3465" s="55" t="str">
        <x:v>—</x:v>
      </x:c>
      <x:c r="C3465" s="55" t="str">
        <x:v>—</x:v>
      </x:c>
      <x:c r="D3465" s="55" t="str">
        <x:v>—</x:v>
      </x:c>
      <x:c r="E3465" s="55" t="inlineStr">
        <x:is>
          <x:t>神‧帝星中原奇箱（網站未列地圖）；神‧帝星特仕裝箱（網站未列地圖）</x:t>
        </x:is>
      </x:c>
    </x:row>
    <x:row r="3466" ht="15" customHeight="1">
      <x:c r="A3466" s="55" t="str">
        <x:v>新星之劍英靴</x:v>
      </x:c>
      <x:c r="B3466" s="55" t="str">
        <x:v>—</x:v>
      </x:c>
      <x:c r="C3466" s="55" t="str">
        <x:v>—</x:v>
      </x:c>
      <x:c r="D3466" s="55" t="str">
        <x:v>—</x:v>
      </x:c>
      <x:c r="E3466" s="55" t="inlineStr">
        <x:is>
          <x:t>—</x:t>
        </x:is>
      </x:c>
    </x:row>
    <x:row r="3467" ht="15" customHeight="1">
      <x:c r="A3467" s="55" t="str">
        <x:v>新星之武豪踏</x:v>
      </x:c>
      <x:c r="B3467" s="55" t="str">
        <x:v>—</x:v>
      </x:c>
      <x:c r="C3467" s="55" t="str">
        <x:v>—</x:v>
      </x:c>
      <x:c r="D3467" s="55" t="str">
        <x:v>—</x:v>
      </x:c>
      <x:c r="E3467" s="55" t="inlineStr">
        <x:is>
          <x:t>—</x:t>
        </x:is>
      </x:c>
    </x:row>
    <x:row r="3468" ht="15" customHeight="1">
      <x:c r="A3468" s="55" t="str">
        <x:v>新星之術潛履</x:v>
      </x:c>
      <x:c r="B3468" s="55" t="str">
        <x:v>—</x:v>
      </x:c>
      <x:c r="C3468" s="55" t="str">
        <x:v>—</x:v>
      </x:c>
      <x:c r="D3468" s="55" t="str">
        <x:v>—</x:v>
      </x:c>
      <x:c r="E3468" s="55" t="inlineStr">
        <x:is>
          <x:t>—</x:t>
        </x:is>
      </x:c>
    </x:row>
    <x:row r="3469" ht="15" customHeight="1">
      <x:c r="A3469" s="55" t="str">
        <x:v>新星之道明步</x:v>
      </x:c>
      <x:c r="B3469" s="55" t="str">
        <x:v>—</x:v>
      </x:c>
      <x:c r="C3469" s="55" t="str">
        <x:v>—</x:v>
      </x:c>
      <x:c r="D3469" s="55" t="str">
        <x:v>—</x:v>
      </x:c>
      <x:c r="E3469" s="55" t="inlineStr">
        <x:is>
          <x:t>—</x:t>
        </x:is>
      </x:c>
    </x:row>
    <x:row r="3470" ht="15" customHeight="1">
      <x:c r="A3470" s="55" t="str">
        <x:v>新星之禪照行</x:v>
      </x:c>
      <x:c r="B3470" s="55" t="str">
        <x:v>—</x:v>
      </x:c>
      <x:c r="C3470" s="55" t="str">
        <x:v>—</x:v>
      </x:c>
      <x:c r="D3470" s="55" t="str">
        <x:v>—</x:v>
      </x:c>
      <x:c r="E3470" s="55" t="inlineStr">
        <x:is>
          <x:t>—</x:t>
        </x:is>
      </x:c>
    </x:row>
    <x:row r="3471" ht="15" customHeight="1">
      <x:c r="A3471" s="55" t="str">
        <x:v>泰源織鞋</x:v>
      </x:c>
      <x:c r="B3471" s="55" t="str">
        <x:v>神州2II主線</x:v>
      </x:c>
      <x:c r="C3471" s="55" t="str">
        <x:v>—</x:v>
      </x:c>
      <x:c r="D3471" s="55" t="str">
        <x:v>—</x:v>
      </x:c>
      <x:c r="E3471" s="55" t="inlineStr">
        <x:is>
          <x:t>—</x:t>
        </x:is>
      </x:c>
    </x:row>
    <x:row r="3472" ht="15" customHeight="1">
      <x:c r="A3472" s="55" t="str">
        <x:v>龍池草履</x:v>
      </x:c>
      <x:c r="B3472" s="55" t="str">
        <x:v>六宇浮上主線</x:v>
      </x:c>
      <x:c r="C3472" s="55" t="str">
        <x:v>—</x:v>
      </x:c>
      <x:c r="D3472" s="55" t="str">
        <x:v>—</x:v>
      </x:c>
      <x:c r="E3472" s="55" t="inlineStr">
        <x:is>
          <x:t>—</x:t>
        </x:is>
      </x:c>
    </x:row>
    <x:row r="3473" ht="15" customHeight="1">
      <x:c r="A3473" s="55" t="str">
        <x:v>劍豪旭靴Ⅰ</x:v>
      </x:c>
      <x:c r="B3473" s="55" t="str">
        <x:v>—</x:v>
      </x:c>
      <x:c r="C3473" s="55" t="str">
        <x:v>—</x:v>
      </x:c>
      <x:c r="D3473" s="55" t="str">
        <x:v>—</x:v>
      </x:c>
      <x:c r="E3473" s="55" t="inlineStr">
        <x:is>
          <x:t>—</x:t>
        </x:is>
      </x:c>
    </x:row>
    <x:row r="3474" ht="15" customHeight="1">
      <x:c r="A3474" s="55" t="str">
        <x:v>勇將旭立Ⅰ</x:v>
      </x:c>
      <x:c r="B3474" s="55" t="str">
        <x:v>—</x:v>
      </x:c>
      <x:c r="C3474" s="55" t="str">
        <x:v>—</x:v>
      </x:c>
      <x:c r="D3474" s="55" t="str">
        <x:v>—</x:v>
      </x:c>
      <x:c r="E3474" s="55" t="inlineStr">
        <x:is>
          <x:t>—</x:t>
        </x:is>
      </x:c>
    </x:row>
    <x:row r="3475" ht="15" customHeight="1">
      <x:c r="A3475" s="55" t="str">
        <x:v>術凌旭步Ⅰ</x:v>
      </x:c>
      <x:c r="B3475" s="55" t="str">
        <x:v>—</x:v>
      </x:c>
      <x:c r="C3475" s="55" t="str">
        <x:v>—</x:v>
      </x:c>
      <x:c r="D3475" s="55" t="str">
        <x:v>—</x:v>
      </x:c>
      <x:c r="E3475" s="55" t="inlineStr">
        <x:is>
          <x:t>—</x:t>
        </x:is>
      </x:c>
    </x:row>
    <x:row r="3476" ht="15" customHeight="1">
      <x:c r="A3476" s="55" t="str">
        <x:v>道清旭鞋Ⅰ</x:v>
      </x:c>
      <x:c r="B3476" s="55" t="str">
        <x:v>—</x:v>
      </x:c>
      <x:c r="C3476" s="55" t="str">
        <x:v>—</x:v>
      </x:c>
      <x:c r="D3476" s="55" t="str">
        <x:v>—</x:v>
      </x:c>
      <x:c r="E3476" s="55" t="inlineStr">
        <x:is>
          <x:t>—</x:t>
        </x:is>
      </x:c>
    </x:row>
    <x:row r="3477" ht="15" customHeight="1">
      <x:c r="A3477" s="55" t="str">
        <x:v>禪臺旭足Ⅰ</x:v>
      </x:c>
      <x:c r="B3477" s="55" t="str">
        <x:v>—</x:v>
      </x:c>
      <x:c r="C3477" s="55" t="str">
        <x:v>—</x:v>
      </x:c>
      <x:c r="D3477" s="55" t="str">
        <x:v>—</x:v>
      </x:c>
      <x:c r="E3477" s="55" t="inlineStr">
        <x:is>
          <x:t>—</x:t>
        </x:is>
      </x:c>
    </x:row>
    <x:row r="3478" ht="15" customHeight="1">
      <x:c r="A3478" s="55" t="str">
        <x:v>狂陽烈蹴Ⅰ</x:v>
      </x:c>
      <x:c r="B3478" s="55" t="str">
        <x:v>—</x:v>
      </x:c>
      <x:c r="C3478" s="55" t="str">
        <x:v>—</x:v>
      </x:c>
      <x:c r="D3478" s="55" t="str">
        <x:v>—</x:v>
      </x:c>
      <x:c r="E3478" s="55" t="inlineStr">
        <x:is>
          <x:t>—</x:t>
        </x:is>
      </x:c>
    </x:row>
    <x:row r="3479" ht="15" customHeight="1">
      <x:c r="A3479" s="55" t="str">
        <x:v>靜月織足Ⅰ</x:v>
      </x:c>
      <x:c r="B3479" s="55" t="str">
        <x:v>—</x:v>
      </x:c>
      <x:c r="C3479" s="55" t="str">
        <x:v>—</x:v>
      </x:c>
      <x:c r="D3479" s="55" t="str">
        <x:v>—</x:v>
      </x:c>
      <x:c r="E3479" s="55" t="inlineStr">
        <x:is>
          <x:t>幻三趙雲錦囊（網站未列地圖）</x:t>
        </x:is>
      </x:c>
    </x:row>
    <x:row r="3480" ht="15" customHeight="1">
      <x:c r="A3480" s="55" t="str">
        <x:v>宿星閃靴Ⅰ</x:v>
      </x:c>
      <x:c r="B3480" s="55" t="str">
        <x:v>—</x:v>
      </x:c>
      <x:c r="C3480" s="55" t="str">
        <x:v>—</x:v>
      </x:c>
      <x:c r="D3480" s="55" t="str">
        <x:v>—</x:v>
      </x:c>
      <x:c r="E3480" s="55" t="inlineStr">
        <x:is>
          <x:t>幻三百玥錦囊（網站未列地圖）</x:t>
        </x:is>
      </x:c>
    </x:row>
    <x:row r="3481" ht="15" customHeight="1">
      <x:c r="A3481" s="55" t="str">
        <x:v>劍豪旭靴Ⅱ</x:v>
      </x:c>
      <x:c r="B3481" s="55" t="str">
        <x:v>—</x:v>
      </x:c>
      <x:c r="C3481" s="55" t="str">
        <x:v>—</x:v>
      </x:c>
      <x:c r="D3481" s="55" t="str">
        <x:v>—</x:v>
      </x:c>
      <x:c r="E3481" s="55" t="inlineStr">
        <x:is>
          <x:t>—</x:t>
        </x:is>
      </x:c>
    </x:row>
    <x:row r="3482" ht="15" customHeight="1">
      <x:c r="A3482" s="55" t="str">
        <x:v>勇將旭立Ⅱ</x:v>
      </x:c>
      <x:c r="B3482" s="55" t="str">
        <x:v>—</x:v>
      </x:c>
      <x:c r="C3482" s="55" t="str">
        <x:v>—</x:v>
      </x:c>
      <x:c r="D3482" s="55" t="str">
        <x:v>—</x:v>
      </x:c>
      <x:c r="E3482" s="55" t="inlineStr">
        <x:is>
          <x:t>—</x:t>
        </x:is>
      </x:c>
    </x:row>
    <x:row r="3483" ht="15" customHeight="1">
      <x:c r="A3483" s="55" t="str">
        <x:v>術凌旭步Ⅱ</x:v>
      </x:c>
      <x:c r="B3483" s="55" t="str">
        <x:v>—</x:v>
      </x:c>
      <x:c r="C3483" s="55" t="str">
        <x:v>—</x:v>
      </x:c>
      <x:c r="D3483" s="55" t="str">
        <x:v>—</x:v>
      </x:c>
      <x:c r="E3483" s="55" t="inlineStr">
        <x:is>
          <x:t>—</x:t>
        </x:is>
      </x:c>
    </x:row>
    <x:row r="3484" ht="15" customHeight="1">
      <x:c r="A3484" s="55" t="str">
        <x:v>道清旭鞋Ⅱ</x:v>
      </x:c>
      <x:c r="B3484" s="55" t="str">
        <x:v>—</x:v>
      </x:c>
      <x:c r="C3484" s="55" t="str">
        <x:v>—</x:v>
      </x:c>
      <x:c r="D3484" s="55" t="str">
        <x:v>—</x:v>
      </x:c>
      <x:c r="E3484" s="55" t="inlineStr">
        <x:is>
          <x:t>—</x:t>
        </x:is>
      </x:c>
    </x:row>
    <x:row r="3485" ht="15" customHeight="1">
      <x:c r="A3485" s="55" t="str">
        <x:v>禪臺旭足Ⅱ</x:v>
      </x:c>
      <x:c r="B3485" s="55" t="str">
        <x:v>—</x:v>
      </x:c>
      <x:c r="C3485" s="55" t="str">
        <x:v>—</x:v>
      </x:c>
      <x:c r="D3485" s="55" t="str">
        <x:v>—</x:v>
      </x:c>
      <x:c r="E3485" s="55" t="inlineStr">
        <x:is>
          <x:t>—</x:t>
        </x:is>
      </x:c>
    </x:row>
    <x:row r="3486" ht="15" customHeight="1">
      <x:c r="A3486" s="55" t="str">
        <x:v>狂陽烈蹴Ⅱ</x:v>
      </x:c>
      <x:c r="B3486" s="55" t="str">
        <x:v>—</x:v>
      </x:c>
      <x:c r="C3486" s="55" t="str">
        <x:v>—</x:v>
      </x:c>
      <x:c r="D3486" s="55" t="str">
        <x:v>—</x:v>
      </x:c>
      <x:c r="E3486" s="55" t="inlineStr">
        <x:is>
          <x:t>—</x:t>
        </x:is>
      </x:c>
    </x:row>
    <x:row r="3487" ht="15" customHeight="1">
      <x:c r="A3487" s="55" t="str">
        <x:v>靜月織足Ⅱ</x:v>
      </x:c>
      <x:c r="B3487" s="55" t="str">
        <x:v>—</x:v>
      </x:c>
      <x:c r="C3487" s="55" t="str">
        <x:v>—</x:v>
      </x:c>
      <x:c r="D3487" s="55" t="str">
        <x:v>—</x:v>
      </x:c>
      <x:c r="E3487" s="55" t="inlineStr">
        <x:is>
          <x:t>—</x:t>
        </x:is>
      </x:c>
    </x:row>
    <x:row r="3488" ht="15" customHeight="1">
      <x:c r="A3488" s="55" t="str">
        <x:v>宿星閃靴Ⅱ</x:v>
      </x:c>
      <x:c r="B3488" s="55" t="str">
        <x:v>—</x:v>
      </x:c>
      <x:c r="C3488" s="55" t="str">
        <x:v>—</x:v>
      </x:c>
      <x:c r="D3488" s="55" t="str">
        <x:v>—</x:v>
      </x:c>
      <x:c r="E3488" s="55" t="inlineStr">
        <x:is>
          <x:t>—</x:t>
        </x:is>
      </x:c>
    </x:row>
    <x:row r="3489" ht="15" customHeight="1">
      <x:c r="A3489" s="55" t="str">
        <x:v>劍豪旭靴Ⅲ</x:v>
      </x:c>
      <x:c r="B3489" s="55" t="str">
        <x:v>—</x:v>
      </x:c>
      <x:c r="C3489" s="55" t="str">
        <x:v>—</x:v>
      </x:c>
      <x:c r="D3489" s="55" t="str">
        <x:v>—</x:v>
      </x:c>
      <x:c r="E3489" s="55" t="inlineStr">
        <x:is>
          <x:t>—</x:t>
        </x:is>
      </x:c>
    </x:row>
    <x:row r="3490" ht="15" customHeight="1">
      <x:c r="A3490" s="55" t="str">
        <x:v>勇將旭立Ⅲ</x:v>
      </x:c>
      <x:c r="B3490" s="55" t="str">
        <x:v>—</x:v>
      </x:c>
      <x:c r="C3490" s="55" t="str">
        <x:v>—</x:v>
      </x:c>
      <x:c r="D3490" s="55" t="str">
        <x:v>—</x:v>
      </x:c>
      <x:c r="E3490" s="55" t="inlineStr">
        <x:is>
          <x:t>—</x:t>
        </x:is>
      </x:c>
    </x:row>
    <x:row r="3491" ht="15" customHeight="1">
      <x:c r="A3491" s="55" t="str">
        <x:v>術凌旭步Ⅲ</x:v>
      </x:c>
      <x:c r="B3491" s="55" t="str">
        <x:v>—</x:v>
      </x:c>
      <x:c r="C3491" s="55" t="str">
        <x:v>—</x:v>
      </x:c>
      <x:c r="D3491" s="55" t="str">
        <x:v>—</x:v>
      </x:c>
      <x:c r="E3491" s="55" t="inlineStr">
        <x:is>
          <x:t>—</x:t>
        </x:is>
      </x:c>
    </x:row>
    <x:row r="3492" ht="15" customHeight="1">
      <x:c r="A3492" s="55" t="str">
        <x:v>道清旭鞋Ⅲ</x:v>
      </x:c>
      <x:c r="B3492" s="55" t="str">
        <x:v>—</x:v>
      </x:c>
      <x:c r="C3492" s="55" t="str">
        <x:v>—</x:v>
      </x:c>
      <x:c r="D3492" s="55" t="str">
        <x:v>—</x:v>
      </x:c>
      <x:c r="E3492" s="55" t="inlineStr">
        <x:is>
          <x:t>—</x:t>
        </x:is>
      </x:c>
    </x:row>
    <x:row r="3493" ht="15" customHeight="1">
      <x:c r="A3493" s="55" t="str">
        <x:v>禪臺旭足Ⅲ</x:v>
      </x:c>
      <x:c r="B3493" s="55" t="str">
        <x:v>—</x:v>
      </x:c>
      <x:c r="C3493" s="55" t="str">
        <x:v>—</x:v>
      </x:c>
      <x:c r="D3493" s="55" t="str">
        <x:v>—</x:v>
      </x:c>
      <x:c r="E3493" s="55" t="inlineStr">
        <x:is>
          <x:t>—</x:t>
        </x:is>
      </x:c>
    </x:row>
    <x:row r="3494" ht="15" customHeight="1">
      <x:c r="A3494" s="55" t="str">
        <x:v>狂陽烈蹴Ⅲ</x:v>
      </x:c>
      <x:c r="B3494" s="55" t="str">
        <x:v>—</x:v>
      </x:c>
      <x:c r="C3494" s="55" t="str">
        <x:v>—</x:v>
      </x:c>
      <x:c r="D3494" s="55" t="str">
        <x:v>—</x:v>
      </x:c>
      <x:c r="E3494" s="55" t="inlineStr">
        <x:is>
          <x:t>—</x:t>
        </x:is>
      </x:c>
    </x:row>
    <x:row r="3495" ht="15" customHeight="1">
      <x:c r="A3495" s="55" t="str">
        <x:v>靜月織足Ⅲ</x:v>
      </x:c>
      <x:c r="B3495" s="55" t="str">
        <x:v>—</x:v>
      </x:c>
      <x:c r="C3495" s="55" t="str">
        <x:v>—</x:v>
      </x:c>
      <x:c r="D3495" s="55" t="str">
        <x:v>—</x:v>
      </x:c>
      <x:c r="E3495" s="55" t="inlineStr">
        <x:is>
          <x:t>—</x:t>
        </x:is>
      </x:c>
    </x:row>
    <x:row r="3496" ht="15" customHeight="1">
      <x:c r="A3496" s="55" t="str">
        <x:v>宿星閃靴Ⅲ</x:v>
      </x:c>
      <x:c r="B3496" s="55" t="str">
        <x:v>—</x:v>
      </x:c>
      <x:c r="C3496" s="55" t="str">
        <x:v>—</x:v>
      </x:c>
      <x:c r="D3496" s="55" t="str">
        <x:v>—</x:v>
      </x:c>
      <x:c r="E3496" s="55" t="inlineStr">
        <x:is>
          <x:t>—</x:t>
        </x:is>
      </x:c>
    </x:row>
    <x:row r="3497" ht="15" customHeight="1">
      <x:c r="A3497" s="55" t="str">
        <x:v>劍豪旭靴Ⅳ</x:v>
      </x:c>
      <x:c r="B3497" s="55" t="str">
        <x:v>—</x:v>
      </x:c>
      <x:c r="C3497" s="55" t="str">
        <x:v>—</x:v>
      </x:c>
      <x:c r="D3497" s="55" t="str">
        <x:v>—</x:v>
      </x:c>
      <x:c r="E3497" s="55" t="inlineStr">
        <x:is>
          <x:t>—</x:t>
        </x:is>
      </x:c>
    </x:row>
    <x:row r="3498" ht="15" customHeight="1">
      <x:c r="A3498" s="55" t="str">
        <x:v>勇將旭立Ⅳ</x:v>
      </x:c>
      <x:c r="B3498" s="55" t="str">
        <x:v>—</x:v>
      </x:c>
      <x:c r="C3498" s="55" t="str">
        <x:v>—</x:v>
      </x:c>
      <x:c r="D3498" s="55" t="str">
        <x:v>—</x:v>
      </x:c>
      <x:c r="E3498" s="55" t="inlineStr">
        <x:is>
          <x:t>—</x:t>
        </x:is>
      </x:c>
    </x:row>
    <x:row r="3499" ht="15" customHeight="1">
      <x:c r="A3499" s="55" t="str">
        <x:v>術凌旭步Ⅳ</x:v>
      </x:c>
      <x:c r="B3499" s="55" t="str">
        <x:v>—</x:v>
      </x:c>
      <x:c r="C3499" s="55" t="str">
        <x:v>—</x:v>
      </x:c>
      <x:c r="D3499" s="55" t="str">
        <x:v>—</x:v>
      </x:c>
      <x:c r="E3499" s="55" t="inlineStr">
        <x:is>
          <x:t>—</x:t>
        </x:is>
      </x:c>
    </x:row>
    <x:row r="3500" ht="15" customHeight="1">
      <x:c r="A3500" s="55" t="str">
        <x:v>道清旭鞋Ⅳ</x:v>
      </x:c>
      <x:c r="B3500" s="55" t="str">
        <x:v>—</x:v>
      </x:c>
      <x:c r="C3500" s="55" t="str">
        <x:v>—</x:v>
      </x:c>
      <x:c r="D3500" s="55" t="str">
        <x:v>—</x:v>
      </x:c>
      <x:c r="E3500" s="55" t="inlineStr">
        <x:is>
          <x:t>—</x:t>
        </x:is>
      </x:c>
    </x:row>
    <x:row r="3501" ht="15" customHeight="1">
      <x:c r="A3501" s="55" t="str">
        <x:v>禪臺旭足Ⅳ</x:v>
      </x:c>
      <x:c r="B3501" s="55" t="str">
        <x:v>—</x:v>
      </x:c>
      <x:c r="C3501" s="55" t="str">
        <x:v>—</x:v>
      </x:c>
      <x:c r="D3501" s="55" t="str">
        <x:v>—</x:v>
      </x:c>
      <x:c r="E3501" s="55" t="inlineStr">
        <x:is>
          <x:t>—</x:t>
        </x:is>
      </x:c>
    </x:row>
    <x:row r="3502" ht="15" customHeight="1">
      <x:c r="A3502" s="55" t="str">
        <x:v>狂陽烈蹴Ⅳ</x:v>
      </x:c>
      <x:c r="B3502" s="55" t="str">
        <x:v>—</x:v>
      </x:c>
      <x:c r="C3502" s="55" t="str">
        <x:v>—</x:v>
      </x:c>
      <x:c r="D3502" s="55" t="str">
        <x:v>—</x:v>
      </x:c>
      <x:c r="E3502" s="55" t="inlineStr">
        <x:is>
          <x:t>—</x:t>
        </x:is>
      </x:c>
    </x:row>
    <x:row r="3503" ht="15" customHeight="1">
      <x:c r="A3503" s="55" t="str">
        <x:v>靜月織足Ⅳ</x:v>
      </x:c>
      <x:c r="B3503" s="55" t="str">
        <x:v>—</x:v>
      </x:c>
      <x:c r="C3503" s="55" t="str">
        <x:v>—</x:v>
      </x:c>
      <x:c r="D3503" s="55" t="str">
        <x:v>—</x:v>
      </x:c>
      <x:c r="E3503" s="55" t="inlineStr">
        <x:is>
          <x:t>—</x:t>
        </x:is>
      </x:c>
    </x:row>
    <x:row r="3504" ht="15" customHeight="1">
      <x:c r="A3504" s="55" t="str">
        <x:v>宿星閃靴Ⅳ</x:v>
      </x:c>
      <x:c r="B3504" s="55" t="str">
        <x:v>—</x:v>
      </x:c>
      <x:c r="C3504" s="55" t="str">
        <x:v>—</x:v>
      </x:c>
      <x:c r="D3504" s="55" t="str">
        <x:v>—</x:v>
      </x:c>
      <x:c r="E3504" s="55" t="inlineStr">
        <x:is>
          <x:t>凜雪鴉錦囊（網站未列地圖）</x:t>
        </x:is>
      </x:c>
    </x:row>
    <x:row r="3505" ht="15" customHeight="1">
      <x:c r="A3505" s="55" t="str">
        <x:v>劍豪旭靴Ⅴ</x:v>
      </x:c>
      <x:c r="B3505" s="55" t="str">
        <x:v>—</x:v>
      </x:c>
      <x:c r="C3505" s="55" t="str">
        <x:v>—</x:v>
      </x:c>
      <x:c r="D3505" s="55" t="str">
        <x:v>—</x:v>
      </x:c>
      <x:c r="E3505" s="55" t="inlineStr">
        <x:is>
          <x:t>—</x:t>
        </x:is>
      </x:c>
    </x:row>
    <x:row r="3506" ht="15" customHeight="1">
      <x:c r="A3506" s="55" t="str">
        <x:v>勇將旭立Ⅴ</x:v>
      </x:c>
      <x:c r="B3506" s="55" t="str">
        <x:v>—</x:v>
      </x:c>
      <x:c r="C3506" s="55" t="str">
        <x:v>—</x:v>
      </x:c>
      <x:c r="D3506" s="55" t="str">
        <x:v>—</x:v>
      </x:c>
      <x:c r="E3506" s="55" t="inlineStr">
        <x:is>
          <x:t>—</x:t>
        </x:is>
      </x:c>
    </x:row>
    <x:row r="3507" ht="15" customHeight="1">
      <x:c r="A3507" s="55" t="str">
        <x:v>術凌旭步Ⅴ</x:v>
      </x:c>
      <x:c r="B3507" s="55" t="str">
        <x:v>—</x:v>
      </x:c>
      <x:c r="C3507" s="55" t="str">
        <x:v>—</x:v>
      </x:c>
      <x:c r="D3507" s="55" t="str">
        <x:v>—</x:v>
      </x:c>
      <x:c r="E3507" s="55" t="inlineStr">
        <x:is>
          <x:t>—</x:t>
        </x:is>
      </x:c>
    </x:row>
    <x:row r="3508" ht="15" customHeight="1">
      <x:c r="A3508" s="55" t="str">
        <x:v>道清旭鞋Ⅴ</x:v>
      </x:c>
      <x:c r="B3508" s="55" t="str">
        <x:v>—</x:v>
      </x:c>
      <x:c r="C3508" s="55" t="str">
        <x:v>—</x:v>
      </x:c>
      <x:c r="D3508" s="55" t="str">
        <x:v>—</x:v>
      </x:c>
      <x:c r="E3508" s="55" t="inlineStr">
        <x:is>
          <x:t>—</x:t>
        </x:is>
      </x:c>
    </x:row>
    <x:row r="3509" ht="15" customHeight="1">
      <x:c r="A3509" s="55" t="str">
        <x:v>禪臺旭足Ⅴ</x:v>
      </x:c>
      <x:c r="B3509" s="55" t="str">
        <x:v>—</x:v>
      </x:c>
      <x:c r="C3509" s="55" t="str">
        <x:v>—</x:v>
      </x:c>
      <x:c r="D3509" s="55" t="str">
        <x:v>—</x:v>
      </x:c>
      <x:c r="E3509" s="55" t="inlineStr">
        <x:is>
          <x:t>—</x:t>
        </x:is>
      </x:c>
    </x:row>
    <x:row r="3510" ht="15" customHeight="1">
      <x:c r="A3510" s="55" t="str">
        <x:v>狂陽烈蹴Ⅴ</x:v>
      </x:c>
      <x:c r="B3510" s="55" t="str">
        <x:v>—</x:v>
      </x:c>
      <x:c r="C3510" s="55" t="str">
        <x:v>—</x:v>
      </x:c>
      <x:c r="D3510" s="55" t="str">
        <x:v>—</x:v>
      </x:c>
      <x:c r="E3510" s="55" t="inlineStr">
        <x:is>
          <x:t>—</x:t>
        </x:is>
      </x:c>
    </x:row>
    <x:row r="3511" ht="15" customHeight="1">
      <x:c r="A3511" s="55" t="str">
        <x:v>靜月織足Ⅴ</x:v>
      </x:c>
      <x:c r="B3511" s="55" t="str">
        <x:v>—</x:v>
      </x:c>
      <x:c r="C3511" s="55" t="str">
        <x:v>—</x:v>
      </x:c>
      <x:c r="D3511" s="55" t="str">
        <x:v>—</x:v>
      </x:c>
      <x:c r="E3511" s="55" t="inlineStr">
        <x:is>
          <x:t>—</x:t>
        </x:is>
      </x:c>
    </x:row>
    <x:row r="3512" ht="15" customHeight="1">
      <x:c r="A3512" s="55" t="str">
        <x:v>宿星閃靴Ⅴ</x:v>
      </x:c>
      <x:c r="B3512" s="55" t="str">
        <x:v>—</x:v>
      </x:c>
      <x:c r="C3512" s="55" t="str">
        <x:v>—</x:v>
      </x:c>
      <x:c r="D3512" s="55" t="str">
        <x:v>—</x:v>
      </x:c>
      <x:c r="E3512" s="55" t="inlineStr">
        <x:is>
          <x:t>—</x:t>
        </x:is>
      </x:c>
    </x:row>
    <x:row r="3513" ht="15" customHeight="1">
      <x:c r="A3513" s="55" t="str">
        <x:v>宇鋒飆靴Ⅰ</x:v>
      </x:c>
      <x:c r="B3513" s="55" t="str">
        <x:v>—</x:v>
      </x:c>
      <x:c r="C3513" s="55" t="str">
        <x:v>—</x:v>
      </x:c>
      <x:c r="D3513" s="55" t="str">
        <x:v>—</x:v>
      </x:c>
      <x:c r="E3513" s="55" t="inlineStr">
        <x:is>
          <x:t>玄宙劍裝錦囊（網站未列地圖）</x:t>
        </x:is>
      </x:c>
    </x:row>
    <x:row r="3514" ht="15" customHeight="1">
      <x:c r="A3514" s="55" t="str">
        <x:v>天衛宙脛Ⅰ</x:v>
      </x:c>
      <x:c r="B3514" s="55" t="str">
        <x:v>—</x:v>
      </x:c>
      <x:c r="C3514" s="55" t="str">
        <x:v>—</x:v>
      </x:c>
      <x:c r="D3514" s="55" t="str">
        <x:v>—</x:v>
      </x:c>
      <x:c r="E3514" s="55" t="inlineStr">
        <x:is>
          <x:t>玄宙勇裝錦囊（網站未列地圖）</x:t>
        </x:is>
      </x:c>
    </x:row>
    <x:row r="3515" ht="15" customHeight="1">
      <x:c r="A3515" s="55" t="str">
        <x:v>光術疾履Ⅰ</x:v>
      </x:c>
      <x:c r="B3515" s="55" t="str">
        <x:v>—</x:v>
      </x:c>
      <x:c r="C3515" s="55" t="str">
        <x:v>—</x:v>
      </x:c>
      <x:c r="D3515" s="55" t="str">
        <x:v>—</x:v>
      </x:c>
      <x:c r="E3515" s="55" t="inlineStr">
        <x:is>
          <x:t>玄宙術裝錦囊（網站未列地圖）</x:t>
        </x:is>
      </x:c>
    </x:row>
    <x:row r="3516" ht="15" customHeight="1">
      <x:c r="A3516" s="55" t="str">
        <x:v>辰道玄鞋Ⅰ</x:v>
      </x:c>
      <x:c r="B3516" s="55" t="str">
        <x:v>—</x:v>
      </x:c>
      <x:c r="C3516" s="55" t="str">
        <x:v>—</x:v>
      </x:c>
      <x:c r="D3516" s="55" t="str">
        <x:v>—</x:v>
      </x:c>
      <x:c r="E3516" s="55" t="inlineStr">
        <x:is>
          <x:t>玄宙道裝錦囊（網站未列地圖）</x:t>
        </x:is>
      </x:c>
    </x:row>
    <x:row r="3517" ht="15" customHeight="1">
      <x:c r="A3517" s="55" t="str">
        <x:v>寂禪矜足Ⅰ</x:v>
      </x:c>
      <x:c r="B3517" s="55" t="str">
        <x:v>—</x:v>
      </x:c>
      <x:c r="C3517" s="55" t="str">
        <x:v>—</x:v>
      </x:c>
      <x:c r="D3517" s="55" t="str">
        <x:v>—</x:v>
      </x:c>
      <x:c r="E3517" s="55" t="inlineStr">
        <x:is>
          <x:t>玄宙僧裝錦囊（網站未列地圖）</x:t>
        </x:is>
      </x:c>
    </x:row>
    <x:row r="3518" ht="15" customHeight="1">
      <x:c r="A3518" s="55" t="str">
        <x:v>騰陽巍立Ⅰ</x:v>
      </x:c>
      <x:c r="B3518" s="55" t="str">
        <x:v>—</x:v>
      </x:c>
      <x:c r="C3518" s="55" t="str">
        <x:v>—</x:v>
      </x:c>
      <x:c r="D3518" s="55" t="str">
        <x:v>—</x:v>
      </x:c>
      <x:c r="E3518" s="55" t="inlineStr">
        <x:is>
          <x:t>玄宙騰陽特裝箱（網站未列地圖）；玄宙特仕裝箱（網站未列地圖）</x:t>
        </x:is>
      </x:c>
    </x:row>
    <x:row r="3519" ht="15" customHeight="1">
      <x:c r="A3519" s="55" t="str">
        <x:v>凜月漪纏Ⅰ</x:v>
      </x:c>
      <x:c r="B3519" s="55" t="str">
        <x:v>—</x:v>
      </x:c>
      <x:c r="C3519" s="55" t="str">
        <x:v>—</x:v>
      </x:c>
      <x:c r="D3519" s="55" t="str">
        <x:v>—</x:v>
      </x:c>
      <x:c r="E3519" s="55" t="inlineStr">
        <x:is>
          <x:t>玄宙凜月特裝箱（網站未列地圖）；玄宙特仕裝箱（網站未列地圖）</x:t>
        </x:is>
      </x:c>
    </x:row>
    <x:row r="3520" ht="15" customHeight="1">
      <x:c r="A3520" s="55" t="str">
        <x:v>舞星鋁行Ⅰ</x:v>
      </x:c>
      <x:c r="B3520" s="55" t="str">
        <x:v>—</x:v>
      </x:c>
      <x:c r="C3520" s="55" t="str">
        <x:v>—</x:v>
      </x:c>
      <x:c r="D3520" s="55" t="str">
        <x:v>—</x:v>
      </x:c>
      <x:c r="E3520" s="55" t="inlineStr">
        <x:is>
          <x:t>玄宙舞星特裝箱（網站未列地圖）；玄宙特仕裝箱（網站未列地圖）</x:t>
        </x:is>
      </x:c>
    </x:row>
    <x:row r="3521" ht="15" customHeight="1">
      <x:c r="A3521" s="55" t="str">
        <x:v>宇鋒飆靴Ⅱ</x:v>
      </x:c>
      <x:c r="B3521" s="55" t="str">
        <x:v>—</x:v>
      </x:c>
      <x:c r="C3521" s="55" t="str">
        <x:v>—</x:v>
      </x:c>
      <x:c r="D3521" s="55" t="str">
        <x:v>—</x:v>
      </x:c>
      <x:c r="E3521" s="55" t="inlineStr">
        <x:is>
          <x:t>真．玄宙劍裝錦囊（網站未列地圖）</x:t>
        </x:is>
      </x:c>
    </x:row>
    <x:row r="3522" ht="15" customHeight="1">
      <x:c r="A3522" s="55" t="str">
        <x:v>天衛宙脛Ⅱ</x:v>
      </x:c>
      <x:c r="B3522" s="55" t="str">
        <x:v>—</x:v>
      </x:c>
      <x:c r="C3522" s="55" t="str">
        <x:v>—</x:v>
      </x:c>
      <x:c r="D3522" s="55" t="str">
        <x:v>—</x:v>
      </x:c>
      <x:c r="E3522" s="55" t="inlineStr">
        <x:is>
          <x:t>真．玄宙勇裝錦囊（網站未列地圖）</x:t>
        </x:is>
      </x:c>
    </x:row>
    <x:row r="3523" ht="15" customHeight="1">
      <x:c r="A3523" s="55" t="str">
        <x:v>光術疾履Ⅱ</x:v>
      </x:c>
      <x:c r="B3523" s="55" t="str">
        <x:v>—</x:v>
      </x:c>
      <x:c r="C3523" s="55" t="str">
        <x:v>—</x:v>
      </x:c>
      <x:c r="D3523" s="55" t="str">
        <x:v>—</x:v>
      </x:c>
      <x:c r="E3523" s="55" t="inlineStr">
        <x:is>
          <x:t>真．玄宙術裝錦囊（網站未列地圖）</x:t>
        </x:is>
      </x:c>
    </x:row>
    <x:row r="3524" ht="15" customHeight="1">
      <x:c r="A3524" s="55" t="str">
        <x:v>辰道玄鞋Ⅱ</x:v>
      </x:c>
      <x:c r="B3524" s="55" t="str">
        <x:v>—</x:v>
      </x:c>
      <x:c r="C3524" s="55" t="str">
        <x:v>—</x:v>
      </x:c>
      <x:c r="D3524" s="55" t="str">
        <x:v>—</x:v>
      </x:c>
      <x:c r="E3524" s="55" t="inlineStr">
        <x:is>
          <x:t>真．玄宙道裝錦囊（網站未列地圖）</x:t>
        </x:is>
      </x:c>
    </x:row>
    <x:row r="3525" ht="15" customHeight="1">
      <x:c r="A3525" s="55" t="str">
        <x:v>寂禪矜足Ⅱ</x:v>
      </x:c>
      <x:c r="B3525" s="55" t="str">
        <x:v>—</x:v>
      </x:c>
      <x:c r="C3525" s="55" t="str">
        <x:v>—</x:v>
      </x:c>
      <x:c r="D3525" s="55" t="str">
        <x:v>—</x:v>
      </x:c>
      <x:c r="E3525" s="55" t="inlineStr">
        <x:is>
          <x:t>真．玄宙僧裝錦囊（網站未列地圖）</x:t>
        </x:is>
      </x:c>
    </x:row>
    <x:row r="3526" ht="15" customHeight="1">
      <x:c r="A3526" s="55" t="str">
        <x:v>騰陽巍立Ⅱ</x:v>
      </x:c>
      <x:c r="B3526" s="55" t="str">
        <x:v>—</x:v>
      </x:c>
      <x:c r="C3526" s="55" t="str">
        <x:v>—</x:v>
      </x:c>
      <x:c r="D3526" s="55" t="str">
        <x:v>—</x:v>
      </x:c>
      <x:c r="E3526" s="55" t="inlineStr">
        <x:is>
          <x:t>真．玄宙騰陽裝箱（網站未列地圖）；真．玄宙特仕裝箱（網站未列地圖）</x:t>
        </x:is>
      </x:c>
    </x:row>
    <x:row r="3527" ht="30" customHeight="1">
      <x:c r="A3527" s="55" t="str">
        <x:v>凜月漪纏Ⅱ</x:v>
      </x:c>
      <x:c r="B3527" s="55" t="str">
        <x:v>—</x:v>
      </x:c>
      <x:c r="C3527" s="55" t="str">
        <x:v>—</x:v>
      </x:c>
      <x:c r="D3527" s="55" t="str">
        <x:v>—</x:v>
      </x:c>
      <x:c r="E3527" s="55" t="inlineStr">
        <x:is>
          <x:t>真．玄宙凜月裝箱（網站未列地圖）；真．玄宙特仕裝箱（網站未列地圖）；活俠唐默鈴錦囊（網站未列地圖）；活俠夏侯蘭錦囊（網站未列地圖）</x:t>
        </x:is>
      </x:c>
    </x:row>
    <x:row r="3528" ht="15" customHeight="1">
      <x:c r="A3528" s="55" t="str">
        <x:v>舞星鋁行Ⅱ</x:v>
      </x:c>
      <x:c r="B3528" s="55" t="str">
        <x:v>—</x:v>
      </x:c>
      <x:c r="C3528" s="55" t="str">
        <x:v>—</x:v>
      </x:c>
      <x:c r="D3528" s="55" t="str">
        <x:v>—</x:v>
      </x:c>
      <x:c r="E3528" s="55" t="inlineStr">
        <x:is>
          <x:t>真．玄宙舞星裝箱（網站未列地圖）；真．玄宙特仕裝箱（網站未列地圖）；活俠趙活錦囊（網站未列地圖）</x:t>
        </x:is>
      </x:c>
    </x:row>
    <x:row r="3529" ht="15" customHeight="1">
      <x:c r="A3529" s="55" t="str">
        <x:v>宇鋒飆靴Ⅲ</x:v>
      </x:c>
      <x:c r="B3529" s="55" t="str">
        <x:v>—</x:v>
      </x:c>
      <x:c r="C3529" s="55" t="str">
        <x:v>—</x:v>
      </x:c>
      <x:c r="D3529" s="55" t="str">
        <x:v>—</x:v>
      </x:c>
      <x:c r="E3529" s="55" t="inlineStr">
        <x:is>
          <x:t>超．玄宙劍裝錦囊（網站未列地圖）</x:t>
        </x:is>
      </x:c>
    </x:row>
    <x:row r="3530" ht="15" customHeight="1">
      <x:c r="A3530" s="55" t="str">
        <x:v>天衛宙脛Ⅲ</x:v>
      </x:c>
      <x:c r="B3530" s="55" t="str">
        <x:v>—</x:v>
      </x:c>
      <x:c r="C3530" s="55" t="str">
        <x:v>—</x:v>
      </x:c>
      <x:c r="D3530" s="55" t="str">
        <x:v>—</x:v>
      </x:c>
      <x:c r="E3530" s="55" t="inlineStr">
        <x:is>
          <x:t>超．玄宙勇裝錦囊（網站未列地圖）</x:t>
        </x:is>
      </x:c>
    </x:row>
    <x:row r="3531" ht="15" customHeight="1">
      <x:c r="A3531" s="55" t="str">
        <x:v>光術疾履Ⅲ</x:v>
      </x:c>
      <x:c r="B3531" s="55" t="str">
        <x:v>—</x:v>
      </x:c>
      <x:c r="C3531" s="55" t="str">
        <x:v>—</x:v>
      </x:c>
      <x:c r="D3531" s="55" t="str">
        <x:v>—</x:v>
      </x:c>
      <x:c r="E3531" s="55" t="inlineStr">
        <x:is>
          <x:t>超．玄宙術裝錦囊（網站未列地圖）</x:t>
        </x:is>
      </x:c>
    </x:row>
    <x:row r="3532" ht="15" customHeight="1">
      <x:c r="A3532" s="55" t="str">
        <x:v>辰道玄鞋Ⅲ</x:v>
      </x:c>
      <x:c r="B3532" s="55" t="str">
        <x:v>—</x:v>
      </x:c>
      <x:c r="C3532" s="55" t="str">
        <x:v>—</x:v>
      </x:c>
      <x:c r="D3532" s="55" t="str">
        <x:v>—</x:v>
      </x:c>
      <x:c r="E3532" s="55" t="inlineStr">
        <x:is>
          <x:t>超．玄宙道裝錦囊（網站未列地圖）</x:t>
        </x:is>
      </x:c>
    </x:row>
    <x:row r="3533" ht="15" customHeight="1">
      <x:c r="A3533" s="55" t="str">
        <x:v>寂禪矜足Ⅲ</x:v>
      </x:c>
      <x:c r="B3533" s="55" t="str">
        <x:v>—</x:v>
      </x:c>
      <x:c r="C3533" s="55" t="str">
        <x:v>—</x:v>
      </x:c>
      <x:c r="D3533" s="55" t="str">
        <x:v>—</x:v>
      </x:c>
      <x:c r="E3533" s="55" t="inlineStr">
        <x:is>
          <x:t>超．玄宙僧裝錦囊（網站未列地圖）</x:t>
        </x:is>
      </x:c>
    </x:row>
    <x:row r="3534" ht="15" customHeight="1">
      <x:c r="A3534" s="55" t="str">
        <x:v>騰陽巍立Ⅲ</x:v>
      </x:c>
      <x:c r="B3534" s="55" t="str">
        <x:v>—</x:v>
      </x:c>
      <x:c r="C3534" s="55" t="str">
        <x:v>—</x:v>
      </x:c>
      <x:c r="D3534" s="55" t="str">
        <x:v>—</x:v>
      </x:c>
      <x:c r="E3534" s="55" t="inlineStr">
        <x:is>
          <x:t>超．玄宙騰陽裝箱（網站未列地圖）；超．玄宙特仕裝箱（網站未列地圖）</x:t>
        </x:is>
      </x:c>
    </x:row>
    <x:row r="3535" ht="15" customHeight="1">
      <x:c r="A3535" s="55" t="str">
        <x:v>凜月漪纏Ⅲ</x:v>
      </x:c>
      <x:c r="B3535" s="55" t="str">
        <x:v>—</x:v>
      </x:c>
      <x:c r="C3535" s="55" t="str">
        <x:v>—</x:v>
      </x:c>
      <x:c r="D3535" s="55" t="str">
        <x:v>—</x:v>
      </x:c>
      <x:c r="E3535" s="55" t="inlineStr">
        <x:is>
          <x:t>超．玄宙凜月裝箱（網站未列地圖）；超．玄宙特仕裝箱（網站未列地圖）</x:t>
        </x:is>
      </x:c>
    </x:row>
    <x:row r="3536" ht="15" customHeight="1">
      <x:c r="A3536" s="55" t="str">
        <x:v>舞星鋁行Ⅲ</x:v>
      </x:c>
      <x:c r="B3536" s="55" t="str">
        <x:v>—</x:v>
      </x:c>
      <x:c r="C3536" s="55" t="str">
        <x:v>—</x:v>
      </x:c>
      <x:c r="D3536" s="55" t="str">
        <x:v>—</x:v>
      </x:c>
      <x:c r="E3536" s="55" t="inlineStr">
        <x:is>
          <x:t>超．玄宙舞星裝箱（網站未列地圖）；超．玄宙特仕裝箱（網站未列地圖）</x:t>
        </x:is>
      </x:c>
    </x:row>
    <x:row r="3537" ht="15" customHeight="1">
      <x:c r="A3537" s="55" t="str">
        <x:v>宇鋒飆靴Ⅳ</x:v>
      </x:c>
      <x:c r="B3537" s="55" t="str">
        <x:v>—</x:v>
      </x:c>
      <x:c r="C3537" s="55" t="str">
        <x:v>—</x:v>
      </x:c>
      <x:c r="D3537" s="55" t="str">
        <x:v>—</x:v>
      </x:c>
      <x:c r="E3537" s="55" t="inlineStr">
        <x:is>
          <x:t>極．玄宙劍裝錦囊（網站未列地圖）</x:t>
        </x:is>
      </x:c>
    </x:row>
    <x:row r="3538" ht="15" customHeight="1">
      <x:c r="A3538" s="55" t="str">
        <x:v>天衛宙脛Ⅳ</x:v>
      </x:c>
      <x:c r="B3538" s="55" t="str">
        <x:v>—</x:v>
      </x:c>
      <x:c r="C3538" s="55" t="str">
        <x:v>—</x:v>
      </x:c>
      <x:c r="D3538" s="55" t="str">
        <x:v>—</x:v>
      </x:c>
      <x:c r="E3538" s="55" t="inlineStr">
        <x:is>
          <x:t>極．玄宙勇裝錦囊（網站未列地圖）</x:t>
        </x:is>
      </x:c>
    </x:row>
    <x:row r="3539" ht="15" customHeight="1">
      <x:c r="A3539" s="55" t="str">
        <x:v>光術疾履Ⅳ</x:v>
      </x:c>
      <x:c r="B3539" s="55" t="str">
        <x:v>—</x:v>
      </x:c>
      <x:c r="C3539" s="55" t="str">
        <x:v>—</x:v>
      </x:c>
      <x:c r="D3539" s="55" t="str">
        <x:v>—</x:v>
      </x:c>
      <x:c r="E3539" s="55" t="inlineStr">
        <x:is>
          <x:t>極．玄宙術裝錦囊（網站未列地圖）</x:t>
        </x:is>
      </x:c>
    </x:row>
    <x:row r="3540" ht="15" customHeight="1">
      <x:c r="A3540" s="55" t="str">
        <x:v>辰道玄鞋Ⅳ</x:v>
      </x:c>
      <x:c r="B3540" s="55" t="str">
        <x:v>—</x:v>
      </x:c>
      <x:c r="C3540" s="55" t="str">
        <x:v>—</x:v>
      </x:c>
      <x:c r="D3540" s="55" t="str">
        <x:v>—</x:v>
      </x:c>
      <x:c r="E3540" s="55" t="inlineStr">
        <x:is>
          <x:t>極．玄宙道裝錦囊（網站未列地圖）</x:t>
        </x:is>
      </x:c>
    </x:row>
    <x:row r="3541" ht="15" customHeight="1">
      <x:c r="A3541" s="55" t="str">
        <x:v>寂禪矜足Ⅳ</x:v>
      </x:c>
      <x:c r="B3541" s="55" t="str">
        <x:v>—</x:v>
      </x:c>
      <x:c r="C3541" s="55" t="str">
        <x:v>—</x:v>
      </x:c>
      <x:c r="D3541" s="55" t="str">
        <x:v>—</x:v>
      </x:c>
      <x:c r="E3541" s="55" t="inlineStr">
        <x:is>
          <x:t>極．玄宙僧裝錦囊（網站未列地圖）</x:t>
        </x:is>
      </x:c>
    </x:row>
    <x:row r="3542" ht="15" customHeight="1">
      <x:c r="A3542" s="55" t="str">
        <x:v>騰陽巍立Ⅳ</x:v>
      </x:c>
      <x:c r="B3542" s="55" t="str">
        <x:v>—</x:v>
      </x:c>
      <x:c r="C3542" s="55" t="str">
        <x:v>—</x:v>
      </x:c>
      <x:c r="D3542" s="55" t="str">
        <x:v>—</x:v>
      </x:c>
      <x:c r="E3542" s="55" t="inlineStr">
        <x:is>
          <x:t>極．玄宙騰陽裝箱（網站未列地圖）；極．玄宙特仕裝箱（網站未列地圖）</x:t>
        </x:is>
      </x:c>
    </x:row>
    <x:row r="3543" ht="15" customHeight="1">
      <x:c r="A3543" s="55" t="str">
        <x:v>凜月漪纏Ⅳ</x:v>
      </x:c>
      <x:c r="B3543" s="55" t="str">
        <x:v>—</x:v>
      </x:c>
      <x:c r="C3543" s="55" t="str">
        <x:v>—</x:v>
      </x:c>
      <x:c r="D3543" s="55" t="str">
        <x:v>—</x:v>
      </x:c>
      <x:c r="E3543" s="55" t="inlineStr">
        <x:is>
          <x:t>極．玄宙凜月裝箱（網站未列地圖）；極．玄宙特仕裝箱（網站未列地圖）</x:t>
        </x:is>
      </x:c>
    </x:row>
    <x:row r="3544" ht="15" customHeight="1">
      <x:c r="A3544" s="55" t="str">
        <x:v>舞星鋁行Ⅳ</x:v>
      </x:c>
      <x:c r="B3544" s="55" t="str">
        <x:v>—</x:v>
      </x:c>
      <x:c r="C3544" s="55" t="str">
        <x:v>—</x:v>
      </x:c>
      <x:c r="D3544" s="55" t="str">
        <x:v>—</x:v>
      </x:c>
      <x:c r="E3544" s="55" t="inlineStr">
        <x:is>
          <x:t>極．玄宙舞星裝箱（網站未列地圖）；極．玄宙特仕裝箱（網站未列地圖）</x:t>
        </x:is>
      </x:c>
    </x:row>
    <x:row r="3545" ht="15" customHeight="1">
      <x:c r="A3545" s="55" t="str">
        <x:v>宇鋒飆靴Ⅴ</x:v>
      </x:c>
      <x:c r="B3545" s="55" t="str">
        <x:v>—</x:v>
      </x:c>
      <x:c r="C3545" s="55" t="str">
        <x:v>—</x:v>
      </x:c>
      <x:c r="D3545" s="55" t="str">
        <x:v>—</x:v>
      </x:c>
      <x:c r="E3545" s="55" t="inlineStr">
        <x:is>
          <x:t>神．玄宙劍裝錦囊（網站未列地圖）</x:t>
        </x:is>
      </x:c>
    </x:row>
    <x:row r="3546" ht="15" customHeight="1">
      <x:c r="A3546" s="55" t="str">
        <x:v>天衛宙脛Ⅴ</x:v>
      </x:c>
      <x:c r="B3546" s="55" t="str">
        <x:v>—</x:v>
      </x:c>
      <x:c r="C3546" s="55" t="str">
        <x:v>—</x:v>
      </x:c>
      <x:c r="D3546" s="55" t="str">
        <x:v>—</x:v>
      </x:c>
      <x:c r="E3546" s="55" t="inlineStr">
        <x:is>
          <x:t>神．玄宙勇裝錦囊（網站未列地圖）</x:t>
        </x:is>
      </x:c>
    </x:row>
    <x:row r="3547" ht="15" customHeight="1">
      <x:c r="A3547" s="55" t="str">
        <x:v>光術疾履Ⅴ</x:v>
      </x:c>
      <x:c r="B3547" s="55" t="str">
        <x:v>—</x:v>
      </x:c>
      <x:c r="C3547" s="55" t="str">
        <x:v>—</x:v>
      </x:c>
      <x:c r="D3547" s="55" t="str">
        <x:v>—</x:v>
      </x:c>
      <x:c r="E3547" s="55" t="inlineStr">
        <x:is>
          <x:t>神．玄宙術裝錦囊（網站未列地圖）</x:t>
        </x:is>
      </x:c>
    </x:row>
    <x:row r="3548" ht="15" customHeight="1">
      <x:c r="A3548" s="55" t="str">
        <x:v>辰道玄鞋Ⅴ</x:v>
      </x:c>
      <x:c r="B3548" s="55" t="str">
        <x:v>—</x:v>
      </x:c>
      <x:c r="C3548" s="55" t="str">
        <x:v>—</x:v>
      </x:c>
      <x:c r="D3548" s="55" t="str">
        <x:v>—</x:v>
      </x:c>
      <x:c r="E3548" s="55" t="inlineStr">
        <x:is>
          <x:t>神．玄宙道裝錦囊（網站未列地圖）</x:t>
        </x:is>
      </x:c>
    </x:row>
    <x:row r="3549" ht="15" customHeight="1">
      <x:c r="A3549" s="55" t="str">
        <x:v>寂禪矜足Ⅴ</x:v>
      </x:c>
      <x:c r="B3549" s="55" t="str">
        <x:v>—</x:v>
      </x:c>
      <x:c r="C3549" s="55" t="str">
        <x:v>—</x:v>
      </x:c>
      <x:c r="D3549" s="55" t="str">
        <x:v>—</x:v>
      </x:c>
      <x:c r="E3549" s="55" t="inlineStr">
        <x:is>
          <x:t>神．玄宙僧裝錦囊（網站未列地圖）</x:t>
        </x:is>
      </x:c>
    </x:row>
    <x:row r="3550" ht="15" customHeight="1">
      <x:c r="A3550" s="55" t="str">
        <x:v>騰陽巍立Ⅴ</x:v>
      </x:c>
      <x:c r="B3550" s="55" t="str">
        <x:v>—</x:v>
      </x:c>
      <x:c r="C3550" s="55" t="str">
        <x:v>—</x:v>
      </x:c>
      <x:c r="D3550" s="55" t="str">
        <x:v>—</x:v>
      </x:c>
      <x:c r="E3550" s="55" t="inlineStr">
        <x:is>
          <x:t>神．玄宙騰陽裝箱（網站未列地圖）；神．玄宙特仕裝箱（網站未列地圖）</x:t>
        </x:is>
      </x:c>
    </x:row>
    <x:row r="3551" ht="15" customHeight="1">
      <x:c r="A3551" s="55" t="str">
        <x:v>凜月漪纏Ⅴ</x:v>
      </x:c>
      <x:c r="B3551" s="55" t="str">
        <x:v>—</x:v>
      </x:c>
      <x:c r="C3551" s="55" t="str">
        <x:v>—</x:v>
      </x:c>
      <x:c r="D3551" s="55" t="str">
        <x:v>—</x:v>
      </x:c>
      <x:c r="E3551" s="55" t="inlineStr">
        <x:is>
          <x:t>神．玄宙凜月裝箱（網站未列地圖）；神．玄宙特仕裝箱（網站未列地圖）</x:t>
        </x:is>
      </x:c>
    </x:row>
    <x:row r="3552" ht="15" customHeight="1">
      <x:c r="A3552" s="55" t="str">
        <x:v>舞星鋁行Ⅴ</x:v>
      </x:c>
      <x:c r="B3552" s="55" t="str">
        <x:v>—</x:v>
      </x:c>
      <x:c r="C3552" s="55" t="str">
        <x:v>—</x:v>
      </x:c>
      <x:c r="D3552" s="55" t="str">
        <x:v>—</x:v>
      </x:c>
      <x:c r="E3552" s="55" t="inlineStr">
        <x:is>
          <x:t>神．玄宙舞星裝箱（網站未列地圖）；神．玄宙特仕裝箱（網站未列地圖）</x:t>
        </x:is>
      </x:c>
    </x:row>
    <x:row r="3553" ht="120" customHeight="1">
      <x:c r="A3553" s="55" t="str">
        <x:v>護身符</x:v>
      </x:c>
      <x:c r="B3553" s="55" t="str">
        <x:v>—</x:v>
      </x:c>
      <x:c r="C3553" s="55" t="str">
        <x:v>京城、祁州、玄州當舖商人、維摩洞天黑心狐</x:v>
      </x:c>
      <x:c r="D3553" s="55" t="str">
        <x:v>—</x:v>
      </x:c>
      <x:c r="E3553" s="55" t="inlineStr">
        <x:is>
          <x:t>幕影忍者（外崎埠原、十津原樹海、伊取川大陣）；精武兵衛（內崎埠原、外崎埠原、伊取川大陣）；邪教道長（飛仙岩、朝天嶺、朝天觀、亂藤林東方）；疾狩忍者（葉隱蒼林、神室關所、內崎埠原）；海賊迅忍（長野沙濱）；初陰陽師（神室關所、內崎埠原）；鬼嶽親衛弓侍（伊取川大陣）；潛水肥兔（大寶礁、龍宮第三層）；邪教弟子（飛仙岩、朝天嶺、朝天觀、亂藤林東方）；綠方支持者（網站未列地圖）；飛毛兔（桃花林東方、桃花林、桃花林西方、掩月松林）；邪教道士（飛仙岩、朝天嶺、朝天觀、亂藤林東方）；綠方捍衛者（網站未列地圖）；邪教弟子（試煉之窟）；邪教道士（試煉之窟）；小妖狸（桃花林東方、桃花林）；小穀狸（網站未列地圖）；小狐妖（網站未列地圖）；妖狸寶寶（網站未列地圖）；小兔精（網站未列地圖）；{千面狐}（瀰煙山道、半天岩、不老峰）；千面狐（瀰煙山道、半天岩、不老峰）</x:t>
        </x:is>
      </x:c>
    </x:row>
    <x:row r="3554" ht="45" customHeight="1">
      <x:c r="A3554" s="55" t="str">
        <x:v>佛珠</x:v>
      </x:c>
      <x:c r="B3554" s="55" t="str">
        <x:v>—</x:v>
      </x:c>
      <x:c r="C3554" s="55" t="str">
        <x:v>京城、祁州、玄州當舖商人、維摩洞天黑心狐</x:v>
      </x:c>
      <x:c r="D3554" s="55" t="str">
        <x:v>—</x:v>
      </x:c>
      <x:c r="E3554" s="55" t="inlineStr">
        <x:is>
          <x:t>棄禪邪僧（祥鷺古街）；幕影忍者（外崎埠原、十津原樹海、伊取川大陣）；精武兵衛（內崎埠原、外崎埠原、伊取川大陣）；疾狩忍者（葉隱蒼林、神室關所、內崎埠原）；海賊迅忍（長野沙濱）；初陰陽師（神室關所、內崎埠原）；鬼嶽親衛弓侍（伊取川大陣）；破戒僧（天山雪道、亂藤林東方）；花和尚（天山雪道、亂藤林東方）</x:t>
        </x:is>
      </x:c>
    </x:row>
    <x:row r="3555" ht="180" customHeight="1">
      <x:c r="A3555" s="55" t="str">
        <x:v>翡翠玉鐲</x:v>
      </x:c>
      <x:c r="B3555" s="55" t="str">
        <x:v>—</x:v>
      </x:c>
      <x:c r="C3555" s="55" t="str">
        <x:v>—</x:v>
      </x:c>
      <x:c r="D3555" s="55" t="str">
        <x:v>—</x:v>
      </x:c>
      <x:c r="E3555" s="55" t="inlineStr">
        <x:is>
          <x:t>[冰執鐮鼬]（網站未列地圖）；冰執鐮鼬（內崎埠原、外崎埠原、十津原樹海）；[劍刺傘鬼]（網站未列地圖）；劍刺傘鬼（八荒古墳）；燃影鐮鼬（外崎埠原、天照不二峰）；魅亂傘鬼（內崎埠原、外崎埠原、十津原樹海）；[魅亂傘鬼]（網站未列地圖）；魅亂傘鬼（內崎埠原、外崎埠原、十津原樹海）；兔仙人（網站未列地圖）；[兔仙人]（網站未列地圖）；野良犬（長野沙濱、葉隱蒼林、神室關所、內崎埠原）；海上怨靈（極東海域）；冤魂（猛鬼窟第一層、猛鬼窟第二層、朝天觀、樓蘭遺址）；長林大盜（長林谷）；邊關賊寇隊長（八達嶺、古北口、邊關要塞）；江湖刀客（長林谷）；鐵勾惡盜（長林谷）；鴻星扛把子（碧波幽谷）；山賊頭目（塞北關、映月泊、猢猻嶺、封神臺）；海魅（東方海域）；林魅（桃花林、桃花林西方、掩月松林）；山魅（瀰煙山道、半天岩）；林魅（盤蛇洞、掩月松林）；山魅（盤蛇洞、半天岩）；山魔（桃花林西方）；林魔（桃花林西方）；流寇頭子（碧波幽谷、亂藤林東方）；流寇（碧波幽谷、亂藤林東方）；藍方支持者（網站未列地圖）；飛賊（塞北關、映月泊、封神臺）；飛賊（塞北關、映月泊、封神臺、試煉之窟）；飛賊（試煉之窟）；遊魂（望星坡、獄門峽、猛鬼窟第一層、猛鬼窟第二層、朝天觀）；土匪（碧波幽谷、朝天觀、亂藤林東方）；藍方捍衛者（網站未列地圖）；大盜（碧波幽谷、朝天觀、亂藤林東方）；土匪（試煉之窟）</x:t>
        </x:is>
      </x:c>
    </x:row>
    <x:row r="3556" ht="285" customHeight="1">
      <x:c r="A3556" s="55" t="str">
        <x:v>翡翠玉珮</x:v>
      </x:c>
      <x:c r="B3556" s="55" t="str">
        <x:v>—</x:v>
      </x:c>
      <x:c r="C3556" s="55" t="str">
        <x:v>—</x:v>
      </x:c>
      <x:c r="D3556" s="55" t="str">
        <x:v>—</x:v>
      </x:c>
      <x:c r="E3556" s="55" t="inlineStr">
        <x:is>
          <x:t>[冰執鐮鼬]（網站未列地圖）；冰執鐮鼬（內崎埠原、外崎埠原、十津原樹海）；大將衝石徹（黑城遺跡）；衝石徹幻影（亂石林）；衝石徹（大汗陵墓）；[劍刺傘鬼]（網站未列地圖）；劍刺傘鬼（八荒古墳）；邊關賊寇隊長（八達嶺、古北口、邊關要塞）；長林大盜（長林谷）；燎原戰士（大汗陵墓）；燎原戰士幻影（網站未列地圖）；2轉劍影（五派禁地）；草原戰士（呼倫草原、貝爾草原、大汗陵墓、蒼狼大營）；[草原戰士]（網站未列地圖）；2轉女劍影（五派禁地）；九陽劍宗（五派禁地）；雷霆劍宗（五派禁地）；煉氣宗（五派禁地）；玄氣宗（五派禁地）；大將衝石徹（關外草原）；草原長槍兵（塞北草原、呼倫草原、亂石林、大汗陵墓、統萬大營）；蒼狼精兵（塞北草原）；1轉女劍影（五派禁地）；1轉劍影（五派禁地）；燃影鐮鼬（外崎埠原、天照不二峰）；魅亂傘鬼（內崎埠原、外崎埠原、十津原樹海）；[魅亂傘鬼]（網站未列地圖）；魅亂傘鬼（內崎埠原、外崎埠原、十津原樹海）；兔仙人（網站未列地圖）；[兔仙人]（網站未列地圖）；野良犬（長野沙濱、葉隱蒼林、神室關所、內崎埠原）；海上怨靈（極東海域）；冤魂（猛鬼窟第一層、猛鬼窟第二層、朝天觀、樓蘭遺址）；北斗星君（五派禁地）；江湖刀客（長林谷）；鐵勾惡盜（長林谷）；鴻星扛把子（碧波幽谷）；山賊頭目（塞北關、映月泊、猢猻嶺、封神臺）；大刀賊寇（長林谷）；海魅（東方海域）；林魅（桃花林、桃花林西方、掩月松林）；山魅（瀰煙山道、半天岩）；林魅（盤蛇洞、掩月松林）；山魅（盤蛇洞、半天岩）；山魔（桃花林西方）；林魔（桃花林西方）；火藥惡賊（長林谷）；山賊（塞北關、映月泊、猢猻嶺、封神臺）；山賊（塞北關、映月泊、猢猻嶺、封神臺、試煉之窟）；邊關賊寇嘍囉（邊關要塞）；凡人（五派禁地）；邊關賊寇嘍囉（八達嶺、古北口、古北大營、邊關要塞）；流亡叛軍士兵（八達嶺、古北口、古北大營）；流寇（碧波幽谷、亂藤林東方）；藍方支持者（網站未列地圖）；山蓮打手（碧波幽谷）；冬興打手（碧波幽谷）；鴻星火藥惡棍（碧波幽谷）；鴻星打手（碧波幽谷）；紫衫惡煞（亂藤林東方）；山蓮首領（碧波幽谷）；冬興堂主（碧波幽谷）；遊魂（望星坡、獄門峽、猛鬼窟第一層、猛鬼窟第二層、朝天觀）；山賊（試煉之窟）；流寇頭子（碧波幽谷、亂藤林東方）</x:t>
        </x:is>
      </x:c>
    </x:row>
    <x:row r="3557" ht="15" customHeight="1">
      <x:c r="A3557" s="55" t="str">
        <x:v>辟邪佛珠</x:v>
      </x:c>
      <x:c r="B3557" s="55" t="str">
        <x:v>解決瘴癘之氣</x:v>
      </x:c>
      <x:c r="C3557" s="55" t="str">
        <x:v>—</x:v>
      </x:c>
      <x:c r="D3557" s="55" t="str">
        <x:v>—</x:v>
      </x:c>
      <x:c r="E3557" s="55" t="inlineStr">
        <x:is>
          <x:t>—</x:t>
        </x:is>
      </x:c>
    </x:row>
    <x:row r="3558" ht="15" customHeight="1">
      <x:c r="A3558" s="55" t="str">
        <x:v>定情玉鐲</x:v>
      </x:c>
      <x:c r="B3558" s="55" t="str">
        <x:v>千里姻緣紅線牽系列</x:v>
      </x:c>
      <x:c r="C3558" s="55" t="str">
        <x:v>—</x:v>
      </x:c>
      <x:c r="D3558" s="55" t="str">
        <x:v>—</x:v>
      </x:c>
      <x:c r="E3558" s="55" t="inlineStr">
        <x:is>
          <x:t>—</x:t>
        </x:is>
      </x:c>
    </x:row>
    <x:row r="3559" ht="15" customHeight="1">
      <x:c r="A3559" s="55" t="str">
        <x:v>翡翠冷玉</x:v>
      </x:c>
      <x:c r="B3559" s="55" t="str">
        <x:v>尋找京城錢府失物</x:v>
      </x:c>
      <x:c r="C3559" s="55" t="str">
        <x:v>—</x:v>
      </x:c>
      <x:c r="D3559" s="55" t="str">
        <x:v>—</x:v>
      </x:c>
      <x:c r="E3559" s="55" t="inlineStr">
        <x:is>
          <x:t>—</x:t>
        </x:is>
      </x:c>
    </x:row>
    <x:row r="3560" ht="15" customHeight="1">
      <x:c r="A3560" s="55" t="str">
        <x:v>辟邪明珠</x:v>
      </x:c>
      <x:c r="B3560" s="55" t="str">
        <x:v>買賣不明寶物</x:v>
      </x:c>
      <x:c r="C3560" s="55" t="str">
        <x:v>—</x:v>
      </x:c>
      <x:c r="D3560" s="55" t="str">
        <x:v>—</x:v>
      </x:c>
      <x:c r="E3560" s="55" t="inlineStr">
        <x:is>
          <x:t>—</x:t>
        </x:is>
      </x:c>
    </x:row>
    <x:row r="3561" ht="15" customHeight="1">
      <x:c r="A3561" s="55" t="str">
        <x:v>烏玉鐲</x:v>
      </x:c>
      <x:c r="B3561" s="55" t="str">
        <x:v>買賣不明寶物</x:v>
      </x:c>
      <x:c r="C3561" s="55" t="str">
        <x:v>—</x:v>
      </x:c>
      <x:c r="D3561" s="55" t="str">
        <x:v>—</x:v>
      </x:c>
      <x:c r="E3561" s="55" t="inlineStr">
        <x:is>
          <x:t>—</x:t>
        </x:is>
      </x:c>
    </x:row>
    <x:row r="3562" ht="15" customHeight="1">
      <x:c r="A3562" s="55" t="str">
        <x:v>靈獸牙繩</x:v>
      </x:c>
      <x:c r="B3562" s="55" t="str">
        <x:v>尋找風水奇書</x:v>
      </x:c>
      <x:c r="C3562" s="55" t="str">
        <x:v>—</x:v>
      </x:c>
      <x:c r="D3562" s="55" t="str">
        <x:v>—</x:v>
      </x:c>
      <x:c r="E3562" s="55" t="inlineStr">
        <x:is>
          <x:t>—</x:t>
        </x:is>
      </x:c>
    </x:row>
    <x:row r="3563" ht="15" customHeight="1">
      <x:c r="A3563" s="55" t="str">
        <x:v>翠玉手鐲</x:v>
      </x:c>
      <x:c r="B3563" s="55" t="str">
        <x:v>跑鏢任務</x:v>
      </x:c>
      <x:c r="C3563" s="55" t="str">
        <x:v>—</x:v>
      </x:c>
      <x:c r="D3563" s="55" t="str">
        <x:v>—</x:v>
      </x:c>
      <x:c r="E3563" s="55" t="inlineStr">
        <x:is>
          <x:t>—</x:t>
        </x:is>
      </x:c>
    </x:row>
    <x:row r="3564" ht="15" customHeight="1">
      <x:c r="A3564" s="55" t="str">
        <x:v>刑天項圈</x:v>
      </x:c>
      <x:c r="B3564" s="55" t="str">
        <x:v>刑天族的試煉</x:v>
      </x:c>
      <x:c r="C3564" s="55" t="str">
        <x:v>—</x:v>
      </x:c>
      <x:c r="D3564" s="55" t="str">
        <x:v>—</x:v>
      </x:c>
      <x:c r="E3564" s="55" t="inlineStr">
        <x:is>
          <x:t>校尉錦囊（網站未列地圖）</x:t>
        </x:is>
      </x:c>
    </x:row>
    <x:row r="3565" ht="15" customHeight="1">
      <x:c r="A3565" s="55" t="str">
        <x:v>夸父鍊珠</x:v>
      </x:c>
      <x:c r="B3565" s="55" t="str">
        <x:v>夸父族的試煉</x:v>
      </x:c>
      <x:c r="C3565" s="55" t="str">
        <x:v>—</x:v>
      </x:c>
      <x:c r="D3565" s="55" t="str">
        <x:v>—</x:v>
      </x:c>
      <x:c r="E3565" s="55" t="inlineStr">
        <x:is>
          <x:t>校尉錦囊（網站未列地圖）</x:t>
        </x:is>
      </x:c>
    </x:row>
    <x:row r="3566" ht="15" customHeight="1">
      <x:c r="A3566" s="55" t="str">
        <x:v>南風夜鐲</x:v>
      </x:c>
      <x:c r="B3566" s="55" t="str">
        <x:v>沙漠響馬</x:v>
      </x:c>
      <x:c r="C3566" s="55" t="str">
        <x:v>—</x:v>
      </x:c>
      <x:c r="D3566" s="55" t="str">
        <x:v>—</x:v>
      </x:c>
      <x:c r="E3566" s="55" t="inlineStr">
        <x:is>
          <x:t>夜帝魔袋（網站未列地圖）</x:t>
        </x:is>
      </x:c>
    </x:row>
    <x:row r="3567" ht="15" customHeight="1">
      <x:c r="A3567" s="55" t="str">
        <x:v>蜃樓戒</x:v>
      </x:c>
      <x:c r="B3567" s="55" t="str">
        <x:v>西域邪神復甦</x:v>
      </x:c>
      <x:c r="C3567" s="55" t="str">
        <x:v>—</x:v>
      </x:c>
      <x:c r="D3567" s="55" t="str">
        <x:v>—</x:v>
      </x:c>
      <x:c r="E3567" s="55" t="inlineStr">
        <x:is>
          <x:t>—</x:t>
        </x:is>
      </x:c>
    </x:row>
    <x:row r="3568" ht="30" customHeight="1">
      <x:c r="A3568" s="55" t="str">
        <x:v>福運御守</x:v>
      </x:c>
      <x:c r="B3568" s="55" t="str">
        <x:v>—</x:v>
      </x:c>
      <x:c r="C3568" s="55" t="str">
        <x:v>—</x:v>
      </x:c>
      <x:c r="D3568" s="55" t="str">
        <x:v>—</x:v>
      </x:c>
      <x:c r="E3568" s="55" t="inlineStr">
        <x:is>
          <x:t>稀奇裝備箱．乙式（網站未列地圖）；虎年吉祥紅包（網站未列地圖）；消暑絹黃錦囊（網站未列地圖）；戊子賀歲福袋（網站未列地圖）；傳情錦囊（網站未列地圖）</x:t>
        </x:is>
      </x:c>
    </x:row>
    <x:row r="3569" ht="15" customHeight="1">
      <x:c r="A3569" s="55" t="str">
        <x:v>飛霜銀鍊</x:v>
      </x:c>
      <x:c r="B3569" s="55" t="str">
        <x:v>擒回脫逃忍者</x:v>
      </x:c>
      <x:c r="C3569" s="55" t="str">
        <x:v>—</x:v>
      </x:c>
      <x:c r="D3569" s="55" t="str">
        <x:v>—</x:v>
      </x:c>
      <x:c r="E3569" s="55" t="inlineStr">
        <x:is>
          <x:t>—</x:t>
        </x:is>
      </x:c>
    </x:row>
    <x:row r="3570" ht="15" customHeight="1">
      <x:c r="A3570" s="55" t="str">
        <x:v>磐石勾鍊</x:v>
      </x:c>
      <x:c r="B3570" s="55" t="str">
        <x:v>仙貍石像維護</x:v>
      </x:c>
      <x:c r="C3570" s="55" t="str">
        <x:v>—</x:v>
      </x:c>
      <x:c r="D3570" s="55" t="str">
        <x:v>—</x:v>
      </x:c>
      <x:c r="E3570" s="55" t="inlineStr">
        <x:is>
          <x:t>—</x:t>
        </x:is>
      </x:c>
    </x:row>
    <x:row r="3571" ht="15" customHeight="1">
      <x:c r="A3571" s="55" t="str">
        <x:v>質樸翠玉鐲</x:v>
      </x:c>
      <x:c r="B3571" s="55" t="str">
        <x:v>高飛遠集</x:v>
      </x:c>
      <x:c r="C3571" s="55" t="str">
        <x:v>—</x:v>
      </x:c>
      <x:c r="D3571" s="55" t="str">
        <x:v>—</x:v>
      </x:c>
      <x:c r="E3571" s="55" t="inlineStr">
        <x:is>
          <x:t>來電神鳥寶箱（網站未列地圖）</x:t>
        </x:is>
      </x:c>
    </x:row>
    <x:row r="3572" ht="15" customHeight="1">
      <x:c r="A3572" s="55" t="str">
        <x:v>精靈之淚</x:v>
      </x:c>
      <x:c r="B3572" s="55" t="str">
        <x:v>烈火赤子情</x:v>
      </x:c>
      <x:c r="C3572" s="55" t="str">
        <x:v>—</x:v>
      </x:c>
      <x:c r="D3572" s="55" t="str">
        <x:v>—</x:v>
      </x:c>
      <x:c r="E3572" s="55" t="inlineStr">
        <x:is>
          <x:t>—</x:t>
        </x:is>
      </x:c>
    </x:row>
    <x:row r="3573" ht="15" customHeight="1">
      <x:c r="A3573" s="55" t="str">
        <x:v>艾濟儀戒</x:v>
      </x:c>
      <x:c r="B3573" s="55" t="str">
        <x:v>艾濟主線</x:v>
      </x:c>
      <x:c r="C3573" s="55" t="str">
        <x:v>—</x:v>
      </x:c>
      <x:c r="D3573" s="55" t="str">
        <x:v>—</x:v>
      </x:c>
      <x:c r="E3573" s="55" t="inlineStr">
        <x:is>
          <x:t>—</x:t>
        </x:is>
      </x:c>
    </x:row>
    <x:row r="3574" ht="15" customHeight="1">
      <x:c r="A3574" s="55" t="str">
        <x:v>聖甲蟲項鍊</x:v>
      </x:c>
      <x:c r="B3574" s="55" t="str">
        <x:v>黎明終會到來</x:v>
      </x:c>
      <x:c r="C3574" s="55" t="str">
        <x:v>—</x:v>
      </x:c>
      <x:c r="D3574" s="55" t="str">
        <x:v>—</x:v>
      </x:c>
      <x:c r="E3574" s="55" t="inlineStr">
        <x:is>
          <x:t>—</x:t>
        </x:is>
      </x:c>
    </x:row>
    <x:row r="3575" ht="15" customHeight="1">
      <x:c r="A3575" s="55" t="str">
        <x:v>皇衛銀鍊</x:v>
      </x:c>
      <x:c r="B3575" s="55" t="str">
        <x:v>皇城主線</x:v>
      </x:c>
      <x:c r="C3575" s="55" t="str">
        <x:v>—</x:v>
      </x:c>
      <x:c r="D3575" s="55" t="str">
        <x:v>—</x:v>
      </x:c>
      <x:c r="E3575" s="55" t="inlineStr">
        <x:is>
          <x:t>—</x:t>
        </x:is>
      </x:c>
    </x:row>
    <x:row r="3576" ht="15" customHeight="1">
      <x:c r="A3576" s="55" t="str">
        <x:v>長疆項墜</x:v>
      </x:c>
      <x:c r="B3576" s="55" t="str">
        <x:v>長疆主線</x:v>
      </x:c>
      <x:c r="C3576" s="55" t="str">
        <x:v>—</x:v>
      </x:c>
      <x:c r="D3576" s="55" t="str">
        <x:v>—</x:v>
      </x:c>
      <x:c r="E3576" s="55" t="inlineStr">
        <x:is>
          <x:t>—</x:t>
        </x:is>
      </x:c>
    </x:row>
    <x:row r="3577" ht="15" customHeight="1">
      <x:c r="A3577" s="55" t="str">
        <x:v>南遼護飾</x:v>
      </x:c>
      <x:c r="B3577" s="55" t="str">
        <x:v>神州2主線</x:v>
      </x:c>
      <x:c r="C3577" s="55" t="str">
        <x:v>—</x:v>
      </x:c>
      <x:c r="D3577" s="55" t="str">
        <x:v>—</x:v>
      </x:c>
      <x:c r="E3577" s="55" t="inlineStr">
        <x:is>
          <x:t>—</x:t>
        </x:is>
      </x:c>
    </x:row>
    <x:row r="3578" ht="270" customHeight="1">
      <x:c r="A3578" s="55" t="str">
        <x:v>抗火護符</x:v>
      </x:c>
      <x:c r="B3578" s="55" t="str">
        <x:v>—</x:v>
      </x:c>
      <x:c r="C3578" s="55" t="str">
        <x:v>—</x:v>
      </x:c>
      <x:c r="D3578" s="55" t="str">
        <x:v>—</x:v>
      </x:c>
      <x:c r="E3578" s="55" t="inlineStr">
        <x:is>
          <x:t>血槍幫小頭目（高昌郡）；傀儡羅剎劍俠（網站未列地圖）；羅剎劍俠遊魂（網站未列地圖）；羅剎劍俠（塔干沙漠西方）；黯火妖靈（烈火靈界裂隙）；布衣幫首領（高昌郡）；燃影鐮鼬（外崎埠原、天照不二峰）；疾狩忍者（葉隱蒼林、神室關所、內崎埠原）；赤烈鬼（伊取川大陣）；血咒怨靈（極東海域）；初陰陽師（神室關所、內崎埠原）；冤水鬼（瘴癘靈界裂隙、怒雪靈界裂隙）；鬼嶽親衛弓侍（伊取川大陣）；惡水鬼（映月泊、怒雪修煉場、朝天觀、葬日沼澤北方、萬人塚第三層）；冥火妖（烈火靈界裂隙）；火妖（望星坡、萬人塚第二層、朝天觀、萬人塚第三層、地靈穴、蕈菇林）；{火妖}（桃花林南方、不老峰）；邪火妖（望星坡、烈火修煉場、朝天觀、葬日沼澤北方、萬人塚第三層）；火界妖靈（烈火靈界通道、火雲洞府、棲鳳崖、鳳凰台）；邪火妖（望星坡、烈火修煉場、朝天觀、葬日沼澤北方、萬人塚第三層）；紫靈貂（呼倫草原、貝爾草原、亂石林、疾風谷）；烈火妖靈（網站未列地圖）；巨石魔（烈火靈界裂隙、怒雪靈界裂隙、五派禁地）；烈火妖魔（棲鳳崖、鳳凰台）；金石怪（入雲道、碧波谷徑、摘星嶺、棲鳳崖、鳳凰台、地靈穴、蕈菇林）；金石怪（入雲道、碧波谷徑、摘星嶺、棲鳳崖、鳳凰台、地靈穴、蕈菇林）；火界鬼卒（烈火靈界通道、火雲洞府、烈火修煉場）；血參巫（網站未列地圖）；黯火鬼卒（烈火靈界裂隙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火蟾蜍（平西關、碧波谷徑、巨猿洞窟一層、巨猿洞窟二層、百妖穴第一層、萬人塚第一層、葬日沼澤北方、盤蛇洞、棲鳳崖、河西谷地）；巨角龜精（網站未列地圖）；巨角龜（桃花林東方）；玄龜（桃花林東方）</x:t>
        </x:is>
      </x:c>
    </x:row>
    <x:row r="3579" ht="315" customHeight="1">
      <x:c r="A3579" s="55" t="str">
        <x:v>抗冰護符</x:v>
      </x:c>
      <x:c r="B3579" s="55" t="str">
        <x:v>—</x:v>
      </x:c>
      <x:c r="C3579" s="55" t="str">
        <x:v>—</x:v>
      </x:c>
      <x:c r="D3579" s="55" t="str">
        <x:v>—</x:v>
      </x:c>
      <x:c r="E3579" s="55" t="inlineStr">
        <x:is>
          <x:t>鳳凰包裹（網站未列地圖）；龍王寶箱（網站未列地圖）；鳳凰寶箱（網站未列地圖）；[冰執鐮鼬]（網站未列地圖）；冰執鐮鼬（內崎埠原、外崎埠原、十津原樹海）；精武兵衛（內崎埠原、外崎埠原、伊取川大陣）；海賊迅忍（長野沙濱）；青行鬼（外崎埠原、天照不二峰、八荒古墳、伊取川大陣）；海上怨靈（極東海域）；玄冰妖靈（怒雪靈界裂隙）；冤水鬼（瘴癘靈界裂隙、怒雪靈界裂隙）；八爪海怪（龍宮第七層、龍宮八層一隅、龍宮八層廣場）；惡水鬼（映月泊、怒雪修煉場、朝天觀、葬日沼澤北方、萬人塚第三層）；白巨虎（天山冰池）；冰界妖靈（怒雪靈界通道、怒雪洞府）；紫靈貂（呼倫草原、貝爾草原、亂石林、疾風谷）；巨石魔（烈火靈界裂隙、怒雪靈界裂隙、五派禁地）；金石怪（入雲道、碧波谷徑、摘星嶺、棲鳳崖、鳳凰台、地靈穴、蕈菇林）；野馬（八達嶺、古北口、塞北草原、河西谷地）；雪狼（入雲道、塞北關、惡狼林、天山雪道）；寒冰鬼卒（怒雪靈界裂隙）；血參巫（網站未列地圖）；天山雪狼（天山冰池）；山羊（塞北草原、呼倫草原、貝爾草原、河西谷地）；金石怪（入雲道、碧波谷徑、摘星嶺、棲鳳崖、鳳凰台、地靈穴、蕈菇林）；冰界鬼卒（怒雪靈界通道、怒雪洞府、怒雪修煉場）；狼王（天山冰池、八達嶺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冰蟾蜍（映月泊、百妖穴第一層、萬人塚第一層、天山雪道、盤蛇洞）；赤羽鶴（棲鳳崖、鳳凰台）；巨角龜精（網站未列地圖）；巨角龜（桃花林東方）；鬼螯蝦兵（桃花林東方、桃花林南方、大寶礁、龍宮第七層、龍宮八層廣場）；巨螯蝦兵（桃花林東方、桃花林南方、珊瑚帶、大寶礁、龍宮八層廣場）；玄龜（桃花林東方）；巨蟾蜍（古皇陵近郊、映月泊、平西關、碧波谷徑、巨猿洞窟一層、百妖穴第一層、萬人塚第一層、葬日沼澤北方、河西谷地）；巨蟾蜍（古皇陵近郊、映月泊、平西關、碧波谷徑、巨猿洞窟一層、百妖穴第一層、試煉之窟、萬人塚第一層、葬日沼澤北方、河西谷地）；巨蟾蜍（試煉之窟）</x:t>
        </x:is>
      </x:c>
    </x:row>
    <x:row r="3580" ht="210" customHeight="1">
      <x:c r="A3580" s="55" t="str">
        <x:v>抗雷護符</x:v>
      </x:c>
      <x:c r="B3580" s="55" t="str">
        <x:v>—</x:v>
      </x:c>
      <x:c r="C3580" s="55" t="str">
        <x:v>—</x:v>
      </x:c>
      <x:c r="D3580" s="55" t="str">
        <x:v>—</x:v>
      </x:c>
      <x:c r="E3580" s="55" t="inlineStr">
        <x:is>
          <x:t>血槍幫小頭目（高昌郡）；金翅王（鷹翅族部落）；羅剎槍士（塔干沙漠西方）；幕影忍者（外崎埠原、十津原樹海、伊取川大陣）；大黑天（萬佛窟、火焰山）；咒法陰陽師（外崎埠原、十津原樹海、八荒古墳）；激雷鐮鼬（長野沙濱、葉隱蒼林、神室關所、天照不二峰）；[激雷鐮鼬]（網站未列地圖）；激雷鐮鼬（長野沙濱、葉隱蒼林、神室關所、天照不二峰）；龍駻將（龍宮八層一隅、龍宮八層廣場）；執怨般若（十津原樹海、天照不二峰）；鬼嶽親衛槍侍（伊取川大陣）；傀儡羅剎槍士（網站未列地圖）；羅剎槍士遊魂（網站未列地圖）；冤水鬼（瘴癘靈界裂隙、怒雪靈界裂隙）；鷹族戰士（葬日沼澤、摘星嶺、鷹翅族部落）；惡水鬼（映月泊、怒雪修煉場、朝天觀、葬日沼澤北方、萬人塚第三層）；白巨虎（天山冰池）；紫靈貂（呼倫草原、貝爾草原、亂石林、疾風谷）；巨石魔（烈火靈界裂隙、怒雪靈界裂隙、五派禁地）；金石怪（入雲道、碧波谷徑、摘星嶺、棲鳳崖、鳳凰台、地靈穴、蕈菇林）；金石怪（入雲道、碧波谷徑、摘星嶺、棲鳳崖、鳳凰台、地靈穴、蕈菇林）；食人虎（封神臺、亂藤林西方、鷹翅族部落、掩月松林、八達嶺、古北口）；惡水鬼（映月泊、怒雪修煉場、朝天觀、葬日沼澤北方、萬人塚第三層）；石怪（入雲道、碧波谷徑、摘星嶺、地靈穴、蕈菇林）；{石怪}（不老峰）；天山食人虎（天山冰池）；[天山食人虎]（網站未列地圖）；惡水妖（桃花林西方）；虎鬥士（瀰煙山道、掩月松林）；虎霸王（掩月松林）；[虎霸王]（網站未列地圖）；水鬼（映月泊、萬人塚第二層、朝天觀、萬人塚第三層）；{水鬼}（桃花林東方、桃花林西方）；幽冥水鬼（網站未列地圖）；巨角龜精（網站未列地圖）；巨角龜（桃花林東方）；玄龜（桃花林東方）</x:t>
        </x:is>
      </x:c>
    </x:row>
    <x:row r="3581" ht="255" customHeight="1">
      <x:c r="A3581" s="55" t="str">
        <x:v>抗冥護符</x:v>
      </x:c>
      <x:c r="B3581" s="55" t="str">
        <x:v>—</x:v>
      </x:c>
      <x:c r="C3581" s="55" t="str">
        <x:v>—</x:v>
      </x:c>
      <x:c r="D3581" s="55" t="str">
        <x:v>—</x:v>
      </x:c>
      <x:c r="E3581" s="55" t="inlineStr">
        <x:is>
          <x:t>怒海狂蛟（極東海域）；秘行忍者（十津原樹海、天照不二峰、伊取川大陣）；御使陰陽師（天照不二峰、八荒古墳、伊取川大陣）；蒼鱗蛟龍（極東海域）；黑巨蛟（極東海域）；死靈水母（龍宮第七層、龍宮八層一隅、龍宮八層廣場）；血刃般若（天照不二峰、八荒古墳）；淬毒妖靈（瘴癘靈界裂隙）；冤水鬼（瘴癘靈界裂隙、怒雪靈界裂隙）；八爪海怪（龍宮第七層、龍宮八層一隅、龍宮八層廣場）；惡水鬼（映月泊、怒雪修煉場、朝天觀、葬日沼澤北方、萬人塚第三層）；巨石魔（烈火靈界裂隙、怒雪靈界裂隙、五派禁地）；毒界妖靈（瘴癘靈界通道、蠱毒洞府）；金石怪（入雲道、碧波谷徑、摘星嶺、棲鳳崖、鳳凰台、地靈穴、蕈菇林）；蠱毒鬼卒（瘴癘靈界裂隙）；金石怪（入雲道、碧波谷徑、摘星嶺、棲鳳崖、鳳凰台、地靈穴、蕈菇林）；毒界鬼卒（瘴癘靈界通道、蠱毒洞府、瘴癘修煉場）；血參巫（網站未列地圖）；惡水鬼（映月泊、怒雪修煉場、朝天觀、葬日沼澤北方、萬人塚第三層）；石怪（入雲道、碧波谷徑、摘星嶺、地靈穴、蕈菇林）；{石怪}（不老峰）；紫靈貂（呼倫草原、貝爾草原、亂石林、疾風谷）；惡水妖（桃花林西方）；虎霸王（掩月松林）；[虎霸王]（網站未列地圖）；食人虎（封神臺、亂藤林西方、鷹翅族部落、掩月松林、八達嶺、古北口）；斑紋蜘蛛（望星坡、碧波谷徑、古皇陵第一層、古皇陵第二層、百妖穴第一層、亂藤林東方、百妖穴第二層）；沙漠斑蛛（塔干沙漠西方）；水鬼（映月泊、萬人塚第二層、朝天觀、萬人塚第三層）；{水鬼}（桃花林東方、桃花林西方）；幽冥水鬼（網站未列地圖）；幻面蜘蛛（長林谷）；虎鬥士（瀰煙山道、掩月松林）；妖面蜘蛛（百妖穴第一層、亂藤林東方、百妖穴第二層）；巨角龜精（網站未列地圖）；巨角龜（桃花林東方）；鬼面蜘蛛（碧波谷徑、百妖穴第一層、百妖穴第二層、盤蛇洞、地靈穴、蕈菇林）；沙漠蠱毒蜘蛛（塔干沙漠西方）；玄龜（桃花林東方）；毒蟾蜍（碧波谷徑、百妖穴第一層、萬人塚第一層、亂藤林、亂藤林東方、葬日沼澤北方、毒龍潭、盤蛇洞、河西谷地）</x:t>
        </x:is>
      </x:c>
    </x:row>
    <x:row r="3582" ht="330" customHeight="1">
      <x:c r="A3582" s="55" t="str">
        <x:v>體魄佛珠</x:v>
      </x:c>
      <x:c r="B3582" s="55" t="str">
        <x:v>—</x:v>
      </x:c>
      <x:c r="C3582" s="55" t="str">
        <x:v>維摩洞天黑心狐</x:v>
      </x:c>
      <x:c r="D3582" s="55" t="str">
        <x:v>—</x:v>
      </x:c>
      <x:c r="E3582" s="55" t="inlineStr">
        <x:is>
          <x:t>龍王寶箱（網站未列地圖）；阿波狸仙（長野沙濱、葉隱蒼林、十津原樹海）；溺誘河童（內崎埠原、外崎埠原、十津原樹海）；神龍將（龍宮八層廣場）；校尉錦囊（網站未列地圖）；龍骨河童（網站未列地圖）；鬼河童（葉隱蒼林、神室關所）；[鬼河童]（網站未列地圖）；鬼河童（葉隱蒼林、神室關所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巨靈魔（獄門峽）；藍鯊兵（龍宮第六層、龍宮第七層、龍宮八層一隅、龍宮八層廣場）；山犬王（古皇陵近郊）；千年靈芝精（天山冰池）；千年蔘精（天山冰池）；[千年靈芝精]（網站未列地圖）；[千年蔘精]（網站未列地圖）；[熊武者]（網站未列地圖）；熊武者（桃花林西方、不老峰）；賊寇頭目（鎮南關密道）；江洋大盜（碧波幽谷、朝天觀、亂藤林東方）；長林惡棍（長林谷）；大獒犬（長林谷）；人蔘精（不老峰）；靈芝精（不老峰）；人蔘精（不老峰）；幽魂（鬼城）；大刀賊寇（長林谷）；冥火妖（烈火靈界裂隙）；烈火妖魔（棲鳳崖、鳳凰台）；邪火妖（望星坡、烈火修煉場、朝天觀、葬日沼澤北方、萬人塚第三層）；邪火妖（望星坡、烈火修煉場、朝天觀、葬日沼澤北方、萬人塚第三層）；山寨大王（塞北關、映月泊、封神臺、亂藤林東方）；靈芝精（不老峰）；山神豬（五派禁地）；長林惡匪（長林谷）；潛水胖貍（龍宮第三層）；大山豬（惡狼林、古皇陵近郊、猢猻嶺、封神臺、亂藤林西方、鷹翅族部落）；大山豬（惡狼林、古皇陵近郊、猢猻嶺、封神臺、試煉之窟、亂藤林西方、鷹翅族部落）；火妖（望星坡、萬人塚第二層、朝天觀、萬人塚第三層、地靈穴、蕈菇林）；{火妖}（桃花林南方、不老峰）；食人巨猿（猢猻嶺、巨猿洞窟一層、巨猿洞窟二層、八達嶺、古北口）；大山豬（試煉之窟）；綠毛狂猿（巨猿洞窟二層、碧波幽谷、夜叉嶺）；烈火妖靈（網站未列地圖）；白毛巨猿（入雲道、天山雪道、瀰煙山道）；紅毛巨猿（猢猻嶺、巨猿洞窟一層、巨猿洞窟二層）；長林狂猿（長林谷）；鴻星打手（碧波幽谷）；紫衫惡煞（亂藤林東方）；冬興堂主（碧波幽谷）；毒界妖靈（瘴癘靈界通道、蠱毒洞府）；火界妖靈（烈火靈界通道、火雲洞府、棲鳳崖、鳳凰台）；冰界妖靈（怒雪靈界通道、怒雪洞府）；天山巨猿（天山冰池）；[天山巨猿]（網站未列地圖）；大豬妖（網站未列地圖）；巨狂猿（巨猿洞窟二層、碧波幽谷、摘星嶺、夜叉嶺）；大力熊（桃花林西方、桃花林南方、不老峰）；覓蜜熊（桃花林、桃花林西方、桃花林南方）</x:t>
        </x:is>
      </x:c>
    </x:row>
    <x:row r="3583" ht="375" customHeight="1">
      <x:c r="A3583" s="55" t="str">
        <x:v>力量佛珠</x:v>
      </x:c>
      <x:c r="B3583" s="55" t="str">
        <x:v>—</x:v>
      </x:c>
      <x:c r="C3583" s="55" t="str">
        <x:v>維摩洞天黑心狐</x:v>
      </x:c>
      <x:c r="D3583" s="55" t="str">
        <x:v>—</x:v>
      </x:c>
      <x:c r="E3583" s="55" t="inlineStr">
        <x:is>
          <x:t>龍王寶箱（網站未列地圖）；溺誘河童（內崎埠原、外崎埠原、十津原樹海）；傀儡盜匪頭目（萬佛窟、樓蘭遺址）；神龍將（龍宮八層廣場）；阿波狸仙（長野沙濱、葉隱蒼林、十津原樹海）；校尉錦囊（網站未列地圖）；龍骨河童（網站未列地圖）；鬼河童（葉隱蒼林、神室關所）；[鬼河童]（網站未列地圖）；鬼河童（葉隱蒼林、神室關所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巨靈魔（獄門峽）；夜叉王（玄州城、獄門峽）；藍鯊兵（龍宮第六層、龍宮第七層、龍宮八層一隅、龍宮八層廣場）；山犬王（古皇陵近郊）；千年靈芝精（天山冰池）；千年蔘精（天山冰池）；[千年靈芝精]（網站未列地圖）；[千年蔘精]（網站未列地圖）；[熊武者]（網站未列地圖）；熊武者（桃花林西方、不老峰）；賊寇頭目（鎮南關密道）；江洋大盜（碧波幽谷、朝天觀、亂藤林東方）；長林惡棍（長林谷）；大獒犬（長林谷）；人蔘精（不老峰）；靈芝精（不老峰）；人蔘精（不老峰）；幽魂（鬼城）；冥火妖（烈火靈界裂隙）；烈火妖魔（棲鳳崖、鳳凰台）；邪火妖（望星坡、烈火修煉場、朝天觀、葬日沼澤北方、萬人塚第三層）；邪火妖（望星坡、烈火修煉場、朝天觀、葬日沼澤北方、萬人塚第三層）；山寨大王（塞北關、映月泊、封神臺、亂藤林東方）；靈芝精（不老峰）；山神豬（五派禁地）；長林惡匪（長林谷）；大山豬（惡狼林、古皇陵近郊、猢猻嶺、封神臺、亂藤林西方、鷹翅族部落）；大山豬（惡狼林、古皇陵近郊、猢猻嶺、封神臺、試煉之窟、亂藤林西方、鷹翅族部落）；火妖（望星坡、萬人塚第二層、朝天觀、萬人塚第三層、地靈穴、蕈菇林）；{火妖}（桃花林南方、不老峰）；食人巨猿（猢猻嶺、巨猿洞窟一層、巨猿洞窟二層、八達嶺、古北口）；山蓮首領（碧波幽谷）；火藥惡賊（長林谷）；大山豬（試煉之窟）；綠毛狂猿（巨猿洞窟二層、碧波幽谷、夜叉嶺）；烈火妖靈（網站未列地圖）；凡人（五派禁地）；白毛巨猿（入雲道、天山雪道、瀰煙山道）；紅毛巨猿（猢猻嶺、巨猿洞窟一層、巨猿洞窟二層）；山蓮打手（碧波幽谷）；長林狂猿（長林谷）；冬興打手（碧波幽谷）；鴻星火藥惡棍（碧波幽谷）；流亡叛軍士兵（八達嶺、古北口、古北大營）；流亡叛軍士兵（邊關要塞）；毒界妖靈（瘴癘靈界通道、蠱毒洞府）；火界妖靈（烈火靈界通道、火雲洞府、棲鳳崖、鳳凰台）；冰界妖靈（怒雪靈界通道、怒雪洞府）；天山巨猿（天山冰池）；[天山巨猿]（網站未列地圖）；大豬妖（網站未列地圖）；巨狂猿（巨猿洞窟二層、碧波幽谷、摘星嶺、夜叉嶺）；土匪（碧波幽谷、朝天觀、亂藤林東方）；藍方捍衛者（網站未列地圖）；大力熊（桃花林西方、桃花林南方、不老峰）；覓蜜熊（桃花林、桃花林西方、桃花林南方）；狂猿（巨猿洞窟二層、碧波幽谷、亂藤林南方、摘星嶺、夜叉嶺）；土匪（試煉之窟）</x:t>
        </x:is>
      </x:c>
    </x:row>
    <x:row r="3584" ht="409.5" customHeight="1">
      <x:c r="A3584" s="55" t="str">
        <x:v>智力佛珠</x:v>
      </x:c>
      <x:c r="B3584" s="55" t="str">
        <x:v>—</x:v>
      </x:c>
      <x:c r="C3584" s="55" t="str">
        <x:v>維摩洞天黑心狐</x:v>
      </x:c>
      <x:c r="D3584" s="55" t="str">
        <x:v>—</x:v>
      </x:c>
      <x:c r="E3584" s="55" t="inlineStr">
        <x:is>
          <x:t>溺誘河童（內崎埠原、外崎埠原、十津原樹海）；阿波狸仙（長野沙濱、葉隱蒼林、十津原樹海）；校尉錦囊（網站未列地圖）；龍骨河童（網站未列地圖）；鬼河童（葉隱蒼林、神室關所）；[鬼河童]（網站未列地圖）；鬼河童（葉隱蒼林、神室關所）；邪神勇士鬼魂（火焰山）；天狗（葉隱蒼林、十津原樹海、天照不二峰）；[天狗]（網站未列地圖）；天狗（葉隱蒼林、十津原樹海、天照不二峰）；鼻高天狗（天照不二峰）；九尾妖狐（網站未列地圖）；鴉（網站未列地圖）；烏羽天狗（網站未列地圖）；[鴉天狗]（網站未列地圖）；鴉天狗（天照不二峰、八荒古墳）；夜叉王（玄州城、獄門峽）；千年蜘蛛精（百妖穴第二層）；隱者狸仙（網站未列地圖）；[隱者狸仙]（網站未列地圖）；邪魔尊者（飛仙岩、朝天嶺、朝天觀）；山犬王（古皇陵近郊）；千年靈芝精（天山冰池）；千年蔘精（天山冰池）；[千年靈芝精]（網站未列地圖）；[千年蔘精]（網站未列地圖）；九尾狐（網站未列地圖）；[九尾狐]（網站未列地圖）；搗藥兔（桃花林西方、掩月松林）；火影蜘蛛精（烈火靈界裂隙）；冰封蜘蛛精（怒雪靈界裂隙）；五毒蜘蛛精（瘴癘靈界裂隙）；蜘蛛精（百妖穴第一層、百妖穴第二層、盤蛇洞）；[蜘蛛精]（網站未列地圖）；大獒犬（長林谷）；兔仙人（網站未列地圖）；妖狸射手（桃花林東方、桃花林、不老峰）；[兔仙人]（網站未列地圖）；人蔘精（不老峰）；靈芝精（不老峰）；人蔘精（不老峰）；幽魂（鬼城）；冥火妖（烈火靈界裂隙）；黯火妖靈（烈火靈界裂隙）；烈火妖魔（棲鳳崖、鳳凰台）；邪教道長（飛仙岩、朝天嶺、朝天觀、亂藤林東方）；邪火妖（望星坡、烈火修煉場、朝天觀、葬日沼澤北方、萬人塚第三層）；淬毒妖靈（瘴癘靈界裂隙）；邪火妖（望星坡、烈火修煉場、朝天觀、葬日沼澤北方、萬人塚第三層）；潛水小狐（龍宮第三層）；山寨大王（塞北關、映月泊、封神臺、亂藤林東方）；靈芝精（不老峰）；山神豬（五派禁地）；玄冰妖靈（怒雪靈界裂隙）；火妖（望星坡、萬人塚第二層、朝天觀、萬人塚第三層、地靈穴、蕈菇林）；{火妖}（桃花林南方、不老峰）；小兔精（網站未列地圖）；食人巨猿（猢猻嶺、巨猿洞窟一層、巨猿洞窟二層、八達嶺、古北口）；邪教弟子（飛仙岩、朝天嶺、朝天觀、亂藤林東方）；綠方支持者（網站未列地圖）；猴妖（網站未列地圖）；黑豹（關外草原）；飛毛兔（桃花林東方、桃花林、桃花林西方、掩月松林）；狂猴王（入雲道、古皇陵近郊、映月泊、猢猻嶺）；綠毛狂猿（巨猿洞窟二層、碧波幽谷、夜叉嶺）；烈火妖靈（網站未列地圖）；長林狂猴（長林谷）；黑豹（亂石林、黑城遺跡、疾風谷）；[黑豹]（網站未列地圖）；黑豹（亂石林、黑城遺跡、疾風谷、關外草原）；白毛巨猿（入雲道、天山雪道、瀰煙山道）；紅毛巨猿（猢猻嶺、巨猿洞窟一層、巨猿洞窟二層）；長林狂猿（長林谷）；邪教弟子（試煉之窟）；毒界妖靈（瘴癘靈界通道、蠱毒洞府）；火界妖靈（烈火靈界通道、火雲洞府、棲鳳崖、鳳凰台）；冰界妖靈（怒雪靈界通道、怒雪洞府）；天山巨猿（天山冰池）；[天山巨猿]（網站未列地圖）；破戒僧（天山雪道、亂藤林東方）；巨狂猿（巨猿洞窟二層、碧波幽谷、摘星嶺、夜叉嶺）；狂猿（巨猿洞窟二層、碧波幽谷、亂藤林南方、摘星嶺、夜叉嶺）；{百草狐郎中}（瀰煙山道、半天岩）；邪教道士（飛仙岩、朝天嶺、朝天觀、亂藤林東方）；綠方捍衛者（網站未列地圖）；邪教道士（試煉之窟）；百草狐郎中（瀰煙山道、半天岩）；狐妖（網站未列地圖）；小妖狸（桃花林東方、桃花林）；小穀狸（網站未列地圖）；小狐妖（網站未列地圖）；妖狸寶寶（網站未列地圖）；{千面狐}（瀰煙山道、半天岩、不老峰）；千面狐（瀰煙山道、半天岩、不老峰）；花和尚（天山雪道、亂藤林東方）</x:t>
        </x:is>
      </x:c>
    </x:row>
    <x:row r="3585" ht="345" customHeight="1">
      <x:c r="A3585" s="55" t="str">
        <x:v>靈敏佛珠</x:v>
      </x:c>
      <x:c r="B3585" s="55" t="str">
        <x:v>—</x:v>
      </x:c>
      <x:c r="C3585" s="55" t="str">
        <x:v>維摩洞天黑心狐</x:v>
      </x:c>
      <x:c r="D3585" s="55" t="str">
        <x:v>—</x:v>
      </x:c>
      <x:c r="E3585" s="55" t="inlineStr">
        <x:is>
          <x:t>溺誘河童（內崎埠原、外崎埠原、十津原樹海）；校尉錦囊（網站未列地圖）；龍骨河童（網站未列地圖）；鬼河童（葉隱蒼林、神室關所）；[鬼河童]（網站未列地圖）；鬼河童（葉隱蒼林、神室關所）；赤羽鶴（棲鳳崖、鳳凰台）；邪神勇士鬼魂（火焰山）；天狗（葉隱蒼林、十津原樹海、天照不二峰）；[天狗]（網站未列地圖）；天狗（葉隱蒼林、十津原樹海、天照不二峰）；鼻高天狗（天照不二峰）；鴉（網站未列地圖）；烏羽天狗（網站未列地圖）；[鴉天狗]（網站未列地圖）；鴉天狗（天照不二峰、八荒古墳）；金翅王（鷹翅族部落）；阿波狸仙（長野沙濱、葉隱蒼林、十津原樹海）；巨靈魔（獄門峽）；夜叉王（玄州城、獄門峽）；山犬王（古皇陵近郊）；千年靈芝精（天山冰池）；千年蔘精（天山冰池）；[千年靈芝精]（網站未列地圖）；[千年蔘精]（網站未列地圖）；大獒犬（長林谷）；人蔘精（不老峰）；靈芝精（不老峰）；人蔘精（不老峰）；幽魂（鬼城）；鷹族戰士（葬日沼澤、摘星嶺、鷹翅族部落）；冥火妖（烈火靈界裂隙）；黯火妖靈（烈火靈界裂隙）；烈火妖魔（棲鳳崖、鳳凰台）；蠍子王（飛仙岩、朝天嶺、亂藤林東方、摘星嶺、河西谷地、塔干沙漠東方、樓蘭遺址）；邪火妖（望星坡、烈火修煉場、朝天觀、葬日沼澤北方、萬人塚第三層）；淬毒妖靈（瘴癘靈界裂隙）；邪火妖（望星坡、烈火修煉場、朝天觀、葬日沼澤北方、萬人塚第三層）；山寨大王（塞北關、映月泊、封神臺、亂藤林東方）；靈芝精（不老峰）；山神豬（五派禁地）；玄冰妖靈（怒雪靈界裂隙）；火妖（望星坡、萬人塚第二層、朝天觀、萬人塚第三層、地靈穴、蕈菇林）；{火妖}（桃花林南方、不老峰）；食人巨猿（猢猻嶺、巨猿洞窟一層、巨猿洞窟二層、八達嶺、古北口）；猴妖（網站未列地圖）；黑豹（關外草原）；狂猴王（入雲道、古皇陵近郊、映月泊、猢猻嶺）；綠毛狂猿（巨猿洞窟二層、碧波幽谷、夜叉嶺）；烈火妖靈（網站未列地圖）；長林狂猴（長林谷）；黑豹（亂石林、黑城遺跡、疾風谷）；[黑豹]（網站未列地圖）；黑豹（亂石林、黑城遺跡、疾風谷、關外草原）；白毛巨猿（入雲道、天山雪道、瀰煙山道）；紅毛巨猿（猢猻嶺、巨猿洞窟一層、巨猿洞窟二層）；長林狂猿（長林谷）；毒界妖靈（瘴癘靈界通道、蠱毒洞府）；火界妖靈（烈火靈界通道、火雲洞府、棲鳳崖、鳳凰台）；冰界妖靈（怒雪靈界通道、怒雪洞府）；天山巨猿（天山冰池）；[天山巨猿]（網站未列地圖）；巨狂猿（巨猿洞窟二層、碧波幽谷、摘星嶺、夜叉嶺）；黑狂猴（入雲道、古皇陵近郊、映月泊、猢猻嶺）；黑狂猴（入雲道、古皇陵近郊、映月泊、猢猻嶺、試煉之窟）；大狂猴（古皇陵近郊、猢猻嶺）；大狂猴（古皇陵近郊、猢猻嶺、試煉之窟）；黑狂猴（試煉之窟）；大狂猴（試煉之窟）；巨蠍子（飛仙岩、朝天嶺、亂藤林東方、摘星嶺、河西谷地、塔干沙漠東方、樓蘭遺址）</x:t>
        </x:is>
      </x:c>
    </x:row>
    <x:row r="3586" ht="210" customHeight="1">
      <x:c r="A3586" s="55" t="str">
        <x:v>闢邪戒指</x:v>
      </x:c>
      <x:c r="B3586" s="55" t="str">
        <x:v>—</x:v>
      </x:c>
      <x:c r="C3586" s="55" t="str">
        <x:v>—</x:v>
      </x:c>
      <x:c r="D3586" s="55" t="str">
        <x:v>—</x:v>
      </x:c>
      <x:c r="E3586" s="55" t="inlineStr">
        <x:is>
          <x:t>蛇女寶箱（網站未列地圖）；龍王寶箱（網站未列地圖）；[劍刺傘鬼]（網站未列地圖）；劍刺傘鬼（八荒古墳）；燃影鐮鼬（外崎埠原、天照不二峰）；激雷鐮鼬（長野沙濱、葉隱蒼林、神室關所、天照不二峰）；[激雷鐮鼬]（網站未列地圖）；激雷鐮鼬（長野沙濱、葉隱蒼林、神室關所、天照不二峰）；沙蟲蠱王（樓蘭遺址）；血咒怨靈（極東海域）；野良犬（長野沙濱、葉隱蒼林、神室關所、內崎埠原）；[傘鬼]（網站未列地圖）；傘鬼（長野沙濱、葉隱蒼林、八荒古墳）；狼斑沙蟲（塔干沙漠東方、萬佛窟、樓蘭遺址）；將軍俑（古皇陵第三層）；[將軍俑]（網站未列地圖）；屍靈將軍俑（古皇陵密室）；冤魂（猛鬼窟第一層、猛鬼窟第二層、朝天觀、樓蘭遺址）；幻面蜘蛛（長林谷）；海魅（東方海域）；林魅（桃花林、桃花林西方、掩月松林）；山魅（瀰煙山道、半天岩）；林魅（盤蛇洞、掩月松林）；山魅（盤蛇洞、半天岩）；妖面蜘蛛（百妖穴第一層、亂藤林東方、百妖穴第二層）；野馬（八達嶺、古北口、塞北草原、河西谷地）；雪狼（入雲道、塞北關、惡狼林、天山雪道）；天山雪狼（天山冰池）；山羊（塞北草原、呼倫草原、貝爾草原、河西谷地）；山魔（桃花林西方）；林魔（桃花林西方）；狼王（天山冰池、八達嶺）；斑紋蜘蛛（望星坡、碧波谷徑、古皇陵第一層、古皇陵第二層、百妖穴第一層、亂藤林東方、百妖穴第二層）；沙漠斑蛛（塔干沙漠西方）；遊魂（望星坡、獄門峽、猛鬼窟第一層、猛鬼窟第二層、朝天觀）；鬼面蜘蛛（碧波谷徑、百妖穴第一層、百妖穴第二層、盤蛇洞、地靈穴、蕈菇林）；沙漠蠱毒蜘蛛（塔干沙漠西方）；大蟾蜍（試煉之窟）；大蟾蜍（古皇陵近郊、映月泊、平西關）；大蟾蜍（古皇陵近郊、映月泊、平西關、試煉之窟）</x:t>
        </x:is>
      </x:c>
    </x:row>
    <x:row r="3587" ht="240" customHeight="1">
      <x:c r="A3587" s="55" t="str">
        <x:v>抗毒玉戒</x:v>
      </x:c>
      <x:c r="B3587" s="55" t="str">
        <x:v>—</x:v>
      </x:c>
      <x:c r="C3587" s="55" t="str">
        <x:v>—</x:v>
      </x:c>
      <x:c r="D3587" s="55" t="str">
        <x:v>—</x:v>
      </x:c>
      <x:c r="E3587" s="55" t="inlineStr">
        <x:is>
          <x:t>將軍俑（古皇陵第三層）；[將軍俑]（網站未列地圖）；屍靈將軍俑（古皇陵密室）；[劍刺傘鬼]（網站未列地圖）；劍刺傘鬼（八荒古墳）；狼斑沙蟲（塔干沙漠東方、萬佛窟、樓蘭遺址）；西域沙蟲（塔干沙漠東方、樓蘭遺址）；燃影鐮鼬（外崎埠原、天照不二峰）；激雷鐮鼬（長野沙濱、葉隱蒼林、神室關所、天照不二峰）；[激雷鐮鼬]（網站未列地圖）；激雷鐮鼬（長野沙濱、葉隱蒼林、神室關所、天照不二峰）；血咒怨靈（極東海域）；野良犬（長野沙濱、葉隱蒼林、神室關所、內崎埠原）；[傘鬼]（網站未列地圖）；傘鬼（長野沙濱、葉隱蒼林、八荒古墳）；冤魂（猛鬼窟第一層、猛鬼窟第二層、朝天觀、樓蘭遺址）；海魅（東方海域）；林魅（桃花林、桃花林西方、掩月松林）；山魅（瀰煙山道、半天岩）；林魅（盤蛇洞、掩月松林）；山魅（盤蛇洞、半天岩）；蠍子王（飛仙岩、朝天嶺、亂藤林東方、摘星嶺、河西谷地、塔干沙漠東方、樓蘭遺址）；山魔（桃花林西方）；林魔（桃花林西方）；遊魂（望星坡、獄門峽、猛鬼窟第一層、猛鬼窟第二層、朝天觀）；毒蟾蜍（碧波谷徑、百妖穴第一層、萬人塚第一層、亂藤林、亂藤林東方、葬日沼澤北方、毒龍潭、盤蛇洞、河西谷地）；妖面蜘蛛（百妖穴第一層、亂藤林東方、百妖穴第二層）；斑紋蜘蛛（望星坡、碧波谷徑、古皇陵第一層、古皇陵第二層、百妖穴第一層、亂藤林東方、百妖穴第二層）；沙漠斑蛛（塔干沙漠西方）；鬼面蜘蛛（碧波谷徑、百妖穴第一層、百妖穴第二層、盤蛇洞、地靈穴、蕈菇林）；沙漠蠱毒蜘蛛（塔干沙漠西方）；巨蜘蛛（望星坡、碧波谷徑、古皇陵第一層、百妖穴第一層、百妖穴第二層）；巨蜘蛛（望星坡、碧波谷徑、古皇陵第一層、百妖穴第一層、試煉之窟、百妖穴第二層）；巨蠍子（飛仙岩、朝天嶺、亂藤林東方、摘星嶺、河西谷地、塔干沙漠東方、樓蘭遺址）；巨蜘蛛（試煉之窟）；大蜘蛛（望星坡）；大蜘蛛（望星坡、試煉之窟）；大蜘蛛（試煉之窟）</x:t>
        </x:is>
      </x:c>
    </x:row>
    <x:row r="3588" ht="210" customHeight="1">
      <x:c r="A3588" s="55" t="str">
        <x:v>秘符銀鐲</x:v>
      </x:c>
      <x:c r="B3588" s="55" t="str">
        <x:v>—</x:v>
      </x:c>
      <x:c r="C3588" s="55" t="str">
        <x:v>—</x:v>
      </x:c>
      <x:c r="D3588" s="55" t="str">
        <x:v>—</x:v>
      </x:c>
      <x:c r="E3588" s="55" t="inlineStr">
        <x:is>
          <x:t>海巨蛟（東方海域）；怒海狂蛟（極東海域）；長野海賊（長野沙濱）；魔軍物資（獄門峽）；赤羽鶴（棲鳳崖、鳳凰台）；武尊浪人（古皇陵近郊）；黑巨蛟（極東海域）；護衛侍（長野沙濱、葉隱蒼林、神室關所、內崎埠原、外崎埠原）；女邪土蜘蛛（網站未列地圖）；鬼斬刀般若（八荒古墳）；武尊浪人（伊取川大陣）；執怨般若（十津原樹海、天照不二峰）；鄉野浪人（葉隱蒼林、神室關所）；邪魔尊者（飛仙岩、朝天嶺、朝天觀）；鬼嶽親衛弓侍（伊取川大陣）；邪教道長（飛仙岩、朝天嶺、朝天觀、亂藤林東方）；血屍（猛鬼窟第一層、萬人塚第二層、朝天觀、萬人塚第三層、樓蘭遺址）；魔饜大軍（網站未列地圖）；冤魂（猛鬼窟第一層、猛鬼窟第二層、朝天觀、樓蘭遺址）；狂猴（葬劍崖護法院、試煉之窟）；蜘蛛（踏雲頂梵天寺、試煉之窟）；山犬（紫霞山養心觀、惡狼林、封神臺、試煉之窟）；蟾蜍（黑水潭地龍穴、試煉之窟）；野豬（山林地訓練營、試煉之窟）；劍齒狼（入雲道、塞北關、惡狼林、瀰煙山道、八達嶺、古北口、塞北草原）；邪教道士（飛仙岩、朝天嶺、朝天觀、亂藤林東方）；綠方捍衛者（網站未列地圖）；劍齒狼（試煉之窟）；黃牛（塞北草原、呼倫草原、貝爾草原）；遊魂（望星坡、獄門峽、猛鬼窟第一層、猛鬼窟第二層、朝天觀）；海魅（東方海域）；林魅（桃花林、桃花林西方、掩月松林）；山魅（瀰煙山道、半天岩）；林魅（盤蛇洞、掩月松林）；山魅（盤蛇洞、半天岩）；邪教道士（試煉之窟）；邪教弟子（飛仙岩、朝天嶺、朝天觀、亂藤林東方）；綠方支持者（網站未列地圖）；山魔（桃花林西方）；林魔（桃花林西方）；邪教弟子（試煉之窟）</x:t>
        </x:is>
      </x:c>
    </x:row>
    <x:row r="3589" ht="195" customHeight="1">
      <x:c r="A3589" s="55" t="str">
        <x:v>靈咒金鐲</x:v>
      </x:c>
      <x:c r="B3589" s="55" t="str">
        <x:v>—</x:v>
      </x:c>
      <x:c r="C3589" s="55" t="str">
        <x:v>—</x:v>
      </x:c>
      <x:c r="D3589" s="55" t="str">
        <x:v>—</x:v>
      </x:c>
      <x:c r="E3589" s="55" t="inlineStr">
        <x:is>
          <x:t>蛇女寶箱（網站未列地圖）；鳳凰寶箱（網站未列地圖）；龍王寶箱（網站未列地圖）；怒海狂蛟（極東海域）；長野海賊（長野沙濱）；黑巨蛟（東方海域）；魔軍物資（獄門峽）；武尊浪人（古皇陵近郊）；黑巨蛟（極東海域）；護衛侍（長野沙濱、葉隱蒼林、神室關所、內崎埠原、外崎埠原）；女邪土蜘蛛（網站未列地圖）；鬼斬刀般若（八荒古墳）；武尊浪人（伊取川大陣）；執怨般若（十津原樹海、天照不二峰）；鄉野浪人（葉隱蒼林、神室關所）；鬼嶽親衛弓侍（伊取川大陣）；拔山象妖（摩羅國境、菩提聖原）；[拔山象妖]（網站未列地圖）；毒血屍（猛鬼窟第一層、猛鬼窟第二層、萬人塚第二層、朝天觀、萬人塚第三層）；寒冰鬼卒（怒雪靈界裂隙）；血參巫（網站未列地圖）；蠱毒鬼卒（瘴癘靈界裂隙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黯火鬼卒（烈火靈界裂隙）；冤魂（猛鬼窟第一層、猛鬼窟第二層、朝天觀、樓蘭遺址）；劍齒狼（入雲道、塞北關、惡狼林、瀰煙山道、八達嶺、古北口、塞北草原）；遊魂（望星坡、獄門峽、猛鬼窟第一層、猛鬼窟第二層、朝天觀）；鬼螯蝦兵（桃花林東方、桃花林南方、大寶礁、龍宮第七層、龍宮八層廣場）；黃牛（塞北草原、呼倫草原、貝爾草原）；劍齒狼（試煉之窟）；巨螯蝦兵（桃花林東方、桃花林南方、珊瑚帶、大寶礁、龍宮八層廣場）</x:t>
        </x:is>
      </x:c>
    </x:row>
    <x:row r="3590" ht="270" customHeight="1">
      <x:c r="A3590" s="55" t="str">
        <x:v>秘符銀鍊</x:v>
      </x:c>
      <x:c r="B3590" s="55" t="str">
        <x:v>—</x:v>
      </x:c>
      <x:c r="C3590" s="55" t="str">
        <x:v>—</x:v>
      </x:c>
      <x:c r="D3590" s="55" t="str">
        <x:v>—</x:v>
      </x:c>
      <x:c r="E3590" s="55" t="inlineStr">
        <x:is>
          <x:t>火雲麒麟（火雲洞府）；蠱毒麒麟（蠱毒洞府）；怒雪麒麟（怒雪洞府）；黑巨蛟（極東海域）；魔軍物資（獄門峽）；蒼鱗蛟龍（極東海域）；毒麟獸（瘴癘靈界通道、蠱毒洞府）；冰麟獸（怒雪靈界通道、怒雪洞府）；火麟獸（烈火靈界通道、火雲洞府）；精武兵衛（內崎埠原、外崎埠原、伊取川大陣）；真火鳳凰（鳳凰台）；真火鳳凰（鳳凰台）；泣命煉首（網站未列地圖）；紫燄影凰（網站未列地圖）；武尊浪人（古皇陵近郊）；鳳凰（棲鳳崖、鳳凰台）；火鳳凰（棲鳳崖）；血刃般若（天照不二峰、八荒古墳）；海巨蛟（東方海域）；女邪土蜘蛛（網站未列地圖）；鬼斬刀般若（八荒古墳）；武尊浪人（伊取川大陣）；鬼嶽親衛槍侍（伊取川大陣）；極道浪人（神室關所、內崎埠原、外崎埠原）；赤羽鶴（棲鳳崖、鳳凰台）；流亡山賊（葉隱蒼林）；火雲麒麟（烈火修煉場）；怒雪麒麟（怒雪修煉場）；[火雲麒麟]（網站未列地圖）；[怒雪麒麟]（網站未列地圖）；蠱毒麒麟（瘴癘修煉場）；[蠱毒麒麟]（網站未列地圖）；邪魔尊者（飛仙岩、朝天嶺、朝天觀）；屍妖（鬼城）；血屍（猛鬼窟第一層、萬人塚第二層、朝天觀、萬人塚第三層、樓蘭遺址）；魔饜大軍（網站未列地圖）；邪教道長（飛仙岩、朝天嶺、朝天觀、亂藤林東方）；冤魂（猛鬼窟第一層、猛鬼窟第二層、朝天觀、樓蘭遺址）；狂猴（葬劍崖護法院、試煉之窟）；蜘蛛（踏雲頂梵天寺、試煉之窟）；山犬（紫霞山養心觀、惡狼林、封神臺、試煉之窟）；蟾蜍（黑水潭地龍穴、試煉之窟）；野豬（山林地訓練營、試煉之窟）；劍齒狼（入雲道、塞北關、惡狼林、瀰煙山道、八達嶺、古北口、塞北草原）；鳳凰（棲鳳崖、鳳凰台）；[鳳凰]（網站未列地圖）；劍齒狼（試煉之窟）；黃牛（塞北草原、呼倫草原、貝爾草原）；遊魂（望星坡、獄門峽、猛鬼窟第一層、猛鬼窟第二層、朝天觀）；海魅（東方海域）；林魅（桃花林、桃花林西方、掩月松林）；山魅（瀰煙山道、半天岩）；林魅（盤蛇洞、掩月松林）；山魅（盤蛇洞、半天岩）；山魔（桃花林西方）；林魔（桃花林西方）；邪教道士（飛仙岩、朝天嶺、朝天觀、亂藤林東方）；綠方捍衛者（網站未列地圖）；邪教道士（試煉之窟）</x:t>
        </x:is>
      </x:c>
    </x:row>
    <x:row r="3591" ht="300" customHeight="1">
      <x:c r="A3591" s="55" t="str">
        <x:v>靈咒金鍊</x:v>
      </x:c>
      <x:c r="B3591" s="55" t="str">
        <x:v>—</x:v>
      </x:c>
      <x:c r="C3591" s="55" t="str">
        <x:v>—</x:v>
      </x:c>
      <x:c r="D3591" s="55" t="str">
        <x:v>—</x:v>
      </x:c>
      <x:c r="E3591" s="55" t="inlineStr">
        <x:is>
          <x:t>蛇女寶箱（網站未列地圖）；鳳凰寶箱（網站未列地圖）；龍王寶箱（網站未列地圖）；火雲麒麟（火雲洞府）；蠱毒麒麟（蠱毒洞府）；怒雪麒麟（怒雪洞府）；死靈殭屍（網站未列地圖）；吸血殭屍（猛鬼窟第二層、萬人塚第三層、樓蘭遺址）；[吸血殭屍]（網站未列地圖）；黑巨蛟（東方海域）；魔軍物資（獄門峽）；毒麟獸（瘴癘靈界通道、蠱毒洞府）；冰麟獸（怒雪靈界通道、怒雪洞府）；蒼鱗蛟龍（極東海域）；火麟獸（烈火靈界通道、火雲洞府）；黑巨蛟（極東海域）；精武兵衛（內崎埠原、外崎埠原、伊取川大陣）；真火鳳凰（鳳凰台）；真火鳳凰（鳳凰台）；泣命煉首（網站未列地圖）；紫燄影凰（網站未列地圖）；武尊浪人（古皇陵近郊）；鳳凰（棲鳳崖、鳳凰台）；火鳳凰（棲鳳崖）；極道浪人（神室關所、內崎埠原、外崎埠原）；血刃般若（天照不二峰、八荒古墳）；女邪土蜘蛛（網站未列地圖）；鬼斬刀般若（八荒古墳）；武尊浪人（伊取川大陣）；鬼嶽親衛槍侍（伊取川大陣）；流亡山賊（葉隱蒼林）；裂隙火靈（烈火靈界裂隙）；裂隙冰靈（怒雪靈界裂隙）；裂隙蠱靈（瘴癘靈界裂隙）；黯夜妖魔（桃花林西方）；萬嗔惡靈（鬼城）；金翅鳥（摩羅國境、菩提聖原、大梵河岸）；金翅鳥（摩羅國境、菩提聖原、大梵河岸）；屍妖（鬼城）；火雲麒麟（烈火修煉場）；怒雪麒麟（怒雪修煉場）；[火雲麒麟]（網站未列地圖）；[怒雪麒麟]（網站未列地圖）；蠱毒麒麟（瘴癘修煉場）；[蠱毒麒麟]（網站未列地圖）；毒血屍（猛鬼窟第一層、猛鬼窟第二層、萬人塚第二層、朝天觀、萬人塚第三層）；鳳凰（棲鳳崖、鳳凰台）；[鳳凰]（網站未列地圖）；冤魂（猛鬼窟第一層、猛鬼窟第二層、朝天觀、樓蘭遺址）；寒冰鬼卒（怒雪靈界裂隙）；血參巫（網站未列地圖）；蠱毒鬼卒（瘴癘靈界裂隙）；毒界鬼卒（瘴癘靈界通道、蠱毒洞府、瘴癘修煉場）；血參巫（網站未列地圖）；火界鬼卒（烈火靈界通道、火雲洞府、烈火修煉場）；冰界鬼卒（怒雪靈界通道、怒雪洞府、怒雪修煉場）；血參巫（網站未列地圖）；黯火鬼卒（烈火靈界裂隙）；劍齒狼（入雲道、塞北關、惡狼林、瀰煙山道、八達嶺、古北口、塞北草原）；遊魂（望星坡、獄門峽、猛鬼窟第一層、猛鬼窟第二層、朝天觀）；鬼螯蝦兵（桃花林東方、桃花林南方、大寶礁、龍宮第七層、龍宮八層廣場）；黃牛（塞北草原、呼倫草原、貝爾草原）；劍齒狼（試煉之窟）；巨螯蝦兵（桃花林東方、桃花林南方、珊瑚帶、大寶礁、龍宮八層廣場）</x:t>
        </x:is>
      </x:c>
    </x:row>
    <x:row r="3592" ht="45" customHeight="1">
      <x:c r="A3592" s="55" t="str">
        <x:v>咒術指環</x:v>
      </x:c>
      <x:c r="B3592" s="55" t="str">
        <x:v>—</x:v>
      </x:c>
      <x:c r="C3592" s="55" t="str">
        <x:v>—</x:v>
      </x:c>
      <x:c r="D3592" s="55" t="str">
        <x:v>—</x:v>
      </x:c>
      <x:c r="E3592" s="55" t="inlineStr">
        <x:is>
          <x:t>長野海賊（長野沙濱）；千年花精（亂藤林南方、葬日沼澤北方）；[千年花精]（網站未列地圖）；屍花精（五派禁地）；花精（亂藤林、亂藤林南方、葬日沼澤、葬日沼澤北方）；綠林花妖（網站未列地圖）；蛇魔女（盤蛇洞）；[蛇魔女]（網站未列地圖）；食人巨蟒（葬日沼澤、葬日沼澤南方、盤蛇洞、河西谷地）；沙漠巨蟒（塔干沙漠南方）</x:t>
        </x:is>
      </x:c>
    </x:row>
    <x:row r="3593" ht="75" customHeight="1">
      <x:c r="A3593" s="55" t="str">
        <x:v>魔骨項鍊</x:v>
      </x:c>
      <x:c r="B3593" s="55" t="str">
        <x:v>—</x:v>
      </x:c>
      <x:c r="C3593" s="55" t="str">
        <x:v>—</x:v>
      </x:c>
      <x:c r="D3593" s="55" t="str">
        <x:v>—</x:v>
      </x:c>
      <x:c r="E3593" s="55" t="inlineStr">
        <x:is>
          <x:t>羅剎男妖（火焰山）；藤村龍二（神室關所）；逸劍流劍師（神室關所）；逸劍流副首（內崎埠原）；逸劍流統主（外崎埠原）；南野誠（天山雪道）；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蛇魔女王（盤蛇洞）</x:t>
        </x:is>
      </x:c>
    </x:row>
    <x:row r="3594" ht="60" customHeight="1">
      <x:c r="A3594" s="55" t="str">
        <x:v>靈玉項鍊</x:v>
      </x:c>
      <x:c r="B3594" s="55" t="str">
        <x:v>—</x:v>
      </x:c>
      <x:c r="C3594" s="55" t="str">
        <x:v>—</x:v>
      </x:c>
      <x:c r="D3594" s="55" t="str">
        <x:v>—</x:v>
      </x:c>
      <x:c r="E3594" s="55" t="inlineStr">
        <x:is>
          <x:t>羅剎女妖（火焰山）；羅剎部隊長（塔干沙漠西方）；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蛇魔女王（盤蛇洞）</x:t>
        </x:is>
      </x:c>
    </x:row>
    <x:row r="3595" ht="30" customHeight="1">
      <x:c r="A3595" s="55" t="str">
        <x:v>祭司手鍊</x:v>
      </x:c>
      <x:c r="B3595" s="55" t="str">
        <x:v>—</x:v>
      </x:c>
      <x:c r="C3595" s="55" t="str">
        <x:v>—</x:v>
      </x:c>
      <x:c r="D3595" s="55" t="str">
        <x:v>—</x:v>
      </x:c>
      <x:c r="E3595" s="55" t="inlineStr">
        <x:is>
          <x:t>侏人祭司（網站未列地圖）；侏人護法（蕈菇林西方）；地穴樹精（蕈菇林東方、蕈菇林西方、晶湖水道）；萬年樹精（神兵塚）；魔侏人祭司（神兵塚）；灰侏人祭司（網站未列地圖）；灰侏人護法（地下水道、水晶礦坑）</x:t>
        </x:is>
      </x:c>
    </x:row>
    <x:row r="3596" ht="30" customHeight="1">
      <x:c r="A3596" s="55" t="str">
        <x:v>冰侏護符</x:v>
      </x:c>
      <x:c r="B3596" s="55" t="str">
        <x:v>—</x:v>
      </x:c>
      <x:c r="C3596" s="55" t="str">
        <x:v>—</x:v>
      </x:c>
      <x:c r="D3596" s="55" t="str">
        <x:v>—</x:v>
      </x:c>
      <x:c r="E3596" s="55" t="inlineStr">
        <x:is>
          <x:t>侏紋裝備錦囊（網站未列地圖）；侏人祭司（網站未列地圖）；侏人護法（蕈菇林西方）；魔侏人祭司（神兵塚）；灰侏人護法（地下水道、水晶礦坑）</x:t>
        </x:is>
      </x:c>
    </x:row>
    <x:row r="3597" ht="30" customHeight="1">
      <x:c r="A3597" s="55" t="str">
        <x:v>火侏護符</x:v>
      </x:c>
      <x:c r="B3597" s="55" t="str">
        <x:v>—</x:v>
      </x:c>
      <x:c r="C3597" s="55" t="str">
        <x:v>—</x:v>
      </x:c>
      <x:c r="D3597" s="55" t="str">
        <x:v>—</x:v>
      </x:c>
      <x:c r="E3597" s="55" t="inlineStr">
        <x:is>
          <x:t>侏紋裝備錦囊（網站未列地圖）；侏人護法（蕈菇林西方）；灰侏人祭司（網站未列地圖）；灰侏人護法（地下水道、水晶礦坑）</x:t>
        </x:is>
      </x:c>
    </x:row>
    <x:row r="3598" ht="30" customHeight="1">
      <x:c r="A3598" s="55" t="str">
        <x:v>雷侏護符</x:v>
      </x:c>
      <x:c r="B3598" s="55" t="str">
        <x:v>—</x:v>
      </x:c>
      <x:c r="C3598" s="55" t="str">
        <x:v>—</x:v>
      </x:c>
      <x:c r="D3598" s="55" t="str">
        <x:v>—</x:v>
      </x:c>
      <x:c r="E3598" s="55" t="inlineStr">
        <x:is>
          <x:t>侏紋裝備錦囊（網站未列地圖）；侏人祭司（網站未列地圖）；魔侏人祭司（神兵塚）；灰侏人祭司（網站未列地圖）</x:t>
        </x:is>
      </x:c>
    </x:row>
    <x:row r="3599" ht="30" customHeight="1">
      <x:c r="A3599" s="55" t="str">
        <x:v>冥侏護符</x:v>
      </x:c>
      <x:c r="B3599" s="55" t="str">
        <x:v>—</x:v>
      </x:c>
      <x:c r="C3599" s="55" t="str">
        <x:v>—</x:v>
      </x:c>
      <x:c r="D3599" s="55" t="str">
        <x:v>—</x:v>
      </x:c>
      <x:c r="E3599" s="55" t="inlineStr">
        <x:is>
          <x:t>侏紋裝備錦囊（網站未列地圖）；侏人祭司（網站未列地圖）；侏人護法（蕈菇林西方）；灰侏人護法（地下水道、水晶礦坑）</x:t>
        </x:is>
      </x:c>
    </x:row>
    <x:row r="3600" ht="60" customHeight="1">
      <x:c r="A3600" s="55" t="str">
        <x:v>負重寶袋</x:v>
      </x:c>
      <x:c r="B3600" s="55" t="str">
        <x:v>—</x:v>
      </x:c>
      <x:c r="C3600" s="55" t="str">
        <x:v>—</x:v>
      </x:c>
      <x:c r="D3600" s="55" t="str">
        <x:v>—</x:v>
      </x:c>
      <x:c r="E3600" s="55" t="inlineStr">
        <x:is>
          <x:t>春風特獎福袋（網站未列地圖）；真傳情錦囊（網站未列地圖）；戰神錦囊（網站未列地圖）；百變紅包袋（網站未列地圖）；西域錦囊（網站未列地圖）；保命錦囊（網站未列地圖）；40級紅包袋（網站未列地圖）；桃花福袋（網站未列地圖）；吉利紅包袋（網站未列地圖）；商城保命錦囊（網站未列地圖）；神州豪傑錦囊（網站未列地圖）；神州高手錦囊（網站未列地圖）；吉利紅包袋（網站未列地圖）；暢行無阻錦囊（網站未列地圖）</x:t>
        </x:is>
      </x:c>
    </x:row>
    <x:row r="3601" ht="30" customHeight="1">
      <x:c r="A3601" s="55" t="str">
        <x:v>融冰護符</x:v>
      </x:c>
      <x:c r="B3601" s="55" t="str">
        <x:v>—</x:v>
      </x:c>
      <x:c r="C3601" s="55" t="str">
        <x:v>—</x:v>
      </x:c>
      <x:c r="D3601" s="55" t="str">
        <x:v>融冰護符配方</x:v>
      </x:c>
      <x:c r="E3601" s="55" t="inlineStr">
        <x:is>
          <x:t>龍王寶箱（網站未列地圖）；鳳凰寶箱（網站未列地圖）；鳳凰包裹（網站未列地圖）；白巨虎（天山冰池）；潛水肥兔（大寶礁、龍宮第三層）；赤羽鶴（棲鳳崖、鳳凰台）</x:t>
        </x:is>
      </x:c>
    </x:row>
    <x:row r="3602" ht="30" customHeight="1">
      <x:c r="A3602" s="55" t="str">
        <x:v>滅炎護符</x:v>
      </x:c>
      <x:c r="B3602" s="55" t="str">
        <x:v>—</x:v>
      </x:c>
      <x:c r="C3602" s="55" t="str">
        <x:v>—</x:v>
      </x:c>
      <x:c r="D3602" s="55" t="str">
        <x:v>滅炎護符配方</x:v>
      </x:c>
      <x:c r="E3602" s="55" t="inlineStr">
        <x:is>
          <x:t>西域魔像（網站未列地圖）；大黑天（萬佛窟、火焰山）；黑天妖魔（萬佛窟、火焰山）；[黑天妖魔]（網站未列地圖）；大黑天幻影（萬佛窟）；大黑天尊者（樓蘭遺址、火焰山）；邪火刀僧（長林谷）</x:t>
        </x:is>
      </x:c>
    </x:row>
    <x:row r="3603" ht="30" customHeight="1">
      <x:c r="A3603" s="55" t="str">
        <x:v>避雷護符</x:v>
      </x:c>
      <x:c r="B3603" s="55" t="str">
        <x:v>—</x:v>
      </x:c>
      <x:c r="C3603" s="55" t="str">
        <x:v>—</x:v>
      </x:c>
      <x:c r="D3603" s="55" t="str">
        <x:v>避雷護符配方</x:v>
      </x:c>
      <x:c r="E3603" s="55" t="inlineStr">
        <x:is>
          <x:t>傀儡盜匪頭目（萬佛窟、樓蘭遺址）；盜匪頭目（塔干沙漠南方）；布衣幫首領（高昌郡）；龍駻將（龍宮八層一隅、龍宮八層廣場）；金翅王（鷹翅族部落）；白巨虎（天山冰池）；鷹族戰士（葬日沼澤、摘星嶺、鷹翅族部落）</x:t>
        </x:is>
      </x:c>
    </x:row>
    <x:row r="3604" ht="45" customHeight="1">
      <x:c r="A3604" s="55" t="str">
        <x:v>驅魔護符</x:v>
      </x:c>
      <x:c r="B3604" s="55" t="str">
        <x:v>—</x:v>
      </x:c>
      <x:c r="C3604" s="55" t="str">
        <x:v>—</x:v>
      </x:c>
      <x:c r="D3604" s="55" t="str">
        <x:v>驅魔護符配方</x:v>
      </x:c>
      <x:c r="E3604" s="55" t="inlineStr">
        <x:is>
          <x:t>龍王寶箱（網站未列地圖）；蛇女寶箱（網站未列地圖）；邪神勇士鬼魂（火焰山）；火影蜘蛛精（烈火靈界裂隙）；冰封蜘蛛精（怒雪靈界裂隙）；五毒蜘蛛精（瘴癘靈界裂隙）；蜘蛛精（百妖穴第一層、百妖穴第二層、盤蛇洞）；[蜘蛛精]（網站未列地圖）；千年蜘蛛精（百妖穴第二層）</x:t>
        </x:is>
      </x:c>
    </x:row>
    <x:row r="3605" ht="30" customHeight="1">
      <x:c r="A3605" s="55" t="str">
        <x:v>鐵骨佛珠</x:v>
      </x:c>
      <x:c r="B3605" s="55" t="str">
        <x:v>黛絲的復仇</x:v>
      </x:c>
      <x:c r="C3605" s="55" t="str">
        <x:v>—</x:v>
      </x:c>
      <x:c r="D3605" s="55" t="str">
        <x:v>鐵骨佛珠配方</x:v>
      </x:c>
      <x:c r="E3605" s="55" t="inlineStr">
        <x:is>
          <x:t>都督錦囊（網站未列地圖）；黑天妖魔（萬佛窟、火焰山）；[黑天妖魔]（網站未列地圖）；鯊將軍（龍宮八層一隅、龍宮八層廣場）；鴻星打手（碧波幽谷）；紫衫惡煞（亂藤林東方）；冬興堂主（碧波幽谷）</x:t>
        </x:is>
      </x:c>
    </x:row>
    <x:row r="3606" ht="75" customHeight="1">
      <x:c r="A3606" s="55" t="str">
        <x:v>大力佛珠</x:v>
      </x:c>
      <x:c r="B3606" s="55" t="str">
        <x:v>—</x:v>
      </x:c>
      <x:c r="C3606" s="55" t="str">
        <x:v>—</x:v>
      </x:c>
      <x:c r="D3606" s="55" t="str">
        <x:v>大力佛珠配方</x:v>
      </x:c>
      <x:c r="E3606" s="55" t="inlineStr">
        <x:is>
          <x:t>都督錦囊（網站未列地圖）；大黑天（萬佛窟、火焰山）；黑天妖魔（萬佛窟、火焰山）；[黑天妖魔]（網站未列地圖）；大黑天幻影（萬佛窟）；大黑天尊者（樓蘭遺址、火焰山）；夜帝之僕（網站未列地圖）；無念僧（千佛遺跡西側、摩羅國境）；火藥惡賊（長林谷）；鯊將軍（龍宮八層一隅、龍宮八層廣場）；山蓮首領（碧波幽谷）；凡人（五派禁地）；山蓮打手（碧波幽谷）；鴻星火藥惡棍（碧波幽谷）；冬興打手（碧波幽谷）；流亡叛軍士兵（八達嶺、古北口、古北大營）；流亡叛軍士兵（邊關要塞）</x:t>
        </x:is>
      </x:c>
    </x:row>
    <x:row r="3607" ht="30" customHeight="1">
      <x:c r="A3607" s="55" t="str">
        <x:v>大智佛珠</x:v>
      </x:c>
      <x:c r="B3607" s="55" t="str">
        <x:v>—</x:v>
      </x:c>
      <x:c r="C3607" s="55" t="str">
        <x:v>—</x:v>
      </x:c>
      <x:c r="D3607" s="55" t="str">
        <x:v>大智佛珠配方</x:v>
      </x:c>
      <x:c r="E3607" s="55" t="inlineStr">
        <x:is>
          <x:t>都督錦囊（網站未列地圖）；大黑天（萬佛窟、火焰山）；黑天妖魔（萬佛窟、火焰山）；[黑天妖魔]（網站未列地圖）；大黑天幻影（萬佛窟）；大黑天尊者（樓蘭遺址、火焰山）；鯊將軍（龍宮八層一隅、龍宮八層廣場）</x:t>
        </x:is>
      </x:c>
    </x:row>
    <x:row r="3608" ht="30" customHeight="1">
      <x:c r="A3608" s="55" t="str">
        <x:v>踩雲佛珠</x:v>
      </x:c>
      <x:c r="B3608" s="55" t="str">
        <x:v>—</x:v>
      </x:c>
      <x:c r="C3608" s="55" t="str">
        <x:v>—</x:v>
      </x:c>
      <x:c r="D3608" s="55" t="str">
        <x:v>踩雲佛珠配方</x:v>
      </x:c>
      <x:c r="E3608" s="55" t="inlineStr">
        <x:is>
          <x:t>都督錦囊（網站未列地圖）；黑天妖魔（萬佛窟、火焰山）；[黑天妖魔]（網站未列地圖）；鯊將軍（龍宮八層一隅、龍宮八層廣場）</x:t>
        </x:is>
      </x:c>
    </x:row>
    <x:row r="3609" ht="15" customHeight="1">
      <x:c r="A3609" s="55" t="str">
        <x:v>四象護符</x:v>
      </x:c>
      <x:c r="B3609" s="55" t="str">
        <x:v>—</x:v>
      </x:c>
      <x:c r="C3609" s="55" t="str">
        <x:v>—</x:v>
      </x:c>
      <x:c r="D3609" s="55" t="str">
        <x:v>四象護符配方</x:v>
      </x:c>
      <x:c r="E3609" s="55" t="inlineStr">
        <x:is>
          <x:t>西域魔像（網站未列地圖）；怨靈（五派禁地）；邪靈（網站未列地圖）；怨靈（鬼城）</x:t>
        </x:is>
      </x:c>
    </x:row>
    <x:row r="3610" ht="30" customHeight="1">
      <x:c r="A3610" s="55" t="str">
        <x:v>四王佛珠</x:v>
      </x:c>
      <x:c r="B3610" s="55" t="str">
        <x:v>—</x:v>
      </x:c>
      <x:c r="C3610" s="55" t="str">
        <x:v>—</x:v>
      </x:c>
      <x:c r="D3610" s="55" t="str">
        <x:v>四王佛珠配方</x:v>
      </x:c>
      <x:c r="E3610" s="55" t="inlineStr">
        <x:is>
          <x:t>百眼族大魔王（網站未列地圖）；大黑天（萬佛窟、火焰山）；大黑天尊者（樓蘭遺址、火焰山）；大黑天幻影（萬佛窟）；怨靈（五派禁地）；邪靈（網站未列地圖）；怨靈（鬼城）</x:t>
        </x:is>
      </x:c>
    </x:row>
    <x:row r="3611" ht="15" customHeight="1">
      <x:c r="A3611" s="55" t="str">
        <x:v>八卦護符</x:v>
      </x:c>
      <x:c r="B3611" s="55" t="str">
        <x:v>—</x:v>
      </x:c>
      <x:c r="C3611" s="55" t="str">
        <x:v>—</x:v>
      </x:c>
      <x:c r="D3611" s="55" t="str">
        <x:v>八卦護符配方</x:v>
      </x:c>
      <x:c r="E3611" s="55" t="inlineStr">
        <x:is>
          <x:t>征北錦囊（網站未列地圖）</x:t>
        </x:is>
      </x:c>
    </x:row>
    <x:row r="3612" ht="30" customHeight="1">
      <x:c r="A3612" s="55" t="str">
        <x:v>八方佛珠</x:v>
      </x:c>
      <x:c r="B3612" s="55" t="str">
        <x:v>—</x:v>
      </x:c>
      <x:c r="C3612" s="55" t="str">
        <x:v>—</x:v>
      </x:c>
      <x:c r="D3612" s="55" t="str">
        <x:v>八方佛珠配方</x:v>
      </x:c>
      <x:c r="E3612" s="55" t="inlineStr">
        <x:is>
          <x:t>神州英傑錦囊（網站未列地圖）；地火錦囊（網站未列地圖）；征北錦囊（網站未列地圖）；乾坤錦囊（網站未列地圖）；噬屍地蟲（摩羅國境）</x:t>
        </x:is>
      </x:c>
    </x:row>
    <x:row r="3613" ht="15" customHeight="1">
      <x:c r="A3613" s="55" t="str">
        <x:v>鐵尊佛珠</x:v>
      </x:c>
      <x:c r="B3613" s="55" t="str">
        <x:v>—</x:v>
      </x:c>
      <x:c r="C3613" s="55" t="str">
        <x:v>—</x:v>
      </x:c>
      <x:c r="D3613" s="55" t="str">
        <x:v>鐵骨加持配方</x:v>
      </x:c>
      <x:c r="E3613" s="55" t="inlineStr">
        <x:is>
          <x:t>鄉野浪人（葉隱蒼林、神室關所）；怨靈（五派禁地）；邪靈（網站未列地圖）；怨靈（鬼城）</x:t>
        </x:is>
      </x:c>
    </x:row>
    <x:row r="3614" ht="15" customHeight="1">
      <x:c r="A3614" s="55" t="str">
        <x:v>力尊佛珠</x:v>
      </x:c>
      <x:c r="B3614" s="55" t="str">
        <x:v>—</x:v>
      </x:c>
      <x:c r="C3614" s="55" t="str">
        <x:v>—</x:v>
      </x:c>
      <x:c r="D3614" s="55" t="str">
        <x:v>大力加持配方</x:v>
      </x:c>
      <x:c r="E3614" s="55" t="inlineStr">
        <x:is>
          <x:t>怨靈（五派禁地）；邪靈（網站未列地圖）；怨靈（鬼城）</x:t>
        </x:is>
      </x:c>
    </x:row>
    <x:row r="3615" ht="15" customHeight="1">
      <x:c r="A3615" s="55" t="str">
        <x:v>智尊佛珠</x:v>
      </x:c>
      <x:c r="B3615" s="55" t="str">
        <x:v>—</x:v>
      </x:c>
      <x:c r="C3615" s="55" t="str">
        <x:v>—</x:v>
      </x:c>
      <x:c r="D3615" s="55" t="str">
        <x:v>大智加持配方</x:v>
      </x:c>
      <x:c r="E3615" s="55" t="inlineStr">
        <x:is>
          <x:t>怨靈（五派禁地）；邪靈（網站未列地圖）；怨靈（鬼城）</x:t>
        </x:is>
      </x:c>
    </x:row>
    <x:row r="3616" ht="15" customHeight="1">
      <x:c r="A3616" s="55" t="str">
        <x:v>風尊佛珠</x:v>
      </x:c>
      <x:c r="B3616" s="55" t="str">
        <x:v>—</x:v>
      </x:c>
      <x:c r="C3616" s="55" t="str">
        <x:v>—</x:v>
      </x:c>
      <x:c r="D3616" s="55" t="str">
        <x:v>踩雲加持配方</x:v>
      </x:c>
      <x:c r="E3616" s="55" t="inlineStr">
        <x:is>
          <x:t>怨靈（五派禁地）；邪靈（網站未列地圖）；怨靈（鬼城）</x:t>
        </x:is>
      </x:c>
    </x:row>
    <x:row r="3617" ht="60" customHeight="1">
      <x:c r="A3617" s="55" t="str">
        <x:v>水晶掛鍊</x:v>
      </x:c>
      <x:c r="B3617" s="55" t="str">
        <x:v>—</x:v>
      </x:c>
      <x:c r="C3617" s="55" t="str">
        <x:v>—</x:v>
      </x:c>
      <x:c r="D3617" s="55" t="str">
        <x:v>水晶掛鍊配方</x:v>
      </x:c>
      <x:c r="E3617" s="55" t="inlineStr">
        <x:is>
          <x:t>黑天寶箱（網站未列地圖）；春風特獎福袋（網站未列地圖）；神州聖王錦囊（網站未列地圖）；真傳情錦囊（網站未列地圖）；西域錦囊（網站未列地圖）；威震神州錦囊（網站未列地圖）；神州霸王錦囊（網站未列地圖）；來電通寶盒（網站未列地圖）；萬聖慶典福袋（網站未列地圖）；千年龍寶箱（網站未列地圖）；地火錦囊（網站未列地圖）</x:t>
        </x:is>
      </x:c>
    </x:row>
    <x:row r="3618" ht="15" customHeight="1">
      <x:c r="A3618" s="55" t="str">
        <x:v>地火寶袋</x:v>
      </x:c>
      <x:c r="B3618" s="55" t="str">
        <x:v>化解侏人身上奇毒</x:v>
      </x:c>
      <x:c r="C3618" s="55" t="str">
        <x:v>—</x:v>
      </x:c>
      <x:c r="D3618" s="55" t="str">
        <x:v>—</x:v>
      </x:c>
      <x:c r="E3618" s="55" t="inlineStr">
        <x:is>
          <x:t>—</x:t>
        </x:is>
      </x:c>
    </x:row>
    <x:row r="3619" ht="15" customHeight="1">
      <x:c r="A3619" s="55" t="str">
        <x:v>玄冰地靈護符</x:v>
      </x:c>
      <x:c r="B3619" s="55" t="str">
        <x:v>—</x:v>
      </x:c>
      <x:c r="C3619" s="55" t="str">
        <x:v>—</x:v>
      </x:c>
      <x:c r="D3619" s="55" t="str">
        <x:v>—</x:v>
      </x:c>
      <x:c r="E3619" s="55" t="inlineStr">
        <x:is>
          <x:t>地靈裝備錦囊（網站未列地圖）</x:t>
        </x:is>
      </x:c>
    </x:row>
    <x:row r="3620" ht="15" customHeight="1">
      <x:c r="A3620" s="55" t="str">
        <x:v>真火地靈護符</x:v>
      </x:c>
      <x:c r="B3620" s="55" t="str">
        <x:v>—</x:v>
      </x:c>
      <x:c r="C3620" s="55" t="str">
        <x:v>—</x:v>
      </x:c>
      <x:c r="D3620" s="55" t="str">
        <x:v>—</x:v>
      </x:c>
      <x:c r="E3620" s="55" t="inlineStr">
        <x:is>
          <x:t>地靈裝備錦囊（網站未列地圖）</x:t>
        </x:is>
      </x:c>
    </x:row>
    <x:row r="3621" ht="15" customHeight="1">
      <x:c r="A3621" s="55" t="str">
        <x:v>天雷地靈護符</x:v>
      </x:c>
      <x:c r="B3621" s="55" t="str">
        <x:v>—</x:v>
      </x:c>
      <x:c r="C3621" s="55" t="str">
        <x:v>—</x:v>
      </x:c>
      <x:c r="D3621" s="55" t="str">
        <x:v>—</x:v>
      </x:c>
      <x:c r="E3621" s="55" t="inlineStr">
        <x:is>
          <x:t>地靈裝備錦囊（網站未列地圖）</x:t>
        </x:is>
      </x:c>
    </x:row>
    <x:row r="3622" ht="15" customHeight="1">
      <x:c r="A3622" s="55" t="str">
        <x:v>歸冥地靈護符</x:v>
      </x:c>
      <x:c r="B3622" s="55" t="str">
        <x:v>—</x:v>
      </x:c>
      <x:c r="C3622" s="55" t="str">
        <x:v>—</x:v>
      </x:c>
      <x:c r="D3622" s="55" t="str">
        <x:v>—</x:v>
      </x:c>
      <x:c r="E3622" s="55" t="inlineStr">
        <x:is>
          <x:t>地靈裝備錦囊（網站未列地圖）</x:t>
        </x:is>
      </x:c>
    </x:row>
    <x:row r="3623" ht="15" customHeight="1">
      <x:c r="A3623" s="55" t="str">
        <x:v>玄冰天晶護符</x:v>
      </x:c>
      <x:c r="B3623" s="55" t="str">
        <x:v>—</x:v>
      </x:c>
      <x:c r="C3623" s="55" t="str">
        <x:v>—</x:v>
      </x:c>
      <x:c r="D3623" s="55" t="str">
        <x:v>—</x:v>
      </x:c>
      <x:c r="E3623" s="55" t="inlineStr">
        <x:is>
          <x:t>天晶裝備錦囊（網站未列地圖）</x:t>
        </x:is>
      </x:c>
    </x:row>
    <x:row r="3624" ht="15" customHeight="1">
      <x:c r="A3624" s="55" t="str">
        <x:v>真火天晶護符</x:v>
      </x:c>
      <x:c r="B3624" s="55" t="str">
        <x:v>—</x:v>
      </x:c>
      <x:c r="C3624" s="55" t="str">
        <x:v>—</x:v>
      </x:c>
      <x:c r="D3624" s="55" t="str">
        <x:v>—</x:v>
      </x:c>
      <x:c r="E3624" s="55" t="inlineStr">
        <x:is>
          <x:t>天晶裝備錦囊（網站未列地圖）</x:t>
        </x:is>
      </x:c>
    </x:row>
    <x:row r="3625" ht="15" customHeight="1">
      <x:c r="A3625" s="55" t="str">
        <x:v>天雷天晶護符</x:v>
      </x:c>
      <x:c r="B3625" s="55" t="str">
        <x:v>—</x:v>
      </x:c>
      <x:c r="C3625" s="55" t="str">
        <x:v>—</x:v>
      </x:c>
      <x:c r="D3625" s="55" t="str">
        <x:v>—</x:v>
      </x:c>
      <x:c r="E3625" s="55" t="inlineStr">
        <x:is>
          <x:t>天晶裝備錦囊（網站未列地圖）</x:t>
        </x:is>
      </x:c>
    </x:row>
    <x:row r="3626" ht="15" customHeight="1">
      <x:c r="A3626" s="55" t="str">
        <x:v>歸冥天晶護符</x:v>
      </x:c>
      <x:c r="B3626" s="55" t="str">
        <x:v>—</x:v>
      </x:c>
      <x:c r="C3626" s="55" t="str">
        <x:v>—</x:v>
      </x:c>
      <x:c r="D3626" s="55" t="str">
        <x:v>—</x:v>
      </x:c>
      <x:c r="E3626" s="55" t="inlineStr">
        <x:is>
          <x:t>天晶裝備錦囊（網站未列地圖）</x:t>
        </x:is>
      </x:c>
    </x:row>
    <x:row r="3627" ht="60" customHeight="1">
      <x:c r="A3627" s="55" t="str">
        <x:v>西域幸運手鐲</x:v>
      </x:c>
      <x:c r="B3627" s="55" t="str">
        <x:v>—</x:v>
      </x:c>
      <x:c r="C3627" s="55" t="str">
        <x:v>—</x:v>
      </x:c>
      <x:c r="D3627" s="55" t="str">
        <x:v>幸運手鐲配方</x:v>
      </x:c>
      <x:c r="E3627" s="55" t="inlineStr">
        <x:is>
          <x:t>稀奇裝備箱．甲式（網站未列地圖）；戊子賀歲福袋（網站未列地圖）；東瀛夢幻錦囊（網站未列地圖）；傳情錦囊（網站未列地圖）；濃情蜜意錦囊（網站未列地圖）；真傳情錦囊（網站未列地圖）；傳情錦囊（網站未列地圖）；真愛傳情錦囊（網站未列地圖）；神通錦囊（網站未列地圖）；傲樂點卡大錦囊（網站未列地圖）；大轉輪錦囊（網站未列地圖）</x:t>
        </x:is>
      </x:c>
    </x:row>
    <x:row r="3628" ht="75" customHeight="1">
      <x:c r="A3628" s="55" t="str">
        <x:v>十全晶鍊</x:v>
      </x:c>
      <x:c r="B3628" s="55" t="str">
        <x:v>—</x:v>
      </x:c>
      <x:c r="C3628" s="55" t="str">
        <x:v>—</x:v>
      </x:c>
      <x:c r="D3628" s="55" t="str">
        <x:v>—</x:v>
      </x:c>
      <x:c r="E3628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來電通豪華寶盒（網站未列地圖）；血槍幫響馬（高昌郡）；邪神信徒（火焰山）；禿鷹幫響馬（高昌郡）；布衣幫響馬（高昌郡）</x:t>
        </x:is>
      </x:c>
    </x:row>
    <x:row r="3629" ht="75" customHeight="1">
      <x:c r="A3629" s="55" t="str">
        <x:v>十界墜鍊</x:v>
      </x:c>
      <x:c r="B3629" s="55" t="str">
        <x:v>—</x:v>
      </x:c>
      <x:c r="C3629" s="55" t="str">
        <x:v>—</x:v>
      </x:c>
      <x:c r="D3629" s="55" t="str">
        <x:v>—</x:v>
      </x:c>
      <x:c r="E3629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來電通豪華寶盒（網站未列地圖）；血槍幫響馬（高昌郡）；邪神信徒（火焰山）；禿鷹幫響馬（高昌郡）；布衣幫響馬（高昌郡）</x:t>
        </x:is>
      </x:c>
    </x:row>
    <x:row r="3630" ht="90" customHeight="1">
      <x:c r="A3630" s="55" t="str">
        <x:v>琉璃戒指</x:v>
      </x:c>
      <x:c r="B3630" s="55" t="str">
        <x:v>—</x:v>
      </x:c>
      <x:c r="C3630" s="55" t="str">
        <x:v>—</x:v>
      </x:c>
      <x:c r="D3630" s="55" t="str">
        <x:v>—</x:v>
      </x:c>
      <x:c r="E3630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血槍幫小頭目（高昌郡）；邪神勇士（火焰山）；布衣幫小頭目（高昌郡）；禿鷹幫首領（高昌郡）；傀儡沙漠刀匪（萬佛窟、樓蘭遺址）；傀儡沙漠射手（樓蘭遺址）；倭國下忍（釣日村）；沙漠刀匪（塔干沙漠東方、塔干沙漠南方）；沙漠射手（塔干沙漠東方、塔干沙漠南方）</x:t>
        </x:is>
      </x:c>
    </x:row>
    <x:row r="3631" ht="105" customHeight="1">
      <x:c r="A3631" s="55" t="str">
        <x:v>流光戒指</x:v>
      </x:c>
      <x:c r="B3631" s="55" t="str">
        <x:v>—</x:v>
      </x:c>
      <x:c r="C3631" s="55" t="str">
        <x:v>—</x:v>
      </x:c>
      <x:c r="D3631" s="55" t="str">
        <x:v>—</x:v>
      </x:c>
      <x:c r="E3631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樓蘭術者錦囊（網站未列地圖）；樓蘭僧侶錦囊（網站未列地圖）；血槍幫小頭目（高昌郡）；邪神勇士（火焰山）；布衣幫小頭目（高昌郡）；禿鷹幫首領（高昌郡）；傀儡沙漠刀匪（萬佛窟、樓蘭遺址）；傀儡沙漠射手（樓蘭遺址）；倭國下忍（釣日村）；沙漠刀匪（塔干沙漠東方、塔干沙漠南方）；沙漠射手（塔干沙漠東方、塔干沙漠南方）</x:t>
        </x:is>
      </x:c>
    </x:row>
    <x:row r="3632" ht="105" customHeight="1">
      <x:c r="A3632" s="55" t="str">
        <x:v>百匯晶鍊</x:v>
      </x:c>
      <x:c r="B3632" s="55" t="str">
        <x:v>—</x:v>
      </x:c>
      <x:c r="C3632" s="55" t="str">
        <x:v>—</x:v>
      </x:c>
      <x:c r="D3632" s="55" t="str">
        <x:v>—</x:v>
      </x:c>
      <x:c r="E3632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征東錦囊（網站未列地圖）；旭日福袋（網站未列地圖）；逐鹿東瀛錦囊（網站未列地圖）；征西劍俠錦囊（網站未列地圖）；征西勇士錦囊（網站未列地圖）；征西術者錦囊（網站未列地圖）；征西道人錦囊（網站未列地圖）；征西僧侶錦囊（網站未列地圖）；血槍幫首領（高昌郡）；布衣幫首領（高昌郡）；邪神勇士鬼魂（火焰山）；傀儡盜匪頭目（萬佛窟、樓蘭遺址）；盜匪頭目（塔干沙漠南方）</x:t>
        </x:is>
      </x:c>
    </x:row>
    <x:row r="3633" ht="75" customHeight="1">
      <x:c r="A3633" s="55" t="str">
        <x:v>百靈墜鍊</x:v>
      </x:c>
      <x:c r="B3633" s="55" t="str">
        <x:v>—</x:v>
      </x:c>
      <x:c r="C3633" s="55" t="str">
        <x:v>—</x:v>
      </x:c>
      <x:c r="D3633" s="55" t="str">
        <x:v>—</x:v>
      </x:c>
      <x:c r="E3633" s="55" t="inlineStr">
        <x:is>
          <x:t>黑天神兵元靈（網站未列地圖）；西域勇裝錦囊（網站未列地圖）；西域劍裝錦囊（網站未列地圖）；西域術裝錦囊（網站未列地圖）；西域道裝錦囊（網站未列地圖）；西域僧裝錦囊（網站未列地圖）；黑天勇裝元靈（網站未列地圖）；黑天劍裝元靈（網站未列地圖）；黑天術裝元靈（網站未列地圖）；黑天道裝元靈（網站未列地圖）；黑天僧裝元靈（網站未列地圖）；血槍幫首領（高昌郡）；布衣幫首領（高昌郡）；邪神勇士鬼魂（火焰山）；傀儡盜匪頭目（萬佛窟、樓蘭遺址）；盜匪頭目（塔干沙漠南方）</x:t>
        </x:is>
      </x:c>
    </x:row>
    <x:row r="3634" ht="75" customHeight="1">
      <x:c r="A3634" s="55" t="str">
        <x:v>戰神負重鍊</x:v>
      </x:c>
      <x:c r="B3634" s="55" t="str">
        <x:v>—</x:v>
      </x:c>
      <x:c r="C3634" s="55" t="str">
        <x:v>—</x:v>
      </x:c>
      <x:c r="D3634" s="55" t="str">
        <x:v>—</x:v>
      </x:c>
      <x:c r="E3634" s="55" t="inlineStr">
        <x:is>
          <x:t>稀奇裝備箱．乙式（網站未列地圖）；旭日福袋（網站未列地圖）；征東錦囊（網站未列地圖）；風雲錦囊（網站未列地圖）；七星戰神錦囊（網站未列地圖）；戰神錦囊（網站未列地圖）；揚威錦囊（網站未列地圖）；十字新手錦囊（網站未列地圖）；神州武尊錦囊（網站未列地圖）；頂峰新手錦囊（網站未列地圖）；波斯新手錦囊（網站未列地圖）；福月禮包（網站未列地圖）；頂峰聖誕寶箱（網站未列地圖）；採石奴（吉薩走廊）；枯血鬼爪（終末之塔第38層）</x:t>
        </x:is>
      </x:c>
    </x:row>
    <x:row r="3635" ht="15" customHeight="1">
      <x:c r="A3635" s="55" t="str">
        <x:v>鐵聖佛珠</x:v>
      </x:c>
      <x:c r="B3635" s="55" t="str">
        <x:v>—</x:v>
      </x:c>
      <x:c r="C3635" s="55" t="str">
        <x:v>—</x:v>
      </x:c>
      <x:c r="D3635" s="55" t="str">
        <x:v>—</x:v>
      </x:c>
      <x:c r="E3635" s="55" t="inlineStr">
        <x:is>
          <x:t>四聖佛珠寶盒（網站未列地圖）；石破天驚錦囊（網站未列地圖）；天驚錦囊（網站未列地圖）</x:t>
        </x:is>
      </x:c>
    </x:row>
    <x:row r="3636" ht="15" customHeight="1">
      <x:c r="A3636" s="55" t="str">
        <x:v>力聖佛珠</x:v>
      </x:c>
      <x:c r="B3636" s="55" t="str">
        <x:v>—</x:v>
      </x:c>
      <x:c r="C3636" s="55" t="str">
        <x:v>—</x:v>
      </x:c>
      <x:c r="D3636" s="55" t="str">
        <x:v>—</x:v>
      </x:c>
      <x:c r="E3636" s="55" t="inlineStr">
        <x:is>
          <x:t>四聖佛珠寶盒（網站未列地圖）；石破天驚錦囊（網站未列地圖）；天驚錦囊（網站未列地圖）</x:t>
        </x:is>
      </x:c>
    </x:row>
    <x:row r="3637" ht="15" customHeight="1">
      <x:c r="A3637" s="55" t="str">
        <x:v>智聖佛珠</x:v>
      </x:c>
      <x:c r="B3637" s="55" t="str">
        <x:v>—</x:v>
      </x:c>
      <x:c r="C3637" s="55" t="str">
        <x:v>—</x:v>
      </x:c>
      <x:c r="D3637" s="55" t="str">
        <x:v>—</x:v>
      </x:c>
      <x:c r="E3637" s="55" t="inlineStr">
        <x:is>
          <x:t>四聖佛珠寶盒（網站未列地圖）；石破天驚錦囊（網站未列地圖）；天驚錦囊（網站未列地圖）</x:t>
        </x:is>
      </x:c>
    </x:row>
    <x:row r="3638" ht="15" customHeight="1">
      <x:c r="A3638" s="55" t="str">
        <x:v>風聖佛珠</x:v>
      </x:c>
      <x:c r="B3638" s="55" t="str">
        <x:v>—</x:v>
      </x:c>
      <x:c r="C3638" s="55" t="str">
        <x:v>—</x:v>
      </x:c>
      <x:c r="D3638" s="55" t="str">
        <x:v>—</x:v>
      </x:c>
      <x:c r="E3638" s="55" t="inlineStr">
        <x:is>
          <x:t>四聖佛珠寶盒（網站未列地圖）；石破天驚錦囊（網站未列地圖）；天驚錦囊（網站未列地圖）</x:t>
        </x:is>
      </x:c>
    </x:row>
    <x:row r="3639" ht="90" customHeight="1">
      <x:c r="A3639" s="55" t="str">
        <x:v>昴泉戒指</x:v>
      </x:c>
      <x:c r="B3639" s="55" t="str">
        <x:v>—</x:v>
      </x:c>
      <x:c r="C3639" s="55" t="str">
        <x:v>—</x:v>
      </x:c>
      <x:c r="D3639" s="55" t="str">
        <x:v>—</x:v>
      </x:c>
      <x:c r="E3639" s="55" t="inlineStr">
        <x:is>
          <x:t>東瀛劍裝錦囊（網站未列地圖）；東瀛術裝錦囊（網站未列地圖）；東瀛道裝錦囊（網站未列地圖）；東瀛僧裝錦囊（網站未列地圖）；東瀛勇裝錦囊（網站未列地圖）；東瀛劍裝禮盒（網站未列地圖）；東瀛術裝禮盒（網站未列地圖）；東瀛道裝禮盒（網站未列地圖）；東瀛僧裝禮盒（網站未列地圖）；東瀛勇裝禮盒（網站未列地圖）；摩羅錦囊（網站未列地圖）；[冰執鐮鼬]（網站未列地圖）；冰執鐮鼬（內崎埠原、外崎埠原、十津原樹海）；巨鮫平次郎（長野沙濱）；極道浪人（神室關所、內崎埠原、外崎埠原）；黑巨蛟（極東海域）；冥土鬼爪（悲歡渡口、永劫刑場）</x:t>
        </x:is>
      </x:c>
    </x:row>
    <x:row r="3640" ht="90" customHeight="1">
      <x:c r="A3640" s="55" t="str">
        <x:v>姬月戒指</x:v>
      </x:c>
      <x:c r="B3640" s="55" t="str">
        <x:v>—</x:v>
      </x:c>
      <x:c r="C3640" s="55" t="str">
        <x:v>—</x:v>
      </x:c>
      <x:c r="D3640" s="55" t="str">
        <x:v>—</x:v>
      </x:c>
      <x:c r="E3640" s="55" t="inlineStr">
        <x:is>
          <x:t>東瀛劍裝錦囊（網站未列地圖）；東瀛術裝錦囊（網站未列地圖）；東瀛道裝錦囊（網站未列地圖）；東瀛僧裝錦囊（網站未列地圖）；東瀛勇裝錦囊（網站未列地圖）；東瀛劍裝禮盒（網站未列地圖）；東瀛術裝禮盒（網站未列地圖）；東瀛道裝禮盒（網站未列地圖）；東瀛僧裝禮盒（網站未列地圖）；東瀛勇裝禮盒（網站未列地圖）；精武兵衛（內崎埠原、外崎埠原、伊取川大陣）；[天狗]（網站未列地圖）；天狗（葉隱蒼林、十津原樹海、天照不二峰）；執怨般若（十津原樹海、天照不二峰）；谷村真一（神室關所）；天狗（葉隱蒼林、十津原樹海、天照不二峰）</x:t>
        </x:is>
      </x:c>
    </x:row>
    <x:row r="3641" ht="45" customHeight="1">
      <x:c r="A3641" s="55" t="str">
        <x:v>坤雨珠鍊</x:v>
      </x:c>
      <x:c r="B3641" s="55" t="str">
        <x:v>—</x:v>
      </x:c>
      <x:c r="C3641" s="55" t="str">
        <x:v>—</x:v>
      </x:c>
      <x:c r="D3641" s="55" t="str">
        <x:v>—</x:v>
      </x:c>
      <x:c r="E3641" s="55" t="inlineStr">
        <x:is>
          <x:t>東瀛劍裝禮盒（網站未列地圖）；東瀛術裝禮盒（網站未列地圖）；東瀛道裝禮盒（網站未列地圖）；東瀛僧裝禮盒（網站未列地圖）；東瀛勇裝禮盒（網站未列地圖）；冥土鬼爪（悲歡渡口、永劫刑場）；飛塵風靈（黃塵荒漠）；煞獄風魔（網站未列地圖）</x:t>
        </x:is>
      </x:c>
    </x:row>
    <x:row r="3642" ht="45" customHeight="1">
      <x:c r="A3642" s="55" t="str">
        <x:v>震流珠鍊</x:v>
      </x:c>
      <x:c r="B3642" s="55" t="str">
        <x:v>—</x:v>
      </x:c>
      <x:c r="C3642" s="55" t="str">
        <x:v>—</x:v>
      </x:c>
      <x:c r="D3642" s="55" t="str">
        <x:v>—</x:v>
      </x:c>
      <x:c r="E3642" s="55" t="inlineStr">
        <x:is>
          <x:t>東瀛劍裝禮盒（網站未列地圖）；東瀛術裝禮盒（網站未列地圖）；東瀛道裝禮盒（網站未列地圖）；東瀛僧裝禮盒（網站未列地圖）；東瀛勇裝禮盒（網站未列地圖）；烈燄風魔（恨生不歸途、三途之都）；噬屍地蟲（摩羅國境）；波斯戰象（黃塵荒漠）</x:t>
        </x:is>
      </x:c>
    </x:row>
    <x:row r="3643" ht="60" customHeight="1">
      <x:c r="A3643" s="55" t="str">
        <x:v>五蘊指環</x:v>
      </x:c>
      <x:c r="B3643" s="55" t="str">
        <x:v>—</x:v>
      </x:c>
      <x:c r="C3643" s="55" t="str">
        <x:v>—</x:v>
      </x:c>
      <x:c r="D3643" s="55" t="str">
        <x:v>—</x:v>
      </x:c>
      <x:c r="E3643" s="55" t="inlineStr">
        <x:is>
          <x:t>摩羅勇裝錦囊（網站未列地圖）；摩羅劍裝錦囊（網站未列地圖）；摩羅術裝錦囊（網站未列地圖）；摩羅道裝錦囊（網站未列地圖）；摩羅僧裝錦囊（網站未列地圖）；真佛劍裝錦囊（網站未列地圖）；真佛術裝錦囊（網站未列地圖）；真佛道裝錦囊（網站未列地圖）；真佛僧裝錦囊（網站未列地圖）；真佛勇裝錦囊（網站未列地圖）；滅界邪陀（金霄佛寺、濕婆神廟）</x:t>
        </x:is>
      </x:c>
    </x:row>
    <x:row r="3644" ht="60" customHeight="1">
      <x:c r="A3644" s="55" t="str">
        <x:v>碧血天珠</x:v>
      </x:c>
      <x:c r="B3644" s="55" t="str">
        <x:v>—</x:v>
      </x:c>
      <x:c r="C3644" s="55" t="str">
        <x:v>—</x:v>
      </x:c>
      <x:c r="D3644" s="55" t="str">
        <x:v>—</x:v>
      </x:c>
      <x:c r="E3644" s="55" t="inlineStr">
        <x:is>
          <x:t>摩羅勇裝錦囊（網站未列地圖）；摩羅劍裝錦囊（網站未列地圖）；摩羅術裝錦囊（網站未列地圖）；摩羅道裝錦囊（網站未列地圖）；摩羅僧裝錦囊（網站未列地圖）；真佛劍裝錦囊（網站未列地圖）；真佛術裝錦囊（網站未列地圖）；真佛道裝錦囊（網站未列地圖）；真佛僧裝錦囊（網站未列地圖）；真佛勇裝錦囊（網站未列地圖）；冰獄獠鬼（寒愴冰獄）；魔道行者（菩提聖原、大梵河岸、金霄佛寺）</x:t>
        </x:is>
      </x:c>
    </x:row>
    <x:row r="3645" ht="15" customHeight="1">
      <x:c r="A3645" s="55" t="str">
        <x:v>四真項鍊</x:v>
      </x:c>
      <x:c r="B3645" s="55" t="str">
        <x:v>—</x:v>
      </x:c>
      <x:c r="C3645" s="55" t="str">
        <x:v>—</x:v>
      </x:c>
      <x:c r="D3645" s="55" t="str">
        <x:v>—</x:v>
      </x:c>
      <x:c r="E3645" s="55" t="inlineStr">
        <x:is>
          <x:t>稀奇裝備箱．甲式（網站未列地圖）</x:t>
        </x:is>
      </x:c>
    </x:row>
    <x:row r="3646" ht="15" customHeight="1">
      <x:c r="A3646" s="55" t="str">
        <x:v>常寂墜鍊</x:v>
      </x:c>
      <x:c r="B3646" s="55" t="str">
        <x:v>—</x:v>
      </x:c>
      <x:c r="C3646" s="55" t="str">
        <x:v>—</x:v>
      </x:c>
      <x:c r="D3646" s="55" t="str">
        <x:v>—</x:v>
      </x:c>
      <x:c r="E3646" s="55" t="inlineStr">
        <x:is>
          <x:t>稀奇裝備箱．甲式（網站未列地圖）</x:t>
        </x:is>
      </x:c>
    </x:row>
    <x:row r="3647" ht="30" customHeight="1">
      <x:c r="A3647" s="55" t="str">
        <x:v>十念指環</x:v>
      </x:c>
      <x:c r="B3647" s="55" t="str">
        <x:v>—</x:v>
      </x:c>
      <x:c r="C3647" s="55" t="str">
        <x:v>—</x:v>
      </x:c>
      <x:c r="D3647" s="55" t="str">
        <x:v>—</x:v>
      </x:c>
      <x:c r="E3647" s="55" t="inlineStr">
        <x:is>
          <x:t>真佛劍裝錦囊（網站未列地圖）；真佛術裝錦囊（網站未列地圖）；真佛道裝錦囊（網站未列地圖）；真佛僧裝錦囊（網站未列地圖）；真佛勇裝錦囊（網站未列地圖）</x:t>
        </x:is>
      </x:c>
    </x:row>
    <x:row r="3648" ht="30" customHeight="1">
      <x:c r="A3648" s="55" t="str">
        <x:v>赦生天珠</x:v>
      </x:c>
      <x:c r="B3648" s="55" t="str">
        <x:v>—</x:v>
      </x:c>
      <x:c r="C3648" s="55" t="str">
        <x:v>—</x:v>
      </x:c>
      <x:c r="D3648" s="55" t="str">
        <x:v>—</x:v>
      </x:c>
      <x:c r="E3648" s="55" t="inlineStr">
        <x:is>
          <x:t>真佛劍裝錦囊（網站未列地圖）；真佛術裝錦囊（網站未列地圖）；真佛道裝錦囊（網站未列地圖）；真佛僧裝錦囊（網站未列地圖）；真佛勇裝錦囊（網站未列地圖）；霧峰暴猿（登天棧道）</x:t>
        </x:is>
      </x:c>
    </x:row>
    <x:row r="3649" ht="15" customHeight="1">
      <x:c r="A3649" s="55" t="str">
        <x:v>八聖項鍊</x:v>
      </x:c>
      <x:c r="B3649" s="55" t="str">
        <x:v>—</x:v>
      </x:c>
      <x:c r="C3649" s="55" t="str">
        <x:v>—</x:v>
      </x:c>
      <x:c r="D3649" s="55" t="str">
        <x:v>—</x:v>
      </x:c>
      <x:c r="E3649" s="55" t="inlineStr">
        <x:is>
          <x:t>稀奇裝備箱．甲式（網站未列地圖）</x:t>
        </x:is>
      </x:c>
    </x:row>
    <x:row r="3650" ht="15" customHeight="1">
      <x:c r="A3650" s="55" t="str">
        <x:v>光淨墜鍊</x:v>
      </x:c>
      <x:c r="B3650" s="55" t="str">
        <x:v>—</x:v>
      </x:c>
      <x:c r="C3650" s="55" t="str">
        <x:v>—</x:v>
      </x:c>
      <x:c r="D3650" s="55" t="str">
        <x:v>—</x:v>
      </x:c>
      <x:c r="E3650" s="55" t="inlineStr">
        <x:is>
          <x:t>稀奇裝備箱．甲式（網站未列地圖）</x:t>
        </x:is>
      </x:c>
    </x:row>
    <x:row r="3651" ht="60" customHeight="1">
      <x:c r="A3651" s="55" t="str">
        <x:v>辯才天墜鍊</x:v>
      </x:c>
      <x:c r="B3651" s="55" t="str">
        <x:v>—</x:v>
      </x:c>
      <x:c r="C3651" s="55" t="str">
        <x:v>—</x:v>
      </x:c>
      <x:c r="D3651" s="55" t="str">
        <x:v>辯才墜鍊配方</x:v>
      </x:c>
      <x:c r="E3651" s="55" t="inlineStr">
        <x:is>
          <x:t>稀奇裝備箱．乙式（網站未列地圖）；終極尚寶寶箱（網站未列地圖）；大激慶禮包（網站未列地圖）；十字禮袋（網站未列地圖）；豪華福月禮包（網站未列地圖）；摩羅錦囊（網站未列地圖）；奇蹟錦囊（網站未列地圖）；消暑殷紅錦囊（網站未列地圖）；涼夏大寶箱（網站未列地圖）；虎年超級寶箱（網站未列地圖）；萬聖小禮袋（網站未列地圖）；光耀神凰（朱雀南殿）</x:t>
        </x:is>
      </x:c>
    </x:row>
    <x:row r="3652" ht="15" customHeight="1">
      <x:c r="A3652" s="55" t="str">
        <x:v>鐵曜佛珠</x:v>
      </x:c>
      <x:c r="B3652" s="55" t="str">
        <x:v>—</x:v>
      </x:c>
      <x:c r="C3652" s="55" t="str">
        <x:v>—</x:v>
      </x:c>
      <x:c r="D3652" s="55" t="str">
        <x:v>—</x:v>
      </x:c>
      <x:c r="E3652" s="55" t="inlineStr">
        <x:is>
          <x:t>七曜佛珠寶盒（網站未列地圖）</x:t>
        </x:is>
      </x:c>
    </x:row>
    <x:row r="3653" ht="15" customHeight="1">
      <x:c r="A3653" s="55" t="str">
        <x:v>力曜佛珠</x:v>
      </x:c>
      <x:c r="B3653" s="55" t="str">
        <x:v>—</x:v>
      </x:c>
      <x:c r="C3653" s="55" t="str">
        <x:v>—</x:v>
      </x:c>
      <x:c r="D3653" s="55" t="str">
        <x:v>—</x:v>
      </x:c>
      <x:c r="E3653" s="55" t="inlineStr">
        <x:is>
          <x:t>七曜佛珠寶盒（網站未列地圖）</x:t>
        </x:is>
      </x:c>
    </x:row>
    <x:row r="3654" ht="15" customHeight="1">
      <x:c r="A3654" s="55" t="str">
        <x:v>智曜佛珠</x:v>
      </x:c>
      <x:c r="B3654" s="55" t="str">
        <x:v>—</x:v>
      </x:c>
      <x:c r="C3654" s="55" t="str">
        <x:v>—</x:v>
      </x:c>
      <x:c r="D3654" s="55" t="str">
        <x:v>—</x:v>
      </x:c>
      <x:c r="E3654" s="55" t="inlineStr">
        <x:is>
          <x:t>七曜佛珠寶盒（網站未列地圖）</x:t>
        </x:is>
      </x:c>
    </x:row>
    <x:row r="3655" ht="15" customHeight="1">
      <x:c r="A3655" s="55" t="str">
        <x:v>風曜佛珠</x:v>
      </x:c>
      <x:c r="B3655" s="55" t="str">
        <x:v>—</x:v>
      </x:c>
      <x:c r="C3655" s="55" t="str">
        <x:v>—</x:v>
      </x:c>
      <x:c r="D3655" s="55" t="str">
        <x:v>—</x:v>
      </x:c>
      <x:c r="E3655" s="55" t="inlineStr">
        <x:is>
          <x:t>七曜佛珠寶盒（網站未列地圖）</x:t>
        </x:is>
      </x:c>
    </x:row>
    <x:row r="3656" ht="75" customHeight="1">
      <x:c r="A3656" s="55" t="str">
        <x:v>六滅化神</x:v>
      </x:c>
      <x:c r="B3656" s="55" t="str">
        <x:v>—</x:v>
      </x:c>
      <x:c r="C3656" s="55" t="str">
        <x:v>—</x:v>
      </x:c>
      <x:c r="D3656" s="55" t="str">
        <x:v>六滅化神配方</x:v>
      </x:c>
      <x:c r="E3656" s="55" t="inlineStr">
        <x:is>
          <x:t>六滅化神大禮包（網站未列地圖）；真‧傾天絕邪（網站未列地圖）；頂峰強者錦囊（網站未列地圖）；征歐天驕錦囊（網站未列地圖）；終極尚寶寶箱（網站未列地圖）；大激慶禮包（網站未列地圖）；五神樂暑錦囊（網站未列地圖）；無上奇蹟錦囊（網站未列地圖）；金虎吉祥紅包（網站未列地圖）；夏月涼風錦囊（網站未列地圖）；福月禮包（網站未列地圖）；金銀錦囊（網站未列地圖）；無限寶箱（網站未列地圖）；射命虛狸（網站未列地圖）；飄魂禿鷹（時沒邊界）；阿修羅戰士（異時界‧修羅窟）；冷刀魔蜥（異時界‧夜叉嶺）；雀殿闇凰（朱雀南殿）</x:t>
        </x:is>
      </x:c>
    </x:row>
    <x:row r="3657" ht="45" customHeight="1">
      <x:c r="A3657" s="55" t="str">
        <x:v>五逆指環</x:v>
      </x:c>
      <x:c r="B3657" s="55" t="str">
        <x:v>—</x:v>
      </x:c>
      <x:c r="C3657" s="55" t="str">
        <x:v>—</x:v>
      </x:c>
      <x:c r="D3657" s="55" t="str">
        <x:v>—</x:v>
      </x:c>
      <x:c r="E3657" s="55" t="inlineStr">
        <x:is>
          <x:t>煉獄劍裝錦囊（網站未列地圖）；煉獄術裝錦囊（網站未列地圖）；煉獄道裝錦囊（網站未列地圖）；煉獄僧裝錦囊（網站未列地圖）；煉獄勇裝錦囊（網站未列地圖）；稀奇裝備箱．丁式（網站未列地圖）；波斯蒼鷹（飛簷頂徑）；穿雲聖牛（大梵聖湖、萬岳聖峰、香格里拉聖路）</x:t>
        </x:is>
      </x:c>
    </x:row>
    <x:row r="3658" ht="30" customHeight="1">
      <x:c r="A3658" s="55" t="str">
        <x:v>墮業墜鍊</x:v>
      </x:c>
      <x:c r="B3658" s="55" t="str">
        <x:v>—</x:v>
      </x:c>
      <x:c r="C3658" s="55" t="str">
        <x:v>—</x:v>
      </x:c>
      <x:c r="D3658" s="55" t="str">
        <x:v>—</x:v>
      </x:c>
      <x:c r="E3658" s="55" t="inlineStr">
        <x:is>
          <x:t>煉獄劍裝錦囊（網站未列地圖）；煉獄術裝錦囊（網站未列地圖）；煉獄道裝錦囊（網站未列地圖）；煉獄僧裝錦囊（網站未列地圖）；煉獄勇裝錦囊（網站未列地圖）；稀奇裝備箱．丁式（網站未列地圖）</x:t>
        </x:is>
      </x:c>
    </x:row>
    <x:row r="3659" ht="15" customHeight="1">
      <x:c r="A3659" s="55" t="str">
        <x:v>十重天珠</x:v>
      </x:c>
      <x:c r="B3659" s="55" t="str">
        <x:v>—</x:v>
      </x:c>
      <x:c r="C3659" s="55" t="str">
        <x:v>—</x:v>
      </x:c>
      <x:c r="D3659" s="55" t="str">
        <x:v>—</x:v>
      </x:c>
      <x:c r="E3659" s="55" t="inlineStr">
        <x:is>
          <x:t>—</x:t>
        </x:is>
      </x:c>
    </x:row>
    <x:row r="3660" ht="15" customHeight="1">
      <x:c r="A3660" s="55" t="str">
        <x:v>叫喚墜鍊</x:v>
      </x:c>
      <x:c r="B3660" s="55" t="str">
        <x:v>—</x:v>
      </x:c>
      <x:c r="C3660" s="55" t="str">
        <x:v>—</x:v>
      </x:c>
      <x:c r="D3660" s="55" t="str">
        <x:v>—</x:v>
      </x:c>
      <x:c r="E3660" s="55" t="inlineStr">
        <x:is>
          <x:t>稀奇裝備箱．丁式（網站未列地圖）</x:t>
        </x:is>
      </x:c>
    </x:row>
    <x:row r="3661" ht="30" customHeight="1">
      <x:c r="A3661" s="55" t="str">
        <x:v>永劫指環</x:v>
      </x:c>
      <x:c r="B3661" s="55" t="str">
        <x:v>—</x:v>
      </x:c>
      <x:c r="C3661" s="55" t="str">
        <x:v>—</x:v>
      </x:c>
      <x:c r="D3661" s="55" t="str">
        <x:v>—</x:v>
      </x:c>
      <x:c r="E3661" s="55" t="inlineStr">
        <x:is>
          <x:t>魔天勇裝錦囊（網站未列地圖）；魔天劍裝錦囊（網站未列地圖）；魔天術裝錦囊（網站未列地圖）；魔天道裝錦囊（網站未列地圖）；魔天僧裝錦囊（網站未列地圖）</x:t>
        </x:is>
      </x:c>
    </x:row>
    <x:row r="3662" ht="45" customHeight="1">
      <x:c r="A3662" s="55" t="str">
        <x:v>神泣項鍊</x:v>
      </x:c>
      <x:c r="B3662" s="55" t="str">
        <x:v>—</x:v>
      </x:c>
      <x:c r="C3662" s="55" t="str">
        <x:v>—</x:v>
      </x:c>
      <x:c r="D3662" s="55" t="str">
        <x:v>—</x:v>
      </x:c>
      <x:c r="E3662" s="55" t="inlineStr">
        <x:is>
          <x:t>魔天勇裝錦囊（網站未列地圖）；魔天劍裝錦囊（網站未列地圖）；魔天術裝錦囊（網站未列地圖）；魔天道裝錦囊（網站未列地圖）；魔天僧裝錦囊（網站未列地圖）；焚怒之火（飛簷頂徑、波斯西市、法誡參道）；[焚怒之火]（網站未列地圖）；熔岩火妖（網站未列地圖）</x:t>
        </x:is>
      </x:c>
    </x:row>
    <x:row r="3663" ht="15" customHeight="1">
      <x:c r="A3663" s="55" t="str">
        <x:v>墮業天珠</x:v>
      </x:c>
      <x:c r="B3663" s="55" t="str">
        <x:v>—</x:v>
      </x:c>
      <x:c r="C3663" s="55" t="str">
        <x:v>—</x:v>
      </x:c>
      <x:c r="D3663" s="55" t="str">
        <x:v>—</x:v>
      </x:c>
      <x:c r="E3663" s="55" t="inlineStr">
        <x:is>
          <x:t>—</x:t>
        </x:is>
      </x:c>
    </x:row>
    <x:row r="3664" ht="15" customHeight="1">
      <x:c r="A3664" s="55" t="str">
        <x:v>天慟墜鍊</x:v>
      </x:c>
      <x:c r="B3664" s="55" t="str">
        <x:v>—</x:v>
      </x:c>
      <x:c r="C3664" s="55" t="str">
        <x:v>—</x:v>
      </x:c>
      <x:c r="D3664" s="55" t="str">
        <x:v>—</x:v>
      </x:c>
      <x:c r="E3664" s="55" t="inlineStr">
        <x:is>
          <x:t>稀奇裝備箱．丁式（網站未列地圖）</x:t>
        </x:is>
      </x:c>
    </x:row>
    <x:row r="3665" ht="15" customHeight="1">
      <x:c r="A3665" s="55" t="str">
        <x:v>鐵業佛珠</x:v>
      </x:c>
      <x:c r="B3665" s="55" t="str">
        <x:v>—</x:v>
      </x:c>
      <x:c r="C3665" s="55" t="str">
        <x:v>—</x:v>
      </x:c>
      <x:c r="D3665" s="55" t="str">
        <x:v>—</x:v>
      </x:c>
      <x:c r="E3665" s="55" t="inlineStr">
        <x:is>
          <x:t>滅業佛珠寶盒（網站未列地圖）；無上奇蹟錦囊（網站未列地圖）；金虎吉祥紅包（網站未列地圖）</x:t>
        </x:is>
      </x:c>
    </x:row>
    <x:row r="3666" ht="15" customHeight="1">
      <x:c r="A3666" s="55" t="str">
        <x:v>力業佛珠</x:v>
      </x:c>
      <x:c r="B3666" s="55" t="str">
        <x:v>—</x:v>
      </x:c>
      <x:c r="C3666" s="55" t="str">
        <x:v>—</x:v>
      </x:c>
      <x:c r="D3666" s="55" t="str">
        <x:v>—</x:v>
      </x:c>
      <x:c r="E3666" s="55" t="inlineStr">
        <x:is>
          <x:t>滅業佛珠寶盒（網站未列地圖）；無上奇蹟錦囊（網站未列地圖）；金虎吉祥紅包（網站未列地圖）</x:t>
        </x:is>
      </x:c>
    </x:row>
    <x:row r="3667" ht="15" customHeight="1">
      <x:c r="A3667" s="55" t="str">
        <x:v>智業佛珠</x:v>
      </x:c>
      <x:c r="B3667" s="55" t="str">
        <x:v>—</x:v>
      </x:c>
      <x:c r="C3667" s="55" t="str">
        <x:v>—</x:v>
      </x:c>
      <x:c r="D3667" s="55" t="str">
        <x:v>—</x:v>
      </x:c>
      <x:c r="E3667" s="55" t="inlineStr">
        <x:is>
          <x:t>滅業佛珠寶盒（網站未列地圖）；無上奇蹟錦囊（網站未列地圖）；金虎吉祥紅包（網站未列地圖）</x:t>
        </x:is>
      </x:c>
    </x:row>
    <x:row r="3668" ht="15" customHeight="1">
      <x:c r="A3668" s="55" t="str">
        <x:v>風業佛珠</x:v>
      </x:c>
      <x:c r="B3668" s="55" t="str">
        <x:v>—</x:v>
      </x:c>
      <x:c r="C3668" s="55" t="str">
        <x:v>—</x:v>
      </x:c>
      <x:c r="D3668" s="55" t="str">
        <x:v>—</x:v>
      </x:c>
      <x:c r="E3668" s="55" t="inlineStr">
        <x:is>
          <x:t>滅業佛珠寶盒（網站未列地圖）；無上奇蹟錦囊（網站未列地圖）；金虎吉祥紅包（網站未列地圖）</x:t>
        </x:is>
      </x:c>
    </x:row>
    <x:row r="3669" ht="30" customHeight="1">
      <x:c r="A3669" s="55" t="str">
        <x:v>真‧戰神負重鍊</x:v>
      </x:c>
      <x:c r="B3669" s="55" t="str">
        <x:v>—</x:v>
      </x:c>
      <x:c r="C3669" s="55" t="str">
        <x:v>—</x:v>
      </x:c>
      <x:c r="D3669" s="55" t="str">
        <x:v>—</x:v>
      </x:c>
      <x:c r="E3669" s="55" t="inlineStr">
        <x:is>
          <x:t>奇蹟錦囊（網站未列地圖）；消暑殷紅錦囊（網站未列地圖）；造極錦囊（網站未列地圖）；兔年吉利包（網站未列地圖）；三神樂暑錦囊（網站未列地圖）；問頂新手錦囊（網站未列地圖）；彎刀河獸（太陽神大道）</x:t>
        </x:is>
      </x:c>
    </x:row>
    <x:row r="3670" ht="15" customHeight="1">
      <x:c r="A3670" s="55" t="str">
        <x:v>噬運魔戒</x:v>
      </x:c>
      <x:c r="B3670" s="55" t="str">
        <x:v>—</x:v>
      </x:c>
      <x:c r="C3670" s="55" t="str">
        <x:v>—</x:v>
      </x:c>
      <x:c r="D3670" s="55" t="str">
        <x:v>—</x:v>
      </x:c>
      <x:c r="E3670" s="55" t="inlineStr">
        <x:is>
          <x:t>稀奇裝備箱．乙式（網站未列地圖）；大顯身手福袋（網站未列地圖）；涼夏大寶箱（網站未列地圖）</x:t>
        </x:is>
      </x:c>
    </x:row>
    <x:row r="3671" ht="15" customHeight="1">
      <x:c r="A3671" s="55" t="str">
        <x:v>蝕元魔鍊</x:v>
      </x:c>
      <x:c r="B3671" s="55" t="str">
        <x:v>—</x:v>
      </x:c>
      <x:c r="C3671" s="55" t="str">
        <x:v>—</x:v>
      </x:c>
      <x:c r="D3671" s="55" t="str">
        <x:v>—</x:v>
      </x:c>
      <x:c r="E3671" s="55" t="inlineStr">
        <x:is>
          <x:t>稀奇裝備箱．乙式（網站未列地圖）；大顯身手錦囊（網站未列地圖）；涼夏大寶箱（網站未列地圖）</x:t>
        </x:is>
      </x:c>
    </x:row>
    <x:row r="3672" ht="30" customHeight="1">
      <x:c r="A3672" s="55" t="str">
        <x:v>小昭德綴</x:v>
      </x:c>
      <x:c r="B3672" s="55" t="str">
        <x:v>—</x:v>
      </x:c>
      <x:c r="C3672" s="55" t="str">
        <x:v>—</x:v>
      </x:c>
      <x:c r="D3672" s="55" t="str">
        <x:v>—</x:v>
      </x:c>
      <x:c r="E3672" s="55" t="inlineStr">
        <x:is>
          <x:t>天都劍裝錦囊（網站未列地圖）；天都勇裝錦囊（網站未列地圖）；天都術裝錦囊（網站未列地圖）；天都道裝錦囊（網站未列地圖）；天都僧裝錦囊（網站未列地圖）；亡骸弓箭手（血鴉嶺）</x:t>
        </x:is>
      </x:c>
    </x:row>
    <x:row r="3673" ht="30" customHeight="1">
      <x:c r="A3673" s="55" t="str">
        <x:v>大昭聖輪</x:v>
      </x:c>
      <x:c r="B3673" s="55" t="str">
        <x:v>—</x:v>
      </x:c>
      <x:c r="C3673" s="55" t="str">
        <x:v>—</x:v>
      </x:c>
      <x:c r="D3673" s="55" t="str">
        <x:v>—</x:v>
      </x:c>
      <x:c r="E3673" s="55" t="inlineStr">
        <x:is>
          <x:t>天都劍裝錦囊（網站未列地圖）；天都勇裝錦囊（網站未列地圖）；天都術裝錦囊（網站未列地圖）；天都道裝錦囊（網站未列地圖）；天都僧裝錦囊（網站未列地圖）；詛咒骸骨兵（血鴉嶺）</x:t>
        </x:is>
      </x:c>
    </x:row>
    <x:row r="3674" ht="30" customHeight="1">
      <x:c r="A3674" s="55" t="str">
        <x:v>松贊權徽</x:v>
      </x:c>
      <x:c r="B3674" s="55" t="str">
        <x:v>—</x:v>
      </x:c>
      <x:c r="C3674" s="55" t="str">
        <x:v>—</x:v>
      </x:c>
      <x:c r="D3674" s="55" t="str">
        <x:v>—</x:v>
      </x:c>
      <x:c r="E3674" s="55" t="inlineStr">
        <x:is>
          <x:t>天都劍裝錦囊（網站未列地圖）；天都勇裝錦囊（網站未列地圖）；天都術裝錦囊（網站未列地圖）；天都道裝錦囊（網站未列地圖）；天都僧裝錦囊（網站未列地圖）</x:t>
        </x:is>
      </x:c>
    </x:row>
    <x:row r="3675" ht="30" customHeight="1">
      <x:c r="A3675" s="55" t="str">
        <x:v>三律唐卡</x:v>
      </x:c>
      <x:c r="B3675" s="55" t="str">
        <x:v>—</x:v>
      </x:c>
      <x:c r="C3675" s="55" t="str">
        <x:v>—</x:v>
      </x:c>
      <x:c r="D3675" s="55" t="str">
        <x:v>—</x:v>
      </x:c>
      <x:c r="E3675" s="55" t="inlineStr">
        <x:is>
          <x:t>天都劍裝錦囊（網站未列地圖）；天都勇裝錦囊（網站未列地圖）；天都術裝錦囊（網站未列地圖）；天都道裝錦囊（網站未列地圖）；天都僧裝錦囊（網站未列地圖）；鬼虎殺手（法誡參道、漆黑水路）</x:t>
        </x:is>
      </x:c>
    </x:row>
    <x:row r="3676" ht="45" customHeight="1">
      <x:c r="A3676" s="55" t="str">
        <x:v>皈天蒼綴</x:v>
      </x:c>
      <x:c r="B3676" s="55" t="str">
        <x:v>—</x:v>
      </x:c>
      <x:c r="C3676" s="55" t="str">
        <x:v>—</x:v>
      </x:c>
      <x:c r="D3676" s="55" t="str">
        <x:v>—</x:v>
      </x:c>
      <x:c r="E3676" s="55" t="inlineStr">
        <x:is>
          <x:t>問頂劍裝錦囊（網站未列地圖）；問頂勇裝錦囊（網站未列地圖）；問頂術裝錦囊（網站未列地圖）；問頂道裝錦囊（網站未列地圖）；問頂僧裝錦囊（網站未列地圖）；黑池饜屍（漆黑水路、真知寺）；烈火聖靈（萬識聖宮）；太古天風（網站未列地圖）；捲塵風妖（網站未列地圖）</x:t>
        </x:is>
      </x:c>
    </x:row>
    <x:row r="3677" ht="30" customHeight="1">
      <x:c r="A3677" s="55" t="str">
        <x:v>萬法光輪</x:v>
      </x:c>
      <x:c r="B3677" s="55" t="str">
        <x:v>—</x:v>
      </x:c>
      <x:c r="C3677" s="55" t="str">
        <x:v>—</x:v>
      </x:c>
      <x:c r="D3677" s="55" t="str">
        <x:v>—</x:v>
      </x:c>
      <x:c r="E3677" s="55" t="inlineStr">
        <x:is>
          <x:t>問頂劍裝錦囊（網站未列地圖）；問頂勇裝錦囊（網站未列地圖）；問頂術裝錦囊（網站未列地圖）；問頂道裝錦囊（網站未列地圖）；問頂僧裝錦囊（網站未列地圖）；瀚水聖靈（萬識聖宮）；太古水靈（網站未列地圖）</x:t>
        </x:is>
      </x:c>
    </x:row>
    <x:row r="3678" ht="30" customHeight="1">
      <x:c r="A3678" s="55" t="str">
        <x:v>吐蕃皇印</x:v>
      </x:c>
      <x:c r="B3678" s="55" t="str">
        <x:v>—</x:v>
      </x:c>
      <x:c r="C3678" s="55" t="str">
        <x:v>—</x:v>
      </x:c>
      <x:c r="D3678" s="55" t="str">
        <x:v>—</x:v>
      </x:c>
      <x:c r="E3678" s="55" t="inlineStr">
        <x:is>
          <x:t>問頂劍裝錦囊（網站未列地圖）；問頂勇裝錦囊（網站未列地圖）；問頂術裝錦囊（網站未列地圖）；問頂道裝錦囊（網站未列地圖）；問頂僧裝錦囊（網站未列地圖）；搫土聖靈（萬識聖宮）；太古土魁（網站未列地圖）</x:t>
        </x:is>
      </x:c>
    </x:row>
    <x:row r="3679" ht="45" customHeight="1">
      <x:c r="A3679" s="55" t="str">
        <x:v>五令唐卡</x:v>
      </x:c>
      <x:c r="B3679" s="55" t="str">
        <x:v>—</x:v>
      </x:c>
      <x:c r="C3679" s="55" t="str">
        <x:v>—</x:v>
      </x:c>
      <x:c r="D3679" s="55" t="str">
        <x:v>—</x:v>
      </x:c>
      <x:c r="E3679" s="55" t="inlineStr">
        <x:is>
          <x:t>問頂劍裝錦囊（網站未列地圖）；問頂勇裝錦囊（網站未列地圖）；問頂術裝錦囊（網站未列地圖）；問頂道裝錦囊（網站未列地圖）；問頂僧裝錦囊（網站未列地圖）；巡天監（登龍道、凌風修境、繚空碎島）；魏基（獅堡軍事區）；天風聖靈（萬識聖宮）；太古火尊（網站未列地圖）</x:t>
        </x:is>
      </x:c>
    </x:row>
    <x:row r="3680" ht="30" customHeight="1">
      <x:c r="A3680" s="55" t="str">
        <x:v>鐵宗佛珠</x:v>
      </x:c>
      <x:c r="B3680" s="55" t="str">
        <x:v>—</x:v>
      </x:c>
      <x:c r="C3680" s="55" t="str">
        <x:v>—</x:v>
      </x:c>
      <x:c r="D3680" s="55" t="str">
        <x:v>—</x:v>
      </x:c>
      <x:c r="E3680" s="55" t="inlineStr">
        <x:is>
          <x:t>秘宗佛珠寶盒（網站未列地圖）；金兔大吉利包（網站未列地圖）；大神跡錦囊（網站未列地圖）；塞赫麥特（荷魯斯聖祠）</x:t>
        </x:is>
      </x:c>
    </x:row>
    <x:row r="3681" ht="30" customHeight="1">
      <x:c r="A3681" s="55" t="str">
        <x:v>力宗佛珠</x:v>
      </x:c>
      <x:c r="B3681" s="55" t="str">
        <x:v>—</x:v>
      </x:c>
      <x:c r="C3681" s="55" t="str">
        <x:v>—</x:v>
      </x:c>
      <x:c r="D3681" s="55" t="str">
        <x:v>—</x:v>
      </x:c>
      <x:c r="E3681" s="55" t="inlineStr">
        <x:is>
          <x:t>秘宗佛珠寶盒（網站未列地圖）；金兔大吉利包（網站未列地圖）；大神跡錦囊（網站未列地圖）；赤瞳犄角（赫勒神殿遺址）</x:t>
        </x:is>
      </x:c>
    </x:row>
    <x:row r="3682" ht="30" customHeight="1">
      <x:c r="A3682" s="55" t="str">
        <x:v>智宗佛珠</x:v>
      </x:c>
      <x:c r="B3682" s="55" t="str">
        <x:v>—</x:v>
      </x:c>
      <x:c r="C3682" s="55" t="str">
        <x:v>—</x:v>
      </x:c>
      <x:c r="D3682" s="55" t="str">
        <x:v>—</x:v>
      </x:c>
      <x:c r="E3682" s="55" t="inlineStr">
        <x:is>
          <x:t>秘宗佛珠寶盒（網站未列地圖）；金兔大吉利包（網站未列地圖）；大神跡錦囊（網站未列地圖）；芭絲特（荷魯斯聖祠）</x:t>
        </x:is>
      </x:c>
    </x:row>
    <x:row r="3683" ht="30" customHeight="1">
      <x:c r="A3683" s="55" t="str">
        <x:v>風宗佛珠</x:v>
      </x:c>
      <x:c r="B3683" s="55" t="str">
        <x:v>—</x:v>
      </x:c>
      <x:c r="C3683" s="55" t="str">
        <x:v>—</x:v>
      </x:c>
      <x:c r="D3683" s="55" t="str">
        <x:v>—</x:v>
      </x:c>
      <x:c r="E3683" s="55" t="inlineStr">
        <x:is>
          <x:t>秘宗佛珠寶盒（網站未列地圖）；金兔大吉利包（網站未列地圖）；大神跡錦囊（網站未列地圖）；盧索野民（王都盧索）</x:t>
        </x:is>
      </x:c>
    </x:row>
    <x:row r="3684" ht="30" customHeight="1">
      <x:c r="A3684" s="55" t="str">
        <x:v>天海氣濤戒</x:v>
      </x:c>
      <x:c r="B3684" s="55" t="str">
        <x:v>—</x:v>
      </x:c>
      <x:c r="C3684" s="55" t="str">
        <x:v>—</x:v>
      </x:c>
      <x:c r="D3684" s="55" t="str">
        <x:v>—</x:v>
      </x:c>
      <x:c r="E3684" s="55" t="inlineStr">
        <x:is>
          <x:t>五湖錦囊（網站未列地圖）；兔年吉利包（網站未列地圖）；英雄不敗錦囊（網站未列地圖）；龍年寶箱（網站未列地圖）</x:t>
        </x:is>
      </x:c>
    </x:row>
    <x:row r="3685" ht="15" customHeight="1">
      <x:c r="A3685" s="55" t="str">
        <x:v>地淵赤浪戒</x:v>
      </x:c>
      <x:c r="B3685" s="55" t="str">
        <x:v>—</x:v>
      </x:c>
      <x:c r="C3685" s="55" t="str">
        <x:v>—</x:v>
      </x:c>
      <x:c r="D3685" s="55" t="str">
        <x:v>—</x:v>
      </x:c>
      <x:c r="E3685" s="55" t="inlineStr">
        <x:is>
          <x:t>兔年吉利包（網站未列地圖）；英雄不敗錦囊（網站未列地圖）；龍年寶箱（網站未列地圖）</x:t>
        </x:is>
      </x:c>
    </x:row>
    <x:row r="3686" ht="15" customHeight="1">
      <x:c r="A3686" s="55" t="str">
        <x:v>金剛經：是大神咒</x:v>
      </x:c>
      <x:c r="B3686" s="55" t="str">
        <x:v>—</x:v>
      </x:c>
      <x:c r="C3686" s="55" t="str">
        <x:v>—</x:v>
      </x:c>
      <x:c r="D3686" s="55" t="str">
        <x:v>—</x:v>
      </x:c>
      <x:c r="E3686" s="55" t="inlineStr">
        <x:is>
          <x:t>傳奇神飾錦囊（網站未列地圖）；帝基神寶錦囊（網站未列地圖）；涼夏超級寶箱（網站未列地圖）</x:t>
        </x:is>
      </x:c>
    </x:row>
    <x:row r="3687" ht="30" customHeight="1">
      <x:c r="A3687" s="55" t="str">
        <x:v>戰神護功戒</x:v>
      </x:c>
      <x:c r="B3687" s="55" t="str">
        <x:v>—</x:v>
      </x:c>
      <x:c r="C3687" s="55" t="str">
        <x:v>—</x:v>
      </x:c>
      <x:c r="D3687" s="55" t="str">
        <x:v>戰神護戒配方</x:v>
      </x:c>
      <x:c r="E3687" s="55" t="inlineStr">
        <x:is>
          <x:t>黑暗破壞神（網站未列地圖）；超神龍刮刮樂（網站未列地圖）；金龍刮刮樂（網站未列地圖）；飛龍刮刮樂（網站未列地圖）；巖崴魔魁（玄武北殿）</x:t>
        </x:is>
      </x:c>
    </x:row>
    <x:row r="3688" ht="60" customHeight="1">
      <x:c r="A3688" s="55" t="str">
        <x:v>香格里拉金綴</x:v>
      </x:c>
      <x:c r="B3688" s="55" t="str">
        <x:v>—</x:v>
      </x:c>
      <x:c r="C3688" s="55" t="str">
        <x:v>—</x:v>
      </x:c>
      <x:c r="D3688" s="55" t="str">
        <x:v>聖峰金綴配方</x:v>
      </x:c>
      <x:c r="E3688" s="55" t="inlineStr">
        <x:is>
          <x:t>超激慶禮包（網站未列地圖）；稀奇裝備箱．丙式（網站未列地圖）；帝基神護錦囊（網站未列地圖）；金兔大吉利包（網站未列地圖）；終極尚寶寶箱（網站未列地圖）；侯氏百守錦囊2012（網站未列地圖）；超凡錦囊（網站未列地圖）；神跡錦囊（網站未列地圖）；龍年寶箱（網站未列地圖）；兔財主刮刮樂（網站未列地圖）；福兔刮刮樂（網站未列地圖）；喜兔刮刮樂（網站未列地圖）</x:t>
        </x:is>
      </x:c>
    </x:row>
    <x:row r="3689" ht="60" customHeight="1">
      <x:c r="A3689" s="55" t="str">
        <x:v>真‧六滅化神</x:v>
      </x:c>
      <x:c r="B3689" s="55" t="str">
        <x:v>—</x:v>
      </x:c>
      <x:c r="C3689" s="55" t="str">
        <x:v>—</x:v>
      </x:c>
      <x:c r="D3689" s="55" t="str">
        <x:v>六滅真化配方</x:v>
      </x:c>
      <x:c r="E3689" s="55" t="inlineStr">
        <x:is>
          <x:t>六滅化神大禮包（網站未列地圖）；夏艷之燼錦囊（網站未列地圖）；超激慶禮包（網站未列地圖）；帝基神兵錦囊（網站未列地圖）；侯氏百兵錦囊2012（網站未列地圖）；大龍騰福袋（網站未列地圖）；大福月禮包（網站未列地圖）；虎躍福袋（網站未列地圖）；開基立業錦囊（網站未列地圖）；侯氏百兵錦囊2011（網站未列地圖）；富貴錦囊（網站未列地圖）；樂福忘憂袋（網站未列地圖）；邪角贔屭（不解迴路）</x:t>
        </x:is>
      </x:c>
    </x:row>
    <x:row r="3690" ht="30" customHeight="1">
      <x:c r="A3690" s="55" t="str">
        <x:v>先啟禱戒</x:v>
      </x:c>
      <x:c r="B3690" s="55" t="str">
        <x:v>—</x:v>
      </x:c>
      <x:c r="C3690" s="55" t="str">
        <x:v>—</x:v>
      </x:c>
      <x:c r="D3690" s="55" t="str">
        <x:v>—</x:v>
      </x:c>
      <x:c r="E3690" s="55" t="inlineStr">
        <x:is>
          <x:t>波斯劍裝錦囊（網站未列地圖）；波斯勇裝錦囊（網站未列地圖）；波斯術裝錦囊（網站未列地圖）；波斯道裝錦囊（網站未列地圖）；波斯僧裝錦囊（網站未列地圖）；聖宮砂王龍（萬識聖宮）</x:t>
        </x:is>
      </x:c>
    </x:row>
    <x:row r="3691" ht="30" customHeight="1">
      <x:c r="A3691" s="55" t="str">
        <x:v>所羅門項鍊</x:v>
      </x:c>
      <x:c r="B3691" s="55" t="str">
        <x:v>—</x:v>
      </x:c>
      <x:c r="C3691" s="55" t="str">
        <x:v>—</x:v>
      </x:c>
      <x:c r="D3691" s="55" t="str">
        <x:v>—</x:v>
      </x:c>
      <x:c r="E3691" s="55" t="inlineStr">
        <x:is>
          <x:t>波斯劍裝錦囊（網站未列地圖）；波斯勇裝錦囊（網站未列地圖）；波斯術裝錦囊（網站未列地圖）；波斯道裝錦囊（網站未列地圖）；波斯僧裝錦囊（網站未列地圖）；破壞神寶箱（網站未列地圖）；聖宮砂王龍（萬識聖宮）</x:t>
        </x:is>
      </x:c>
    </x:row>
    <x:row r="3692" ht="30" customHeight="1">
      <x:c r="A3692" s="55" t="str">
        <x:v>祈願神燈</x:v>
      </x:c>
      <x:c r="B3692" s="55" t="str">
        <x:v>—</x:v>
      </x:c>
      <x:c r="C3692" s="55" t="str">
        <x:v>—</x:v>
      </x:c>
      <x:c r="D3692" s="55" t="str">
        <x:v>—</x:v>
      </x:c>
      <x:c r="E3692" s="55" t="inlineStr">
        <x:is>
          <x:t>波斯劍裝錦囊（網站未列地圖）；波斯勇裝錦囊（網站未列地圖）；波斯術裝錦囊（網站未列地圖）；波斯道裝錦囊（網站未列地圖）；波斯僧裝錦囊（網站未列地圖）；破壞神寶箱（網站未列地圖）；聖宮砂王龍（萬識聖宮）</x:t>
        </x:is>
      </x:c>
    </x:row>
    <x:row r="3693" ht="30" customHeight="1">
      <x:c r="A3693" s="55" t="str">
        <x:v>真知之徽</x:v>
      </x:c>
      <x:c r="B3693" s="55" t="str">
        <x:v>—</x:v>
      </x:c>
      <x:c r="C3693" s="55" t="str">
        <x:v>—</x:v>
      </x:c>
      <x:c r="D3693" s="55" t="str">
        <x:v>—</x:v>
      </x:c>
      <x:c r="E3693" s="55" t="inlineStr">
        <x:is>
          <x:t>波斯劍裝錦囊（網站未列地圖）；波斯勇裝錦囊（網站未列地圖）；波斯術裝錦囊（網站未列地圖）；波斯道裝錦囊（網站未列地圖）；波斯僧裝錦囊（網站未列地圖）；聖宮砂王龍（萬識聖宮）</x:t>
        </x:is>
      </x:c>
    </x:row>
    <x:row r="3694" ht="30" customHeight="1">
      <x:c r="A3694" s="55" t="str">
        <x:v>天語禱戒</x:v>
      </x:c>
      <x:c r="B3694" s="55" t="str">
        <x:v>—</x:v>
      </x:c>
      <x:c r="C3694" s="55" t="str">
        <x:v>—</x:v>
      </x:c>
      <x:c r="D3694" s="55" t="str">
        <x:v>—</x:v>
      </x:c>
      <x:c r="E3694" s="55" t="inlineStr">
        <x:is>
          <x:t>驍武劍裝錦囊（網站未列地圖）；驍武術裝錦囊（網站未列地圖）；驍武道裝錦囊（網站未列地圖）；驍武僧裝錦囊（網站未列地圖）；驍武勇裝錦囊（網站未列地圖）</x:t>
        </x:is>
      </x:c>
    </x:row>
    <x:row r="3695" ht="30" customHeight="1">
      <x:c r="A3695" s="55" t="str">
        <x:v>巴比倫項鍊</x:v>
      </x:c>
      <x:c r="B3695" s="55" t="str">
        <x:v>—</x:v>
      </x:c>
      <x:c r="C3695" s="55" t="str">
        <x:v>—</x:v>
      </x:c>
      <x:c r="D3695" s="55" t="str">
        <x:v>—</x:v>
      </x:c>
      <x:c r="E3695" s="55" t="inlineStr">
        <x:is>
          <x:t>驍武劍裝錦囊（網站未列地圖）；驍武術裝錦囊（網站未列地圖）；驍武道裝錦囊（網站未列地圖）；驍武僧裝錦囊（網站未列地圖）；驍武勇裝錦囊（網站未列地圖）；風伯（凌風修境、繚空碎島）</x:t>
        </x:is>
      </x:c>
    </x:row>
    <x:row r="3696" ht="30" customHeight="1">
      <x:c r="A3696" s="55" t="str">
        <x:v>全能神燈</x:v>
      </x:c>
      <x:c r="B3696" s="55" t="str">
        <x:v>—</x:v>
      </x:c>
      <x:c r="C3696" s="55" t="str">
        <x:v>—</x:v>
      </x:c>
      <x:c r="D3696" s="55" t="str">
        <x:v>—</x:v>
      </x:c>
      <x:c r="E3696" s="55" t="inlineStr">
        <x:is>
          <x:t>驍武劍裝錦囊（網站未列地圖）；驍武術裝錦囊（網站未列地圖）；驍武道裝錦囊（網站未列地圖）；驍武僧裝錦囊（網站未列地圖）；驍武勇裝錦囊（網站未列地圖）</x:t>
        </x:is>
      </x:c>
    </x:row>
    <x:row r="3697" ht="30" customHeight="1">
      <x:c r="A3697" s="55" t="str">
        <x:v>聖君之徽</x:v>
      </x:c>
      <x:c r="B3697" s="55" t="str">
        <x:v>—</x:v>
      </x:c>
      <x:c r="C3697" s="55" t="str">
        <x:v>—</x:v>
      </x:c>
      <x:c r="D3697" s="55" t="str">
        <x:v>—</x:v>
      </x:c>
      <x:c r="E3697" s="55" t="inlineStr">
        <x:is>
          <x:t>驍武劍裝錦囊（網站未列地圖）；驍武術裝錦囊（網站未列地圖）；驍武道裝錦囊（網站未列地圖）；驍武僧裝錦囊（網站未列地圖）；驍武勇裝錦囊（網站未列地圖）</x:t>
        </x:is>
      </x:c>
    </x:row>
    <x:row r="3698" ht="15" customHeight="1">
      <x:c r="A3698" s="55" t="str">
        <x:v>鐵真佛珠</x:v>
      </x:c>
      <x:c r="B3698" s="55" t="str">
        <x:v>—</x:v>
      </x:c>
      <x:c r="C3698" s="55" t="str">
        <x:v>—</x:v>
      </x:c>
      <x:c r="D3698" s="55" t="str">
        <x:v>—</x:v>
      </x:c>
      <x:c r="E3698" s="55" t="inlineStr">
        <x:is>
          <x:t>四真佛珠寶盒（網站未列地圖）；大激慶禮包（網站未列地圖）</x:t>
        </x:is>
      </x:c>
    </x:row>
    <x:row r="3699" ht="15" customHeight="1">
      <x:c r="A3699" s="55" t="str">
        <x:v>力真佛珠</x:v>
      </x:c>
      <x:c r="B3699" s="55" t="str">
        <x:v>—</x:v>
      </x:c>
      <x:c r="C3699" s="55" t="str">
        <x:v>—</x:v>
      </x:c>
      <x:c r="D3699" s="55" t="str">
        <x:v>—</x:v>
      </x:c>
      <x:c r="E3699" s="55" t="inlineStr">
        <x:is>
          <x:t>四真佛珠寶盒（網站未列地圖）；大激慶禮包（網站未列地圖）</x:t>
        </x:is>
      </x:c>
    </x:row>
    <x:row r="3700" ht="15" customHeight="1">
      <x:c r="A3700" s="55" t="str">
        <x:v>智真佛珠</x:v>
      </x:c>
      <x:c r="B3700" s="55" t="str">
        <x:v>—</x:v>
      </x:c>
      <x:c r="C3700" s="55" t="str">
        <x:v>—</x:v>
      </x:c>
      <x:c r="D3700" s="55" t="str">
        <x:v>—</x:v>
      </x:c>
      <x:c r="E3700" s="55" t="inlineStr">
        <x:is>
          <x:t>四真佛珠寶盒（網站未列地圖）；大激慶禮包（網站未列地圖）</x:t>
        </x:is>
      </x:c>
    </x:row>
    <x:row r="3701" ht="15" customHeight="1">
      <x:c r="A3701" s="55" t="str">
        <x:v>風真佛珠</x:v>
      </x:c>
      <x:c r="B3701" s="55" t="str">
        <x:v>—</x:v>
      </x:c>
      <x:c r="C3701" s="55" t="str">
        <x:v>—</x:v>
      </x:c>
      <x:c r="D3701" s="55" t="str">
        <x:v>—</x:v>
      </x:c>
      <x:c r="E3701" s="55" t="inlineStr">
        <x:is>
          <x:t>四真佛珠寶盒（網站未列地圖）；大激慶禮包（網站未列地圖）</x:t>
        </x:is>
      </x:c>
    </x:row>
    <x:row r="3702" ht="60" customHeight="1">
      <x:c r="A3702" s="55" t="str">
        <x:v>超‧戰神負重鍊</x:v>
      </x:c>
      <x:c r="B3702" s="55" t="str">
        <x:v>—</x:v>
      </x:c>
      <x:c r="C3702" s="55" t="str">
        <x:v>—</x:v>
      </x:c>
      <x:c r="D3702" s="55" t="str">
        <x:v>—</x:v>
      </x:c>
      <x:c r="E3702" s="55" t="inlineStr">
        <x:is>
          <x:t>大龍騰福袋（網站未列地圖）；激慶禮包（網站未列地圖）；超凡錦囊（網站未列地圖）；黑暗破壞神（網站未列地圖）；全家豪華大禮包（網站未列地圖）；真‧迎龍錦囊（網站未列地圖）；豪華福月禮包（網站未列地圖）；無敵新手錦囊（網站未列地圖）；天龍獻瑞錦囊（網站未列地圖）；虎躍福袋（網站未列地圖）；聖誕水鑽寶箱（網站未列地圖）；明月寶箱（網站未列地圖）</x:t>
        </x:is>
      </x:c>
    </x:row>
    <x:row r="3703" ht="30" customHeight="1">
      <x:c r="A3703" s="55" t="str">
        <x:v>麒麟脂</x:v>
      </x:c>
      <x:c r="B3703" s="55" t="str">
        <x:v>—</x:v>
      </x:c>
      <x:c r="C3703" s="55" t="str">
        <x:v>—</x:v>
      </x:c>
      <x:c r="D3703" s="55" t="str">
        <x:v>—</x:v>
      </x:c>
      <x:c r="E3703" s="55" t="inlineStr">
        <x:is>
          <x:t>傳奇神飾錦囊（網站未列地圖）；大虎躍福袋（網站未列地圖）；帝基神寶錦囊（網站未列地圖）；大龍騰福袋（網站未列地圖）</x:t>
        </x:is>
      </x:c>
    </x:row>
    <x:row r="3704" ht="45" customHeight="1">
      <x:c r="A3704" s="55" t="str">
        <x:v>星光宿命輪</x:v>
      </x:c>
      <x:c r="B3704" s="55" t="str">
        <x:v>—</x:v>
      </x:c>
      <x:c r="C3704" s="55" t="str">
        <x:v>—</x:v>
      </x:c>
      <x:c r="D3704" s="55" t="str">
        <x:v>—</x:v>
      </x:c>
      <x:c r="E3704" s="55" t="inlineStr">
        <x:is>
          <x:t>傳奇神飾錦囊（網站未列地圖）；超靈基福袋（網站未列地圖）；豪華十字禮袋（網站未列地圖）；侯氏百守錦囊2013（網站未列地圖）；天龍獻瑞錦囊（網站未列地圖）；真夏熱浪錦囊（網站未列地圖）；大羅錦囊（網站未列地圖）</x:t>
        </x:is>
      </x:c>
    </x:row>
    <x:row r="3705" ht="15" customHeight="1">
      <x:c r="A3705" s="55" t="str">
        <x:v>無限命脈輪</x:v>
      </x:c>
      <x:c r="B3705" s="55" t="str">
        <x:v>—</x:v>
      </x:c>
      <x:c r="C3705" s="55" t="str">
        <x:v>—</x:v>
      </x:c>
      <x:c r="D3705" s="55" t="str">
        <x:v>—</x:v>
      </x:c>
      <x:c r="E3705" s="55" t="inlineStr">
        <x:is>
          <x:t>豪華十字禮袋（網站未列地圖）；入聖錦囊（網站未列地圖）</x:t>
        </x:is>
      </x:c>
    </x:row>
    <x:row r="3706" ht="15" customHeight="1">
      <x:c r="A3706" s="55" t="str">
        <x:v>無限精元環</x:v>
      </x:c>
      <x:c r="B3706" s="55" t="str">
        <x:v>—</x:v>
      </x:c>
      <x:c r="C3706" s="55" t="str">
        <x:v>—</x:v>
      </x:c>
      <x:c r="D3706" s="55" t="str">
        <x:v>—</x:v>
      </x:c>
      <x:c r="E3706" s="55" t="inlineStr">
        <x:is>
          <x:t>豪華十字禮袋（網站未列地圖）；入聖錦囊（網站未列地圖）</x:t>
        </x:is>
      </x:c>
    </x:row>
    <x:row r="3707" ht="30" customHeight="1">
      <x:c r="A3707" s="55" t="str">
        <x:v>真戰神護功戒</x:v>
      </x:c>
      <x:c r="B3707" s="55" t="str">
        <x:v>—</x:v>
      </x:c>
      <x:c r="C3707" s="55" t="str">
        <x:v>—</x:v>
      </x:c>
      <x:c r="D3707" s="55" t="str">
        <x:v>戰神真戒配方</x:v>
      </x:c>
      <x:c r="E3707" s="55" t="inlineStr">
        <x:is>
          <x:t>吉祥羊年福袋（網站未列地圖）；極盡萬象禮包（網站未列地圖）；神州夏聆錦囊（網站未列地圖）；龍虎小福袋（網站未列地圖）</x:t>
        </x:is>
      </x:c>
    </x:row>
    <x:row r="3708" ht="75" customHeight="1">
      <x:c r="A3708" s="55" t="str">
        <x:v>超‧六滅化神</x:v>
      </x:c>
      <x:c r="B3708" s="55" t="str">
        <x:v>—</x:v>
      </x:c>
      <x:c r="C3708" s="55" t="str">
        <x:v>—</x:v>
      </x:c>
      <x:c r="D3708" s="55" t="str">
        <x:v>六滅超化配方</x:v>
      </x:c>
      <x:c r="E3708" s="55" t="inlineStr">
        <x:is>
          <x:t>六滅化神大禮包（網站未列地圖）；超靈基福袋（網站未列地圖）；新‧玄冑之核（網站未列地圖）；武神‧仙體（網站未列地圖）；大虎躍福袋（網站未列地圖）；豪華十字禮袋（網站未列地圖）；問仙錦囊（網站未列地圖）；侯氏百兵錦囊2013（網站未列地圖）；豪華福月禮包（網站未列地圖）；夏焰赤濤錦囊（網站未列地圖）；電玩瘋馬錦囊（網站未列地圖）；侯氏百兵錦囊2012（網站未列地圖）；帝基神兵錦囊（網站未列地圖）；真‧端午萬寶香囊（網站未列地圖）；樂福忘憂袋2014（網站未列地圖）；虛雷天尊（虛空渦心）</x:t>
        </x:is>
      </x:c>
    </x:row>
    <x:row r="3709" ht="30" customHeight="1">
      <x:c r="A3709" s="55" t="str">
        <x:v>瑪瑙十字架</x:v>
      </x:c>
      <x:c r="B3709" s="55" t="str">
        <x:v>—</x:v>
      </x:c>
      <x:c r="C3709" s="55" t="str">
        <x:v>—</x:v>
      </x:c>
      <x:c r="D3709" s="55" t="str">
        <x:v>—</x:v>
      </x:c>
      <x:c r="E3709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0" ht="30" customHeight="1">
      <x:c r="A3710" s="55" t="str">
        <x:v>冬夜墜鍊</x:v>
      </x:c>
      <x:c r="B3710" s="55" t="str">
        <x:v>—</x:v>
      </x:c>
      <x:c r="C3710" s="55" t="str">
        <x:v>—</x:v>
      </x:c>
      <x:c r="D3710" s="55" t="str">
        <x:v>—</x:v>
      </x:c>
      <x:c r="E3710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1" ht="30" customHeight="1">
      <x:c r="A3711" s="55" t="str">
        <x:v>福音聖書</x:v>
      </x:c>
      <x:c r="B3711" s="55" t="str">
        <x:v>—</x:v>
      </x:c>
      <x:c r="C3711" s="55" t="str">
        <x:v>—</x:v>
      </x:c>
      <x:c r="D3711" s="55" t="str">
        <x:v>—</x:v>
      </x:c>
      <x:c r="E3711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2" ht="30" customHeight="1">
      <x:c r="A3712" s="55" t="str">
        <x:v>德古拉魔戒</x:v>
      </x:c>
      <x:c r="B3712" s="55" t="str">
        <x:v>—</x:v>
      </x:c>
      <x:c r="C3712" s="55" t="str">
        <x:v>—</x:v>
      </x:c>
      <x:c r="D3712" s="55" t="str">
        <x:v>—</x:v>
      </x:c>
      <x:c r="E3712" s="55" t="inlineStr">
        <x:is>
          <x:t>帝國劍裝錦囊（網站未列地圖）；帝國勇裝錦囊（網站未列地圖）；帝國術裝錦囊（網站未列地圖）；帝國道裝錦囊（網站未列地圖）；帝國僧裝錦囊（網站未列地圖）；冥府魘龍（聖禱天廳）</x:t>
        </x:is>
      </x:c>
    </x:row>
    <x:row r="3713" ht="30" customHeight="1">
      <x:c r="A3713" s="55" t="str">
        <x:v>鑽石十字架</x:v>
      </x:c>
      <x:c r="B3713" s="55" t="str">
        <x:v>—</x:v>
      </x:c>
      <x:c r="C3713" s="55" t="str">
        <x:v>—</x:v>
      </x:c>
      <x:c r="D3713" s="55" t="str">
        <x:v>—</x:v>
      </x:c>
      <x:c r="E3713" s="55" t="inlineStr">
        <x:is>
          <x:t>歐帝劍裝錦囊（網站未列地圖）；歐帝術裝錦囊（網站未列地圖）；歐帝道裝錦囊（網站未列地圖）；歐帝僧裝錦囊（網站未列地圖）；歐帝勇裝錦囊（網站未列地圖）</x:t>
        </x:is>
      </x:c>
    </x:row>
    <x:row r="3714" ht="45" customHeight="1">
      <x:c r="A3714" s="55" t="str">
        <x:v>春曉墜鍊</x:v>
      </x:c>
      <x:c r="B3714" s="55" t="str">
        <x:v>—</x:v>
      </x:c>
      <x:c r="C3714" s="55" t="str">
        <x:v>—</x:v>
      </x:c>
      <x:c r="D3714" s="55" t="str">
        <x:v>—</x:v>
      </x:c>
      <x:c r="E3714" s="55" t="inlineStr">
        <x:is>
          <x:t>歐帝劍裝錦囊（網站未列地圖）；歐帝術裝錦囊（網站未列地圖）；歐帝道裝錦囊（網站未列地圖）；歐帝僧裝錦囊（網站未列地圖）；歐帝勇裝錦囊（網站未列地圖）；凰權天督（橫劍天關、仙庭玉階、闕真金閣）；深闕智冕（網站未列地圖）</x:t>
        </x:is>
      </x:c>
    </x:row>
    <x:row r="3715" ht="30" customHeight="1">
      <x:c r="A3715" s="55" t="str">
        <x:v>死海聖書</x:v>
      </x:c>
      <x:c r="B3715" s="55" t="str">
        <x:v>—</x:v>
      </x:c>
      <x:c r="C3715" s="55" t="str">
        <x:v>—</x:v>
      </x:c>
      <x:c r="D3715" s="55" t="str">
        <x:v>—</x:v>
      </x:c>
      <x:c r="E3715" s="55" t="inlineStr">
        <x:is>
          <x:t>歐帝劍裝錦囊（網站未列地圖）；歐帝術裝錦囊（網站未列地圖）；歐帝道裝錦囊（網站未列地圖）；歐帝僧裝錦囊（網站未列地圖）；歐帝勇裝錦囊（網站未列地圖）</x:t>
        </x:is>
      </x:c>
    </x:row>
    <x:row r="3716" ht="30" customHeight="1">
      <x:c r="A3716" s="55" t="str">
        <x:v>索倫魔戒</x:v>
      </x:c>
      <x:c r="B3716" s="55" t="str">
        <x:v>—</x:v>
      </x:c>
      <x:c r="C3716" s="55" t="str">
        <x:v>—</x:v>
      </x:c>
      <x:c r="D3716" s="55" t="str">
        <x:v>—</x:v>
      </x:c>
      <x:c r="E3716" s="55" t="inlineStr">
        <x:is>
          <x:t>歐帝劍裝錦囊（網站未列地圖）；歐帝術裝錦囊（網站未列地圖）；歐帝道裝錦囊（網站未列地圖）；歐帝僧裝錦囊（網站未列地圖）；歐帝勇裝錦囊（網站未列地圖）；暴風尊者（飛雲忘野、橫劍天關、仙庭玉階）</x:t>
        </x:is>
      </x:c>
    </x:row>
    <x:row r="3717" ht="30" customHeight="1">
      <x:c r="A3717" s="55" t="str">
        <x:v>仙氣聚納環</x:v>
      </x:c>
      <x:c r="B3717" s="55" t="str">
        <x:v>—</x:v>
      </x:c>
      <x:c r="C3717" s="55" t="str">
        <x:v>—</x:v>
      </x:c>
      <x:c r="D3717" s="55" t="str">
        <x:v>—</x:v>
      </x:c>
      <x:c r="E3717" s="55" t="inlineStr">
        <x:is>
          <x:t>傳奇神飾錦囊（網站未列地圖）；星淵潛狂（終末之塔第91層、終末之塔第100層、終末之塔第93層）；一杖虛導（終末之塔第79層）</x:t>
        </x:is>
      </x:c>
    </x:row>
    <x:row r="3718" ht="15" customHeight="1">
      <x:c r="A3718" s="55" t="str">
        <x:v>玄武不破甲</x:v>
      </x:c>
      <x:c r="B3718" s="55" t="str">
        <x:v>—</x:v>
      </x:c>
      <x:c r="C3718" s="55" t="str">
        <x:v>—</x:v>
      </x:c>
      <x:c r="D3718" s="55" t="str">
        <x:v>—</x:v>
      </x:c>
      <x:c r="E3718" s="55" t="inlineStr">
        <x:is>
          <x:t>傳奇神飾錦囊（網站未列地圖）；吉祥羊年福袋（網站未列地圖）；八顛虛兇（終末之塔第79層）</x:t>
        </x:is>
      </x:c>
    </x:row>
    <x:row r="3719" ht="15" customHeight="1">
      <x:c r="A3719" s="55" t="str">
        <x:v>鐵帝佛珠</x:v>
      </x:c>
      <x:c r="B3719" s="55" t="str">
        <x:v>—</x:v>
      </x:c>
      <x:c r="C3719" s="55" t="str">
        <x:v>—</x:v>
      </x:c>
      <x:c r="D3719" s="55" t="str">
        <x:v>—</x:v>
      </x:c>
      <x:c r="E3719" s="55" t="inlineStr">
        <x:is>
          <x:t>帝國佛珠寶盒（網站未列地圖）；扞河龐蟹（終末之塔第107層、終末之塔第108層）</x:t>
        </x:is>
      </x:c>
    </x:row>
    <x:row r="3720" ht="15" customHeight="1">
      <x:c r="A3720" s="55" t="str">
        <x:v>力帝佛珠</x:v>
      </x:c>
      <x:c r="B3720" s="55" t="str">
        <x:v>—</x:v>
      </x:c>
      <x:c r="C3720" s="55" t="str">
        <x:v>—</x:v>
      </x:c>
      <x:c r="D3720" s="55" t="str">
        <x:v>—</x:v>
      </x:c>
      <x:c r="E3720" s="55" t="inlineStr">
        <x:is>
          <x:t>帝國佛珠寶盒（網站未列地圖）；吞虛兇鱷（終末之塔第102層、終末之塔第103層）</x:t>
        </x:is>
      </x:c>
    </x:row>
    <x:row r="3721" ht="30" customHeight="1">
      <x:c r="A3721" s="55" t="str">
        <x:v>智帝佛珠</x:v>
      </x:c>
      <x:c r="B3721" s="55" t="str">
        <x:v>—</x:v>
      </x:c>
      <x:c r="C3721" s="55" t="str">
        <x:v>—</x:v>
      </x:c>
      <x:c r="D3721" s="55" t="str">
        <x:v>—</x:v>
      </x:c>
      <x:c r="E3721" s="55" t="inlineStr">
        <x:is>
          <x:t>帝國佛珠寶盒（網站未列地圖）；終塔妖狐（終末之塔第108層、終末之塔第101層、終末之塔第102層、終末之塔第106層）；托特（荷魯斯聖祠）</x:t>
        </x:is>
      </x:c>
    </x:row>
    <x:row r="3722" ht="30" customHeight="1">
      <x:c r="A3722" s="55" t="str">
        <x:v>風帝佛珠</x:v>
      </x:c>
      <x:c r="B3722" s="55" t="str">
        <x:v>—</x:v>
      </x:c>
      <x:c r="C3722" s="55" t="str">
        <x:v>—</x:v>
      </x:c>
      <x:c r="D3722" s="55" t="str">
        <x:v>—</x:v>
      </x:c>
      <x:c r="E3722" s="55" t="inlineStr">
        <x:is>
          <x:t>帝國佛珠寶盒（網站未列地圖）；幻殺修羅（終末之塔第102層、終末之塔第103層、終末之塔第104層）；奈赫貝特（荷魯斯聖祠）</x:t>
        </x:is>
      </x:c>
    </x:row>
    <x:row r="3723" ht="30" customHeight="1">
      <x:c r="A3723" s="55" t="str">
        <x:v>翔鳳璃釵</x:v>
      </x:c>
      <x:c r="B3723" s="55" t="str">
        <x:v>—</x:v>
      </x:c>
      <x:c r="C3723" s="55" t="str">
        <x:v>—</x:v>
      </x:c>
      <x:c r="D3723" s="55" t="str">
        <x:v>—</x:v>
      </x:c>
      <x:c r="E3723" s="55" t="inlineStr">
        <x:is>
          <x:t>九天劍裝錦囊（網站未列地圖）；九天術裝錦囊（網站未列地圖）；九天道裝錦囊（網站未列地圖）；九天僧裝錦囊（網站未列地圖）；九天勇裝錦囊（網站未列地圖）；玉階飛凰（仙庭玉階）；深宮幻蝶（天啟八關）</x:t>
        </x:is>
      </x:c>
    </x:row>
    <x:row r="3724" ht="30" customHeight="1">
      <x:c r="A3724" s="55" t="str">
        <x:v>舞蝶琉鍊</x:v>
      </x:c>
      <x:c r="B3724" s="55" t="str">
        <x:v>—</x:v>
      </x:c>
      <x:c r="C3724" s="55" t="str">
        <x:v>—</x:v>
      </x:c>
      <x:c r="D3724" s="55" t="str">
        <x:v>—</x:v>
      </x:c>
      <x:c r="E3724" s="55" t="inlineStr">
        <x:is>
          <x:t>九天劍裝錦囊（網站未列地圖）；九天術裝錦囊（網站未列地圖）；九天道裝錦囊（網站未列地圖）；九天僧裝錦囊（網站未列地圖）；九天勇裝錦囊（網站未列地圖）；金閣天龍將（闕真金閣）；滄浪隱劍（天啟八關）</x:t>
        </x:is>
      </x:c>
    </x:row>
    <x:row r="3725" ht="30" customHeight="1">
      <x:c r="A3725" s="55" t="str">
        <x:v>星羽珠簪</x:v>
      </x:c>
      <x:c r="B3725" s="55" t="str">
        <x:v>—</x:v>
      </x:c>
      <x:c r="C3725" s="55" t="str">
        <x:v>—</x:v>
      </x:c>
      <x:c r="D3725" s="55" t="str">
        <x:v>—</x:v>
      </x:c>
      <x:c r="E3725" s="55" t="inlineStr">
        <x:is>
          <x:t>九天劍裝錦囊（網站未列地圖）；九天術裝錦囊（網站未列地圖）；九天道裝錦囊（網站未列地圖）；九天僧裝錦囊（網站未列地圖）；九天勇裝錦囊（網站未列地圖）；天地宰相（仙庭玉階）；時真靈狸（天啟八關）</x:t>
        </x:is>
      </x:c>
    </x:row>
    <x:row r="3726" ht="45" customHeight="1">
      <x:c r="A3726" s="55" t="str">
        <x:v>晶虹珍戒</x:v>
      </x:c>
      <x:c r="B3726" s="55" t="str">
        <x:v>—</x:v>
      </x:c>
      <x:c r="C3726" s="55" t="str">
        <x:v>—</x:v>
      </x:c>
      <x:c r="D3726" s="55" t="str">
        <x:v>—</x:v>
      </x:c>
      <x:c r="E3726" s="55" t="inlineStr">
        <x:is>
          <x:t>九天劍裝錦囊（網站未列地圖）；九天術裝錦囊（網站未列地圖）；九天道裝錦囊（網站未列地圖）；九天僧裝錦囊（網站未列地圖）；九天勇裝錦囊（網站未列地圖）；雷域金仙（天啟八關）；挪宇大風神（闕真金閣）；嘯風天尊（網站未列地圖）</x:t>
        </x:is>
      </x:c>
    </x:row>
    <x:row r="3727" ht="30" customHeight="1">
      <x:c r="A3727" s="55" t="str">
        <x:v>九凰翡釵</x:v>
      </x:c>
      <x:c r="B3727" s="55" t="str">
        <x:v>—</x:v>
      </x:c>
      <x:c r="C3727" s="55" t="str">
        <x:v>—</x:v>
      </x:c>
      <x:c r="D3727" s="55" t="str">
        <x:v>—</x:v>
      </x:c>
      <x:c r="E3727" s="55" t="inlineStr">
        <x:is>
          <x:t>仙庭劍裝錦囊（網站未列地圖）；仙庭術裝錦囊（網站未列地圖）；仙庭道裝錦囊（網站未列地圖）；仙庭僧裝錦囊（網站未列地圖）；仙庭勇裝錦囊（網站未列地圖）；轟原風精（紫雷轟原）</x:t>
        </x:is>
      </x:c>
    </x:row>
    <x:row r="3728" ht="30" customHeight="1">
      <x:c r="A3728" s="55" t="str">
        <x:v>夢蝶翠鍊</x:v>
      </x:c>
      <x:c r="B3728" s="55" t="str">
        <x:v>—</x:v>
      </x:c>
      <x:c r="C3728" s="55" t="str">
        <x:v>—</x:v>
      </x:c>
      <x:c r="D3728" s="55" t="str">
        <x:v>—</x:v>
      </x:c>
      <x:c r="E3728" s="55" t="inlineStr">
        <x:is>
          <x:t>仙庭劍裝錦囊（網站未列地圖）；仙庭術裝錦囊（網站未列地圖）；仙庭道裝錦囊（網站未列地圖）；仙庭僧裝錦囊（網站未列地圖）；仙庭勇裝錦囊（網站未列地圖）；天柱巨靈（紫雷轟原）</x:t>
        </x:is>
      </x:c>
    </x:row>
    <x:row r="3729" ht="30" customHeight="1">
      <x:c r="A3729" s="55" t="str">
        <x:v>幻海磲簪</x:v>
      </x:c>
      <x:c r="B3729" s="55" t="str">
        <x:v>—</x:v>
      </x:c>
      <x:c r="C3729" s="55" t="str">
        <x:v>—</x:v>
      </x:c>
      <x:c r="D3729" s="55" t="str">
        <x:v>—</x:v>
      </x:c>
      <x:c r="E3729" s="55" t="inlineStr">
        <x:is>
          <x:t>仙庭劍裝錦囊（網站未列地圖）；仙庭術裝錦囊（網站未列地圖）；仙庭道裝錦囊（網站未列地圖）；仙庭僧裝錦囊（網站未列地圖）；仙庭勇裝錦囊（網站未列地圖）；異時遊魔（紫雷轟原）</x:t>
        </x:is>
      </x:c>
    </x:row>
    <x:row r="3730" ht="30" customHeight="1">
      <x:c r="A3730" s="55" t="str">
        <x:v>碧洋硨戒</x:v>
      </x:c>
      <x:c r="B3730" s="55" t="str">
        <x:v>—</x:v>
      </x:c>
      <x:c r="C3730" s="55" t="str">
        <x:v>—</x:v>
      </x:c>
      <x:c r="D3730" s="55" t="str">
        <x:v>—</x:v>
      </x:c>
      <x:c r="E3730" s="55" t="inlineStr">
        <x:is>
          <x:t>仙庭劍裝錦囊（網站未列地圖）；仙庭術裝錦囊（網站未列地圖）；仙庭道裝錦囊（網站未列地圖）；仙庭僧裝錦囊（網站未列地圖）；仙庭勇裝錦囊（網站未列地圖）；亂界雷鬼（紫雷轟原）</x:t>
        </x:is>
      </x:c>
    </x:row>
    <x:row r="3731" ht="30" customHeight="1">
      <x:c r="A3731" s="55" t="str">
        <x:v>鐵仙佛珠</x:v>
      </x:c>
      <x:c r="B3731" s="55" t="str">
        <x:v>—</x:v>
      </x:c>
      <x:c r="C3731" s="55" t="str">
        <x:v>—</x:v>
      </x:c>
      <x:c r="D3731" s="55" t="str">
        <x:v>—</x:v>
      </x:c>
      <x:c r="E3731" s="55" t="inlineStr">
        <x:is>
          <x:t>九天佛珠寶盒（網站未列地圖）；大靈基福袋（網站未列地圖）；自走幽藤（終末之塔第112層、終末之塔第114層）；怪物大王（終末之塔第128層、終末之塔第124層）</x:t>
        </x:is>
      </x:c>
    </x:row>
    <x:row r="3732" ht="30" customHeight="1">
      <x:c r="A3732" s="55" t="str">
        <x:v>力仙佛珠</x:v>
      </x:c>
      <x:c r="B3732" s="55" t="str">
        <x:v>—</x:v>
      </x:c>
      <x:c r="C3732" s="55" t="str">
        <x:v>—</x:v>
      </x:c>
      <x:c r="D3732" s="55" t="str">
        <x:v>—</x:v>
      </x:c>
      <x:c r="E3732" s="55" t="inlineStr">
        <x:is>
          <x:t>九天佛珠寶盒（網站未列地圖）；大靈基福袋（網站未列地圖）；歐印白狐（終末之塔第117層、終末之塔第112層、終末之塔第118層）；七災鬼侯（終末之塔第125層、終末之塔第127層）</x:t>
        </x:is>
      </x:c>
    </x:row>
    <x:row r="3733" ht="30" customHeight="1">
      <x:c r="A3733" s="55" t="str">
        <x:v>智仙佛珠</x:v>
      </x:c>
      <x:c r="B3733" s="55" t="str">
        <x:v>—</x:v>
      </x:c>
      <x:c r="C3733" s="55" t="str">
        <x:v>—</x:v>
      </x:c>
      <x:c r="D3733" s="55" t="str">
        <x:v>—</x:v>
      </x:c>
      <x:c r="E3733" s="55" t="inlineStr">
        <x:is>
          <x:t>九天佛珠寶盒（網站未列地圖）；大靈基福袋（網站未列地圖）；殺意魔眼（終末之塔第121層）；秩騷謎兔（終末之塔第117層、終末之塔第115層、終末之塔第116層）</x:t>
        </x:is>
      </x:c>
    </x:row>
    <x:row r="3734" ht="30" customHeight="1">
      <x:c r="A3734" s="55" t="str">
        <x:v>風仙佛珠</x:v>
      </x:c>
      <x:c r="B3734" s="55" t="str">
        <x:v>—</x:v>
      </x:c>
      <x:c r="C3734" s="55" t="str">
        <x:v>—</x:v>
      </x:c>
      <x:c r="D3734" s="55" t="str">
        <x:v>—</x:v>
      </x:c>
      <x:c r="E3734" s="55" t="inlineStr">
        <x:is>
          <x:t>九天佛珠寶盒（網站未列地圖）；大靈基福袋（網站未列地圖）；咒命夕鶴（終末之塔第113層、終末之塔第115層、終末之塔第116層）；佈霾幽蛾（終末之塔第125層、終末之塔第128層）</x:t>
        </x:is>
      </x:c>
    </x:row>
    <x:row r="3735" ht="30" customHeight="1">
      <x:c r="A3735" s="55" t="str">
        <x:v>聖玄武之心</x:v>
      </x:c>
      <x:c r="B3735" s="55" t="str">
        <x:v>—</x:v>
      </x:c>
      <x:c r="C3735" s="55" t="str">
        <x:v>—</x:v>
      </x:c>
      <x:c r="D3735" s="55" t="str">
        <x:v>—</x:v>
      </x:c>
      <x:c r="E3735" s="55" t="inlineStr">
        <x:is>
          <x:t>吉祥羊年福袋（網站未列地圖）；飆馬賀歲錦囊（網站未列地圖）；真無限天寶箱（網站未列地圖）；綻鐵巨龜（覺無洋宇）</x:t>
        </x:is>
      </x:c>
    </x:row>
    <x:row r="3736" ht="30" customHeight="1">
      <x:c r="A3736" s="55" t="str">
        <x:v>超戰神護功戒</x:v>
      </x:c>
      <x:c r="B3736" s="55" t="str">
        <x:v>—</x:v>
      </x:c>
      <x:c r="C3736" s="55" t="str">
        <x:v>—</x:v>
      </x:c>
      <x:c r="D3736" s="55" t="str">
        <x:v>戰神超戒配方</x:v>
      </x:c>
      <x:c r="E3736" s="55" t="inlineStr">
        <x:is>
          <x:t>超‧蓋世無雙錦囊（網站未列地圖）；綠后頂裝寶箱（網站未列地圖）；悟空新春福袋（網站未列地圖）；麻辣今夏錦囊（網站未列地圖）；旗開得勝錦囊（網站未列地圖）</x:t>
        </x:is>
      </x:c>
    </x:row>
    <x:row r="3737" ht="60" customHeight="1">
      <x:c r="A3737" s="55" t="str">
        <x:v>九黎星羅鎖</x:v>
      </x:c>
      <x:c r="B3737" s="55" t="str">
        <x:v>—</x:v>
      </x:c>
      <x:c r="C3737" s="55" t="str">
        <x:v>—</x:v>
      </x:c>
      <x:c r="D3737" s="55" t="str">
        <x:v>—</x:v>
      </x:c>
      <x:c r="E3737" s="55" t="inlineStr">
        <x:is>
          <x:t>吉祥羊年福袋（網站未列地圖）；真‧蓋世無雙錦囊（網站未列地圖）；神州潮夏錦囊（網站未列地圖）；萬夫莫敵錦囊（網站未列地圖）；俠者無敵錦囊（網站未列地圖）；天地逢春寶袋（網站未列地圖）；萬象禮包（網站未列地圖）；真無限天寶箱（網站未列地圖）；萬曆星將（七寶仙境　壹）；來世象尊（七寶仙境　壹）；[萬曆星將]（七寶仙境　壹）；[來世象尊]（七寶仙境　壹）；&lt;萬曆星將&gt;（七寶仙境　壹）；&lt;來世象尊&gt;（七寶仙境　壹）</x:t>
        </x:is>
      </x:c>
    </x:row>
    <x:row r="3738" ht="60" customHeight="1">
      <x:c r="A3738" s="55" t="str">
        <x:v>絕‧六滅化神</x:v>
      </x:c>
      <x:c r="B3738" s="55" t="str">
        <x:v>—</x:v>
      </x:c>
      <x:c r="C3738" s="55" t="str">
        <x:v>—</x:v>
      </x:c>
      <x:c r="D3738" s="55" t="str">
        <x:v>六滅絕化配方</x:v>
      </x:c>
      <x:c r="E3738" s="55" t="inlineStr">
        <x:is>
          <x:t>六滅化神大禮包（網站未列地圖）；真‧蓋世無雙錦囊（網站未列地圖）；吉祥羊年福袋（網站未列地圖）；萬夫莫敵錦囊（網站未列地圖）；極盡萬象禮包（網站未列地圖）；侯氏兵甲福袋2014（網站未列地圖）；俠者無敵錦囊（網站未列地圖）；神世千夏錦囊（網站未列地圖）；道骨錦囊（網站未列地圖）；金旋風開工禮袋（網站未列地圖）；通寶院寶箱（網站未列地圖）；虐殺犯（終末之塔第11層）</x:t>
        </x:is>
      </x:c>
    </x:row>
    <x:row r="3739" ht="45" customHeight="1">
      <x:c r="A3739" s="55" t="str">
        <x:v>天鍛‧青龍戒</x:v>
      </x:c>
      <x:c r="B3739" s="55" t="str">
        <x:v>—</x:v>
      </x:c>
      <x:c r="C3739" s="55" t="str">
        <x:v>—</x:v>
      </x:c>
      <x:c r="D3739" s="55" t="str">
        <x:v>—</x:v>
      </x:c>
      <x:c r="E3739" s="55" t="inlineStr">
        <x:is>
          <x:t>無限劍裝錦囊（網站未列地圖）；無限勇裝錦囊（網站未列地圖）；無限術裝錦囊（網站未列地圖）；無限道裝錦囊（網站未列地圖）；無限僧裝錦囊（網站未列地圖）；活獄馬鬼（異時界‧亂藤林西）；真道修者（四聖祭台）；魔樹精（異時界‧亂藤林）；疲憊的百眼巫師（異時界‧亂藤林東）；百眼巫師（異時界‧亂藤林南）</x:t>
        </x:is>
      </x:c>
    </x:row>
    <x:row r="3740" ht="45" customHeight="1">
      <x:c r="A3740" s="55" t="str">
        <x:v>天鍛‧白虎玉</x:v>
      </x:c>
      <x:c r="B3740" s="55" t="str">
        <x:v>—</x:v>
      </x:c>
      <x:c r="C3740" s="55" t="str">
        <x:v>—</x:v>
      </x:c>
      <x:c r="D3740" s="55" t="str">
        <x:v>—</x:v>
      </x:c>
      <x:c r="E3740" s="55" t="inlineStr">
        <x:is>
          <x:t>無限劍裝錦囊（網站未列地圖）；無限勇裝錦囊（網站未列地圖）；無限術裝錦囊（網站未列地圖）；無限道裝錦囊（網站未列地圖）；無限僧裝錦囊（網站未列地圖）；襲影鬼虎（異時界‧亂藤林南）；真勇修者（四聖祭台）；巨靈魔（異時界‧亂藤林）；疲憊的巨靈魔（異時界‧亂藤林東）</x:t>
        </x:is>
      </x:c>
    </x:row>
    <x:row r="3741" ht="45" customHeight="1">
      <x:c r="A3741" s="55" t="str">
        <x:v>天鍛‧朱雀環</x:v>
      </x:c>
      <x:c r="B3741" s="55" t="str">
        <x:v>—</x:v>
      </x:c>
      <x:c r="C3741" s="55" t="str">
        <x:v>—</x:v>
      </x:c>
      <x:c r="D3741" s="55" t="str">
        <x:v>—</x:v>
      </x:c>
      <x:c r="E3741" s="55" t="inlineStr">
        <x:is>
          <x:t>無限劍裝錦囊（網站未列地圖）；無限勇裝錦囊（網站未列地圖）；無限術裝錦囊（網站未列地圖）；無限道裝錦囊（網站未列地圖）；無限僧裝錦囊（網站未列地圖）；殺人蜂（異時界‧亂藤林南）；真術修者（四聖祭台）；幻色蜥蜴（異時界‧亂藤林）；嗇花精（異時界‧亂藤林、異時界‧亂藤林南）；大王花精（異時界‧亂藤林南）</x:t>
        </x:is>
      </x:c>
    </x:row>
    <x:row r="3742" ht="60" customHeight="1">
      <x:c r="A3742" s="55" t="str">
        <x:v>天鍛‧玄武璧</x:v>
      </x:c>
      <x:c r="B3742" s="55" t="str">
        <x:v>—</x:v>
      </x:c>
      <x:c r="C3742" s="55" t="str">
        <x:v>—</x:v>
      </x:c>
      <x:c r="D3742" s="55" t="str">
        <x:v>—</x:v>
      </x:c>
      <x:c r="E3742" s="55" t="inlineStr">
        <x:is>
          <x:t>無限劍裝錦囊（網站未列地圖）；無限勇裝錦囊（網站未列地圖）；無限術裝錦囊（網站未列地圖）；無限道裝錦囊（網站未列地圖）；無限僧裝錦囊（網站未列地圖）；真禪修者（四聖祭台）；火喉蟾蜍（異時界‧亂藤林）；冰眼蟾蜍（異時界‧亂藤林）；毒皰蟾蜍（異時界‧亂藤林）；土行者（異時界‧亂藤林、異時界‧亂藤林南）；疲憊的土行者（異時界‧亂藤林東）；土行鬼王（異時界‧亂藤林南）</x:t>
        </x:is>
      </x:c>
    </x:row>
    <x:row r="3743" ht="60" customHeight="1">
      <x:c r="A3743" s="55" t="str">
        <x:v>仙鑄‧青龍戒</x:v>
      </x:c>
      <x:c r="B3743" s="55" t="str">
        <x:v>—</x:v>
      </x:c>
      <x:c r="C3743" s="55" t="str">
        <x:v>—</x:v>
      </x:c>
      <x:c r="D3743" s="55" t="str">
        <x:v>—</x:v>
      </x:c>
      <x:c r="E3743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璽毒蠍（異時界‧摘星嶺）；金岩怪（異時界‧摘星嶺）；濕婆軍狂戰士（異時界‧葬日沼澤）；破斬象妖（異時界‧葬日沼澤）；亡邪百眼死巫（異時界‧葬日沼北）；夜叉魔槍者（異時界‧毒龍潭）；火影蜘蛛精（異時界‧夜叉嶺）</x:t>
        </x:is>
      </x:c>
    </x:row>
    <x:row r="3744" ht="60" customHeight="1">
      <x:c r="A3744" s="55" t="str">
        <x:v>仙鑄‧白虎玉</x:v>
      </x:c>
      <x:c r="B3744" s="55" t="str">
        <x:v>—</x:v>
      </x:c>
      <x:c r="C3744" s="55" t="str">
        <x:v>—</x:v>
      </x:c>
      <x:c r="D3744" s="55" t="str">
        <x:v>—</x:v>
      </x:c>
      <x:c r="E3744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夜叉獵矛手（異時界‧摘星嶺）；冰壁蠍（異時界‧摘星嶺）；亡邪刑天戰骸（異時界‧葬日沼北）；火咬鱷（異時界‧毒龍潭）；夜叉魔槍者（異時界‧修羅窟）；夜叉血刀妖（異時界‧夜叉嶺）</x:t>
        </x:is>
      </x:c>
    </x:row>
    <x:row r="3745" ht="45" customHeight="1">
      <x:c r="A3745" s="55" t="str">
        <x:v>仙鑄‧朱雀環</x:v>
      </x:c>
      <x:c r="B3745" s="55" t="str">
        <x:v>—</x:v>
      </x:c>
      <x:c r="C3745" s="55" t="str">
        <x:v>—</x:v>
      </x:c>
      <x:c r="D3745" s="55" t="str">
        <x:v>—</x:v>
      </x:c>
      <x:c r="E3745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鷹族精兵（異時界‧摘星嶺）；纏火蠍（異時界‧摘星嶺）；百眼巫妖（異時界‧毒龍潭）；夜叉殺斧妖（異時界‧夜叉嶺）</x:t>
        </x:is>
      </x:c>
    </x:row>
    <x:row r="3746" ht="60" customHeight="1">
      <x:c r="A3746" s="55" t="str">
        <x:v>仙鑄‧玄武璧</x:v>
      </x:c>
      <x:c r="B3746" s="55" t="str">
        <x:v>—</x:v>
      </x:c>
      <x:c r="C3746" s="55" t="str">
        <x:v>—</x:v>
      </x:c>
      <x:c r="D3746" s="55" t="str">
        <x:v>—</x:v>
      </x:c>
      <x:c r="E3746" s="55" t="inlineStr">
        <x:is>
          <x:t>大無限劍裝錦囊（網站未列地圖）；大無限勇裝錦囊（網站未列地圖）；大無限術裝錦囊（網站未列地圖）；大無限道裝錦囊（網站未列地圖）；大無限僧裝錦囊（網站未列地圖）；夜叉血斧手（異時界‧摘星嶺）；巨靈魔衛（異時界‧摘星嶺）；亡邪土行骸（異時界‧葬日沼北）；細瘴蛇（異時界‧葬日沼南）；冰噬鱷（異時界‧毒龍潭）；夜叉邪棒妖（異時界‧夜叉嶺）</x:t>
        </x:is>
      </x:c>
    </x:row>
    <x:row r="3747" ht="30" customHeight="1">
      <x:c r="A3747" s="55" t="str">
        <x:v>神煉‧青龍戒</x:v>
      </x:c>
      <x:c r="B3747" s="55" t="str">
        <x:v>—</x:v>
      </x:c>
      <x:c r="C3747" s="55" t="str">
        <x:v>—</x:v>
      </x:c>
      <x:c r="D3747" s="55" t="str">
        <x:v>—</x:v>
      </x:c>
      <x:c r="E3747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靈芝精‧強（殘雲天境）；飄魂禿鷹（時沒邊界）</x:t>
        </x:is>
      </x:c>
    </x:row>
    <x:row r="3748" ht="30" customHeight="1">
      <x:c r="A3748" s="55" t="str">
        <x:v>神煉‧白虎玉</x:v>
      </x:c>
      <x:c r="B3748" s="55" t="str">
        <x:v>—</x:v>
      </x:c>
      <x:c r="C3748" s="55" t="str">
        <x:v>—</x:v>
      </x:c>
      <x:c r="D3748" s="55" t="str">
        <x:v>—</x:v>
      </x:c>
      <x:c r="E3748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虛化夜叉（時沒邊界）；鬼河童‧強（殘雲天境）</x:t>
        </x:is>
      </x:c>
    </x:row>
    <x:row r="3749" ht="30" customHeight="1">
      <x:c r="A3749" s="55" t="str">
        <x:v>神煉‧朱雀環</x:v>
      </x:c>
      <x:c r="B3749" s="55" t="str">
        <x:v>—</x:v>
      </x:c>
      <x:c r="C3749" s="55" t="str">
        <x:v>—</x:v>
      </x:c>
      <x:c r="D3749" s="55" t="str">
        <x:v>—</x:v>
      </x:c>
      <x:c r="E3749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盪霧影鼠（時沒邊界）；黑豹‧強（殘雲天境）</x:t>
        </x:is>
      </x:c>
    </x:row>
    <x:row r="3750" ht="30" customHeight="1">
      <x:c r="A3750" s="55" t="str">
        <x:v>神煉‧玄武璧</x:v>
      </x:c>
      <x:c r="B3750" s="55" t="str">
        <x:v>—</x:v>
      </x:c>
      <x:c r="C3750" s="55" t="str">
        <x:v>—</x:v>
      </x:c>
      <x:c r="D3750" s="55" t="str">
        <x:v>—</x:v>
      </x:c>
      <x:c r="E3750" s="55" t="inlineStr">
        <x:is>
          <x:t>超無限劍裝錦囊（網站未列地圖）；超無限勇裝錦囊（網站未列地圖）；超無限術裝錦囊（網站未列地圖）；超無限道裝錦囊（網站未列地圖）；超無限僧裝錦囊（網站未列地圖）；迴影殺犬（時沒邊界）；紫雷蠻蛟‧強（殘雲天境）</x:t>
        </x:is>
      </x:c>
    </x:row>
    <x:row r="3751" ht="30" customHeight="1">
      <x:c r="A3751" s="55" t="str">
        <x:v>宇傲‧青龍戒</x:v>
      </x:c>
      <x:c r="B3751" s="55" t="str">
        <x:v>—</x:v>
      </x:c>
      <x:c r="C3751" s="55" t="str">
        <x:v>—</x:v>
      </x:c>
      <x:c r="D3751" s="55" t="str">
        <x:v>—</x:v>
      </x:c>
      <x:c r="E3751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極無限劍裝錦囊（網站未列地圖）；極無限勇裝錦囊（網站未列地圖）；極無限術裝錦囊（網站未列地圖）；極無限道裝錦囊（網站未列地圖）；極無限僧裝錦囊（網站未列地圖）；暗蝕魔瞳（覺無洋宇）</x:t>
        </x:is>
      </x:c>
    </x:row>
    <x:row r="3752" ht="30" customHeight="1">
      <x:c r="A3752" s="55" t="str">
        <x:v>宇傲‧白虎玉</x:v>
      </x:c>
      <x:c r="B3752" s="55" t="str">
        <x:v>—</x:v>
      </x:c>
      <x:c r="C3752" s="55" t="str">
        <x:v>—</x:v>
      </x:c>
      <x:c r="D3752" s="55" t="str">
        <x:v>—</x:v>
      </x:c>
      <x:c r="E3752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百轉天誣（音無晶宇）；幻鬼虎（覺無洋宇）</x:t>
        </x:is>
      </x:c>
    </x:row>
    <x:row r="3753" ht="30" customHeight="1">
      <x:c r="A3753" s="55" t="str">
        <x:v>宇傲‧朱雀環</x:v>
      </x:c>
      <x:c r="B3753" s="55" t="str">
        <x:v>—</x:v>
      </x:c>
      <x:c r="C3753" s="55" t="str">
        <x:v>—</x:v>
      </x:c>
      <x:c r="D3753" s="55" t="str">
        <x:v>—</x:v>
      </x:c>
      <x:c r="E3753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陰骸骨弓（觀無巽宇）；渡宇鷹（覺無洋宇）</x:t>
        </x:is>
      </x:c>
    </x:row>
    <x:row r="3754" ht="30" customHeight="1">
      <x:c r="A3754" s="55" t="str">
        <x:v>宇傲‧玄武璧</x:v>
      </x:c>
      <x:c r="B3754" s="55" t="str">
        <x:v>—</x:v>
      </x:c>
      <x:c r="C3754" s="55" t="str">
        <x:v>—</x:v>
      </x:c>
      <x:c r="D3754" s="55" t="str">
        <x:v>—</x:v>
      </x:c>
      <x:c r="E3754" s="55" t="inlineStr">
        <x:is>
          <x:t>極無限劍裝錦囊（網站未列地圖）；極無限勇裝錦囊（網站未列地圖）；極無限術裝錦囊（網站未列地圖）；極無限道裝錦囊（網站未列地圖）；極無限僧裝錦囊（網站未列地圖）；陰骸骨刀（觀無巽宇）；綻鐵巨龜（覺無洋宇）</x:t>
        </x:is>
      </x:c>
    </x:row>
    <x:row r="3755" ht="45" customHeight="1">
      <x:c r="A3755" s="55" t="str">
        <x:v>峻霆‧青龍戒</x:v>
      </x:c>
      <x:c r="B3755" s="55" t="str">
        <x:v>—</x:v>
      </x:c>
      <x:c r="C3755" s="55" t="str">
        <x:v>—</x:v>
      </x:c>
      <x:c r="D3755" s="55" t="str">
        <x:v>—</x:v>
      </x:c>
      <x:c r="E3755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碎岩大獸（音無晶宇）；黑死冥蝶（星群碎道）</x:t>
        </x:is>
      </x:c>
    </x:row>
    <x:row r="3756" ht="45" customHeight="1">
      <x:c r="A3756" s="55" t="str">
        <x:v>峻霆‧白虎玉</x:v>
      </x:c>
      <x:c r="B3756" s="55" t="str">
        <x:v>—</x:v>
      </x:c>
      <x:c r="C3756" s="55" t="str">
        <x:v>—</x:v>
      </x:c>
      <x:c r="D3756" s="55" t="str">
        <x:v>—</x:v>
      </x:c>
      <x:c r="E3756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散元劍狂（星群碎道）</x:t>
        </x:is>
      </x:c>
    </x:row>
    <x:row r="3757" ht="45" customHeight="1">
      <x:c r="A3757" s="55" t="str">
        <x:v>峻霆‧朱雀環</x:v>
      </x:c>
      <x:c r="B3757" s="55" t="str">
        <x:v>—</x:v>
      </x:c>
      <x:c r="C3757" s="55" t="str">
        <x:v>—</x:v>
      </x:c>
      <x:c r="D3757" s="55" t="str">
        <x:v>—</x:v>
      </x:c>
      <x:c r="E3757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虛化修羅（不解迴路）</x:t>
        </x:is>
      </x:c>
    </x:row>
    <x:row r="3758" ht="45" customHeight="1">
      <x:c r="A3758" s="55" t="str">
        <x:v>峻霆‧玄武璧</x:v>
      </x:c>
      <x:c r="B3758" s="55" t="str">
        <x:v>—</x:v>
      </x:c>
      <x:c r="C3758" s="55" t="str">
        <x:v>—</x:v>
      </x:c>
      <x:c r="D3758" s="55" t="str">
        <x:v>—</x:v>
      </x:c>
      <x:c r="E3758" s="55" t="inlineStr">
        <x:is>
          <x:t>絕無限劍裝錦囊（網站未列地圖）；絕無限勇裝錦囊（網站未列地圖）；絕無限術裝錦囊（網站未列地圖）；絕無限道裝錦囊（網站未列地圖）；絕無限僧裝錦囊（網站未列地圖）；搗蛋天鬼神（網站未列地圖）；黑宇怒龍（音無晶宇）；幻晶巨儡（音無晶宇）；鬼棒狩命（星群碎道）</x:t>
        </x:is>
      </x:c>
    </x:row>
    <x:row r="3759" ht="45" customHeight="1">
      <x:c r="A3759" s="55" t="str">
        <x:v>窮極‧青龍戒</x:v>
      </x:c>
      <x:c r="B3759" s="55" t="str">
        <x:v>—</x:v>
      </x:c>
      <x:c r="C3759" s="55" t="str">
        <x:v>—</x:v>
      </x:c>
      <x:c r="D3759" s="55" t="str">
        <x:v>—</x:v>
      </x:c>
      <x:c r="E3759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幽虛遮罩（虛空渦心）</x:t>
        </x:is>
      </x:c>
    </x:row>
    <x:row r="3760" ht="45" customHeight="1">
      <x:c r="A3760" s="55" t="str">
        <x:v>窮極‧白虎玉</x:v>
      </x:c>
      <x:c r="B3760" s="55" t="str">
        <x:v>—</x:v>
      </x:c>
      <x:c r="C3760" s="55" t="str">
        <x:v>—</x:v>
      </x:c>
      <x:c r="D3760" s="55" t="str">
        <x:v>—</x:v>
      </x:c>
      <x:c r="E3760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冥燈慘爪（終末之塔第1層、終末之塔第2層）；虛淵鬥靈（虛空渦心）</x:t>
        </x:is>
      </x:c>
    </x:row>
    <x:row r="3761" ht="30" customHeight="1">
      <x:c r="A3761" s="55" t="str">
        <x:v>窮極‧朱雀環</x:v>
      </x:c>
      <x:c r="B3761" s="55" t="str">
        <x:v>—</x:v>
      </x:c>
      <x:c r="C3761" s="55" t="str">
        <x:v>—</x:v>
      </x:c>
      <x:c r="D3761" s="55" t="str">
        <x:v>—</x:v>
      </x:c>
      <x:c r="E3761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虛熒（虛空渦心）</x:t>
        </x:is>
      </x:c>
    </x:row>
    <x:row r="3762" ht="45" customHeight="1">
      <x:c r="A3762" s="55" t="str">
        <x:v>窮極‧玄武璧</x:v>
      </x:c>
      <x:c r="B3762" s="55" t="str">
        <x:v>—</x:v>
      </x:c>
      <x:c r="C3762" s="55" t="str">
        <x:v>—</x:v>
      </x:c>
      <x:c r="D3762" s="55" t="str">
        <x:v>—</x:v>
      </x:c>
      <x:c r="E3762" s="55" t="inlineStr">
        <x:is>
          <x:t>無無限劍裝錦囊（網站未列地圖）；無無限勇裝錦囊（網站未列地圖）；無無限術裝錦囊（網站未列地圖）；無無限道裝錦囊（網站未列地圖）；無無限僧裝錦囊（網站未列地圖）；賀歲大金雞（網站未列地圖）；禍玄兇猩（終末之塔第1層）；渡虛腳力（虛空渦心）</x:t>
        </x:is>
      </x:c>
    </x:row>
    <x:row r="3763" ht="45" customHeight="1">
      <x:c r="A3763" s="55" t="str">
        <x:v>元宙‧青龍戒</x:v>
      </x:c>
      <x:c r="B3763" s="55" t="str">
        <x:v>—</x:v>
      </x:c>
      <x:c r="C3763" s="55" t="str">
        <x:v>—</x:v>
      </x:c>
      <x:c r="D3763" s="55" t="str">
        <x:v>—</x:v>
      </x:c>
      <x:c r="E3763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飛司祭（虛空渦心）；虛空妖龍（終末之塔第8層、終末之塔第9層）</x:t>
        </x:is>
      </x:c>
    </x:row>
    <x:row r="3764" ht="45" customHeight="1">
      <x:c r="A3764" s="55" t="str">
        <x:v>元宙‧白虎玉</x:v>
      </x:c>
      <x:c r="B3764" s="55" t="str">
        <x:v>—</x:v>
      </x:c>
      <x:c r="C3764" s="55" t="str">
        <x:v>—</x:v>
      </x:c>
      <x:c r="D3764" s="55" t="str">
        <x:v>—</x:v>
      </x:c>
      <x:c r="E3764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天可汗（虛空渦心）；虛來鳴猩（吉薩走廊）；兇殘之手（終末之塔第28層、終末之塔第27層）；負罪劈徒（終末之塔第6層、終末之塔第7層）</x:t>
        </x:is>
      </x:c>
    </x:row>
    <x:row r="3765" ht="45" customHeight="1">
      <x:c r="A3765" s="55" t="str">
        <x:v>元宙‧朱雀環</x:v>
      </x:c>
      <x:c r="B3765" s="55" t="str">
        <x:v>—</x:v>
      </x:c>
      <x:c r="C3765" s="55" t="str">
        <x:v>—</x:v>
      </x:c>
      <x:c r="D3765" s="55" t="str">
        <x:v>—</x:v>
      </x:c>
      <x:c r="E3765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蒼神射（虛空渦心）；森羅冷指（終末之塔第5層、終末之塔第6層）</x:t>
        </x:is>
      </x:c>
    </x:row>
    <x:row r="3766" ht="45" customHeight="1">
      <x:c r="A3766" s="55" t="str">
        <x:v>元宙‧玄武璧</x:v>
      </x:c>
      <x:c r="B3766" s="55" t="str">
        <x:v>—</x:v>
      </x:c>
      <x:c r="C3766" s="55" t="str">
        <x:v>—</x:v>
      </x:c>
      <x:c r="D3766" s="55" t="str">
        <x:v>—</x:v>
      </x:c>
      <x:c r="E3766" s="55" t="inlineStr">
        <x:is>
          <x:t>帝無限劍裝錦囊（網站未列地圖）；帝無限勇裝錦囊（網站未列地圖）；帝無限術裝錦囊（網站未列地圖）；帝無限道裝錦囊（網站未列地圖）；帝無限僧裝錦囊（網站未列地圖）；沒世蒼勇冠（虛空渦心）；沒世蒼陵將（虛空渦心）；虛來轟錘（吉薩走廊）；化外猩覺（終末之塔第9層）</x:t>
        </x:is>
      </x:c>
    </x:row>
    <x:row r="3767" ht="45" customHeight="1">
      <x:c r="A3767" s="55" t="str">
        <x:v>真宇傲青龍戒</x:v>
      </x:c>
      <x:c r="B3767" s="55" t="str">
        <x:v>—</x:v>
      </x:c>
      <x:c r="C3767" s="55" t="str">
        <x:v>—</x:v>
      </x:c>
      <x:c r="D3767" s="55" t="str">
        <x:v>—</x:v>
      </x:c>
      <x:c r="E3767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石奴監工（吉薩走廊）；枯血鬼爪（終末之塔第39層）；惡浪狂獵（終末之塔第50層）；枯血鬼爪（終末之塔第38層）</x:t>
        </x:is>
      </x:c>
    </x:row>
    <x:row r="3768" ht="45" customHeight="1">
      <x:c r="A3768" s="55" t="str">
        <x:v>真宇傲白虎玉</x:v>
      </x:c>
      <x:c r="B3768" s="55" t="str">
        <x:v>—</x:v>
      </x:c>
      <x:c r="C3768" s="55" t="str">
        <x:v>—</x:v>
      </x:c>
      <x:c r="D3768" s="55" t="str">
        <x:v>—</x:v>
      </x:c>
      <x:c r="E3768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殺傷跳鼠（古翰大沙漠）；驚奇機棺（終末之塔第35層）；虛無狩鬼（終末之塔第50層、終末之塔第46層）；驚奇機棺（終末之塔第38層）</x:t>
        </x:is>
      </x:c>
    </x:row>
    <x:row r="3769" ht="45" customHeight="1">
      <x:c r="A3769" s="55" t="str">
        <x:v>真宇傲朱雀環</x:v>
      </x:c>
      <x:c r="B3769" s="55" t="str">
        <x:v>—</x:v>
      </x:c>
      <x:c r="C3769" s="55" t="str">
        <x:v>—</x:v>
      </x:c>
      <x:c r="D3769" s="55" t="str">
        <x:v>—</x:v>
      </x:c>
      <x:c r="E3769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艾濟矮靈（吉薩走廊）；墟漠矮靈（終末之塔第39層）</x:t>
        </x:is>
      </x:c>
    </x:row>
    <x:row r="3770" ht="45" customHeight="1">
      <x:c r="A3770" s="55" t="str">
        <x:v>真宇傲玄武璧</x:v>
      </x:c>
      <x:c r="B3770" s="55" t="str">
        <x:v>—</x:v>
      </x:c>
      <x:c r="C3770" s="55" t="str">
        <x:v>—</x:v>
      </x:c>
      <x:c r="D3770" s="55" t="str">
        <x:v>—</x:v>
      </x:c>
      <x:c r="E3770" s="55" t="inlineStr">
        <x:is>
          <x:t>終無限劍裝錦囊（網站未列地圖）；終無限勇裝錦囊（網站未列地圖）；終無限術裝錦囊（網站未列地圖）；終無限道裝錦囊（網站未列地圖）；終無限僧裝錦囊（網站未列地圖）；沙暴先鋒（古翰大沙漠）；怒咆穢猿（終末之塔第31層、終末之塔第32層）；峽谷矮靈（終末之塔第41層、終末之塔第42層）</x:t>
        </x:is>
      </x:c>
    </x:row>
    <x:row r="3771" ht="30" customHeight="1">
      <x:c r="A3771" s="55" t="str">
        <x:v>絕‧戰神負重鍊</x:v>
      </x:c>
      <x:c r="B3771" s="55" t="str">
        <x:v>—</x:v>
      </x:c>
      <x:c r="C3771" s="55" t="str">
        <x:v>—</x:v>
      </x:c>
      <x:c r="D3771" s="55" t="str">
        <x:v>—</x:v>
      </x:c>
      <x:c r="E3771" s="55" t="inlineStr">
        <x:is>
          <x:t>勝王新手錦囊（網站未列地圖）；聖誕希望寶箱（網站未列地圖）；食尸巨鱷（異時界‧葬日沼北）；碎時狂虎（白虎西殿）</x:t>
        </x:is>
      </x:c>
    </x:row>
    <x:row r="3772" ht="30" customHeight="1">
      <x:c r="A3772" s="55" t="str">
        <x:v>聖白虎之心</x:v>
      </x:c>
      <x:c r="B3772" s="55" t="str">
        <x:v>—</x:v>
      </x:c>
      <x:c r="C3772" s="55" t="str">
        <x:v>—</x:v>
      </x:c>
      <x:c r="D3772" s="55" t="str">
        <x:v>—</x:v>
      </x:c>
      <x:c r="E3772" s="55" t="inlineStr">
        <x:is>
          <x:t>神州夏織錦囊（網站未列地圖）；雙週端午錦囊（網站未列地圖）；雙週消暑錦囊（網站未列地圖）；雙週新春紅包（網站未列地圖）；斃法巫孺（不解迴路）</x:t>
        </x:is>
      </x:c>
    </x:row>
    <x:row r="3773" ht="75" customHeight="1">
      <x:c r="A3773" s="55" t="str">
        <x:v>天機南極儀</x:v>
      </x:c>
      <x:c r="B3773" s="55" t="str">
        <x:v>—</x:v>
      </x:c>
      <x:c r="C3773" s="55" t="str">
        <x:v>—</x:v>
      </x:c>
      <x:c r="D3773" s="55" t="str">
        <x:v>—</x:v>
      </x:c>
      <x:c r="E3773" s="55" t="inlineStr">
        <x:is>
          <x:t>綠后頂裝寶箱（網站未列地圖）；悟空新春福袋（網站未列地圖）；神州夏語錦囊（網站未列地圖）；侯氏兵甲福袋2015（網站未列地圖）；天敵錦囊（網站未列地圖）；天下無敵錦囊（網站未列地圖）；神之領域錦囊（網站未列地圖）；迷你神州禮包（網站未列地圖）；端午華禮香包（網站未列地圖）；〈萬曆星將〉（真七寶仙境　壹）；〈來世象尊〉（真七寶仙境　壹）；《萬曆星將》（真七寶仙境　壹）；《來世象尊》（真七寶仙境　壹）；【萬曆星將】（真七寶仙境　壹）；【來世象尊】（真七寶仙境　壹）；垂涎蟹將（網站未列地圖）；幻晶巨儡（音無晶宇）</x:t>
        </x:is>
      </x:c>
    </x:row>
    <x:row r="3774" ht="90" customHeight="1">
      <x:c r="A3774" s="55" t="str">
        <x:v>無‧六滅化神</x:v>
      </x:c>
      <x:c r="B3774" s="55" t="str">
        <x:v>—</x:v>
      </x:c>
      <x:c r="C3774" s="55" t="str">
        <x:v>—</x:v>
      </x:c>
      <x:c r="D3774" s="55" t="str">
        <x:v>六滅無化配方</x:v>
      </x:c>
      <x:c r="E3774" s="55" t="inlineStr">
        <x:is>
          <x:t>六滅化神大禮包（網站未列地圖）；超‧蓋世無雙錦囊（網站未列地圖）；綠后頂裝寶箱（網站未列地圖）；百戰論皇錦囊（網站未列地圖）；宿敵錦囊（網站未列地圖）；侯氏兵甲福袋2015（網站未列地圖）；神州夏語錦囊（網站未列地圖）；神奇柏金福袋（網站未列地圖）；吉祥羊年福袋（網站未列地圖）；天命逆轉寶箱（網站未列地圖）；真天命逆轉寶箱（網站未列地圖）；絕對無限天寶箱（網站未列地圖）；黑宇怒龍（音無晶宇）；沒日夸父（觀無巽宇）；塵泥羊巫（古翰大沙漠）；柱末腐豚（終末之塔第56層、終末之塔第57層）；菌侵甲鬼（終末之塔第28層、終末之塔第29層）；虛無狩鬼（終末之塔第50層、終末之塔第46層）</x:t>
        </x:is>
      </x:c>
    </x:row>
    <x:row r="3775" ht="30" customHeight="1">
      <x:c r="A3775" s="55" t="str">
        <x:v>真聖玄武之心</x:v>
      </x:c>
      <x:c r="B3775" s="55" t="str">
        <x:v>—</x:v>
      </x:c>
      <x:c r="C3775" s="55" t="str">
        <x:v>—</x:v>
      </x:c>
      <x:c r="D3775" s="55" t="str">
        <x:v>—</x:v>
      </x:c>
      <x:c r="E3775" s="55" t="inlineStr">
        <x:is>
          <x:t>四聖真心錦囊（網站未列地圖）；無敵福袋（網站未列地圖）；勝者為王錦囊（網站未列地圖）；神州夏思錦囊（網站未列地圖）</x:t>
        </x:is>
      </x:c>
    </x:row>
    <x:row r="3776" ht="30" customHeight="1">
      <x:c r="A3776" s="55" t="str">
        <x:v>真聖白虎之心</x:v>
      </x:c>
      <x:c r="B3776" s="55" t="str">
        <x:v>—</x:v>
      </x:c>
      <x:c r="C3776" s="55" t="str">
        <x:v>—</x:v>
      </x:c>
      <x:c r="D3776" s="55" t="str">
        <x:v>—</x:v>
      </x:c>
      <x:c r="E3776" s="55" t="inlineStr">
        <x:is>
          <x:t>四聖真心錦囊（網站未列地圖）；天下無敵錦囊（網站未列地圖）；神之領域錦囊（網站未列地圖）；天命寶箱（網站未列地圖）</x:t>
        </x:is>
      </x:c>
    </x:row>
    <x:row r="3777" ht="30" customHeight="1">
      <x:c r="A3777" s="55" t="str">
        <x:v>真聖青龍之心</x:v>
      </x:c>
      <x:c r="B3777" s="55" t="str">
        <x:v>—</x:v>
      </x:c>
      <x:c r="C3777" s="55" t="str">
        <x:v>—</x:v>
      </x:c>
      <x:c r="D3777" s="55" t="str">
        <x:v>—</x:v>
      </x:c>
      <x:c r="E3777" s="55" t="inlineStr">
        <x:is>
          <x:t>四聖真心錦囊（網站未列地圖）；仙之極境錦囊（網站未列地圖）；無敵福袋（網站未列地圖）；天意寶箱（網站未列地圖）</x:t>
        </x:is>
      </x:c>
    </x:row>
    <x:row r="3778" ht="15" customHeight="1">
      <x:c r="A3778" s="55" t="str">
        <x:v>真聖鳳凰之心</x:v>
      </x:c>
      <x:c r="B3778" s="55" t="str">
        <x:v>—</x:v>
      </x:c>
      <x:c r="C3778" s="55" t="str">
        <x:v>—</x:v>
      </x:c>
      <x:c r="D3778" s="55" t="str">
        <x:v>—</x:v>
      </x:c>
      <x:c r="E3778" s="55" t="inlineStr">
        <x:is>
          <x:t>四聖真心錦囊（網站未列地圖）；無敵福袋（網站未列地圖）；侯氏兵甲福袋2015（網站未列地圖）</x:t>
        </x:is>
      </x:c>
    </x:row>
    <x:row r="3779" ht="45" customHeight="1">
      <x:c r="A3779" s="55" t="str">
        <x:v>白虎宮嘯塵玉</x:v>
      </x:c>
      <x:c r="B3779" s="55" t="str">
        <x:v>—</x:v>
      </x:c>
      <x:c r="C3779" s="55" t="str">
        <x:v>—</x:v>
      </x:c>
      <x:c r="D3779" s="55" t="str">
        <x:v>—</x:v>
      </x:c>
      <x:c r="E3779" s="55" t="inlineStr">
        <x:is>
          <x:t>無限流六重歡樂包（網站未列地圖）；〈仙露花精〉（真七寶仙境　壹）；〈岩羅角獸〉（真七寶仙境　壹）；《仙露花精》（真七寶仙境　壹）；《岩羅角獸》（真七寶仙境　壹）；【仙露花精】（真七寶仙境　壹）；【岩羅角獸】（真七寶仙境　壹）</x:t>
        </x:is>
      </x:c>
    </x:row>
    <x:row r="3780" ht="15" customHeight="1">
      <x:c r="A3780" s="55" t="str">
        <x:v>荒狼宮皓月戒</x:v>
      </x:c>
      <x:c r="B3780" s="55" t="str">
        <x:v>—</x:v>
      </x:c>
      <x:c r="C3780" s="55" t="str">
        <x:v>—</x:v>
      </x:c>
      <x:c r="D3780" s="55" t="str">
        <x:v>—</x:v>
      </x:c>
      <x:c r="E3780" s="55" t="inlineStr">
        <x:is>
          <x:t>侯氏兵甲福袋2016（網站未列地圖）；無限流六重歡樂包（網站未列地圖）；金雞賀歲寶箱（網站未列地圖）</x:t>
        </x:is>
      </x:c>
    </x:row>
    <x:row r="3781" ht="30" customHeight="1">
      <x:c r="A3781" s="55" t="str">
        <x:v>帝‧六滅化神</x:v>
      </x:c>
      <x:c r="B3781" s="55" t="str">
        <x:v>—</x:v>
      </x:c>
      <x:c r="C3781" s="55" t="str">
        <x:v>—</x:v>
      </x:c>
      <x:c r="D3781" s="55" t="str">
        <x:v>—</x:v>
      </x:c>
      <x:c r="E3781" s="55" t="inlineStr">
        <x:is>
          <x:t>六滅化神大禮包（網站未列地圖）；無限流六重歡樂包（網站未列地圖）；悟空新春福袋（網站未列地圖）；虛空寶箱（網站未列地圖）；金甲讚端午香囊（網站未列地圖）；沒世天可汗（虛空渦心）；墟漠矮靈（終末之塔第39層）</x:t>
        </x:is>
      </x:c>
    </x:row>
    <x:row r="3782" ht="15" customHeight="1">
      <x:c r="A3782" s="55" t="str">
        <x:v>極惡噬運魔戒</x:v>
      </x:c>
      <x:c r="B3782" s="55" t="str">
        <x:v>—</x:v>
      </x:c>
      <x:c r="C3782" s="55" t="str">
        <x:v>—</x:v>
      </x:c>
      <x:c r="D3782" s="55" t="str">
        <x:v>—</x:v>
      </x:c>
      <x:c r="E3782" s="55" t="inlineStr">
        <x:is>
          <x:t>&lt;修羅魔君&gt;（修羅級魔君天都）；完銷紀念寶箱（網站未列地圖）</x:t>
        </x:is>
      </x:c>
    </x:row>
    <x:row r="3783" ht="15" customHeight="1">
      <x:c r="A3783" s="55" t="str">
        <x:v>極惡蝕元魔鍊</x:v>
      </x:c>
      <x:c r="B3783" s="55" t="str">
        <x:v>—</x:v>
      </x:c>
      <x:c r="C3783" s="55" t="str">
        <x:v>—</x:v>
      </x:c>
      <x:c r="D3783" s="55" t="str">
        <x:v>—</x:v>
      </x:c>
      <x:c r="E3783" s="55" t="inlineStr">
        <x:is>
          <x:t>&lt;修羅魔君&gt;（修羅級魔君天都）；完銷紀念寶箱（網站未列地圖）</x:t>
        </x:is>
      </x:c>
    </x:row>
    <x:row r="3784" ht="30" customHeight="1">
      <x:c r="A3784" s="55" t="str">
        <x:v>超聖玄武之心</x:v>
      </x:c>
      <x:c r="B3784" s="55" t="str">
        <x:v>—</x:v>
      </x:c>
      <x:c r="C3784" s="55" t="str">
        <x:v>—</x:v>
      </x:c>
      <x:c r="D3784" s="55" t="str">
        <x:v>—</x:v>
      </x:c>
      <x:c r="E3784" s="55" t="inlineStr">
        <x:is>
          <x:t>超四聖真心錦囊（網站未列地圖）；虛空寶箱（網站未列地圖）；漠影翼蛇（古翰大沙漠）；殉王木乃伊（赫勒神殿遺址）</x:t>
        </x:is>
      </x:c>
    </x:row>
    <x:row r="3785" ht="15" customHeight="1">
      <x:c r="A3785" s="55" t="str">
        <x:v>超聖白虎之心</x:v>
      </x:c>
      <x:c r="B3785" s="55" t="str">
        <x:v>—</x:v>
      </x:c>
      <x:c r="C3785" s="55" t="str">
        <x:v>—</x:v>
      </x:c>
      <x:c r="D3785" s="55" t="str">
        <x:v>—</x:v>
      </x:c>
      <x:c r="E3785" s="55" t="inlineStr">
        <x:is>
          <x:t>超四聖真心錦囊（網站未列地圖）；金甲久讚端午香囊（網站未列地圖）；凱布利（荷魯斯聖祠）</x:t>
        </x:is>
      </x:c>
    </x:row>
    <x:row r="3786" ht="30" customHeight="1">
      <x:c r="A3786" s="55" t="str">
        <x:v>超聖青龍之心</x:v>
      </x:c>
      <x:c r="B3786" s="55" t="str">
        <x:v>—</x:v>
      </x:c>
      <x:c r="C3786" s="55" t="str">
        <x:v>—</x:v>
      </x:c>
      <x:c r="D3786" s="55" t="str">
        <x:v>—</x:v>
      </x:c>
      <x:c r="E3786" s="55" t="inlineStr">
        <x:is>
          <x:t>超四聖真心錦囊（網站未列地圖）；彎刀河獸（太陽神大道）；神柱虛祭（終末之塔第59層）；畫蛇似蛟（終末之塔第49層、終末之塔第50層）</x:t>
        </x:is>
      </x:c>
    </x:row>
    <x:row r="3787" ht="15" customHeight="1">
      <x:c r="A3787" s="55" t="str">
        <x:v>超聖鳳凰之心</x:v>
      </x:c>
      <x:c r="B3787" s="55" t="str">
        <x:v>—</x:v>
      </x:c>
      <x:c r="C3787" s="55" t="str">
        <x:v>—</x:v>
      </x:c>
      <x:c r="D3787" s="55" t="str">
        <x:v>—</x:v>
      </x:c>
      <x:c r="E3787" s="55" t="inlineStr">
        <x:is>
          <x:t>超四聖真心錦囊（網站未列地圖）；金甲久讚端午香囊（網站未列地圖）；金斧皇將（托勒密山麓）</x:t>
        </x:is>
      </x:c>
    </x:row>
    <x:row r="3788" ht="45" customHeight="1">
      <x:c r="A3788" s="55" t="str">
        <x:v>擎陽不周戒</x:v>
      </x:c>
      <x:c r="B3788" s="55" t="str">
        <x:v>—</x:v>
      </x:c>
      <x:c r="C3788" s="55" t="str">
        <x:v>—</x:v>
      </x:c>
      <x:c r="D3788" s="55" t="str">
        <x:v>—</x:v>
      </x:c>
      <x:c r="E3788" s="55" t="inlineStr">
        <x:is>
          <x:t>麻辣中元福袋2017（網站未列地圖）；天冠善勝錦囊（網站未列地圖）；完銷紀念寶箱（網站未列地圖）；○仙露花精○（超七寶仙境　壹）；○岩羅角獸○（超七寶仙境　壹）；◎仙露花精◎（超七寶仙境　壹）；◎岩羅角獸◎（超七寶仙境　壹）；●仙露花精●（超七寶仙境　壹）；●岩羅角獸●（超七寶仙境　壹）</x:t>
        </x:is>
      </x:c>
    </x:row>
    <x:row r="3789" ht="75" customHeight="1">
      <x:c r="A3789" s="55" t="str">
        <x:v>御月常羲鍊</x:v>
      </x:c>
      <x:c r="B3789" s="55" t="str">
        <x:v>—</x:v>
      </x:c>
      <x:c r="C3789" s="55" t="str">
        <x:v>—</x:v>
      </x:c>
      <x:c r="D3789" s="55" t="str">
        <x:v>—</x:v>
      </x:c>
      <x:c r="E3789" s="55" t="inlineStr">
        <x:is>
          <x:t>麻辣中元福袋2017（網站未列地圖）；春日頂天錦囊（網站未列地圖）；粽夏劊手貝魯瑟斯（網站未列地圖）；地冠獨行錦囊（網站未列地圖）；完銷紀念寶箱（網站未列地圖）；金旺犬刮刮樂（網站未列地圖）；金犬刮刮樂（網站未列地圖）；○萬曆星將○（超七寶仙境　壹）；○來世象尊○（超七寶仙境　壹）；◎萬曆星將◎（超七寶仙境　壹）；◎來世象尊◎（超七寶仙境　壹）；●萬曆星將●（超七寶仙境　壹）；●來世象尊●（超七寶仙境　壹）；銀犬刮刮樂（網站未列地圖）</x:t>
        </x:is>
      </x:c>
    </x:row>
    <x:row r="3790" ht="45" customHeight="1">
      <x:c r="A3790" s="55" t="str">
        <x:v>絕聖玄武之心</x:v>
      </x:c>
      <x:c r="B3790" s="55" t="str">
        <x:v>—</x:v>
      </x:c>
      <x:c r="C3790" s="55" t="str">
        <x:v>—</x:v>
      </x:c>
      <x:c r="D3790" s="55" t="str">
        <x:v>—</x:v>
      </x:c>
      <x:c r="E3790" s="55" t="inlineStr">
        <x:is>
          <x:t>絕四聖真心錦囊（網站未列地圖）；夏日關頭錦囊（網站未列地圖）；春日頂天錦囊（網站未列地圖）；粽夏劊手貝魯瑟斯（網站未列地圖）；地冠獨行錦囊（網站未列地圖）；金旺犬刮刮樂（網站未列地圖）；金犬刮刮樂（網站未列地圖）；銀犬刮刮樂（網站未列地圖）</x:t>
        </x:is>
      </x:c>
    </x:row>
    <x:row r="3791" ht="15" customHeight="1">
      <x:c r="A3791" s="55" t="str">
        <x:v>絕聖白虎之心</x:v>
      </x:c>
      <x:c r="B3791" s="55" t="str">
        <x:v>—</x:v>
      </x:c>
      <x:c r="C3791" s="55" t="str">
        <x:v>—</x:v>
      </x:c>
      <x:c r="D3791" s="55" t="str">
        <x:v>—</x:v>
      </x:c>
      <x:c r="E3791" s="55" t="inlineStr">
        <x:is>
          <x:t>絕四聖真心錦囊（網站未列地圖）；夏風再起錦囊（網站未列地圖）</x:t>
        </x:is>
      </x:c>
    </x:row>
    <x:row r="3792" ht="15" customHeight="1">
      <x:c r="A3792" s="55" t="str">
        <x:v>絕聖青龍之心</x:v>
      </x:c>
      <x:c r="B3792" s="55" t="str">
        <x:v>—</x:v>
      </x:c>
      <x:c r="C3792" s="55" t="str">
        <x:v>—</x:v>
      </x:c>
      <x:c r="D3792" s="55" t="str">
        <x:v>—</x:v>
      </x:c>
      <x:c r="E3792" s="55" t="inlineStr">
        <x:is>
          <x:t>絕四聖真心錦囊（網站未列地圖）；夏京甩尾錦囊（網站未列地圖）</x:t>
        </x:is>
      </x:c>
    </x:row>
    <x:row r="3793" ht="15" customHeight="1">
      <x:c r="A3793" s="55" t="str">
        <x:v>絕聖鳳凰之心</x:v>
      </x:c>
      <x:c r="B3793" s="55" t="str">
        <x:v>—</x:v>
      </x:c>
      <x:c r="C3793" s="55" t="str">
        <x:v>—</x:v>
      </x:c>
      <x:c r="D3793" s="55" t="str">
        <x:v>—</x:v>
      </x:c>
      <x:c r="E3793" s="55" t="inlineStr">
        <x:is>
          <x:t>絕四聖真心錦囊（網站未列地圖）；天冠善勝錦囊（網站未列地圖）；元旦喜慶福箱（網站未列地圖）</x:t>
        </x:is>
      </x:c>
    </x:row>
    <x:row r="3794" ht="45" customHeight="1">
      <x:c r="A3794" s="55" t="str">
        <x:v>御妖戒‧八歧</x:v>
      </x:c>
      <x:c r="B3794" s="55" t="str">
        <x:v>—</x:v>
      </x:c>
      <x:c r="C3794" s="55" t="str">
        <x:v>—</x:v>
      </x:c>
      <x:c r="D3794" s="55" t="str">
        <x:v>—</x:v>
      </x:c>
      <x:c r="E3794" s="55" t="inlineStr">
        <x:is>
          <x:t>世紀縱橫錦囊（網站未列地圖）；侯氏兵甲福袋2018（網站未列地圖）；旺來獻吉福袋（網站未列地圖）；★萬曆星將★（極七寶仙境　壹）；★妙捷跳鼠★（極七寶仙境　壹）；☆萬曆星將☆（極七寶仙境　壹）；☆妙捷跳鼠☆（極七寶仙境　壹）；⊕萬曆星將⊕（極七寶仙境　壹）；⊕妙捷跳鼠⊕（極七寶仙境　壹）</x:t>
        </x:is>
      </x:c>
    </x:row>
    <x:row r="3795" ht="45" customHeight="1">
      <x:c r="A3795" s="55" t="str">
        <x:v>尋奇鍊‧洪荒</x:v>
      </x:c>
      <x:c r="B3795" s="55" t="str">
        <x:v>—</x:v>
      </x:c>
      <x:c r="C3795" s="55" t="str">
        <x:v>—</x:v>
      </x:c>
      <x:c r="D3795" s="55" t="str">
        <x:v>—</x:v>
      </x:c>
      <x:c r="E3795" s="55" t="inlineStr">
        <x:is>
          <x:t>侯氏兵甲福袋2018（網站未列地圖）；超神豬刮刮樂（網站未列地圖）；★霧隱忍武★（極七寶仙境　壹）；☆霧隱忍武☆（極七寶仙境　壹）；⊕霧隱忍武⊕（極七寶仙境　壹）；金豬刮刮樂（網站未列地圖）；銀豬刮刮樂（網站未列地圖）</x:t>
        </x:is>
      </x:c>
    </x:row>
    <x:row r="3796" ht="60" customHeight="1">
      <x:c r="A3796" s="55" t="str">
        <x:v>終‧六滅化神</x:v>
      </x:c>
      <x:c r="B3796" s="55" t="str">
        <x:v>—</x:v>
      </x:c>
      <x:c r="C3796" s="55" t="str">
        <x:v>—</x:v>
      </x:c>
      <x:c r="D3796" s="55" t="str">
        <x:v>—</x:v>
      </x:c>
      <x:c r="E3796" s="55" t="inlineStr">
        <x:is>
          <x:t>六滅化神大禮包（網站未列地圖）；天俠無限經典福袋（網站未列地圖）；終塔之寶（終末之塔第10層、終末之塔第16層）；黑市寶箱（網站未列地圖）；侯氏兵甲福袋2018（網站未列地圖）；○松齡聖龜○（超七寶仙境　壹）；○妙捷跳鼠○（超七寶仙境　壹）；◎松齡聖龜◎（超七寶仙境　壹）；◎妙捷跳鼠◎（超七寶仙境　壹）；●松齡聖龜●（超七寶仙境　壹）；●妙捷跳鼠●（超七寶仙境　壹）</x:t>
        </x:is>
      </x:c>
    </x:row>
    <x:row r="3797" ht="45" customHeight="1">
      <x:c r="A3797" s="55" t="str">
        <x:v>星龍珠★</x:v>
      </x:c>
      <x:c r="B3797" s="55" t="str">
        <x:v>—</x:v>
      </x:c>
      <x:c r="C3797" s="55" t="str">
        <x:v>—</x:v>
      </x:c>
      <x:c r="D3797" s="55" t="str">
        <x:v>—</x:v>
      </x:c>
      <x:c r="E3797" s="55" t="inlineStr">
        <x:is>
          <x:t>仙星劍裝錦囊（網站未列地圖）；仙星術裝錦囊（網站未列地圖）；仙星道裝錦囊（網站未列地圖）；仙星僧裝錦囊（網站未列地圖）；仙星勇裝錦囊（網站未列地圖）；沙漠矮靈（太陽神大道）；喚虛女巫（終末之塔第58層、終末之塔第59層）；神柱虛祭（終末之塔第59層）；畫蛇似蛟（終末之塔第49層、終末之塔第50層）</x:t>
        </x:is>
      </x:c>
    </x:row>
    <x:row r="3798" ht="60" customHeight="1">
      <x:c r="A3798" s="55" t="str">
        <x:v>星龍珠★★</x:v>
      </x:c>
      <x:c r="B3798" s="55" t="str">
        <x:v>—</x:v>
      </x:c>
      <x:c r="C3798" s="55" t="str">
        <x:v>—</x:v>
      </x:c>
      <x:c r="D3798" s="55" t="str">
        <x:v>—</x:v>
      </x:c>
      <x:c r="E3798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黃金風蛇（托勒密山麓）；無序燭陰（終末之塔第65層、終末之塔第66層）；九毒相柳（終末之塔第68層、終末之塔第69層）；咒殺修陀（終末之塔第63層、終末之塔第62層）</x:t>
        </x:is>
      </x:c>
    </x:row>
    <x:row r="3799" ht="45" customHeight="1">
      <x:c r="A3799" s="55" t="str">
        <x:v>星龍珠★★★</x:v>
      </x:c>
      <x:c r="B3799" s="55" t="str">
        <x:v>—</x:v>
      </x:c>
      <x:c r="C3799" s="55" t="str">
        <x:v>—</x:v>
      </x:c>
      <x:c r="D3799" s="55" t="str">
        <x:v>—</x:v>
      </x:c>
      <x:c r="E3799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尸薩滿（終末之塔第71層）；倒懸心魔（終末之塔第84層、終末之塔第85層）</x:t>
        </x:is>
      </x:c>
    </x:row>
    <x:row r="3800" ht="60" customHeight="1">
      <x:c r="A3800" s="55" t="str">
        <x:v>星虎披★</x:v>
      </x:c>
      <x:c r="B3800" s="55" t="str">
        <x:v>—</x:v>
      </x:c>
      <x:c r="C3800" s="55" t="str">
        <x:v>—</x:v>
      </x:c>
      <x:c r="D3800" s="55" t="str">
        <x:v>—</x:v>
      </x:c>
      <x:c r="E3800" s="55" t="inlineStr">
        <x:is>
          <x:t>仙星劍裝錦囊（網站未列地圖）；仙星術裝錦囊（網站未列地圖）；仙星道裝錦囊（網站未列地圖）；仙星僧裝錦囊（網站未列地圖）；仙星勇裝錦囊（網站未列地圖）；王都石工（太陽神大道）；虛無十字軍（終末之塔第51層、終末之塔第52層）；艾濟原人（終末之塔第52層、終末之塔第53層）；柱末腐豚（終末之塔第56層、終末之塔第57層）；挑羊點尖（終末之塔第49層）</x:t>
        </x:is>
      </x:c>
    </x:row>
    <x:row r="3801" ht="45" customHeight="1">
      <x:c r="A3801" s="55" t="str">
        <x:v>星虎披★★</x:v>
      </x:c>
      <x:c r="B3801" s="55" t="str">
        <x:v>—</x:v>
      </x:c>
      <x:c r="C3801" s="55" t="str">
        <x:v>—</x:v>
      </x:c>
      <x:c r="D3801" s="55" t="str">
        <x:v>—</x:v>
      </x:c>
      <x:c r="E3801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金斧皇將（托勒密山麓）；暴拳狌狌（終末之塔第64層、終末之塔第65層）；壯脂鑿齒（終末之塔第68層、終末之塔第67層）</x:t>
        </x:is>
      </x:c>
    </x:row>
    <x:row r="3802" ht="45" customHeight="1">
      <x:c r="A3802" s="55" t="str">
        <x:v>星虎披★★★</x:v>
      </x:c>
      <x:c r="B3802" s="55" t="str">
        <x:v>—</x:v>
      </x:c>
      <x:c r="C3802" s="55" t="str">
        <x:v>—</x:v>
      </x:c>
      <x:c r="D3802" s="55" t="str">
        <x:v>—</x:v>
      </x:c>
      <x:c r="E3802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虛行影虎（終末之塔第76層）；失序亂兵（終末之塔第85層、終末之塔第86層）</x:t>
        </x:is>
      </x:c>
    </x:row>
    <x:row r="3803" ht="45" customHeight="1">
      <x:c r="A3803" s="55" t="str">
        <x:v>星鳳徽★</x:v>
      </x:c>
      <x:c r="B3803" s="55" t="str">
        <x:v>—</x:v>
      </x:c>
      <x:c r="C3803" s="55" t="str">
        <x:v>—</x:v>
      </x:c>
      <x:c r="D3803" s="55" t="str">
        <x:v>—</x:v>
      </x:c>
      <x:c r="E3803" s="55" t="inlineStr">
        <x:is>
          <x:t>仙星劍裝錦囊（網站未列地圖）；仙星術裝錦囊（網站未列地圖）；仙星道裝錦囊（網站未列地圖）；仙星僧裝錦囊（網站未列地圖）；仙星勇裝錦囊（網站未列地圖）；烈日行蜴（古翰大沙漠）；護柱血爪（終末之塔第55層、終末之塔第56層）；霸虛雄獅（終末之塔第57層、終末之塔第58層）；尼絡暴獸（終末之塔第53層、終末之塔第54層）</x:t>
        </x:is>
      </x:c>
    </x:row>
    <x:row r="3804" ht="45" customHeight="1">
      <x:c r="A3804" s="55" t="str">
        <x:v>星鳳徽★★</x:v>
      </x:c>
      <x:c r="B3804" s="55" t="str">
        <x:v>—</x:v>
      </x:c>
      <x:c r="C3804" s="55" t="str">
        <x:v>—</x:v>
      </x:c>
      <x:c r="D3804" s="55" t="str">
        <x:v>—</x:v>
      </x:c>
      <x:c r="E3804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鎮祠蒼翼（托勒密山麓）；怒裂睚眥（終末之塔第66層、終末之塔第67層）；諸肢惡樓（終末之塔第69層）</x:t>
        </x:is>
      </x:c>
    </x:row>
    <x:row r="3805" ht="45" customHeight="1">
      <x:c r="A3805" s="55" t="str">
        <x:v>星鳳徽★★★</x:v>
      </x:c>
      <x:c r="B3805" s="55" t="str">
        <x:v>—</x:v>
      </x:c>
      <x:c r="C3805" s="55" t="str">
        <x:v>—</x:v>
      </x:c>
      <x:c r="D3805" s="55" t="str">
        <x:v>—</x:v>
      </x:c>
      <x:c r="E3805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虛行蜴魔（終末之塔第76層）；危盪弄臣（終末之塔第86層、終末之塔第87層）</x:t>
        </x:is>
      </x:c>
    </x:row>
    <x:row r="3806" ht="45" customHeight="1">
      <x:c r="A3806" s="55" t="str">
        <x:v>星玄卦★</x:v>
      </x:c>
      <x:c r="B3806" s="55" t="str">
        <x:v>—</x:v>
      </x:c>
      <x:c r="C3806" s="55" t="str">
        <x:v>—</x:v>
      </x:c>
      <x:c r="D3806" s="55" t="str">
        <x:v>—</x:v>
      </x:c>
      <x:c r="E3806" s="55" t="inlineStr">
        <x:is>
          <x:t>仙星劍裝錦囊（網站未列地圖）；仙星術裝錦囊（網站未列地圖）；仙星道裝錦囊（網站未列地圖）；仙星僧裝錦囊（網站未列地圖）；仙星勇裝錦囊（網站未列地圖）；木乃伊（古翰大沙漠）；虛無真知士（終末之塔第51層）；尼絡狂鱷（終末之塔第54層、終末之塔第55層）</x:t>
        </x:is>
      </x:c>
    </x:row>
    <x:row r="3807" ht="45" customHeight="1">
      <x:c r="A3807" s="55" t="str">
        <x:v>星玄卦★★</x:v>
      </x:c>
      <x:c r="B3807" s="55" t="str">
        <x:v>—</x:v>
      </x:c>
      <x:c r="C3807" s="55" t="str">
        <x:v>—</x:v>
      </x:c>
      <x:c r="D3807" s="55" t="str">
        <x:v>—</x:v>
      </x:c>
      <x:c r="E3807" s="55" t="inlineStr">
        <x:is>
          <x:t>真‧仙星劍裝錦囊（網站未列地圖）；真‧仙星術裝錦囊（網站未列地圖）；真‧仙星道裝錦囊（網站未列地圖）；真‧仙星僧裝錦囊（網站未列地圖）；真‧仙星勇裝錦囊（網站未列地圖）；荒山血獵（托勒密山麓）；碎魂金鬼（終末之塔第63層、終末之塔第64層）；砌塔石奴（終末之塔第61層、終末之塔第62層）</x:t>
        </x:is>
      </x:c>
    </x:row>
    <x:row r="3808" ht="45" customHeight="1">
      <x:c r="A3808" s="55" t="str">
        <x:v>星玄卦★★★</x:v>
      </x:c>
      <x:c r="B3808" s="55" t="str">
        <x:v>—</x:v>
      </x:c>
      <x:c r="C3808" s="55" t="str">
        <x:v>—</x:v>
      </x:c>
      <x:c r="D3808" s="55" t="str">
        <x:v>—</x:v>
      </x:c>
      <x:c r="E3808" s="55" t="inlineStr">
        <x:is>
          <x:t>超‧仙星劍裝錦囊（網站未列地圖）；超‧仙星術裝錦囊（網站未列地圖）；超‧仙星道裝錦囊（網站未列地圖）；超‧仙星僧裝錦囊（網站未列地圖）；超‧仙星勇裝錦囊（網站未列地圖）；木乃伊（終末之塔第71層）；迷竅幻鬼（終末之塔第83層、終末之塔第84層）</x:t>
        </x:is>
      </x:c>
    </x:row>
    <x:row r="3809" ht="15" customHeight="1">
      <x:c r="A3809" s="55" t="str">
        <x:v>三花聚頂聖玉</x:v>
      </x:c>
      <x:c r="B3809" s="55" t="str">
        <x:v>—</x:v>
      </x:c>
      <x:c r="C3809" s="55" t="str">
        <x:v>—</x:v>
      </x:c>
      <x:c r="D3809" s="55" t="str">
        <x:v>—</x:v>
      </x:c>
      <x:c r="E3809" s="55" t="inlineStr">
        <x:is>
          <x:t>夏風再起錦囊（網站未列地圖）；紫啼童魚（終末之塔第132層、終末之塔第131層）</x:t>
        </x:is>
      </x:c>
    </x:row>
    <x:row r="3810" ht="30" customHeight="1">
      <x:c r="A3810" s="55" t="str">
        <x:v>醍醐灌頂聖珮</x:v>
      </x:c>
      <x:c r="B3810" s="55" t="str">
        <x:v>—</x:v>
      </x:c>
      <x:c r="C3810" s="55" t="str">
        <x:v>—</x:v>
      </x:c>
      <x:c r="D3810" s="55" t="str">
        <x:v>—</x:v>
      </x:c>
      <x:c r="E3810" s="55" t="inlineStr">
        <x:is>
          <x:t>夏京甩尾錦囊（網站未列地圖）；淪劫尸骨（終末之塔第112層、終末之塔第118層、終末之塔第113層）；衛塔金獸（終末之塔第143層、終末之塔第146層）</x:t>
        </x:is>
      </x:c>
    </x:row>
    <x:row r="3811" ht="30" customHeight="1">
      <x:c r="A3811" s="55" t="str">
        <x:v>星聖玄武之心</x:v>
      </x:c>
      <x:c r="B3811" s="55" t="str">
        <x:v>—</x:v>
      </x:c>
      <x:c r="C3811" s="55" t="str">
        <x:v>—</x:v>
      </x:c>
      <x:c r="D3811" s="55" t="str">
        <x:v>—</x:v>
      </x:c>
      <x:c r="E3811" s="55" t="inlineStr">
        <x:is>
          <x:t>星六聖真心錦囊（網站未列地圖）；夏辰頂天錦囊（網站未列地圖）；終塔之寶&lt;II&gt;（終末之塔第20層、終末之塔第26層）</x:t>
        </x:is>
      </x:c>
    </x:row>
    <x:row r="3812" ht="15" customHeight="1">
      <x:c r="A3812" s="55" t="str">
        <x:v>星聖白虎之心</x:v>
      </x:c>
      <x:c r="B3812" s="55" t="str">
        <x:v>—</x:v>
      </x:c>
      <x:c r="C3812" s="55" t="str">
        <x:v>—</x:v>
      </x:c>
      <x:c r="D3812" s="55" t="str">
        <x:v>—</x:v>
      </x:c>
      <x:c r="E3812" s="55" t="inlineStr">
        <x:is>
          <x:t>星六聖真心錦囊（網站未列地圖）；超‧大秘境寶箱（網站未列地圖）；超大秘境寶箱（網站未列地圖）</x:t>
        </x:is>
      </x:c>
    </x:row>
    <x:row r="3813" ht="15" customHeight="1">
      <x:c r="A3813" s="55" t="str">
        <x:v>星聖青龍之心</x:v>
      </x:c>
      <x:c r="B3813" s="55" t="str">
        <x:v>—</x:v>
      </x:c>
      <x:c r="C3813" s="55" t="str">
        <x:v>—</x:v>
      </x:c>
      <x:c r="D3813" s="55" t="str">
        <x:v>—</x:v>
      </x:c>
      <x:c r="E3813" s="55" t="inlineStr">
        <x:is>
          <x:t>星六聖真心錦囊（網站未列地圖）</x:t>
        </x:is>
      </x:c>
    </x:row>
    <x:row r="3814" ht="15" customHeight="1">
      <x:c r="A3814" s="55" t="str">
        <x:v>星聖鳳凰之心</x:v>
      </x:c>
      <x:c r="B3814" s="55" t="str">
        <x:v>—</x:v>
      </x:c>
      <x:c r="C3814" s="55" t="str">
        <x:v>—</x:v>
      </x:c>
      <x:c r="D3814" s="55" t="str">
        <x:v>—</x:v>
      </x:c>
      <x:c r="E3814" s="55" t="inlineStr">
        <x:is>
          <x:t>星六聖真心錦囊（網站未列地圖）；夏星創世錦囊（網站未列地圖）</x:t>
        </x:is>
      </x:c>
    </x:row>
    <x:row r="3815" ht="30" customHeight="1">
      <x:c r="A3815" s="55" t="str">
        <x:v>星聖麒麟之心</x:v>
      </x:c>
      <x:c r="B3815" s="55" t="str">
        <x:v>—</x:v>
      </x:c>
      <x:c r="C3815" s="55" t="str">
        <x:v>—</x:v>
      </x:c>
      <x:c r="D3815" s="55" t="str">
        <x:v>—</x:v>
      </x:c>
      <x:c r="E3815" s="55" t="inlineStr">
        <x:is>
          <x:t>星六聖真心錦囊（網站未列地圖）；夏時無敵錦囊（網站未列地圖）；世紀縱橫錦囊（網站未列地圖）；超神豬刮刮樂（網站未列地圖）；金豬刮刮樂（網站未列地圖）；銀豬刮刮樂（網站未列地圖）</x:t>
        </x:is>
      </x:c>
    </x:row>
    <x:row r="3816" ht="15" customHeight="1">
      <x:c r="A3816" s="55" t="str">
        <x:v>星聖螣蛇之心</x:v>
      </x:c>
      <x:c r="B3816" s="55" t="str">
        <x:v>—</x:v>
      </x:c>
      <x:c r="C3816" s="55" t="str">
        <x:v>—</x:v>
      </x:c>
      <x:c r="D3816" s="55" t="str">
        <x:v>—</x:v>
      </x:c>
      <x:c r="E3816" s="55" t="inlineStr">
        <x:is>
          <x:t>星六聖真心錦囊（網站未列地圖）；超‧大秘境寶箱（網站未列地圖）；超大秘境寶箱（網站未列地圖）</x:t>
        </x:is>
      </x:c>
    </x:row>
    <x:row r="3817" ht="15" customHeight="1">
      <x:c r="A3817" s="55" t="str">
        <x:v>真仙氣聚納環</x:v>
      </x:c>
      <x:c r="B3817" s="55" t="str">
        <x:v>—</x:v>
      </x:c>
      <x:c r="C3817" s="55" t="str">
        <x:v>—</x:v>
      </x:c>
      <x:c r="D3817" s="55" t="str">
        <x:v>—</x:v>
      </x:c>
      <x:c r="E3817" s="55" t="inlineStr">
        <x:is>
          <x:t>諸星報喜福袋（網站未列地圖）；猛爆毒麟（終末之塔第101層、終末之塔第102層）</x:t>
        </x:is>
      </x:c>
    </x:row>
    <x:row r="3818" ht="30" customHeight="1">
      <x:c r="A3818" s="55" t="str">
        <x:v>麗環布里希嘉</x:v>
      </x:c>
      <x:c r="B3818" s="55" t="str">
        <x:v>—</x:v>
      </x:c>
      <x:c r="C3818" s="55" t="str">
        <x:v>—</x:v>
      </x:c>
      <x:c r="D3818" s="55" t="str">
        <x:v>—</x:v>
      </x:c>
      <x:c r="E3818" s="55" t="inlineStr">
        <x:is>
          <x:t>侯氏兵甲福袋2019（網站未列地圖）；樂福忘憂袋2019（網站未列地圖）；黃金鼠刮刮樂（網站未列地圖）；金鼠刮刮樂（網站未列地圖）；鼠寶刮刮樂（網站未列地圖）</x:t>
        </x:is>
      </x:c>
    </x:row>
    <x:row r="3819" ht="30" customHeight="1">
      <x:c r="A3819" s="55" t="str">
        <x:v>豐戒德羅普尼</x:v>
      </x:c>
      <x:c r="B3819" s="55" t="str">
        <x:v>—</x:v>
      </x:c>
      <x:c r="C3819" s="55" t="str">
        <x:v>—</x:v>
      </x:c>
      <x:c r="D3819" s="55" t="str">
        <x:v>—</x:v>
      </x:c>
      <x:c r="E3819" s="55" t="inlineStr">
        <x:is>
          <x:t>侯氏兵甲福袋2019（網站未列地圖）；諸星報喜福袋（網站未列地圖）；極‧大秘境寶箱（網站未列地圖）；極大秘境寶箱（網站未列地圖）</x:t>
        </x:is>
      </x:c>
    </x:row>
    <x:row r="3820" ht="45" customHeight="1">
      <x:c r="A3820" s="55" t="str">
        <x:v>創‧六滅化神</x:v>
      </x:c>
      <x:c r="B3820" s="55" t="str">
        <x:v>—</x:v>
      </x:c>
      <x:c r="C3820" s="55" t="str">
        <x:v>—</x:v>
      </x:c>
      <x:c r="D3820" s="55" t="str">
        <x:v>—</x:v>
      </x:c>
      <x:c r="E3820" s="55" t="inlineStr">
        <x:is>
          <x:t>六滅化神大禮包（網站未列地圖）；仙星紀念經典福袋（網站未列地圖）；夏時無敵錦囊（網站未列地圖）；侯氏兵甲福袋2019（網站未列地圖）；極‧大秘境寶箱（網站未列地圖）；極大秘境寶箱（網站未列地圖）；通寶院珍寶箱（網站未列地圖）</x:t>
        </x:is>
      </x:c>
    </x:row>
    <x:row r="3821" ht="15" customHeight="1">
      <x:c r="A3821" s="55" t="str">
        <x:v>創‧七宗神愆</x:v>
      </x:c>
      <x:c r="B3821" s="55" t="str">
        <x:v>—</x:v>
      </x:c>
      <x:c r="C3821" s="55" t="str">
        <x:v>—</x:v>
      </x:c>
      <x:c r="D3821" s="55" t="str">
        <x:v>—</x:v>
      </x:c>
      <x:c r="E3821" s="55" t="inlineStr">
        <x:is>
          <x:t>—</x:t>
        </x:is>
      </x:c>
    </x:row>
    <x:row r="3822" ht="30" customHeight="1">
      <x:c r="A3822" s="55" t="str">
        <x:v>火煌珠☆</x:v>
      </x:c>
      <x:c r="B3822" s="55" t="str">
        <x:v>—</x:v>
      </x:c>
      <x:c r="C3822" s="55" t="str">
        <x:v>—</x:v>
      </x:c>
      <x:c r="D3822" s="55" t="str">
        <x:v>—</x:v>
      </x:c>
      <x:c r="E3822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23" ht="45" customHeight="1">
      <x:c r="A3823" s="55" t="str">
        <x:v>火煌珠☆☆</x:v>
      </x:c>
      <x:c r="B3823" s="55" t="str">
        <x:v>—</x:v>
      </x:c>
      <x:c r="C3823" s="55" t="str">
        <x:v>—</x:v>
      </x:c>
      <x:c r="D3823" s="55" t="str">
        <x:v>—</x:v>
      </x:c>
      <x:c r="E3823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鼠錢手軟寶箱（網站未列地圖）；西校精衛（皇城）</x:t>
        </x:is>
      </x:c>
    </x:row>
    <x:row r="3824" ht="30" customHeight="1">
      <x:c r="A3824" s="55" t="str">
        <x:v>火煌珠☆☆☆</x:v>
      </x:c>
      <x:c r="B3824" s="55" t="str">
        <x:v>—</x:v>
      </x:c>
      <x:c r="C3824" s="55" t="str">
        <x:v>—</x:v>
      </x:c>
      <x:c r="D3824" s="55" t="str">
        <x:v>—</x:v>
      </x:c>
      <x:c r="E3824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校場精衛（東校場）</x:t>
        </x:is>
      </x:c>
    </x:row>
    <x:row r="3825" ht="30" customHeight="1">
      <x:c r="A3825" s="55" t="str">
        <x:v>水煌珠☆</x:v>
      </x:c>
      <x:c r="B3825" s="55" t="str">
        <x:v>—</x:v>
      </x:c>
      <x:c r="C3825" s="55" t="str">
        <x:v>—</x:v>
      </x:c>
      <x:c r="D3825" s="55" t="str">
        <x:v>—</x:v>
      </x:c>
      <x:c r="E3825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26" ht="30" customHeight="1">
      <x:c r="A3826" s="55" t="str">
        <x:v>水煌珠☆☆</x:v>
      </x:c>
      <x:c r="B3826" s="55" t="str">
        <x:v>—</x:v>
      </x:c>
      <x:c r="C3826" s="55" t="str">
        <x:v>—</x:v>
      </x:c>
      <x:c r="D3826" s="55" t="str">
        <x:v>—</x:v>
      </x:c>
      <x:c r="E3826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真‧煌星劍裝錦囊（網站未列地圖）；真‧煌星術裝錦囊（網站未列地圖）；真‧煌星道裝錦囊（網站未列地圖）；真‧煌星僧裝錦囊（網站未列地圖）；真‧煌星勇裝錦囊（網站未列地圖）；西校鎮軍（皇城）</x:t>
        </x:is>
      </x:c>
    </x:row>
    <x:row r="3827" ht="30" customHeight="1">
      <x:c r="A3827" s="55" t="str">
        <x:v>水煌珠☆☆☆</x:v>
      </x:c>
      <x:c r="B3827" s="55" t="str">
        <x:v>—</x:v>
      </x:c>
      <x:c r="C3827" s="55" t="str">
        <x:v>—</x:v>
      </x:c>
      <x:c r="D3827" s="55" t="str">
        <x:v>—</x:v>
      </x:c>
      <x:c r="E3827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陣悍馬（東校場）</x:t>
        </x:is>
      </x:c>
    </x:row>
    <x:row r="3828" ht="30" customHeight="1">
      <x:c r="A3828" s="55" t="str">
        <x:v>風煌珠☆</x:v>
      </x:c>
      <x:c r="B3828" s="55" t="str">
        <x:v>—</x:v>
      </x:c>
      <x:c r="C3828" s="55" t="str">
        <x:v>—</x:v>
      </x:c>
      <x:c r="D3828" s="55" t="str">
        <x:v>—</x:v>
      </x:c>
      <x:c r="E3828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29" ht="30" customHeight="1">
      <x:c r="A3829" s="55" t="str">
        <x:v>風煌珠☆☆</x:v>
      </x:c>
      <x:c r="B3829" s="55" t="str">
        <x:v>—</x:v>
      </x:c>
      <x:c r="C3829" s="55" t="str">
        <x:v>—</x:v>
      </x:c>
      <x:c r="D3829" s="55" t="str">
        <x:v>—</x:v>
      </x:c>
      <x:c r="E3829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真‧煌星劍裝錦囊（網站未列地圖）；真‧煌星術裝錦囊（網站未列地圖）；真‧煌星道裝錦囊（網站未列地圖）；真‧煌星僧裝錦囊（網站未列地圖）；真‧煌星勇裝錦囊（網站未列地圖）；東校精衛（皇城）</x:t>
        </x:is>
      </x:c>
    </x:row>
    <x:row r="3830" ht="30" customHeight="1">
      <x:c r="A3830" s="55" t="str">
        <x:v>風煌珠☆☆☆</x:v>
      </x:c>
      <x:c r="B3830" s="55" t="str">
        <x:v>—</x:v>
      </x:c>
      <x:c r="C3830" s="55" t="str">
        <x:v>—</x:v>
      </x:c>
      <x:c r="D3830" s="55" t="str">
        <x:v>—</x:v>
      </x:c>
      <x:c r="E3830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陣獵鷹（東校場）；東陣黑豹（東校場）</x:t>
        </x:is>
      </x:c>
    </x:row>
    <x:row r="3831" ht="30" customHeight="1">
      <x:c r="A3831" s="55" t="str">
        <x:v>地煌珠☆</x:v>
      </x:c>
      <x:c r="B3831" s="55" t="str">
        <x:v>—</x:v>
      </x:c>
      <x:c r="C3831" s="55" t="str">
        <x:v>—</x:v>
      </x:c>
      <x:c r="D3831" s="55" t="str">
        <x:v>—</x:v>
      </x:c>
      <x:c r="E3831" s="55" t="inlineStr">
        <x:is>
          <x:t>煌星劍裝錦囊（網站未列地圖）；煌星術裝錦囊（網站未列地圖）；煌星道裝錦囊（網站未列地圖）；煌星僧裝錦囊（網站未列地圖）；煌星勇裝錦囊（網站未列地圖）</x:t>
        </x:is>
      </x:c>
    </x:row>
    <x:row r="3832" ht="30" customHeight="1">
      <x:c r="A3832" s="55" t="str">
        <x:v>地煌珠☆☆</x:v>
      </x:c>
      <x:c r="B3832" s="55" t="str">
        <x:v>—</x:v>
      </x:c>
      <x:c r="C3832" s="55" t="str">
        <x:v>—</x:v>
      </x:c>
      <x:c r="D3832" s="55" t="str">
        <x:v>—</x:v>
      </x:c>
      <x:c r="E3832" s="55" t="inlineStr">
        <x:is>
          <x:t>真‧煌星劍裝錦囊（網站未列地圖）；真‧煌星術裝錦囊（網站未列地圖）；真‧煌星道裝錦囊（網站未列地圖）；真‧煌星僧裝錦囊（網站未列地圖）；真‧煌星勇裝錦囊（網站未列地圖）；東校鎮軍（皇城）</x:t>
        </x:is>
      </x:c>
    </x:row>
    <x:row r="3833" ht="30" customHeight="1">
      <x:c r="A3833" s="55" t="str">
        <x:v>地煌珠☆☆☆</x:v>
      </x:c>
      <x:c r="B3833" s="55" t="str">
        <x:v>—</x:v>
      </x:c>
      <x:c r="C3833" s="55" t="str">
        <x:v>—</x:v>
      </x:c>
      <x:c r="D3833" s="55" t="str">
        <x:v>—</x:v>
      </x:c>
      <x:c r="E3833" s="55" t="inlineStr">
        <x:is>
          <x:t>超‧煌星劍裝錦囊（網站未列地圖）；超‧煌星術裝錦囊（網站未列地圖）；超‧煌星道裝錦囊（網站未列地圖）；超‧煌星僧裝錦囊（網站未列地圖）；超‧煌星勇裝錦囊（網站未列地圖）；東校場鎮軍（東校場）</x:t>
        </x:is>
      </x:c>
    </x:row>
    <x:row r="3834" ht="30" customHeight="1">
      <x:c r="A3834" s="55" t="str">
        <x:v>真三花聚頂玉</x:v>
      </x:c>
      <x:c r="B3834" s="55" t="str">
        <x:v>—</x:v>
      </x:c>
      <x:c r="C3834" s="55" t="str">
        <x:v>—</x:v>
      </x:c>
      <x:c r="D3834" s="55" t="str">
        <x:v>—</x:v>
      </x:c>
      <x:c r="E3834" s="55" t="inlineStr">
        <x:is>
          <x:t>侯氏兵甲福袋2019（網站未列地圖）；真‧大秘境寶箱（網站未列地圖）；真大秘境寶箱（網站未列地圖）；銀豬刮刮樂（網站未列地圖）</x:t>
        </x:is>
      </x:c>
    </x:row>
    <x:row r="3835" ht="30" customHeight="1">
      <x:c r="A3835" s="55" t="str">
        <x:v>真醍醐灌頂珮</x:v>
      </x:c>
      <x:c r="B3835" s="55" t="str">
        <x:v>—</x:v>
      </x:c>
      <x:c r="C3835" s="55" t="str">
        <x:v>—</x:v>
      </x:c>
      <x:c r="D3835" s="55" t="str">
        <x:v>—</x:v>
      </x:c>
      <x:c r="E3835" s="55" t="inlineStr">
        <x:is>
          <x:t>侯氏兵甲福袋2019（網站未列地圖）；真‧大秘境寶箱（網站未列地圖）；真大秘境寶箱（網站未列地圖）；豬公刮刮樂（網站未列地圖）</x:t>
        </x:is>
      </x:c>
    </x:row>
    <x:row r="3836" ht="15" customHeight="1">
      <x:c r="A3836" s="55" t="str">
        <x:v>超仙氣聚納環</x:v>
      </x:c>
      <x:c r="B3836" s="55" t="str">
        <x:v>—</x:v>
      </x:c>
      <x:c r="C3836" s="55" t="str">
        <x:v>—</x:v>
      </x:c>
      <x:c r="D3836" s="55" t="str">
        <x:v>—</x:v>
      </x:c>
      <x:c r="E3836" s="55" t="inlineStr">
        <x:is>
          <x:t>—</x:t>
        </x:is>
      </x:c>
    </x:row>
    <x:row r="3837" ht="30" customHeight="1">
      <x:c r="A3837" s="55" t="str">
        <x:v>翼世玄武之心</x:v>
      </x:c>
      <x:c r="B3837" s="55" t="str">
        <x:v>—</x:v>
      </x:c>
      <x:c r="C3837" s="55" t="str">
        <x:v>—</x:v>
      </x:c>
      <x:c r="D3837" s="55" t="str">
        <x:v>—</x:v>
      </x:c>
      <x:c r="E3837" s="55" t="inlineStr">
        <x:is>
          <x:t>翼六聖真心錦囊（網站未列地圖）；麻辣天罪錦囊（網站未列地圖）；端午道儀香包（網站未列地圖）；超‧大秘境寶箱（網站未列地圖）</x:t>
        </x:is>
      </x:c>
    </x:row>
    <x:row r="3838" ht="15" customHeight="1">
      <x:c r="A3838" s="55" t="str">
        <x:v>翼世白虎之心</x:v>
      </x:c>
      <x:c r="B3838" s="55" t="str">
        <x:v>—</x:v>
      </x:c>
      <x:c r="C3838" s="55" t="str">
        <x:v>—</x:v>
      </x:c>
      <x:c r="D3838" s="55" t="str">
        <x:v>—</x:v>
      </x:c>
      <x:c r="E3838" s="55" t="inlineStr">
        <x:is>
          <x:t>翼六聖真心錦囊（網站未列地圖）；終塔之寶&lt;VII&gt;（終末之塔第70層、終末之塔第71層）</x:t>
        </x:is>
      </x:c>
    </x:row>
    <x:row r="3839" ht="15" customHeight="1">
      <x:c r="A3839" s="55" t="str">
        <x:v>翼世青龍之心</x:v>
      </x:c>
      <x:c r="B3839" s="55" t="str">
        <x:v>—</x:v>
      </x:c>
      <x:c r="C3839" s="55" t="str">
        <x:v>—</x:v>
      </x:c>
      <x:c r="D3839" s="55" t="str">
        <x:v>—</x:v>
      </x:c>
      <x:c r="E3839" s="55" t="inlineStr">
        <x:is>
          <x:t>翼六聖真心錦囊（網站未列地圖）</x:t>
        </x:is>
      </x:c>
    </x:row>
    <x:row r="3840" ht="15" customHeight="1">
      <x:c r="A3840" s="55" t="str">
        <x:v>翼世鳳凰之心</x:v>
      </x:c>
      <x:c r="B3840" s="55" t="str">
        <x:v>—</x:v>
      </x:c>
      <x:c r="C3840" s="55" t="str">
        <x:v>—</x:v>
      </x:c>
      <x:c r="D3840" s="55" t="str">
        <x:v>—</x:v>
      </x:c>
      <x:c r="E3840" s="55" t="inlineStr">
        <x:is>
          <x:t>翼六聖真心錦囊（網站未列地圖）</x:t>
        </x:is>
      </x:c>
    </x:row>
    <x:row r="3841" ht="45" customHeight="1">
      <x:c r="A3841" s="55" t="str">
        <x:v>翼世麒麟之心</x:v>
      </x:c>
      <x:c r="B3841" s="55" t="str">
        <x:v>—</x:v>
      </x:c>
      <x:c r="C3841" s="55" t="str">
        <x:v>—</x:v>
      </x:c>
      <x:c r="D3841" s="55" t="str">
        <x:v>—</x:v>
      </x:c>
      <x:c r="E3841" s="55" t="inlineStr">
        <x:is>
          <x:t>翼六聖真心錦囊（網站未列地圖）；真‧太陽神典錦囊（網站未列地圖）；罪赦僧侶錦囊（網站未列地圖）；終罪僧侶錦囊（網站未列地圖）；大秘境寶箱（網站未列地圖）；黃金鼠刮刮樂（網站未列地圖）；金鼠刮刮樂（網站未列地圖）；鼠寶刮刮樂（網站未列地圖）</x:t>
        </x:is>
      </x:c>
    </x:row>
    <x:row r="3842" ht="30" customHeight="1">
      <x:c r="A3842" s="55" t="str">
        <x:v>翼世螣蛇之心</x:v>
      </x:c>
      <x:c r="B3842" s="55" t="str">
        <x:v>—</x:v>
      </x:c>
      <x:c r="C3842" s="55" t="str">
        <x:v>—</x:v>
      </x:c>
      <x:c r="D3842" s="55" t="str">
        <x:v>—</x:v>
      </x:c>
      <x:c r="E3842" s="55" t="inlineStr">
        <x:is>
          <x:t>翼六聖真心錦囊（網站未列地圖）；法皇罪裁錦囊（網站未列地圖）；冥府艷后克麗邁絲（神王金字塔）；艾濟神王寶箱（網站未列地圖）</x:t>
        </x:is>
      </x:c>
    </x:row>
    <x:row r="3843" ht="15" customHeight="1">
      <x:c r="A3843" s="55" t="str">
        <x:v>太陽神翼‧拉</x:v>
      </x:c>
      <x:c r="B3843" s="55" t="str">
        <x:v>—</x:v>
      </x:c>
      <x:c r="C3843" s="55" t="str">
        <x:v>—</x:v>
      </x:c>
      <x:c r="D3843" s="55" t="str">
        <x:v>—</x:v>
      </x:c>
      <x:c r="E3843" s="55" t="inlineStr">
        <x:is>
          <x:t>侯氏兵甲福袋2020（網站未列地圖）；麻辣天罪錦囊（網站未列地圖）</x:t>
        </x:is>
      </x:c>
    </x:row>
    <x:row r="3844" ht="60" customHeight="1">
      <x:c r="A3844" s="55" t="str">
        <x:v>聰慧神碑‧舒</x:v>
      </x:c>
      <x:c r="B3844" s="55" t="str">
        <x:v>—</x:v>
      </x:c>
      <x:c r="C3844" s="55" t="str">
        <x:v>—</x:v>
      </x:c>
      <x:c r="D3844" s="55" t="str">
        <x:v>—</x:v>
      </x:c>
      <x:c r="E3844" s="55" t="inlineStr">
        <x:is>
          <x:t>侯氏兵甲福袋2020（網站未列地圖）；麻辣艾濟錦囊（網站未列地圖）；極‧大秘境寶箱（網站未列地圖）；絕七寶仙境寶箱（網站未列地圖）；◥仙露花精◤（絕七寶仙境　參）；◥問頂仙龍◤（絕七寶仙境　參）；◢仙露花精◣（絕七寶仙境　參）；◢問頂仙龍◣（絕七寶仙境　參）；▓仙露花精▓（絕七寶仙境　參）；▓問頂仙龍▓（絕七寶仙境　參）</x:t>
        </x:is>
      </x:c>
    </x:row>
    <x:row r="3845" ht="75" customHeight="1">
      <x:c r="A3845" s="55" t="str">
        <x:v>星‧六滅化神</x:v>
      </x:c>
      <x:c r="B3845" s="55" t="str">
        <x:v>—</x:v>
      </x:c>
      <x:c r="C3845" s="55" t="str">
        <x:v>—</x:v>
      </x:c>
      <x:c r="D3845" s="55" t="str">
        <x:v>—</x:v>
      </x:c>
      <x:c r="E3845" s="55" t="inlineStr">
        <x:is>
          <x:t>煌星戰憶經典福袋（網站未列地圖）；六滅化神大禮包（網站未列地圖）；真‧太陽神典錦囊（網站未列地圖）；侯氏兵甲福袋2020（網站未列地圖）；終塔之寶&lt;VI&gt;（終末之塔第60層、終末之塔第65層）；極‧大秘境寶箱（網站未列地圖）；端午天師寶箱（網站未列地圖）；真‧大秘境寶箱（網站未列地圖）；鎮國黑虎騎（藏意武窟）；★幻月銀狼★（極七寶仙境　壹）；★岩羅角獸★（極七寶仙境　壹）；☆幻月銀狼☆（極七寶仙境　壹）；☆岩羅角獸☆（極七寶仙境　壹）；⊕幻月銀狼⊕（極七寶仙境　壹）；⊕岩羅角獸⊕（極七寶仙境　壹）</x:t>
        </x:is>
      </x:c>
    </x:row>
    <x:row r="3846" ht="15" customHeight="1">
      <x:c r="A3846" s="55" t="str">
        <x:v>星‧七宗神愆</x:v>
      </x:c>
      <x:c r="B3846" s="55" t="str">
        <x:v>—</x:v>
      </x:c>
      <x:c r="C3846" s="55" t="str">
        <x:v>—</x:v>
      </x:c>
      <x:c r="D3846" s="55" t="str">
        <x:v>—</x:v>
      </x:c>
      <x:c r="E3846" s="55" t="inlineStr">
        <x:is>
          <x:t>—</x:t>
        </x:is>
      </x:c>
    </x:row>
    <x:row r="3847" ht="30" customHeight="1">
      <x:c r="A3847" s="55" t="str">
        <x:v>宇帝珮☆</x:v>
      </x:c>
      <x:c r="B3847" s="55" t="str">
        <x:v>—</x:v>
      </x:c>
      <x:c r="C3847" s="55" t="str">
        <x:v>—</x:v>
      </x:c>
      <x:c r="D3847" s="55" t="str">
        <x:v>—</x:v>
      </x:c>
      <x:c r="E3847" s="55" t="inlineStr">
        <x:is>
          <x:t>帝星劍裝錦囊（網站未列地圖）；帝星術裝錦囊（網站未列地圖）；帝星道裝錦囊（網站未列地圖）；帝星僧裝錦囊（網站未列地圖）；帝星勇裝錦囊（網站未列地圖）；黑水潭俠宗（西校場）；黑水潭俠宗（西校場）</x:t>
        </x:is>
      </x:c>
    </x:row>
    <x:row r="3848" ht="30" customHeight="1">
      <x:c r="A3848" s="55" t="str">
        <x:v>宇帝珮★</x:v>
      </x:c>
      <x:c r="B3848" s="55" t="str">
        <x:v>—</x:v>
      </x:c>
      <x:c r="C3848" s="55" t="str">
        <x:v>—</x:v>
      </x:c>
      <x:c r="D3848" s="55" t="str">
        <x:v>—</x:v>
      </x:c>
      <x:c r="E3848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征疆弓手（山海長疆、齊襄道、太安道）</x:t>
        </x:is>
      </x:c>
    </x:row>
    <x:row r="3849" ht="30" customHeight="1">
      <x:c r="A3849" s="55" t="str">
        <x:v>宇帝珮★☆</x:v>
      </x:c>
      <x:c r="B3849" s="55" t="str">
        <x:v>—</x:v>
      </x:c>
      <x:c r="C3849" s="55" t="str">
        <x:v>—</x:v>
      </x:c>
      <x:c r="D3849" s="55" t="str">
        <x:v>—</x:v>
      </x:c>
      <x:c r="E3849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50" ht="30" customHeight="1">
      <x:c r="A3850" s="55" t="str">
        <x:v>宇帝珮★★</x:v>
      </x:c>
      <x:c r="B3850" s="55" t="str">
        <x:v>—</x:v>
      </x:c>
      <x:c r="C3850" s="55" t="str">
        <x:v>—</x:v>
      </x:c>
      <x:c r="D3850" s="55" t="str">
        <x:v>—</x:v>
      </x:c>
      <x:c r="E3850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</x:t>
        </x:is>
      </x:c>
    </x:row>
    <x:row r="3851" ht="30" customHeight="1">
      <x:c r="A3851" s="55" t="str">
        <x:v>宇帝珮★★☆</x:v>
      </x:c>
      <x:c r="B3851" s="55" t="str">
        <x:v>—</x:v>
      </x:c>
      <x:c r="C3851" s="55" t="str">
        <x:v>—</x:v>
      </x:c>
      <x:c r="D3851" s="55" t="str">
        <x:v>—</x:v>
      </x:c>
      <x:c r="E3851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52" ht="30" customHeight="1">
      <x:c r="A3852" s="55" t="str">
        <x:v>宇帝珮★★★</x:v>
      </x:c>
      <x:c r="B3852" s="55" t="str">
        <x:v>—</x:v>
      </x:c>
      <x:c r="C3852" s="55" t="str">
        <x:v>—</x:v>
      </x:c>
      <x:c r="D3852" s="55" t="str">
        <x:v>—</x:v>
      </x:c>
      <x:c r="E3852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53" ht="30" customHeight="1">
      <x:c r="A3853" s="55" t="str">
        <x:v>羲帝綴☆</x:v>
      </x:c>
      <x:c r="B3853" s="55" t="str">
        <x:v>—</x:v>
      </x:c>
      <x:c r="C3853" s="55" t="str">
        <x:v>—</x:v>
      </x:c>
      <x:c r="D3853" s="55" t="str">
        <x:v>—</x:v>
      </x:c>
      <x:c r="E3853" s="55" t="inlineStr">
        <x:is>
          <x:t>帝星劍裝錦囊（網站未列地圖）；帝星術裝錦囊（網站未列地圖）；帝星道裝錦囊（網站未列地圖）；帝星僧裝錦囊（網站未列地圖）；帝星勇裝錦囊（網站未列地圖）；踏雲頂俠宗（西校場）；踏雲頂俠宗（西校場）</x:t>
        </x:is>
      </x:c>
    </x:row>
    <x:row r="3854" ht="30" customHeight="1">
      <x:c r="A3854" s="55" t="str">
        <x:v>羲帝綴★</x:v>
      </x:c>
      <x:c r="B3854" s="55" t="str">
        <x:v>—</x:v>
      </x:c>
      <x:c r="C3854" s="55" t="str">
        <x:v>—</x:v>
      </x:c>
      <x:c r="D3854" s="55" t="str">
        <x:v>—</x:v>
      </x:c>
      <x:c r="E3854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征疆浪客（山海長疆、齊襄道、太安道）</x:t>
        </x:is>
      </x:c>
    </x:row>
    <x:row r="3855" ht="30" customHeight="1">
      <x:c r="A3855" s="55" t="str">
        <x:v>羲帝綴★☆</x:v>
      </x:c>
      <x:c r="B3855" s="55" t="str">
        <x:v>—</x:v>
      </x:c>
      <x:c r="C3855" s="55" t="str">
        <x:v>—</x:v>
      </x:c>
      <x:c r="D3855" s="55" t="str">
        <x:v>—</x:v>
      </x:c>
      <x:c r="E3855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56" ht="30" customHeight="1">
      <x:c r="A3856" s="55" t="str">
        <x:v>羲帝綴★★</x:v>
      </x:c>
      <x:c r="B3856" s="55" t="str">
        <x:v>—</x:v>
      </x:c>
      <x:c r="C3856" s="55" t="str">
        <x:v>—</x:v>
      </x:c>
      <x:c r="D3856" s="55" t="str">
        <x:v>—</x:v>
      </x:c>
      <x:c r="E3856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</x:t>
        </x:is>
      </x:c>
    </x:row>
    <x:row r="3857" ht="30" customHeight="1">
      <x:c r="A3857" s="55" t="str">
        <x:v>羲帝綴★★☆</x:v>
      </x:c>
      <x:c r="B3857" s="55" t="str">
        <x:v>—</x:v>
      </x:c>
      <x:c r="C3857" s="55" t="str">
        <x:v>—</x:v>
      </x:c>
      <x:c r="D3857" s="55" t="str">
        <x:v>—</x:v>
      </x:c>
      <x:c r="E3857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58" ht="30" customHeight="1">
      <x:c r="A3858" s="55" t="str">
        <x:v>羲帝綴★★★</x:v>
      </x:c>
      <x:c r="B3858" s="55" t="str">
        <x:v>—</x:v>
      </x:c>
      <x:c r="C3858" s="55" t="str">
        <x:v>—</x:v>
      </x:c>
      <x:c r="D3858" s="55" t="str">
        <x:v>—</x:v>
      </x:c>
      <x:c r="E3858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59" ht="30" customHeight="1">
      <x:c r="A3859" s="55" t="str">
        <x:v>慧帝戒☆</x:v>
      </x:c>
      <x:c r="B3859" s="55" t="str">
        <x:v>—</x:v>
      </x:c>
      <x:c r="C3859" s="55" t="str">
        <x:v>—</x:v>
      </x:c>
      <x:c r="D3859" s="55" t="str">
        <x:v>—</x:v>
      </x:c>
      <x:c r="E3859" s="55" t="inlineStr">
        <x:is>
          <x:t>帝星劍裝錦囊（網站未列地圖）；帝星術裝錦囊（網站未列地圖）；帝星道裝錦囊（網站未列地圖）；帝星僧裝錦囊（網站未列地圖）；帝星勇裝錦囊（網站未列地圖）；紫霞山俠宗（西校場）；紫霞山俠宗（西校場）</x:t>
        </x:is>
      </x:c>
    </x:row>
    <x:row r="3860" ht="30" customHeight="1">
      <x:c r="A3860" s="55" t="str">
        <x:v>慧帝戒★</x:v>
      </x:c>
      <x:c r="B3860" s="55" t="str">
        <x:v>—</x:v>
      </x:c>
      <x:c r="C3860" s="55" t="str">
        <x:v>—</x:v>
      </x:c>
      <x:c r="D3860" s="55" t="str">
        <x:v>—</x:v>
      </x:c>
      <x:c r="E3860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長疆細作（山海長疆）</x:t>
        </x:is>
      </x:c>
    </x:row>
    <x:row r="3861" ht="30" customHeight="1">
      <x:c r="A3861" s="55" t="str">
        <x:v>慧帝戒★☆</x:v>
      </x:c>
      <x:c r="B3861" s="55" t="str">
        <x:v>—</x:v>
      </x:c>
      <x:c r="C3861" s="55" t="str">
        <x:v>—</x:v>
      </x:c>
      <x:c r="D3861" s="55" t="str">
        <x:v>—</x:v>
      </x:c>
      <x:c r="E3861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62" ht="30" customHeight="1">
      <x:c r="A3862" s="55" t="str">
        <x:v>慧帝戒★★</x:v>
      </x:c>
      <x:c r="B3862" s="55" t="str">
        <x:v>—</x:v>
      </x:c>
      <x:c r="C3862" s="55" t="str">
        <x:v>—</x:v>
      </x:c>
      <x:c r="D3862" s="55" t="str">
        <x:v>—</x:v>
      </x:c>
      <x:c r="E3862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</x:t>
        </x:is>
      </x:c>
    </x:row>
    <x:row r="3863" ht="30" customHeight="1">
      <x:c r="A3863" s="55" t="str">
        <x:v>慧帝戒★★☆</x:v>
      </x:c>
      <x:c r="B3863" s="55" t="str">
        <x:v>—</x:v>
      </x:c>
      <x:c r="C3863" s="55" t="str">
        <x:v>—</x:v>
      </x:c>
      <x:c r="D3863" s="55" t="str">
        <x:v>—</x:v>
      </x:c>
      <x:c r="E3863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64" ht="30" customHeight="1">
      <x:c r="A3864" s="55" t="str">
        <x:v>慧帝戒★★★</x:v>
      </x:c>
      <x:c r="B3864" s="55" t="str">
        <x:v>—</x:v>
      </x:c>
      <x:c r="C3864" s="55" t="str">
        <x:v>—</x:v>
      </x:c>
      <x:c r="D3864" s="55" t="str">
        <x:v>—</x:v>
      </x:c>
      <x:c r="E3864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65" ht="30" customHeight="1">
      <x:c r="A3865" s="55" t="str">
        <x:v>大帝鎮☆</x:v>
      </x:c>
      <x:c r="B3865" s="55" t="str">
        <x:v>—</x:v>
      </x:c>
      <x:c r="C3865" s="55" t="str">
        <x:v>—</x:v>
      </x:c>
      <x:c r="D3865" s="55" t="str">
        <x:v>—</x:v>
      </x:c>
      <x:c r="E3865" s="55" t="inlineStr">
        <x:is>
          <x:t>帝星劍裝錦囊（網站未列地圖）；帝星術裝錦囊（網站未列地圖）；帝星道裝錦囊（網站未列地圖）；帝星僧裝錦囊（網站未列地圖）；帝星勇裝錦囊（網站未列地圖）；葬劍崖俠宗（西校場）；山林地俠宗（西校場）</x:t>
        </x:is>
      </x:c>
    </x:row>
    <x:row r="3866" ht="30" customHeight="1">
      <x:c r="A3866" s="55" t="str">
        <x:v>大帝鎮★</x:v>
      </x:c>
      <x:c r="B3866" s="55" t="str">
        <x:v>—</x:v>
      </x:c>
      <x:c r="C3866" s="55" t="str">
        <x:v>—</x:v>
      </x:c>
      <x:c r="D3866" s="55" t="str">
        <x:v>—</x:v>
      </x:c>
      <x:c r="E3866" s="55" t="inlineStr">
        <x:is>
          <x:t>真‧帝星劍裝錦囊（網站未列地圖）；真‧帝星術裝錦囊（網站未列地圖）；真‧帝星道裝錦囊（網站未列地圖）；真‧帝星僧裝錦囊（網站未列地圖）；真‧帝星勇裝錦囊（網站未列地圖）；征疆散兵（山海長疆、太安道）</x:t>
        </x:is>
      </x:c>
    </x:row>
    <x:row r="3867" ht="30" customHeight="1">
      <x:c r="A3867" s="55" t="str">
        <x:v>大帝鎮★☆</x:v>
      </x:c>
      <x:c r="B3867" s="55" t="str">
        <x:v>—</x:v>
      </x:c>
      <x:c r="C3867" s="55" t="str">
        <x:v>—</x:v>
      </x:c>
      <x:c r="D3867" s="55" t="str">
        <x:v>—</x:v>
      </x:c>
      <x:c r="E3867" s="55" t="inlineStr">
        <x:is>
          <x:t>超‧帝星劍裝錦囊（網站未列地圖）；超‧帝星術裝錦囊（網站未列地圖）；超‧帝星道裝錦囊（網站未列地圖）；超‧帝星僧裝錦囊（網站未列地圖）；超‧帝星勇裝錦囊（網站未列地圖）</x:t>
        </x:is>
      </x:c>
    </x:row>
    <x:row r="3868" ht="30" customHeight="1">
      <x:c r="A3868" s="55" t="str">
        <x:v>大帝鎮★★</x:v>
      </x:c>
      <x:c r="B3868" s="55" t="str">
        <x:v>—</x:v>
      </x:c>
      <x:c r="C3868" s="55" t="str">
        <x:v>—</x:v>
      </x:c>
      <x:c r="D3868" s="55" t="str">
        <x:v>—</x:v>
      </x:c>
      <x:c r="E3868" s="55" t="inlineStr">
        <x:is>
          <x:t>極‧帝星劍裝錦囊（網站未列地圖）；極‧帝星術裝錦囊（網站未列地圖）；極‧帝星道裝錦囊（網站未列地圖）；極‧帝星僧裝錦囊（網站未列地圖）；極‧帝星勇裝錦囊（網站未列地圖）；蒼狼重衛（齊襄道）</x:t>
        </x:is>
      </x:c>
    </x:row>
    <x:row r="3869" ht="30" customHeight="1">
      <x:c r="A3869" s="55" t="str">
        <x:v>大帝鎮★★☆</x:v>
      </x:c>
      <x:c r="B3869" s="55" t="str">
        <x:v>—</x:v>
      </x:c>
      <x:c r="C3869" s="55" t="str">
        <x:v>—</x:v>
      </x:c>
      <x:c r="D3869" s="55" t="str">
        <x:v>—</x:v>
      </x:c>
      <x:c r="E3869" s="55" t="inlineStr">
        <x:is>
          <x:t>絕‧帝星劍裝錦囊（網站未列地圖）；絕‧帝星術裝錦囊（網站未列地圖）；絕‧帝星道裝錦囊（網站未列地圖）；絕‧帝星僧裝錦囊（網站未列地圖）；絕‧帝星勇裝錦囊（網站未列地圖）</x:t>
        </x:is>
      </x:c>
    </x:row>
    <x:row r="3870" ht="30" customHeight="1">
      <x:c r="A3870" s="55" t="str">
        <x:v>大帝鎮★★★</x:v>
      </x:c>
      <x:c r="B3870" s="55" t="str">
        <x:v>—</x:v>
      </x:c>
      <x:c r="C3870" s="55" t="str">
        <x:v>—</x:v>
      </x:c>
      <x:c r="D3870" s="55" t="str">
        <x:v>—</x:v>
      </x:c>
      <x:c r="E3870" s="55" t="inlineStr">
        <x:is>
          <x:t>神‧帝星劍裝錦囊（網站未列地圖）；神‧帝星術裝錦囊（網站未列地圖）；神‧帝星道裝錦囊（網站未列地圖）；神‧帝星僧裝錦囊（網站未列地圖）；神‧帝星勇裝錦囊（網站未列地圖）</x:t>
        </x:is>
      </x:c>
    </x:row>
    <x:row r="3871" ht="15" customHeight="1">
      <x:c r="A3871" s="55" t="str">
        <x:v>超三花聚頂玉</x:v>
      </x:c>
      <x:c r="B3871" s="55" t="str">
        <x:v>—</x:v>
      </x:c>
      <x:c r="C3871" s="55" t="str">
        <x:v>—</x:v>
      </x:c>
      <x:c r="D3871" s="55" t="str">
        <x:v>—</x:v>
      </x:c>
      <x:c r="E3871" s="55" t="inlineStr">
        <x:is>
          <x:t>武神‧異神靈識（殘雲天境）；侯氏兵甲福袋2020（網站未列地圖）；太陽神典錦囊（網站未列地圖）</x:t>
        </x:is>
      </x:c>
    </x:row>
    <x:row r="3872" ht="30" customHeight="1">
      <x:c r="A3872" s="55" t="str">
        <x:v>超醍醐灌頂珮</x:v>
      </x:c>
      <x:c r="B3872" s="55" t="str">
        <x:v>—</x:v>
      </x:c>
      <x:c r="C3872" s="55" t="str">
        <x:v>—</x:v>
      </x:c>
      <x:c r="D3872" s="55" t="str">
        <x:v>—</x:v>
      </x:c>
      <x:c r="E3872" s="55" t="inlineStr">
        <x:is>
          <x:t>武神‧異神靈識（殘雲天境）；侯氏兵甲福袋2020（網站未列地圖）；法皇罪裁錦囊（網站未列地圖）；真‧大秘境寶箱（網站未列地圖）</x:t>
        </x:is>
      </x:c>
    </x:row>
    <x:row r="3873" ht="15" customHeight="1">
      <x:c r="A3873" s="55" t="str">
        <x:v>開皇玄武之心</x:v>
      </x:c>
      <x:c r="B3873" s="55" t="str">
        <x:v>—</x:v>
      </x:c>
      <x:c r="C3873" s="55" t="str">
        <x:v>—</x:v>
      </x:c>
      <x:c r="D3873" s="55" t="str">
        <x:v>—</x:v>
      </x:c>
      <x:c r="E3873" s="55" t="inlineStr">
        <x:is>
          <x:t>開皇六聖真心錦囊（網站未列地圖）；超‧大秘境寶箱（網站未列地圖）</x:t>
        </x:is>
      </x:c>
    </x:row>
    <x:row r="3874" ht="15" customHeight="1">
      <x:c r="A3874" s="55" t="str">
        <x:v>開皇白虎之心</x:v>
      </x:c>
      <x:c r="B3874" s="55" t="str">
        <x:v>—</x:v>
      </x:c>
      <x:c r="C3874" s="55" t="str">
        <x:v>—</x:v>
      </x:c>
      <x:c r="D3874" s="55" t="str">
        <x:v>—</x:v>
      </x:c>
      <x:c r="E3874" s="55" t="inlineStr">
        <x:is>
          <x:t>開皇六聖真心錦囊（網站未列地圖）；終塔之寶&lt;VIII&gt;（終末之塔第77層、終末之塔第85層）</x:t>
        </x:is>
      </x:c>
    </x:row>
    <x:row r="3875" ht="15" customHeight="1">
      <x:c r="A3875" s="55" t="str">
        <x:v>開皇青龍之心</x:v>
      </x:c>
      <x:c r="B3875" s="55" t="str">
        <x:v>—</x:v>
      </x:c>
      <x:c r="C3875" s="55" t="str">
        <x:v>—</x:v>
      </x:c>
      <x:c r="D3875" s="55" t="str">
        <x:v>—</x:v>
      </x:c>
      <x:c r="E3875" s="55" t="inlineStr">
        <x:is>
          <x:t>開皇六聖真心錦囊（網站未列地圖）</x:t>
        </x:is>
      </x:c>
    </x:row>
    <x:row r="3876" ht="15" customHeight="1">
      <x:c r="A3876" s="55" t="str">
        <x:v>開皇鳳凰之心</x:v>
      </x:c>
      <x:c r="B3876" s="55" t="str">
        <x:v>—</x:v>
      </x:c>
      <x:c r="C3876" s="55" t="str">
        <x:v>—</x:v>
      </x:c>
      <x:c r="D3876" s="55" t="str">
        <x:v>—</x:v>
      </x:c>
      <x:c r="E3876" s="55" t="inlineStr">
        <x:is>
          <x:t>開皇六聖真心錦囊（網站未列地圖）；終塔之寶&lt;IX&gt;（終末之塔第90層、終末之塔第94層）</x:t>
        </x:is>
      </x:c>
    </x:row>
    <x:row r="3877" ht="15" customHeight="1">
      <x:c r="A3877" s="55" t="str">
        <x:v>開皇麒麟之心</x:v>
      </x:c>
      <x:c r="B3877" s="55" t="str">
        <x:v>—</x:v>
      </x:c>
      <x:c r="C3877" s="55" t="str">
        <x:v>—</x:v>
      </x:c>
      <x:c r="D3877" s="55" t="str">
        <x:v>—</x:v>
      </x:c>
      <x:c r="E3877" s="55" t="inlineStr">
        <x:is>
          <x:t>開皇六聖真心錦囊（網站未列地圖）</x:t>
        </x:is>
      </x:c>
    </x:row>
    <x:row r="3878" ht="15" customHeight="1">
      <x:c r="A3878" s="55" t="str">
        <x:v>開皇騰蛇之心</x:v>
      </x:c>
      <x:c r="B3878" s="55" t="str">
        <x:v>—</x:v>
      </x:c>
      <x:c r="C3878" s="55" t="str">
        <x:v>—</x:v>
      </x:c>
      <x:c r="D3878" s="55" t="str">
        <x:v>—</x:v>
      </x:c>
      <x:c r="E3878" s="55" t="inlineStr">
        <x:is>
          <x:t>開皇六聖真心錦囊（網站未列地圖）</x:t>
        </x:is>
      </x:c>
    </x:row>
    <x:row r="3879" ht="15" customHeight="1">
      <x:c r="A3879" s="55" t="str">
        <x:v>項莊蓋世令</x:v>
      </x:c>
      <x:c r="B3879" s="55" t="str">
        <x:v>—</x:v>
      </x:c>
      <x:c r="C3879" s="55" t="str">
        <x:v>—</x:v>
      </x:c>
      <x:c r="D3879" s="55" t="str">
        <x:v>—</x:v>
      </x:c>
      <x:c r="E3879" s="55" t="inlineStr">
        <x:is>
          <x:t>侯氏兵甲福袋2021（網站未列地圖）；赤膽長疆錦囊（網站未列地圖）；麻辣武俠錦囊（網站未列地圖）</x:t>
        </x:is>
      </x:c>
    </x:row>
    <x:row r="3880" ht="15" customHeight="1">
      <x:c r="A3880" s="55" t="str">
        <x:v>沛邦風雲旨</x:v>
      </x:c>
      <x:c r="B3880" s="55" t="str">
        <x:v>—</x:v>
      </x:c>
      <x:c r="C3880" s="55" t="str">
        <x:v>—</x:v>
      </x:c>
      <x:c r="D3880" s="55" t="str">
        <x:v>—</x:v>
      </x:c>
      <x:c r="E3880" s="55" t="inlineStr">
        <x:is>
          <x:t>侯氏兵甲福袋2021（網站未列地圖）；麻辣俠域錦囊（網站未列地圖）</x:t>
        </x:is>
      </x:c>
    </x:row>
    <x:row r="3881" ht="60" customHeight="1">
      <x:c r="A3881" s="55" t="str">
        <x:v>皇‧六滅化神</x:v>
      </x:c>
      <x:c r="B3881" s="55" t="str">
        <x:v>—</x:v>
      </x:c>
      <x:c r="C3881" s="55" t="str">
        <x:v>—</x:v>
      </x:c>
      <x:c r="D3881" s="55" t="str">
        <x:v>—</x:v>
      </x:c>
      <x:c r="E3881" s="55" t="inlineStr">
        <x:is>
          <x:t>帝星武裝承先箱（網站未列地圖）；六滅化神大禮包（網站未列地圖）；神人獨尊錦囊（網站未列地圖）；大秘境寶箱（網站未列地圖）；極‧大秘境寶箱（網站未列地圖）；通寶院華寶箱（網站未列地圖）；絕七寶仙境寶箱（網站未列地圖）；◥萬曆星將◤（絕七寶仙境　參）；◥妙捷跳鼠◤（絕七寶仙境　參）；◢萬曆星將◣（絕七寶仙境　參）；◢妙捷跳鼠◣（絕七寶仙境　參）；▓萬曆星將▓（絕七寶仙境　參）；▓妙捷跳鼠▓（絕七寶仙境　參）</x:t>
        </x:is>
      </x:c>
    </x:row>
    <x:row r="3882" ht="15" customHeight="1">
      <x:c r="A3882" s="55" t="str">
        <x:v>皇‧七宗神愆</x:v>
      </x:c>
      <x:c r="B3882" s="55" t="str">
        <x:v>—</x:v>
      </x:c>
      <x:c r="C3882" s="55" t="str">
        <x:v>—</x:v>
      </x:c>
      <x:c r="D3882" s="55" t="str">
        <x:v>—</x:v>
      </x:c>
      <x:c r="E3882" s="55" t="inlineStr">
        <x:is>
          <x:t>—</x:t>
        </x:is>
      </x:c>
    </x:row>
    <x:row r="3883" ht="15" customHeight="1">
      <x:c r="A3883" s="55" t="str">
        <x:v>終極玄武之心</x:v>
      </x:c>
      <x:c r="B3883" s="55" t="str">
        <x:v>—</x:v>
      </x:c>
      <x:c r="C3883" s="55" t="str">
        <x:v>—</x:v>
      </x:c>
      <x:c r="D3883" s="55" t="str">
        <x:v>—</x:v>
      </x:c>
      <x:c r="E3883" s="55" t="inlineStr">
        <x:is>
          <x:t>最後六聖真心錦囊（網站未列地圖）</x:t>
        </x:is>
      </x:c>
    </x:row>
    <x:row r="3884" ht="15" customHeight="1">
      <x:c r="A3884" s="55" t="str">
        <x:v>終極白虎之心</x:v>
      </x:c>
      <x:c r="B3884" s="55" t="str">
        <x:v>—</x:v>
      </x:c>
      <x:c r="C3884" s="55" t="str">
        <x:v>—</x:v>
      </x:c>
      <x:c r="D3884" s="55" t="str">
        <x:v>—</x:v>
      </x:c>
      <x:c r="E3884" s="55" t="inlineStr">
        <x:is>
          <x:t>最後六聖真心錦囊（網站未列地圖）</x:t>
        </x:is>
      </x:c>
    </x:row>
    <x:row r="3885" ht="15" customHeight="1">
      <x:c r="A3885" s="55" t="str">
        <x:v>終極青龍之心</x:v>
      </x:c>
      <x:c r="B3885" s="55" t="str">
        <x:v>—</x:v>
      </x:c>
      <x:c r="C3885" s="55" t="str">
        <x:v>—</x:v>
      </x:c>
      <x:c r="D3885" s="55" t="str">
        <x:v>—</x:v>
      </x:c>
      <x:c r="E3885" s="55" t="inlineStr">
        <x:is>
          <x:t>最後六聖真心錦囊（網站未列地圖）；新世紀．天師（網站未列地圖）；新紀天師寶箱（網站未列地圖）</x:t>
        </x:is>
      </x:c>
    </x:row>
    <x:row r="3886" ht="30" customHeight="1">
      <x:c r="A3886" s="55" t="str">
        <x:v>終極鳳凰之心</x:v>
      </x:c>
      <x:c r="B3886" s="55" t="str">
        <x:v>—</x:v>
      </x:c>
      <x:c r="C3886" s="55" t="str">
        <x:v>—</x:v>
      </x:c>
      <x:c r="D3886" s="55" t="str">
        <x:v>—</x:v>
      </x:c>
      <x:c r="E3886" s="55" t="inlineStr">
        <x:is>
          <x:t>最後六聖真心錦囊（網站未列地圖）；夏摯福來香囊（網站未列地圖）；終塔之寶&lt;X&gt;（終末之塔第100層、終末之塔第108層）</x:t>
        </x:is>
      </x:c>
    </x:row>
    <x:row r="3887" ht="30" customHeight="1">
      <x:c r="A3887" s="55" t="str">
        <x:v>終極麒麟之心</x:v>
      </x:c>
      <x:c r="B3887" s="55" t="str">
        <x:v>—</x:v>
      </x:c>
      <x:c r="C3887" s="55" t="str">
        <x:v>—</x:v>
      </x:c>
      <x:c r="D3887" s="55" t="str">
        <x:v>—</x:v>
      </x:c>
      <x:c r="E3887" s="55" t="inlineStr">
        <x:is>
          <x:t>最後六聖真心錦囊（網站未列地圖）；終塔之寶&lt;XI&gt;（終末之塔第106層、終末之塔第116層）；超‧大秘境寶箱（網站未列地圖）</x:t>
        </x:is>
      </x:c>
    </x:row>
    <x:row r="3888" ht="15" customHeight="1">
      <x:c r="A3888" s="55" t="str">
        <x:v>終極騰蛇之心</x:v>
      </x:c>
      <x:c r="B3888" s="55" t="str">
        <x:v>—</x:v>
      </x:c>
      <x:c r="C3888" s="55" t="str">
        <x:v>—</x:v>
      </x:c>
      <x:c r="D3888" s="55" t="str">
        <x:v>—</x:v>
      </x:c>
      <x:c r="E3888" s="55" t="inlineStr">
        <x:is>
          <x:t>最後六聖真心錦囊（網站未列地圖）</x:t>
        </x:is>
      </x:c>
    </x:row>
    <x:row r="3889" ht="15" customHeight="1">
      <x:c r="A3889" s="55" t="str">
        <x:v>千江神謳章</x:v>
      </x:c>
      <x:c r="B3889" s="55" t="str">
        <x:v>—</x:v>
      </x:c>
      <x:c r="C3889" s="55" t="str">
        <x:v>—</x:v>
      </x:c>
      <x:c r="D3889" s="55" t="str">
        <x:v>—</x:v>
      </x:c>
      <x:c r="E3889" s="55" t="inlineStr">
        <x:is>
          <x:t>通寶院富寶箱（網站未列地圖）</x:t>
        </x:is>
      </x:c>
    </x:row>
    <x:row r="3890" ht="15" customHeight="1">
      <x:c r="A3890" s="55" t="str">
        <x:v>赫居新羅結</x:v>
      </x:c>
      <x:c r="B3890" s="55" t="str">
        <x:v>—</x:v>
      </x:c>
      <x:c r="C3890" s="55" t="str">
        <x:v>—</x:v>
      </x:c>
      <x:c r="D3890" s="55" t="str">
        <x:v>—</x:v>
      </x:c>
      <x:c r="E3890" s="55" t="inlineStr">
        <x:is>
          <x:t>—</x:t>
        </x:is>
      </x:c>
    </x:row>
    <x:row r="3891" ht="60" customHeight="1">
      <x:c r="A3891" s="55" t="str">
        <x:v>終極六滅化神</x:v>
      </x:c>
      <x:c r="B3891" s="55" t="str">
        <x:v>—</x:v>
      </x:c>
      <x:c r="C3891" s="55" t="str">
        <x:v>—</x:v>
      </x:c>
      <x:c r="D3891" s="55" t="str">
        <x:v>—</x:v>
      </x:c>
      <x:c r="E3891" s="55" t="inlineStr">
        <x:is>
          <x:t>帝星武裝啟後箱（網站未列地圖）；六滅化神大禮包（網站未列地圖）；再會長疆錦囊（網站未列地圖）；橫世暴君．紂（平西關、終末之塔第106層）；金虎摸彩箱（網站未列地圖）；真‧大秘境寶箱（網站未列地圖）；虎生豐開工禮袋（網站未列地圖）；新世紀．劍仙（網站未列地圖）；新紀劍仙寶箱（網站未列地圖）；通寶院富寶箱（網站未列地圖）；金虎刮刮樂（網站未列地圖）</x:t>
        </x:is>
      </x:c>
    </x:row>
    <x:row r="3892" ht="15" customHeight="1">
      <x:c r="A3892" s="55" t="str">
        <x:v>終極七宗神愆</x:v>
      </x:c>
      <x:c r="B3892" s="55" t="str">
        <x:v>—</x:v>
      </x:c>
      <x:c r="C3892" s="55" t="str">
        <x:v>—</x:v>
      </x:c>
      <x:c r="D3892" s="55" t="str">
        <x:v>—</x:v>
      </x:c>
      <x:c r="E3892" s="55" t="inlineStr">
        <x:is>
          <x:t>—</x:t>
        </x:is>
      </x:c>
    </x:row>
    <x:row r="3893" ht="15" customHeight="1">
      <x:c r="A3893" s="55" t="str">
        <x:v>新星之龍戒</x:v>
      </x:c>
      <x:c r="B3893" s="55" t="str">
        <x:v>—</x:v>
      </x:c>
      <x:c r="C3893" s="55" t="str">
        <x:v>—</x:v>
      </x:c>
      <x:c r="D3893" s="55" t="str">
        <x:v>—</x:v>
      </x:c>
      <x:c r="E3893" s="55" t="inlineStr">
        <x:is>
          <x:t>—</x:t>
        </x:is>
      </x:c>
    </x:row>
    <x:row r="3894" ht="15" customHeight="1">
      <x:c r="A3894" s="55" t="str">
        <x:v>新星之虎玉</x:v>
      </x:c>
      <x:c r="B3894" s="55" t="str">
        <x:v>—</x:v>
      </x:c>
      <x:c r="C3894" s="55" t="str">
        <x:v>—</x:v>
      </x:c>
      <x:c r="D3894" s="55" t="str">
        <x:v>—</x:v>
      </x:c>
      <x:c r="E3894" s="55" t="inlineStr">
        <x:is>
          <x:t>—</x:t>
        </x:is>
      </x:c>
    </x:row>
    <x:row r="3895" ht="15" customHeight="1">
      <x:c r="A3895" s="55" t="str">
        <x:v>新星之雀環</x:v>
      </x:c>
      <x:c r="B3895" s="55" t="str">
        <x:v>—</x:v>
      </x:c>
      <x:c r="C3895" s="55" t="str">
        <x:v>—</x:v>
      </x:c>
      <x:c r="D3895" s="55" t="str">
        <x:v>—</x:v>
      </x:c>
      <x:c r="E3895" s="55" t="inlineStr">
        <x:is>
          <x:t>—</x:t>
        </x:is>
      </x:c>
    </x:row>
    <x:row r="3896" ht="15" customHeight="1">
      <x:c r="A3896" s="55" t="str">
        <x:v>新星之玄璧</x:v>
      </x:c>
      <x:c r="B3896" s="55" t="str">
        <x:v>—</x:v>
      </x:c>
      <x:c r="C3896" s="55" t="str">
        <x:v>—</x:v>
      </x:c>
      <x:c r="D3896" s="55" t="str">
        <x:v>—</x:v>
      </x:c>
      <x:c r="E3896" s="55" t="inlineStr">
        <x:is>
          <x:t>—</x:t>
        </x:is>
      </x:c>
    </x:row>
    <x:row r="3897" ht="15" customHeight="1">
      <x:c r="A3897" s="55" t="str">
        <x:v>泰源編飾</x:v>
      </x:c>
      <x:c r="B3897" s="55" t="str">
        <x:v>神州2II主線</x:v>
      </x:c>
      <x:c r="C3897" s="55" t="str">
        <x:v>—</x:v>
      </x:c>
      <x:c r="D3897" s="55" t="str">
        <x:v>—</x:v>
      </x:c>
      <x:c r="E3897" s="55" t="inlineStr">
        <x:is>
          <x:t>—</x:t>
        </x:is>
      </x:c>
    </x:row>
    <x:row r="3898" ht="15" customHeight="1">
      <x:c r="A3898" s="55" t="str">
        <x:v>龍池佑雕</x:v>
      </x:c>
      <x:c r="B3898" s="55" t="str">
        <x:v>六宇浮上主線</x:v>
      </x:c>
      <x:c r="C3898" s="55" t="str">
        <x:v>—</x:v>
      </x:c>
      <x:c r="D3898" s="55" t="str">
        <x:v>—</x:v>
      </x:c>
      <x:c r="E3898" s="55" t="inlineStr">
        <x:is>
          <x:t>—</x:t>
        </x:is>
      </x:c>
    </x:row>
    <x:row r="3899" ht="15" customHeight="1">
      <x:c r="A3899" s="55" t="str">
        <x:v>龍韜簾綴Ⅰ</x:v>
      </x:c>
      <x:c r="B3899" s="55" t="str">
        <x:v>—</x:v>
      </x:c>
      <x:c r="C3899" s="55" t="str">
        <x:v>—</x:v>
      </x:c>
      <x:c r="D3899" s="55" t="str">
        <x:v>—</x:v>
      </x:c>
      <x:c r="E3899" s="55" t="inlineStr">
        <x:is>
          <x:t>—</x:t>
        </x:is>
      </x:c>
    </x:row>
    <x:row r="3900" ht="15" customHeight="1">
      <x:c r="A3900" s="55" t="str">
        <x:v>龍韜簾綴Ⅱ</x:v>
      </x:c>
      <x:c r="B3900" s="55" t="str">
        <x:v>—</x:v>
      </x:c>
      <x:c r="C3900" s="55" t="str">
        <x:v>—</x:v>
      </x:c>
      <x:c r="D3900" s="55" t="str">
        <x:v>—</x:v>
      </x:c>
      <x:c r="E3900" s="55" t="inlineStr">
        <x:is>
          <x:t>—</x:t>
        </x:is>
      </x:c>
    </x:row>
    <x:row r="3901" ht="15" customHeight="1">
      <x:c r="A3901" s="55" t="str">
        <x:v>龍韜簾綴Ⅲ</x:v>
      </x:c>
      <x:c r="B3901" s="55" t="str">
        <x:v>—</x:v>
      </x:c>
      <x:c r="C3901" s="55" t="str">
        <x:v>—</x:v>
      </x:c>
      <x:c r="D3901" s="55" t="str">
        <x:v>—</x:v>
      </x:c>
      <x:c r="E3901" s="55" t="inlineStr">
        <x:is>
          <x:t>—</x:t>
        </x:is>
      </x:c>
    </x:row>
    <x:row r="3902" ht="15" customHeight="1">
      <x:c r="A3902" s="55" t="str">
        <x:v>龍韜簾綴Ⅳ</x:v>
      </x:c>
      <x:c r="B3902" s="55" t="str">
        <x:v>—</x:v>
      </x:c>
      <x:c r="C3902" s="55" t="str">
        <x:v>—</x:v>
      </x:c>
      <x:c r="D3902" s="55" t="str">
        <x:v>—</x:v>
      </x:c>
      <x:c r="E3902" s="55" t="inlineStr">
        <x:is>
          <x:t>—</x:t>
        </x:is>
      </x:c>
    </x:row>
    <x:row r="3903" ht="15" customHeight="1">
      <x:c r="A3903" s="55" t="str">
        <x:v>龍韜簾綴Ⅴ</x:v>
      </x:c>
      <x:c r="B3903" s="55" t="str">
        <x:v>—</x:v>
      </x:c>
      <x:c r="C3903" s="55" t="str">
        <x:v>—</x:v>
      </x:c>
      <x:c r="D3903" s="55" t="str">
        <x:v>—</x:v>
      </x:c>
      <x:c r="E3903" s="55" t="inlineStr">
        <x:is>
          <x:t>—</x:t>
        </x:is>
      </x:c>
    </x:row>
    <x:row r="3904" ht="15" customHeight="1">
      <x:c r="A3904" s="55" t="str">
        <x:v>紫雨璃戒Ⅰ</x:v>
      </x:c>
      <x:c r="B3904" s="55" t="str">
        <x:v>—</x:v>
      </x:c>
      <x:c r="C3904" s="55" t="str">
        <x:v>—</x:v>
      </x:c>
      <x:c r="D3904" s="55" t="str">
        <x:v>—</x:v>
      </x:c>
      <x:c r="E3904" s="55" t="inlineStr">
        <x:is>
          <x:t>—</x:t>
        </x:is>
      </x:c>
    </x:row>
    <x:row r="3905" ht="15" customHeight="1">
      <x:c r="A3905" s="55" t="str">
        <x:v>紫雨璃戒Ⅱ</x:v>
      </x:c>
      <x:c r="B3905" s="55" t="str">
        <x:v>—</x:v>
      </x:c>
      <x:c r="C3905" s="55" t="str">
        <x:v>—</x:v>
      </x:c>
      <x:c r="D3905" s="55" t="str">
        <x:v>—</x:v>
      </x:c>
      <x:c r="E3905" s="55" t="inlineStr">
        <x:is>
          <x:t>—</x:t>
        </x:is>
      </x:c>
    </x:row>
    <x:row r="3906" ht="15" customHeight="1">
      <x:c r="A3906" s="55" t="str">
        <x:v>紫雨璃戒Ⅲ</x:v>
      </x:c>
      <x:c r="B3906" s="55" t="str">
        <x:v>—</x:v>
      </x:c>
      <x:c r="C3906" s="55" t="str">
        <x:v>—</x:v>
      </x:c>
      <x:c r="D3906" s="55" t="str">
        <x:v>—</x:v>
      </x:c>
      <x:c r="E3906" s="55" t="inlineStr">
        <x:is>
          <x:t>—</x:t>
        </x:is>
      </x:c>
    </x:row>
    <x:row r="3907" ht="15" customHeight="1">
      <x:c r="A3907" s="55" t="str">
        <x:v>紫雨璃戒Ⅳ</x:v>
      </x:c>
      <x:c r="B3907" s="55" t="str">
        <x:v>—</x:v>
      </x:c>
      <x:c r="C3907" s="55" t="str">
        <x:v>—</x:v>
      </x:c>
      <x:c r="D3907" s="55" t="str">
        <x:v>—</x:v>
      </x:c>
      <x:c r="E3907" s="55" t="inlineStr">
        <x:is>
          <x:t>—</x:t>
        </x:is>
      </x:c>
    </x:row>
    <x:row r="3908" ht="15" customHeight="1">
      <x:c r="A3908" s="55" t="str">
        <x:v>紫雨璃戒Ⅴ</x:v>
      </x:c>
      <x:c r="B3908" s="55" t="str">
        <x:v>—</x:v>
      </x:c>
      <x:c r="C3908" s="55" t="str">
        <x:v>—</x:v>
      </x:c>
      <x:c r="D3908" s="55" t="str">
        <x:v>—</x:v>
      </x:c>
      <x:c r="E3908" s="55" t="inlineStr">
        <x:is>
          <x:t>—</x:t>
        </x:is>
      </x:c>
    </x:row>
    <x:row r="3909" ht="15" customHeight="1">
      <x:c r="A3909" s="55" t="str">
        <x:v>七色蓮寶Ⅰ</x:v>
      </x:c>
      <x:c r="B3909" s="55" t="str">
        <x:v>—</x:v>
      </x:c>
      <x:c r="C3909" s="55" t="str">
        <x:v>—</x:v>
      </x:c>
      <x:c r="D3909" s="55" t="str">
        <x:v>—</x:v>
      </x:c>
      <x:c r="E3909" s="55" t="inlineStr">
        <x:is>
          <x:t>—</x:t>
        </x:is>
      </x:c>
    </x:row>
    <x:row r="3910" ht="15" customHeight="1">
      <x:c r="A3910" s="55" t="str">
        <x:v>七色蓮寶Ⅱ</x:v>
      </x:c>
      <x:c r="B3910" s="55" t="str">
        <x:v>—</x:v>
      </x:c>
      <x:c r="C3910" s="55" t="str">
        <x:v>—</x:v>
      </x:c>
      <x:c r="D3910" s="55" t="str">
        <x:v>—</x:v>
      </x:c>
      <x:c r="E3910" s="55" t="inlineStr">
        <x:is>
          <x:t>—</x:t>
        </x:is>
      </x:c>
    </x:row>
    <x:row r="3911" ht="15" customHeight="1">
      <x:c r="A3911" s="55" t="str">
        <x:v>七色蓮寶Ⅲ</x:v>
      </x:c>
      <x:c r="B3911" s="55" t="str">
        <x:v>—</x:v>
      </x:c>
      <x:c r="C3911" s="55" t="str">
        <x:v>—</x:v>
      </x:c>
      <x:c r="D3911" s="55" t="str">
        <x:v>—</x:v>
      </x:c>
      <x:c r="E3911" s="55" t="inlineStr">
        <x:is>
          <x:t>—</x:t>
        </x:is>
      </x:c>
    </x:row>
    <x:row r="3912" ht="15" customHeight="1">
      <x:c r="A3912" s="55" t="str">
        <x:v>七色蓮寶Ⅳ</x:v>
      </x:c>
      <x:c r="B3912" s="55" t="str">
        <x:v>—</x:v>
      </x:c>
      <x:c r="C3912" s="55" t="str">
        <x:v>—</x:v>
      </x:c>
      <x:c r="D3912" s="55" t="str">
        <x:v>—</x:v>
      </x:c>
      <x:c r="E3912" s="55" t="inlineStr">
        <x:is>
          <x:t>—</x:t>
        </x:is>
      </x:c>
    </x:row>
    <x:row r="3913" ht="15" customHeight="1">
      <x:c r="A3913" s="55" t="str">
        <x:v>七色蓮寶Ⅴ</x:v>
      </x:c>
      <x:c r="B3913" s="55" t="str">
        <x:v>—</x:v>
      </x:c>
      <x:c r="C3913" s="55" t="str">
        <x:v>—</x:v>
      </x:c>
      <x:c r="D3913" s="55" t="str">
        <x:v>—</x:v>
      </x:c>
      <x:c r="E3913" s="55" t="inlineStr">
        <x:is>
          <x:t>—</x:t>
        </x:is>
      </x:c>
    </x:row>
    <x:row r="3914" ht="15" customHeight="1">
      <x:c r="A3914" s="55" t="str">
        <x:v>億載機軸Ⅰ</x:v>
      </x:c>
      <x:c r="B3914" s="55" t="str">
        <x:v>—</x:v>
      </x:c>
      <x:c r="C3914" s="55" t="str">
        <x:v>—</x:v>
      </x:c>
      <x:c r="D3914" s="55" t="str">
        <x:v>—</x:v>
      </x:c>
      <x:c r="E3914" s="55" t="inlineStr">
        <x:is>
          <x:t>—</x:t>
        </x:is>
      </x:c>
    </x:row>
    <x:row r="3915" ht="15" customHeight="1">
      <x:c r="A3915" s="55" t="str">
        <x:v>億載機軸Ⅱ</x:v>
      </x:c>
      <x:c r="B3915" s="55" t="str">
        <x:v>—</x:v>
      </x:c>
      <x:c r="C3915" s="55" t="str">
        <x:v>—</x:v>
      </x:c>
      <x:c r="D3915" s="55" t="str">
        <x:v>—</x:v>
      </x:c>
      <x:c r="E3915" s="55" t="inlineStr">
        <x:is>
          <x:t>—</x:t>
        </x:is>
      </x:c>
    </x:row>
    <x:row r="3916" ht="15" customHeight="1">
      <x:c r="A3916" s="55" t="str">
        <x:v>億載機軸Ⅲ</x:v>
      </x:c>
      <x:c r="B3916" s="55" t="str">
        <x:v>—</x:v>
      </x:c>
      <x:c r="C3916" s="55" t="str">
        <x:v>—</x:v>
      </x:c>
      <x:c r="D3916" s="55" t="str">
        <x:v>—</x:v>
      </x:c>
      <x:c r="E3916" s="55" t="inlineStr">
        <x:is>
          <x:t>—</x:t>
        </x:is>
      </x:c>
    </x:row>
    <x:row r="3917" ht="15" customHeight="1">
      <x:c r="A3917" s="55" t="str">
        <x:v>億載機軸Ⅳ</x:v>
      </x:c>
      <x:c r="B3917" s="55" t="str">
        <x:v>—</x:v>
      </x:c>
      <x:c r="C3917" s="55" t="str">
        <x:v>—</x:v>
      </x:c>
      <x:c r="D3917" s="55" t="str">
        <x:v>—</x:v>
      </x:c>
      <x:c r="E3917" s="55" t="inlineStr">
        <x:is>
          <x:t>—</x:t>
        </x:is>
      </x:c>
    </x:row>
    <x:row r="3918" ht="15" customHeight="1">
      <x:c r="A3918" s="55" t="str">
        <x:v>億載機軸Ⅴ</x:v>
      </x:c>
      <x:c r="B3918" s="55" t="str">
        <x:v>—</x:v>
      </x:c>
      <x:c r="C3918" s="55" t="str">
        <x:v>—</x:v>
      </x:c>
      <x:c r="D3918" s="55" t="str">
        <x:v>—</x:v>
      </x:c>
      <x:c r="E3918" s="55" t="inlineStr">
        <x:is>
          <x:t>—</x:t>
        </x:is>
      </x:c>
    </x:row>
    <x:row r="3919" ht="15" customHeight="1">
      <x:c r="A3919" s="55" t="str">
        <x:v>金梁天佐鎮</x:v>
      </x:c>
      <x:c r="B3919" s="55" t="str">
        <x:v>—</x:v>
      </x:c>
      <x:c r="C3919" s="55" t="str">
        <x:v>—</x:v>
      </x:c>
      <x:c r="D3919" s="55" t="str">
        <x:v>—</x:v>
      </x:c>
      <x:c r="E3919" s="55" t="inlineStr">
        <x:is>
          <x:t>玉旭神龍（鷗揚浪嶼）</x:t>
        </x:is>
      </x:c>
    </x:row>
    <x:row r="3920" ht="15" customHeight="1">
      <x:c r="A3920" s="55" t="str">
        <x:v>水嶷天佐針</x:v>
      </x:c>
      <x:c r="B3920" s="55" t="str">
        <x:v>—</x:v>
      </x:c>
      <x:c r="C3920" s="55" t="str">
        <x:v>—</x:v>
      </x:c>
      <x:c r="D3920" s="55" t="str">
        <x:v>—</x:v>
      </x:c>
      <x:c r="E3920" s="55" t="inlineStr">
        <x:is>
          <x:t>玉旭神龍（鷗揚浪嶼）</x:t>
        </x:is>
      </x:c>
    </x:row>
    <x:row r="3921" ht="15" customHeight="1">
      <x:c r="A3921" s="55" t="str">
        <x:v>火熒天佐徽</x:v>
      </x:c>
      <x:c r="B3921" s="55" t="str">
        <x:v>—</x:v>
      </x:c>
      <x:c r="C3921" s="55" t="str">
        <x:v>—</x:v>
      </x:c>
      <x:c r="D3921" s="55" t="str">
        <x:v>—</x:v>
      </x:c>
      <x:c r="E3921" s="55" t="inlineStr">
        <x:is>
          <x:t>玉旭神龍（鷗揚浪嶼）</x:t>
        </x:is>
      </x:c>
    </x:row>
    <x:row r="3922" ht="15" customHeight="1">
      <x:c r="A3922" s="55" t="str">
        <x:v>土伏天佐玉</x:v>
      </x:c>
      <x:c r="B3922" s="55" t="str">
        <x:v>—</x:v>
      </x:c>
      <x:c r="C3922" s="55" t="str">
        <x:v>—</x:v>
      </x:c>
      <x:c r="D3922" s="55" t="str">
        <x:v>—</x:v>
      </x:c>
      <x:c r="E3922" s="55" t="inlineStr">
        <x:is>
          <x:t>玉旭神龍（鷗揚浪嶼）</x:t>
        </x:is>
      </x:c>
    </x:row>
    <x:row r="3923" ht="15" customHeight="1">
      <x:c r="A3923" s="55" t="str">
        <x:v>木篁天佐戒</x:v>
      </x:c>
      <x:c r="B3923" s="55" t="str">
        <x:v>—</x:v>
      </x:c>
      <x:c r="C3923" s="55" t="str">
        <x:v>—</x:v>
      </x:c>
      <x:c r="D3923" s="55" t="str">
        <x:v>—</x:v>
      </x:c>
      <x:c r="E3923" s="55" t="inlineStr">
        <x:is>
          <x:t>玉旭神龍（鷗揚浪嶼）</x:t>
        </x:is>
      </x:c>
    </x:row>
    <x:row r="3924" ht="15" customHeight="1">
      <x:c r="A3924" s="55" t="str">
        <x:v>五絕皇器</x:v>
      </x:c>
      <x:c r="B3924" s="55" t="str">
        <x:v>—</x:v>
      </x:c>
      <x:c r="C3924" s="55" t="str">
        <x:v>—</x:v>
      </x:c>
      <x:c r="D3924" s="55" t="str">
        <x:v>—</x:v>
      </x:c>
      <x:c r="E3924" s="55" t="inlineStr">
        <x:is>
          <x:t>幻三蚩呂錦囊（網站未列地圖）</x:t>
        </x:is>
      </x:c>
    </x:row>
    <x:row r="3925" ht="15" customHeight="1">
      <x:c r="A3925" s="55" t="str">
        <x:v>真金梁天佐鎮</x:v>
      </x:c>
      <x:c r="B3925" s="55" t="str">
        <x:v>—</x:v>
      </x:c>
      <x:c r="C3925" s="55" t="str">
        <x:v>—</x:v>
      </x:c>
      <x:c r="D3925" s="55" t="str">
        <x:v>—</x:v>
      </x:c>
      <x:c r="E3925" s="55" t="inlineStr">
        <x:is>
          <x:t>真五佐天座飾箱（網站未列地圖）</x:t>
        </x:is>
      </x:c>
    </x:row>
    <x:row r="3926" ht="15" customHeight="1">
      <x:c r="A3926" s="55" t="str">
        <x:v>真水嶷天佐針</x:v>
      </x:c>
      <x:c r="B3926" s="55" t="str">
        <x:v>—</x:v>
      </x:c>
      <x:c r="C3926" s="55" t="str">
        <x:v>—</x:v>
      </x:c>
      <x:c r="D3926" s="55" t="str">
        <x:v>—</x:v>
      </x:c>
      <x:c r="E3926" s="55" t="inlineStr">
        <x:is>
          <x:t>真五佐天座飾箱（網站未列地圖）</x:t>
        </x:is>
      </x:c>
    </x:row>
    <x:row r="3927" ht="15" customHeight="1">
      <x:c r="A3927" s="55" t="str">
        <x:v>真火熒天佐徽</x:v>
      </x:c>
      <x:c r="B3927" s="55" t="str">
        <x:v>—</x:v>
      </x:c>
      <x:c r="C3927" s="55" t="str">
        <x:v>—</x:v>
      </x:c>
      <x:c r="D3927" s="55" t="str">
        <x:v>—</x:v>
      </x:c>
      <x:c r="E3927" s="55" t="inlineStr">
        <x:is>
          <x:t>真五佐天座飾箱（網站未列地圖）</x:t>
        </x:is>
      </x:c>
    </x:row>
    <x:row r="3928" ht="15" customHeight="1">
      <x:c r="A3928" s="55" t="str">
        <x:v>真土伏天佐玉</x:v>
      </x:c>
      <x:c r="B3928" s="55" t="str">
        <x:v>—</x:v>
      </x:c>
      <x:c r="C3928" s="55" t="str">
        <x:v>—</x:v>
      </x:c>
      <x:c r="D3928" s="55" t="str">
        <x:v>—</x:v>
      </x:c>
      <x:c r="E3928" s="55" t="inlineStr">
        <x:is>
          <x:t>真五佐天座飾箱（網站未列地圖）</x:t>
        </x:is>
      </x:c>
    </x:row>
    <x:row r="3929" ht="15" customHeight="1">
      <x:c r="A3929" s="55" t="str">
        <x:v>真木篁天佐戒</x:v>
      </x:c>
      <x:c r="B3929" s="55" t="str">
        <x:v>—</x:v>
      </x:c>
      <x:c r="C3929" s="55" t="str">
        <x:v>—</x:v>
      </x:c>
      <x:c r="D3929" s="55" t="str">
        <x:v>—</x:v>
      </x:c>
      <x:c r="E3929" s="55" t="inlineStr">
        <x:is>
          <x:t>真五佐天座飾箱（網站未列地圖）</x:t>
        </x:is>
      </x:c>
    </x:row>
    <x:row r="3930" ht="15" customHeight="1">
      <x:c r="A3930" s="55" t="str">
        <x:v>真．五絕皇器</x:v>
      </x:c>
      <x:c r="B3930" s="55" t="str">
        <x:v>—</x:v>
      </x:c>
      <x:c r="C3930" s="55" t="str">
        <x:v>—</x:v>
      </x:c>
      <x:c r="D3930" s="55" t="str">
        <x:v>—</x:v>
      </x:c>
      <x:c r="E3930" s="55" t="inlineStr">
        <x:is>
          <x:t>—</x:t>
        </x:is>
      </x:c>
    </x:row>
    <x:row r="3931" ht="15" customHeight="1">
      <x:c r="A3931" s="55" t="str">
        <x:v>神淵風息瓠</x:v>
      </x:c>
      <x:c r="B3931" s="55" t="str">
        <x:v>—</x:v>
      </x:c>
      <x:c r="C3931" s="55" t="str">
        <x:v>—</x:v>
      </x:c>
      <x:c r="D3931" s="55" t="str">
        <x:v>—</x:v>
      </x:c>
      <x:c r="E3931" s="55" t="inlineStr">
        <x:is>
          <x:t>侯氏兵甲福袋2023（網站未列地圖）</x:t>
        </x:is>
      </x:c>
    </x:row>
    <x:row r="3932" ht="45" customHeight="1">
      <x:c r="A3932" s="55" t="str">
        <x:v>明源雷棲紋</x:v>
      </x:c>
      <x:c r="B3932" s="55" t="str">
        <x:v>—</x:v>
      </x:c>
      <x:c r="C3932" s="55" t="str">
        <x:v>—</x:v>
      </x:c>
      <x:c r="D3932" s="55" t="str">
        <x:v>—</x:v>
      </x:c>
      <x:c r="E3932" s="55" t="inlineStr">
        <x:is>
          <x:t>侯氏兵甲福袋2023（網站未列地圖）；炎夏麻辣錦囊（網站未列地圖）；帝．仙露花精（帝七寶仙境　壹）；帝．問頂仙龍（帝七寶仙境　壹）；〈帝〉仙露花精（帝七寶仙境　壹）；〈帝〉問頂仙龍（帝七寶仙境　壹）；《帝》仙露花精（帝七寶仙境　壹）；《帝》問頂仙龍（帝七寶仙境　壹）；通寶院貴寶箱（網站未列地圖）</x:t>
        </x:is>
      </x:c>
    </x:row>
    <x:row r="3933" ht="30" customHeight="1">
      <x:c r="A3933" s="55" t="str">
        <x:v>九鼎太清經</x:v>
      </x:c>
      <x:c r="B3933" s="55" t="str">
        <x:v>—</x:v>
      </x:c>
      <x:c r="C3933" s="55" t="str">
        <x:v>—</x:v>
      </x:c>
      <x:c r="D3933" s="55" t="str">
        <x:v>—</x:v>
      </x:c>
      <x:c r="E3933" s="55" t="inlineStr">
        <x:is>
          <x:t>侯氏兵甲福袋2024（網站未列地圖）；幻三太陰錦囊（網站未列地圖）；麻辣黑潮錦囊（網站未列地圖）；極大秘境寶箱（網站未列地圖）；幻三太陰奇寶箱（網站未列地圖）</x:t>
        </x:is>
      </x:c>
    </x:row>
    <x:row r="3934" ht="30" customHeight="1">
      <x:c r="A3934" s="55" t="str">
        <x:v>南華題命譜</x:v>
      </x:c>
      <x:c r="B3934" s="55" t="str">
        <x:v>—</x:v>
      </x:c>
      <x:c r="C3934" s="55" t="str">
        <x:v>—</x:v>
      </x:c>
      <x:c r="D3934" s="55" t="str">
        <x:v>—</x:v>
      </x:c>
      <x:c r="E3934" s="55" t="inlineStr">
        <x:is>
          <x:t>侯氏兵甲福袋2024（網站未列地圖）；麻辣熱浪錦囊（網站未列地圖）；幻三魔黃錦囊（網站未列地圖）；幻三魔黃奇寶箱（網站未列地圖）</x:t>
        </x:is>
      </x:c>
    </x:row>
    <x:row r="3935" ht="15" customHeight="1">
      <x:c r="A3935" s="55" t="str">
        <x:v>記方體串鍊</x:v>
      </x:c>
      <x:c r="B3935" s="55" t="str">
        <x:v>六宇浮上-外宇童盟</x:v>
      </x:c>
      <x:c r="C3935" s="55" t="str">
        <x:v>—</x:v>
      </x:c>
      <x:c r="D3935" s="55" t="str">
        <x:v>—</x:v>
      </x:c>
      <x:c r="E3935" s="55" t="inlineStr">
        <x:is>
          <x:t>—</x:t>
        </x:is>
      </x:c>
    </x:row>
    <x:row r="3936" ht="15" customHeight="1">
      <x:c r="A3936" s="55" t="str">
        <x:v>處理核串鍊</x:v>
      </x:c>
      <x:c r="B3936" s="55" t="str">
        <x:v>六宇浮上-外宇童盟</x:v>
      </x:c>
      <x:c r="C3936" s="55" t="str">
        <x:v>—</x:v>
      </x:c>
      <x:c r="D3936" s="55" t="str">
        <x:v>—</x:v>
      </x:c>
      <x:c r="E3936" s="55" t="inlineStr">
        <x:is>
          <x:t>—</x:t>
        </x:is>
      </x:c>
    </x:row>
    <x:row r="3937" ht="15" customHeight="1">
      <x:c r="A3937" s="55" t="str">
        <x:v>活血玉珮</x:v>
      </x:c>
      <x:c r="B3937" s="55" t="str">
        <x:v>玄州城－武神會戰神</x:v>
      </x:c>
      <x:c r="C3937" s="55" t="str">
        <x:v>—</x:v>
      </x:c>
      <x:c r="D3937" s="55" t="str">
        <x:v>—</x:v>
      </x:c>
      <x:c r="E3937" s="55" t="inlineStr">
        <x:is>
          <x:t>—</x:t>
        </x:is>
      </x:c>
    </x:row>
    <x:row r="3938" ht="15" customHeight="1">
      <x:c r="A3938" s="55" t="str">
        <x:v>活精玉珮</x:v>
      </x:c>
      <x:c r="B3938" s="55" t="str">
        <x:v>祁州城－劍狼傳說</x:v>
      </x:c>
      <x:c r="C3938" s="55" t="str">
        <x:v>—</x:v>
      </x:c>
      <x:c r="D3938" s="55" t="str">
        <x:v>—</x:v>
      </x:c>
      <x:c r="E3938" s="55" t="inlineStr">
        <x:is>
          <x:t>—</x:t>
        </x:is>
      </x:c>
    </x:row>
    <x:row r="3939" ht="15" customHeight="1">
      <x:c r="A3939" s="55" t="str">
        <x:v>天道護身符</x:v>
      </x:c>
      <x:c r="B3939" s="55" t="str">
        <x:v>望星坡－明夷尋往記</x:v>
      </x:c>
      <x:c r="C3939" s="55" t="str">
        <x:v>—</x:v>
      </x:c>
      <x:c r="D3939" s="55" t="str">
        <x:v>—</x:v>
      </x:c>
      <x:c r="E3939" s="55" t="inlineStr">
        <x:is>
          <x:t>—</x:t>
        </x:is>
      </x:c>
    </x:row>
    <x:row r="3940" ht="15" customHeight="1">
      <x:c r="A3940" s="55" t="str">
        <x:v>活心佛珠</x:v>
      </x:c>
      <x:c r="B3940" s="55" t="str">
        <x:v>京城－推我本空</x:v>
      </x:c>
      <x:c r="C3940" s="55" t="str">
        <x:v>—</x:v>
      </x:c>
      <x:c r="D3940" s="55" t="str">
        <x:v>—</x:v>
      </x:c>
      <x:c r="E3940" s="55" t="inlineStr">
        <x:is>
          <x:t>—</x:t>
        </x:is>
      </x:c>
    </x:row>
    <x:row r="3941" ht="15" customHeight="1">
      <x:c r="A3941" s="55" t="str">
        <x:v>超金梁天佐鎮</x:v>
      </x:c>
      <x:c r="B3941" s="55" t="str">
        <x:v>—</x:v>
      </x:c>
      <x:c r="C3941" s="55" t="str">
        <x:v>—</x:v>
      </x:c>
      <x:c r="D3941" s="55" t="str">
        <x:v>—</x:v>
      </x:c>
      <x:c r="E3941" s="55" t="inlineStr">
        <x:is>
          <x:t>超五佐天座飾箱（網站未列地圖）</x:t>
        </x:is>
      </x:c>
    </x:row>
    <x:row r="3942" ht="15" customHeight="1">
      <x:c r="A3942" s="55" t="str">
        <x:v>超水嶷天佐針</x:v>
      </x:c>
      <x:c r="B3942" s="55" t="str">
        <x:v>—</x:v>
      </x:c>
      <x:c r="C3942" s="55" t="str">
        <x:v>—</x:v>
      </x:c>
      <x:c r="D3942" s="55" t="str">
        <x:v>—</x:v>
      </x:c>
      <x:c r="E3942" s="55" t="inlineStr">
        <x:is>
          <x:t>超五佐天座飾箱（網站未列地圖）</x:t>
        </x:is>
      </x:c>
    </x:row>
    <x:row r="3943" ht="15" customHeight="1">
      <x:c r="A3943" s="55" t="str">
        <x:v>超火熒天佐徽</x:v>
      </x:c>
      <x:c r="B3943" s="55" t="str">
        <x:v>—</x:v>
      </x:c>
      <x:c r="C3943" s="55" t="str">
        <x:v>—</x:v>
      </x:c>
      <x:c r="D3943" s="55" t="str">
        <x:v>—</x:v>
      </x:c>
      <x:c r="E3943" s="55" t="inlineStr">
        <x:is>
          <x:t>超五佐天座飾箱（網站未列地圖）</x:t>
        </x:is>
      </x:c>
    </x:row>
    <x:row r="3944" ht="15" customHeight="1">
      <x:c r="A3944" s="55" t="str">
        <x:v>超土伏天佐玉</x:v>
      </x:c>
      <x:c r="B3944" s="55" t="str">
        <x:v>—</x:v>
      </x:c>
      <x:c r="C3944" s="55" t="str">
        <x:v>—</x:v>
      </x:c>
      <x:c r="D3944" s="55" t="str">
        <x:v>—</x:v>
      </x:c>
      <x:c r="E3944" s="55" t="inlineStr">
        <x:is>
          <x:t>超五佐天座飾箱（網站未列地圖）</x:t>
        </x:is>
      </x:c>
    </x:row>
    <x:row r="3945" ht="15" customHeight="1">
      <x:c r="A3945" s="55" t="str">
        <x:v>超木篁天佐戒</x:v>
      </x:c>
      <x:c r="B3945" s="55" t="str">
        <x:v>—</x:v>
      </x:c>
      <x:c r="C3945" s="55" t="str">
        <x:v>—</x:v>
      </x:c>
      <x:c r="D3945" s="55" t="str">
        <x:v>—</x:v>
      </x:c>
      <x:c r="E3945" s="55" t="inlineStr">
        <x:is>
          <x:t>超五佐天座飾箱（網站未列地圖）</x:t>
        </x:is>
      </x:c>
    </x:row>
    <x:row r="3946" ht="15" customHeight="1">
      <x:c r="A3946" s="55" t="str">
        <x:v>極金梁天佐鎮</x:v>
      </x:c>
      <x:c r="B3946" s="55" t="str">
        <x:v>—</x:v>
      </x:c>
      <x:c r="C3946" s="55" t="str">
        <x:v>—</x:v>
      </x:c>
      <x:c r="D3946" s="55" t="str">
        <x:v>—</x:v>
      </x:c>
      <x:c r="E3946" s="55" t="inlineStr">
        <x:is>
          <x:t>極五佐天座飾箱（網站未列地圖）</x:t>
        </x:is>
      </x:c>
    </x:row>
    <x:row r="3947" ht="15" customHeight="1">
      <x:c r="A3947" s="55" t="str">
        <x:v>極水嶷天佐針</x:v>
      </x:c>
      <x:c r="B3947" s="55" t="str">
        <x:v>—</x:v>
      </x:c>
      <x:c r="C3947" s="55" t="str">
        <x:v>—</x:v>
      </x:c>
      <x:c r="D3947" s="55" t="str">
        <x:v>—</x:v>
      </x:c>
      <x:c r="E3947" s="55" t="inlineStr">
        <x:is>
          <x:t>極五佐天座飾箱（網站未列地圖）</x:t>
        </x:is>
      </x:c>
    </x:row>
    <x:row r="3948" ht="15" customHeight="1">
      <x:c r="A3948" s="55" t="str">
        <x:v>極火熒天佐徽</x:v>
      </x:c>
      <x:c r="B3948" s="55" t="str">
        <x:v>—</x:v>
      </x:c>
      <x:c r="C3948" s="55" t="str">
        <x:v>—</x:v>
      </x:c>
      <x:c r="D3948" s="55" t="str">
        <x:v>—</x:v>
      </x:c>
      <x:c r="E3948" s="55" t="inlineStr">
        <x:is>
          <x:t>極五佐天座飾箱（網站未列地圖）</x:t>
        </x:is>
      </x:c>
    </x:row>
    <x:row r="3949" ht="15" customHeight="1">
      <x:c r="A3949" s="55" t="str">
        <x:v>極土伏天佐玉</x:v>
      </x:c>
      <x:c r="B3949" s="55" t="str">
        <x:v>—</x:v>
      </x:c>
      <x:c r="C3949" s="55" t="str">
        <x:v>—</x:v>
      </x:c>
      <x:c r="D3949" s="55" t="str">
        <x:v>—</x:v>
      </x:c>
      <x:c r="E3949" s="55" t="inlineStr">
        <x:is>
          <x:t>極五佐天座飾箱（網站未列地圖）</x:t>
        </x:is>
      </x:c>
    </x:row>
    <x:row r="3950" ht="15" customHeight="1">
      <x:c r="A3950" s="55" t="str">
        <x:v>極木篁天佐戒</x:v>
      </x:c>
      <x:c r="B3950" s="55" t="str">
        <x:v>—</x:v>
      </x:c>
      <x:c r="C3950" s="55" t="str">
        <x:v>—</x:v>
      </x:c>
      <x:c r="D3950" s="55" t="str">
        <x:v>—</x:v>
      </x:c>
      <x:c r="E3950" s="55" t="inlineStr">
        <x:is>
          <x:t>極五佐天座飾箱（網站未列地圖）</x:t>
        </x:is>
      </x:c>
    </x:row>
    <x:row r="3951" ht="15" customHeight="1">
      <x:c r="A3951" s="55" t="str">
        <x:v>謙卑集</x:v>
      </x:c>
      <x:c r="B3951" s="55" t="str">
        <x:v>—</x:v>
      </x:c>
      <x:c r="C3951" s="55" t="str">
        <x:v>—</x:v>
      </x:c>
      <x:c r="D3951" s="55" t="str">
        <x:v>—</x:v>
      </x:c>
      <x:c r="E3951" s="55" t="inlineStr">
        <x:is>
          <x:t>侯氏兵甲福袋2025（網站未列地圖）</x:t>
        </x:is>
      </x:c>
    </x:row>
    <x:row r="3952" ht="45" customHeight="1">
      <x:c r="A3952" s="55" t="str">
        <x:v>萬用鑰匙</x:v>
      </x:c>
      <x:c r="B3952" s="55" t="str">
        <x:v>—</x:v>
      </x:c>
      <x:c r="C3952" s="55" t="str">
        <x:v>—</x:v>
      </x:c>
      <x:c r="D3952" s="55" t="str">
        <x:v>—</x:v>
      </x:c>
      <x:c r="E3952" s="55" t="inlineStr">
        <x:is>
          <x:t>侯氏兵甲福袋2025（網站未列地圖）；神．幻月銀狼（神七寶仙境　壹）；神．岩羅角獸（神七寶仙境　壹）；〈神〉幻月銀狼（神七寶仙境　壹）；〈神〉岩羅角獸（神七寶仙境　壹）；《神》幻月銀狼（神七寶仙境　壹）；《神》岩羅角獸（神七寶仙境　壹）</x:t>
        </x:is>
      </x:c>
    </x:row>
    <x:row r="3953" ht="15" customHeight="1">
      <x:c r="A3953" s="55" t="str">
        <x:v>北饕萬餮硯</x:v>
      </x:c>
      <x:c r="B3953" s="55" t="str">
        <x:v>—</x:v>
      </x:c>
      <x:c r="C3953" s="55" t="str">
        <x:v>—</x:v>
      </x:c>
      <x:c r="D3953" s="55" t="str">
        <x:v>—</x:v>
      </x:c>
      <x:c r="E3953" s="55" t="inlineStr">
        <x:is>
          <x:t>侯氏兵甲福袋2026（網站未列地圖）</x:t>
        </x:is>
      </x:c>
    </x:row>
    <x:row r="3954" ht="15" customHeight="1">
      <x:c r="A3954" s="55" t="str">
        <x:v>天祿銜瑞綴</x:v>
      </x:c>
      <x:c r="B3954" s="55" t="str">
        <x:v>—</x:v>
      </x:c>
      <x:c r="C3954" s="55" t="str">
        <x:v>—</x:v>
      </x:c>
      <x:c r="D3954" s="55" t="str">
        <x:v>—</x:v>
      </x:c>
      <x:c r="E3954" s="55" t="inlineStr">
        <x:is>
          <x:t>侯氏兵甲福袋2026（網站未列地圖）</x:t>
        </x:is>
      </x:c>
    </x:row>
    <x:row r="3955" ht="15" customHeight="1">
      <x:c r="A3955" s="55" t="str">
        <x:v>超．五絕皇器</x:v>
      </x:c>
      <x:c r="B3955" s="55" t="str">
        <x:v>—</x:v>
      </x:c>
      <x:c r="C3955" s="55" t="str">
        <x:v>—</x:v>
      </x:c>
      <x:c r="D3955" s="55" t="str">
        <x:v>—</x:v>
      </x:c>
      <x:c r="E3955" s="55" t="inlineStr">
        <x:is>
          <x:t>—</x:t>
        </x:is>
      </x:c>
    </x:row>
    <x:row r="3956" ht="15" customHeight="1">
      <x:c r="A3956" s="55" t="str">
        <x:v>極．五絕皇器</x:v>
      </x:c>
      <x:c r="B3956" s="55" t="str">
        <x:v>—</x:v>
      </x:c>
      <x:c r="C3956" s="55" t="str">
        <x:v>—</x:v>
      </x:c>
      <x:c r="D3956" s="55" t="str">
        <x:v>—</x:v>
      </x:c>
      <x:c r="E3956" s="55" t="inlineStr">
        <x:is>
          <x:t>—</x:t>
        </x:is>
      </x:c>
    </x:row>
    <x:row r="3957" ht="30" customHeight="1">
      <x:c r="A3957" s="55" t="str">
        <x:v>諾亞航令Ⅰ</x:v>
      </x:c>
      <x:c r="B3957" s="55" t="str">
        <x:v>—</x:v>
      </x:c>
      <x:c r="C3957" s="55" t="str">
        <x:v>—</x:v>
      </x:c>
      <x:c r="D3957" s="55" t="str">
        <x:v>—</x:v>
      </x:c>
      <x:c r="E3957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58" ht="30" customHeight="1">
      <x:c r="A3958" s="55" t="str">
        <x:v>誅仙御鐸Ⅰ</x:v>
      </x:c>
      <x:c r="B3958" s="55" t="str">
        <x:v>—</x:v>
      </x:c>
      <x:c r="C3958" s="55" t="str">
        <x:v>—</x:v>
      </x:c>
      <x:c r="D3958" s="55" t="str">
        <x:v>—</x:v>
      </x:c>
      <x:c r="E3958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59" ht="30" customHeight="1">
      <x:c r="A3959" s="55" t="str">
        <x:v>獨眼慧珠Ⅰ</x:v>
      </x:c>
      <x:c r="B3959" s="55" t="str">
        <x:v>—</x:v>
      </x:c>
      <x:c r="C3959" s="55" t="str">
        <x:v>—</x:v>
      </x:c>
      <x:c r="D3959" s="55" t="str">
        <x:v>—</x:v>
      </x:c>
      <x:c r="E3959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60" ht="30" customHeight="1">
      <x:c r="A3960" s="55" t="str">
        <x:v>龍之印信Ⅰ</x:v>
      </x:c>
      <x:c r="B3960" s="55" t="str">
        <x:v>—</x:v>
      </x:c>
      <x:c r="C3960" s="55" t="str">
        <x:v>—</x:v>
      </x:c>
      <x:c r="D3960" s="55" t="str">
        <x:v>—</x:v>
      </x:c>
      <x:c r="E3960" s="55" t="inlineStr">
        <x:is>
          <x:t>玄宙劍裝錦囊（網站未列地圖）；玄宙術裝錦囊（網站未列地圖）；玄宙道裝錦囊（網站未列地圖）；玄宙僧裝錦囊（網站未列地圖）；玄宙勇裝錦囊（網站未列地圖）</x:t>
        </x:is>
      </x:c>
    </x:row>
    <x:row r="3961" ht="30" customHeight="1">
      <x:c r="A3961" s="55" t="str">
        <x:v>諾亞航令Ⅱ</x:v>
      </x:c>
      <x:c r="B3961" s="55" t="str">
        <x:v>—</x:v>
      </x:c>
      <x:c r="C3961" s="55" t="str">
        <x:v>—</x:v>
      </x:c>
      <x:c r="D3961" s="55" t="str">
        <x:v>—</x:v>
      </x:c>
      <x:c r="E3961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2" ht="30" customHeight="1">
      <x:c r="A3962" s="55" t="str">
        <x:v>誅仙御鐸Ⅱ</x:v>
      </x:c>
      <x:c r="B3962" s="55" t="str">
        <x:v>—</x:v>
      </x:c>
      <x:c r="C3962" s="55" t="str">
        <x:v>—</x:v>
      </x:c>
      <x:c r="D3962" s="55" t="str">
        <x:v>—</x:v>
      </x:c>
      <x:c r="E3962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3" ht="30" customHeight="1">
      <x:c r="A3963" s="55" t="str">
        <x:v>獨眼慧珠Ⅱ</x:v>
      </x:c>
      <x:c r="B3963" s="55" t="str">
        <x:v>—</x:v>
      </x:c>
      <x:c r="C3963" s="55" t="str">
        <x:v>—</x:v>
      </x:c>
      <x:c r="D3963" s="55" t="str">
        <x:v>—</x:v>
      </x:c>
      <x:c r="E3963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4" ht="30" customHeight="1">
      <x:c r="A3964" s="55" t="str">
        <x:v>龍之印信Ⅱ</x:v>
      </x:c>
      <x:c r="B3964" s="55" t="str">
        <x:v>—</x:v>
      </x:c>
      <x:c r="C3964" s="55" t="str">
        <x:v>—</x:v>
      </x:c>
      <x:c r="D3964" s="55" t="str">
        <x:v>—</x:v>
      </x:c>
      <x:c r="E3964" s="55" t="inlineStr">
        <x:is>
          <x:t>真．玄宙劍裝錦囊（網站未列地圖）；真．玄宙術裝錦囊（網站未列地圖）；真．玄宙道裝錦囊（網站未列地圖）；真．玄宙僧裝錦囊（網站未列地圖）；真．玄宙勇裝錦囊（網站未列地圖）</x:t>
        </x:is>
      </x:c>
    </x:row>
    <x:row r="3965" ht="30" customHeight="1">
      <x:c r="A3965" s="55" t="str">
        <x:v>諾亞航令Ⅲ</x:v>
      </x:c>
      <x:c r="B3965" s="55" t="str">
        <x:v>—</x:v>
      </x:c>
      <x:c r="C3965" s="55" t="str">
        <x:v>—</x:v>
      </x:c>
      <x:c r="D3965" s="55" t="str">
        <x:v>—</x:v>
      </x:c>
      <x:c r="E3965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6" ht="30" customHeight="1">
      <x:c r="A3966" s="55" t="str">
        <x:v>誅仙御鐸Ⅲ</x:v>
      </x:c>
      <x:c r="B3966" s="55" t="str">
        <x:v>—</x:v>
      </x:c>
      <x:c r="C3966" s="55" t="str">
        <x:v>—</x:v>
      </x:c>
      <x:c r="D3966" s="55" t="str">
        <x:v>—</x:v>
      </x:c>
      <x:c r="E3966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7" ht="30" customHeight="1">
      <x:c r="A3967" s="55" t="str">
        <x:v>獨眼慧珠Ⅲ</x:v>
      </x:c>
      <x:c r="B3967" s="55" t="str">
        <x:v>—</x:v>
      </x:c>
      <x:c r="C3967" s="55" t="str">
        <x:v>—</x:v>
      </x:c>
      <x:c r="D3967" s="55" t="str">
        <x:v>—</x:v>
      </x:c>
      <x:c r="E3967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8" ht="30" customHeight="1">
      <x:c r="A3968" s="55" t="str">
        <x:v>龍之印信Ⅲ</x:v>
      </x:c>
      <x:c r="B3968" s="55" t="str">
        <x:v>—</x:v>
      </x:c>
      <x:c r="C3968" s="55" t="str">
        <x:v>—</x:v>
      </x:c>
      <x:c r="D3968" s="55" t="str">
        <x:v>—</x:v>
      </x:c>
      <x:c r="E3968" s="55" t="inlineStr">
        <x:is>
          <x:t>超．玄宙劍裝錦囊（網站未列地圖）；超．玄宙術裝錦囊（網站未列地圖）；超．玄宙道裝錦囊（網站未列地圖）；超．玄宙僧裝錦囊（網站未列地圖）；超．玄宙勇裝錦囊（網站未列地圖）</x:t>
        </x:is>
      </x:c>
    </x:row>
    <x:row r="3969" ht="30" customHeight="1">
      <x:c r="A3969" s="55" t="str">
        <x:v>諾亞航令Ⅳ</x:v>
      </x:c>
      <x:c r="B3969" s="55" t="str">
        <x:v>—</x:v>
      </x:c>
      <x:c r="C3969" s="55" t="str">
        <x:v>—</x:v>
      </x:c>
      <x:c r="D3969" s="55" t="str">
        <x:v>—</x:v>
      </x:c>
      <x:c r="E3969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0" ht="30" customHeight="1">
      <x:c r="A3970" s="55" t="str">
        <x:v>誅仙御鐸Ⅳ</x:v>
      </x:c>
      <x:c r="B3970" s="55" t="str">
        <x:v>—</x:v>
      </x:c>
      <x:c r="C3970" s="55" t="str">
        <x:v>—</x:v>
      </x:c>
      <x:c r="D3970" s="55" t="str">
        <x:v>—</x:v>
      </x:c>
      <x:c r="E3970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1" ht="30" customHeight="1">
      <x:c r="A3971" s="55" t="str">
        <x:v>獨眼慧珠Ⅳ</x:v>
      </x:c>
      <x:c r="B3971" s="55" t="str">
        <x:v>—</x:v>
      </x:c>
      <x:c r="C3971" s="55" t="str">
        <x:v>—</x:v>
      </x:c>
      <x:c r="D3971" s="55" t="str">
        <x:v>—</x:v>
      </x:c>
      <x:c r="E3971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2" ht="30" customHeight="1">
      <x:c r="A3972" s="55" t="str">
        <x:v>龍之印信Ⅳ</x:v>
      </x:c>
      <x:c r="B3972" s="55" t="str">
        <x:v>—</x:v>
      </x:c>
      <x:c r="C3972" s="55" t="str">
        <x:v>—</x:v>
      </x:c>
      <x:c r="D3972" s="55" t="str">
        <x:v>—</x:v>
      </x:c>
      <x:c r="E3972" s="55" t="inlineStr">
        <x:is>
          <x:t>極．玄宙劍裝錦囊（網站未列地圖）；極．玄宙術裝錦囊（網站未列地圖）；極．玄宙道裝錦囊（網站未列地圖）；極．玄宙僧裝錦囊（網站未列地圖）；極．玄宙勇裝錦囊（網站未列地圖）</x:t>
        </x:is>
      </x:c>
    </x:row>
    <x:row r="3973" ht="30" customHeight="1">
      <x:c r="A3973" s="55" t="str">
        <x:v>諾亞航令Ⅴ</x:v>
      </x:c>
      <x:c r="B3973" s="55" t="str">
        <x:v>—</x:v>
      </x:c>
      <x:c r="C3973" s="55" t="str">
        <x:v>—</x:v>
      </x:c>
      <x:c r="D3973" s="55" t="str">
        <x:v>—</x:v>
      </x:c>
      <x:c r="E3973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4" ht="30" customHeight="1">
      <x:c r="A3974" s="55" t="str">
        <x:v>誅仙御鐸Ⅴ</x:v>
      </x:c>
      <x:c r="B3974" s="55" t="str">
        <x:v>—</x:v>
      </x:c>
      <x:c r="C3974" s="55" t="str">
        <x:v>—</x:v>
      </x:c>
      <x:c r="D3974" s="55" t="str">
        <x:v>—</x:v>
      </x:c>
      <x:c r="E3974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5" ht="30" customHeight="1">
      <x:c r="A3975" s="55" t="str">
        <x:v>獨眼慧珠Ⅴ</x:v>
      </x:c>
      <x:c r="B3975" s="55" t="str">
        <x:v>—</x:v>
      </x:c>
      <x:c r="C3975" s="55" t="str">
        <x:v>—</x:v>
      </x:c>
      <x:c r="D3975" s="55" t="str">
        <x:v>—</x:v>
      </x:c>
      <x:c r="E3975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6" ht="30" customHeight="1">
      <x:c r="A3976" s="55" t="str">
        <x:v>龍之印信Ⅴ</x:v>
      </x:c>
      <x:c r="B3976" s="55" t="str">
        <x:v>—</x:v>
      </x:c>
      <x:c r="C3976" s="55" t="str">
        <x:v>—</x:v>
      </x:c>
      <x:c r="D3976" s="55" t="str">
        <x:v>—</x:v>
      </x:c>
      <x:c r="E3976" s="55" t="inlineStr">
        <x:is>
          <x:t>神．玄宙劍裝錦囊（網站未列地圖）；神．玄宙術裝錦囊（網站未列地圖）；神．玄宙道裝錦囊（網站未列地圖）；神．玄宙僧裝錦囊（網站未列地圖）；神．玄宙勇裝錦囊（網站未列地圖）</x:t>
        </x:is>
      </x:c>
    </x:row>
    <x:row r="3977" ht="15" customHeight="1">
      <x:c r="A3977" s="55" t="str">
        <x:v>玄武仙鎖</x:v>
      </x:c>
      <x:c r="B3977" s="55" t="str">
        <x:v>—</x:v>
      </x:c>
      <x:c r="C3977" s="55" t="str">
        <x:v>—</x:v>
      </x:c>
      <x:c r="D3977" s="55" t="str">
        <x:v>—</x:v>
      </x:c>
      <x:c r="E3977" s="55" t="inlineStr">
        <x:is>
          <x:t>五鎖仙器錦囊（網站未列地圖）</x:t>
        </x:is>
      </x:c>
    </x:row>
    <x:row r="3978" ht="15" customHeight="1">
      <x:c r="A3978" s="55" t="str">
        <x:v>白虎仙鎖</x:v>
      </x:c>
      <x:c r="B3978" s="55" t="str">
        <x:v>—</x:v>
      </x:c>
      <x:c r="C3978" s="55" t="str">
        <x:v>—</x:v>
      </x:c>
      <x:c r="D3978" s="55" t="str">
        <x:v>—</x:v>
      </x:c>
      <x:c r="E3978" s="55" t="inlineStr">
        <x:is>
          <x:t>五鎖仙器錦囊（網站未列地圖）</x:t>
        </x:is>
      </x:c>
    </x:row>
    <x:row r="3979" ht="15" customHeight="1">
      <x:c r="A3979" s="55" t="str">
        <x:v>青龍仙鎖</x:v>
      </x:c>
      <x:c r="B3979" s="55" t="str">
        <x:v>—</x:v>
      </x:c>
      <x:c r="C3979" s="55" t="str">
        <x:v>—</x:v>
      </x:c>
      <x:c r="D3979" s="55" t="str">
        <x:v>—</x:v>
      </x:c>
      <x:c r="E3979" s="55" t="inlineStr">
        <x:is>
          <x:t>五鎖仙器錦囊（網站未列地圖）</x:t>
        </x:is>
      </x:c>
    </x:row>
    <x:row r="3980" ht="15" customHeight="1">
      <x:c r="A3980" s="55" t="str">
        <x:v>朱雀仙鎖</x:v>
      </x:c>
      <x:c r="B3980" s="55" t="str">
        <x:v>—</x:v>
      </x:c>
      <x:c r="C3980" s="55" t="str">
        <x:v>—</x:v>
      </x:c>
      <x:c r="D3980" s="55" t="str">
        <x:v>—</x:v>
      </x:c>
      <x:c r="E3980" s="55" t="inlineStr">
        <x:is>
          <x:t>五鎖仙器錦囊（網站未列地圖）</x:t>
        </x:is>
      </x:c>
    </x:row>
    <x:row r="3981" ht="15" customHeight="1">
      <x:c r="A3981" s="55" t="str">
        <x:v>麒麟仙鎖</x:v>
      </x:c>
      <x:c r="B3981" s="55" t="str">
        <x:v>—</x:v>
      </x:c>
      <x:c r="C3981" s="55" t="str">
        <x:v>—</x:v>
      </x:c>
      <x:c r="D3981" s="55" t="str">
        <x:v>—</x:v>
      </x:c>
      <x:c r="E3981" s="55" t="inlineStr">
        <x:is>
          <x:t>五鎖仙器錦囊（網站未列地圖）</x:t>
        </x:is>
      </x:c>
    </x:row>
    <x:row r="3982" ht="15" customHeight="1">
      <x:c r="A3982" s="55" t="str">
        <x:v>玄蛇仙戒</x:v>
      </x:c>
      <x:c r="B3982" s="55" t="str">
        <x:v>—</x:v>
      </x:c>
      <x:c r="C3982" s="55" t="str">
        <x:v>—</x:v>
      </x:c>
      <x:c r="D3982" s="55" t="str">
        <x:v>—</x:v>
      </x:c>
      <x:c r="E3982" s="55" t="inlineStr">
        <x:is>
          <x:t>五蛇仙器錦囊（網站未列地圖）</x:t>
        </x:is>
      </x:c>
    </x:row>
    <x:row r="3983" ht="15" customHeight="1">
      <x:c r="A3983" s="55" t="str">
        <x:v>白蛇仙戒</x:v>
      </x:c>
      <x:c r="B3983" s="55" t="str">
        <x:v>—</x:v>
      </x:c>
      <x:c r="C3983" s="55" t="str">
        <x:v>—</x:v>
      </x:c>
      <x:c r="D3983" s="55" t="str">
        <x:v>—</x:v>
      </x:c>
      <x:c r="E3983" s="55" t="inlineStr">
        <x:is>
          <x:t>五蛇仙器錦囊（網站未列地圖）</x:t>
        </x:is>
      </x:c>
    </x:row>
    <x:row r="3984" ht="15" customHeight="1">
      <x:c r="A3984" s="55" t="str">
        <x:v>青蛇仙戒</x:v>
      </x:c>
      <x:c r="B3984" s="55" t="str">
        <x:v>—</x:v>
      </x:c>
      <x:c r="C3984" s="55" t="str">
        <x:v>—</x:v>
      </x:c>
      <x:c r="D3984" s="55" t="str">
        <x:v>—</x:v>
      </x:c>
      <x:c r="E3984" s="55" t="inlineStr">
        <x:is>
          <x:t>五蛇仙器錦囊（網站未列地圖）</x:t>
        </x:is>
      </x:c>
    </x:row>
    <x:row r="3985" ht="15" customHeight="1">
      <x:c r="A3985" s="55" t="str">
        <x:v>朱蛇仙戒</x:v>
      </x:c>
      <x:c r="B3985" s="55" t="str">
        <x:v>—</x:v>
      </x:c>
      <x:c r="C3985" s="55" t="str">
        <x:v>—</x:v>
      </x:c>
      <x:c r="D3985" s="55" t="str">
        <x:v>—</x:v>
      </x:c>
      <x:c r="E3985" s="55" t="inlineStr">
        <x:is>
          <x:t>五蛇仙器錦囊（網站未列地圖）</x:t>
        </x:is>
      </x:c>
    </x:row>
    <x:row r="3986" ht="15" customHeight="1">
      <x:c r="A3986" s="55" t="str">
        <x:v>螣蛇仙戒</x:v>
      </x:c>
      <x:c r="B3986" s="55" t="str">
        <x:v>—</x:v>
      </x:c>
      <x:c r="C3986" s="55" t="str">
        <x:v>—</x:v>
      </x:c>
      <x:c r="D3986" s="55" t="str">
        <x:v>—</x:v>
      </x:c>
      <x:c r="E3986" s="55" t="inlineStr">
        <x:is>
          <x:t>五蛇仙器錦囊（網站未列地圖）</x:t>
        </x:is>
      </x:c>
    </x:row>
    <x:row r="3987" ht="15" customHeight="1">
      <x:c r="A3987" s="55" t="str">
        <x:v>鋼體仙狼牙</x:v>
      </x:c>
      <x:c r="B3987" s="55" t="str">
        <x:v>—</x:v>
      </x:c>
      <x:c r="C3987" s="55" t="str">
        <x:v>—</x:v>
      </x:c>
      <x:c r="D3987" s="55" t="str">
        <x:v>—</x:v>
      </x:c>
      <x:c r="E3987" s="55" t="inlineStr">
        <x:is>
          <x:t>狼牙仙器錦囊（網站未列地圖）</x:t>
        </x:is>
      </x:c>
    </x:row>
    <x:row r="3988" ht="15" customHeight="1">
      <x:c r="A3988" s="55" t="str">
        <x:v>鐵力仙狼牙</x:v>
      </x:c>
      <x:c r="B3988" s="55" t="str">
        <x:v>—</x:v>
      </x:c>
      <x:c r="C3988" s="55" t="str">
        <x:v>—</x:v>
      </x:c>
      <x:c r="D3988" s="55" t="str">
        <x:v>—</x:v>
      </x:c>
      <x:c r="E3988" s="55" t="inlineStr">
        <x:is>
          <x:t>狼牙仙器錦囊（網站未列地圖）</x:t>
        </x:is>
      </x:c>
    </x:row>
    <x:row r="3989" ht="15" customHeight="1">
      <x:c r="A3989" s="55" t="str">
        <x:v>玉智仙狼牙</x:v>
      </x:c>
      <x:c r="B3989" s="55" t="str">
        <x:v>—</x:v>
      </x:c>
      <x:c r="C3989" s="55" t="str">
        <x:v>—</x:v>
      </x:c>
      <x:c r="D3989" s="55" t="str">
        <x:v>—</x:v>
      </x:c>
      <x:c r="E3989" s="55" t="inlineStr">
        <x:is>
          <x:t>狼牙仙器錦囊（網站未列地圖）</x:t>
        </x:is>
      </x:c>
    </x:row>
    <x:row r="3990" ht="15" customHeight="1">
      <x:c r="A3990" s="55" t="str">
        <x:v>銀靈仙狼牙</x:v>
      </x:c>
      <x:c r="B3990" s="55" t="str">
        <x:v>—</x:v>
      </x:c>
      <x:c r="C3990" s="55" t="str">
        <x:v>—</x:v>
      </x:c>
      <x:c r="D3990" s="55" t="str">
        <x:v>—</x:v>
      </x:c>
      <x:c r="E3990" s="55" t="inlineStr">
        <x:is>
          <x:t>狼牙仙器錦囊（網站未列地圖）</x:t>
        </x:is>
      </x:c>
    </x:row>
    <x:row r="3991" ht="15" customHeight="1">
      <x:c r="A3991" s="55" t="str">
        <x:v>金甲仙狼牙</x:v>
      </x:c>
      <x:c r="B3991" s="55" t="str">
        <x:v>—</x:v>
      </x:c>
      <x:c r="C3991" s="55" t="str">
        <x:v>—</x:v>
      </x:c>
      <x:c r="D3991" s="55" t="str">
        <x:v>—</x:v>
      </x:c>
      <x:c r="E3991" s="55" t="inlineStr">
        <x:is>
          <x:t>狼牙仙器錦囊（網站未列地圖）</x:t>
        </x:is>
      </x:c>
    </x:row>
    <x:row r="3992" ht="15" customHeight="1">
      <x:c r="A3992" s="55" t="str">
        <x:v>天空仙劍印</x:v>
      </x:c>
      <x:c r="B3992" s="55" t="str">
        <x:v>—</x:v>
      </x:c>
      <x:c r="C3992" s="55" t="str">
        <x:v>—</x:v>
      </x:c>
      <x:c r="D3992" s="55" t="str">
        <x:v>—</x:v>
      </x:c>
      <x:c r="E3992" s="55" t="inlineStr">
        <x:is>
          <x:t>六兇仙器錦囊（網站未列地圖）</x:t>
        </x:is>
      </x:c>
    </x:row>
    <x:row r="3993" ht="15" customHeight="1">
      <x:c r="A3993" s="55" t="str">
        <x:v>火星仙劍印</x:v>
      </x:c>
      <x:c r="B3993" s="55" t="str">
        <x:v>—</x:v>
      </x:c>
      <x:c r="C3993" s="55" t="str">
        <x:v>—</x:v>
      </x:c>
      <x:c r="D3993" s="55" t="str">
        <x:v>—</x:v>
      </x:c>
      <x:c r="E3993" s="55" t="inlineStr">
        <x:is>
          <x:t>六兇仙器錦囊（網站未列地圖）</x:t>
        </x:is>
      </x:c>
    </x:row>
    <x:row r="3994" ht="15" customHeight="1">
      <x:c r="A3994" s="55" t="str">
        <x:v>地劫仙劍印</x:v>
      </x:c>
      <x:c r="B3994" s="55" t="str">
        <x:v>—</x:v>
      </x:c>
      <x:c r="C3994" s="55" t="str">
        <x:v>—</x:v>
      </x:c>
      <x:c r="D3994" s="55" t="str">
        <x:v>—</x:v>
      </x:c>
      <x:c r="E3994" s="55" t="inlineStr">
        <x:is>
          <x:t>六兇仙器錦囊（網站未列地圖）</x:t>
        </x:is>
      </x:c>
    </x:row>
    <x:row r="3995" ht="15" customHeight="1">
      <x:c r="A3995" s="55" t="str">
        <x:v>鈴星仙劍印</x:v>
      </x:c>
      <x:c r="B3995" s="55" t="str">
        <x:v>—</x:v>
      </x:c>
      <x:c r="C3995" s="55" t="str">
        <x:v>—</x:v>
      </x:c>
      <x:c r="D3995" s="55" t="str">
        <x:v>—</x:v>
      </x:c>
      <x:c r="E3995" s="55" t="inlineStr">
        <x:is>
          <x:t>六兇仙器錦囊（網站未列地圖）</x:t>
        </x:is>
      </x:c>
    </x:row>
    <x:row r="3996" ht="15" customHeight="1">
      <x:c r="A3996" s="55" t="str">
        <x:v>陀羅仙劍印</x:v>
      </x:c>
      <x:c r="B3996" s="55" t="str">
        <x:v>—</x:v>
      </x:c>
      <x:c r="C3996" s="55" t="str">
        <x:v>—</x:v>
      </x:c>
      <x:c r="D3996" s="55" t="str">
        <x:v>—</x:v>
      </x:c>
      <x:c r="E3996" s="55" t="inlineStr">
        <x:is>
          <x:t>六兇仙器錦囊（網站未列地圖）</x:t>
        </x:is>
      </x:c>
    </x:row>
    <x:row r="3997" ht="15" customHeight="1">
      <x:c r="A3997" s="55" t="str">
        <x:v>擎羊仙劍印</x:v>
      </x:c>
      <x:c r="B3997" s="55" t="str">
        <x:v>—</x:v>
      </x:c>
      <x:c r="C3997" s="55" t="str">
        <x:v>—</x:v>
      </x:c>
      <x:c r="D3997" s="55" t="str">
        <x:v>—</x:v>
      </x:c>
      <x:c r="E3997" s="55" t="inlineStr">
        <x:is>
          <x:t>六兇仙器錦囊（網站未列地圖）</x:t>
        </x:is>
      </x:c>
    </x:row>
    <x:row r="3998" ht="15" customHeight="1">
      <x:c r="A3998" s="55" t="str">
        <x:v>魔火仙法陣</x:v>
      </x:c>
      <x:c r="B3998" s="55" t="str">
        <x:v>—</x:v>
      </x:c>
      <x:c r="C3998" s="55" t="str">
        <x:v>—</x:v>
      </x:c>
      <x:c r="D3998" s="55" t="str">
        <x:v>—</x:v>
      </x:c>
      <x:c r="E3998" s="55" t="inlineStr">
        <x:is>
          <x:t>星陣仙器錦囊（網站未列地圖）</x:t>
        </x:is>
      </x:c>
    </x:row>
    <x:row r="3999" ht="15" customHeight="1">
      <x:c r="A3999" s="55" t="str">
        <x:v>魔土仙法陣</x:v>
      </x:c>
      <x:c r="B3999" s="55" t="str">
        <x:v>—</x:v>
      </x:c>
      <x:c r="C3999" s="55" t="str">
        <x:v>—</x:v>
      </x:c>
      <x:c r="D3999" s="55" t="str">
        <x:v>—</x:v>
      </x:c>
      <x:c r="E3999" s="55" t="inlineStr">
        <x:is>
          <x:t>星陣仙器錦囊（網站未列地圖）</x:t>
        </x:is>
      </x:c>
    </x:row>
    <x:row r="4000" ht="15" customHeight="1">
      <x:c r="A4000" s="55" t="str">
        <x:v>魔水仙法陣</x:v>
      </x:c>
      <x:c r="B4000" s="55" t="str">
        <x:v>—</x:v>
      </x:c>
      <x:c r="C4000" s="55" t="str">
        <x:v>—</x:v>
      </x:c>
      <x:c r="D4000" s="55" t="str">
        <x:v>—</x:v>
      </x:c>
      <x:c r="E4000" s="55" t="inlineStr">
        <x:is>
          <x:t>星陣仙器錦囊（網站未列地圖）</x:t>
        </x:is>
      </x:c>
    </x:row>
    <x:row r="4001" ht="15" customHeight="1">
      <x:c r="A4001" s="55" t="str">
        <x:v>魔風仙法陣</x:v>
      </x:c>
      <x:c r="B4001" s="55" t="str">
        <x:v>—</x:v>
      </x:c>
      <x:c r="C4001" s="55" t="str">
        <x:v>—</x:v>
      </x:c>
      <x:c r="D4001" s="55" t="str">
        <x:v>—</x:v>
      </x:c>
      <x:c r="E4001" s="55" t="inlineStr">
        <x:is>
          <x:t>星陣仙器錦囊（網站未列地圖）</x:t>
        </x:is>
      </x:c>
    </x:row>
    <x:row r="4002" ht="15" customHeight="1">
      <x:c r="A4002" s="55" t="str">
        <x:v>魔林仙法陣</x:v>
      </x:c>
      <x:c r="B4002" s="55" t="str">
        <x:v>—</x:v>
      </x:c>
      <x:c r="C4002" s="55" t="str">
        <x:v>—</x:v>
      </x:c>
      <x:c r="D4002" s="55" t="str">
        <x:v>—</x:v>
      </x:c>
      <x:c r="E4002" s="55" t="inlineStr">
        <x:is>
          <x:t>星陣仙器錦囊（網站未列地圖）</x:t>
        </x:is>
      </x:c>
    </x:row>
    <x:row r="4003" ht="15" customHeight="1">
      <x:c r="A4003" s="55" t="str">
        <x:v>魔闇仙法陣</x:v>
      </x:c>
      <x:c r="B4003" s="55" t="str">
        <x:v>—</x:v>
      </x:c>
      <x:c r="C4003" s="55" t="str">
        <x:v>—</x:v>
      </x:c>
      <x:c r="D4003" s="55" t="str">
        <x:v>—</x:v>
      </x:c>
      <x:c r="E4003" s="55" t="inlineStr">
        <x:is>
          <x:t>星陣仙器錦囊（網站未列地圖）</x:t>
        </x:is>
      </x:c>
    </x:row>
    <x:row r="4004" ht="15" customHeight="1">
      <x:c r="A4004" s="55" t="str">
        <x:v>魔光仙法陣</x:v>
      </x:c>
      <x:c r="B4004" s="55" t="str">
        <x:v>—</x:v>
      </x:c>
      <x:c r="C4004" s="55" t="str">
        <x:v>—</x:v>
      </x:c>
      <x:c r="D4004" s="55" t="str">
        <x:v>—</x:v>
      </x:c>
      <x:c r="E4004" s="55" t="inlineStr">
        <x:is>
          <x:t>星陣仙器錦囊（網站未列地圖）</x:t>
        </x:is>
      </x:c>
    </x:row>
    <x:row r="4005" ht="15" customHeight="1">
      <x:c r="A4005" s="55" t="str">
        <x:v>離火仙太極</x:v>
      </x:c>
      <x:c r="B4005" s="55" t="str">
        <x:v>—</x:v>
      </x:c>
      <x:c r="C4005" s="55" t="str">
        <x:v>—</x:v>
      </x:c>
      <x:c r="D4005" s="55" t="str">
        <x:v>—</x:v>
      </x:c>
      <x:c r="E4005" s="55" t="inlineStr">
        <x:is>
          <x:t>太極仙器錦囊（網站未列地圖）</x:t>
        </x:is>
      </x:c>
    </x:row>
    <x:row r="4006" ht="15" customHeight="1">
      <x:c r="A4006" s="55" t="str">
        <x:v>艮山仙太極</x:v>
      </x:c>
      <x:c r="B4006" s="55" t="str">
        <x:v>—</x:v>
      </x:c>
      <x:c r="C4006" s="55" t="str">
        <x:v>—</x:v>
      </x:c>
      <x:c r="D4006" s="55" t="str">
        <x:v>—</x:v>
      </x:c>
      <x:c r="E4006" s="55" t="inlineStr">
        <x:is>
          <x:t>太極仙器錦囊（網站未列地圖）</x:t>
        </x:is>
      </x:c>
    </x:row>
    <x:row r="4007" ht="15" customHeight="1">
      <x:c r="A4007" s="55" t="str">
        <x:v>兌澤仙太極</x:v>
      </x:c>
      <x:c r="B4007" s="55" t="str">
        <x:v>—</x:v>
      </x:c>
      <x:c r="C4007" s="55" t="str">
        <x:v>—</x:v>
      </x:c>
      <x:c r="D4007" s="55" t="str">
        <x:v>—</x:v>
      </x:c>
      <x:c r="E4007" s="55" t="inlineStr">
        <x:is>
          <x:t>太極仙器錦囊（網站未列地圖）</x:t>
        </x:is>
      </x:c>
    </x:row>
    <x:row r="4008" ht="15" customHeight="1">
      <x:c r="A4008" s="55" t="str">
        <x:v>巽風仙太極</x:v>
      </x:c>
      <x:c r="B4008" s="55" t="str">
        <x:v>—</x:v>
      </x:c>
      <x:c r="C4008" s="55" t="str">
        <x:v>—</x:v>
      </x:c>
      <x:c r="D4008" s="55" t="str">
        <x:v>—</x:v>
      </x:c>
      <x:c r="E4008" s="55" t="inlineStr">
        <x:is>
          <x:t>太極仙器錦囊（網站未列地圖）</x:t>
        </x:is>
      </x:c>
    </x:row>
    <x:row r="4009" ht="15" customHeight="1">
      <x:c r="A4009" s="55" t="str">
        <x:v>震雷仙太極</x:v>
      </x:c>
      <x:c r="B4009" s="55" t="str">
        <x:v>—</x:v>
      </x:c>
      <x:c r="C4009" s="55" t="str">
        <x:v>—</x:v>
      </x:c>
      <x:c r="D4009" s="55" t="str">
        <x:v>—</x:v>
      </x:c>
      <x:c r="E4009" s="55" t="inlineStr">
        <x:is>
          <x:t>太極仙器錦囊（網站未列地圖）</x:t>
        </x:is>
      </x:c>
    </x:row>
    <x:row r="4010" ht="15" customHeight="1">
      <x:c r="A4010" s="55" t="str">
        <x:v>乾天仙太極</x:v>
      </x:c>
      <x:c r="B4010" s="55" t="str">
        <x:v>—</x:v>
      </x:c>
      <x:c r="C4010" s="55" t="str">
        <x:v>—</x:v>
      </x:c>
      <x:c r="D4010" s="55" t="str">
        <x:v>—</x:v>
      </x:c>
      <x:c r="E4010" s="55" t="inlineStr">
        <x:is>
          <x:t>太極仙器錦囊（網站未列地圖）</x:t>
        </x:is>
      </x:c>
    </x:row>
    <x:row r="4011" ht="15" customHeight="1">
      <x:c r="A4011" s="55" t="str">
        <x:v>坤地仙太極</x:v>
      </x:c>
      <x:c r="B4011" s="55" t="str">
        <x:v>—</x:v>
      </x:c>
      <x:c r="C4011" s="55" t="str">
        <x:v>—</x:v>
      </x:c>
      <x:c r="D4011" s="55" t="str">
        <x:v>—</x:v>
      </x:c>
      <x:c r="E4011" s="55" t="inlineStr">
        <x:is>
          <x:t>太極仙器錦囊（網站未列地圖）</x:t>
        </x:is>
      </x:c>
    </x:row>
    <x:row r="4012" ht="15" customHeight="1">
      <x:c r="A4012" s="55" t="str">
        <x:v>離虛仙渦石</x:v>
      </x:c>
      <x:c r="B4012" s="55" t="str">
        <x:v>—</x:v>
      </x:c>
      <x:c r="C4012" s="55" t="str">
        <x:v>—</x:v>
      </x:c>
      <x:c r="D4012" s="55" t="str">
        <x:v>—</x:v>
      </x:c>
      <x:c r="E4012" s="55" t="inlineStr">
        <x:is>
          <x:t>虛化仙器錦囊（網站未列地圖）</x:t>
        </x:is>
      </x:c>
    </x:row>
    <x:row r="4013" ht="15" customHeight="1">
      <x:c r="A4013" s="55" t="str">
        <x:v>艮虛仙渦石</x:v>
      </x:c>
      <x:c r="B4013" s="55" t="str">
        <x:v>—</x:v>
      </x:c>
      <x:c r="C4013" s="55" t="str">
        <x:v>—</x:v>
      </x:c>
      <x:c r="D4013" s="55" t="str">
        <x:v>—</x:v>
      </x:c>
      <x:c r="E4013" s="55" t="inlineStr">
        <x:is>
          <x:t>虛化仙器錦囊（網站未列地圖）</x:t>
        </x:is>
      </x:c>
    </x:row>
    <x:row r="4014" ht="15" customHeight="1">
      <x:c r="A4014" s="55" t="str">
        <x:v>兌虛仙渦石</x:v>
      </x:c>
      <x:c r="B4014" s="55" t="str">
        <x:v>—</x:v>
      </x:c>
      <x:c r="C4014" s="55" t="str">
        <x:v>—</x:v>
      </x:c>
      <x:c r="D4014" s="55" t="str">
        <x:v>—</x:v>
      </x:c>
      <x:c r="E4014" s="55" t="inlineStr">
        <x:is>
          <x:t>虛化仙器錦囊（網站未列地圖）</x:t>
        </x:is>
      </x:c>
    </x:row>
    <x:row r="4015" ht="15" customHeight="1">
      <x:c r="A4015" s="55" t="str">
        <x:v>巽虛仙渦石</x:v>
      </x:c>
      <x:c r="B4015" s="55" t="str">
        <x:v>—</x:v>
      </x:c>
      <x:c r="C4015" s="55" t="str">
        <x:v>—</x:v>
      </x:c>
      <x:c r="D4015" s="55" t="str">
        <x:v>—</x:v>
      </x:c>
      <x:c r="E4015" s="55" t="inlineStr">
        <x:is>
          <x:t>虛化仙器錦囊（網站未列地圖）</x:t>
        </x:is>
      </x:c>
    </x:row>
    <x:row r="4016" ht="15" customHeight="1">
      <x:c r="A4016" s="55" t="str">
        <x:v>震虛仙渦石</x:v>
      </x:c>
      <x:c r="B4016" s="55" t="str">
        <x:v>—</x:v>
      </x:c>
      <x:c r="C4016" s="55" t="str">
        <x:v>—</x:v>
      </x:c>
      <x:c r="D4016" s="55" t="str">
        <x:v>—</x:v>
      </x:c>
      <x:c r="E4016" s="55" t="inlineStr">
        <x:is>
          <x:t>虛化仙器錦囊（網站未列地圖）</x:t>
        </x:is>
      </x:c>
    </x:row>
    <x:row r="4017" ht="15" customHeight="1">
      <x:c r="A4017" s="55" t="str">
        <x:v>乾虛仙渦石</x:v>
      </x:c>
      <x:c r="B4017" s="55" t="str">
        <x:v>—</x:v>
      </x:c>
      <x:c r="C4017" s="55" t="str">
        <x:v>—</x:v>
      </x:c>
      <x:c r="D4017" s="55" t="str">
        <x:v>—</x:v>
      </x:c>
      <x:c r="E4017" s="55" t="inlineStr">
        <x:is>
          <x:t>虛化仙器錦囊（網站未列地圖）</x:t>
        </x:is>
      </x:c>
    </x:row>
    <x:row r="4018" ht="15" customHeight="1">
      <x:c r="A4018" s="55" t="str">
        <x:v>坤虛仙渦石</x:v>
      </x:c>
      <x:c r="B4018" s="55" t="str">
        <x:v>—</x:v>
      </x:c>
      <x:c r="C4018" s="55" t="str">
        <x:v>—</x:v>
      </x:c>
      <x:c r="D4018" s="55" t="str">
        <x:v>—</x:v>
      </x:c>
      <x:c r="E4018" s="55" t="inlineStr">
        <x:is>
          <x:t>虛化仙器錦囊（網站未列地圖）</x:t>
        </x:is>
      </x:c>
    </x:row>
    <x:row r="4019" ht="15" customHeight="1">
      <x:c r="A4019" s="55" t="str">
        <x:v>修羅仙劫輪</x:v>
      </x:c>
      <x:c r="B4019" s="55" t="str">
        <x:v>—</x:v>
      </x:c>
      <x:c r="C4019" s="55" t="str">
        <x:v>—</x:v>
      </x:c>
      <x:c r="D4019" s="55" t="str">
        <x:v>—</x:v>
      </x:c>
      <x:c r="E4019" s="55" t="inlineStr">
        <x:is>
          <x:t>武俠仙器錦囊（網站未列地圖）；修羅魔君鬼魂（魔君陵寢二層）</x:t>
        </x:is>
      </x:c>
    </x:row>
    <x:row r="4020" ht="30" customHeight="1">
      <x:c r="A4020" s="55" t="str">
        <x:v>溯時仙沙漏</x:v>
      </x:c>
      <x:c r="B4020" s="55" t="str">
        <x:v>—</x:v>
      </x:c>
      <x:c r="C4020" s="55" t="str">
        <x:v>—</x:v>
      </x:c>
      <x:c r="D4020" s="55" t="str">
        <x:v>—</x:v>
      </x:c>
      <x:c r="E4020" s="55" t="inlineStr">
        <x:is>
          <x:t>武俠仙器錦囊（網站未列地圖）；拉‧荷魯斯（荷魯斯聖祠）；再生黑后（平西關、終末之塔第70層）；真‧艾濟神王寶箱（網站未列地圖）</x:t>
        </x:is>
      </x:c>
    </x:row>
    <x:row r="4021" ht="60" customHeight="1">
      <x:c r="A4021" s="55" t="str">
        <x:v>雲龍仙煌陣</x:v>
      </x:c>
      <x:c r="B4021" s="55" t="str">
        <x:v>—</x:v>
      </x:c>
      <x:c r="C4021" s="55" t="str">
        <x:v>—</x:v>
      </x:c>
      <x:c r="D4021" s="55" t="str">
        <x:v>—</x:v>
      </x:c>
      <x:c r="E4021" s="55" t="inlineStr">
        <x:is>
          <x:t>長疆仙器錦囊（網站未列地圖）；武俠仙器錦囊（網站未列地圖）；武冠劍俠錦囊（網站未列地圖）；武冠勇士錦囊（網站未列地圖）；武冠術者錦囊（網站未列地圖）；武冠道人錦囊（網站未列地圖）；武冠僧侶錦囊（網站未列地圖）；天元術者錦囊（網站未列地圖）；天元道人錦囊（網站未列地圖）；天元僧侶錦囊（網站未列地圖）；雙十一福袋（網站未列地圖）；飛雲大將軍（神州武冠台）</x:t>
        </x:is>
      </x:c>
    </x:row>
    <x:row r="4022" ht="30" customHeight="1">
      <x:c r="A4022" s="55" t="str">
        <x:v>八卦仙天鏡</x:v>
      </x:c>
      <x:c r="B4022" s="55" t="str">
        <x:v>—</x:v>
      </x:c>
      <x:c r="C4022" s="55" t="str">
        <x:v>—</x:v>
      </x:c>
      <x:c r="D4022" s="55" t="str">
        <x:v>—</x:v>
      </x:c>
      <x:c r="E4022" s="55" t="inlineStr">
        <x:is>
          <x:t>長疆仙器錦囊（網站未列地圖）；神人獨尊錦囊（網站未列地圖）；飛雲大將軍（神州武冠台）；虎年寶箱（網站未列地圖）；聖誕霹靂紅襪（網站未列地圖）</x:t>
        </x:is>
      </x:c>
    </x:row>
    <x:row r="4023" ht="15" customHeight="1">
      <x:c r="A4023" s="55" t="str">
        <x:v>光武仙宮幃</x:v>
      </x:c>
      <x:c r="B4023" s="55" t="str">
        <x:v>—</x:v>
      </x:c>
      <x:c r="C4023" s="55" t="str">
        <x:v>—</x:v>
      </x:c>
      <x:c r="D4023" s="55" t="str">
        <x:v>—</x:v>
      </x:c>
      <x:c r="E4023" s="55" t="inlineStr">
        <x:is>
          <x:t>傾天絕邪（寒愴冰獄）；麻辣俠神錦囊（網站未列地圖）；超‧大秘境寶箱（網站未列地圖）</x:t>
        </x:is>
      </x:c>
    </x:row>
    <x:row r="4024" ht="30" customHeight="1">
      <x:c r="A4024" s="55" t="str">
        <x:v>奇解仙命域</x:v>
      </x:c>
      <x:c r="B4024" s="55" t="str">
        <x:v>—</x:v>
      </x:c>
      <x:c r="C4024" s="55" t="str">
        <x:v>—</x:v>
      </x:c>
      <x:c r="D4024" s="55" t="str">
        <x:v>—</x:v>
      </x:c>
      <x:c r="E4024" s="55" t="inlineStr">
        <x:is>
          <x:t>長疆仙器錦囊（網站未列地圖）；麻辣俠域錦囊（網站未列地圖）；降世．虛空主宰（修羅級黃龍秘殿）；真．黃龍御命寶箱（網站未列地圖）；虛還大秦始皇帝（黃龍秘殿）；黃龍御命寶箱（網站未列地圖）</x:t>
        </x:is>
      </x:c>
    </x:row>
    <x:row r="4025" ht="30" customHeight="1">
      <x:c r="A4025" s="55" t="str">
        <x:v>奇解仙氣域</x:v>
      </x:c>
      <x:c r="B4025" s="55" t="str">
        <x:v>—</x:v>
      </x:c>
      <x:c r="C4025" s="55" t="str">
        <x:v>—</x:v>
      </x:c>
      <x:c r="D4025" s="55" t="str">
        <x:v>—</x:v>
      </x:c>
      <x:c r="E4025" s="55" t="inlineStr">
        <x:is>
          <x:t>長疆仙器錦囊（網站未列地圖）；麻辣俠神錦囊（網站未列地圖）；降世．虛空主宰（修羅級黃龍秘殿）；真．黃龍御命寶箱（網站未列地圖）；虛還大秦始皇帝（黃龍秘殿）；黃龍御命寶箱（網站未列地圖）</x:t>
        </x:is>
      </x:c>
    </x:row>
    <x:row r="4026" ht="75" customHeight="1">
      <x:c r="A4026" s="55" t="str">
        <x:v>高麗太王碑</x:v>
      </x:c>
      <x:c r="B4026" s="55" t="str">
        <x:v>—</x:v>
      </x:c>
      <x:c r="C4026" s="55" t="str">
        <x:v>—</x:v>
      </x:c>
      <x:c r="D4026" s="55" t="str">
        <x:v>—</x:v>
      </x:c>
      <x:c r="E4026" s="55" t="inlineStr">
        <x:is>
          <x:t>長疆仙器錦囊（網站未列地圖）；南遼仙器錦囊（網站未列地圖）；龍川仙器錦囊（網站未列地圖）；赤膽長疆錦囊（網站未列地圖）；天元劍俠錦囊（網站未列地圖）；天元勇士錦囊（網站未列地圖）；虛還西楚霸王（漢京首府）；絕七寶仙境寶箱（網站未列地圖）；◥松齡聖龜◤（絕七寶仙境　參）；◥來世象尊◤（絕七寶仙境　參）；◢松齡聖龜◣（絕七寶仙境　參）；◢來世象尊◣（絕七寶仙境　參）；▓松齡聖龜▓（絕七寶仙境　參）；▓來世象尊▓（絕七寶仙境　參）</x:t>
        </x:is>
      </x:c>
    </x:row>
    <x:row r="4027" ht="45" customHeight="1">
      <x:c r="A4027" s="55" t="str">
        <x:v>普信仙鐘譜</x:v>
      </x:c>
      <x:c r="B4027" s="55" t="str">
        <x:v>—</x:v>
      </x:c>
      <x:c r="C4027" s="55" t="str">
        <x:v>—</x:v>
      </x:c>
      <x:c r="D4027" s="55" t="str">
        <x:v>—</x:v>
      </x:c>
      <x:c r="E4027" s="55" t="inlineStr">
        <x:is>
          <x:t>起義二十錦囊（網站未列地圖）；絕．玉旭神龍（修羅級五鷹閣）；真．五鷹天閣寶箱（網站未列地圖）；天門教至尊（五鷹閣、修羅級五鷹閣）；五鷹天閣寶箱（網站未列地圖）；&lt;天門教至尊&gt;（網站未列地圖）；新世紀．武神（網站未列地圖）；新紀武神寶箱（網站未列地圖）</x:t>
        </x:is>
      </x:c>
    </x:row>
    <x:row r="4028" ht="30" customHeight="1">
      <x:c r="A4028" s="55" t="str">
        <x:v>秋夕仙嘉鏡</x:v>
      </x:c>
      <x:c r="B4028" s="55" t="str">
        <x:v>—</x:v>
      </x:c>
      <x:c r="C4028" s="55" t="str">
        <x:v>—</x:v>
      </x:c>
      <x:c r="D4028" s="55" t="str">
        <x:v>—</x:v>
      </x:c>
      <x:c r="E4028" s="55" t="inlineStr">
        <x:is>
          <x:t>南遼仙器錦囊（網站未列地圖）；真‧大秘境寶箱（網站未列地圖）；新世紀．活佛（網站未列地圖）；新紀活佛寶箱（網站未列地圖）</x:t>
        </x:is>
      </x:c>
    </x:row>
    <x:row r="4029" ht="15" customHeight="1">
      <x:c r="A4029" s="55" t="str">
        <x:v>血海仙虛幡</x:v>
      </x:c>
      <x:c r="B4029" s="55" t="str">
        <x:v>—</x:v>
      </x:c>
      <x:c r="C4029" s="55" t="str">
        <x:v>—</x:v>
      </x:c>
      <x:c r="D4029" s="55" t="str">
        <x:v>—</x:v>
      </x:c>
      <x:c r="E4029" s="55" t="inlineStr">
        <x:is>
          <x:t>虛空秘境仙器錦囊（網站未列地圖）；鑽身神司印曷闐（修羅級神王金字塔）</x:t>
        </x:is>
      </x:c>
    </x:row>
    <x:row r="4030" ht="15" customHeight="1">
      <x:c r="A4030" s="55" t="str">
        <x:v>玄謎虛淵局</x:v>
      </x:c>
      <x:c r="B4030" s="55" t="str">
        <x:v>—</x:v>
      </x:c>
      <x:c r="C4030" s="55" t="str">
        <x:v>—</x:v>
      </x:c>
      <x:c r="D4030" s="55" t="str">
        <x:v>—</x:v>
      </x:c>
      <x:c r="E4030" s="55" t="inlineStr">
        <x:is>
          <x:t>虛空秘境仙器錦囊（網站未列地圖）；傾國之金‧九尾（網站未列地圖）</x:t>
        </x:is>
      </x:c>
    </x:row>
    <x:row r="4031" ht="15" customHeight="1">
      <x:c r="A4031" s="55" t="str">
        <x:v>邪說虛王誌</x:v>
      </x:c>
      <x:c r="B4031" s="55" t="str">
        <x:v>—</x:v>
      </x:c>
      <x:c r="C4031" s="55" t="str">
        <x:v>—</x:v>
      </x:c>
      <x:c r="D4031" s="55" t="str">
        <x:v>—</x:v>
      </x:c>
      <x:c r="E4031" s="55" t="inlineStr">
        <x:is>
          <x:t>虛空秘境仙器錦囊（網站未列地圖）；始皇帝（網站未列地圖）</x:t>
        </x:is>
      </x:c>
    </x:row>
    <x:row r="4032" ht="15" customHeight="1">
      <x:c r="A4032" s="55" t="str">
        <x:v>虛幽邪龍陣</x:v>
      </x:c>
      <x:c r="B4032" s="55" t="str">
        <x:v>—</x:v>
      </x:c>
      <x:c r="C4032" s="55" t="str">
        <x:v>—</x:v>
      </x:c>
      <x:c r="D4032" s="55" t="str">
        <x:v>—</x:v>
      </x:c>
      <x:c r="E4032" s="55" t="inlineStr">
        <x:is>
          <x:t>虛空秘境仙器錦囊（網站未列地圖）</x:t>
        </x:is>
      </x:c>
    </x:row>
    <x:row r="4033" ht="15" customHeight="1">
      <x:c r="A4033" s="55" t="str">
        <x:v>妄史虛誕志</x:v>
      </x:c>
      <x:c r="B4033" s="55" t="str">
        <x:v>—</x:v>
      </x:c>
      <x:c r="C4033" s="55" t="str">
        <x:v>—</x:v>
      </x:c>
      <x:c r="D4033" s="55" t="str">
        <x:v>—</x:v>
      </x:c>
      <x:c r="E4033" s="55" t="inlineStr">
        <x:is>
          <x:t>虛空秘境仙器錦囊（網站未列地圖）</x:t>
        </x:is>
      </x:c>
    </x:row>
    <x:row r="4034" ht="30" customHeight="1">
      <x:c r="A4034" s="55" t="str">
        <x:v>絢華仙櫻陣</x:v>
      </x:c>
      <x:c r="B4034" s="55" t="str">
        <x:v>—</x:v>
      </x:c>
      <x:c r="C4034" s="55" t="str">
        <x:v>—</x:v>
      </x:c>
      <x:c r="D4034" s="55" t="str">
        <x:v>—</x:v>
      </x:c>
      <x:c r="E4034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5" ht="30" customHeight="1">
      <x:c r="A4035" s="55" t="str">
        <x:v>淨流仙葉陣</x:v>
      </x:c>
      <x:c r="B4035" s="55" t="str">
        <x:v>—</x:v>
      </x:c>
      <x:c r="C4035" s="55" t="str">
        <x:v>—</x:v>
      </x:c>
      <x:c r="D4035" s="55" t="str">
        <x:v>—</x:v>
      </x:c>
      <x:c r="E4035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6" ht="30" customHeight="1">
      <x:c r="A4036" s="55" t="str">
        <x:v>絕凜仙雪陣</x:v>
      </x:c>
      <x:c r="B4036" s="55" t="str">
        <x:v>—</x:v>
      </x:c>
      <x:c r="C4036" s="55" t="str">
        <x:v>—</x:v>
      </x:c>
      <x:c r="D4036" s="55" t="str">
        <x:v>—</x:v>
      </x:c>
      <x:c r="E4036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7" ht="30" customHeight="1">
      <x:c r="A4037" s="55" t="str">
        <x:v>瀧激仙電陣</x:v>
      </x:c>
      <x:c r="B4037" s="55" t="str">
        <x:v>—</x:v>
      </x:c>
      <x:c r="C4037" s="55" t="str">
        <x:v>—</x:v>
      </x:c>
      <x:c r="D4037" s="55" t="str">
        <x:v>—</x:v>
      </x:c>
      <x:c r="E4037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8" ht="30" customHeight="1">
      <x:c r="A4038" s="55" t="str">
        <x:v>千兩仙花陣</x:v>
      </x:c>
      <x:c r="B4038" s="55" t="str">
        <x:v>—</x:v>
      </x:c>
      <x:c r="C4038" s="55" t="str">
        <x:v>—</x:v>
      </x:c>
      <x:c r="D4038" s="55" t="str">
        <x:v>—</x:v>
      </x:c>
      <x:c r="E4038" s="55" t="inlineStr">
        <x:is>
          <x:t>南遼仙器錦囊（網站未列地圖）；泰源仙器錦囊（網站未列地圖）；龍川仙器錦囊（網站未列地圖）；始祖劾龍王（始祖巨林）</x:t>
        </x:is>
      </x:c>
    </x:row>
    <x:row r="4039" ht="30" customHeight="1">
      <x:c r="A4039" s="55" t="str">
        <x:v>六脈仙吟賦</x:v>
      </x:c>
      <x:c r="B4039" s="55" t="str">
        <x:v>—</x:v>
      </x:c>
      <x:c r="C4039" s="55" t="str">
        <x:v>—</x:v>
      </x:c>
      <x:c r="D4039" s="55" t="str">
        <x:v>—</x:v>
      </x:c>
      <x:c r="E4039" s="55" t="inlineStr">
        <x:is>
          <x:t>侯氏兵甲福袋2023（網站未列地圖）；終塔之寶&lt;XII&gt;（終末之塔第113層、終末之塔第122層）；真大秘境寶箱（網站未列地圖）</x:t>
        </x:is>
      </x:c>
    </x:row>
    <x:row r="4040" ht="15" customHeight="1">
      <x:c r="A4040" s="55" t="str">
        <x:v>凝氣仙方錄</x:v>
      </x:c>
      <x:c r="B4040" s="55" t="str">
        <x:v>—</x:v>
      </x:c>
      <x:c r="C4040" s="55" t="str">
        <x:v>—</x:v>
      </x:c>
      <x:c r="D4040" s="55" t="str">
        <x:v>—</x:v>
      </x:c>
      <x:c r="E4040" s="55" t="inlineStr">
        <x:is>
          <x:t>泰源仙器錦囊（網站未列地圖）；布雷克（玉旭之巔）；玉旭之巔寶箱（網站未列地圖）</x:t>
        </x:is>
      </x:c>
    </x:row>
    <x:row r="4041" ht="15" customHeight="1">
      <x:c r="A4041" s="55" t="str">
        <x:v>顛夢虛幻抄</x:v>
      </x:c>
      <x:c r="B4041" s="55" t="str">
        <x:v>—</x:v>
      </x:c>
      <x:c r="C4041" s="55" t="str">
        <x:v>—</x:v>
      </x:c>
      <x:c r="D4041" s="55" t="str">
        <x:v>—</x:v>
      </x:c>
      <x:c r="E4041" s="55" t="inlineStr">
        <x:is>
          <x:t>虛空秘境仙器錦囊（網站未列地圖）</x:t>
        </x:is>
      </x:c>
    </x:row>
    <x:row r="4042" ht="30" customHeight="1">
      <x:c r="A4042" s="55" t="str">
        <x:v>王狼淵壑檄</x:v>
      </x:c>
      <x:c r="B4042" s="55" t="str">
        <x:v>—</x:v>
      </x:c>
      <x:c r="C4042" s="55" t="str">
        <x:v>—</x:v>
      </x:c>
      <x:c r="D4042" s="55" t="str">
        <x:v>—</x:v>
      </x:c>
      <x:c r="E4042" s="55" t="inlineStr">
        <x:is>
          <x:t>泰源仙器錦囊（網站未列地圖）；龍川仙器錦囊（網站未列地圖）；神島勇士錦囊（網站未列地圖）；始祖劾龍王（始祖巨林）</x:t>
        </x:is>
      </x:c>
    </x:row>
    <x:row r="4043" ht="30" customHeight="1">
      <x:c r="A4043" s="55" t="str">
        <x:v>王狼連山檄</x:v>
      </x:c>
      <x:c r="B4043" s="55" t="str">
        <x:v>—</x:v>
      </x:c>
      <x:c r="C4043" s="55" t="str">
        <x:v>—</x:v>
      </x:c>
      <x:c r="D4043" s="55" t="str">
        <x:v>—</x:v>
      </x:c>
      <x:c r="E4043" s="55" t="inlineStr">
        <x:is>
          <x:t>泰源仙器錦囊（網站未列地圖）；龍川仙器錦囊（網站未列地圖）；神島劍俠錦囊（網站未列地圖）；始祖劾龍王（始祖巨林）</x:t>
        </x:is>
      </x:c>
    </x:row>
    <x:row r="4044" ht="30" customHeight="1">
      <x:c r="A4044" s="55" t="str">
        <x:v>王狼雪川檄</x:v>
      </x:c>
      <x:c r="B4044" s="55" t="str">
        <x:v>—</x:v>
      </x:c>
      <x:c r="C4044" s="55" t="str">
        <x:v>—</x:v>
      </x:c>
      <x:c r="D4044" s="55" t="str">
        <x:v>—</x:v>
      </x:c>
      <x:c r="E4044" s="55" t="inlineStr">
        <x:is>
          <x:t>泰源仙器錦囊（網站未列地圖）；龍川仙器錦囊（網站未列地圖）；神島道人錦囊（網站未列地圖）；神島僧侶錦囊（網站未列地圖）；始祖劾龍王（始祖巨林）</x:t>
        </x:is>
      </x:c>
    </x:row>
    <x:row r="4045" ht="30" customHeight="1">
      <x:c r="A4045" s="55" t="str">
        <x:v>王狼千風檄</x:v>
      </x:c>
      <x:c r="B4045" s="55" t="str">
        <x:v>—</x:v>
      </x:c>
      <x:c r="C4045" s="55" t="str">
        <x:v>—</x:v>
      </x:c>
      <x:c r="D4045" s="55" t="str">
        <x:v>—</x:v>
      </x:c>
      <x:c r="E4045" s="55" t="inlineStr">
        <x:is>
          <x:t>泰源仙器錦囊（網站未列地圖）；龍川仙器錦囊（網站未列地圖）；神島術者錦囊（網站未列地圖）；始祖劾龍王（始祖巨林）</x:t>
        </x:is>
      </x:c>
    </x:row>
    <x:row r="4046" ht="15" customHeight="1">
      <x:c r="A4046" s="55" t="str">
        <x:v>守一仙領域</x:v>
      </x:c>
      <x:c r="B4046" s="55" t="str">
        <x:v>—</x:v>
      </x:c>
      <x:c r="C4046" s="55" t="str">
        <x:v>—</x:v>
      </x:c>
      <x:c r="D4046" s="55" t="str">
        <x:v>—</x:v>
      </x:c>
      <x:c r="E4046" s="55" t="inlineStr">
        <x:is>
          <x:t>侯氏兵甲福袋2024（網站未列地圖）；極大秘境寶箱（網站未列地圖）；紅龍寶箱（網站未列地圖）</x:t>
        </x:is>
      </x:c>
    </x:row>
    <x:row r="4047" ht="30" customHeight="1">
      <x:c r="A4047" s="55" t="str">
        <x:v>丹田仙引芯</x:v>
      </x:c>
      <x:c r="B4047" s="55" t="str">
        <x:v>—</x:v>
      </x:c>
      <x:c r="C4047" s="55" t="str">
        <x:v>—</x:v>
      </x:c>
      <x:c r="D4047" s="55" t="str">
        <x:v>—</x:v>
      </x:c>
      <x:c r="E4047" s="55" t="inlineStr">
        <x:is>
          <x:t>龍川仙器錦囊（網站未列地圖）；麻辣熱浪錦囊（網站未列地圖）；真大秘境寶箱（網站未列地圖）；超．玉旭之巔寶箱（網站未列地圖）</x:t>
        </x:is>
      </x:c>
    </x:row>
    <x:row r="4048" ht="15" customHeight="1">
      <x:c r="A4048" s="55" t="str">
        <x:v>無方虛衡尺</x:v>
      </x:c>
      <x:c r="B4048" s="55" t="str">
        <x:v>—</x:v>
      </x:c>
      <x:c r="C4048" s="55" t="str">
        <x:v>—</x:v>
      </x:c>
      <x:c r="D4048" s="55" t="str">
        <x:v>—</x:v>
      </x:c>
      <x:c r="E4048" s="55" t="inlineStr">
        <x:is>
          <x:t>虛空秘境仙器錦囊（網站未列地圖）</x:t>
        </x:is>
      </x:c>
    </x:row>
    <x:row r="4049" ht="15" customHeight="1">
      <x:c r="A4049" s="55" t="str">
        <x:v>觀宇虛天鏡</x:v>
      </x:c>
      <x:c r="B4049" s="55" t="str">
        <x:v>—</x:v>
      </x:c>
      <x:c r="C4049" s="55" t="str">
        <x:v>—</x:v>
      </x:c>
      <x:c r="D4049" s="55" t="str">
        <x:v>—</x:v>
      </x:c>
      <x:c r="E4049" s="55" t="inlineStr">
        <x:is>
          <x:t>虛空秘境仙器錦囊（網站未列地圖）</x:t>
        </x:is>
      </x:c>
    </x:row>
    <x:row r="4050" ht="15" customHeight="1">
      <x:c r="A4050" s="55" t="str">
        <x:v>費解虛迴圈</x:v>
      </x:c>
      <x:c r="B4050" s="55" t="str">
        <x:v>—</x:v>
      </x:c>
      <x:c r="C4050" s="55" t="str">
        <x:v>—</x:v>
      </x:c>
      <x:c r="D4050" s="55" t="str">
        <x:v>—</x:v>
      </x:c>
      <x:c r="E4050" s="55" t="inlineStr">
        <x:is>
          <x:t>虛空秘境仙器錦囊（網站未列地圖）</x:t>
        </x:is>
      </x:c>
    </x:row>
    <x:row r="4051" ht="15" customHeight="1">
      <x:c r="A4051" s="55" t="str">
        <x:v>落魂虛敕幡</x:v>
      </x:c>
      <x:c r="B4051" s="55" t="str">
        <x:v>—</x:v>
      </x:c>
      <x:c r="C4051" s="55" t="str">
        <x:v>—</x:v>
      </x:c>
      <x:c r="D4051" s="55" t="str">
        <x:v>—</x:v>
      </x:c>
      <x:c r="E4051" s="55" t="inlineStr">
        <x:is>
          <x:t>虛空秘境仙器錦囊（網站未列地圖）</x:t>
        </x:is>
      </x:c>
    </x:row>
    <x:row r="4052" ht="15" customHeight="1">
      <x:c r="A4052" s="55" t="str">
        <x:v>無度虛量衡</x:v>
      </x:c>
      <x:c r="B4052" s="55" t="str">
        <x:v>—</x:v>
      </x:c>
      <x:c r="C4052" s="55" t="str">
        <x:v>—</x:v>
      </x:c>
      <x:c r="D4052" s="55" t="str">
        <x:v>—</x:v>
      </x:c>
      <x:c r="E4052" s="55" t="inlineStr">
        <x:is>
          <x:t>虛空秘境仙器錦囊（網站未列地圖）</x:t>
        </x:is>
      </x:c>
    </x:row>
    <x:row r="4053" ht="15" customHeight="1">
      <x:c r="A4053" s="55" t="str">
        <x:v>九日仙塹環</x:v>
      </x:c>
      <x:c r="B4053" s="55" t="str">
        <x:v>—</x:v>
      </x:c>
      <x:c r="C4053" s="55" t="str">
        <x:v>—</x:v>
      </x:c>
      <x:c r="D4053" s="55" t="str">
        <x:v>土星仙器配方</x:v>
      </x:c>
      <x:c r="E4053" s="55" t="inlineStr">
        <x:is>
          <x:t>龍川仙器錦囊（網站未列地圖）</x:t>
        </x:is>
      </x:c>
    </x:row>
    <x:row r="4054" ht="15" customHeight="1">
      <x:c r="A4054" s="55" t="str">
        <x:v>九日仙海環</x:v>
      </x:c>
      <x:c r="B4054" s="55" t="str">
        <x:v>—</x:v>
      </x:c>
      <x:c r="C4054" s="55" t="str">
        <x:v>—</x:v>
      </x:c>
      <x:c r="D4054" s="55" t="str">
        <x:v>海星仙器配方</x:v>
      </x:c>
      <x:c r="E4054" s="55" t="inlineStr">
        <x:is>
          <x:t>龍川仙器錦囊（網站未列地圖）</x:t>
        </x:is>
      </x:c>
    </x:row>
    <x:row r="4055" ht="15" customHeight="1">
      <x:c r="A4055" s="55" t="str">
        <x:v>九日仙松環</x:v>
      </x:c>
      <x:c r="B4055" s="55" t="str">
        <x:v>—</x:v>
      </x:c>
      <x:c r="C4055" s="55" t="str">
        <x:v>—</x:v>
      </x:c>
      <x:c r="D4055" s="55" t="str">
        <x:v>木星仙器配方</x:v>
      </x:c>
      <x:c r="E4055" s="55" t="inlineStr">
        <x:is>
          <x:t>龍川仙器錦囊（網站未列地圖）</x:t>
        </x:is>
      </x:c>
    </x:row>
    <x:row r="4056" ht="15" customHeight="1">
      <x:c r="A4056" s="55" t="str">
        <x:v>九日仙幽環</x:v>
      </x:c>
      <x:c r="B4056" s="55" t="str">
        <x:v>—</x:v>
      </x:c>
      <x:c r="C4056" s="55" t="str">
        <x:v>—</x:v>
      </x:c>
      <x:c r="D4056" s="55" t="str">
        <x:v>冥星仙器配方</x:v>
      </x:c>
      <x:c r="E4056" s="55" t="inlineStr">
        <x:is>
          <x:t>龍川仙器錦囊（網站未列地圖）</x:t>
        </x:is>
      </x:c>
    </x:row>
    <x:row r="4057" ht="30" customHeight="1">
      <x:c r="A4057" s="55" t="str">
        <x:v>藏龍仙晶洞</x:v>
      </x:c>
      <x:c r="B4057" s="55" t="str">
        <x:v>—</x:v>
      </x:c>
      <x:c r="C4057" s="55" t="str">
        <x:v>—</x:v>
      </x:c>
      <x:c r="D4057" s="55" t="str">
        <x:v>—</x:v>
      </x:c>
      <x:c r="E4057" s="55" t="inlineStr">
        <x:is>
          <x:t>龍川仙器錦囊（網站未列地圖）；軫瑯王．辰紫荊（俠隱樓）；俠隱樓寶箱（網站未列地圖）；{軫瑯王．辰紫荊}（獨鬥級俠隱樓）</x:t>
        </x:is>
      </x:c>
    </x:row>
    <x:row r="4058" ht="15" customHeight="1">
      <x:c r="A4058" s="55" t="str">
        <x:v>重力平衡器</x:v>
      </x:c>
      <x:c r="B4058" s="55" t="str">
        <x:v>—</x:v>
      </x:c>
      <x:c r="C4058" s="55" t="str">
        <x:v>—</x:v>
      </x:c>
      <x:c r="D4058" s="55" t="str">
        <x:v>—</x:v>
      </x:c>
      <x:c r="E4058" s="55" t="inlineStr">
        <x:is>
          <x:t>侯氏兵甲福袋2025（網站未列地圖）；通寶院麗寶箱（網站未列地圖）</x:t>
        </x:is>
      </x:c>
    </x:row>
    <x:row r="4059" ht="30" customHeight="1">
      <x:c r="A4059" s="55" t="str">
        <x:v>低溫防護罩</x:v>
      </x:c>
      <x:c r="B4059" s="55" t="str">
        <x:v>—</x:v>
      </x:c>
      <x:c r="C4059" s="55" t="str">
        <x:v>—</x:v>
      </x:c>
      <x:c r="D4059" s="55" t="str">
        <x:v>—</x:v>
      </x:c>
      <x:c r="E4059" s="55" t="inlineStr">
        <x:is>
          <x:t>龍川仙器錦囊（網站未列地圖）；焰騰麻辣錦囊（網站未列地圖）；幻三蘇童顏錦囊（網站未列地圖）；極大秘境寶箱（網站未列地圖）；幻三蘇童顏寶箱（網站未列地圖）</x:t>
        </x:is>
      </x:c>
    </x:row>
    <x:row r="4060" ht="30" customHeight="1">
      <x:c r="A4060" s="55" t="str">
        <x:v>西狩仙麟角</x:v>
      </x:c>
      <x:c r="B4060" s="55" t="str">
        <x:v>—</x:v>
      </x:c>
      <x:c r="C4060" s="55" t="str">
        <x:v>—</x:v>
      </x:c>
      <x:c r="D4060" s="55" t="str">
        <x:v>—</x:v>
      </x:c>
      <x:c r="E4060" s="55" t="inlineStr">
        <x:is>
          <x:t>侯氏兵甲福袋2026（網站未列地圖）；超‧大秘境寶箱（網站未列地圖）；怒相．辰紫荊（修羅級俠隱樓）；真．俠隱樓寶箱（網站未列地圖）</x:t>
        </x:is>
      </x:c>
    </x:row>
    <x:row r="4061" ht="15" customHeight="1">
      <x:c r="A4061" s="55" t="str">
        <x:v>風水仙律盤</x:v>
      </x:c>
      <x:c r="B4061" s="55" t="str">
        <x:v>—</x:v>
      </x:c>
      <x:c r="C4061" s="55" t="str">
        <x:v>—</x:v>
      </x:c>
      <x:c r="D4061" s="55" t="str">
        <x:v>—</x:v>
      </x:c>
      <x:c r="E4061" s="55" t="inlineStr">
        <x:is>
          <x:t>麻辣爆刃錦囊（網站未列地圖）；真‧大秘境寶箱（網站未列地圖）</x:t>
        </x:is>
      </x:c>
    </x:row>
    <x:row r="4062" ht="15" customHeight="1">
      <x:c r="A4062" s="55" t="str">
        <x:v>龍川仙鉛華</x:v>
      </x:c>
      <x:c r="B4062" s="55" t="str">
        <x:v>龍川事變主線任務獎勵</x:v>
      </x:c>
      <x:c r="C4062" s="55" t="str">
        <x:v>—</x:v>
      </x:c>
      <x:c r="D4062" s="55" t="str">
        <x:v>—</x:v>
      </x:c>
      <x:c r="E4062" s="55" t="inlineStr">
        <x:is>
          <x:t>—</x:t>
        </x:is>
      </x:c>
    </x:row>
    <x:row r="4063" ht="15" customHeight="1">
      <x:c r="A4063" s="55" t="str">
        <x:v>熔鑄金礦配方</x:v>
      </x:c>
      <x:c r="B4063" s="55" t="str">
        <x:v>—</x:v>
      </x:c>
      <x:c r="C4063" s="55" t="str">
        <x:v>玄州煉丹術士</x:v>
      </x:c>
      <x:c r="D4063" s="55" t="str">
        <x:v>—</x:v>
      </x:c>
      <x:c r="E4063" s="55" t="inlineStr">
        <x:is>
          <x:t>—</x:t>
        </x:is>
      </x:c>
    </x:row>
    <x:row r="4064" ht="15" customHeight="1">
      <x:c r="A4064" s="55" t="str">
        <x:v>熔鑄銀礦配方</x:v>
      </x:c>
      <x:c r="B4064" s="55" t="str">
        <x:v>—</x:v>
      </x:c>
      <x:c r="C4064" s="55" t="str">
        <x:v>玄州煉丹術士</x:v>
      </x:c>
      <x:c r="D4064" s="55" t="str">
        <x:v>—</x:v>
      </x:c>
      <x:c r="E4064" s="55" t="inlineStr">
        <x:is>
          <x:t>—</x:t>
        </x:is>
      </x:c>
    </x:row>
    <x:row r="4065" ht="15" customHeight="1">
      <x:c r="A4065" s="55" t="str">
        <x:v>熔鑄銅礦配方</x:v>
      </x:c>
      <x:c r="B4065" s="55" t="str">
        <x:v>—</x:v>
      </x:c>
      <x:c r="C4065" s="55" t="str">
        <x:v>玄州煉丹術士</x:v>
      </x:c>
      <x:c r="D4065" s="55" t="str">
        <x:v>—</x:v>
      </x:c>
      <x:c r="E4065" s="55" t="inlineStr">
        <x:is>
          <x:t>—</x:t>
        </x:is>
      </x:c>
    </x:row>
    <x:row r="4066" ht="15" customHeight="1">
      <x:c r="A4066" s="55" t="str">
        <x:v>熔鑄鐵礦配方</x:v>
      </x:c>
      <x:c r="B4066" s="55" t="str">
        <x:v>—</x:v>
      </x:c>
      <x:c r="C4066" s="55" t="str">
        <x:v>玄州煉丹術士</x:v>
      </x:c>
      <x:c r="D4066" s="55" t="str">
        <x:v>—</x:v>
      </x:c>
      <x:c r="E4066" s="55" t="inlineStr">
        <x:is>
          <x:t>—</x:t>
        </x:is>
      </x:c>
    </x:row>
    <x:row r="4067" ht="15" customHeight="1">
      <x:c r="A4067" s="55" t="str">
        <x:v>熔鑄錫礦配方</x:v>
      </x:c>
      <x:c r="B4067" s="55" t="str">
        <x:v>—</x:v>
      </x:c>
      <x:c r="C4067" s="55" t="str">
        <x:v>玄州煉丹術士</x:v>
      </x:c>
      <x:c r="D4067" s="55" t="str">
        <x:v>—</x:v>
      </x:c>
      <x:c r="E4067" s="55" t="inlineStr">
        <x:is>
          <x:t>—</x:t>
        </x:is>
      </x:c>
    </x:row>
    <x:row r="4068" ht="45" customHeight="1">
      <x:c r="A4068" s="55" t="str">
        <x:v>鑄煉金塊配方</x:v>
      </x:c>
      <x:c r="B4068" s="55" t="str">
        <x:v>—</x:v>
      </x:c>
      <x:c r="C4068" s="55" t="str">
        <x:v>—</x:v>
      </x:c>
      <x:c r="D4068" s="55" t="str">
        <x:v>—</x:v>
      </x:c>
      <x:c r="E4068" s="55" t="inlineStr">
        <x:is>
          <x:t>礫岩龜（塔干沙漠南方、塔干沙漠西方）；巨靈魔（亂藤林、毒龍潭、摘星嶺、魔君陵墓）；巨靈魔王（摘星嶺、魔君陵墓、魔君陵寢一層、修羅窟）；銅石龜（塔干沙漠南方、塔干沙漠西方、樓蘭遺址）；[銅石龜]（網站未列地圖）</x:t>
        </x:is>
      </x:c>
    </x:row>
    <x:row r="4069" ht="30" customHeight="1">
      <x:c r="A4069" s="55" t="str">
        <x:v>鑄煉銀塊配方</x:v>
      </x:c>
      <x:c r="B4069" s="55" t="str">
        <x:v>—</x:v>
      </x:c>
      <x:c r="C4069" s="55" t="str">
        <x:v>—</x:v>
      </x:c>
      <x:c r="D4069" s="55" t="str">
        <x:v>—</x:v>
      </x:c>
      <x:c r="E4069" s="55" t="inlineStr">
        <x:is>
          <x:t>夜叉王（摘星嶺、夜叉嶺）；夜叉王（玄州城、獄門峽、摘星嶺、夜叉嶺、異時界‧摘星嶺）；夜叉刺客（鎮南關）；礫岩龜（塔干沙漠南方、塔干沙漠西方）；岩龜（塔干沙漠東方、塔干沙漠南方、樓蘭遺址）</x:t>
        </x:is>
      </x:c>
    </x:row>
    <x:row r="4070" ht="15" customHeight="1">
      <x:c r="A4070" s="55" t="str">
        <x:v>鑄煉銅塊配方</x:v>
      </x:c>
      <x:c r="B4070" s="55" t="str">
        <x:v>—</x:v>
      </x:c>
      <x:c r="C4070" s="55" t="str">
        <x:v>玄州煉丹術士</x:v>
      </x:c>
      <x:c r="D4070" s="55" t="str">
        <x:v>—</x:v>
      </x:c>
      <x:c r="E4070" s="55" t="inlineStr">
        <x:is>
          <x:t>—</x:t>
        </x:is>
      </x:c>
    </x:row>
    <x:row r="4071" ht="15" customHeight="1">
      <x:c r="A4071" s="55" t="str">
        <x:v>鑄煉鐵塊配方</x:v>
      </x:c>
      <x:c r="B4071" s="55" t="str">
        <x:v>—</x:v>
      </x:c>
      <x:c r="C4071" s="55" t="str">
        <x:v>玄州煉丹術士</x:v>
      </x:c>
      <x:c r="D4071" s="55" t="str">
        <x:v>—</x:v>
      </x:c>
      <x:c r="E4071" s="55" t="inlineStr">
        <x:is>
          <x:t>—</x:t>
        </x:is>
      </x:c>
    </x:row>
    <x:row r="4072" ht="15" customHeight="1">
      <x:c r="A4072" s="55" t="str">
        <x:v>鑄煉錫塊配方</x:v>
      </x:c>
      <x:c r="B4072" s="55" t="str">
        <x:v>—</x:v>
      </x:c>
      <x:c r="C4072" s="55" t="str">
        <x:v>玄州煉丹術士</x:v>
      </x:c>
      <x:c r="D4072" s="55" t="str">
        <x:v>—</x:v>
      </x:c>
      <x:c r="E4072" s="55" t="inlineStr">
        <x:is>
          <x:t>—</x:t>
        </x:is>
      </x:c>
    </x:row>
    <x:row r="4073" ht="15" customHeight="1">
      <x:c r="A4073" s="55" t="str">
        <x:v>天神符石配方</x:v>
      </x:c>
      <x:c r="B4073" s="55" t="str">
        <x:v>九曲-天下奇材錄</x:v>
      </x:c>
      <x:c r="C4073" s="55" t="str">
        <x:v>九曲邪徑四海術士</x:v>
      </x:c>
      <x:c r="D4073" s="55" t="str">
        <x:v>—</x:v>
      </x:c>
      <x:c r="E4073" s="55" t="inlineStr">
        <x:is>
          <x:t>—</x:t>
        </x:is>
      </x:c>
    </x:row>
    <x:row r="4074" ht="15" customHeight="1">
      <x:c r="A4074" s="55" t="str">
        <x:v>七曜符石配方</x:v>
      </x:c>
      <x:c r="B4074" s="55" t="str">
        <x:v>九曲-天下奇材錄</x:v>
      </x:c>
      <x:c r="C4074" s="55" t="str">
        <x:v>九曲邪徑四海術士</x:v>
      </x:c>
      <x:c r="D4074" s="55" t="str">
        <x:v>—</x:v>
      </x:c>
      <x:c r="E4074" s="55" t="inlineStr">
        <x:is>
          <x:t>—</x:t>
        </x:is>
      </x:c>
    </x:row>
    <x:row r="4075" ht="15" customHeight="1">
      <x:c r="A4075" s="55" t="str">
        <x:v>聖獸血魄配方</x:v>
      </x:c>
      <x:c r="B4075" s="55" t="str">
        <x:v>—</x:v>
      </x:c>
      <x:c r="C4075" s="55" t="str">
        <x:v>蠱毒洞府特殊商人</x:v>
      </x:c>
      <x:c r="D4075" s="55" t="str">
        <x:v>—</x:v>
      </x:c>
      <x:c r="E4075" s="55" t="inlineStr">
        <x:is>
          <x:t>—</x:t>
        </x:is>
      </x:c>
    </x:row>
    <x:row r="4076" ht="15" customHeight="1">
      <x:c r="A4076" s="55" t="str">
        <x:v>天鋼之心配方</x:v>
      </x:c>
      <x:c r="B4076" s="55" t="str">
        <x:v>九曲-天下奇材錄</x:v>
      </x:c>
      <x:c r="C4076" s="55" t="str">
        <x:v>九曲邪徑四海術士</x:v>
      </x:c>
      <x:c r="D4076" s="55" t="str">
        <x:v>—</x:v>
      </x:c>
      <x:c r="E4076" s="55" t="inlineStr">
        <x:is>
          <x:t>—</x:t>
        </x:is>
      </x:c>
    </x:row>
    <x:row r="4077" ht="15" customHeight="1">
      <x:c r="A4077" s="55" t="str">
        <x:v>鋼粹還原配方</x:v>
      </x:c>
      <x:c r="B4077" s="55" t="str">
        <x:v>九曲-天下奇材錄</x:v>
      </x:c>
      <x:c r="C4077" s="55" t="str">
        <x:v>九曲邪徑四海術士</x:v>
      </x:c>
      <x:c r="D4077" s="55" t="str">
        <x:v>—</x:v>
      </x:c>
      <x:c r="E4077" s="55" t="inlineStr">
        <x:is>
          <x:t>—</x:t>
        </x:is>
      </x:c>
    </x:row>
    <x:row r="4078" ht="15" customHeight="1">
      <x:c r="A4078" s="55" t="str">
        <x:v>天藥之菁配方</x:v>
      </x:c>
      <x:c r="B4078" s="55" t="str">
        <x:v>九曲-天下奇材錄</x:v>
      </x:c>
      <x:c r="C4078" s="55" t="str">
        <x:v>九曲邪徑四海術士</x:v>
      </x:c>
      <x:c r="D4078" s="55" t="str">
        <x:v>—</x:v>
      </x:c>
      <x:c r="E4078" s="55" t="inlineStr">
        <x:is>
          <x:t>—</x:t>
        </x:is>
      </x:c>
    </x:row>
    <x:row r="4079" ht="15" customHeight="1">
      <x:c r="A4079" s="55" t="str">
        <x:v>藥煉還原配方</x:v>
      </x:c>
      <x:c r="B4079" s="55" t="str">
        <x:v>九曲-天下奇材錄</x:v>
      </x:c>
      <x:c r="C4079" s="55" t="str">
        <x:v>九曲邪徑四海術士</x:v>
      </x:c>
      <x:c r="D4079" s="55" t="str">
        <x:v>—</x:v>
      </x:c>
      <x:c r="E4079" s="55" t="inlineStr">
        <x:is>
          <x:t>—</x:t>
        </x:is>
      </x:c>
    </x:row>
    <x:row r="4080" ht="15" customHeight="1">
      <x:c r="A4080" s="55" t="str">
        <x:v>阿薩真金配方</x:v>
      </x:c>
      <x:c r="B4080" s="55" t="str">
        <x:v>—</x:v>
      </x:c>
      <x:c r="C4080" s="55" t="str">
        <x:v>星群碎道-虛空龍主</x:v>
      </x:c>
      <x:c r="D4080" s="55" t="str">
        <x:v>—</x:v>
      </x:c>
      <x:c r="E4080" s="55" t="inlineStr">
        <x:is>
          <x:t>—</x:t>
        </x:is>
      </x:c>
    </x:row>
    <x:row r="4081" ht="15" customHeight="1">
      <x:c r="A4081" s="55" t="str">
        <x:v>創星源質配方</x:v>
      </x:c>
      <x:c r="B4081" s="55" t="str">
        <x:v>—</x:v>
      </x:c>
      <x:c r="C4081" s="55" t="str">
        <x:v>星群碎道-虛空龍主</x:v>
      </x:c>
      <x:c r="D4081" s="55" t="str">
        <x:v>—</x:v>
      </x:c>
      <x:c r="E4081" s="55" t="inlineStr">
        <x:is>
          <x:t>—</x:t>
        </x:is>
      </x:c>
    </x:row>
    <x:row r="4082" ht="15" customHeight="1">
      <x:c r="A4082" s="55" t="str">
        <x:v>造星煌碧配方</x:v>
      </x:c>
      <x:c r="B4082" s="55" t="str">
        <x:v>—</x:v>
      </x:c>
      <x:c r="C4082" s="55" t="str">
        <x:v>星群碎道-虛空龍主</x:v>
      </x:c>
      <x:c r="D4082" s="55" t="str">
        <x:v>—</x:v>
      </x:c>
      <x:c r="E4082" s="55" t="inlineStr">
        <x:is>
          <x:t>—</x:t>
        </x:is>
      </x:c>
    </x:row>
    <x:row r="4083" ht="60" customHeight="1">
      <x:c r="A4083" s="55" t="str">
        <x:v>皇龍純金配方</x:v>
      </x:c>
      <x:c r="B4083" s="55" t="str">
        <x:v>—</x:v>
      </x:c>
      <x:c r="C4083" s="55" t="str">
        <x:v>—</x:v>
      </x:c>
      <x:c r="D4083" s="55" t="str">
        <x:v>—</x:v>
      </x:c>
      <x:c r="E4083" s="55" t="inlineStr">
        <x:is>
          <x:t>鎮國黑虎騎（藏意武窟）；火霸機關長（藏意武窟）；東庭古木（東宮碧庭）；麗火魔法使（西宮翠苑）；踏雲頂俠宗（西校場）；金蓮碧手（西宮翠苑）；西校鎮軍（皇城）；武冠勇軍（皇城）；東校場精衛（東校場）；黑水潭俠宗（西校場）；高麗劍客（齊襄道、太安道、東海道、溥山新郡）；衛郡武官（溥山新郡、白餘古城）；戰嵐雄豪（始祖巨林．東、始祖巨林．西）；戰嵐女巫（旭陽山徑）；奔潮鹿（鷗揚浪嶼）；合成鷹人（白苗峽岸）</x:t>
        </x:is>
      </x:c>
    </x:row>
    <x:row r="4084" ht="75" customHeight="1">
      <x:c r="A4084" s="55" t="str">
        <x:v>皇龍星銀配方</x:v>
      </x:c>
      <x:c r="B4084" s="55" t="str">
        <x:v>—</x:v>
      </x:c>
      <x:c r="C4084" s="55" t="str">
        <x:v>—</x:v>
      </x:c>
      <x:c r="D4084" s="55" t="str">
        <x:v>—</x:v>
      </x:c>
      <x:c r="E4084" s="55" t="inlineStr">
        <x:is>
          <x:t>雷霸機關長（藏意武窟）；武窟精衛（藏意武窟）；西校精衛（皇城）；武冠驍衛（皇城）；東校場司尉（東校場）；葬劍崖俠宗（西校場）；紫霞山俠宗（西校場）；亭台聽蝶（東宮碧庭）；深靈化水（東宮碧庭）；羅剎逸姝（西宮翠苑）；艾濟武姬（西宮翠苑）；薙首夜叉（濟馬島）；襲關姝（山海長疆、太安道）；量產宮國步兵（桃谷縱道）；戰嵐烈英（始祖巨林．東、始祖巨林．西）；達律族女（臺興中州）；雨陽蜥（琉瑯岩灣）；南遼水靈（殊雁峽）；方舟空拍機（南瞻聖地）；方舟電眼（白苗峽岸）</x:t>
        </x:is>
      </x:c>
    </x:row>
    <x:row r="4085" ht="75" customHeight="1">
      <x:c r="A4085" s="55" t="str">
        <x:v>皇龍至鋼配方</x:v>
      </x:c>
      <x:c r="B4085" s="55" t="str">
        <x:v>—</x:v>
      </x:c>
      <x:c r="C4085" s="55" t="str">
        <x:v>—</x:v>
      </x:c>
      <x:c r="D4085" s="55" t="str">
        <x:v>—</x:v>
      </x:c>
      <x:c r="E4085" s="55" t="inlineStr">
        <x:is>
          <x:t>武窟先銳（藏意武窟）；遠襲機關兵（藏意武窟）；東校精衛（皇城）；東校鎮軍（皇城）；東校場鎮軍（東校場）；山林地俠宗（西校場）；磐石精（東宮碧庭）；扶疏樹精（東宮碧庭）；北原俠女（西宮翠苑）；北妖蔘（山海長疆、太安道）；鳴梁霸腿（濟馬島）；量產宮國弓兵（桃谷縱道）；血鞭騎兵（祥鷺古街）；達律族民（臺興中州）；海蝸牛（琉瑯岩灣）；厚絨犀（旭陽山徑）；落羽棕熊（殊雁峽）；機動木兵（葭雲廣原）；岷白戰士（白苗峽岸）</x:t>
        </x:is>
      </x:c>
    </x:row>
    <x:row r="4086" ht="60" customHeight="1">
      <x:c r="A4086" s="55" t="str">
        <x:v>七星封甕配方</x:v>
      </x:c>
      <x:c r="B4086" s="55" t="str">
        <x:v>—</x:v>
      </x:c>
      <x:c r="C4086" s="55" t="str">
        <x:v>火雲洞府特殊商人、蠱毒洞府特殊商人、怒雪洞府特殊商人、蒼狼大營特殊商人、古北大營特殊商人、統萬大營特殊商人</x:v>
      </x:c>
      <x:c r="D4086" s="55" t="str">
        <x:v>—</x:v>
      </x:c>
      <x:c r="E4086" s="55" t="inlineStr">
        <x:is>
          <x:t>七星集字包裹（網站未列地圖）；修仙真選配方錦囊（網站未列地圖）</x:t>
        </x:is>
      </x:c>
    </x:row>
    <x:row r="4087" ht="60" customHeight="1">
      <x:c r="A4087" s="55" t="str">
        <x:v>八卦封甕配方</x:v>
      </x:c>
      <x:c r="B4087" s="55" t="str">
        <x:v>—</x:v>
      </x:c>
      <x:c r="C4087" s="55" t="str">
        <x:v>火雲洞府特殊商人、蠱毒洞府特殊商人、怒雪洞府特殊商人、蒼狼大營特殊商人、古北大營特殊商人、統萬大營特殊商人</x:v>
      </x:c>
      <x:c r="D4087" s="55" t="str">
        <x:v>—</x:v>
      </x:c>
      <x:c r="E4087" s="55" t="inlineStr">
        <x:is>
          <x:t>八卦集字包裹（網站未列地圖）；修仙真選配方錦囊（網站未列地圖）</x:t>
        </x:is>
      </x:c>
    </x:row>
    <x:row r="4088" ht="60" customHeight="1">
      <x:c r="A4088" s="55" t="str">
        <x:v>九如封甕配方</x:v>
      </x:c>
      <x:c r="B4088" s="55" t="str">
        <x:v>—</x:v>
      </x:c>
      <x:c r="C4088" s="55" t="str">
        <x:v>火雲洞府特殊商人、蠱毒洞府特殊商人、怒雪洞府特殊商人、蒼狼大營特殊商人、古北大營特殊商人、統萬大營特殊商人</x:v>
      </x:c>
      <x:c r="D4088" s="55" t="str">
        <x:v>—</x:v>
      </x:c>
      <x:c r="E4088" s="55" t="inlineStr">
        <x:is>
          <x:t>修仙真選配方錦囊（網站未列地圖）</x:t>
        </x:is>
      </x:c>
    </x:row>
    <x:row r="4089" ht="15" customHeight="1">
      <x:c r="A4089" s="55" t="str">
        <x:v>十錦封甕配方</x:v>
      </x:c>
      <x:c r="B4089" s="55" t="str">
        <x:v>—</x:v>
      </x:c>
      <x:c r="C4089" s="55" t="str">
        <x:v>—</x:v>
      </x:c>
      <x:c r="D4089" s="55" t="str">
        <x:v>—</x:v>
      </x:c>
      <x:c r="E4089" s="55" t="inlineStr">
        <x:is>
          <x:t>十錦集字包裹（網站未列地圖）；修仙真選配方錦囊（網站未列地圖）</x:t>
        </x:is>
      </x:c>
    </x:row>
    <x:row r="4090" ht="45" customHeight="1">
      <x:c r="A4090" s="55" t="str">
        <x:v>抗毒符配方</x:v>
      </x:c>
      <x:c r="B4090" s="55" t="str">
        <x:v>—</x:v>
      </x:c>
      <x:c r="C4090" s="55" t="str">
        <x:v>—</x:v>
      </x:c>
      <x:c r="D4090" s="55" t="str">
        <x:v>—</x:v>
      </x:c>
      <x:c r="E4090" s="55" t="inlineStr">
        <x:is>
          <x:t>傀儡羅剎槍士（網站未列地圖）；羅剎槍士遊魂（網站未列地圖）；羅剎槍士（塔干沙漠西方）；叢林毒蠍（千佛遺跡東側）；火螫蠍（烈火靈界裂隙）；冰鑽蠍（怒雪靈界裂隙）；青毒蠍（瘴癘靈界裂隙）；赤蠍子（巨猿洞窟二層、亂藤林東方、摘星嶺、棲鳳崖、塔干沙漠東方）</x:t>
        </x:is>
      </x:c>
    </x:row>
    <x:row r="4091" ht="45" customHeight="1">
      <x:c r="A4091" s="55" t="str">
        <x:v>抗盲符配方</x:v>
      </x:c>
      <x:c r="B4091" s="55" t="str">
        <x:v>—</x:v>
      </x:c>
      <x:c r="C4091" s="55" t="str">
        <x:v>—</x:v>
      </x:c>
      <x:c r="D4091" s="55" t="str">
        <x:v>—</x:v>
      </x:c>
      <x:c r="E4091" s="55" t="inlineStr">
        <x:is>
          <x:t>傀儡羅剎劍俠（網站未列地圖）；羅剎劍俠（塔干沙漠西方）；羅剎劍俠遊魂（網站未列地圖）；千年蟾蜍精（百妖穴第二層）；[千年蟾蜍精]（網站未列地圖）；蟾蜍怪客（平西關）；蟾蜍精（百妖穴第一層、百妖穴第二層、盤蛇洞）；赤蜥蜴（亂藤林西方、鷹翅族部落、夜叉嶺、棲鳳崖）；洞穴蜥蜴（地靈穴）</x:t>
        </x:is>
      </x:c>
    </x:row>
    <x:row r="4092" ht="45" customHeight="1">
      <x:c r="A4092" s="55" t="str">
        <x:v>解定符配方</x:v>
      </x:c>
      <x:c r="B4092" s="55" t="str">
        <x:v>—</x:v>
      </x:c>
      <x:c r="C4092" s="55" t="str">
        <x:v>—</x:v>
      </x:c>
      <x:c r="D4092" s="55" t="str">
        <x:v>—</x:v>
      </x:c>
      <x:c r="E4092" s="55" t="inlineStr">
        <x:is>
          <x:t>傀儡羅剎鞭手（網站未列地圖）；羅剎鞭子手（塔干沙漠西方）；羅剎鞭手遊魂（網站未列地圖）；千年蜘蛛精（百妖穴第二層）；火影蜘蛛精（烈火靈界裂隙）；冰封蜘蛛精（怒雪靈界裂隙）；五毒蜘蛛精（瘴癘靈界裂隙）；蜘蛛精（百妖穴第一層、百妖穴第二層、盤蛇洞）；[蜘蛛精]（網站未列地圖）</x:t>
        </x:is>
      </x:c>
    </x:row>
    <x:row r="4093" ht="45" customHeight="1">
      <x:c r="A4093" s="55" t="str">
        <x:v>解咒符配方</x:v>
      </x:c>
      <x:c r="B4093" s="55" t="str">
        <x:v>—</x:v>
      </x:c>
      <x:c r="C4093" s="55" t="str">
        <x:v>—</x:v>
      </x:c>
      <x:c r="D4093" s="55" t="str">
        <x:v>—</x:v>
      </x:c>
      <x:c r="E4093" s="55" t="inlineStr">
        <x:is>
          <x:t>藤村龍二（神室關所）；逸劍流劍師（神室關所）；逸劍流副首（內崎埠原）；逸劍流統主（外崎埠原）；南野誠（天山雪道）；羅剎部隊長（塔干沙漠西方）；羅剎男妖（火焰山）；羅剎女妖（火焰山）；死靈骷髏（魔君陵墓）；幽魂（鬼城）；屍妖（鬼城）；死靈弓手（魔君陵墓）</x:t>
        </x:is>
      </x:c>
    </x:row>
    <x:row r="4094" ht="30" customHeight="1">
      <x:c r="A4094" s="55" t="str">
        <x:v>強效金創配方</x:v>
      </x:c>
      <x:c r="B4094" s="55" t="str">
        <x:v>—</x:v>
      </x:c>
      <x:c r="C4094" s="55" t="str">
        <x:v>—</x:v>
      </x:c>
      <x:c r="D4094" s="55" t="str">
        <x:v>—</x:v>
      </x:c>
      <x:c r="E4094" s="55" t="inlineStr">
        <x:is>
          <x:t>修羅族大魔王（網站未列地圖）；經典配方古盒（網站未列地圖）；百變紅包袋（網站未列地圖）；桃花福袋（網站未列地圖）</x:t>
        </x:is>
      </x:c>
    </x:row>
    <x:row r="4095" ht="30" customHeight="1">
      <x:c r="A4095" s="55" t="str">
        <x:v>強效行氣配方</x:v>
      </x:c>
      <x:c r="B4095" s="55" t="str">
        <x:v>—</x:v>
      </x:c>
      <x:c r="C4095" s="55" t="str">
        <x:v>—</x:v>
      </x:c>
      <x:c r="D4095" s="55" t="str">
        <x:v>—</x:v>
      </x:c>
      <x:c r="E4095" s="55" t="inlineStr">
        <x:is>
          <x:t>修羅族大魔王（網站未列地圖）；經典配方古盒（網站未列地圖）；百變紅包袋（網站未列地圖）；桃花福袋（網站未列地圖）</x:t>
        </x:is>
      </x:c>
    </x:row>
    <x:row r="4096" ht="45" customHeight="1">
      <x:c r="A4096" s="55" t="str">
        <x:v>強效聚力配方</x:v>
      </x:c>
      <x:c r="B4096" s="55" t="str">
        <x:v>—</x:v>
      </x:c>
      <x:c r="C4096" s="55" t="str">
        <x:v>—</x:v>
      </x:c>
      <x:c r="D4096" s="55" t="str">
        <x:v>—</x:v>
      </x:c>
      <x:c r="E4096" s="55" t="inlineStr">
        <x:is>
          <x:t>沙暴颶靈（火焰山）；妖化沙蟲（火焰山）；刑天魔王（葬日沼澤南方）；西域沙蟲（塔干沙漠東方、樓蘭遺址）；狼斑沙蟲（塔干沙漠東方、萬佛窟、樓蘭遺址）；刑天戰狂（亂藤林、葬日沼澤、葬日沼澤南方）；刑天戰狂（亂藤林、葬日沼澤、葬日沼澤南方、異時界‧亂藤林）</x:t>
        </x:is>
      </x:c>
    </x:row>
    <x:row r="4097" ht="45" customHeight="1">
      <x:c r="A4097" s="55" t="str">
        <x:v>強效健骨配方</x:v>
      </x:c>
      <x:c r="B4097" s="55" t="str">
        <x:v>—</x:v>
      </x:c>
      <x:c r="C4097" s="55" t="str">
        <x:v>—</x:v>
      </x:c>
      <x:c r="D4097" s="55" t="str">
        <x:v>—</x:v>
      </x:c>
      <x:c r="E4097" s="55" t="inlineStr">
        <x:is>
          <x:t>沙暴颶靈（火焰山）；火岩龜（火焰山）；礫岩龜（塔干沙漠南方、塔干沙漠西方）；土行鬼王（亂藤林、亂藤林南方、葬日沼澤、魔君陵墓、靖南古道、修羅窟）；土行者（亂藤林、亂藤林東方、亂藤林南方、葬日沼澤、魔君陵墓、靖南古道、修羅窟、千佛遺跡東側）；岩龜（塔干沙漠東方、塔干沙漠南方、樓蘭遺址）</x:t>
        </x:is>
      </x:c>
    </x:row>
    <x:row r="4098" ht="60" customHeight="1">
      <x:c r="A4098" s="55" t="str">
        <x:v>強效醒腦配方</x:v>
      </x:c>
      <x:c r="B4098" s="55" t="str">
        <x:v>—</x:v>
      </x:c>
      <x:c r="C4098" s="55" t="str">
        <x:v>—</x:v>
      </x:c>
      <x:c r="D4098" s="55" t="str">
        <x:v>—</x:v>
      </x:c>
      <x:c r="E4098" s="55" t="inlineStr">
        <x:is>
          <x:t>沙暴颶靈（火焰山）；鬼禿鷹（火焰山）；百眼長老（摘星嶺、魔君陵墓、魔君陵寢一層、魔君陵寢二層）；百眼密探（毒龍潭）；百眼巫師（毒龍潭、摘星嶺、魔君陵墓、魔君陵寢一層、魔君陵寢二層、修羅窟）；禿鷹（塔干沙漠東方、塔干沙漠南方、樓蘭遺址、火焰山）；巨禿鷹（塔干沙漠東方、塔干沙漠南方、萬佛窟、樓蘭遺址、火焰山）；[巨禿鷹]（網站未列地圖）</x:t>
        </x:is>
      </x:c>
    </x:row>
    <x:row r="4099" ht="45" customHeight="1">
      <x:c r="A4099" s="55" t="str">
        <x:v>強效輕身配方</x:v>
      </x:c>
      <x:c r="B4099" s="55" t="str">
        <x:v>—</x:v>
      </x:c>
      <x:c r="C4099" s="55" t="str">
        <x:v>—</x:v>
      </x:c>
      <x:c r="D4099" s="55" t="str">
        <x:v>—</x:v>
      </x:c>
      <x:c r="E4099" s="55" t="inlineStr">
        <x:is>
          <x:t>沙暴颶靈（火焰山）；邪跳鼠（火焰山）；金翅王（鷹翅族部落）；飛毛跳鼠（塔干沙漠東方、塔干沙漠西方、萬佛窟、樓蘭遺址）；[飛毛跳鼠]（網站未列地圖）；鷹族戰士（葬日沼澤、摘星嶺、鷹翅族部落）；跳鼠（塔干沙漠東方、樓蘭遺址）</x:t>
        </x:is>
      </x:c>
    </x:row>
    <x:row r="4100" ht="75" customHeight="1">
      <x:c r="A4100" s="55" t="str">
        <x:v>小還丹配方</x:v>
      </x:c>
      <x:c r="B4100" s="55" t="str">
        <x:v>—</x:v>
      </x:c>
      <x:c r="C4100" s="55" t="str">
        <x:v>—</x:v>
      </x:c>
      <x:c r="D4100" s="55" t="str">
        <x:v>—</x:v>
      </x:c>
      <x:c r="E4100" s="55" t="inlineStr">
        <x:is>
          <x:t>食人虎（封神臺、亂藤林西方、鷹翅族部落、掩月松林、八達嶺、古北口）；天山食人虎（天山冰池）；[天山食人虎]（網站未列地圖）；白巨虎（天山冰池）；老虎（碧波谷徑、封神臺、亂藤林西方、鷹翅族部落、瀰煙山道、掩月松林、八達嶺、古北口、塞北草原）；天山老虎（天山冰池）；叢林猛虎（千佛遺跡東側、千佛遺跡西側）；荒野猛虎（菩提聖原、大梵河岸）；嗜血頭陀（天山雪道、亂藤林東方）；天邪道人（長林谷）；秘法僧（天山雪道、亂藤林東方）</x:t>
        </x:is>
      </x:c>
    </x:row>
    <x:row r="4101" ht="45" customHeight="1">
      <x:c r="A4101" s="55" t="str">
        <x:v>大還丹配方</x:v>
      </x:c>
      <x:c r="B4101" s="55" t="str">
        <x:v>—</x:v>
      </x:c>
      <x:c r="C4101" s="55" t="str">
        <x:v>—</x:v>
      </x:c>
      <x:c r="D4101" s="55" t="str">
        <x:v>—</x:v>
      </x:c>
      <x:c r="E4101" s="55" t="inlineStr">
        <x:is>
          <x:t>食人巨猿（猢猻嶺、巨猿洞窟一層、巨猿洞窟二層、八達嶺、古北口）；山神豬（五派禁地）；狂猿（巨猿洞窟二層、碧波幽谷、亂藤林南方、摘星嶺、夜叉嶺）；巨狂猿（巨猿洞窟二層、碧波幽谷、摘星嶺、夜叉嶺）；綠毛狂猿（巨猿洞窟二層、碧波幽谷、夜叉嶺）；紅毛巨猿（猢猻嶺、巨猿洞窟一層、巨猿洞窟二層）；長林狂猿（長林谷）</x:t>
        </x:is>
      </x:c>
    </x:row>
    <x:row r="4102" ht="30" customHeight="1">
      <x:c r="A4102" s="55" t="str">
        <x:v>神效聚力配方</x:v>
      </x:c>
      <x:c r="B4102" s="55" t="str">
        <x:v>—</x:v>
      </x:c>
      <x:c r="C4102" s="55" t="str">
        <x:v>—</x:v>
      </x:c>
      <x:c r="D4102" s="55" t="str">
        <x:v>—</x:v>
      </x:c>
      <x:c r="E4102" s="55" t="inlineStr">
        <x:is>
          <x:t>神效靈藥配方（網站未列地圖）；熊武者（桃花林西方、不老峰）；屍靈將軍俑（古皇陵密室）；狼王（天山冰池、八達嶺）</x:t>
        </x:is>
      </x:c>
    </x:row>
    <x:row r="4103" ht="30" customHeight="1">
      <x:c r="A4103" s="55" t="str">
        <x:v>神效健骨配方</x:v>
      </x:c>
      <x:c r="B4103" s="55" t="str">
        <x:v>—</x:v>
      </x:c>
      <x:c r="C4103" s="55" t="str">
        <x:v>—</x:v>
      </x:c>
      <x:c r="D4103" s="55" t="str">
        <x:v>—</x:v>
      </x:c>
      <x:c r="E4103" s="55" t="inlineStr">
        <x:is>
          <x:t>神效靈藥配方（網站未列地圖）；鎖滅金龍陣（網站未列地圖）；千年樹精（瀰煙山道、掩月松林、不老峰）；傘鬼（長野沙濱、葉隱蒼林、八荒古墳）</x:t>
        </x:is>
      </x:c>
    </x:row>
    <x:row r="4104" ht="30" customHeight="1">
      <x:c r="A4104" s="55" t="str">
        <x:v>神效醒腦配方</x:v>
      </x:c>
      <x:c r="B4104" s="55" t="str">
        <x:v>—</x:v>
      </x:c>
      <x:c r="C4104" s="55" t="str">
        <x:v>—</x:v>
      </x:c>
      <x:c r="D4104" s="55" t="str">
        <x:v>—</x:v>
      </x:c>
      <x:c r="E4104" s="55" t="inlineStr">
        <x:is>
          <x:t>神效靈藥配方（網站未列地圖）；玄陰地靈（晶湖水道、水晶礦坑、神兵塚）；白骨精（猛鬼窟第二層、萬人塚第二層、萬人塚第三層）；[白骨精]（網站未列地圖）；女王蜂（桃花林、桃花林西方、桃花林南方）</x:t>
        </x:is>
      </x:c>
    </x:row>
    <x:row r="4105" ht="30" customHeight="1">
      <x:c r="A4105" s="55" t="str">
        <x:v>神效輕身配方</x:v>
      </x:c>
      <x:c r="B4105" s="55" t="str">
        <x:v>—</x:v>
      </x:c>
      <x:c r="C4105" s="55" t="str">
        <x:v>—</x:v>
      </x:c>
      <x:c r="D4105" s="55" t="str">
        <x:v>—</x:v>
      </x:c>
      <x:c r="E4105" s="55" t="inlineStr">
        <x:is>
          <x:t>神效靈藥配方（網站未列地圖）；青龍（龍宮第五層）；疾風戰士（呼倫草原、貝爾草原、大汗陵墓、蒼狼大營）；[疾風戰士]（網站未列地圖）；鯊將軍（龍宮八層一隅、龍宮八層廣場）</x:t>
        </x:is>
      </x:c>
    </x:row>
    <x:row r="4106" ht="15" customHeight="1">
      <x:c r="A4106" s="55" t="str">
        <x:v>全創解毒配方</x:v>
      </x:c>
      <x:c r="B4106" s="55" t="str">
        <x:v>玄州全創解毒任務</x:v>
      </x:c>
      <x:c r="C4106" s="55" t="str">
        <x:v>—</x:v>
      </x:c>
      <x:c r="D4106" s="55" t="str">
        <x:v>—</x:v>
      </x:c>
      <x:c r="E4106" s="55" t="inlineStr">
        <x:is>
          <x:t>—</x:t>
        </x:is>
      </x:c>
    </x:row>
    <x:row r="4107" ht="30" customHeight="1">
      <x:c r="A4107" s="55" t="str">
        <x:v>狗皮燈籠配方</x:v>
      </x:c>
      <x:c r="B4107" s="55" t="str">
        <x:v>—</x:v>
      </x:c>
      <x:c r="C4107" s="55" t="str">
        <x:v>京城煉丹江湖術士、祁州煉丹江湖術士、玄州煉丹術士</x:v>
      </x:c>
      <x:c r="D4107" s="55" t="str">
        <x:v>—</x:v>
      </x:c>
      <x:c r="E4107" s="55" t="inlineStr">
        <x:is>
          <x:t>—</x:t>
        </x:is>
      </x:c>
    </x:row>
    <x:row r="4108" ht="15" customHeight="1">
      <x:c r="A4108" s="55" t="str">
        <x:v>火藥配方</x:v>
      </x:c>
      <x:c r="B4108" s="55" t="str">
        <x:v>術者京城職業任務</x:v>
      </x:c>
      <x:c r="C4108" s="55" t="str">
        <x:v>—</x:v>
      </x:c>
      <x:c r="D4108" s="55" t="str">
        <x:v>—</x:v>
      </x:c>
      <x:c r="E4108" s="55" t="inlineStr">
        <x:is>
          <x:t>—</x:t>
        </x:is>
      </x:c>
    </x:row>
    <x:row r="4109" ht="105" customHeight="1">
      <x:c r="A4109" s="55" t="str">
        <x:v>劇毒配方</x:v>
      </x:c>
      <x:c r="B4109" s="55" t="str">
        <x:v>—</x:v>
      </x:c>
      <x:c r="C4109" s="55" t="str">
        <x:v>—</x:v>
      </x:c>
      <x:c r="D4109" s="55" t="str">
        <x:v>—</x:v>
      </x:c>
      <x:c r="E4109" s="55" t="inlineStr">
        <x:is>
          <x:t>青龍（龍宮第五層）；毒巨蛟（毒龍潭）；海龍（網站未列地圖）；小黑龍（龍宮第七層）；真火神龍（五派禁地）；玄冰神龍（五派禁地）；拉薩跳神（疾風谷、古北大營）；巨蜈蚣（鎮南關密道、亂藤林、葬日沼澤南方、地靈穴、河西谷地）；翠蛇（鎮南關密道、亂藤林西方、葬日沼澤南方、靖南古道、桃花林、桃花林西方、盤蛇洞、河西谷地）；沙漠響尾蛇（塔干沙漠南方）；長林青蛇（長林谷）；獵鷹（八達嶺、塞北草原、呼倫草原、貝爾草原、黑城遺跡、疾風谷、古北大營）；[獵鷹]（網站未列地圖）；獵鷹（八達嶺、塞北草原、呼倫草原、貝爾草原、黑城遺跡、疾風谷、關外草原、古北大營）；獵鷹（關外草原）；黑魅蛇（瘴癘靈界裂隙）；赤鍊蛇（烈火靈界裂隙）；寒霜蛇（怒雪靈界裂隙）；鱷魚（葬日沼澤、葬日沼澤北方、毒龍潭）；灰魁蟒（異時界‧亂藤林）</x:t>
        </x:is>
      </x:c>
    </x:row>
    <x:row r="4110" ht="60" customHeight="1">
      <x:c r="A4110" s="55" t="str">
        <x:v>蠱毒配方</x:v>
      </x:c>
      <x:c r="B4110" s="55" t="str">
        <x:v>—</x:v>
      </x:c>
      <x:c r="C4110" s="55" t="str">
        <x:v>—</x:v>
      </x:c>
      <x:c r="D4110" s="55" t="str">
        <x:v>—</x:v>
      </x:c>
      <x:c r="E4110" s="55" t="inlineStr">
        <x:is>
          <x:t>青龍（龍宮第五層）；毒巨蛟（毒龍潭）；海龍（網站未列地圖）；小黑龍（龍宮第七層）；真火神龍（五派禁地）；玄冰神龍（五派禁地）；拉薩跳神（疾風谷、古北大營）；劍齒鱷（葬日沼澤、葬日沼澤北方、毒龍潭）；箭蜈蚣（鎮南關密道、亂藤林南方、葬日沼澤南方、鷹翅族部落、河西谷地）；灰巨蟒（鎮南關密道、亂藤林、葬日沼澤南方、靖南古道、古皇陵第三層、萬人塚第三層、桃花林西方、盤蛇洞）</x:t>
        </x:is>
      </x:c>
    </x:row>
    <x:row r="4111" ht="60" customHeight="1">
      <x:c r="A4111" s="55" t="str">
        <x:v>萬蠱毒配方</x:v>
      </x:c>
      <x:c r="B4111" s="55" t="str">
        <x:v>—</x:v>
      </x:c>
      <x:c r="C4111" s="55" t="str">
        <x:v>—</x:v>
      </x:c>
      <x:c r="D4111" s="55" t="str">
        <x:v>—</x:v>
      </x:c>
      <x:c r="E4111" s="55" t="inlineStr">
        <x:is>
          <x:t>蛇魔女王（盤蛇洞）；青龍（龍宮第五層）；毒巨蛟（毒龍潭）；海龍（網站未列地圖）；小黑龍（龍宮第七層）；真火神龍（五派禁地）；玄冰神龍（五派禁地）；拉薩跳神（疾風谷、古北大營）；五毒蜈蚣（葬日沼澤南方、鷹翅族部落、河西谷地）；食人巨鱷（葬日沼澤北方）；熾火蜈蚣（烈火靈界裂隙）；蛇魔女（盤蛇洞）；[蛇魔女]（網站未列地圖）；食人巨蟒（葬日沼澤、葬日沼澤南方、盤蛇洞、河西谷地）；沙漠巨蟒（塔干沙漠南方）</x:t>
        </x:is>
      </x:c>
    </x:row>
    <x:row r="4112" ht="15" customHeight="1">
      <x:c r="A4112" s="55" t="str">
        <x:v>玄武真元配方</x:v>
      </x:c>
      <x:c r="B4112" s="55" t="str">
        <x:v>—</x:v>
      </x:c>
      <x:c r="C4112" s="55" t="str">
        <x:v>浮世夢鄉-主事翰文欽</x:v>
      </x:c>
      <x:c r="D4112" s="55" t="str">
        <x:v>—</x:v>
      </x:c>
      <x:c r="E4112" s="55" t="inlineStr">
        <x:is>
          <x:t>—</x:t>
        </x:is>
      </x:c>
    </x:row>
    <x:row r="4113" ht="15" customHeight="1">
      <x:c r="A4113" s="55" t="str">
        <x:v>白虎真元配方</x:v>
      </x:c>
      <x:c r="B4113" s="55" t="str">
        <x:v>—</x:v>
      </x:c>
      <x:c r="C4113" s="55" t="str">
        <x:v>浮世夢鄉-主事翰文欽</x:v>
      </x:c>
      <x:c r="D4113" s="55" t="str">
        <x:v>—</x:v>
      </x:c>
      <x:c r="E4113" s="55" t="inlineStr">
        <x:is>
          <x:t>—</x:t>
        </x:is>
      </x:c>
    </x:row>
    <x:row r="4114" ht="15" customHeight="1">
      <x:c r="A4114" s="55" t="str">
        <x:v>青龍真元配方</x:v>
      </x:c>
      <x:c r="B4114" s="55" t="str">
        <x:v>—</x:v>
      </x:c>
      <x:c r="C4114" s="55" t="str">
        <x:v>浮世夢鄉-主事翰文欽</x:v>
      </x:c>
      <x:c r="D4114" s="55" t="str">
        <x:v>—</x:v>
      </x:c>
      <x:c r="E4114" s="55" t="inlineStr">
        <x:is>
          <x:t>—</x:t>
        </x:is>
      </x:c>
    </x:row>
    <x:row r="4115" ht="15" customHeight="1">
      <x:c r="A4115" s="55" t="str">
        <x:v>朱雀真元配方</x:v>
      </x:c>
      <x:c r="B4115" s="55" t="str">
        <x:v>—</x:v>
      </x:c>
      <x:c r="C4115" s="55" t="str">
        <x:v>浮世夢鄉-主事翰文欽</x:v>
      </x:c>
      <x:c r="D4115" s="55" t="str">
        <x:v>—</x:v>
      </x:c>
      <x:c r="E4115" s="55" t="inlineStr">
        <x:is>
          <x:t>—</x:t>
        </x:is>
      </x:c>
    </x:row>
    <x:row r="4116" ht="15" customHeight="1">
      <x:c r="A4116" s="55" t="str">
        <x:v>麒麟真元配方</x:v>
      </x:c>
      <x:c r="B4116" s="55" t="str">
        <x:v>—</x:v>
      </x:c>
      <x:c r="C4116" s="55" t="str">
        <x:v>浮世夢鄉-主事翰文欽</x:v>
      </x:c>
      <x:c r="D4116" s="55" t="str">
        <x:v>—</x:v>
      </x:c>
      <x:c r="E4116" s="55" t="inlineStr">
        <x:is>
          <x:t>—</x:t>
        </x:is>
      </x:c>
    </x:row>
    <x:row r="4117" ht="15" customHeight="1">
      <x:c r="A4117" s="55" t="str">
        <x:v>螣蛇真元配方</x:v>
      </x:c>
      <x:c r="B4117" s="55" t="str">
        <x:v>—</x:v>
      </x:c>
      <x:c r="C4117" s="55" t="str">
        <x:v>浮世夢鄉-主事翰文欽</x:v>
      </x:c>
      <x:c r="D4117" s="55" t="str">
        <x:v>—</x:v>
      </x:c>
      <x:c r="E4117" s="55" t="inlineStr">
        <x:is>
          <x:t>—</x:t>
        </x:is>
      </x:c>
    </x:row>
    <x:row r="4118" ht="15" customHeight="1">
      <x:c r="A4118" s="55" t="str">
        <x:v>同花聖鑽配方</x:v>
      </x:c>
      <x:c r="B4118" s="55" t="str">
        <x:v>—</x:v>
      </x:c>
      <x:c r="C4118" s="55" t="str">
        <x:v>星群碎道-虛空龍主</x:v>
      </x:c>
      <x:c r="D4118" s="55" t="str">
        <x:v>—</x:v>
      </x:c>
      <x:c r="E4118" s="55" t="inlineStr">
        <x:is>
          <x:t>—</x:t>
        </x:is>
      </x:c>
    </x:row>
    <x:row r="4119" ht="15" customHeight="1">
      <x:c r="A4119" s="55" t="str">
        <x:v>梅冠聖鑽配方</x:v>
      </x:c>
      <x:c r="B4119" s="55" t="str">
        <x:v>—</x:v>
      </x:c>
      <x:c r="C4119" s="55" t="str">
        <x:v>星群碎道-虛空龍主</x:v>
      </x:c>
      <x:c r="D4119" s="55" t="str">
        <x:v>—</x:v>
      </x:c>
      <x:c r="E4119" s="55" t="inlineStr">
        <x:is>
          <x:t>—</x:t>
        </x:is>
      </x:c>
    </x:row>
    <x:row r="4120" ht="15" customHeight="1">
      <x:c r="A4120" s="55" t="str">
        <x:v>菱冠聖鑽配方</x:v>
      </x:c>
      <x:c r="B4120" s="55" t="str">
        <x:v>—</x:v>
      </x:c>
      <x:c r="C4120" s="55" t="str">
        <x:v>星群碎道-虛空龍主</x:v>
      </x:c>
      <x:c r="D4120" s="55" t="str">
        <x:v>—</x:v>
      </x:c>
      <x:c r="E4120" s="55" t="inlineStr">
        <x:is>
          <x:t>—</x:t>
        </x:is>
      </x:c>
    </x:row>
    <x:row r="4121" ht="15" customHeight="1">
      <x:c r="A4121" s="55" t="str">
        <x:v>心冠聖鑽配方</x:v>
      </x:c>
      <x:c r="B4121" s="55" t="str">
        <x:v>—</x:v>
      </x:c>
      <x:c r="C4121" s="55" t="str">
        <x:v>星群碎道-虛空龍主</x:v>
      </x:c>
      <x:c r="D4121" s="55" t="str">
        <x:v>—</x:v>
      </x:c>
      <x:c r="E4121" s="55" t="inlineStr">
        <x:is>
          <x:t>—</x:t>
        </x:is>
      </x:c>
    </x:row>
    <x:row r="4122" ht="15" customHeight="1">
      <x:c r="A4122" s="55" t="str">
        <x:v>桃冠聖鑽配方</x:v>
      </x:c>
      <x:c r="B4122" s="55" t="str">
        <x:v>—</x:v>
      </x:c>
      <x:c r="C4122" s="55" t="str">
        <x:v>星群碎道-虛空龍主</x:v>
      </x:c>
      <x:c r="D4122" s="55" t="str">
        <x:v>—</x:v>
      </x:c>
      <x:c r="E4122" s="55" t="inlineStr">
        <x:is>
          <x:t>—</x:t>
        </x:is>
      </x:c>
    </x:row>
    <x:row r="4123" ht="15" customHeight="1">
      <x:c r="A4123" s="55" t="str">
        <x:v>冰靈鋼劍配方</x:v>
      </x:c>
      <x:c r="B4123" s="55" t="str">
        <x:v>—</x:v>
      </x:c>
      <x:c r="C4123" s="55" t="str">
        <x:v>祁州打鐵舖</x:v>
      </x:c>
      <x:c r="D4123" s="55" t="str">
        <x:v>—</x:v>
      </x:c>
      <x:c r="E4123" s="55" t="inlineStr">
        <x:is>
          <x:t>—</x:t>
        </x:is>
      </x:c>
    </x:row>
    <x:row r="4124" ht="15" customHeight="1">
      <x:c r="A4124" s="55" t="str">
        <x:v>火靈鋼劍配方</x:v>
      </x:c>
      <x:c r="B4124" s="55" t="str">
        <x:v>—</x:v>
      </x:c>
      <x:c r="C4124" s="55" t="str">
        <x:v>祁州打鐵舖</x:v>
      </x:c>
      <x:c r="D4124" s="55" t="str">
        <x:v>—</x:v>
      </x:c>
      <x:c r="E4124" s="55" t="inlineStr">
        <x:is>
          <x:t>—</x:t>
        </x:is>
      </x:c>
    </x:row>
    <x:row r="4125" ht="15" customHeight="1">
      <x:c r="A4125" s="55" t="str">
        <x:v>雷靈鋼劍配方</x:v>
      </x:c>
      <x:c r="B4125" s="55" t="str">
        <x:v>—</x:v>
      </x:c>
      <x:c r="C4125" s="55" t="str">
        <x:v>祁州打鐵舖</x:v>
      </x:c>
      <x:c r="D4125" s="55" t="str">
        <x:v>—</x:v>
      </x:c>
      <x:c r="E4125" s="55" t="inlineStr">
        <x:is>
          <x:t>—</x:t>
        </x:is>
      </x:c>
    </x:row>
    <x:row r="4126" ht="15" customHeight="1">
      <x:c r="A4126" s="55" t="str">
        <x:v>惡靈鋼劍配方</x:v>
      </x:c>
      <x:c r="B4126" s="55" t="str">
        <x:v>—</x:v>
      </x:c>
      <x:c r="C4126" s="55" t="str">
        <x:v>祁州打鐵舖</x:v>
      </x:c>
      <x:c r="D4126" s="55" t="str">
        <x:v>—</x:v>
      </x:c>
      <x:c r="E4126" s="55" t="inlineStr">
        <x:is>
          <x:t>—</x:t>
        </x:is>
      </x:c>
    </x:row>
    <x:row r="4127" ht="15" customHeight="1">
      <x:c r="A4127" s="55" t="str">
        <x:v>御雷劍配方</x:v>
      </x:c>
      <x:c r="B4127" s="55" t="str">
        <x:v>—</x:v>
      </x:c>
      <x:c r="C4127" s="55" t="str">
        <x:v>—</x:v>
      </x:c>
      <x:c r="D4127" s="55" t="str">
        <x:v>—</x:v>
      </x:c>
      <x:c r="E4127" s="55" t="inlineStr">
        <x:is>
          <x:t>暴風邪神（火焰山）；都督錦囊（網站未列地圖）</x:t>
        </x:is>
      </x:c>
    </x:row>
    <x:row r="4128" ht="15" customHeight="1">
      <x:c r="A4128" s="55" t="str">
        <x:v>冰鏡劍配方</x:v>
      </x:c>
      <x:c r="B4128" s="55" t="str">
        <x:v>—</x:v>
      </x:c>
      <x:c r="C4128" s="55" t="str">
        <x:v>—</x:v>
      </x:c>
      <x:c r="D4128" s="55" t="str">
        <x:v>—</x:v>
      </x:c>
      <x:c r="E4128" s="55" t="inlineStr">
        <x:is>
          <x:t>邪神軀殼（火焰山）；都督錦囊（網站未列地圖）</x:t>
        </x:is>
      </x:c>
    </x:row>
    <x:row r="4129" ht="15" customHeight="1">
      <x:c r="A4129" s="55" t="str">
        <x:v>火雲劍配方</x:v>
      </x:c>
      <x:c r="B4129" s="55" t="str">
        <x:v>—</x:v>
      </x:c>
      <x:c r="C4129" s="55" t="str">
        <x:v>—</x:v>
      </x:c>
      <x:c r="D4129" s="55" t="str">
        <x:v>—</x:v>
      </x:c>
      <x:c r="E4129" s="55" t="inlineStr">
        <x:is>
          <x:t>暴風邪神（火焰山）；都督錦囊（網站未列地圖）</x:t>
        </x:is>
      </x:c>
    </x:row>
    <x:row r="4130" ht="15" customHeight="1">
      <x:c r="A4130" s="55" t="str">
        <x:v>辟鬼劍配方</x:v>
      </x:c>
      <x:c r="B4130" s="55" t="str">
        <x:v>—</x:v>
      </x:c>
      <x:c r="C4130" s="55" t="str">
        <x:v>—</x:v>
      </x:c>
      <x:c r="D4130" s="55" t="str">
        <x:v>—</x:v>
      </x:c>
      <x:c r="E4130" s="55" t="inlineStr">
        <x:is>
          <x:t>邪神軀殼（火焰山）；都督錦囊（網站未列地圖）</x:t>
        </x:is>
      </x:c>
    </x:row>
    <x:row r="4131" ht="15" customHeight="1">
      <x:c r="A4131" s="55" t="str">
        <x:v>弒神劍配方</x:v>
      </x:c>
      <x:c r="B4131" s="55" t="str">
        <x:v>—</x:v>
      </x:c>
      <x:c r="C4131" s="55" t="str">
        <x:v>—</x:v>
      </x:c>
      <x:c r="D4131" s="55" t="str">
        <x:v>—</x:v>
      </x:c>
      <x:c r="E4131" s="55" t="inlineStr">
        <x:is>
          <x:t>—</x:t>
        </x:is>
      </x:c>
    </x:row>
    <x:row r="4132" ht="15" customHeight="1">
      <x:c r="A4132" s="55" t="str">
        <x:v>誅仙劍配方</x:v>
      </x:c>
      <x:c r="B4132" s="55" t="str">
        <x:v>—</x:v>
      </x:c>
      <x:c r="C4132" s="55" t="str">
        <x:v>—</x:v>
      </x:c>
      <x:c r="D4132" s="55" t="str">
        <x:v>—</x:v>
      </x:c>
      <x:c r="E4132" s="55" t="inlineStr">
        <x:is>
          <x:t>—</x:t>
        </x:is>
      </x:c>
    </x:row>
    <x:row r="4133" ht="15" customHeight="1">
      <x:c r="A4133" s="55" t="str">
        <x:v>滅佛劍配方</x:v>
      </x:c>
      <x:c r="B4133" s="55" t="str">
        <x:v>地火神兵-與狂戰將的對決</x:v>
      </x:c>
      <x:c r="C4133" s="55" t="str">
        <x:v>—</x:v>
      </x:c>
      <x:c r="D4133" s="55" t="str">
        <x:v>—</x:v>
      </x:c>
      <x:c r="E4133" s="55" t="inlineStr">
        <x:is>
          <x:t>中原神兵錦囊（網站未列地圖）</x:t>
        </x:is>
      </x:c>
    </x:row>
    <x:row r="4134" ht="15" customHeight="1">
      <x:c r="A4134" s="55" t="str">
        <x:v>鬼煞劍配方</x:v>
      </x:c>
      <x:c r="B4134" s="55" t="str">
        <x:v>—</x:v>
      </x:c>
      <x:c r="C4134" s="55" t="str">
        <x:v>—</x:v>
      </x:c>
      <x:c r="D4134" s="55" t="str">
        <x:v>—</x:v>
      </x:c>
      <x:c r="E4134" s="55" t="inlineStr">
        <x:is>
          <x:t>經典配方古盒（網站未列地圖）；巨象騎兵（金霄佛寺）</x:t>
        </x:is>
      </x:c>
    </x:row>
    <x:row r="4135" ht="15" customHeight="1">
      <x:c r="A4135" s="55" t="str">
        <x:v>青冥劍配方</x:v>
      </x:c>
      <x:c r="B4135" s="55" t="str">
        <x:v>—</x:v>
      </x:c>
      <x:c r="C4135" s="55" t="str">
        <x:v>—</x:v>
      </x:c>
      <x:c r="D4135" s="55" t="str">
        <x:v>—</x:v>
      </x:c>
      <x:c r="E4135" s="55" t="inlineStr">
        <x:is>
          <x:t>經典配方古盒（網站未列地圖）</x:t>
        </x:is>
      </x:c>
    </x:row>
    <x:row r="4136" ht="15" customHeight="1">
      <x:c r="A4136" s="55" t="str">
        <x:v>洛神劍配方</x:v>
      </x:c>
      <x:c r="B4136" s="55" t="str">
        <x:v>九曲-天下奇材錄</x:v>
      </x:c>
      <x:c r="C4136" s="55" t="str">
        <x:v>九曲邪徑四海術士</x:v>
      </x:c>
      <x:c r="D4136" s="55" t="str">
        <x:v>—</x:v>
      </x:c>
      <x:c r="E4136" s="55" t="inlineStr">
        <x:is>
          <x:t>—</x:t>
        </x:is>
      </x:c>
    </x:row>
    <x:row r="4137" ht="15" customHeight="1">
      <x:c r="A4137" s="55" t="str">
        <x:v>龍泉劍配方</x:v>
      </x:c>
      <x:c r="B4137" s="55" t="str">
        <x:v>九曲-天下奇材錄</x:v>
      </x:c>
      <x:c r="C4137" s="55" t="str">
        <x:v>九曲邪徑四海術士</x:v>
      </x:c>
      <x:c r="D4137" s="55" t="str">
        <x:v>—</x:v>
      </x:c>
      <x:c r="E4137" s="55" t="inlineStr">
        <x:is>
          <x:t>—</x:t>
        </x:is>
      </x:c>
    </x:row>
    <x:row r="4138" ht="15" customHeight="1">
      <x:c r="A4138" s="55" t="str">
        <x:v>湛盧劍配方</x:v>
      </x:c>
      <x:c r="B4138" s="55" t="str">
        <x:v>九曲-天下奇材錄</x:v>
      </x:c>
      <x:c r="C4138" s="55" t="str">
        <x:v>九曲邪徑四海術士</x:v>
      </x:c>
      <x:c r="D4138" s="55" t="str">
        <x:v>—</x:v>
      </x:c>
      <x:c r="E4138" s="55" t="inlineStr">
        <x:is>
          <x:t>—</x:t>
        </x:is>
      </x:c>
    </x:row>
    <x:row r="4139" ht="15" customHeight="1">
      <x:c r="A4139" s="55" t="str">
        <x:v>湛盧神劍配方</x:v>
      </x:c>
      <x:c r="B4139" s="55" t="str">
        <x:v>九曲-天下奇材錄</x:v>
      </x:c>
      <x:c r="C4139" s="55" t="str">
        <x:v>九曲邪徑四海術士</x:v>
      </x:c>
      <x:c r="D4139" s="55" t="str">
        <x:v>—</x:v>
      </x:c>
      <x:c r="E4139" s="55" t="inlineStr">
        <x:is>
          <x:t>—</x:t>
        </x:is>
      </x:c>
    </x:row>
    <x:row r="4140" ht="15" customHeight="1">
      <x:c r="A4140" s="55" t="str">
        <x:v>樓蘭劍配方</x:v>
      </x:c>
      <x:c r="B4140" s="55" t="str">
        <x:v>九曲-天下奇材錄</x:v>
      </x:c>
      <x:c r="C4140" s="55" t="str">
        <x:v>九曲邪徑四海術士</x:v>
      </x:c>
      <x:c r="D4140" s="55" t="str">
        <x:v>—</x:v>
      </x:c>
      <x:c r="E4140" s="55" t="inlineStr">
        <x:is>
          <x:t>—</x:t>
        </x:is>
      </x:c>
    </x:row>
    <x:row r="4141" ht="15" customHeight="1">
      <x:c r="A4141" s="55" t="str">
        <x:v>樓蘭神劍配方</x:v>
      </x:c>
      <x:c r="B4141" s="55" t="str">
        <x:v>九曲-天下奇材錄</x:v>
      </x:c>
      <x:c r="C4141" s="55" t="str">
        <x:v>九曲邪徑四海術士</x:v>
      </x:c>
      <x:c r="D4141" s="55" t="str">
        <x:v>—</x:v>
      </x:c>
      <x:c r="E4141" s="55" t="inlineStr">
        <x:is>
          <x:t>—</x:t>
        </x:is>
      </x:c>
    </x:row>
    <x:row r="4142" ht="15" customHeight="1">
      <x:c r="A4142" s="55" t="str">
        <x:v>泉戶劍配方</x:v>
      </x:c>
      <x:c r="B4142" s="55" t="str">
        <x:v>九曲-天下奇材錄</x:v>
      </x:c>
      <x:c r="C4142" s="55" t="str">
        <x:v>九曲邪徑四海術士</x:v>
      </x:c>
      <x:c r="D4142" s="55" t="str">
        <x:v>—</x:v>
      </x:c>
      <x:c r="E4142" s="55" t="inlineStr">
        <x:is>
          <x:t>—</x:t>
        </x:is>
      </x:c>
    </x:row>
    <x:row r="4143" ht="15" customHeight="1">
      <x:c r="A4143" s="55" t="str">
        <x:v>神隱劍配方</x:v>
      </x:c>
      <x:c r="B4143" s="55" t="str">
        <x:v>九曲-天下奇材錄</x:v>
      </x:c>
      <x:c r="C4143" s="55" t="str">
        <x:v>九曲邪徑四海術士</x:v>
      </x:c>
      <x:c r="D4143" s="55" t="str">
        <x:v>—</x:v>
      </x:c>
      <x:c r="E4143" s="55" t="inlineStr">
        <x:is>
          <x:t>—</x:t>
        </x:is>
      </x:c>
    </x:row>
    <x:row r="4144" ht="15" customHeight="1">
      <x:c r="A4144" s="55" t="str">
        <x:v>村正劍配方</x:v>
      </x:c>
      <x:c r="B4144" s="55" t="str">
        <x:v>九曲-天下奇材錄</x:v>
      </x:c>
      <x:c r="C4144" s="55" t="str">
        <x:v>九曲邪徑四海術士</x:v>
      </x:c>
      <x:c r="D4144" s="55" t="str">
        <x:v>—</x:v>
      </x:c>
      <x:c r="E4144" s="55" t="inlineStr">
        <x:is>
          <x:t>—</x:t>
        </x:is>
      </x:c>
    </x:row>
    <x:row r="4145" ht="15" customHeight="1">
      <x:c r="A4145" s="55" t="str">
        <x:v>赤霄劍配方</x:v>
      </x:c>
      <x:c r="B4145" s="55" t="str">
        <x:v>九曲-天下奇材錄</x:v>
      </x:c>
      <x:c r="C4145" s="55" t="str">
        <x:v>九曲邪徑四海術士</x:v>
      </x:c>
      <x:c r="D4145" s="55" t="str">
        <x:v>—</x:v>
      </x:c>
      <x:c r="E4145" s="55" t="inlineStr">
        <x:is>
          <x:t>—</x:t>
        </x:is>
      </x:c>
    </x:row>
    <x:row r="4146" ht="15" customHeight="1">
      <x:c r="A4146" s="55" t="str">
        <x:v>誡罪劍配方</x:v>
      </x:c>
      <x:c r="B4146" s="55" t="str">
        <x:v>九曲-天下奇材錄</x:v>
      </x:c>
      <x:c r="C4146" s="55" t="str">
        <x:v>九曲邪徑四海術士</x:v>
      </x:c>
      <x:c r="D4146" s="55" t="str">
        <x:v>—</x:v>
      </x:c>
      <x:c r="E4146" s="55" t="inlineStr">
        <x:is>
          <x:t>佛都神兵配方錦囊（網站未列地圖）</x:t>
        </x:is>
      </x:c>
    </x:row>
    <x:row r="4147" ht="15" customHeight="1">
      <x:c r="A4147" s="55" t="str">
        <x:v>動靜觀劍配方</x:v>
      </x:c>
      <x:c r="B4147" s="55" t="str">
        <x:v>九曲-天下奇材錄</x:v>
      </x:c>
      <x:c r="C4147" s="55" t="str">
        <x:v>九曲邪徑四海術士</x:v>
      </x:c>
      <x:c r="D4147" s="55" t="str">
        <x:v>—</x:v>
      </x:c>
      <x:c r="E4147" s="55" t="inlineStr">
        <x:is>
          <x:t>佛都神兵配方錦囊（網站未列地圖）</x:t>
        </x:is>
      </x:c>
    </x:row>
    <x:row r="4148" ht="15" customHeight="1">
      <x:c r="A4148" s="55" t="str">
        <x:v>蓮燁劍配方</x:v>
      </x:c>
      <x:c r="B4148" s="55" t="str">
        <x:v>九曲-天下奇材錄</x:v>
      </x:c>
      <x:c r="C4148" s="55" t="str">
        <x:v>九曲邪徑四海術士</x:v>
      </x:c>
      <x:c r="D4148" s="55" t="str">
        <x:v>—</x:v>
      </x:c>
      <x:c r="E4148" s="55" t="inlineStr">
        <x:is>
          <x:t>—</x:t>
        </x:is>
      </x:c>
    </x:row>
    <x:row r="4149" ht="15" customHeight="1">
      <x:c r="A4149" s="55" t="str">
        <x:v>法界皇劍配方</x:v>
      </x:c>
      <x:c r="B4149" s="55" t="str">
        <x:v>九曲-天下奇材錄</x:v>
      </x:c>
      <x:c r="C4149" s="55" t="str">
        <x:v>九曲邪徑四海術士</x:v>
      </x:c>
      <x:c r="D4149" s="55" t="str">
        <x:v>—</x:v>
      </x:c>
      <x:c r="E4149" s="55" t="inlineStr">
        <x:is>
          <x:t>—</x:t>
        </x:is>
      </x:c>
    </x:row>
    <x:row r="4150" ht="15" customHeight="1">
      <x:c r="A4150" s="55" t="str">
        <x:v>水紋鋼刀配方</x:v>
      </x:c>
      <x:c r="B4150" s="55" t="str">
        <x:v>—</x:v>
      </x:c>
      <x:c r="C4150" s="55" t="str">
        <x:v>祁州打鐵舖</x:v>
      </x:c>
      <x:c r="D4150" s="55" t="str">
        <x:v>—</x:v>
      </x:c>
      <x:c r="E4150" s="55" t="inlineStr">
        <x:is>
          <x:t>—</x:t>
        </x:is>
      </x:c>
    </x:row>
    <x:row r="4151" ht="15" customHeight="1">
      <x:c r="A4151" s="55" t="str">
        <x:v>火紋鋼刀配方</x:v>
      </x:c>
      <x:c r="B4151" s="55" t="str">
        <x:v>—</x:v>
      </x:c>
      <x:c r="C4151" s="55" t="str">
        <x:v>祁州打鐵舖</x:v>
      </x:c>
      <x:c r="D4151" s="55" t="str">
        <x:v>—</x:v>
      </x:c>
      <x:c r="E4151" s="55" t="inlineStr">
        <x:is>
          <x:t>—</x:t>
        </x:is>
      </x:c>
    </x:row>
    <x:row r="4152" ht="15" customHeight="1">
      <x:c r="A4152" s="55" t="str">
        <x:v>雷紋鋼刀配方</x:v>
      </x:c>
      <x:c r="B4152" s="55" t="str">
        <x:v>—</x:v>
      </x:c>
      <x:c r="C4152" s="55" t="str">
        <x:v>祁州打鐵舖</x:v>
      </x:c>
      <x:c r="D4152" s="55" t="str">
        <x:v>—</x:v>
      </x:c>
      <x:c r="E4152" s="55" t="inlineStr">
        <x:is>
          <x:t>—</x:t>
        </x:is>
      </x:c>
    </x:row>
    <x:row r="4153" ht="15" customHeight="1">
      <x:c r="A4153" s="55" t="str">
        <x:v>鬼紋鋼刀配方</x:v>
      </x:c>
      <x:c r="B4153" s="55" t="str">
        <x:v>—</x:v>
      </x:c>
      <x:c r="C4153" s="55" t="str">
        <x:v>祁州打鐵舖</x:v>
      </x:c>
      <x:c r="D4153" s="55" t="str">
        <x:v>—</x:v>
      </x:c>
      <x:c r="E4153" s="55" t="inlineStr">
        <x:is>
          <x:t>—</x:t>
        </x:is>
      </x:c>
    </x:row>
    <x:row r="4154" ht="15" customHeight="1">
      <x:c r="A4154" s="55" t="str">
        <x:v>雷獸刀配方</x:v>
      </x:c>
      <x:c r="B4154" s="55" t="str">
        <x:v>—</x:v>
      </x:c>
      <x:c r="C4154" s="55" t="str">
        <x:v>—</x:v>
      </x:c>
      <x:c r="D4154" s="55" t="str">
        <x:v>—</x:v>
      </x:c>
      <x:c r="E4154" s="55" t="inlineStr">
        <x:is>
          <x:t>暴風邪神（火焰山）；都督錦囊（網站未列地圖）</x:t>
        </x:is>
      </x:c>
    </x:row>
    <x:row r="4155" ht="15" customHeight="1">
      <x:c r="A4155" s="55" t="str">
        <x:v>冰蠶刀配方</x:v>
      </x:c>
      <x:c r="B4155" s="55" t="str">
        <x:v>—</x:v>
      </x:c>
      <x:c r="C4155" s="55" t="str">
        <x:v>—</x:v>
      </x:c>
      <x:c r="D4155" s="55" t="str">
        <x:v>—</x:v>
      </x:c>
      <x:c r="E4155" s="55" t="inlineStr">
        <x:is>
          <x:t>邪神軀殼（火焰山）；都督錦囊（網站未列地圖）</x:t>
        </x:is>
      </x:c>
    </x:row>
    <x:row r="4156" ht="15" customHeight="1">
      <x:c r="A4156" s="55" t="str">
        <x:v>炎精刀配方</x:v>
      </x:c>
      <x:c r="B4156" s="55" t="str">
        <x:v>—</x:v>
      </x:c>
      <x:c r="C4156" s="55" t="str">
        <x:v>—</x:v>
      </x:c>
      <x:c r="D4156" s="55" t="str">
        <x:v>—</x:v>
      </x:c>
      <x:c r="E4156" s="55" t="inlineStr">
        <x:is>
          <x:t>暴風邪神（火焰山）；都督錦囊（網站未列地圖）</x:t>
        </x:is>
      </x:c>
    </x:row>
    <x:row r="4157" ht="15" customHeight="1">
      <x:c r="A4157" s="55" t="str">
        <x:v>紫河刀配方</x:v>
      </x:c>
      <x:c r="B4157" s="55" t="str">
        <x:v>—</x:v>
      </x:c>
      <x:c r="C4157" s="55" t="str">
        <x:v>—</x:v>
      </x:c>
      <x:c r="D4157" s="55" t="str">
        <x:v>—</x:v>
      </x:c>
      <x:c r="E4157" s="55" t="inlineStr">
        <x:is>
          <x:t>邪神軀殼（火焰山）；都督錦囊（網站未列地圖）；鐵勾惡盜（長林谷）</x:t>
        </x:is>
      </x:c>
    </x:row>
    <x:row r="4158" ht="15" customHeight="1">
      <x:c r="A4158" s="55" t="str">
        <x:v>血飲刀配方</x:v>
      </x:c>
      <x:c r="B4158" s="55" t="str">
        <x:v>—</x:v>
      </x:c>
      <x:c r="C4158" s="55" t="str">
        <x:v>—</x:v>
      </x:c>
      <x:c r="D4158" s="55" t="str">
        <x:v>—</x:v>
      </x:c>
      <x:c r="E4158" s="55" t="inlineStr">
        <x:is>
          <x:t>—</x:t>
        </x:is>
      </x:c>
    </x:row>
    <x:row r="4159" ht="15" customHeight="1">
      <x:c r="A4159" s="55" t="str">
        <x:v>黃泉刀配方</x:v>
      </x:c>
      <x:c r="B4159" s="55" t="str">
        <x:v>—</x:v>
      </x:c>
      <x:c r="C4159" s="55" t="str">
        <x:v>—</x:v>
      </x:c>
      <x:c r="D4159" s="55" t="str">
        <x:v>—</x:v>
      </x:c>
      <x:c r="E4159" s="55" t="inlineStr">
        <x:is>
          <x:t>—</x:t>
        </x:is>
      </x:c>
    </x:row>
    <x:row r="4160" ht="15" customHeight="1">
      <x:c r="A4160" s="55" t="str">
        <x:v>鬼咬刀配方</x:v>
      </x:c>
      <x:c r="B4160" s="55" t="str">
        <x:v>地火神兵-與狂戰將的對決</x:v>
      </x:c>
      <x:c r="C4160" s="55" t="str">
        <x:v>—</x:v>
      </x:c>
      <x:c r="D4160" s="55" t="str">
        <x:v>—</x:v>
      </x:c>
      <x:c r="E4160" s="55" t="inlineStr">
        <x:is>
          <x:t>中原神兵錦囊（網站未列地圖）</x:t>
        </x:is>
      </x:c>
    </x:row>
    <x:row r="4161" ht="15" customHeight="1">
      <x:c r="A4161" s="55" t="str">
        <x:v>蒼龍刀配方</x:v>
      </x:c>
      <x:c r="B4161" s="55" t="str">
        <x:v>—</x:v>
      </x:c>
      <x:c r="C4161" s="55" t="str">
        <x:v>—</x:v>
      </x:c>
      <x:c r="D4161" s="55" t="str">
        <x:v>—</x:v>
      </x:c>
      <x:c r="E4161" s="55" t="inlineStr">
        <x:is>
          <x:t>經典配方古盒（網站未列地圖）</x:t>
        </x:is>
      </x:c>
    </x:row>
    <x:row r="4162" ht="15" customHeight="1">
      <x:c r="A4162" s="55" t="str">
        <x:v>赤火刃配方</x:v>
      </x:c>
      <x:c r="B4162" s="55" t="str">
        <x:v>—</x:v>
      </x:c>
      <x:c r="C4162" s="55" t="str">
        <x:v>—</x:v>
      </x:c>
      <x:c r="D4162" s="55" t="str">
        <x:v>—</x:v>
      </x:c>
      <x:c r="E4162" s="55" t="inlineStr">
        <x:is>
          <x:t>經典配方古盒（網站未列地圖）</x:t>
        </x:is>
      </x:c>
    </x:row>
    <x:row r="4163" ht="15" customHeight="1">
      <x:c r="A4163" s="55" t="str">
        <x:v>畫影刀配方</x:v>
      </x:c>
      <x:c r="B4163" s="55" t="str">
        <x:v>九曲-天下奇材錄</x:v>
      </x:c>
      <x:c r="C4163" s="55" t="str">
        <x:v>九曲邪徑四海術士</x:v>
      </x:c>
      <x:c r="D4163" s="55" t="str">
        <x:v>—</x:v>
      </x:c>
      <x:c r="E4163" s="55" t="inlineStr">
        <x:is>
          <x:t>—</x:t>
        </x:is>
      </x:c>
    </x:row>
    <x:row r="4164" ht="15" customHeight="1">
      <x:c r="A4164" s="55" t="str">
        <x:v>蟠龍刀配方</x:v>
      </x:c>
      <x:c r="B4164" s="55" t="str">
        <x:v>九曲-天下奇材錄</x:v>
      </x:c>
      <x:c r="C4164" s="55" t="str">
        <x:v>九曲邪徑四海術士</x:v>
      </x:c>
      <x:c r="D4164" s="55" t="str">
        <x:v>—</x:v>
      </x:c>
      <x:c r="E4164" s="55" t="inlineStr">
        <x:is>
          <x:t>—</x:t>
        </x:is>
      </x:c>
    </x:row>
    <x:row r="4165" ht="15" customHeight="1">
      <x:c r="A4165" s="55" t="str">
        <x:v>天晶刀配方</x:v>
      </x:c>
      <x:c r="B4165" s="55" t="str">
        <x:v>九曲-天下奇材錄</x:v>
      </x:c>
      <x:c r="C4165" s="55" t="str">
        <x:v>九曲邪徑四海術士</x:v>
      </x:c>
      <x:c r="D4165" s="55" t="str">
        <x:v>—</x:v>
      </x:c>
      <x:c r="E4165" s="55" t="inlineStr">
        <x:is>
          <x:t>—</x:t>
        </x:is>
      </x:c>
    </x:row>
    <x:row r="4166" ht="15" customHeight="1">
      <x:c r="A4166" s="55" t="str">
        <x:v>天晶雷刀配方</x:v>
      </x:c>
      <x:c r="B4166" s="55" t="str">
        <x:v>九曲-天下奇材錄</x:v>
      </x:c>
      <x:c r="C4166" s="55" t="str">
        <x:v>九曲邪徑四海術士</x:v>
      </x:c>
      <x:c r="D4166" s="55" t="str">
        <x:v>—</x:v>
      </x:c>
      <x:c r="E4166" s="55" t="inlineStr">
        <x:is>
          <x:t>—</x:t>
        </x:is>
      </x:c>
    </x:row>
    <x:row r="4167" ht="15" customHeight="1">
      <x:c r="A4167" s="55" t="str">
        <x:v>羅剎刀配方</x:v>
      </x:c>
      <x:c r="B4167" s="55" t="str">
        <x:v>九曲-天下奇材錄</x:v>
      </x:c>
      <x:c r="C4167" s="55" t="str">
        <x:v>九曲邪徑四海術士</x:v>
      </x:c>
      <x:c r="D4167" s="55" t="str">
        <x:v>—</x:v>
      </x:c>
      <x:c r="E4167" s="55" t="inlineStr">
        <x:is>
          <x:t>—</x:t>
        </x:is>
      </x:c>
    </x:row>
    <x:row r="4168" ht="15" customHeight="1">
      <x:c r="A4168" s="55" t="str">
        <x:v>羅剎怒刀配方</x:v>
      </x:c>
      <x:c r="B4168" s="55" t="str">
        <x:v>九曲-天下奇材錄</x:v>
      </x:c>
      <x:c r="C4168" s="55" t="str">
        <x:v>九曲邪徑四海術士</x:v>
      </x:c>
      <x:c r="D4168" s="55" t="str">
        <x:v>—</x:v>
      </x:c>
      <x:c r="E4168" s="55" t="inlineStr">
        <x:is>
          <x:t>—</x:t>
        </x:is>
      </x:c>
    </x:row>
    <x:row r="4169" ht="15" customHeight="1">
      <x:c r="A4169" s="55" t="str">
        <x:v>鬼渡刀配方</x:v>
      </x:c>
      <x:c r="B4169" s="55" t="str">
        <x:v>九曲-天下奇材錄</x:v>
      </x:c>
      <x:c r="C4169" s="55" t="str">
        <x:v>九曲邪徑四海術士</x:v>
      </x:c>
      <x:c r="D4169" s="55" t="str">
        <x:v>—</x:v>
      </x:c>
      <x:c r="E4169" s="55" t="inlineStr">
        <x:is>
          <x:t>—</x:t>
        </x:is>
      </x:c>
    </x:row>
    <x:row r="4170" ht="15" customHeight="1">
      <x:c r="A4170" s="55" t="str">
        <x:v>虎徹刀配方</x:v>
      </x:c>
      <x:c r="B4170" s="55" t="str">
        <x:v>九曲-天下奇材錄</x:v>
      </x:c>
      <x:c r="C4170" s="55" t="str">
        <x:v>九曲邪徑四海術士</x:v>
      </x:c>
      <x:c r="D4170" s="55" t="str">
        <x:v>—</x:v>
      </x:c>
      <x:c r="E4170" s="55" t="inlineStr">
        <x:is>
          <x:t>—</x:t>
        </x:is>
      </x:c>
    </x:row>
    <x:row r="4171" ht="15" customHeight="1">
      <x:c r="A4171" s="55" t="str">
        <x:v>村雨刀配方</x:v>
      </x:c>
      <x:c r="B4171" s="55" t="str">
        <x:v>九曲-天下奇材錄</x:v>
      </x:c>
      <x:c r="C4171" s="55" t="str">
        <x:v>九曲邪徑四海術士</x:v>
      </x:c>
      <x:c r="D4171" s="55" t="str">
        <x:v>—</x:v>
      </x:c>
      <x:c r="E4171" s="55" t="inlineStr">
        <x:is>
          <x:t>—</x:t>
        </x:is>
      </x:c>
    </x:row>
    <x:row r="4172" ht="15" customHeight="1">
      <x:c r="A4172" s="55" t="str">
        <x:v>昆吾刀配方</x:v>
      </x:c>
      <x:c r="B4172" s="55" t="str">
        <x:v>九曲-天下奇材錄</x:v>
      </x:c>
      <x:c r="C4172" s="55" t="str">
        <x:v>九曲邪徑四海術士</x:v>
      </x:c>
      <x:c r="D4172" s="55" t="str">
        <x:v>—</x:v>
      </x:c>
      <x:c r="E4172" s="55" t="inlineStr">
        <x:is>
          <x:t>—</x:t>
        </x:is>
      </x:c>
    </x:row>
    <x:row r="4173" ht="15" customHeight="1">
      <x:c r="A4173" s="55" t="str">
        <x:v>斬業刀配方</x:v>
      </x:c>
      <x:c r="B4173" s="55" t="str">
        <x:v>九曲-天下奇材錄</x:v>
      </x:c>
      <x:c r="C4173" s="55" t="str">
        <x:v>九曲邪徑四海術士</x:v>
      </x:c>
      <x:c r="D4173" s="55" t="str">
        <x:v>—</x:v>
      </x:c>
      <x:c r="E4173" s="55" t="inlineStr">
        <x:is>
          <x:t>佛都神兵配方錦囊（網站未列地圖）</x:t>
        </x:is>
      </x:c>
    </x:row>
    <x:row r="4174" ht="15" customHeight="1">
      <x:c r="A4174" s="55" t="str">
        <x:v>計都烈刀配方</x:v>
      </x:c>
      <x:c r="B4174" s="55" t="str">
        <x:v>九曲-天下奇材錄</x:v>
      </x:c>
      <x:c r="C4174" s="55" t="str">
        <x:v>九曲邪徑四海術士</x:v>
      </x:c>
      <x:c r="D4174" s="55" t="str">
        <x:v>—</x:v>
      </x:c>
      <x:c r="E4174" s="55" t="inlineStr">
        <x:is>
          <x:t>佛都神兵配方錦囊（網站未列地圖）</x:t>
        </x:is>
      </x:c>
    </x:row>
    <x:row r="4175" ht="15" customHeight="1">
      <x:c r="A4175" s="55" t="str">
        <x:v>修羅刀配方</x:v>
      </x:c>
      <x:c r="B4175" s="55" t="str">
        <x:v>九曲-天下奇材錄</x:v>
      </x:c>
      <x:c r="C4175" s="55" t="str">
        <x:v>九曲邪徑四海術士</x:v>
      </x:c>
      <x:c r="D4175" s="55" t="str">
        <x:v>—</x:v>
      </x:c>
      <x:c r="E4175" s="55" t="inlineStr">
        <x:is>
          <x:t>—</x:t>
        </x:is>
      </x:c>
    </x:row>
    <x:row r="4176" ht="15" customHeight="1">
      <x:c r="A4176" s="55" t="str">
        <x:v>黑天魔刀配方</x:v>
      </x:c>
      <x:c r="B4176" s="55" t="str">
        <x:v>九曲-天下奇材錄</x:v>
      </x:c>
      <x:c r="C4176" s="55" t="str">
        <x:v>九曲邪徑四海術士</x:v>
      </x:c>
      <x:c r="D4176" s="55" t="str">
        <x:v>—</x:v>
      </x:c>
      <x:c r="E4176" s="55" t="inlineStr">
        <x:is>
          <x:t>—</x:t>
        </x:is>
      </x:c>
    </x:row>
    <x:row r="4177" ht="15" customHeight="1">
      <x:c r="A4177" s="55" t="str">
        <x:v>海龍鬚配方</x:v>
      </x:c>
      <x:c r="B4177" s="55" t="str">
        <x:v>—</x:v>
      </x:c>
      <x:c r="C4177" s="55" t="str">
        <x:v>祁州打鐵舖</x:v>
      </x:c>
      <x:c r="D4177" s="55" t="str">
        <x:v>—</x:v>
      </x:c>
      <x:c r="E4177" s="55" t="inlineStr">
        <x:is>
          <x:t>—</x:t>
        </x:is>
      </x:c>
    </x:row>
    <x:row r="4178" ht="15" customHeight="1">
      <x:c r="A4178" s="55" t="str">
        <x:v>火龍鬚配方</x:v>
      </x:c>
      <x:c r="B4178" s="55" t="str">
        <x:v>—</x:v>
      </x:c>
      <x:c r="C4178" s="55" t="str">
        <x:v>祁州打鐵舖</x:v>
      </x:c>
      <x:c r="D4178" s="55" t="str">
        <x:v>—</x:v>
      </x:c>
      <x:c r="E4178" s="55" t="inlineStr">
        <x:is>
          <x:t>—</x:t>
        </x:is>
      </x:c>
    </x:row>
    <x:row r="4179" ht="15" customHeight="1">
      <x:c r="A4179" s="55" t="str">
        <x:v>雲龍鬚配方</x:v>
      </x:c>
      <x:c r="B4179" s="55" t="str">
        <x:v>—</x:v>
      </x:c>
      <x:c r="C4179" s="55" t="str">
        <x:v>祁州打鐵舖</x:v>
      </x:c>
      <x:c r="D4179" s="55" t="str">
        <x:v>—</x:v>
      </x:c>
      <x:c r="E4179" s="55" t="inlineStr">
        <x:is>
          <x:t>—</x:t>
        </x:is>
      </x:c>
    </x:row>
    <x:row r="4180" ht="15" customHeight="1">
      <x:c r="A4180" s="55" t="str">
        <x:v>地龍鬚配方</x:v>
      </x:c>
      <x:c r="B4180" s="55" t="str">
        <x:v>—</x:v>
      </x:c>
      <x:c r="C4180" s="55" t="str">
        <x:v>祁州打鐵舖</x:v>
      </x:c>
      <x:c r="D4180" s="55" t="str">
        <x:v>—</x:v>
      </x:c>
      <x:c r="E4180" s="55" t="inlineStr">
        <x:is>
          <x:t>—</x:t>
        </x:is>
      </x:c>
    </x:row>
    <x:row r="4181" ht="30" customHeight="1">
      <x:c r="A4181" s="55" t="str">
        <x:v>凌虛拂塵配方</x:v>
      </x:c>
      <x:c r="B4181" s="55" t="str">
        <x:v>—</x:v>
      </x:c>
      <x:c r="C4181" s="55" t="str">
        <x:v>—</x:v>
      </x:c>
      <x:c r="D4181" s="55" t="str">
        <x:v>—</x:v>
      </x:c>
      <x:c r="E4181" s="55" t="inlineStr">
        <x:is>
          <x:t>暴風邪神（火焰山）；都督錦囊（網站未列地圖）；裂隙火靈（烈火靈界裂隙）；裂隙冰靈（怒雪靈界裂隙）；裂隙蠱靈（瘴癘靈界裂隙）；黯夜妖魔（桃花林西方）；萬嗔惡靈（鬼城）</x:t>
        </x:is>
      </x:c>
    </x:row>
    <x:row r="4182" ht="15" customHeight="1">
      <x:c r="A4182" s="55" t="str">
        <x:v>玄陰拂塵配方</x:v>
      </x:c>
      <x:c r="B4182" s="55" t="str">
        <x:v>地火神兵-與狂戰將的對決</x:v>
      </x:c>
      <x:c r="C4182" s="55" t="str">
        <x:v>—</x:v>
      </x:c>
      <x:c r="D4182" s="55" t="str">
        <x:v>—</x:v>
      </x:c>
      <x:c r="E4182" s="55" t="inlineStr">
        <x:is>
          <x:t>中原神兵錦囊（網站未列地圖）</x:t>
        </x:is>
      </x:c>
    </x:row>
    <x:row r="4183" ht="15" customHeight="1">
      <x:c r="A4183" s="55" t="str">
        <x:v>清虛骨杖配方</x:v>
      </x:c>
      <x:c r="B4183" s="55" t="str">
        <x:v>九曲-天下奇材錄</x:v>
      </x:c>
      <x:c r="C4183" s="55" t="str">
        <x:v>九曲邪徑四海術士</x:v>
      </x:c>
      <x:c r="D4183" s="55" t="str">
        <x:v>—</x:v>
      </x:c>
      <x:c r="E4183" s="55" t="inlineStr">
        <x:is>
          <x:t>—</x:t>
        </x:is>
      </x:c>
    </x:row>
    <x:row r="4184" ht="15" customHeight="1">
      <x:c r="A4184" s="55" t="str">
        <x:v>搖光拂塵配方</x:v>
      </x:c>
      <x:c r="B4184" s="55" t="str">
        <x:v>九曲-天下奇材錄</x:v>
      </x:c>
      <x:c r="C4184" s="55" t="str">
        <x:v>九曲邪徑四海術士</x:v>
      </x:c>
      <x:c r="D4184" s="55" t="str">
        <x:v>—</x:v>
      </x:c>
      <x:c r="E4184" s="55" t="inlineStr">
        <x:is>
          <x:t>—</x:t>
        </x:is>
      </x:c>
    </x:row>
    <x:row r="4185" ht="15" customHeight="1">
      <x:c r="A4185" s="55" t="str">
        <x:v>銀羽扇配方</x:v>
      </x:c>
      <x:c r="B4185" s="55" t="str">
        <x:v>九曲-天下奇材錄</x:v>
      </x:c>
      <x:c r="C4185" s="55" t="str">
        <x:v>九曲邪徑四海術士</x:v>
      </x:c>
      <x:c r="D4185" s="55" t="str">
        <x:v>—</x:v>
      </x:c>
      <x:c r="E4185" s="55" t="inlineStr">
        <x:is>
          <x:t>—</x:t>
        </x:is>
      </x:c>
    </x:row>
    <x:row r="4186" ht="15" customHeight="1">
      <x:c r="A4186" s="55" t="str">
        <x:v>玉翎扇配方</x:v>
      </x:c>
      <x:c r="B4186" s="55" t="str">
        <x:v>九曲-天下奇材錄</x:v>
      </x:c>
      <x:c r="C4186" s="55" t="str">
        <x:v>九曲邪徑四海術士</x:v>
      </x:c>
      <x:c r="D4186" s="55" t="str">
        <x:v>—</x:v>
      </x:c>
      <x:c r="E4186" s="55" t="inlineStr">
        <x:is>
          <x:t>—</x:t>
        </x:is>
      </x:c>
    </x:row>
    <x:row r="4187" ht="15" customHeight="1">
      <x:c r="A4187" s="55" t="str">
        <x:v>青羅蛇杖配方</x:v>
      </x:c>
      <x:c r="B4187" s="55" t="str">
        <x:v>九曲-天下奇材錄</x:v>
      </x:c>
      <x:c r="C4187" s="55" t="str">
        <x:v>九曲邪徑四海術士</x:v>
      </x:c>
      <x:c r="D4187" s="55" t="str">
        <x:v>—</x:v>
      </x:c>
      <x:c r="E4187" s="55" t="inlineStr">
        <x:is>
          <x:t>—</x:t>
        </x:is>
      </x:c>
    </x:row>
    <x:row r="4188" ht="15" customHeight="1">
      <x:c r="A4188" s="55" t="str">
        <x:v>翡翠神杖配方</x:v>
      </x:c>
      <x:c r="B4188" s="55" t="str">
        <x:v>九曲-天下奇材錄</x:v>
      </x:c>
      <x:c r="C4188" s="55" t="str">
        <x:v>九曲邪徑四海術士</x:v>
      </x:c>
      <x:c r="D4188" s="55" t="str">
        <x:v>—</x:v>
      </x:c>
      <x:c r="E4188" s="55" t="inlineStr">
        <x:is>
          <x:t>—</x:t>
        </x:is>
      </x:c>
    </x:row>
    <x:row r="4189" ht="15" customHeight="1">
      <x:c r="A4189" s="55" t="str">
        <x:v>裂戒御祓配方</x:v>
      </x:c>
      <x:c r="B4189" s="55" t="str">
        <x:v>九曲-天下奇材錄</x:v>
      </x:c>
      <x:c r="C4189" s="55" t="str">
        <x:v>九曲邪徑四海術士</x:v>
      </x:c>
      <x:c r="D4189" s="55" t="str">
        <x:v>—</x:v>
      </x:c>
      <x:c r="E4189" s="55" t="inlineStr">
        <x:is>
          <x:t>—</x:t>
        </x:is>
      </x:c>
    </x:row>
    <x:row r="4190" ht="15" customHeight="1">
      <x:c r="A4190" s="55" t="str">
        <x:v>平魔御祓配方</x:v>
      </x:c>
      <x:c r="B4190" s="55" t="str">
        <x:v>九曲-天下奇材錄</x:v>
      </x:c>
      <x:c r="C4190" s="55" t="str">
        <x:v>九曲邪徑四海術士</x:v>
      </x:c>
      <x:c r="D4190" s="55" t="str">
        <x:v>—</x:v>
      </x:c>
      <x:c r="E4190" s="55" t="inlineStr">
        <x:is>
          <x:t>—</x:t>
        </x:is>
      </x:c>
    </x:row>
    <x:row r="4191" ht="15" customHeight="1">
      <x:c r="A4191" s="55" t="str">
        <x:v>瀧取如意配方</x:v>
      </x:c>
      <x:c r="B4191" s="55" t="str">
        <x:v>九曲-天下奇材錄</x:v>
      </x:c>
      <x:c r="C4191" s="55" t="str">
        <x:v>九曲邪徑四海術士</x:v>
      </x:c>
      <x:c r="D4191" s="55" t="str">
        <x:v>—</x:v>
      </x:c>
      <x:c r="E4191" s="55" t="inlineStr">
        <x:is>
          <x:t>—</x:t>
        </x:is>
      </x:c>
    </x:row>
    <x:row r="4192" ht="15" customHeight="1">
      <x:c r="A4192" s="55" t="str">
        <x:v>御敷如意配方</x:v>
      </x:c>
      <x:c r="B4192" s="55" t="str">
        <x:v>九曲-天下奇材錄</x:v>
      </x:c>
      <x:c r="C4192" s="55" t="str">
        <x:v>九曲邪徑四海術士</x:v>
      </x:c>
      <x:c r="D4192" s="55" t="str">
        <x:v>—</x:v>
      </x:c>
      <x:c r="E4192" s="55" t="inlineStr">
        <x:is>
          <x:t>—</x:t>
        </x:is>
      </x:c>
    </x:row>
    <x:row r="4193" ht="15" customHeight="1">
      <x:c r="A4193" s="55" t="str">
        <x:v>星暉拂塵配方</x:v>
      </x:c>
      <x:c r="B4193" s="55" t="str">
        <x:v>九曲-天下奇材錄</x:v>
      </x:c>
      <x:c r="C4193" s="55" t="str">
        <x:v>九曲邪徑四海術士</x:v>
      </x:c>
      <x:c r="D4193" s="55" t="str">
        <x:v>—</x:v>
      </x:c>
      <x:c r="E4193" s="55" t="inlineStr">
        <x:is>
          <x:t>佛都神兵配方錦囊（網站未列地圖）</x:t>
        </x:is>
      </x:c>
    </x:row>
    <x:row r="4194" ht="15" customHeight="1">
      <x:c r="A4194" s="55" t="str">
        <x:v>昊陽拂塵配方</x:v>
      </x:c>
      <x:c r="B4194" s="55" t="str">
        <x:v>九曲-天下奇材錄</x:v>
      </x:c>
      <x:c r="C4194" s="55" t="str">
        <x:v>九曲邪徑四海術士</x:v>
      </x:c>
      <x:c r="D4194" s="55" t="str">
        <x:v>—</x:v>
      </x:c>
      <x:c r="E4194" s="55" t="inlineStr">
        <x:is>
          <x:t>佛都神兵配方錦囊（網站未列地圖）</x:t>
        </x:is>
      </x:c>
    </x:row>
    <x:row r="4195" ht="15" customHeight="1">
      <x:c r="A4195" s="55" t="str">
        <x:v>淨律羽拂配方</x:v>
      </x:c>
      <x:c r="B4195" s="55" t="str">
        <x:v>九曲-天下奇材錄</x:v>
      </x:c>
      <x:c r="C4195" s="55" t="str">
        <x:v>九曲邪徑四海術士</x:v>
      </x:c>
      <x:c r="D4195" s="55" t="str">
        <x:v>—</x:v>
      </x:c>
      <x:c r="E4195" s="55" t="inlineStr">
        <x:is>
          <x:t>—</x:t>
        </x:is>
      </x:c>
    </x:row>
    <x:row r="4196" ht="15" customHeight="1">
      <x:c r="A4196" s="55" t="str">
        <x:v>婆羅羽拂配方</x:v>
      </x:c>
      <x:c r="B4196" s="55" t="str">
        <x:v>九曲-天下奇材錄</x:v>
      </x:c>
      <x:c r="C4196" s="55" t="str">
        <x:v>九曲邪徑四海術士</x:v>
      </x:c>
      <x:c r="D4196" s="55" t="str">
        <x:v>—</x:v>
      </x:c>
      <x:c r="E4196" s="55" t="inlineStr">
        <x:is>
          <x:t>—</x:t>
        </x:is>
      </x:c>
    </x:row>
    <x:row r="4197" ht="15" customHeight="1">
      <x:c r="A4197" s="55" t="str">
        <x:v>水輪法杖配方</x:v>
      </x:c>
      <x:c r="B4197" s="55" t="str">
        <x:v>—</x:v>
      </x:c>
      <x:c r="C4197" s="55" t="str">
        <x:v>祁州打鐵舖</x:v>
      </x:c>
      <x:c r="D4197" s="55" t="str">
        <x:v>—</x:v>
      </x:c>
      <x:c r="E4197" s="55" t="inlineStr">
        <x:is>
          <x:t>—</x:t>
        </x:is>
      </x:c>
    </x:row>
    <x:row r="4198" ht="15" customHeight="1">
      <x:c r="A4198" s="55" t="str">
        <x:v>火輪法杖配方</x:v>
      </x:c>
      <x:c r="B4198" s="55" t="str">
        <x:v>—</x:v>
      </x:c>
      <x:c r="C4198" s="55" t="str">
        <x:v>祁州打鐵舖</x:v>
      </x:c>
      <x:c r="D4198" s="55" t="str">
        <x:v>—</x:v>
      </x:c>
      <x:c r="E4198" s="55" t="inlineStr">
        <x:is>
          <x:t>—</x:t>
        </x:is>
      </x:c>
    </x:row>
    <x:row r="4199" ht="15" customHeight="1">
      <x:c r="A4199" s="55" t="str">
        <x:v>風輪法杖配方</x:v>
      </x:c>
      <x:c r="B4199" s="55" t="str">
        <x:v>—</x:v>
      </x:c>
      <x:c r="C4199" s="55" t="str">
        <x:v>祁州打鐵舖</x:v>
      </x:c>
      <x:c r="D4199" s="55" t="str">
        <x:v>—</x:v>
      </x:c>
      <x:c r="E4199" s="55" t="inlineStr">
        <x:is>
          <x:t>—</x:t>
        </x:is>
      </x:c>
    </x:row>
    <x:row r="4200" ht="15" customHeight="1">
      <x:c r="A4200" s="55" t="str">
        <x:v>地輪法杖配方</x:v>
      </x:c>
      <x:c r="B4200" s="55" t="str">
        <x:v>—</x:v>
      </x:c>
      <x:c r="C4200" s="55" t="str">
        <x:v>祁州打鐵舖</x:v>
      </x:c>
      <x:c r="D4200" s="55" t="str">
        <x:v>—</x:v>
      </x:c>
      <x:c r="E4200" s="55" t="inlineStr">
        <x:is>
          <x:t>—</x:t>
        </x:is>
      </x:c>
    </x:row>
    <x:row r="4201" ht="60" customHeight="1">
      <x:c r="A4201" s="55" t="str">
        <x:v>明王法杖配方</x:v>
      </x:c>
      <x:c r="B4201" s="55" t="str">
        <x:v>—</x:v>
      </x:c>
      <x:c r="C4201" s="55" t="str">
        <x:v>—</x:v>
      </x:c>
      <x:c r="D4201" s="55" t="str">
        <x:v>—</x:v>
      </x:c>
      <x:c r="E4201" s="55" t="inlineStr">
        <x:is>
          <x:t>邪神軀殼（火焰山）；都督錦囊（網站未列地圖）；火骨精長老（五派禁地）；冰骨精長老（五派禁地）；冥骨精長老（五派禁地、古皇陵密室）；風雷頭陀（長林谷）；白骨精長老（五派禁地）；裂隙火靈（烈火靈界裂隙）；裂隙冰靈（怒雪靈界裂隙）；裂隙蠱靈（瘴癘靈界裂隙）；獵人頭祭司（亂石林、大汗陵墓）；祭司幻影（亂石林）；黯夜妖魔（桃花林西方）；萬嗔惡靈（鬼城）</x:t>
        </x:is>
      </x:c>
    </x:row>
    <x:row r="4202" ht="15" customHeight="1">
      <x:c r="A4202" s="55" t="str">
        <x:v>金鋼法杖配方</x:v>
      </x:c>
      <x:c r="B4202" s="55" t="str">
        <x:v>—</x:v>
      </x:c>
      <x:c r="C4202" s="55" t="str">
        <x:v>—</x:v>
      </x:c>
      <x:c r="D4202" s="55" t="str">
        <x:v>—</x:v>
      </x:c>
      <x:c r="E4202" s="55" t="inlineStr">
        <x:is>
          <x:t>中原神兵錦囊（網站未列地圖）</x:t>
        </x:is>
      </x:c>
    </x:row>
    <x:row r="4203" ht="15" customHeight="1">
      <x:c r="A4203" s="55" t="str">
        <x:v>菩提法杖配方</x:v>
      </x:c>
      <x:c r="B4203" s="55" t="str">
        <x:v>九曲-天下奇材錄</x:v>
      </x:c>
      <x:c r="C4203" s="55" t="str">
        <x:v>九曲邪徑四海術士</x:v>
      </x:c>
      <x:c r="D4203" s="55" t="str">
        <x:v>—</x:v>
      </x:c>
      <x:c r="E4203" s="55" t="inlineStr">
        <x:is>
          <x:t>—</x:t>
        </x:is>
      </x:c>
    </x:row>
    <x:row r="4204" ht="15" customHeight="1">
      <x:c r="A4204" s="55" t="str">
        <x:v>達摩法杖配方</x:v>
      </x:c>
      <x:c r="B4204" s="55" t="str">
        <x:v>九曲-天下奇材錄</x:v>
      </x:c>
      <x:c r="C4204" s="55" t="str">
        <x:v>九曲邪徑四海術士</x:v>
      </x:c>
      <x:c r="D4204" s="55" t="str">
        <x:v>—</x:v>
      </x:c>
      <x:c r="E4204" s="55" t="inlineStr">
        <x:is>
          <x:t>—</x:t>
        </x:is>
      </x:c>
    </x:row>
    <x:row r="4205" ht="15" customHeight="1">
      <x:c r="A4205" s="55" t="str">
        <x:v>光焰寶杖配方</x:v>
      </x:c>
      <x:c r="B4205" s="55" t="str">
        <x:v>九曲-天下奇材錄</x:v>
      </x:c>
      <x:c r="C4205" s="55" t="str">
        <x:v>九曲邪徑四海術士</x:v>
      </x:c>
      <x:c r="D4205" s="55" t="str">
        <x:v>—</x:v>
      </x:c>
      <x:c r="E4205" s="55" t="inlineStr">
        <x:is>
          <x:t>—</x:t>
        </x:is>
      </x:c>
    </x:row>
    <x:row r="4206" ht="15" customHeight="1">
      <x:c r="A4206" s="55" t="str">
        <x:v>光焰聖杖配方</x:v>
      </x:c>
      <x:c r="B4206" s="55" t="str">
        <x:v>九曲-天下奇材錄</x:v>
      </x:c>
      <x:c r="C4206" s="55" t="str">
        <x:v>九曲邪徑四海術士</x:v>
      </x:c>
      <x:c r="D4206" s="55" t="str">
        <x:v>—</x:v>
      </x:c>
      <x:c r="E4206" s="55" t="inlineStr">
        <x:is>
          <x:t>—</x:t>
        </x:is>
      </x:c>
    </x:row>
    <x:row r="4207" ht="15" customHeight="1">
      <x:c r="A4207" s="55" t="str">
        <x:v>羅剎禪杖配方</x:v>
      </x:c>
      <x:c r="B4207" s="55" t="str">
        <x:v>九曲-天下奇材錄</x:v>
      </x:c>
      <x:c r="C4207" s="55" t="str">
        <x:v>九曲邪徑四海術士</x:v>
      </x:c>
      <x:c r="D4207" s="55" t="str">
        <x:v>—</x:v>
      </x:c>
      <x:c r="E4207" s="55" t="inlineStr">
        <x:is>
          <x:t>—</x:t>
        </x:is>
      </x:c>
    </x:row>
    <x:row r="4208" ht="15" customHeight="1">
      <x:c r="A4208" s="55" t="str">
        <x:v>大羅剎杖配方</x:v>
      </x:c>
      <x:c r="B4208" s="55" t="str">
        <x:v>九曲-天下奇材錄</x:v>
      </x:c>
      <x:c r="C4208" s="55" t="str">
        <x:v>九曲邪徑四海術士</x:v>
      </x:c>
      <x:c r="D4208" s="55" t="str">
        <x:v>—</x:v>
      </x:c>
      <x:c r="E4208" s="55" t="inlineStr">
        <x:is>
          <x:t>—</x:t>
        </x:is>
      </x:c>
    </x:row>
    <x:row r="4209" ht="15" customHeight="1">
      <x:c r="A4209" s="55" t="str">
        <x:v>安佐禪杖配方</x:v>
      </x:c>
      <x:c r="B4209" s="55" t="str">
        <x:v>九曲-天下奇材錄</x:v>
      </x:c>
      <x:c r="C4209" s="55" t="str">
        <x:v>九曲邪徑四海術士</x:v>
      </x:c>
      <x:c r="D4209" s="55" t="str">
        <x:v>—</x:v>
      </x:c>
      <x:c r="E4209" s="55" t="inlineStr">
        <x:is>
          <x:t>—</x:t>
        </x:is>
      </x:c>
    </x:row>
    <x:row r="4210" ht="15" customHeight="1">
      <x:c r="A4210" s="55" t="str">
        <x:v>堀路禪杖配方</x:v>
      </x:c>
      <x:c r="B4210" s="55" t="str">
        <x:v>九曲-天下奇材錄</x:v>
      </x:c>
      <x:c r="C4210" s="55" t="str">
        <x:v>九曲邪徑四海術士</x:v>
      </x:c>
      <x:c r="D4210" s="55" t="str">
        <x:v>—</x:v>
      </x:c>
      <x:c r="E4210" s="55" t="inlineStr">
        <x:is>
          <x:t>—</x:t>
        </x:is>
      </x:c>
    </x:row>
    <x:row r="4211" ht="15" customHeight="1">
      <x:c r="A4211" s="55" t="str">
        <x:v>尊能禪杖配方</x:v>
      </x:c>
      <x:c r="B4211" s="55" t="str">
        <x:v>九曲-天下奇材錄</x:v>
      </x:c>
      <x:c r="C4211" s="55" t="str">
        <x:v>九曲邪徑四海術士</x:v>
      </x:c>
      <x:c r="D4211" s="55" t="str">
        <x:v>—</x:v>
      </x:c>
      <x:c r="E4211" s="55" t="inlineStr">
        <x:is>
          <x:t>—</x:t>
        </x:is>
      </x:c>
    </x:row>
    <x:row r="4212" ht="15" customHeight="1">
      <x:c r="A4212" s="55" t="str">
        <x:v>彌方禪杖配方</x:v>
      </x:c>
      <x:c r="B4212" s="55" t="str">
        <x:v>九曲-天下奇材錄</x:v>
      </x:c>
      <x:c r="C4212" s="55" t="str">
        <x:v>九曲邪徑四海術士</x:v>
      </x:c>
      <x:c r="D4212" s="55" t="str">
        <x:v>—</x:v>
      </x:c>
      <x:c r="E4212" s="55" t="inlineStr">
        <x:is>
          <x:t>—</x:t>
        </x:is>
      </x:c>
    </x:row>
    <x:row r="4213" ht="15" customHeight="1">
      <x:c r="A4213" s="55" t="str">
        <x:v>彌勒禪杖配方</x:v>
      </x:c>
      <x:c r="B4213" s="55" t="str">
        <x:v>九曲-天下奇材錄</x:v>
      </x:c>
      <x:c r="C4213" s="55" t="str">
        <x:v>九曲邪徑四海術士</x:v>
      </x:c>
      <x:c r="D4213" s="55" t="str">
        <x:v>—</x:v>
      </x:c>
      <x:c r="E4213" s="55" t="inlineStr">
        <x:is>
          <x:t>佛都神兵配方錦囊（網站未列地圖）</x:t>
        </x:is>
      </x:c>
    </x:row>
    <x:row r="4214" ht="15" customHeight="1">
      <x:c r="A4214" s="55" t="str">
        <x:v>諸法禪杖配方</x:v>
      </x:c>
      <x:c r="B4214" s="55" t="str">
        <x:v>九曲-天下奇材錄</x:v>
      </x:c>
      <x:c r="C4214" s="55" t="str">
        <x:v>九曲邪徑四海術士</x:v>
      </x:c>
      <x:c r="D4214" s="55" t="str">
        <x:v>—</x:v>
      </x:c>
      <x:c r="E4214" s="55" t="inlineStr">
        <x:is>
          <x:t>佛都神兵配方錦囊（網站未列地圖）</x:t>
        </x:is>
      </x:c>
    </x:row>
    <x:row r="4215" ht="15" customHeight="1">
      <x:c r="A4215" s="55" t="str">
        <x:v>如來聖杖配方</x:v>
      </x:c>
      <x:c r="B4215" s="55" t="str">
        <x:v>九曲-天下奇材錄</x:v>
      </x:c>
      <x:c r="C4215" s="55" t="str">
        <x:v>九曲邪徑四海術士</x:v>
      </x:c>
      <x:c r="D4215" s="55" t="str">
        <x:v>—</x:v>
      </x:c>
      <x:c r="E4215" s="55" t="inlineStr">
        <x:is>
          <x:t>—</x:t>
        </x:is>
      </x:c>
    </x:row>
    <x:row r="4216" ht="15" customHeight="1">
      <x:c r="A4216" s="55" t="str">
        <x:v>涅槃禪杖配方</x:v>
      </x:c>
      <x:c r="B4216" s="55" t="str">
        <x:v>九曲-天下奇材錄</x:v>
      </x:c>
      <x:c r="C4216" s="55" t="str">
        <x:v>九曲邪徑四海術士</x:v>
      </x:c>
      <x:c r="D4216" s="55" t="str">
        <x:v>—</x:v>
      </x:c>
      <x:c r="E4216" s="55" t="inlineStr">
        <x:is>
          <x:t>—</x:t>
        </x:is>
      </x:c>
    </x:row>
    <x:row r="4217" ht="15" customHeight="1">
      <x:c r="A4217" s="55" t="str">
        <x:v>冰牙戰戟配方</x:v>
      </x:c>
      <x:c r="B4217" s="55" t="str">
        <x:v>—</x:v>
      </x:c>
      <x:c r="C4217" s="55" t="str">
        <x:v>祁州打鐵舖</x:v>
      </x:c>
      <x:c r="D4217" s="55" t="str">
        <x:v>—</x:v>
      </x:c>
      <x:c r="E4217" s="55" t="inlineStr">
        <x:is>
          <x:t>—</x:t>
        </x:is>
      </x:c>
    </x:row>
    <x:row r="4218" ht="15" customHeight="1">
      <x:c r="A4218" s="55" t="str">
        <x:v>火牙戰戟配方</x:v>
      </x:c>
      <x:c r="B4218" s="55" t="str">
        <x:v>—</x:v>
      </x:c>
      <x:c r="C4218" s="55" t="str">
        <x:v>祁州打鐵舖</x:v>
      </x:c>
      <x:c r="D4218" s="55" t="str">
        <x:v>—</x:v>
      </x:c>
      <x:c r="E4218" s="55" t="inlineStr">
        <x:is>
          <x:t>—</x:t>
        </x:is>
      </x:c>
    </x:row>
    <x:row r="4219" ht="15" customHeight="1">
      <x:c r="A4219" s="55" t="str">
        <x:v>雷牙戰戟配方</x:v>
      </x:c>
      <x:c r="B4219" s="55" t="str">
        <x:v>—</x:v>
      </x:c>
      <x:c r="C4219" s="55" t="str">
        <x:v>祁州打鐵舖</x:v>
      </x:c>
      <x:c r="D4219" s="55" t="str">
        <x:v>—</x:v>
      </x:c>
      <x:c r="E4219" s="55" t="inlineStr">
        <x:is>
          <x:t>—</x:t>
        </x:is>
      </x:c>
    </x:row>
    <x:row r="4220" ht="15" customHeight="1">
      <x:c r="A4220" s="55" t="str">
        <x:v>惡牙戰戟配方</x:v>
      </x:c>
      <x:c r="B4220" s="55" t="str">
        <x:v>—</x:v>
      </x:c>
      <x:c r="C4220" s="55" t="str">
        <x:v>祁州打鐵舖</x:v>
      </x:c>
      <x:c r="D4220" s="55" t="str">
        <x:v>—</x:v>
      </x:c>
      <x:c r="E4220" s="55" t="inlineStr">
        <x:is>
          <x:t>—</x:t>
        </x:is>
      </x:c>
    </x:row>
    <x:row r="4221" ht="15" customHeight="1">
      <x:c r="A4221" s="55" t="str">
        <x:v>斷魂槍配方</x:v>
      </x:c>
      <x:c r="B4221" s="55" t="str">
        <x:v>九曲-天下奇材錄</x:v>
      </x:c>
      <x:c r="C4221" s="55" t="str">
        <x:v>九曲邪徑四海術士</x:v>
      </x:c>
      <x:c r="D4221" s="55" t="str">
        <x:v>—</x:v>
      </x:c>
      <x:c r="E4221" s="55" t="inlineStr">
        <x:is>
          <x:t>—</x:t>
        </x:is>
      </x:c>
    </x:row>
    <x:row r="4222" ht="15" customHeight="1">
      <x:c r="A4222" s="55" t="str">
        <x:v>霸王槍配方</x:v>
      </x:c>
      <x:c r="B4222" s="55" t="str">
        <x:v>九曲-天下奇材錄</x:v>
      </x:c>
      <x:c r="C4222" s="55" t="str">
        <x:v>九曲邪徑四海術士</x:v>
      </x:c>
      <x:c r="D4222" s="55" t="str">
        <x:v>—</x:v>
      </x:c>
      <x:c r="E4222" s="55" t="inlineStr">
        <x:is>
          <x:t>—</x:t>
        </x:is>
      </x:c>
    </x:row>
    <x:row r="4223" ht="15" customHeight="1">
      <x:c r="A4223" s="55" t="str">
        <x:v>離火槍配方</x:v>
      </x:c>
      <x:c r="B4223" s="55" t="str">
        <x:v>九曲-天下奇材錄</x:v>
      </x:c>
      <x:c r="C4223" s="55" t="str">
        <x:v>九曲邪徑四海術士</x:v>
      </x:c>
      <x:c r="D4223" s="55" t="str">
        <x:v>—</x:v>
      </x:c>
      <x:c r="E4223" s="55" t="inlineStr">
        <x:is>
          <x:t>—</x:t>
        </x:is>
      </x:c>
    </x:row>
    <x:row r="4224" ht="15" customHeight="1">
      <x:c r="A4224" s="55" t="str">
        <x:v>蛇脊矛配方</x:v>
      </x:c>
      <x:c r="B4224" s="55" t="str">
        <x:v>九曲-天下奇材錄</x:v>
      </x:c>
      <x:c r="C4224" s="55" t="str">
        <x:v>九曲邪徑四海術士</x:v>
      </x:c>
      <x:c r="D4224" s="55" t="str">
        <x:v>—</x:v>
      </x:c>
      <x:c r="E4224" s="55" t="inlineStr">
        <x:is>
          <x:t>—</x:t>
        </x:is>
      </x:c>
    </x:row>
    <x:row r="4225" ht="15" customHeight="1">
      <x:c r="A4225" s="55" t="str">
        <x:v>天晶火槍配方</x:v>
      </x:c>
      <x:c r="B4225" s="55" t="str">
        <x:v>九曲-天下奇材錄</x:v>
      </x:c>
      <x:c r="C4225" s="55" t="str">
        <x:v>九曲邪徑四海術士</x:v>
      </x:c>
      <x:c r="D4225" s="55" t="str">
        <x:v>—</x:v>
      </x:c>
      <x:c r="E4225" s="55" t="inlineStr">
        <x:is>
          <x:t>—</x:t>
        </x:is>
      </x:c>
    </x:row>
    <x:row r="4226" ht="15" customHeight="1">
      <x:c r="A4226" s="55" t="str">
        <x:v>地靈蛇矛配方</x:v>
      </x:c>
      <x:c r="B4226" s="55" t="str">
        <x:v>九曲-天下奇材錄</x:v>
      </x:c>
      <x:c r="C4226" s="55" t="str">
        <x:v>九曲邪徑四海術士</x:v>
      </x:c>
      <x:c r="D4226" s="55" t="str">
        <x:v>—</x:v>
      </x:c>
      <x:c r="E4226" s="55" t="inlineStr">
        <x:is>
          <x:t>—</x:t>
        </x:is>
      </x:c>
    </x:row>
    <x:row r="4227" ht="15" customHeight="1">
      <x:c r="A4227" s="55" t="str">
        <x:v>噬魂槍配方</x:v>
      </x:c>
      <x:c r="B4227" s="55" t="str">
        <x:v>九曲-天下奇材錄</x:v>
      </x:c>
      <x:c r="C4227" s="55" t="str">
        <x:v>九曲邪徑四海術士</x:v>
      </x:c>
      <x:c r="D4227" s="55" t="str">
        <x:v>—</x:v>
      </x:c>
      <x:c r="E4227" s="55" t="inlineStr">
        <x:is>
          <x:t>—</x:t>
        </x:is>
      </x:c>
    </x:row>
    <x:row r="4228" ht="15" customHeight="1">
      <x:c r="A4228" s="55" t="str">
        <x:v>驚邪槍配方</x:v>
      </x:c>
      <x:c r="B4228" s="55" t="str">
        <x:v>九曲-天下奇材錄</x:v>
      </x:c>
      <x:c r="C4228" s="55" t="str">
        <x:v>九曲邪徑四海術士</x:v>
      </x:c>
      <x:c r="D4228" s="55" t="str">
        <x:v>—</x:v>
      </x:c>
      <x:c r="E4228" s="55" t="inlineStr">
        <x:is>
          <x:t>—</x:t>
        </x:is>
      </x:c>
    </x:row>
    <x:row r="4229" ht="15" customHeight="1">
      <x:c r="A4229" s="55" t="str">
        <x:v>十文字槍配方</x:v>
      </x:c>
      <x:c r="B4229" s="55" t="str">
        <x:v>九曲-天下奇材錄</x:v>
      </x:c>
      <x:c r="C4229" s="55" t="str">
        <x:v>九曲邪徑四海術士</x:v>
      </x:c>
      <x:c r="D4229" s="55" t="str">
        <x:v>—</x:v>
      </x:c>
      <x:c r="E4229" s="55" t="inlineStr">
        <x:is>
          <x:t>—</x:t>
        </x:is>
      </x:c>
    </x:row>
    <x:row r="4230" ht="15" customHeight="1">
      <x:c r="A4230" s="55" t="str">
        <x:v>菊宗紋槍配方</x:v>
      </x:c>
      <x:c r="B4230" s="55" t="str">
        <x:v>九曲-天下奇材錄</x:v>
      </x:c>
      <x:c r="C4230" s="55" t="str">
        <x:v>九曲邪徑四海術士</x:v>
      </x:c>
      <x:c r="D4230" s="55" t="str">
        <x:v>—</x:v>
      </x:c>
      <x:c r="E4230" s="55" t="inlineStr">
        <x:is>
          <x:t>—</x:t>
        </x:is>
      </x:c>
    </x:row>
    <x:row r="4231" ht="15" customHeight="1">
      <x:c r="A4231" s="55" t="str">
        <x:v>海皇槍配方</x:v>
      </x:c>
      <x:c r="B4231" s="55" t="str">
        <x:v>—</x:v>
      </x:c>
      <x:c r="C4231" s="55" t="str">
        <x:v>—</x:v>
      </x:c>
      <x:c r="D4231" s="55" t="str">
        <x:v>—</x:v>
      </x:c>
      <x:c r="E4231" s="55" t="inlineStr">
        <x:is>
          <x:t>新絕代兵器錦囊（網站未列地圖）</x:t>
        </x:is>
      </x:c>
    </x:row>
    <x:row r="4232" ht="15" customHeight="1">
      <x:c r="A4232" s="55" t="str">
        <x:v>金龍神槍配方</x:v>
      </x:c>
      <x:c r="B4232" s="55" t="str">
        <x:v>九曲-天下奇材錄</x:v>
      </x:c>
      <x:c r="C4232" s="55" t="str">
        <x:v>九曲邪徑四海術士</x:v>
      </x:c>
      <x:c r="D4232" s="55" t="str">
        <x:v>—</x:v>
      </x:c>
      <x:c r="E4232" s="55" t="inlineStr">
        <x:is>
          <x:t>佛都神兵配方錦囊（網站未列地圖）</x:t>
        </x:is>
      </x:c>
    </x:row>
    <x:row r="4233" ht="15" customHeight="1">
      <x:c r="A4233" s="55" t="str">
        <x:v>伐樓拿戟配方</x:v>
      </x:c>
      <x:c r="B4233" s="55" t="str">
        <x:v>九曲-天下奇材錄</x:v>
      </x:c>
      <x:c r="C4233" s="55" t="str">
        <x:v>九曲邪徑四海術士</x:v>
      </x:c>
      <x:c r="D4233" s="55" t="str">
        <x:v>—</x:v>
      </x:c>
      <x:c r="E4233" s="55" t="inlineStr">
        <x:is>
          <x:t>—</x:t>
        </x:is>
      </x:c>
    </x:row>
    <x:row r="4234" ht="15" customHeight="1">
      <x:c r="A4234" s="55" t="str">
        <x:v>冰環鋼棍配方</x:v>
      </x:c>
      <x:c r="B4234" s="55" t="str">
        <x:v>—</x:v>
      </x:c>
      <x:c r="C4234" s="55" t="str">
        <x:v>祁州打鐵舖</x:v>
      </x:c>
      <x:c r="D4234" s="55" t="str">
        <x:v>—</x:v>
      </x:c>
      <x:c r="E4234" s="55" t="inlineStr">
        <x:is>
          <x:t>—</x:t>
        </x:is>
      </x:c>
    </x:row>
    <x:row r="4235" ht="15" customHeight="1">
      <x:c r="A4235" s="55" t="str">
        <x:v>火環鋼棍配方</x:v>
      </x:c>
      <x:c r="B4235" s="55" t="str">
        <x:v>—</x:v>
      </x:c>
      <x:c r="C4235" s="55" t="str">
        <x:v>祁州打鐵舖</x:v>
      </x:c>
      <x:c r="D4235" s="55" t="str">
        <x:v>—</x:v>
      </x:c>
      <x:c r="E4235" s="55" t="inlineStr">
        <x:is>
          <x:t>—</x:t>
        </x:is>
      </x:c>
    </x:row>
    <x:row r="4236" ht="15" customHeight="1">
      <x:c r="A4236" s="55" t="str">
        <x:v>雷環鋼棍配方</x:v>
      </x:c>
      <x:c r="B4236" s="55" t="str">
        <x:v>—</x:v>
      </x:c>
      <x:c r="C4236" s="55" t="str">
        <x:v>祁州打鐵舖</x:v>
      </x:c>
      <x:c r="D4236" s="55" t="str">
        <x:v>—</x:v>
      </x:c>
      <x:c r="E4236" s="55" t="inlineStr">
        <x:is>
          <x:t>—</x:t>
        </x:is>
      </x:c>
    </x:row>
    <x:row r="4237" ht="15" customHeight="1">
      <x:c r="A4237" s="55" t="str">
        <x:v>紫環鋼棍配方</x:v>
      </x:c>
      <x:c r="B4237" s="55" t="str">
        <x:v>—</x:v>
      </x:c>
      <x:c r="C4237" s="55" t="str">
        <x:v>祁州打鐵舖</x:v>
      </x:c>
      <x:c r="D4237" s="55" t="str">
        <x:v>—</x:v>
      </x:c>
      <x:c r="E4237" s="55" t="inlineStr">
        <x:is>
          <x:t>—</x:t>
        </x:is>
      </x:c>
    </x:row>
    <x:row r="4238" ht="15" customHeight="1">
      <x:c r="A4238" s="55" t="str">
        <x:v>冰刃鋼斧配方</x:v>
      </x:c>
      <x:c r="B4238" s="55" t="str">
        <x:v>—</x:v>
      </x:c>
      <x:c r="C4238" s="55" t="str">
        <x:v>祁州打鐵舖</x:v>
      </x:c>
      <x:c r="D4238" s="55" t="str">
        <x:v>—</x:v>
      </x:c>
      <x:c r="E4238" s="55" t="inlineStr">
        <x:is>
          <x:t>—</x:t>
        </x:is>
      </x:c>
    </x:row>
    <x:row r="4239" ht="15" customHeight="1">
      <x:c r="A4239" s="55" t="str">
        <x:v>火刃鋼斧配方</x:v>
      </x:c>
      <x:c r="B4239" s="55" t="str">
        <x:v>—</x:v>
      </x:c>
      <x:c r="C4239" s="55" t="str">
        <x:v>祁州打鐵舖</x:v>
      </x:c>
      <x:c r="D4239" s="55" t="str">
        <x:v>—</x:v>
      </x:c>
      <x:c r="E4239" s="55" t="inlineStr">
        <x:is>
          <x:t>—</x:t>
        </x:is>
      </x:c>
    </x:row>
    <x:row r="4240" ht="15" customHeight="1">
      <x:c r="A4240" s="55" t="str">
        <x:v>雷刃鋼斧配方</x:v>
      </x:c>
      <x:c r="B4240" s="55" t="str">
        <x:v>—</x:v>
      </x:c>
      <x:c r="C4240" s="55" t="str">
        <x:v>祁州打鐵舖</x:v>
      </x:c>
      <x:c r="D4240" s="55" t="str">
        <x:v>—</x:v>
      </x:c>
      <x:c r="E4240" s="55" t="inlineStr">
        <x:is>
          <x:t>—</x:t>
        </x:is>
      </x:c>
    </x:row>
    <x:row r="4241" ht="15" customHeight="1">
      <x:c r="A4241" s="55" t="str">
        <x:v>鬼刃鋼斧配方</x:v>
      </x:c>
      <x:c r="B4241" s="55" t="str">
        <x:v>—</x:v>
      </x:c>
      <x:c r="C4241" s="55" t="str">
        <x:v>祁州打鐵舖</x:v>
      </x:c>
      <x:c r="D4241" s="55" t="str">
        <x:v>—</x:v>
      </x:c>
      <x:c r="E4241" s="55" t="inlineStr">
        <x:is>
          <x:t>—</x:t>
        </x:is>
      </x:c>
    </x:row>
    <x:row r="4242" ht="15" customHeight="1">
      <x:c r="A4242" s="55" t="str">
        <x:v>冰石釘錘配方</x:v>
      </x:c>
      <x:c r="B4242" s="55" t="str">
        <x:v>—</x:v>
      </x:c>
      <x:c r="C4242" s="55" t="str">
        <x:v>祁州打鐵舖</x:v>
      </x:c>
      <x:c r="D4242" s="55" t="str">
        <x:v>—</x:v>
      </x:c>
      <x:c r="E4242" s="55" t="inlineStr">
        <x:is>
          <x:t>—</x:t>
        </x:is>
      </x:c>
    </x:row>
    <x:row r="4243" ht="15" customHeight="1">
      <x:c r="A4243" s="55" t="str">
        <x:v>火石釘錘配方</x:v>
      </x:c>
      <x:c r="B4243" s="55" t="str">
        <x:v>—</x:v>
      </x:c>
      <x:c r="C4243" s="55" t="str">
        <x:v>祁州打鐵舖</x:v>
      </x:c>
      <x:c r="D4243" s="55" t="str">
        <x:v>—</x:v>
      </x:c>
      <x:c r="E4243" s="55" t="inlineStr">
        <x:is>
          <x:t>—</x:t>
        </x:is>
      </x:c>
    </x:row>
    <x:row r="4244" ht="15" customHeight="1">
      <x:c r="A4244" s="55" t="str">
        <x:v>雷石釘錘配方</x:v>
      </x:c>
      <x:c r="B4244" s="55" t="str">
        <x:v>—</x:v>
      </x:c>
      <x:c r="C4244" s="55" t="str">
        <x:v>祁州打鐵舖</x:v>
      </x:c>
      <x:c r="D4244" s="55" t="str">
        <x:v>—</x:v>
      </x:c>
      <x:c r="E4244" s="55" t="inlineStr">
        <x:is>
          <x:t>—</x:t>
        </x:is>
      </x:c>
    </x:row>
    <x:row r="4245" ht="15" customHeight="1">
      <x:c r="A4245" s="55" t="str">
        <x:v>墓石釘錘配方</x:v>
      </x:c>
      <x:c r="B4245" s="55" t="str">
        <x:v>—</x:v>
      </x:c>
      <x:c r="C4245" s="55" t="str">
        <x:v>祁州打鐵舖</x:v>
      </x:c>
      <x:c r="D4245" s="55" t="str">
        <x:v>—</x:v>
      </x:c>
      <x:c r="E4245" s="55" t="inlineStr">
        <x:is>
          <x:t>—</x:t>
        </x:is>
      </x:c>
    </x:row>
    <x:row r="4246" ht="30" customHeight="1">
      <x:c r="A4246" s="55" t="str">
        <x:v>穿心釘配方</x:v>
      </x:c>
      <x:c r="B4246" s="55" t="str">
        <x:v>—</x:v>
      </x:c>
      <x:c r="C4246" s="55" t="str">
        <x:v>京城煉丹江湖術士、祁州煉丹江湖術士、玄州煉丹術士</x:v>
      </x:c>
      <x:c r="D4246" s="55" t="str">
        <x:v>—</x:v>
      </x:c>
      <x:c r="E4246" s="55" t="inlineStr">
        <x:is>
          <x:t>—</x:t>
        </x:is>
      </x:c>
    </x:row>
    <x:row r="4247" ht="60" customHeight="1">
      <x:c r="A4247" s="55" t="str">
        <x:v>掌心雷配方</x:v>
      </x:c>
      <x:c r="B4247" s="55" t="str">
        <x:v>—</x:v>
      </x:c>
      <x:c r="C4247" s="55" t="str">
        <x:v>京城煉丹江湖術士、玄州煉丹術士</x:v>
      </x:c>
      <x:c r="D4247" s="55" t="str">
        <x:v>—</x:v>
      </x:c>
      <x:c r="E4247" s="55" t="inlineStr">
        <x:is>
          <x:t>傀儡羅剎鏢客（網站未列地圖）；羅剎鏢客（塔干沙漠西方）；羅剎鏢客遊魂（網站未列地圖）；小夜叉奴隸（獄門峽、亂藤林西方、摘星嶺、靖南古道、夜叉嶺）；小夜叉奴隸（玄州城、獄門峽、亂藤林西方、摘星嶺、靖南古道、夜叉嶺）；西域沙蟲（塔干沙漠東方、樓蘭遺址）；飛賊（試煉之窟）；飛賊（塞北關、映月泊、封神臺）；飛賊（塞北關、映月泊、封神臺、試煉之窟）；大盜（碧波幽谷、朝天觀、亂藤林東方）</x:t>
        </x:is>
      </x:c>
    </x:row>
    <x:row r="4248" ht="60" customHeight="1">
      <x:c r="A4248" s="55" t="str">
        <x:v>烈火彈配方</x:v>
      </x:c>
      <x:c r="B4248" s="55" t="str">
        <x:v>—</x:v>
      </x:c>
      <x:c r="C4248" s="55" t="str">
        <x:v>玄州煉丹術士</x:v>
      </x:c>
      <x:c r="D4248" s="55" t="str">
        <x:v>—</x:v>
      </x:c>
      <x:c r="E4248" s="55" t="inlineStr">
        <x:is>
          <x:t>小夜叉飛斧手（獄門峽、亂藤林、亂藤林西方、摘星嶺、靖南古道、夜叉嶺）；小夜叉飛斧手（玄州城、獄門峽、亂藤林、亂藤林西方、摘星嶺、靖南古道、夜叉嶺、異時界‧亂藤林、異時界‧亂藤林西）；小夜叉士兵（獄門峽、亂藤林、亂藤林西方、摘星嶺、靖南古道、夜叉嶺）；小夜叉士兵（玄州城、獄門峽、亂藤林、亂藤林西方、摘星嶺、靖南古道、夜叉嶺、異時界‧亂藤林、異時界‧亂藤林西）</x:t>
        </x:is>
      </x:c>
    </x:row>
    <x:row r="4249" ht="15" customHeight="1">
      <x:c r="A4249" s="55" t="str">
        <x:v>喪屍牙配方</x:v>
      </x:c>
      <x:c r="B4249" s="55" t="str">
        <x:v>—</x:v>
      </x:c>
      <x:c r="C4249" s="55" t="str">
        <x:v>祁州煉丹江湖術士、玄州煉丹術士</x:v>
      </x:c>
      <x:c r="D4249" s="55" t="str">
        <x:v>—</x:v>
      </x:c>
      <x:c r="E4249" s="55" t="inlineStr">
        <x:is>
          <x:t>—</x:t>
        </x:is>
      </x:c>
    </x:row>
    <x:row r="4250" ht="90" customHeight="1">
      <x:c r="A4250" s="55" t="str">
        <x:v>震天雷配方</x:v>
      </x:c>
      <x:c r="B4250" s="55" t="str">
        <x:v>—</x:v>
      </x:c>
      <x:c r="C4250" s="55" t="str">
        <x:v>—</x:v>
      </x:c>
      <x:c r="D4250" s="55" t="str">
        <x:v>—</x:v>
      </x:c>
      <x:c r="E4250" s="55" t="inlineStr">
        <x:is>
          <x:t>羅剎鏢客遊魂（網站未列地圖）；布衣幫小頭目（高昌郡）；羅剎鏢客（塔干沙漠西方）；傀儡羅剎鏢客（網站未列地圖）；傀儡沙漠刀匪（萬佛窟、樓蘭遺址）；傀儡沙漠射手（樓蘭遺址）；沙漠射手（塔干沙漠東方、塔干沙漠南方）；倭國下忍（釣日村）；沙漠刀匪（塔干沙漠東方、塔干沙漠南方）；夜叉長矛手（亂藤林西方、毒龍潭、摘星嶺、魔君陵寢一層、夜叉嶺、修羅窟）；夜叉刀斧手（獄門峽、亂藤林西方、毒龍潭、摘星嶺、魔君陵寢一層、夜叉嶺、修羅窟）；巨象騎射手（金霄佛寺）；摩羅御軍射手（菩提聖原、大梵河岸）；象騎射手（摩羅國境、菩提聖原）</x:t>
        </x:is>
      </x:c>
    </x:row>
    <x:row r="4251" ht="60" customHeight="1">
      <x:c r="A4251" s="55" t="str">
        <x:v>寒冰箭配方</x:v>
      </x:c>
      <x:c r="B4251" s="55" t="str">
        <x:v>—</x:v>
      </x:c>
      <x:c r="C4251" s="55" t="str">
        <x:v>—</x:v>
      </x:c>
      <x:c r="D4251" s="55" t="str">
        <x:v>—</x:v>
      </x:c>
      <x:c r="E4251" s="55" t="inlineStr">
        <x:is>
          <x:t>禿鷹（塔干沙漠東方、塔干沙漠南方、樓蘭遺址、火焰山）；寒冰鬼卒（怒雪靈界裂隙）；血參巫（網站未列地圖）；冰界妖靈（怒雪靈界通道、怒雪洞府）；冰界鬼卒（怒雪靈界通道、怒雪洞府、怒雪修煉場）；鬼螯蝦兵（桃花林東方、桃花林南方、大寶礁、龍宮第七層、龍宮八層廣場）；巨螯蝦兵（桃花林東方、桃花林南方、珊瑚帶、大寶礁、龍宮八層廣場）</x:t>
        </x:is>
      </x:c>
    </x:row>
    <x:row r="4252" ht="45" customHeight="1">
      <x:c r="A4252" s="55" t="str">
        <x:v>巨雷石配方</x:v>
      </x:c>
      <x:c r="B4252" s="55" t="str">
        <x:v>—</x:v>
      </x:c>
      <x:c r="C4252" s="55" t="str">
        <x:v>—</x:v>
      </x:c>
      <x:c r="D4252" s="55" t="str">
        <x:v>—</x:v>
      </x:c>
      <x:c r="E4252" s="55" t="inlineStr">
        <x:is>
          <x:t>妖煞蟲王（火焰山）；沙蟲蠱王（樓蘭遺址）；黯火妖靈（烈火靈界裂隙）；狼斑沙蟲（塔干沙漠東方、萬佛窟、樓蘭遺址）；火界妖靈（烈火靈界通道、火雲洞府、棲鳳崖、鳳凰台）；火界鬼卒（烈火靈界通道、火雲洞府、烈火修煉場）；血參巫（網站未列地圖）；黯火鬼卒（烈火靈界裂隙）</x:t>
        </x:is>
      </x:c>
    </x:row>
    <x:row r="4253" ht="60" customHeight="1">
      <x:c r="A4253" s="55" t="str">
        <x:v>鬼屍牙配方</x:v>
      </x:c>
      <x:c r="B4253" s="55" t="str">
        <x:v>—</x:v>
      </x:c>
      <x:c r="C4253" s="55" t="str">
        <x:v>—</x:v>
      </x:c>
      <x:c r="D4253" s="55" t="str">
        <x:v>—</x:v>
      </x:c>
      <x:c r="E4253" s="55" t="inlineStr">
        <x:is>
          <x:t>吸精鬼屍（五派禁地）；惡靈殭屍（五派禁地）；吸血殭屍（猛鬼窟第二層、萬人塚第三層、樓蘭遺址）；[吸血殭屍]（網站未列地圖）；死靈水母（龍宮第七層、龍宮八層一隅、龍宮八層廣場）；土行鬼王（亂藤林、亂藤林南方、葬日沼澤、魔君陵墓、靖南古道、修羅窟）；土行者（亂藤林、亂藤林東方、亂藤林南方、葬日沼澤、魔君陵墓、靖南古道、修羅窟、千佛遺跡東側）</x:t>
        </x:is>
      </x:c>
    </x:row>
    <x:row r="4254" ht="75" customHeight="1">
      <x:c r="A4254" s="55" t="str">
        <x:v>冰石錐配方</x:v>
      </x:c>
      <x:c r="B4254" s="55" t="str">
        <x:v>—</x:v>
      </x:c>
      <x:c r="C4254" s="55" t="str">
        <x:v>—</x:v>
      </x:c>
      <x:c r="D4254" s="55" t="str">
        <x:v>—</x:v>
      </x:c>
      <x:c r="E4254" s="55" t="inlineStr">
        <x:is>
          <x:t>血神禿鷹（火焰山）；千年花精（亂藤林南方、葬日沼澤北方）；[千年花精]（網站未列地圖）；嗜血禿鷹（塔干沙漠南方）；屍花精（五派禁地）；百眼長老（摘星嶺、魔君陵墓、魔君陵寢一層、魔君陵寢二層）；百眼密探（毒龍潭）；百眼巫師（毒龍潭、摘星嶺、魔君陵墓、魔君陵寢一層、魔君陵寢二層、修羅窟）；巨禿鷹（塔干沙漠東方、塔干沙漠南方、萬佛窟、樓蘭遺址、火焰山）；[巨禿鷹]（網站未列地圖）；花精（亂藤林、亂藤林南方、葬日沼澤、葬日沼澤北方）；綠林花妖（網站未列地圖）</x:t>
        </x:is>
      </x:c>
    </x:row>
    <x:row r="4255" ht="45" customHeight="1">
      <x:c r="A4255" s="55" t="str">
        <x:v>晶殼鏢配方</x:v>
      </x:c>
      <x:c r="B4255" s="55" t="str">
        <x:v>—</x:v>
      </x:c>
      <x:c r="C4255" s="55" t="str">
        <x:v>—</x:v>
      </x:c>
      <x:c r="D4255" s="55" t="str">
        <x:v>—</x:v>
      </x:c>
      <x:c r="E4255" s="55" t="inlineStr">
        <x:is>
          <x:t>噴焰巨龜（火焰山）；礫岩龜（塔干沙漠南方、塔干沙漠西方）；銅石龜（塔干沙漠南方、塔干沙漠西方、樓蘭遺址）；[銅石龜]（網站未列地圖）；巨角龜精（網站未列地圖）；巨角龜（桃花林東方）；鬼螯蝦兵（桃花林東方、桃花林南方、大寶礁、龍宮第七層、龍宮八層廣場）</x:t>
        </x:is>
      </x:c>
    </x:row>
    <x:row r="4256" ht="45" customHeight="1">
      <x:c r="A4256" s="55" t="str">
        <x:v>火龍彈配方</x:v>
      </x:c>
      <x:c r="B4256" s="55" t="str">
        <x:v>—</x:v>
      </x:c>
      <x:c r="C4256" s="55" t="str">
        <x:v>—</x:v>
      </x:c>
      <x:c r="D4256" s="55" t="str">
        <x:v>—</x:v>
      </x:c>
      <x:c r="E4256" s="55" t="inlineStr">
        <x:is>
          <x:t>中郎將錦囊（網站未列地圖）；真火鳳凰（鳳凰台）；真火鳳凰（鳳凰台）；泣命煉首（網站未列地圖）；紫燄影凰（網站未列地圖）；鳳凰（棲鳳崖、鳳凰台）；火鳳凰（棲鳳崖）；西域魔像（網站未列地圖）；鳳凰（棲鳳崖、鳳凰台）；[鳳凰]（網站未列地圖）；火藥惡賊（長林谷）；鴻星火藥惡棍（碧波幽谷）</x:t>
        </x:is>
      </x:c>
    </x:row>
    <x:row r="4257" ht="15" customHeight="1">
      <x:c r="A4257" s="55" t="str">
        <x:v>迷霧彈配方</x:v>
      </x:c>
      <x:c r="B4257" s="55" t="str">
        <x:v>蒼郎劫-神秘暗器(術者)</x:v>
      </x:c>
      <x:c r="C4257" s="55" t="str">
        <x:v>—</x:v>
      </x:c>
      <x:c r="D4257" s="55" t="str">
        <x:v>—</x:v>
      </x:c>
      <x:c r="E4257" s="55" t="inlineStr">
        <x:is>
          <x:t>—</x:t>
        </x:is>
      </x:c>
    </x:row>
    <x:row r="4258" ht="30" customHeight="1">
      <x:c r="A4258" s="55" t="str">
        <x:v>如意袖圈配方</x:v>
      </x:c>
      <x:c r="B4258" s="55" t="str">
        <x:v>—</x:v>
      </x:c>
      <x:c r="C4258" s="55" t="str">
        <x:v>—</x:v>
      </x:c>
      <x:c r="D4258" s="55" t="str">
        <x:v>—</x:v>
      </x:c>
      <x:c r="E4258" s="55" t="inlineStr">
        <x:is>
          <x:t>暴風邪神（火焰山）；邪神軀殼（火焰山）；都督錦囊（網站未列地圖）；北斗星君（五派禁地）；江湖刀客（長林谷）；鐵勾惡盜（長林谷）；鴻星扛把子（碧波幽谷）</x:t>
        </x:is>
      </x:c>
    </x:row>
    <x:row r="4259" ht="15" customHeight="1">
      <x:c r="A4259" s="55" t="str">
        <x:v>彈指神通配方</x:v>
      </x:c>
      <x:c r="B4259" s="55" t="str">
        <x:v>地火神兵-與狂戰將的對決</x:v>
      </x:c>
      <x:c r="C4259" s="55" t="str">
        <x:v>—</x:v>
      </x:c>
      <x:c r="D4259" s="55" t="str">
        <x:v>—</x:v>
      </x:c>
      <x:c r="E4259" s="55" t="inlineStr">
        <x:is>
          <x:t>中原神兵錦囊（網站未列地圖）；巨象騎射手（金霄佛寺）</x:t>
        </x:is>
      </x:c>
    </x:row>
    <x:row r="4260" ht="15" customHeight="1">
      <x:c r="A4260" s="55" t="str">
        <x:v>七煞天羅配方</x:v>
      </x:c>
      <x:c r="B4260" s="55" t="str">
        <x:v>九曲-天下奇材錄</x:v>
      </x:c>
      <x:c r="C4260" s="55" t="str">
        <x:v>九曲邪徑四海術士</x:v>
      </x:c>
      <x:c r="D4260" s="55" t="str">
        <x:v>—</x:v>
      </x:c>
      <x:c r="E4260" s="55" t="inlineStr">
        <x:is>
          <x:t>—</x:t>
        </x:is>
      </x:c>
    </x:row>
    <x:row r="4261" ht="15" customHeight="1">
      <x:c r="A4261" s="55" t="str">
        <x:v>封神針配方</x:v>
      </x:c>
      <x:c r="B4261" s="55" t="str">
        <x:v>九曲-天下奇材錄</x:v>
      </x:c>
      <x:c r="C4261" s="55" t="str">
        <x:v>九曲邪徑四海術士</x:v>
      </x:c>
      <x:c r="D4261" s="55" t="str">
        <x:v>—</x:v>
      </x:c>
      <x:c r="E4261" s="55" t="inlineStr">
        <x:is>
          <x:t>—</x:t>
        </x:is>
      </x:c>
    </x:row>
    <x:row r="4262" ht="15" customHeight="1">
      <x:c r="A4262" s="55" t="str">
        <x:v>含沙射影配方</x:v>
      </x:c>
      <x:c r="B4262" s="55" t="str">
        <x:v>九曲-天下奇材錄</x:v>
      </x:c>
      <x:c r="C4262" s="55" t="str">
        <x:v>九曲邪徑四海術士</x:v>
      </x:c>
      <x:c r="D4262" s="55" t="str">
        <x:v>—</x:v>
      </x:c>
      <x:c r="E4262" s="55" t="inlineStr">
        <x:is>
          <x:t>—</x:t>
        </x:is>
      </x:c>
    </x:row>
    <x:row r="4263" ht="15" customHeight="1">
      <x:c r="A4263" s="55" t="str">
        <x:v>暴雨梨花配方</x:v>
      </x:c>
      <x:c r="B4263" s="55" t="str">
        <x:v>九曲-天下奇材錄</x:v>
      </x:c>
      <x:c r="C4263" s="55" t="str">
        <x:v>九曲邪徑四海術士</x:v>
      </x:c>
      <x:c r="D4263" s="55" t="str">
        <x:v>—</x:v>
      </x:c>
      <x:c r="E4263" s="55" t="inlineStr">
        <x:is>
          <x:t>—</x:t>
        </x:is>
      </x:c>
    </x:row>
    <x:row r="4264" ht="15" customHeight="1">
      <x:c r="A4264" s="55" t="str">
        <x:v>九轉金蓮配方</x:v>
      </x:c>
      <x:c r="B4264" s="55" t="str">
        <x:v>九曲-天下奇材錄</x:v>
      </x:c>
      <x:c r="C4264" s="55" t="str">
        <x:v>九曲邪徑四海術士</x:v>
      </x:c>
      <x:c r="D4264" s="55" t="str">
        <x:v>—</x:v>
      </x:c>
      <x:c r="E4264" s="55" t="inlineStr">
        <x:is>
          <x:t>—</x:t>
        </x:is>
      </x:c>
    </x:row>
    <x:row r="4265" ht="15" customHeight="1">
      <x:c r="A4265" s="55" t="str">
        <x:v>津雪刺配方</x:v>
      </x:c>
      <x:c r="B4265" s="55" t="str">
        <x:v>九曲-天下奇材錄</x:v>
      </x:c>
      <x:c r="C4265" s="55" t="str">
        <x:v>九曲邪徑四海術士</x:v>
      </x:c>
      <x:c r="D4265" s="55" t="str">
        <x:v>—</x:v>
      </x:c>
      <x:c r="E4265" s="55" t="inlineStr">
        <x:is>
          <x:t>—</x:t>
        </x:is>
      </x:c>
    </x:row>
    <x:row r="4266" ht="15" customHeight="1">
      <x:c r="A4266" s="55" t="str">
        <x:v>絃葦飛刺配方</x:v>
      </x:c>
      <x:c r="B4266" s="55" t="str">
        <x:v>九曲-天下奇材錄</x:v>
      </x:c>
      <x:c r="C4266" s="55" t="str">
        <x:v>九曲邪徑四海術士</x:v>
      </x:c>
      <x:c r="D4266" s="55" t="str">
        <x:v>—</x:v>
      </x:c>
      <x:c r="E4266" s="55" t="inlineStr">
        <x:is>
          <x:t>—</x:t>
        </x:is>
      </x:c>
    </x:row>
    <x:row r="4267" ht="15" customHeight="1">
      <x:c r="A4267" s="55" t="str">
        <x:v>若越旋配方</x:v>
      </x:c>
      <x:c r="B4267" s="55" t="str">
        <x:v>九曲-天下奇材錄</x:v>
      </x:c>
      <x:c r="C4267" s="55" t="str">
        <x:v>九曲邪徑四海術士</x:v>
      </x:c>
      <x:c r="D4267" s="55" t="str">
        <x:v>—</x:v>
      </x:c>
      <x:c r="E4267" s="55" t="inlineStr">
        <x:is>
          <x:t>—</x:t>
        </x:is>
      </x:c>
    </x:row>
    <x:row r="4268" ht="15" customHeight="1">
      <x:c r="A4268" s="55" t="str">
        <x:v>筑刃旋配方</x:v>
      </x:c>
      <x:c r="B4268" s="55" t="str">
        <x:v>九曲-天下奇材錄</x:v>
      </x:c>
      <x:c r="C4268" s="55" t="str">
        <x:v>九曲邪徑四海術士</x:v>
      </x:c>
      <x:c r="D4268" s="55" t="str">
        <x:v>—</x:v>
      </x:c>
      <x:c r="E4268" s="55" t="inlineStr">
        <x:is>
          <x:t>—</x:t>
        </x:is>
      </x:c>
    </x:row>
    <x:row r="4269" ht="15" customHeight="1">
      <x:c r="A4269" s="55" t="str">
        <x:v>雀屏針配方</x:v>
      </x:c>
      <x:c r="B4269" s="55" t="str">
        <x:v>九曲-天下奇材錄</x:v>
      </x:c>
      <x:c r="C4269" s="55" t="str">
        <x:v>九曲邪徑四海術士</x:v>
      </x:c>
      <x:c r="D4269" s="55" t="str">
        <x:v>—</x:v>
      </x:c>
      <x:c r="E4269" s="55" t="inlineStr">
        <x:is>
          <x:t>佛都神兵配方錦囊（網站未列地圖）</x:t>
        </x:is>
      </x:c>
    </x:row>
    <x:row r="4270" ht="15" customHeight="1">
      <x:c r="A4270" s="55" t="str">
        <x:v>金瞳雀釵配方</x:v>
      </x:c>
      <x:c r="B4270" s="55" t="str">
        <x:v>九曲-天下奇材錄</x:v>
      </x:c>
      <x:c r="C4270" s="55" t="str">
        <x:v>九曲邪徑四海術士</x:v>
      </x:c>
      <x:c r="D4270" s="55" t="str">
        <x:v>—</x:v>
      </x:c>
      <x:c r="E4270" s="55" t="inlineStr">
        <x:is>
          <x:t>佛都神兵配方錦囊（網站未列地圖）</x:t>
        </x:is>
      </x:c>
    </x:row>
    <x:row r="4271" ht="15" customHeight="1">
      <x:c r="A4271" s="55" t="str">
        <x:v>飛獨鈷配方</x:v>
      </x:c>
      <x:c r="B4271" s="55" t="str">
        <x:v>九曲-天下奇材錄</x:v>
      </x:c>
      <x:c r="C4271" s="55" t="str">
        <x:v>九曲邪徑四海術士</x:v>
      </x:c>
      <x:c r="D4271" s="55" t="str">
        <x:v>—</x:v>
      </x:c>
      <x:c r="E4271" s="55" t="inlineStr">
        <x:is>
          <x:t>—</x:t>
        </x:is>
      </x:c>
    </x:row>
    <x:row r="4272" ht="15" customHeight="1">
      <x:c r="A4272" s="55" t="str">
        <x:v>滅神金杵配方</x:v>
      </x:c>
      <x:c r="B4272" s="55" t="str">
        <x:v>九曲-天下奇材錄</x:v>
      </x:c>
      <x:c r="C4272" s="55" t="str">
        <x:v>九曲邪徑四海術士</x:v>
      </x:c>
      <x:c r="D4272" s="55" t="str">
        <x:v>—</x:v>
      </x:c>
      <x:c r="E4272" s="55" t="inlineStr">
        <x:is>
          <x:t>—</x:t>
        </x:is>
      </x:c>
    </x:row>
    <x:row r="4273" ht="15" customHeight="1">
      <x:c r="A4273" s="55" t="str">
        <x:v>山犬帽配方</x:v>
      </x:c>
      <x:c r="B4273" s="55" t="str">
        <x:v>—</x:v>
      </x:c>
      <x:c r="C4273" s="55" t="str">
        <x:v>京城打鐵舖</x:v>
      </x:c>
      <x:c r="D4273" s="55" t="str">
        <x:v>—</x:v>
      </x:c>
      <x:c r="E4273" s="55" t="inlineStr">
        <x:is>
          <x:t>—</x:t>
        </x:is>
      </x:c>
    </x:row>
    <x:row r="4274" ht="15" customHeight="1">
      <x:c r="A4274" s="55" t="str">
        <x:v>惡狼皮帽配方</x:v>
      </x:c>
      <x:c r="B4274" s="55" t="str">
        <x:v>—</x:v>
      </x:c>
      <x:c r="C4274" s="55" t="str">
        <x:v>祁州打鐵舖</x:v>
      </x:c>
      <x:c r="D4274" s="55" t="str">
        <x:v>—</x:v>
      </x:c>
      <x:c r="E4274" s="55" t="inlineStr">
        <x:is>
          <x:t>—</x:t>
        </x:is>
      </x:c>
    </x:row>
    <x:row r="4275" ht="30" customHeight="1">
      <x:c r="A4275" s="55" t="str">
        <x:v>蛛絲僧帽配方</x:v>
      </x:c>
      <x:c r="B4275" s="55" t="str">
        <x:v>—</x:v>
      </x:c>
      <x:c r="C4275" s="55" t="str">
        <x:v>京城煉丹江湖術士、祁州煉丹江湖術士、玄州煉丹術士</x:v>
      </x:c>
      <x:c r="D4275" s="55" t="str">
        <x:v>—</x:v>
      </x:c>
      <x:c r="E4275" s="55" t="inlineStr">
        <x:is>
          <x:t>—</x:t>
        </x:is>
      </x:c>
    </x:row>
    <x:row r="4276" ht="30" customHeight="1">
      <x:c r="A4276" s="55" t="str">
        <x:v>蛛絲道冠配方</x:v>
      </x:c>
      <x:c r="B4276" s="55" t="str">
        <x:v>—</x:v>
      </x:c>
      <x:c r="C4276" s="55" t="str">
        <x:v>京城煉丹江湖術士、祁州煉丹江湖術士、玄州煉丹術士</x:v>
      </x:c>
      <x:c r="D4276" s="55" t="str">
        <x:v>—</x:v>
      </x:c>
      <x:c r="E4276" s="55" t="inlineStr">
        <x:is>
          <x:t>—</x:t>
        </x:is>
      </x:c>
    </x:row>
    <x:row r="4277" ht="30" customHeight="1">
      <x:c r="A4277" s="55" t="str">
        <x:v>合金頭箍配方</x:v>
      </x:c>
      <x:c r="B4277" s="55" t="str">
        <x:v>—</x:v>
      </x:c>
      <x:c r="C4277" s="55" t="str">
        <x:v>玄州煉丹術士</x:v>
      </x:c>
      <x:c r="D4277" s="55" t="str">
        <x:v>—</x:v>
      </x:c>
      <x:c r="E4277" s="55" t="inlineStr">
        <x:is>
          <x:t>黑狂猴（入雲道、古皇陵近郊、映月泊、猢猻嶺）；黑狂猴（入雲道、古皇陵近郊、映月泊、猢猻嶺、試煉之窟）；黑狂猴（試煉之窟）</x:t>
        </x:is>
      </x:c>
    </x:row>
    <x:row r="4278" ht="30" customHeight="1">
      <x:c r="A4278" s="55" t="str">
        <x:v>靈絲僧帽配方</x:v>
      </x:c>
      <x:c r="B4278" s="55" t="str">
        <x:v>—</x:v>
      </x:c>
      <x:c r="C4278" s="55" t="str">
        <x:v>祁州煉丹江湖術士</x:v>
      </x:c>
      <x:c r="D4278" s="55" t="str">
        <x:v>—</x:v>
      </x:c>
      <x:c r="E4278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79" ht="30" customHeight="1">
      <x:c r="A4279" s="55" t="str">
        <x:v>靈絲道冠配方</x:v>
      </x:c>
      <x:c r="B4279" s="55" t="str">
        <x:v>—</x:v>
      </x:c>
      <x:c r="C4279" s="55" t="str">
        <x:v>祁州煉丹江湖術士</x:v>
      </x:c>
      <x:c r="D4279" s="55" t="str">
        <x:v>—</x:v>
      </x:c>
      <x:c r="E4279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80" ht="30" customHeight="1">
      <x:c r="A4280" s="55" t="str">
        <x:v>天鐵頭箍配方</x:v>
      </x:c>
      <x:c r="B4280" s="55" t="str">
        <x:v>—</x:v>
      </x:c>
      <x:c r="C4280" s="55" t="str">
        <x:v>—</x:v>
      </x:c>
      <x:c r="D4280" s="55" t="str">
        <x:v>—</x:v>
      </x:c>
      <x:c r="E4280" s="55" t="inlineStr">
        <x:is>
          <x:t>黑豹（關外草原）；狂猴王（入雲道、古皇陵近郊、映月泊、猢猻嶺）；長林狂猴（長林谷）；黑豹（亂石林、黑城遺跡、疾風谷）；[黑豹]（網站未列地圖）；黑豹（亂石林、黑城遺跡、疾風谷、關外草原）</x:t>
        </x:is>
      </x:c>
    </x:row>
    <x:row r="4281" ht="30" customHeight="1">
      <x:c r="A4281" s="55" t="str">
        <x:v>銀縷僧帽配方</x:v>
      </x:c>
      <x:c r="B4281" s="55" t="str">
        <x:v>—</x:v>
      </x:c>
      <x:c r="C4281" s="55" t="str">
        <x:v>—</x:v>
      </x:c>
      <x:c r="D4281" s="55" t="str">
        <x:v>—</x:v>
      </x:c>
      <x:c r="E4281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82" ht="30" customHeight="1">
      <x:c r="A4282" s="55" t="str">
        <x:v>銀縷道冠配方</x:v>
      </x:c>
      <x:c r="B4282" s="55" t="str">
        <x:v>—</x:v>
      </x:c>
      <x:c r="C4282" s="55" t="str">
        <x:v>—</x:v>
      </x:c>
      <x:c r="D4282" s="55" t="str">
        <x:v>—</x:v>
      </x:c>
      <x:c r="E4282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83" ht="45" customHeight="1">
      <x:c r="A4283" s="55" t="str">
        <x:v>怨靈頭箍配方</x:v>
      </x:c>
      <x:c r="B4283" s="55" t="str">
        <x:v>—</x:v>
      </x:c>
      <x:c r="C4283" s="55" t="str">
        <x:v>—</x:v>
      </x:c>
      <x:c r="D4283" s="55" t="str">
        <x:v>—</x:v>
      </x:c>
      <x:c r="E4283" s="55" t="inlineStr">
        <x:is>
          <x:t>血屍（猛鬼窟第一層、萬人塚第二層、朝天觀、萬人塚第三層、樓蘭遺址）；魔饜大軍（網站未列地圖）；殭屍（鬼城、猛鬼窟第一層、萬人塚第一層、萬人塚第二層、萬人塚第三層）；殭屍（鬼城、猛鬼窟第一層、試煉之窟、萬人塚第一層、萬人塚第二層、萬人塚第三層）；魔饜大軍（網站未列地圖）；殭屍（試煉之窟）</x:t>
        </x:is>
      </x:c>
    </x:row>
    <x:row r="4284" ht="30" customHeight="1">
      <x:c r="A4284" s="55" t="str">
        <x:v>怨靈骨盔配方</x:v>
      </x:c>
      <x:c r="B4284" s="55" t="str">
        <x:v>—</x:v>
      </x:c>
      <x:c r="C4284" s="55" t="str">
        <x:v>—</x:v>
      </x:c>
      <x:c r="D4284" s="55" t="str">
        <x:v>—</x:v>
      </x:c>
      <x:c r="E4284" s="55" t="inlineStr">
        <x:is>
          <x:t>死靈骷髏（魔君陵墓）；死靈弓手（魔君陵墓）；骷髏士兵（猛鬼窟第二層、朝天觀）；惡靈骷髏兵（五派禁地）；惡靈弓手（五派禁地）</x:t>
        </x:is>
      </x:c>
    </x:row>
    <x:row r="4285" ht="15" customHeight="1">
      <x:c r="A4285" s="55" t="str">
        <x:v>天極戰盔配方</x:v>
      </x:c>
      <x:c r="B4285" s="55" t="str">
        <x:v>—</x:v>
      </x:c>
      <x:c r="C4285" s="55" t="str">
        <x:v>—</x:v>
      </x:c>
      <x:c r="D4285" s="55" t="str">
        <x:v>—</x:v>
      </x:c>
      <x:c r="E4285" s="55" t="inlineStr">
        <x:is>
          <x:t>天極配方錦囊（網站未列地圖）</x:t>
        </x:is>
      </x:c>
    </x:row>
    <x:row r="4286" ht="15" customHeight="1">
      <x:c r="A4286" s="55" t="str">
        <x:v>蒼天戰盔配方</x:v>
      </x:c>
      <x:c r="B4286" s="55" t="str">
        <x:v>—</x:v>
      </x:c>
      <x:c r="C4286" s="55" t="str">
        <x:v>—</x:v>
      </x:c>
      <x:c r="D4286" s="55" t="str">
        <x:v>—</x:v>
      </x:c>
      <x:c r="E4286" s="55" t="inlineStr">
        <x:is>
          <x:t>蒼天神裝配方錦囊（網站未列地圖）</x:t>
        </x:is>
      </x:c>
    </x:row>
    <x:row r="4287" ht="15" customHeight="1">
      <x:c r="A4287" s="55" t="str">
        <x:v>天宇戰盔配方</x:v>
      </x:c>
      <x:c r="B4287" s="55" t="str">
        <x:v>—</x:v>
      </x:c>
      <x:c r="C4287" s="55" t="str">
        <x:v>—</x:v>
      </x:c>
      <x:c r="D4287" s="55" t="str">
        <x:v>—</x:v>
      </x:c>
      <x:c r="E4287" s="55" t="inlineStr">
        <x:is>
          <x:t>—</x:t>
        </x:is>
      </x:c>
    </x:row>
    <x:row r="4288" ht="15" customHeight="1">
      <x:c r="A4288" s="55" t="str">
        <x:v>山犬背心配方</x:v>
      </x:c>
      <x:c r="B4288" s="55" t="str">
        <x:v>—</x:v>
      </x:c>
      <x:c r="C4288" s="55" t="str">
        <x:v>京城打鐵舖</x:v>
      </x:c>
      <x:c r="D4288" s="55" t="str">
        <x:v>—</x:v>
      </x:c>
      <x:c r="E4288" s="55" t="inlineStr">
        <x:is>
          <x:t>—</x:t>
        </x:is>
      </x:c>
    </x:row>
    <x:row r="4289" ht="15" customHeight="1">
      <x:c r="A4289" s="55" t="str">
        <x:v>惡狼皮襖配方</x:v>
      </x:c>
      <x:c r="B4289" s="55" t="str">
        <x:v>—</x:v>
      </x:c>
      <x:c r="C4289" s="55" t="str">
        <x:v>祁州打鐵舖</x:v>
      </x:c>
      <x:c r="D4289" s="55" t="str">
        <x:v>—</x:v>
      </x:c>
      <x:c r="E4289" s="55" t="inlineStr">
        <x:is>
          <x:t>—</x:t>
        </x:is>
      </x:c>
    </x:row>
    <x:row r="4290" ht="30" customHeight="1">
      <x:c r="A4290" s="55" t="str">
        <x:v>骨甲配方</x:v>
      </x:c>
      <x:c r="B4290" s="55" t="str">
        <x:v>—</x:v>
      </x:c>
      <x:c r="C4290" s="55" t="str">
        <x:v>京城煉丹江湖術士、祁州煉丹江湖術士、玄州煉丹術士</x:v>
      </x:c>
      <x:c r="D4290" s="55" t="str">
        <x:v>—</x:v>
      </x:c>
      <x:c r="E4290" s="55" t="inlineStr">
        <x:is>
          <x:t>—</x:t>
        </x:is>
      </x:c>
    </x:row>
    <x:row r="4291" ht="60" customHeight="1">
      <x:c r="A4291" s="55" t="str">
        <x:v>重骨甲配方</x:v>
      </x:c>
      <x:c r="B4291" s="55" t="str">
        <x:v>—</x:v>
      </x:c>
      <x:c r="C4291" s="55" t="str">
        <x:v>祁州煉丹江湖術士</x:v>
      </x:c>
      <x:c r="D4291" s="55" t="str">
        <x:v>—</x:v>
      </x:c>
      <x:c r="E4291" s="55" t="inlineStr">
        <x:is>
          <x:t>大山豬（惡狼林、古皇陵近郊、猢猻嶺、封神臺、亂藤林西方、鷹翅族部落）；大山豬（惡狼林、古皇陵近郊、猢猻嶺、封神臺、試煉之窟、亂藤林西方、鷹翅族部落）；覓蜜熊（桃花林、桃花林西方、桃花林南方）；[熊武者]（網站未列地圖）；熊武者（桃花林西方、不老峰）；大山豬（試煉之窟）；大力熊（桃花林西方、桃花林南方、不老峰）</x:t>
        </x:is>
      </x:c>
    </x:row>
    <x:row r="4292" ht="15" customHeight="1">
      <x:c r="A4292" s="55" t="str">
        <x:v>附靈骨甲配方</x:v>
      </x:c>
      <x:c r="B4292" s="55" t="str">
        <x:v>—</x:v>
      </x:c>
      <x:c r="C4292" s="55" t="str">
        <x:v>玄州煉丹術士</x:v>
      </x:c>
      <x:c r="D4292" s="55" t="str">
        <x:v>—</x:v>
      </x:c>
      <x:c r="E4292" s="55" t="inlineStr">
        <x:is>
          <x:t>幽冥犬（猛鬼窟第一層、萬人塚第二層、萬人塚第三層）</x:t>
        </x:is>
      </x:c>
    </x:row>
    <x:row r="4293" ht="30" customHeight="1">
      <x:c r="A4293" s="55" t="str">
        <x:v>蛛絲僧衣配方</x:v>
      </x:c>
      <x:c r="B4293" s="55" t="str">
        <x:v>—</x:v>
      </x:c>
      <x:c r="C4293" s="55" t="str">
        <x:v>京城煉丹江湖術士、祁州煉丹江湖術士、玄州煉丹術士</x:v>
      </x:c>
      <x:c r="D4293" s="55" t="str">
        <x:v>—</x:v>
      </x:c>
      <x:c r="E4293" s="55" t="inlineStr">
        <x:is>
          <x:t>—</x:t>
        </x:is>
      </x:c>
    </x:row>
    <x:row r="4294" ht="30" customHeight="1">
      <x:c r="A4294" s="55" t="str">
        <x:v>蛛絲道袍配方</x:v>
      </x:c>
      <x:c r="B4294" s="55" t="str">
        <x:v>—</x:v>
      </x:c>
      <x:c r="C4294" s="55" t="str">
        <x:v>京城煉丹江湖術士、祁州煉丹江湖術士、玄州煉丹術士</x:v>
      </x:c>
      <x:c r="D4294" s="55" t="str">
        <x:v>—</x:v>
      </x:c>
      <x:c r="E4294" s="55" t="inlineStr">
        <x:is>
          <x:t>—</x:t>
        </x:is>
      </x:c>
    </x:row>
    <x:row r="4295" ht="30" customHeight="1">
      <x:c r="A4295" s="55" t="str">
        <x:v>靈絲禪衣配方</x:v>
      </x:c>
      <x:c r="B4295" s="55" t="str">
        <x:v>—</x:v>
      </x:c>
      <x:c r="C4295" s="55" t="str">
        <x:v>祁州煉丹江湖術士</x:v>
      </x:c>
      <x:c r="D4295" s="55" t="str">
        <x:v>—</x:v>
      </x:c>
      <x:c r="E4295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96" ht="30" customHeight="1">
      <x:c r="A4296" s="55" t="str">
        <x:v>靈絲道袍配方</x:v>
      </x:c>
      <x:c r="B4296" s="55" t="str">
        <x:v>—</x:v>
      </x:c>
      <x:c r="C4296" s="55" t="str">
        <x:v>祁州煉丹江湖術士</x:v>
      </x:c>
      <x:c r="D4296" s="55" t="str">
        <x:v>—</x:v>
      </x:c>
      <x:c r="E4296" s="55" t="inlineStr">
        <x:is>
          <x:t>巨蜘蛛（望星坡、碧波谷徑、古皇陵第一層、百妖穴第一層、百妖穴第二層）；巨蜘蛛（望星坡、碧波谷徑、古皇陵第一層、百妖穴第一層、試煉之窟、百妖穴第二層）；巨蜘蛛（試煉之窟）</x:t>
        </x:is>
      </x:c>
    </x:row>
    <x:row r="4297" ht="30" customHeight="1">
      <x:c r="A4297" s="55" t="str">
        <x:v>銀縷禪衣配方</x:v>
      </x:c>
      <x:c r="B4297" s="55" t="str">
        <x:v>—</x:v>
      </x:c>
      <x:c r="C4297" s="55" t="str">
        <x:v>—</x:v>
      </x:c>
      <x:c r="D4297" s="55" t="str">
        <x:v>—</x:v>
      </x:c>
      <x:c r="E4297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98" ht="30" customHeight="1">
      <x:c r="A4298" s="55" t="str">
        <x:v>銀縷道袍配方</x:v>
      </x:c>
      <x:c r="B4298" s="55" t="str">
        <x:v>—</x:v>
      </x:c>
      <x:c r="C4298" s="55" t="str">
        <x:v>—</x:v>
      </x:c>
      <x:c r="D4298" s="55" t="str">
        <x:v>—</x:v>
      </x:c>
      <x:c r="E4298" s="55" t="inlineStr">
        <x:is>
          <x:t>斑紋蜘蛛（望星坡、碧波谷徑、古皇陵第一層、古皇陵第二層、百妖穴第一層、亂藤林東方、百妖穴第二層）；沙漠斑蛛（塔干沙漠西方）</x:t>
        </x:is>
      </x:c>
    </x:row>
    <x:row r="4299" ht="30" customHeight="1">
      <x:c r="A4299" s="55" t="str">
        <x:v>怨靈骨甲配方</x:v>
      </x:c>
      <x:c r="B4299" s="55" t="str">
        <x:v>—</x:v>
      </x:c>
      <x:c r="C4299" s="55" t="str">
        <x:v>—</x:v>
      </x:c>
      <x:c r="D4299" s="55" t="str">
        <x:v>—</x:v>
      </x:c>
      <x:c r="E4299" s="55" t="inlineStr">
        <x:is>
          <x:t>死靈骷髏（魔君陵墓）；死靈弓手（魔君陵墓）；骷髏士兵（猛鬼窟第二層、朝天觀）；惡靈骷髏兵（五派禁地）；惡靈弓手（五派禁地）</x:t>
        </x:is>
      </x:c>
    </x:row>
    <x:row r="4300" ht="15" customHeight="1">
      <x:c r="A4300" s="55" t="str">
        <x:v>天極羽鎧配方</x:v>
      </x:c>
      <x:c r="B4300" s="55" t="str">
        <x:v>—</x:v>
      </x:c>
      <x:c r="C4300" s="55" t="str">
        <x:v>—</x:v>
      </x:c>
      <x:c r="D4300" s="55" t="str">
        <x:v>—</x:v>
      </x:c>
      <x:c r="E4300" s="55" t="inlineStr">
        <x:is>
          <x:t>天極配方錦囊（網站未列地圖）</x:t>
        </x:is>
      </x:c>
    </x:row>
    <x:row r="4301" ht="15" customHeight="1">
      <x:c r="A4301" s="55" t="str">
        <x:v>蒼天聖衣配方</x:v>
      </x:c>
      <x:c r="B4301" s="55" t="str">
        <x:v>—</x:v>
      </x:c>
      <x:c r="C4301" s="55" t="str">
        <x:v>—</x:v>
      </x:c>
      <x:c r="D4301" s="55" t="str">
        <x:v>—</x:v>
      </x:c>
      <x:c r="E4301" s="55" t="inlineStr">
        <x:is>
          <x:t>蒼天神裝配方錦囊（網站未列地圖）</x:t>
        </x:is>
      </x:c>
    </x:row>
    <x:row r="4302" ht="15" customHeight="1">
      <x:c r="A4302" s="55" t="str">
        <x:v>天宇聖衣配方</x:v>
      </x:c>
      <x:c r="B4302" s="55" t="str">
        <x:v>—</x:v>
      </x:c>
      <x:c r="C4302" s="55" t="str">
        <x:v>—</x:v>
      </x:c>
      <x:c r="D4302" s="55" t="str">
        <x:v>—</x:v>
      </x:c>
      <x:c r="E4302" s="55" t="inlineStr">
        <x:is>
          <x:t>—</x:t>
        </x:is>
      </x:c>
    </x:row>
    <x:row r="4303" ht="15" customHeight="1">
      <x:c r="A4303" s="55" t="str">
        <x:v>山犬綁手配方</x:v>
      </x:c>
      <x:c r="B4303" s="55" t="str">
        <x:v>—</x:v>
      </x:c>
      <x:c r="C4303" s="55" t="str">
        <x:v>京城打鐵舖</x:v>
      </x:c>
      <x:c r="D4303" s="55" t="str">
        <x:v>—</x:v>
      </x:c>
      <x:c r="E4303" s="55" t="inlineStr">
        <x:is>
          <x:t>—</x:t>
        </x:is>
      </x:c>
    </x:row>
    <x:row r="4304" ht="15" customHeight="1">
      <x:c r="A4304" s="55" t="str">
        <x:v>惡狼綁手配方</x:v>
      </x:c>
      <x:c r="B4304" s="55" t="str">
        <x:v>—</x:v>
      </x:c>
      <x:c r="C4304" s="55" t="str">
        <x:v>祁州打鐵舖</x:v>
      </x:c>
      <x:c r="D4304" s="55" t="str">
        <x:v>—</x:v>
      </x:c>
      <x:c r="E4304" s="55" t="inlineStr">
        <x:is>
          <x:t>—</x:t>
        </x:is>
      </x:c>
    </x:row>
    <x:row r="4305" ht="30" customHeight="1">
      <x:c r="A4305" s="55" t="str">
        <x:v>骨護腕配方</x:v>
      </x:c>
      <x:c r="B4305" s="55" t="str">
        <x:v>—</x:v>
      </x:c>
      <x:c r="C4305" s="55" t="str">
        <x:v>京城煉丹江湖術士、祁州煉丹江湖術士、玄州煉丹術士</x:v>
      </x:c>
      <x:c r="D4305" s="55" t="str">
        <x:v>—</x:v>
      </x:c>
      <x:c r="E4305" s="55" t="inlineStr">
        <x:is>
          <x:t>—</x:t>
        </x:is>
      </x:c>
    </x:row>
    <x:row r="4306" ht="30" customHeight="1">
      <x:c r="A4306" s="55" t="str">
        <x:v>重型護腕配方</x:v>
      </x:c>
      <x:c r="B4306" s="55" t="str">
        <x:v>—</x:v>
      </x:c>
      <x:c r="C4306" s="55" t="str">
        <x:v>祁州煉丹江湖術士</x:v>
      </x:c>
      <x:c r="D4306" s="55" t="str">
        <x:v>—</x:v>
      </x:c>
      <x:c r="E4306" s="55" t="inlineStr">
        <x:is>
          <x:t>豬妖（網站未列地圖）；山豬（惡狼林、古皇陵近郊、望星坡、封神臺、亂藤林西方、鷹翅族部落）；山豬（惡狼林、古皇陵近郊、望星坡、封神臺、試煉之窟、亂藤林西方、鷹翅族部落）；山豬（試煉之窟）</x:t>
        </x:is>
      </x:c>
    </x:row>
    <x:row r="4307" ht="15" customHeight="1">
      <x:c r="A4307" s="55" t="str">
        <x:v>附靈護腕配方</x:v>
      </x:c>
      <x:c r="B4307" s="55" t="str">
        <x:v>—</x:v>
      </x:c>
      <x:c r="C4307" s="55" t="str">
        <x:v>玄州煉丹術士</x:v>
      </x:c>
      <x:c r="D4307" s="55" t="str">
        <x:v>—</x:v>
      </x:c>
      <x:c r="E4307" s="55" t="inlineStr">
        <x:is>
          <x:t>屍犬（平西關、望星坡、鬼城、猛鬼窟第一層、萬人塚第一層、萬人塚第二層）</x:t>
        </x:is>
      </x:c>
    </x:row>
    <x:row r="4308" ht="15" customHeight="1">
      <x:c r="A4308" s="55" t="str">
        <x:v>怨靈護腕配方</x:v>
      </x:c>
      <x:c r="B4308" s="55" t="str">
        <x:v>—</x:v>
      </x:c>
      <x:c r="C4308" s="55" t="str">
        <x:v>—</x:v>
      </x:c>
      <x:c r="D4308" s="55" t="str">
        <x:v>—</x:v>
      </x:c>
      <x:c r="E4308" s="55" t="inlineStr">
        <x:is>
          <x:t>骷髏弓手（猛鬼窟第二層、朝天觀）</x:t>
        </x:is>
      </x:c>
    </x:row>
    <x:row r="4309" ht="15" customHeight="1">
      <x:c r="A4309" s="55" t="str">
        <x:v>天極護腕配方</x:v>
      </x:c>
      <x:c r="B4309" s="55" t="str">
        <x:v>—</x:v>
      </x:c>
      <x:c r="C4309" s="55" t="str">
        <x:v>—</x:v>
      </x:c>
      <x:c r="D4309" s="55" t="str">
        <x:v>—</x:v>
      </x:c>
      <x:c r="E4309" s="55" t="inlineStr">
        <x:is>
          <x:t>天極配方錦囊（網站未列地圖）</x:t>
        </x:is>
      </x:c>
    </x:row>
    <x:row r="4310" ht="15" customHeight="1">
      <x:c r="A4310" s="55" t="str">
        <x:v>蒼天護腕配方</x:v>
      </x:c>
      <x:c r="B4310" s="55" t="str">
        <x:v>—</x:v>
      </x:c>
      <x:c r="C4310" s="55" t="str">
        <x:v>—</x:v>
      </x:c>
      <x:c r="D4310" s="55" t="str">
        <x:v>—</x:v>
      </x:c>
      <x:c r="E4310" s="55" t="inlineStr">
        <x:is>
          <x:t>蒼天神裝配方錦囊（網站未列地圖）</x:t>
        </x:is>
      </x:c>
    </x:row>
    <x:row r="4311" ht="15" customHeight="1">
      <x:c r="A4311" s="55" t="str">
        <x:v>天宇護腕配方</x:v>
      </x:c>
      <x:c r="B4311" s="55" t="str">
        <x:v>—</x:v>
      </x:c>
      <x:c r="C4311" s="55" t="str">
        <x:v>—</x:v>
      </x:c>
      <x:c r="D4311" s="55" t="str">
        <x:v>—</x:v>
      </x:c>
      <x:c r="E4311" s="55" t="inlineStr">
        <x:is>
          <x:t>—</x:t>
        </x:is>
      </x:c>
    </x:row>
    <x:row r="4312" ht="15" customHeight="1">
      <x:c r="A4312" s="55" t="str">
        <x:v>山犬靴配方</x:v>
      </x:c>
      <x:c r="B4312" s="55" t="str">
        <x:v>—</x:v>
      </x:c>
      <x:c r="C4312" s="55" t="str">
        <x:v>京城打鐵舖</x:v>
      </x:c>
      <x:c r="D4312" s="55" t="str">
        <x:v>—</x:v>
      </x:c>
      <x:c r="E4312" s="55" t="inlineStr">
        <x:is>
          <x:t>—</x:t>
        </x:is>
      </x:c>
    </x:row>
    <x:row r="4313" ht="15" customHeight="1">
      <x:c r="A4313" s="55" t="str">
        <x:v>惡狼皮靴配方</x:v>
      </x:c>
      <x:c r="B4313" s="55" t="str">
        <x:v>—</x:v>
      </x:c>
      <x:c r="C4313" s="55" t="str">
        <x:v>祁州打鐵舖</x:v>
      </x:c>
      <x:c r="D4313" s="55" t="str">
        <x:v>—</x:v>
      </x:c>
      <x:c r="E4313" s="55" t="inlineStr">
        <x:is>
          <x:t>—</x:t>
        </x:is>
      </x:c>
    </x:row>
    <x:row r="4314" ht="30" customHeight="1">
      <x:c r="A4314" s="55" t="str">
        <x:v>骨靴配方</x:v>
      </x:c>
      <x:c r="B4314" s="55" t="str">
        <x:v>—</x:v>
      </x:c>
      <x:c r="C4314" s="55" t="str">
        <x:v>京城煉丹江湖術士、祁州煉丹江湖術士、玄州煉丹術士</x:v>
      </x:c>
      <x:c r="D4314" s="55" t="str">
        <x:v>—</x:v>
      </x:c>
      <x:c r="E4314" s="55" t="inlineStr">
        <x:is>
          <x:t>—</x:t>
        </x:is>
      </x:c>
    </x:row>
    <x:row r="4315" ht="30" customHeight="1">
      <x:c r="A4315" s="55" t="str">
        <x:v>重骨靴配方</x:v>
      </x:c>
      <x:c r="B4315" s="55" t="str">
        <x:v>—</x:v>
      </x:c>
      <x:c r="C4315" s="55" t="str">
        <x:v>祁州煉丹江湖術士</x:v>
      </x:c>
      <x:c r="D4315" s="55" t="str">
        <x:v>—</x:v>
      </x:c>
      <x:c r="E4315" s="55" t="inlineStr">
        <x:is>
          <x:t>豬妖（網站未列地圖）；山豬（惡狼林、古皇陵近郊、望星坡、封神臺、亂藤林西方、鷹翅族部落）；山豬（惡狼林、古皇陵近郊、望星坡、封神臺、試煉之窟、亂藤林西方、鷹翅族部落）；山豬（試煉之窟）</x:t>
        </x:is>
      </x:c>
    </x:row>
    <x:row r="4316" ht="15" customHeight="1">
      <x:c r="A4316" s="55" t="str">
        <x:v>附靈骨靴配方</x:v>
      </x:c>
      <x:c r="B4316" s="55" t="str">
        <x:v>—</x:v>
      </x:c>
      <x:c r="C4316" s="55" t="str">
        <x:v>玄州煉丹術士</x:v>
      </x:c>
      <x:c r="D4316" s="55" t="str">
        <x:v>—</x:v>
      </x:c>
      <x:c r="E4316" s="55" t="inlineStr">
        <x:is>
          <x:t>屍犬（平西關、望星坡、鬼城、猛鬼窟第一層、萬人塚第一層、萬人塚第二層）</x:t>
        </x:is>
      </x:c>
    </x:row>
    <x:row r="4317" ht="15" customHeight="1">
      <x:c r="A4317" s="55" t="str">
        <x:v>怨靈骨靴配方</x:v>
      </x:c>
      <x:c r="B4317" s="55" t="str">
        <x:v>—</x:v>
      </x:c>
      <x:c r="C4317" s="55" t="str">
        <x:v>—</x:v>
      </x:c>
      <x:c r="D4317" s="55" t="str">
        <x:v>—</x:v>
      </x:c>
      <x:c r="E4317" s="55" t="inlineStr">
        <x:is>
          <x:t>骷髏弓手（猛鬼窟第二層、朝天觀）</x:t>
        </x:is>
      </x:c>
    </x:row>
    <x:row r="4318" ht="15" customHeight="1">
      <x:c r="A4318" s="55" t="str">
        <x:v>浮雲靴配方</x:v>
      </x:c>
      <x:c r="B4318" s="55" t="str">
        <x:v>—</x:v>
      </x:c>
      <x:c r="C4318" s="55" t="str">
        <x:v>祁州打鐵舖</x:v>
      </x:c>
      <x:c r="D4318" s="55" t="str">
        <x:v>—</x:v>
      </x:c>
      <x:c r="E4318" s="55" t="inlineStr">
        <x:is>
          <x:t>—</x:t>
        </x:is>
      </x:c>
    </x:row>
    <x:row r="4319" ht="15" customHeight="1">
      <x:c r="A4319" s="55" t="str">
        <x:v>力士鞋配方</x:v>
      </x:c>
      <x:c r="B4319" s="55" t="str">
        <x:v>—</x:v>
      </x:c>
      <x:c r="C4319" s="55" t="str">
        <x:v>祁州打鐵舖</x:v>
      </x:c>
      <x:c r="D4319" s="55" t="str">
        <x:v>—</x:v>
      </x:c>
      <x:c r="E4319" s="55" t="inlineStr">
        <x:is>
          <x:t>—</x:t>
        </x:is>
      </x:c>
    </x:row>
    <x:row r="4320" ht="15" customHeight="1">
      <x:c r="A4320" s="55" t="str">
        <x:v>乘波鞋配方</x:v>
      </x:c>
      <x:c r="B4320" s="55" t="str">
        <x:v>—</x:v>
      </x:c>
      <x:c r="C4320" s="55" t="str">
        <x:v>祁州打鐵舖</x:v>
      </x:c>
      <x:c r="D4320" s="55" t="str">
        <x:v>—</x:v>
      </x:c>
      <x:c r="E4320" s="55" t="inlineStr">
        <x:is>
          <x:t>—</x:t>
        </x:is>
      </x:c>
    </x:row>
    <x:row r="4321" ht="15" customHeight="1">
      <x:c r="A4321" s="55" t="str">
        <x:v>避火鞋配方</x:v>
      </x:c>
      <x:c r="B4321" s="55" t="str">
        <x:v>—</x:v>
      </x:c>
      <x:c r="C4321" s="55" t="str">
        <x:v>祁州打鐵舖</x:v>
      </x:c>
      <x:c r="D4321" s="55" t="str">
        <x:v>—</x:v>
      </x:c>
      <x:c r="E4321" s="55" t="inlineStr">
        <x:is>
          <x:t>—</x:t>
        </x:is>
      </x:c>
    </x:row>
    <x:row r="4322" ht="15" customHeight="1">
      <x:c r="A4322" s="55" t="str">
        <x:v>天極戰靴配方</x:v>
      </x:c>
      <x:c r="B4322" s="55" t="str">
        <x:v>—</x:v>
      </x:c>
      <x:c r="C4322" s="55" t="str">
        <x:v>—</x:v>
      </x:c>
      <x:c r="D4322" s="55" t="str">
        <x:v>—</x:v>
      </x:c>
      <x:c r="E4322" s="55" t="inlineStr">
        <x:is>
          <x:t>天極配方錦囊（網站未列地圖）</x:t>
        </x:is>
      </x:c>
    </x:row>
    <x:row r="4323" ht="15" customHeight="1">
      <x:c r="A4323" s="55" t="str">
        <x:v>蒼天戰靴配方</x:v>
      </x:c>
      <x:c r="B4323" s="55" t="str">
        <x:v>—</x:v>
      </x:c>
      <x:c r="C4323" s="55" t="str">
        <x:v>—</x:v>
      </x:c>
      <x:c r="D4323" s="55" t="str">
        <x:v>—</x:v>
      </x:c>
      <x:c r="E4323" s="55" t="inlineStr">
        <x:is>
          <x:t>蒼天神裝配方錦囊（網站未列地圖）</x:t>
        </x:is>
      </x:c>
    </x:row>
    <x:row r="4324" ht="15" customHeight="1">
      <x:c r="A4324" s="55" t="str">
        <x:v>天宇戰靴配方</x:v>
      </x:c>
      <x:c r="B4324" s="55" t="str">
        <x:v>—</x:v>
      </x:c>
      <x:c r="C4324" s="55" t="str">
        <x:v>—</x:v>
      </x:c>
      <x:c r="D4324" s="55" t="str">
        <x:v>—</x:v>
      </x:c>
      <x:c r="E4324" s="55" t="inlineStr">
        <x:is>
          <x:t>—</x:t>
        </x:is>
      </x:c>
    </x:row>
    <x:row r="4325" ht="15" customHeight="1">
      <x:c r="A4325" s="55" t="str">
        <x:v>鐵骨佛珠配方</x:v>
      </x:c>
      <x:c r="B4325" s="55" t="str">
        <x:v>—</x:v>
      </x:c>
      <x:c r="C4325" s="55" t="str">
        <x:v>京城煉丹江湖術士、夸父-煉丹夸父幼童</x:v>
      </x:c>
      <x:c r="D4325" s="55" t="str">
        <x:v>—</x:v>
      </x:c>
      <x:c r="E4325" s="55" t="inlineStr">
        <x:is>
          <x:t>—</x:t>
        </x:is>
      </x:c>
    </x:row>
    <x:row r="4326" ht="15" customHeight="1">
      <x:c r="A4326" s="55" t="str">
        <x:v>大智佛珠配方</x:v>
      </x:c>
      <x:c r="B4326" s="55" t="str">
        <x:v>—</x:v>
      </x:c>
      <x:c r="C4326" s="55" t="str">
        <x:v>京城煉丹江湖術士、夸父-煉丹夸父幼童</x:v>
      </x:c>
      <x:c r="D4326" s="55" t="str">
        <x:v>—</x:v>
      </x:c>
      <x:c r="E4326" s="55" t="inlineStr">
        <x:is>
          <x:t>—</x:t>
        </x:is>
      </x:c>
    </x:row>
    <x:row r="4327" ht="15" customHeight="1">
      <x:c r="A4327" s="55" t="str">
        <x:v>踩雲佛珠配方</x:v>
      </x:c>
      <x:c r="B4327" s="55" t="str">
        <x:v>—</x:v>
      </x:c>
      <x:c r="C4327" s="55" t="str">
        <x:v>祁州煉丹江湖術士、夸父-煉丹夸父幼童</x:v>
      </x:c>
      <x:c r="D4327" s="55" t="str">
        <x:v>—</x:v>
      </x:c>
      <x:c r="E4327" s="55" t="inlineStr">
        <x:is>
          <x:t>—</x:t>
        </x:is>
      </x:c>
    </x:row>
    <x:row r="4328" ht="15" customHeight="1">
      <x:c r="A4328" s="55" t="str">
        <x:v>大力佛珠配方</x:v>
      </x:c>
      <x:c r="B4328" s="55" t="str">
        <x:v>—</x:v>
      </x:c>
      <x:c r="C4328" s="55" t="str">
        <x:v>玄州煉丹術士、夸父-煉丹夸父幼童</x:v>
      </x:c>
      <x:c r="D4328" s="55" t="str">
        <x:v>—</x:v>
      </x:c>
      <x:c r="E4328" s="55" t="inlineStr">
        <x:is>
          <x:t>—</x:t>
        </x:is>
      </x:c>
    </x:row>
    <x:row r="4329" ht="30" customHeight="1">
      <x:c r="A4329" s="55" t="str">
        <x:v>避雷護符配方</x:v>
      </x:c>
      <x:c r="B4329" s="55" t="str">
        <x:v>—</x:v>
      </x:c>
      <x:c r="C4329" s="55" t="str">
        <x:v>—</x:v>
      </x:c>
      <x:c r="D4329" s="55" t="str">
        <x:v>—</x:v>
      </x:c>
      <x:c r="E4329" s="55" t="inlineStr">
        <x:is>
          <x:t>西域魔像（網站未列地圖）；巨靈魔王（摘星嶺、魔君陵墓、魔君陵寢一層、修羅窟）；巨靈魔（亂藤林、毒龍潭、摘星嶺、魔君陵墓）</x:t>
        </x:is>
      </x:c>
    </x:row>
    <x:row r="4330" ht="45" customHeight="1">
      <x:c r="A4330" s="55" t="str">
        <x:v>融冰護符配方</x:v>
      </x:c>
      <x:c r="B4330" s="55" t="str">
        <x:v>—</x:v>
      </x:c>
      <x:c r="C4330" s="55" t="str">
        <x:v>—</x:v>
      </x:c>
      <x:c r="D4330" s="55" t="str">
        <x:v>—</x:v>
      </x:c>
      <x:c r="E4330" s="55" t="inlineStr">
        <x:is>
          <x:t>西域魔像（網站未列地圖）；惡水鬼（映月泊、怒雪修煉場、朝天觀、葬日沼澤北方、萬人塚第三層）；惡水妖（桃花林西方）；水鬼（映月泊、萬人塚第二層、朝天觀、萬人塚第三層）；{水鬼}（桃花林東方、桃花林西方）；幽冥水鬼（網站未列地圖）</x:t>
        </x:is>
      </x:c>
    </x:row>
    <x:row r="4331" ht="90" customHeight="1">
      <x:c r="A4331" s="55" t="str">
        <x:v>驅魔護符配方</x:v>
      </x:c>
      <x:c r="B4331" s="55" t="str">
        <x:v>—</x:v>
      </x:c>
      <x:c r="C4331" s="55" t="str">
        <x:v>—</x:v>
      </x:c>
      <x:c r="D4331" s="55" t="str">
        <x:v>—</x:v>
      </x:c>
      <x:c r="E4331" s="55" t="inlineStr">
        <x:is>
          <x:t>冤魂（猛鬼窟第一層、猛鬼窟第二層、朝天觀、樓蘭遺址）；西域魔像（網站未列地圖）；毒血屍（猛鬼窟第一層、猛鬼窟第二層、萬人塚第二層、朝天觀、萬人塚第三層）；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血屍（猛鬼窟第一層、萬人塚第二層、朝天觀、萬人塚第三層、樓蘭遺址）；魔饜大軍（網站未列地圖）；毒殭屍（猛鬼窟第一層、萬人塚第二層、朝天觀、萬人塚第三層、樓蘭遺址）；魔饜大軍（網站未列地圖）</x:t>
        </x:is>
      </x:c>
    </x:row>
    <x:row r="4332" ht="30" customHeight="1">
      <x:c r="A4332" s="55" t="str">
        <x:v>滅炎護符配方</x:v>
      </x:c>
      <x:c r="B4332" s="55" t="str">
        <x:v>—</x:v>
      </x:c>
      <x:c r="C4332" s="55" t="str">
        <x:v>—</x:v>
      </x:c>
      <x:c r="D4332" s="55" t="str">
        <x:v>—</x:v>
      </x:c>
      <x:c r="E4332" s="55" t="inlineStr">
        <x:is>
          <x:t>西域魔像（網站未列地圖）；烈火妖魔（棲鳳崖、鳳凰台）；邪火妖（望星坡、烈火修煉場、朝天觀、葬日沼澤北方、萬人塚第三層）；烈火妖靈（網站未列地圖）</x:t>
        </x:is>
      </x:c>
    </x:row>
    <x:row r="4333" ht="60" customHeight="1">
      <x:c r="A4333" s="55" t="str">
        <x:v>四象護符配方</x:v>
      </x:c>
      <x:c r="B4333" s="55" t="str">
        <x:v>—</x:v>
      </x:c>
      <x:c r="C4333" s="55" t="str">
        <x:v>—</x:v>
      </x:c>
      <x:c r="D4333" s="55" t="str">
        <x:v>—</x:v>
      </x:c>
      <x:c r="E4333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4334" ht="60" customHeight="1">
      <x:c r="A4334" s="55" t="str">
        <x:v>四王佛珠配方</x:v>
      </x:c>
      <x:c r="B4334" s="55" t="str">
        <x:v>—</x:v>
      </x:c>
      <x:c r="C4334" s="55" t="str">
        <x:v>—</x:v>
      </x:c>
      <x:c r="D4334" s="55" t="str">
        <x:v>—</x:v>
      </x:c>
      <x:c r="E4334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4335" ht="15" customHeight="1">
      <x:c r="A4335" s="55" t="str">
        <x:v>鐵骨加持配方</x:v>
      </x:c>
      <x:c r="B4335" s="55" t="str">
        <x:v>—</x:v>
      </x:c>
      <x:c r="C4335" s="55" t="str">
        <x:v>—</x:v>
      </x:c>
      <x:c r="D4335" s="55" t="str">
        <x:v>—</x:v>
      </x:c>
      <x:c r="E4335" s="55" t="inlineStr">
        <x:is>
          <x:t>[熊武者]（網站未列地圖）；熊武者（桃花林西方、不老峰）；覓蜜熊（桃花林、桃花林西方、桃花林南方）</x:t>
        </x:is>
      </x:c>
    </x:row>
    <x:row r="4336" ht="15" customHeight="1">
      <x:c r="A4336" s="55" t="str">
        <x:v>大力加持配方</x:v>
      </x:c>
      <x:c r="B4336" s="55" t="str">
        <x:v>—</x:v>
      </x:c>
      <x:c r="C4336" s="55" t="str">
        <x:v>—</x:v>
      </x:c>
      <x:c r="D4336" s="55" t="str">
        <x:v>—</x:v>
      </x:c>
      <x:c r="E4336" s="55" t="inlineStr">
        <x:is>
          <x:t>蛇魔女王（盤蛇洞）；蛇魔女（盤蛇洞）；[蛇魔女]（網站未列地圖）</x:t>
        </x:is>
      </x:c>
    </x:row>
    <x:row r="4337" ht="15" customHeight="1">
      <x:c r="A4337" s="55" t="str">
        <x:v>大智加持配方</x:v>
      </x:c>
      <x:c r="B4337" s="55" t="str">
        <x:v>—</x:v>
      </x:c>
      <x:c r="C4337" s="55" t="str">
        <x:v>—</x:v>
      </x:c>
      <x:c r="D4337" s="55" t="str">
        <x:v>—</x:v>
      </x:c>
      <x:c r="E4337" s="55" t="inlineStr">
        <x:is>
          <x:t>九尾狐（網站未列地圖）；[九尾狐]（網站未列地圖）；兔仙人（網站未列地圖）；[兔仙人]（網站未列地圖）</x:t>
        </x:is>
      </x:c>
    </x:row>
    <x:row r="4338" ht="15" customHeight="1">
      <x:c r="A4338" s="55" t="str">
        <x:v>踩雲加持配方</x:v>
      </x:c>
      <x:c r="B4338" s="55" t="str">
        <x:v>—</x:v>
      </x:c>
      <x:c r="C4338" s="55" t="str">
        <x:v>—</x:v>
      </x:c>
      <x:c r="D4338" s="55" t="str">
        <x:v>—</x:v>
      </x:c>
      <x:c r="E4338" s="55" t="inlineStr">
        <x:is>
          <x:t>[女王蜂]（網站未列地圖）；女王蜂（桃花林、桃花林西方、桃花林南方）</x:t>
        </x:is>
      </x:c>
    </x:row>
    <x:row r="4339" ht="30" customHeight="1">
      <x:c r="A4339" s="55" t="str">
        <x:v>八卦護符配方</x:v>
      </x:c>
      <x:c r="B4339" s="55" t="str">
        <x:v>—</x:v>
      </x:c>
      <x:c r="C4339" s="55" t="str">
        <x:v>—</x:v>
      </x:c>
      <x:c r="D4339" s="55" t="str">
        <x:v>—</x:v>
      </x:c>
      <x:c r="E4339" s="55" t="inlineStr">
        <x:is>
          <x:t>征北錦囊（網站未列地圖）；中郎將錦囊（網站未列地圖）；千年靈芝精（天山冰池）；[千年靈芝精]（網站未列地圖）；西域魔像（網站未列地圖）</x:t>
        </x:is>
      </x:c>
    </x:row>
    <x:row r="4340" ht="30" customHeight="1">
      <x:c r="A4340" s="55" t="str">
        <x:v>八方佛珠配方</x:v>
      </x:c>
      <x:c r="B4340" s="55" t="str">
        <x:v>—</x:v>
      </x:c>
      <x:c r="C4340" s="55" t="str">
        <x:v>—</x:v>
      </x:c>
      <x:c r="D4340" s="55" t="str">
        <x:v>—</x:v>
      </x:c>
      <x:c r="E4340" s="55" t="inlineStr">
        <x:is>
          <x:t>征北錦囊（網站未列地圖）；乾坤錦囊（網站未列地圖）；中郎將錦囊（網站未列地圖）；千年蔘精（天山冰池）；[千年蔘精]（網站未列地圖）；西域魔像（網站未列地圖）</x:t>
        </x:is>
      </x:c>
    </x:row>
    <x:row r="4341" ht="15" customHeight="1">
      <x:c r="A4341" s="55" t="str">
        <x:v>水晶掛鍊配方</x:v>
      </x:c>
      <x:c r="B4341" s="55" t="str">
        <x:v>—</x:v>
      </x:c>
      <x:c r="C4341" s="55" t="str">
        <x:v>—</x:v>
      </x:c>
      <x:c r="D4341" s="55" t="str">
        <x:v>—</x:v>
      </x:c>
      <x:c r="E4341" s="55" t="inlineStr">
        <x:is>
          <x:t>戰神錦囊（網站未列地圖）；地火錦囊（網站未列地圖）；經典配方古盒（網站未列地圖）</x:t>
        </x:is>
      </x:c>
    </x:row>
    <x:row r="4342" ht="15" customHeight="1">
      <x:c r="A4342" s="55" t="str">
        <x:v>粗製項圈配方</x:v>
      </x:c>
      <x:c r="B4342" s="55" t="str">
        <x:v>—</x:v>
      </x:c>
      <x:c r="C4342" s="55" t="str">
        <x:v>—</x:v>
      </x:c>
      <x:c r="D4342" s="55" t="str">
        <x:v>—</x:v>
      </x:c>
      <x:c r="E4342" s="55" t="inlineStr">
        <x:is>
          <x:t>—</x:t>
        </x:is>
      </x:c>
    </x:row>
    <x:row r="4343" ht="15" customHeight="1">
      <x:c r="A4343" s="55" t="str">
        <x:v>普通項圈配方</x:v>
      </x:c>
      <x:c r="B4343" s="55" t="str">
        <x:v>—</x:v>
      </x:c>
      <x:c r="C4343" s="55" t="str">
        <x:v>—</x:v>
      </x:c>
      <x:c r="D4343" s="55" t="str">
        <x:v>—</x:v>
      </x:c>
      <x:c r="E4343" s="55" t="inlineStr">
        <x:is>
          <x:t>—</x:t>
        </x:is>
      </x:c>
    </x:row>
    <x:row r="4344" ht="15" customHeight="1">
      <x:c r="A4344" s="55" t="str">
        <x:v>加工項圈配方</x:v>
      </x:c>
      <x:c r="B4344" s="55" t="str">
        <x:v>—</x:v>
      </x:c>
      <x:c r="C4344" s="55" t="str">
        <x:v>—</x:v>
      </x:c>
      <x:c r="D4344" s="55" t="str">
        <x:v>—</x:v>
      </x:c>
      <x:c r="E4344" s="55" t="inlineStr">
        <x:is>
          <x:t>—</x:t>
        </x:is>
      </x:c>
    </x:row>
    <x:row r="4345" ht="15" customHeight="1">
      <x:c r="A4345" s="55" t="str">
        <x:v>精緻項圈配方</x:v>
      </x:c>
      <x:c r="B4345" s="55" t="str">
        <x:v>—</x:v>
      </x:c>
      <x:c r="C4345" s="55" t="str">
        <x:v>—</x:v>
      </x:c>
      <x:c r="D4345" s="55" t="str">
        <x:v>—</x:v>
      </x:c>
      <x:c r="E4345" s="55" t="inlineStr">
        <x:is>
          <x:t>—</x:t>
        </x:is>
      </x:c>
    </x:row>
    <x:row r="4346" ht="15" customHeight="1">
      <x:c r="A4346" s="55" t="str">
        <x:v>高級項圈配方</x:v>
      </x:c>
      <x:c r="B4346" s="55" t="str">
        <x:v>—</x:v>
      </x:c>
      <x:c r="C4346" s="55" t="str">
        <x:v>—</x:v>
      </x:c>
      <x:c r="D4346" s="55" t="str">
        <x:v>—</x:v>
      </x:c>
      <x:c r="E4346" s="55" t="inlineStr">
        <x:is>
          <x:t>—</x:t>
        </x:is>
      </x:c>
    </x:row>
    <x:row r="4347" ht="15" customHeight="1">
      <x:c r="A4347" s="55" t="str">
        <x:v>特級項圈配方</x:v>
      </x:c>
      <x:c r="B4347" s="55" t="str">
        <x:v>—</x:v>
      </x:c>
      <x:c r="C4347" s="55" t="str">
        <x:v>—</x:v>
      </x:c>
      <x:c r="D4347" s="55" t="str">
        <x:v>—</x:v>
      </x:c>
      <x:c r="E4347" s="55" t="inlineStr">
        <x:is>
          <x:t>—</x:t>
        </x:is>
      </x:c>
    </x:row>
    <x:row r="4348" ht="15" customHeight="1">
      <x:c r="A4348" s="55" t="str">
        <x:v>金剛項圈配方</x:v>
      </x:c>
      <x:c r="B4348" s="55" t="str">
        <x:v>—</x:v>
      </x:c>
      <x:c r="C4348" s="55" t="str">
        <x:v>—</x:v>
      </x:c>
      <x:c r="D4348" s="55" t="str">
        <x:v>—</x:v>
      </x:c>
      <x:c r="E4348" s="55" t="inlineStr">
        <x:is>
          <x:t>摩羅錦囊（網站未列地圖）；驃騎將軍錦囊（網站未列地圖）</x:t>
        </x:is>
      </x:c>
    </x:row>
    <x:row r="4349" ht="15" customHeight="1">
      <x:c r="A4349" s="55" t="str">
        <x:v>智者聖甲配方</x:v>
      </x:c>
      <x:c r="B4349" s="55" t="str">
        <x:v>—</x:v>
      </x:c>
      <x:c r="C4349" s="55" t="str">
        <x:v>—</x:v>
      </x:c>
      <x:c r="D4349" s="55" t="str">
        <x:v>—</x:v>
      </x:c>
      <x:c r="E4349" s="55" t="inlineStr">
        <x:is>
          <x:t>—</x:t>
        </x:is>
      </x:c>
    </x:row>
    <x:row r="4350" ht="15" customHeight="1">
      <x:c r="A4350" s="55" t="str">
        <x:v>仁者聖甲配方</x:v>
      </x:c>
      <x:c r="B4350" s="55" t="str">
        <x:v>—</x:v>
      </x:c>
      <x:c r="C4350" s="55" t="str">
        <x:v>—</x:v>
      </x:c>
      <x:c r="D4350" s="55" t="str">
        <x:v>—</x:v>
      </x:c>
      <x:c r="E4350" s="55" t="inlineStr">
        <x:is>
          <x:t>—</x:t>
        </x:is>
      </x:c>
    </x:row>
    <x:row r="4351" ht="15" customHeight="1">
      <x:c r="A4351" s="55" t="str">
        <x:v>勇者聖甲配方</x:v>
      </x:c>
      <x:c r="B4351" s="55" t="str">
        <x:v>—</x:v>
      </x:c>
      <x:c r="C4351" s="55" t="str">
        <x:v>—</x:v>
      </x:c>
      <x:c r="D4351" s="55" t="str">
        <x:v>—</x:v>
      </x:c>
      <x:c r="E4351" s="55" t="inlineStr">
        <x:is>
          <x:t>—</x:t>
        </x:is>
      </x:c>
    </x:row>
    <x:row r="4352" ht="15" customHeight="1">
      <x:c r="A4352" s="55" t="str">
        <x:v>真智聖甲配方</x:v>
      </x:c>
      <x:c r="B4352" s="55" t="str">
        <x:v>—</x:v>
      </x:c>
      <x:c r="C4352" s="55" t="str">
        <x:v>—</x:v>
      </x:c>
      <x:c r="D4352" s="55" t="str">
        <x:v>—</x:v>
      </x:c>
      <x:c r="E4352" s="55" t="inlineStr">
        <x:is>
          <x:t>真聖甲配方錦囊（網站未列地圖）</x:t>
        </x:is>
      </x:c>
    </x:row>
    <x:row r="4353" ht="15" customHeight="1">
      <x:c r="A4353" s="55" t="str">
        <x:v>真仁聖甲配方</x:v>
      </x:c>
      <x:c r="B4353" s="55" t="str">
        <x:v>—</x:v>
      </x:c>
      <x:c r="C4353" s="55" t="str">
        <x:v>—</x:v>
      </x:c>
      <x:c r="D4353" s="55" t="str">
        <x:v>—</x:v>
      </x:c>
      <x:c r="E4353" s="55" t="inlineStr">
        <x:is>
          <x:t>真聖甲配方錦囊（網站未列地圖）</x:t>
        </x:is>
      </x:c>
    </x:row>
    <x:row r="4354" ht="15" customHeight="1">
      <x:c r="A4354" s="55" t="str">
        <x:v>真勇聖甲配方</x:v>
      </x:c>
      <x:c r="B4354" s="55" t="str">
        <x:v>—</x:v>
      </x:c>
      <x:c r="C4354" s="55" t="str">
        <x:v>—</x:v>
      </x:c>
      <x:c r="D4354" s="55" t="str">
        <x:v>—</x:v>
      </x:c>
      <x:c r="E4354" s="55" t="inlineStr">
        <x:is>
          <x:t>真聖甲配方錦囊（網站未列地圖）</x:t>
        </x:is>
      </x:c>
    </x:row>
    <x:row r="4355" ht="15" customHeight="1">
      <x:c r="A4355" s="55" t="str">
        <x:v>超智聖甲配方</x:v>
      </x:c>
      <x:c r="B4355" s="55" t="str">
        <x:v>—</x:v>
      </x:c>
      <x:c r="C4355" s="55" t="str">
        <x:v>—</x:v>
      </x:c>
      <x:c r="D4355" s="55" t="str">
        <x:v>—</x:v>
      </x:c>
      <x:c r="E4355" s="55" t="inlineStr">
        <x:is>
          <x:t>—</x:t>
        </x:is>
      </x:c>
    </x:row>
    <x:row r="4356" ht="15" customHeight="1">
      <x:c r="A4356" s="55" t="str">
        <x:v>超仁聖甲配方</x:v>
      </x:c>
      <x:c r="B4356" s="55" t="str">
        <x:v>—</x:v>
      </x:c>
      <x:c r="C4356" s="55" t="str">
        <x:v>—</x:v>
      </x:c>
      <x:c r="D4356" s="55" t="str">
        <x:v>—</x:v>
      </x:c>
      <x:c r="E4356" s="55" t="inlineStr">
        <x:is>
          <x:t>—</x:t>
        </x:is>
      </x:c>
    </x:row>
    <x:row r="4357" ht="15" customHeight="1">
      <x:c r="A4357" s="55" t="str">
        <x:v>超勇聖甲配方</x:v>
      </x:c>
      <x:c r="B4357" s="55" t="str">
        <x:v>—</x:v>
      </x:c>
      <x:c r="C4357" s="55" t="str">
        <x:v>—</x:v>
      </x:c>
      <x:c r="D4357" s="55" t="str">
        <x:v>—</x:v>
      </x:c>
      <x:c r="E4357" s="55" t="inlineStr">
        <x:is>
          <x:t>—</x:t>
        </x:is>
      </x:c>
    </x:row>
    <x:row r="4358" ht="15" customHeight="1">
      <x:c r="A4358" s="55" t="str">
        <x:v>極智聖甲配方</x:v>
      </x:c>
      <x:c r="B4358" s="55" t="str">
        <x:v>—</x:v>
      </x:c>
      <x:c r="C4358" s="55" t="str">
        <x:v>—</x:v>
      </x:c>
      <x:c r="D4358" s="55" t="str">
        <x:v>—</x:v>
      </x:c>
      <x:c r="E4358" s="55" t="inlineStr">
        <x:is>
          <x:t>新‧聖甲配方錦囊（網站未列地圖）</x:t>
        </x:is>
      </x:c>
    </x:row>
    <x:row r="4359" ht="15" customHeight="1">
      <x:c r="A4359" s="55" t="str">
        <x:v>極仁聖甲配方</x:v>
      </x:c>
      <x:c r="B4359" s="55" t="str">
        <x:v>—</x:v>
      </x:c>
      <x:c r="C4359" s="55" t="str">
        <x:v>—</x:v>
      </x:c>
      <x:c r="D4359" s="55" t="str">
        <x:v>—</x:v>
      </x:c>
      <x:c r="E4359" s="55" t="inlineStr">
        <x:is>
          <x:t>新‧聖甲配方錦囊（網站未列地圖）</x:t>
        </x:is>
      </x:c>
    </x:row>
    <x:row r="4360" ht="15" customHeight="1">
      <x:c r="A4360" s="55" t="str">
        <x:v>極勇聖甲配方</x:v>
      </x:c>
      <x:c r="B4360" s="55" t="str">
        <x:v>—</x:v>
      </x:c>
      <x:c r="C4360" s="55" t="str">
        <x:v>—</x:v>
      </x:c>
      <x:c r="D4360" s="55" t="str">
        <x:v>—</x:v>
      </x:c>
      <x:c r="E4360" s="55" t="inlineStr">
        <x:is>
          <x:t>新‧聖甲配方錦囊（網站未列地圖）</x:t>
        </x:is>
      </x:c>
    </x:row>
    <x:row r="4361" ht="15" customHeight="1">
      <x:c r="A4361" s="55" t="str">
        <x:v>絕智聖甲配方</x:v>
      </x:c>
      <x:c r="B4361" s="55" t="str">
        <x:v>—</x:v>
      </x:c>
      <x:c r="C4361" s="55" t="str">
        <x:v>—</x:v>
      </x:c>
      <x:c r="D4361" s="55" t="str">
        <x:v>—</x:v>
      </x:c>
      <x:c r="E4361" s="55" t="inlineStr">
        <x:is>
          <x:t>新‧聖甲配方錦囊（網站未列地圖）</x:t>
        </x:is>
      </x:c>
    </x:row>
    <x:row r="4362" ht="15" customHeight="1">
      <x:c r="A4362" s="55" t="str">
        <x:v>絕仁聖甲配方</x:v>
      </x:c>
      <x:c r="B4362" s="55" t="str">
        <x:v>—</x:v>
      </x:c>
      <x:c r="C4362" s="55" t="str">
        <x:v>—</x:v>
      </x:c>
      <x:c r="D4362" s="55" t="str">
        <x:v>—</x:v>
      </x:c>
      <x:c r="E4362" s="55" t="inlineStr">
        <x:is>
          <x:t>新‧聖甲配方錦囊（網站未列地圖）</x:t>
        </x:is>
      </x:c>
    </x:row>
    <x:row r="4363" ht="15" customHeight="1">
      <x:c r="A4363" s="55" t="str">
        <x:v>絕勇聖甲配方</x:v>
      </x:c>
      <x:c r="B4363" s="55" t="str">
        <x:v>—</x:v>
      </x:c>
      <x:c r="C4363" s="55" t="str">
        <x:v>—</x:v>
      </x:c>
      <x:c r="D4363" s="55" t="str">
        <x:v>—</x:v>
      </x:c>
      <x:c r="E4363" s="55" t="inlineStr">
        <x:is>
          <x:t>新‧聖甲配方錦囊（網站未列地圖）</x:t>
        </x:is>
      </x:c>
    </x:row>
    <x:row r="4364" ht="15" customHeight="1">
      <x:c r="A4364" s="55" t="str">
        <x:v>兵器還元配方</x:v>
      </x:c>
      <x:c r="B4364" s="55" t="str">
        <x:v>無間煉獄-平地劫、扶正氣</x:v>
      </x:c>
      <x:c r="C4364" s="55" t="str">
        <x:v>—</x:v>
      </x:c>
      <x:c r="D4364" s="55" t="str">
        <x:v>—</x:v>
      </x:c>
      <x:c r="E4364" s="55" t="inlineStr">
        <x:is>
          <x:t>—</x:t>
        </x:is>
      </x:c>
    </x:row>
    <x:row r="4365" ht="15" customHeight="1">
      <x:c r="A4365" s="55" t="str">
        <x:v>護甲還元配方</x:v>
      </x:c>
      <x:c r="B4365" s="55" t="str">
        <x:v>無間煉獄-平地劫、扶正氣</x:v>
      </x:c>
      <x:c r="C4365" s="55" t="str">
        <x:v>—</x:v>
      </x:c>
      <x:c r="D4365" s="55" t="str">
        <x:v>—</x:v>
      </x:c>
      <x:c r="E4365" s="55" t="inlineStr">
        <x:is>
          <x:t>—</x:t>
        </x:is>
      </x:c>
    </x:row>
    <x:row r="4366" ht="30" customHeight="1">
      <x:c r="A4366" s="55" t="str">
        <x:v>兵器歸元配方</x:v>
      </x:c>
      <x:c r="B4366" s="55" t="str">
        <x:v>—</x:v>
      </x:c>
      <x:c r="C4366" s="55" t="str">
        <x:v>—</x:v>
      </x:c>
      <x:c r="D4366" s="55" t="str">
        <x:v>—</x:v>
      </x:c>
      <x:c r="E4366" s="55" t="inlineStr">
        <x:is>
          <x:t>歸元配方錦囊（網站未列地圖）；修仙真選配方錦囊（網站未列地圖）；傾天絕邪（寒愴冰獄）；冷血者（終末之塔第14層、終末之塔第12層）；分宙兇土（不解迴路）</x:t>
        </x:is>
      </x:c>
    </x:row>
    <x:row r="4367" ht="30" customHeight="1">
      <x:c r="A4367" s="55" t="str">
        <x:v>護甲歸元配方</x:v>
      </x:c>
      <x:c r="B4367" s="55" t="str">
        <x:v>—</x:v>
      </x:c>
      <x:c r="C4367" s="55" t="str">
        <x:v>—</x:v>
      </x:c>
      <x:c r="D4367" s="55" t="str">
        <x:v>—</x:v>
      </x:c>
      <x:c r="E4367" s="55" t="inlineStr">
        <x:is>
          <x:t>歸元配方錦囊（網站未列地圖）；修仙真選配方錦囊（網站未列地圖）；傾天絕邪（寒愴冰獄）；爬脊獸（終末之塔第14層）；空宙兇風（不解迴路）</x:t>
        </x:is>
      </x:c>
    </x:row>
    <x:row r="4368" ht="60" customHeight="1">
      <x:c r="A4368" s="55" t="str">
        <x:v>加持鎧甲配方</x:v>
      </x:c>
      <x:c r="B4368" s="55" t="str">
        <x:v>—</x:v>
      </x:c>
      <x:c r="C4368" s="55" t="str">
        <x:v>—</x:v>
      </x:c>
      <x:c r="D4368" s="55" t="str">
        <x:v>—</x:v>
      </x:c>
      <x:c r="E4368" s="55" t="inlineStr">
        <x:is>
          <x:t>劍齒狼（入雲道、塞北關、惡狼林、瀰煙山道、八達嶺、古北口、塞北草原）；劍齒狼（試煉之窟）；黃牛（塞北草原、呼倫草原、貝爾草原）；白鹿（呼倫草原、貝爾草原、蒼狼大營）；白鹿（呼倫草原、貝爾草原、蒼狼大營）；野狼（入雲道、塞北關、惡狼林）；天山惡狼（天山冰池）；蒼狼（呼倫草原、貝爾草原、黑城遺跡、關外草原、統萬大營）；蒼狼（關外草原）；蒼狼（呼倫草原、貝爾草原、黑城遺跡、統萬大營）；野狼（試煉之窟）</x:t>
        </x:is>
      </x:c>
    </x:row>
    <x:row r="4369" ht="60" customHeight="1">
      <x:c r="A4369" s="55" t="str">
        <x:v>加持頭盔配方</x:v>
      </x:c>
      <x:c r="B4369" s="55" t="str">
        <x:v>—</x:v>
      </x:c>
      <x:c r="C4369" s="55" t="str">
        <x:v>—</x:v>
      </x:c>
      <x:c r="D4369" s="55" t="str">
        <x:v>—</x:v>
      </x:c>
      <x:c r="E4369" s="55" t="inlineStr">
        <x:is>
          <x:t>惡犬（塞北關、古皇陵近郊、釣日村、平西關、望星坡）；惡犬（塞北關、古皇陵近郊、釣日村、平西關、望星坡、試煉之窟）；罣基妖犬（塞北關）；惡犬（試煉之窟）；山犬王（古皇陵近郊）；大獒犬（長林谷）；大惡犬（古皇陵近郊）；大狂犬（古皇陵近郊）；大山犬（古皇陵近郊、平西關、神室關所）；大山犬（古皇陵近郊、平西關、試煉之窟、神室關所）；大山犬（試煉之窟）</x:t>
        </x:is>
      </x:c>
    </x:row>
    <x:row r="4370" ht="60" customHeight="1">
      <x:c r="A4370" s="55" t="str">
        <x:v>加持護腕配方</x:v>
      </x:c>
      <x:c r="B4370" s="55" t="str">
        <x:v>—</x:v>
      </x:c>
      <x:c r="C4370" s="55" t="str">
        <x:v>—</x:v>
      </x:c>
      <x:c r="D4370" s="55" t="str">
        <x:v>—</x:v>
      </x:c>
      <x:c r="E4370" s="55" t="inlineStr">
        <x:is>
          <x:t>中郎將錦囊（網站未列地圖）；巨蟾蜍（古皇陵近郊、映月泊、平西關、碧波谷徑、巨猿洞窟一層、百妖穴第一層、萬人塚第一層、葬日沼澤北方、河西谷地）；巨蟾蜍（古皇陵近郊、映月泊、平西關、碧波谷徑、巨猿洞窟一層、百妖穴第一層、試煉之窟、萬人塚第一層、葬日沼澤北方、河西谷地）；巨蟾蜍（試煉之窟）；大蟾蜍（試煉之窟）；大蟾蜍（古皇陵近郊、映月泊、平西關）；大蟾蜍（古皇陵近郊、映月泊、平西關、試煉之窟）</x:t>
        </x:is>
      </x:c>
    </x:row>
    <x:row r="4371" ht="45" customHeight="1">
      <x:c r="A4371" s="55" t="str">
        <x:v>加持之鞋配方</x:v>
      </x:c>
      <x:c r="B4371" s="55" t="str">
        <x:v>—</x:v>
      </x:c>
      <x:c r="C4371" s="55" t="str">
        <x:v>—</x:v>
      </x:c>
      <x:c r="D4371" s="55" t="str">
        <x:v>—</x:v>
      </x:c>
      <x:c r="E4371" s="55" t="inlineStr">
        <x:is>
          <x:t>黑狂猴（入雲道、古皇陵近郊、映月泊、猢猻嶺）；黑狂猴（入雲道、古皇陵近郊、映月泊、猢猻嶺、試煉之窟）；黑狂猴（試煉之窟）；大狂猴（古皇陵近郊、猢猻嶺）；大狂猴（古皇陵近郊、猢猻嶺、試煉之窟）；大狂猴（試煉之窟）</x:t>
        </x:is>
      </x:c>
    </x:row>
    <x:row r="4372" ht="15" customHeight="1">
      <x:c r="A4372" s="55" t="str">
        <x:v>冰霜之劍配方</x:v>
      </x:c>
      <x:c r="B4372" s="55" t="str">
        <x:v>—</x:v>
      </x:c>
      <x:c r="C4372" s="55" t="str">
        <x:v>祁州煉丹江湖術士</x:v>
      </x:c>
      <x:c r="D4372" s="55" t="str">
        <x:v>—</x:v>
      </x:c>
      <x:c r="E4372" s="55" t="inlineStr">
        <x:is>
          <x:t>—</x:t>
        </x:is>
      </x:c>
    </x:row>
    <x:row r="4373" ht="15" customHeight="1">
      <x:c r="A4373" s="55" t="str">
        <x:v>冰霜之刀配方</x:v>
      </x:c>
      <x:c r="B4373" s="55" t="str">
        <x:v>—</x:v>
      </x:c>
      <x:c r="C4373" s="55" t="str">
        <x:v>祁州煉丹江湖術士</x:v>
      </x:c>
      <x:c r="D4373" s="55" t="str">
        <x:v>—</x:v>
      </x:c>
      <x:c r="E4373" s="55" t="inlineStr">
        <x:is>
          <x:t>—</x:t>
        </x:is>
      </x:c>
    </x:row>
    <x:row r="4374" ht="15" customHeight="1">
      <x:c r="A4374" s="55" t="str">
        <x:v>冰霜之槍配方</x:v>
      </x:c>
      <x:c r="B4374" s="55" t="str">
        <x:v>—</x:v>
      </x:c>
      <x:c r="C4374" s="55" t="str">
        <x:v>祁州煉丹江湖術士</x:v>
      </x:c>
      <x:c r="D4374" s="55" t="str">
        <x:v>—</x:v>
      </x:c>
      <x:c r="E4374" s="55" t="inlineStr">
        <x:is>
          <x:t>—</x:t>
        </x:is>
      </x:c>
    </x:row>
    <x:row r="4375" ht="15" customHeight="1">
      <x:c r="A4375" s="55" t="str">
        <x:v>冰霜之斧配方</x:v>
      </x:c>
      <x:c r="B4375" s="55" t="str">
        <x:v>—</x:v>
      </x:c>
      <x:c r="C4375" s="55" t="str">
        <x:v>祁州煉丹江湖術士</x:v>
      </x:c>
      <x:c r="D4375" s="55" t="str">
        <x:v>—</x:v>
      </x:c>
      <x:c r="E4375" s="55" t="inlineStr">
        <x:is>
          <x:t>—</x:t>
        </x:is>
      </x:c>
    </x:row>
    <x:row r="4376" ht="15" customHeight="1">
      <x:c r="A4376" s="55" t="str">
        <x:v>冰霜之錘配方</x:v>
      </x:c>
      <x:c r="B4376" s="55" t="str">
        <x:v>—</x:v>
      </x:c>
      <x:c r="C4376" s="55" t="str">
        <x:v>祁州煉丹江湖術士</x:v>
      </x:c>
      <x:c r="D4376" s="55" t="str">
        <x:v>—</x:v>
      </x:c>
      <x:c r="E4376" s="55" t="inlineStr">
        <x:is>
          <x:t>—</x:t>
        </x:is>
      </x:c>
    </x:row>
    <x:row r="4377" ht="15" customHeight="1">
      <x:c r="A4377" s="55" t="str">
        <x:v>冰霜之棍配方</x:v>
      </x:c>
      <x:c r="B4377" s="55" t="str">
        <x:v>—</x:v>
      </x:c>
      <x:c r="C4377" s="55" t="str">
        <x:v>祁州煉丹江湖術士</x:v>
      </x:c>
      <x:c r="D4377" s="55" t="str">
        <x:v>—</x:v>
      </x:c>
      <x:c r="E4377" s="55" t="inlineStr">
        <x:is>
          <x:t>—</x:t>
        </x:is>
      </x:c>
    </x:row>
    <x:row r="4378" ht="15" customHeight="1">
      <x:c r="A4378" s="55" t="str">
        <x:v>火焰之劍配方</x:v>
      </x:c>
      <x:c r="B4378" s="55" t="str">
        <x:v>—</x:v>
      </x:c>
      <x:c r="C4378" s="55" t="str">
        <x:v>京城煉丹江湖術士</x:v>
      </x:c>
      <x:c r="D4378" s="55" t="str">
        <x:v>—</x:v>
      </x:c>
      <x:c r="E4378" s="55" t="inlineStr">
        <x:is>
          <x:t>—</x:t>
        </x:is>
      </x:c>
    </x:row>
    <x:row r="4379" ht="15" customHeight="1">
      <x:c r="A4379" s="55" t="str">
        <x:v>火焰之刀配方</x:v>
      </x:c>
      <x:c r="B4379" s="55" t="str">
        <x:v>—</x:v>
      </x:c>
      <x:c r="C4379" s="55" t="str">
        <x:v>京城煉丹江湖術士</x:v>
      </x:c>
      <x:c r="D4379" s="55" t="str">
        <x:v>—</x:v>
      </x:c>
      <x:c r="E4379" s="55" t="inlineStr">
        <x:is>
          <x:t>—</x:t>
        </x:is>
      </x:c>
    </x:row>
    <x:row r="4380" ht="15" customHeight="1">
      <x:c r="A4380" s="55" t="str">
        <x:v>火焰之槍配方</x:v>
      </x:c>
      <x:c r="B4380" s="55" t="str">
        <x:v>—</x:v>
      </x:c>
      <x:c r="C4380" s="55" t="str">
        <x:v>京城煉丹江湖術士</x:v>
      </x:c>
      <x:c r="D4380" s="55" t="str">
        <x:v>—</x:v>
      </x:c>
      <x:c r="E4380" s="55" t="inlineStr">
        <x:is>
          <x:t>—</x:t>
        </x:is>
      </x:c>
    </x:row>
    <x:row r="4381" ht="15" customHeight="1">
      <x:c r="A4381" s="55" t="str">
        <x:v>火焰之斧配方</x:v>
      </x:c>
      <x:c r="B4381" s="55" t="str">
        <x:v>—</x:v>
      </x:c>
      <x:c r="C4381" s="55" t="str">
        <x:v>京城煉丹江湖術士</x:v>
      </x:c>
      <x:c r="D4381" s="55" t="str">
        <x:v>—</x:v>
      </x:c>
      <x:c r="E4381" s="55" t="inlineStr">
        <x:is>
          <x:t>—</x:t>
        </x:is>
      </x:c>
    </x:row>
    <x:row r="4382" ht="15" customHeight="1">
      <x:c r="A4382" s="55" t="str">
        <x:v>火焰之錘配方</x:v>
      </x:c>
      <x:c r="B4382" s="55" t="str">
        <x:v>—</x:v>
      </x:c>
      <x:c r="C4382" s="55" t="str">
        <x:v>京城煉丹江湖術士</x:v>
      </x:c>
      <x:c r="D4382" s="55" t="str">
        <x:v>—</x:v>
      </x:c>
      <x:c r="E4382" s="55" t="inlineStr">
        <x:is>
          <x:t>—</x:t>
        </x:is>
      </x:c>
    </x:row>
    <x:row r="4383" ht="15" customHeight="1">
      <x:c r="A4383" s="55" t="str">
        <x:v>火焰之棍配方</x:v>
      </x:c>
      <x:c r="B4383" s="55" t="str">
        <x:v>—</x:v>
      </x:c>
      <x:c r="C4383" s="55" t="str">
        <x:v>京城煉丹江湖術士</x:v>
      </x:c>
      <x:c r="D4383" s="55" t="str">
        <x:v>—</x:v>
      </x:c>
      <x:c r="E4383" s="55" t="inlineStr">
        <x:is>
          <x:t>—</x:t>
        </x:is>
      </x:c>
    </x:row>
    <x:row r="4384" ht="15" customHeight="1">
      <x:c r="A4384" s="55" t="str">
        <x:v>雷電之劍配方</x:v>
      </x:c>
      <x:c r="B4384" s="55" t="str">
        <x:v>—</x:v>
      </x:c>
      <x:c r="C4384" s="55" t="str">
        <x:v>京城煉丹江湖術士</x:v>
      </x:c>
      <x:c r="D4384" s="55" t="str">
        <x:v>—</x:v>
      </x:c>
      <x:c r="E4384" s="55" t="inlineStr">
        <x:is>
          <x:t>—</x:t>
        </x:is>
      </x:c>
    </x:row>
    <x:row r="4385" ht="15" customHeight="1">
      <x:c r="A4385" s="55" t="str">
        <x:v>雷電之刀配方</x:v>
      </x:c>
      <x:c r="B4385" s="55" t="str">
        <x:v>—</x:v>
      </x:c>
      <x:c r="C4385" s="55" t="str">
        <x:v>京城煉丹江湖術士</x:v>
      </x:c>
      <x:c r="D4385" s="55" t="str">
        <x:v>—</x:v>
      </x:c>
      <x:c r="E4385" s="55" t="inlineStr">
        <x:is>
          <x:t>—</x:t>
        </x:is>
      </x:c>
    </x:row>
    <x:row r="4386" ht="15" customHeight="1">
      <x:c r="A4386" s="55" t="str">
        <x:v>雷電之槍配方</x:v>
      </x:c>
      <x:c r="B4386" s="55" t="str">
        <x:v>—</x:v>
      </x:c>
      <x:c r="C4386" s="55" t="str">
        <x:v>京城煉丹江湖術士</x:v>
      </x:c>
      <x:c r="D4386" s="55" t="str">
        <x:v>—</x:v>
      </x:c>
      <x:c r="E4386" s="55" t="inlineStr">
        <x:is>
          <x:t>—</x:t>
        </x:is>
      </x:c>
    </x:row>
    <x:row r="4387" ht="15" customHeight="1">
      <x:c r="A4387" s="55" t="str">
        <x:v>雷電之斧配方</x:v>
      </x:c>
      <x:c r="B4387" s="55" t="str">
        <x:v>—</x:v>
      </x:c>
      <x:c r="C4387" s="55" t="str">
        <x:v>京城煉丹江湖術士</x:v>
      </x:c>
      <x:c r="D4387" s="55" t="str">
        <x:v>—</x:v>
      </x:c>
      <x:c r="E4387" s="55" t="inlineStr">
        <x:is>
          <x:t>—</x:t>
        </x:is>
      </x:c>
    </x:row>
    <x:row r="4388" ht="15" customHeight="1">
      <x:c r="A4388" s="55" t="str">
        <x:v>雷電之錘配方</x:v>
      </x:c>
      <x:c r="B4388" s="55" t="str">
        <x:v>—</x:v>
      </x:c>
      <x:c r="C4388" s="55" t="str">
        <x:v>京城煉丹江湖術士</x:v>
      </x:c>
      <x:c r="D4388" s="55" t="str">
        <x:v>—</x:v>
      </x:c>
      <x:c r="E4388" s="55" t="inlineStr">
        <x:is>
          <x:t>—</x:t>
        </x:is>
      </x:c>
    </x:row>
    <x:row r="4389" ht="15" customHeight="1">
      <x:c r="A4389" s="55" t="str">
        <x:v>雷電之棍配方</x:v>
      </x:c>
      <x:c r="B4389" s="55" t="str">
        <x:v>—</x:v>
      </x:c>
      <x:c r="C4389" s="55" t="str">
        <x:v>京城煉丹江湖術士</x:v>
      </x:c>
      <x:c r="D4389" s="55" t="str">
        <x:v>—</x:v>
      </x:c>
      <x:c r="E4389" s="55" t="inlineStr">
        <x:is>
          <x:t>—</x:t>
        </x:is>
      </x:c>
    </x:row>
    <x:row r="4390" ht="15" customHeight="1">
      <x:c r="A4390" s="55" t="str">
        <x:v>鬼哭之劍配方</x:v>
      </x:c>
      <x:c r="B4390" s="55" t="str">
        <x:v>—</x:v>
      </x:c>
      <x:c r="C4390" s="55" t="str">
        <x:v>玄州煉丹術士</x:v>
      </x:c>
      <x:c r="D4390" s="55" t="str">
        <x:v>—</x:v>
      </x:c>
      <x:c r="E4390" s="55" t="inlineStr">
        <x:is>
          <x:t>—</x:t>
        </x:is>
      </x:c>
    </x:row>
    <x:row r="4391" ht="15" customHeight="1">
      <x:c r="A4391" s="55" t="str">
        <x:v>鬼哭之刀配方</x:v>
      </x:c>
      <x:c r="B4391" s="55" t="str">
        <x:v>—</x:v>
      </x:c>
      <x:c r="C4391" s="55" t="str">
        <x:v>玄州煉丹術士</x:v>
      </x:c>
      <x:c r="D4391" s="55" t="str">
        <x:v>—</x:v>
      </x:c>
      <x:c r="E4391" s="55" t="inlineStr">
        <x:is>
          <x:t>—</x:t>
        </x:is>
      </x:c>
    </x:row>
    <x:row r="4392" ht="15" customHeight="1">
      <x:c r="A4392" s="55" t="str">
        <x:v>鬼哭之槍配方</x:v>
      </x:c>
      <x:c r="B4392" s="55" t="str">
        <x:v>—</x:v>
      </x:c>
      <x:c r="C4392" s="55" t="str">
        <x:v>玄州煉丹術士</x:v>
      </x:c>
      <x:c r="D4392" s="55" t="str">
        <x:v>—</x:v>
      </x:c>
      <x:c r="E4392" s="55" t="inlineStr">
        <x:is>
          <x:t>—</x:t>
        </x:is>
      </x:c>
    </x:row>
    <x:row r="4393" ht="15" customHeight="1">
      <x:c r="A4393" s="55" t="str">
        <x:v>鬼哭之斧配方</x:v>
      </x:c>
      <x:c r="B4393" s="55" t="str">
        <x:v>—</x:v>
      </x:c>
      <x:c r="C4393" s="55" t="str">
        <x:v>玄州煉丹術士</x:v>
      </x:c>
      <x:c r="D4393" s="55" t="str">
        <x:v>—</x:v>
      </x:c>
      <x:c r="E4393" s="55" t="inlineStr">
        <x:is>
          <x:t>—</x:t>
        </x:is>
      </x:c>
    </x:row>
    <x:row r="4394" ht="15" customHeight="1">
      <x:c r="A4394" s="55" t="str">
        <x:v>鬼哭之錘配方</x:v>
      </x:c>
      <x:c r="B4394" s="55" t="str">
        <x:v>—</x:v>
      </x:c>
      <x:c r="C4394" s="55" t="str">
        <x:v>玄州煉丹術士</x:v>
      </x:c>
      <x:c r="D4394" s="55" t="str">
        <x:v>—</x:v>
      </x:c>
      <x:c r="E4394" s="55" t="inlineStr">
        <x:is>
          <x:t>—</x:t>
        </x:is>
      </x:c>
    </x:row>
    <x:row r="4395" ht="15" customHeight="1">
      <x:c r="A4395" s="55" t="str">
        <x:v>鬼哭之棍配方</x:v>
      </x:c>
      <x:c r="B4395" s="55" t="str">
        <x:v>—</x:v>
      </x:c>
      <x:c r="C4395" s="55" t="str">
        <x:v>玄州煉丹術士</x:v>
      </x:c>
      <x:c r="D4395" s="55" t="str">
        <x:v>—</x:v>
      </x:c>
      <x:c r="E4395" s="55" t="inlineStr">
        <x:is>
          <x:t>—</x:t>
        </x:is>
      </x:c>
    </x:row>
    <x:row r="4396" ht="15" customHeight="1">
      <x:c r="A4396" s="55" t="str">
        <x:v>波紋之劍配方</x:v>
      </x:c>
      <x:c r="B4396" s="55" t="str">
        <x:v>—</x:v>
      </x:c>
      <x:c r="C4396" s="55" t="str">
        <x:v>玄州打鐵舖</x:v>
      </x:c>
      <x:c r="D4396" s="55" t="str">
        <x:v>—</x:v>
      </x:c>
      <x:c r="E4396" s="55" t="inlineStr">
        <x:is>
          <x:t>—</x:t>
        </x:is>
      </x:c>
    </x:row>
    <x:row r="4397" ht="15" customHeight="1">
      <x:c r="A4397" s="55" t="str">
        <x:v>波紋之刀配方</x:v>
      </x:c>
      <x:c r="B4397" s="55" t="str">
        <x:v>—</x:v>
      </x:c>
      <x:c r="C4397" s="55" t="str">
        <x:v>玄州打鐵舖</x:v>
      </x:c>
      <x:c r="D4397" s="55" t="str">
        <x:v>—</x:v>
      </x:c>
      <x:c r="E4397" s="55" t="inlineStr">
        <x:is>
          <x:t>—</x:t>
        </x:is>
      </x:c>
    </x:row>
    <x:row r="4398" ht="15" customHeight="1">
      <x:c r="A4398" s="55" t="str">
        <x:v>波紋之槍配方</x:v>
      </x:c>
      <x:c r="B4398" s="55" t="str">
        <x:v>—</x:v>
      </x:c>
      <x:c r="C4398" s="55" t="str">
        <x:v>玄州打鐵舖</x:v>
      </x:c>
      <x:c r="D4398" s="55" t="str">
        <x:v>—</x:v>
      </x:c>
      <x:c r="E4398" s="55" t="inlineStr">
        <x:is>
          <x:t>—</x:t>
        </x:is>
      </x:c>
    </x:row>
    <x:row r="4399" ht="15" customHeight="1">
      <x:c r="A4399" s="55" t="str">
        <x:v>波紋之斧配方</x:v>
      </x:c>
      <x:c r="B4399" s="55" t="str">
        <x:v>—</x:v>
      </x:c>
      <x:c r="C4399" s="55" t="str">
        <x:v>玄州打鐵舖</x:v>
      </x:c>
      <x:c r="D4399" s="55" t="str">
        <x:v>—</x:v>
      </x:c>
      <x:c r="E4399" s="55" t="inlineStr">
        <x:is>
          <x:t>—</x:t>
        </x:is>
      </x:c>
    </x:row>
    <x:row r="4400" ht="15" customHeight="1">
      <x:c r="A4400" s="55" t="str">
        <x:v>波紋之錘配方</x:v>
      </x:c>
      <x:c r="B4400" s="55" t="str">
        <x:v>—</x:v>
      </x:c>
      <x:c r="C4400" s="55" t="str">
        <x:v>玄州打鐵舖</x:v>
      </x:c>
      <x:c r="D4400" s="55" t="str">
        <x:v>—</x:v>
      </x:c>
      <x:c r="E4400" s="55" t="inlineStr">
        <x:is>
          <x:t>—</x:t>
        </x:is>
      </x:c>
    </x:row>
    <x:row r="4401" ht="15" customHeight="1">
      <x:c r="A4401" s="55" t="str">
        <x:v>波紋之棍配方</x:v>
      </x:c>
      <x:c r="B4401" s="55" t="str">
        <x:v>—</x:v>
      </x:c>
      <x:c r="C4401" s="55" t="str">
        <x:v>玄州打鐵舖</x:v>
      </x:c>
      <x:c r="D4401" s="55" t="str">
        <x:v>—</x:v>
      </x:c>
      <x:c r="E4401" s="55" t="inlineStr">
        <x:is>
          <x:t>—</x:t>
        </x:is>
      </x:c>
    </x:row>
    <x:row r="4402" ht="15" customHeight="1">
      <x:c r="A4402" s="55" t="str">
        <x:v>百煉之劍配方</x:v>
      </x:c>
      <x:c r="B4402" s="55" t="str">
        <x:v>—</x:v>
      </x:c>
      <x:c r="C4402" s="55" t="str">
        <x:v>玄州打鐵舖</x:v>
      </x:c>
      <x:c r="D4402" s="55" t="str">
        <x:v>—</x:v>
      </x:c>
      <x:c r="E4402" s="55" t="inlineStr">
        <x:is>
          <x:t>—</x:t>
        </x:is>
      </x:c>
    </x:row>
    <x:row r="4403" ht="15" customHeight="1">
      <x:c r="A4403" s="55" t="str">
        <x:v>百煉之刀配方</x:v>
      </x:c>
      <x:c r="B4403" s="55" t="str">
        <x:v>—</x:v>
      </x:c>
      <x:c r="C4403" s="55" t="str">
        <x:v>玄州打鐵舖</x:v>
      </x:c>
      <x:c r="D4403" s="55" t="str">
        <x:v>—</x:v>
      </x:c>
      <x:c r="E4403" s="55" t="inlineStr">
        <x:is>
          <x:t>—</x:t>
        </x:is>
      </x:c>
    </x:row>
    <x:row r="4404" ht="15" customHeight="1">
      <x:c r="A4404" s="55" t="str">
        <x:v>百煉之槍配方</x:v>
      </x:c>
      <x:c r="B4404" s="55" t="str">
        <x:v>—</x:v>
      </x:c>
      <x:c r="C4404" s="55" t="str">
        <x:v>玄州打鐵舖</x:v>
      </x:c>
      <x:c r="D4404" s="55" t="str">
        <x:v>—</x:v>
      </x:c>
      <x:c r="E4404" s="55" t="inlineStr">
        <x:is>
          <x:t>—</x:t>
        </x:is>
      </x:c>
    </x:row>
    <x:row r="4405" ht="15" customHeight="1">
      <x:c r="A4405" s="55" t="str">
        <x:v>百煉之斧配方</x:v>
      </x:c>
      <x:c r="B4405" s="55" t="str">
        <x:v>—</x:v>
      </x:c>
      <x:c r="C4405" s="55" t="str">
        <x:v>玄州打鐵舖</x:v>
      </x:c>
      <x:c r="D4405" s="55" t="str">
        <x:v>—</x:v>
      </x:c>
      <x:c r="E4405" s="55" t="inlineStr">
        <x:is>
          <x:t>—</x:t>
        </x:is>
      </x:c>
    </x:row>
    <x:row r="4406" ht="15" customHeight="1">
      <x:c r="A4406" s="55" t="str">
        <x:v>百煉之錘配方</x:v>
      </x:c>
      <x:c r="B4406" s="55" t="str">
        <x:v>—</x:v>
      </x:c>
      <x:c r="C4406" s="55" t="str">
        <x:v>玄州打鐵舖</x:v>
      </x:c>
      <x:c r="D4406" s="55" t="str">
        <x:v>—</x:v>
      </x:c>
      <x:c r="E4406" s="55" t="inlineStr">
        <x:is>
          <x:t>—</x:t>
        </x:is>
      </x:c>
    </x:row>
    <x:row r="4407" ht="15" customHeight="1">
      <x:c r="A4407" s="55" t="str">
        <x:v>百煉之棍配方</x:v>
      </x:c>
      <x:c r="B4407" s="55" t="str">
        <x:v>—</x:v>
      </x:c>
      <x:c r="C4407" s="55" t="str">
        <x:v>玄州打鐵舖</x:v>
      </x:c>
      <x:c r="D4407" s="55" t="str">
        <x:v>—</x:v>
      </x:c>
      <x:c r="E4407" s="55" t="inlineStr">
        <x:is>
          <x:t>—</x:t>
        </x:is>
      </x:c>
    </x:row>
    <x:row r="4408" ht="15" customHeight="1">
      <x:c r="A4408" s="55" t="str">
        <x:v>開光拂塵配方</x:v>
      </x:c>
      <x:c r="B4408" s="55" t="str">
        <x:v>望星坡-八大銘碑之謎</x:v>
      </x:c>
      <x:c r="C4408" s="55" t="str">
        <x:v>—</x:v>
      </x:c>
      <x:c r="D4408" s="55" t="str">
        <x:v>—</x:v>
      </x:c>
      <x:c r="E4408" s="55" t="inlineStr">
        <x:is>
          <x:t>—</x:t>
        </x:is>
      </x:c>
    </x:row>
    <x:row r="4409" ht="15" customHeight="1">
      <x:c r="A4409" s="55" t="str">
        <x:v>降妖拂塵配方</x:v>
      </x:c>
      <x:c r="B4409" s="55" t="str">
        <x:v>—</x:v>
      </x:c>
      <x:c r="C4409" s="55" t="str">
        <x:v>夸父-煉丹夸父幼童</x:v>
      </x:c>
      <x:c r="D4409" s="55" t="str">
        <x:v>—</x:v>
      </x:c>
      <x:c r="E4409" s="55" t="inlineStr">
        <x:is>
          <x:t>—</x:t>
        </x:is>
      </x:c>
    </x:row>
    <x:row r="4410" ht="60" customHeight="1">
      <x:c r="A4410" s="55" t="str">
        <x:v>屠妖拂塵配方</x:v>
      </x:c>
      <x:c r="B4410" s="55" t="str">
        <x:v>—</x:v>
      </x:c>
      <x:c r="C4410" s="55" t="str">
        <x:v>—</x:v>
      </x:c>
      <x:c r="D4410" s="55" t="str">
        <x:v>—</x:v>
      </x:c>
      <x:c r="E4410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死靈水母（龍宮第七層、龍宮八層一隅、龍宮八層廣場）</x:t>
        </x:is>
      </x:c>
    </x:row>
    <x:row r="4411" ht="15" customHeight="1">
      <x:c r="A4411" s="55" t="str">
        <x:v>開光禪杖配方</x:v>
      </x:c>
      <x:c r="B4411" s="55" t="str">
        <x:v>望星坡-八大銘碑之謎</x:v>
      </x:c>
      <x:c r="C4411" s="55" t="str">
        <x:v>—</x:v>
      </x:c>
      <x:c r="D4411" s="55" t="str">
        <x:v>—</x:v>
      </x:c>
      <x:c r="E4411" s="55" t="inlineStr">
        <x:is>
          <x:t>—</x:t>
        </x:is>
      </x:c>
    </x:row>
    <x:row r="4412" ht="15" customHeight="1">
      <x:c r="A4412" s="55" t="str">
        <x:v>波紋禪杖配方</x:v>
      </x:c>
      <x:c r="B4412" s="55" t="str">
        <x:v>—</x:v>
      </x:c>
      <x:c r="C4412" s="55" t="str">
        <x:v>玄州打鐵舖</x:v>
      </x:c>
      <x:c r="D4412" s="55" t="str">
        <x:v>—</x:v>
      </x:c>
      <x:c r="E4412" s="55" t="inlineStr">
        <x:is>
          <x:t>—</x:t>
        </x:is>
      </x:c>
    </x:row>
    <x:row r="4413" ht="15" customHeight="1">
      <x:c r="A4413" s="55" t="str">
        <x:v>百煉禪杖配方</x:v>
      </x:c>
      <x:c r="B4413" s="55" t="str">
        <x:v>—</x:v>
      </x:c>
      <x:c r="C4413" s="55" t="str">
        <x:v>玄州打鐵舖</x:v>
      </x:c>
      <x:c r="D4413" s="55" t="str">
        <x:v>—</x:v>
      </x:c>
      <x:c r="E4413" s="55" t="inlineStr">
        <x:is>
          <x:t>—</x:t>
        </x:is>
      </x:c>
    </x:row>
    <x:row r="4414" ht="15" customHeight="1">
      <x:c r="A4414" s="55" t="str">
        <x:v>伏魔禪杖配方</x:v>
      </x:c>
      <x:c r="B4414" s="55" t="str">
        <x:v>—</x:v>
      </x:c>
      <x:c r="C4414" s="55" t="str">
        <x:v>夸父-煉丹夸父幼童</x:v>
      </x:c>
      <x:c r="D4414" s="55" t="str">
        <x:v>—</x:v>
      </x:c>
      <x:c r="E4414" s="55" t="inlineStr">
        <x:is>
          <x:t>—</x:t>
        </x:is>
      </x:c>
    </x:row>
    <x:row r="4415" ht="60" customHeight="1">
      <x:c r="A4415" s="55" t="str">
        <x:v>滅魔禪杖配方</x:v>
      </x:c>
      <x:c r="B4415" s="55" t="str">
        <x:v>—</x:v>
      </x:c>
      <x:c r="C4415" s="55" t="str">
        <x:v>—</x:v>
      </x:c>
      <x:c r="D4415" s="55" t="str">
        <x:v>—</x:v>
      </x:c>
      <x:c r="E4415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死靈水母（龍宮第七層、龍宮八層一隅、龍宮八層廣場）</x:t>
        </x:is>
      </x:c>
    </x:row>
    <x:row r="4416" ht="30" customHeight="1">
      <x:c r="A4416" s="55" t="str">
        <x:v>毒暗器配方</x:v>
      </x:c>
      <x:c r="B4416" s="55" t="str">
        <x:v>—</x:v>
      </x:c>
      <x:c r="C4416" s="55" t="str">
        <x:v>京城煉丹江湖術士、祁州煉丹江湖術士、玄州煉丹術士、夸父-煉丹夸父幼童</x:v>
      </x:c>
      <x:c r="D4416" s="55" t="str">
        <x:v>—</x:v>
      </x:c>
      <x:c r="E4416" s="55" t="inlineStr">
        <x:is>
          <x:t>—</x:t>
        </x:is>
      </x:c>
    </x:row>
    <x:row r="4417" ht="30" customHeight="1">
      <x:c r="A4417" s="55" t="str">
        <x:v>烈毒暗器配方</x:v>
      </x:c>
      <x:c r="B4417" s="55" t="str">
        <x:v>—</x:v>
      </x:c>
      <x:c r="C4417" s="55" t="str">
        <x:v>祁州煉丹江湖術士、夸父-煉丹夸父幼童</x:v>
      </x:c>
      <x:c r="D4417" s="55" t="str">
        <x:v>—</x:v>
      </x:c>
      <x:c r="E4417" s="55" t="inlineStr">
        <x:is>
          <x:t>樹精（惡狼林、碧波谷徑、亂藤林）；樹精（桃花林西方、不老峰）；毒蟾蜍（碧波谷徑、百妖穴第一層、萬人塚第一層、亂藤林、亂藤林東方、葬日沼澤北方、毒龍潭、盤蛇洞、河西谷地）</x:t>
        </x:is>
      </x:c>
    </x:row>
    <x:row r="4418" ht="75" customHeight="1">
      <x:c r="A4418" s="55" t="str">
        <x:v>劇毒暗器配方</x:v>
      </x:c>
      <x:c r="B4418" s="55" t="str">
        <x:v>—</x:v>
      </x:c>
      <x:c r="C4418" s="55" t="str">
        <x:v>—</x:v>
      </x:c>
      <x:c r="D4418" s="55" t="str">
        <x:v>—</x:v>
      </x:c>
      <x:c r="E4418" s="55" t="inlineStr">
        <x:is>
          <x:t>毒血屍（猛鬼窟第一層、猛鬼窟第二層、萬人塚第二層、朝天觀、萬人塚第三層）；吸精鬼屍（五派禁地）；惡靈殭屍（五派禁地）；裂隙火靈（烈火靈界裂隙）；裂隙冰靈（怒雪靈界裂隙）；裂隙蠱靈（瘴癘靈界裂隙）；黯夜妖魔（桃花林西方）；毒殭屍（猛鬼窟第一層、萬人塚第二層、朝天觀、萬人塚第三層、樓蘭遺址）；魔饜大軍（網站未列地圖）；萬嗔惡靈（鬼城）；吸血殭屍（猛鬼窟第二層、萬人塚第三層、樓蘭遺址）；[吸血殭屍]（網站未列地圖）</x:t>
        </x:is>
      </x:c>
    </x:row>
    <x:row r="4419" ht="15" customHeight="1">
      <x:c r="A4419" s="55" t="str">
        <x:v>蠱毒暗器配方</x:v>
      </x:c>
      <x:c r="B4419" s="55" t="str">
        <x:v>—</x:v>
      </x:c>
      <x:c r="C4419" s="55" t="str">
        <x:v>—</x:v>
      </x:c>
      <x:c r="D4419" s="55" t="str">
        <x:v>—</x:v>
      </x:c>
      <x:c r="E4419" s="55" t="inlineStr">
        <x:is>
          <x:t>蛇魔女王（盤蛇洞）；蛇魔女（盤蛇洞）；[蛇魔女]（網站未列地圖）</x:t>
        </x:is>
      </x:c>
    </x:row>
    <x:row r="4420" ht="15" customHeight="1">
      <x:c r="A4420" s="55" t="str">
        <x:v>抗火之盾配方</x:v>
      </x:c>
      <x:c r="B4420" s="55" t="str">
        <x:v>—</x:v>
      </x:c>
      <x:c r="C4420" s="55" t="str">
        <x:v>祁州煉丹江湖術士、刑天-百眼巫醫</x:v>
      </x:c>
      <x:c r="D4420" s="55" t="str">
        <x:v>—</x:v>
      </x:c>
      <x:c r="E4420" s="55" t="inlineStr">
        <x:is>
          <x:t>—</x:t>
        </x:is>
      </x:c>
    </x:row>
    <x:row r="4421" ht="15" customHeight="1">
      <x:c r="A4421" s="55" t="str">
        <x:v>抗冰之盾配方</x:v>
      </x:c>
      <x:c r="B4421" s="55" t="str">
        <x:v>—</x:v>
      </x:c>
      <x:c r="C4421" s="55" t="str">
        <x:v>京城煉丹江湖術士、刑天-百眼巫醫</x:v>
      </x:c>
      <x:c r="D4421" s="55" t="str">
        <x:v>—</x:v>
      </x:c>
      <x:c r="E4421" s="55" t="inlineStr">
        <x:is>
          <x:t>—</x:t>
        </x:is>
      </x:c>
    </x:row>
    <x:row r="4422" ht="15" customHeight="1">
      <x:c r="A4422" s="55" t="str">
        <x:v>抗雷之盾配方</x:v>
      </x:c>
      <x:c r="B4422" s="55" t="str">
        <x:v>—</x:v>
      </x:c>
      <x:c r="C4422" s="55" t="str">
        <x:v>京城煉丹江湖術士、刑天-百眼巫醫</x:v>
      </x:c>
      <x:c r="D4422" s="55" t="str">
        <x:v>—</x:v>
      </x:c>
      <x:c r="E4422" s="55" t="inlineStr">
        <x:is>
          <x:t>—</x:t>
        </x:is>
      </x:c>
    </x:row>
    <x:row r="4423" ht="15" customHeight="1">
      <x:c r="A4423" s="55" t="str">
        <x:v>抗冥之盾配方</x:v>
      </x:c>
      <x:c r="B4423" s="55" t="str">
        <x:v>—</x:v>
      </x:c>
      <x:c r="C4423" s="55" t="str">
        <x:v>玄州煉丹術士、刑天-百眼巫醫</x:v>
      </x:c>
      <x:c r="D4423" s="55" t="str">
        <x:v>—</x:v>
      </x:c>
      <x:c r="E4423" s="55" t="inlineStr">
        <x:is>
          <x:t>—</x:t>
        </x:is>
      </x:c>
    </x:row>
    <x:row r="4424" ht="15" customHeight="1">
      <x:c r="A4424" s="55" t="str">
        <x:v>避魔護甲配方</x:v>
      </x:c>
      <x:c r="B4424" s="55" t="str">
        <x:v>—</x:v>
      </x:c>
      <x:c r="C4424" s="55" t="str">
        <x:v>刑天-百眼巫醫</x:v>
      </x:c>
      <x:c r="D4424" s="55" t="str">
        <x:v>—</x:v>
      </x:c>
      <x:c r="E4424" s="55" t="inlineStr">
        <x:is>
          <x:t>—</x:t>
        </x:is>
      </x:c>
    </x:row>
    <x:row r="4425" ht="60" customHeight="1">
      <x:c r="A4425" s="55" t="str">
        <x:v>驅魔護甲配方</x:v>
      </x:c>
      <x:c r="B4425" s="55" t="str">
        <x:v>—</x:v>
      </x:c>
      <x:c r="C4425" s="55" t="str">
        <x:v>—</x:v>
      </x:c>
      <x:c r="D4425" s="55" t="str">
        <x:v>—</x:v>
      </x:c>
      <x:c r="E4425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</x:t>
        </x:is>
      </x:c>
    </x:row>
    <x:row r="4426" ht="30" customHeight="1">
      <x:c r="A4426" s="55" t="str">
        <x:v>抗火鎧甲配方</x:v>
      </x:c>
      <x:c r="B4426" s="55" t="str">
        <x:v>—</x:v>
      </x:c>
      <x:c r="C4426" s="55" t="str">
        <x:v>—</x:v>
      </x:c>
      <x:c r="D4426" s="55" t="str">
        <x:v>—</x:v>
      </x:c>
      <x:c r="E4426" s="55" t="inlineStr">
        <x:is>
          <x:t>邪魔靈鼠（火焰山）；神行跳鼠（萬魔蜃樓陣、萬魔蜃樓陣檢錄處、塔干沙漠西方、萬佛窟、樓蘭遺址）；[神行跳鼠]（網站未列地圖）；兔仙人（網站未列地圖）；[兔仙人]（網站未列地圖）；海巨蛟（東方海域）</x:t>
        </x:is>
      </x:c>
    </x:row>
    <x:row r="4427" ht="45" customHeight="1">
      <x:c r="A4427" s="55" t="str">
        <x:v>抗冰鎧甲配方</x:v>
      </x:c>
      <x:c r="B4427" s="55" t="str">
        <x:v>—</x:v>
      </x:c>
      <x:c r="C4427" s="55" t="str">
        <x:v>—</x:v>
      </x:c>
      <x:c r="D4427" s="55" t="str">
        <x:v>—</x:v>
      </x:c>
      <x:c r="E4427" s="55" t="inlineStr">
        <x:is>
          <x:t>血神禿鷹（火焰山）；真火鳳凰（鳳凰台）；真火鳳凰（鳳凰台）；泣命煉首（網站未列地圖）；紫燄影凰（網站未列地圖）；鳳凰（棲鳳崖、鳳凰台）；火鳳凰（棲鳳崖）；嗜血禿鷹（塔干沙漠南方）；鳳凰（棲鳳崖、鳳凰台）；[鳳凰]（網站未列地圖）</x:t>
        </x:is>
      </x:c>
    </x:row>
    <x:row r="4428" ht="30" customHeight="1">
      <x:c r="A4428" s="55" t="str">
        <x:v>抗雷鎧甲配方</x:v>
      </x:c>
      <x:c r="B4428" s="55" t="str">
        <x:v>—</x:v>
      </x:c>
      <x:c r="C4428" s="55" t="str">
        <x:v>—</x:v>
      </x:c>
      <x:c r="D4428" s="55" t="str">
        <x:v>—</x:v>
      </x:c>
      <x:c r="E4428" s="55" t="inlineStr">
        <x:is>
          <x:t>噴焰巨龜（火焰山）；隱者狸仙（網站未列地圖）；[隱者狸仙]（網站未列地圖）；銅石龜（塔干沙漠南方、塔干沙漠西方、樓蘭遺址）；[銅石龜]（網站未列地圖）</x:t>
        </x:is>
      </x:c>
    </x:row>
    <x:row r="4429" ht="15" customHeight="1">
      <x:c r="A4429" s="55" t="str">
        <x:v>抗冥鎧甲配方</x:v>
      </x:c>
      <x:c r="B4429" s="55" t="str">
        <x:v>—</x:v>
      </x:c>
      <x:c r="C4429" s="55" t="str">
        <x:v>—</x:v>
      </x:c>
      <x:c r="D4429" s="55" t="str">
        <x:v>—</x:v>
      </x:c>
      <x:c r="E4429" s="55" t="inlineStr">
        <x:is>
          <x:t>妖煞蟲王（火焰山）；九尾狐（網站未列地圖）；[九尾狐]（網站未列地圖）；沙蟲蠱王（樓蘭遺址）</x:t>
        </x:is>
      </x:c>
    </x:row>
    <x:row r="4430" ht="30" customHeight="1">
      <x:c r="A4430" s="55" t="str">
        <x:v>初陽飾品配方</x:v>
      </x:c>
      <x:c r="B4430" s="55" t="str">
        <x:v>—</x:v>
      </x:c>
      <x:c r="C4430" s="55" t="str">
        <x:v>京城煉丹江湖術士、祁州煉丹江湖術士、玄州煉丹術士、刑天-百眼巫醫</x:v>
      </x:c>
      <x:c r="D4430" s="55" t="str">
        <x:v>—</x:v>
      </x:c>
      <x:c r="E4430" s="55" t="inlineStr">
        <x:is>
          <x:t>—</x:t>
        </x:is>
      </x:c>
    </x:row>
    <x:row r="4431" ht="30" customHeight="1">
      <x:c r="A4431" s="55" t="str">
        <x:v>少陽飾品配方</x:v>
      </x:c>
      <x:c r="B4431" s="55" t="str">
        <x:v>—</x:v>
      </x:c>
      <x:c r="C4431" s="55" t="str">
        <x:v>刑天-百眼巫醫</x:v>
      </x:c>
      <x:c r="D4431" s="55" t="str">
        <x:v>—</x:v>
      </x:c>
      <x:c r="E4431" s="55" t="inlineStr">
        <x:is>
          <x:t>賊寇頭目（鎮南關密道）；江洋大盜（碧波幽谷、朝天觀、亂藤林東方）；長林惡棍（長林谷）；邪火刀僧（長林谷）；土匪（碧波幽谷、朝天觀、亂藤林東方）；藍方捍衛者（網站未列地圖）；土匪（試煉之窟）</x:t>
        </x:is>
      </x:c>
    </x:row>
    <x:row r="4432" ht="30" customHeight="1">
      <x:c r="A4432" s="55" t="str">
        <x:v>太陽飾品配方</x:v>
      </x:c>
      <x:c r="B4432" s="55" t="str">
        <x:v>—</x:v>
      </x:c>
      <x:c r="C4432" s="55" t="str">
        <x:v>—</x:v>
      </x:c>
      <x:c r="D4432" s="55" t="str">
        <x:v>—</x:v>
      </x:c>
      <x:c r="E4432" s="55" t="inlineStr">
        <x:is>
          <x:t>賊寇頭目（鎮南關密道）；江洋大盜（碧波幽谷、朝天觀、亂藤林東方）；長林惡棍（長林谷）；邪火刀僧（長林谷）</x:t>
        </x:is>
      </x:c>
    </x:row>
    <x:row r="4433" ht="15" customHeight="1">
      <x:c r="A4433" s="55" t="str">
        <x:v>純陽飾品配方</x:v>
      </x:c>
      <x:c r="B4433" s="55" t="str">
        <x:v>—</x:v>
      </x:c>
      <x:c r="C4433" s="55" t="str">
        <x:v>—</x:v>
      </x:c>
      <x:c r="D4433" s="55" t="str">
        <x:v>—</x:v>
      </x:c>
      <x:c r="E4433" s="55" t="inlineStr">
        <x:is>
          <x:t>賊寇頭目（鎮南關密道）；江洋大盜（碧波幽谷、朝天觀、亂藤林東方）；長林惡棍（長林谷）</x:t>
        </x:is>
      </x:c>
    </x:row>
    <x:row r="4434" ht="30" customHeight="1">
      <x:c r="A4434" s="55" t="str">
        <x:v>初陰飾品配方</x:v>
      </x:c>
      <x:c r="B4434" s="55" t="str">
        <x:v>—</x:v>
      </x:c>
      <x:c r="C4434" s="55" t="str">
        <x:v>京城煉丹江湖術士、祁州煉丹江湖術士、玄州煉丹術士、夸父-煉丹夸父幼童</x:v>
      </x:c>
      <x:c r="D4434" s="55" t="str">
        <x:v>—</x:v>
      </x:c>
      <x:c r="E4434" s="55" t="inlineStr">
        <x:is>
          <x:t>—</x:t>
        </x:is>
      </x:c>
    </x:row>
    <x:row r="4435" ht="45" customHeight="1">
      <x:c r="A4435" s="55" t="str">
        <x:v>少陰飾品配方</x:v>
      </x:c>
      <x:c r="B4435" s="55" t="str">
        <x:v>—</x:v>
      </x:c>
      <x:c r="C4435" s="55" t="str">
        <x:v>夸父-煉丹夸父幼童</x:v>
      </x:c>
      <x:c r="D4435" s="55" t="str">
        <x:v>—</x:v>
      </x:c>
      <x:c r="E4435" s="55" t="inlineStr">
        <x:is>
          <x:t>邪魔尊者（飛仙岩、朝天嶺、朝天觀）；邪教道長（飛仙岩、朝天嶺、朝天觀、亂藤林東方）；天邪道人（長林谷）；邪教道士（飛仙岩、朝天嶺、朝天觀、亂藤林東方）；綠方捍衛者（網站未列地圖）；秘法僧（天山雪道、亂藤林東方）；嗜血頭陀（天山雪道、亂藤林東方）；破戒僧（天山雪道、亂藤林東方）；邪教道士（試煉之窟）</x:t>
        </x:is>
      </x:c>
    </x:row>
    <x:row r="4436" ht="45" customHeight="1">
      <x:c r="A4436" s="55" t="str">
        <x:v>太陰飾品配方</x:v>
      </x:c>
      <x:c r="B4436" s="55" t="str">
        <x:v>—</x:v>
      </x:c>
      <x:c r="C4436" s="55" t="str">
        <x:v>—</x:v>
      </x:c>
      <x:c r="D4436" s="55" t="str">
        <x:v>—</x:v>
      </x:c>
      <x:c r="E4436" s="55" t="inlineStr">
        <x:is>
          <x:t>邪教道長（飛仙岩、朝天嶺、朝天觀、亂藤林東方）；邪魔尊者（飛仙岩、朝天嶺、朝天觀）；千年蟾蜍精（百妖穴第二層）；[千年蟾蜍精]（網站未列地圖）；蟾蜍怪客（平西關）；天邪道人（長林谷）；嗜血頭陀（天山雪道、亂藤林東方）；秘法僧（天山雪道、亂藤林東方）；蟾蜍精（百妖穴第一層、百妖穴第二層、盤蛇洞）</x:t>
        </x:is>
      </x:c>
    </x:row>
    <x:row r="4437" ht="45" customHeight="1">
      <x:c r="A4437" s="55" t="str">
        <x:v>純陰飾品配方</x:v>
      </x:c>
      <x:c r="B4437" s="55" t="str">
        <x:v>—</x:v>
      </x:c>
      <x:c r="C4437" s="55" t="str">
        <x:v>—</x:v>
      </x:c>
      <x:c r="D4437" s="55" t="str">
        <x:v>—</x:v>
      </x:c>
      <x:c r="E4437" s="55" t="inlineStr">
        <x:is>
          <x:t>邪教道長（飛仙岩、朝天嶺、朝天觀、亂藤林東方）；邪魔尊者（飛仙岩、朝天嶺、朝天觀）；千年蟾蜍精（百妖穴第二層）；[千年蟾蜍精]（網站未列地圖）；天邪道人（長林谷）；蟾蜍怪客（平西關）；嗜血頭陀（天山雪道、亂藤林東方）；秘法僧（天山雪道、亂藤林東方）；蟾蜍精（百妖穴第一層、百妖穴第二層、盤蛇洞）</x:t>
        </x:is>
      </x:c>
    </x:row>
    <x:row r="4438" ht="15" customHeight="1">
      <x:c r="A4438" s="55" t="str">
        <x:v>龍鳳加持配方</x:v>
      </x:c>
      <x:c r="B4438" s="55" t="str">
        <x:v>桃花仙境-浴火重生</x:v>
      </x:c>
      <x:c r="C4438" s="55" t="str">
        <x:v>—</x:v>
      </x:c>
      <x:c r="D4438" s="55" t="str">
        <x:v>—</x:v>
      </x:c>
      <x:c r="E4438" s="55" t="inlineStr">
        <x:is>
          <x:t>經典配方古盒（網站未列地圖）</x:t>
        </x:is>
      </x:c>
    </x:row>
    <x:row r="4439" ht="45" customHeight="1">
      <x:c r="A4439" s="55" t="str">
        <x:v>藏鋒配方</x:v>
      </x:c>
      <x:c r="B4439" s="55" t="str">
        <x:v>—</x:v>
      </x:c>
      <x:c r="C4439" s="55" t="str">
        <x:v>—</x:v>
      </x:c>
      <x:c r="D4439" s="55" t="str">
        <x:v>—</x:v>
      </x:c>
      <x:c r="E4439" s="55" t="inlineStr">
        <x:is>
          <x:t>中郎將錦囊（網站未列地圖）；經典配方古盒（網站未列地圖）；蒼狼族女王（蒼狼大營）；都督錦囊（網站未列地圖）；密林妖禽（千佛遺跡東側、千佛遺跡西側）；[密林妖禽]（網站未列地圖）；北斗星君（五派禁地）；江湖刀客（長林谷）；鐵勾惡盜（長林谷）；鴻星扛把子（碧波幽谷）；大刀賊寇（長林谷）；賊寇頭目（鎮南關密道）</x:t>
        </x:is>
      </x:c>
    </x:row>
    <x:row r="4440" ht="60" customHeight="1">
      <x:c r="A4440" s="55" t="str">
        <x:v>凝氣配方</x:v>
      </x:c>
      <x:c r="B4440" s="55" t="str">
        <x:v>—</x:v>
      </x:c>
      <x:c r="C4440" s="55" t="str">
        <x:v>—</x:v>
      </x:c>
      <x:c r="D4440" s="55" t="str">
        <x:v>—</x:v>
      </x:c>
      <x:c r="E4440" s="55" t="inlineStr">
        <x:is>
          <x:t>中郎將錦囊（網站未列地圖）；經典配方古盒（網站未列地圖）；蒼狼族大汗（大汗陵墓、統萬大營）；都督錦囊（網站未列地圖）；白巨虎（天山冰池）；裂隙火靈（烈火靈界裂隙）；裂隙冰靈（怒雪靈界裂隙）；裂隙蠱靈（瘴癘靈界裂隙）；黯夜妖魔（桃花林西方）；萬嗔惡靈（鬼城）；巨錘猴精（千佛遺跡東側、千佛遺跡西側）；[巨錘猴精]（網站未列地圖）；邪火刀僧（長林谷）</x:t>
        </x:is>
      </x:c>
    </x:row>
    <x:row r="4441" ht="45" customHeight="1">
      <x:c r="A4441" s="55" t="str">
        <x:v>煉骨配方</x:v>
      </x:c>
      <x:c r="B4441" s="55" t="str">
        <x:v>—</x:v>
      </x:c>
      <x:c r="C4441" s="55" t="str">
        <x:v>—</x:v>
      </x:c>
      <x:c r="D4441" s="55" t="str">
        <x:v>—</x:v>
      </x:c>
      <x:c r="E4441" s="55" t="inlineStr">
        <x:is>
          <x:t>三轉錦囊（網站未列地圖）；經典配方古盒（網站未列地圖）；拉薩跳神（疾風谷、古北大營）；流亡叛軍頭目（邊關要塞）；流亡叛軍頭目（八達嶺、古北口）；真火神龍（五派禁地）；玄冰神龍（五派禁地）；山羊（塞北草原、呼倫草原、貝爾草原、河西谷地）；石窟武士俑（五派禁地）；屍靈武士俑（古皇陵密室）</x:t>
        </x:is>
      </x:c>
    </x:row>
    <x:row r="4442" ht="45" customHeight="1">
      <x:c r="A4442" s="55" t="str">
        <x:v>御力配方</x:v>
      </x:c>
      <x:c r="B4442" s="55" t="str">
        <x:v>—</x:v>
      </x:c>
      <x:c r="C4442" s="55" t="str">
        <x:v>—</x:v>
      </x:c>
      <x:c r="D4442" s="55" t="str">
        <x:v>—</x:v>
      </x:c>
      <x:c r="E4442" s="55" t="inlineStr">
        <x:is>
          <x:t>三轉錦囊（網站未列地圖）；經典配方古盒（網站未列地圖）；蒼狼族女王（蒼狼大營）；勇士合薩兒（亂石林、蒼狼大營）；合薩兒幻影（亂石林）；合薩兒（大汗陵墓）；勇士合薩兒（關外草原）；食日巨靈（五派禁地）；北斗星君（五派禁地）；黃牛（塞北草原、呼倫草原、貝爾草原）</x:t>
        </x:is>
      </x:c>
    </x:row>
    <x:row r="4443" ht="45" customHeight="1">
      <x:c r="A4443" s="55" t="str">
        <x:v>釋慧配方</x:v>
      </x:c>
      <x:c r="B4443" s="55" t="str">
        <x:v>—</x:v>
      </x:c>
      <x:c r="C4443" s="55" t="str">
        <x:v>—</x:v>
      </x:c>
      <x:c r="D4443" s="55" t="str">
        <x:v>—</x:v>
      </x:c>
      <x:c r="E4443" s="55" t="inlineStr">
        <x:is>
          <x:t>三轉錦囊（網站未列地圖）；經典配方古盒（網站未列地圖）；蒼狼族大汗（大汗陵墓、統萬大營）；邊關賊寇頭目（邊關要塞）；邊關賊寇頭目（八達嶺、古北口）；綠袍老祖（五派禁地）；玄天宗師（五派禁地）；紫靈貂（呼倫草原、貝爾草原、亂石林、疾風谷）</x:t>
        </x:is>
      </x:c>
    </x:row>
    <x:row r="4444" ht="45" customHeight="1">
      <x:c r="A4444" s="55" t="str">
        <x:v>踏雲配方</x:v>
      </x:c>
      <x:c r="B4444" s="55" t="str">
        <x:v>—</x:v>
      </x:c>
      <x:c r="C4444" s="55" t="str">
        <x:v>—</x:v>
      </x:c>
      <x:c r="D4444" s="55" t="str">
        <x:v>—</x:v>
      </x:c>
      <x:c r="E4444" s="55" t="inlineStr">
        <x:is>
          <x:t>三轉錦囊（網站未列地圖）；經典配方古盒（網站未列地圖）；神射手哲別（塞北草原）；哲別幻影（亂石林）；哲別（大汗陵墓）；神射手哲別（關外草原）；野馬（八達嶺、古北口、塞北草原、河西谷地）；千手神偷（五派禁地）；無影手（五派禁地）</x:t>
        </x:is>
      </x:c>
    </x:row>
    <x:row r="4445" ht="15" customHeight="1">
      <x:c r="A4445" s="55" t="str">
        <x:v>活氣配方</x:v>
      </x:c>
      <x:c r="B4445" s="55" t="str">
        <x:v>—</x:v>
      </x:c>
      <x:c r="C4445" s="55" t="str">
        <x:v>—</x:v>
      </x:c>
      <x:c r="D4445" s="55" t="str">
        <x:v>—</x:v>
      </x:c>
      <x:c r="E4445" s="55" t="inlineStr">
        <x:is>
          <x:t>經典配方古盒（網站未列地圖）；叢林黑豹（千佛遺跡西側）</x:t>
        </x:is>
      </x:c>
    </x:row>
    <x:row r="4446" ht="15" customHeight="1">
      <x:c r="A4446" s="55" t="str">
        <x:v>天罡配方</x:v>
      </x:c>
      <x:c r="B4446" s="55" t="str">
        <x:v>蒼郎劫-擴充軍備</x:v>
      </x:c>
      <x:c r="C4446" s="55" t="str">
        <x:v>—</x:v>
      </x:c>
      <x:c r="D4446" s="55" t="str">
        <x:v>—</x:v>
      </x:c>
      <x:c r="E4446" s="55" t="inlineStr">
        <x:is>
          <x:t>經典配方古盒（網站未列地圖）</x:t>
        </x:is>
      </x:c>
    </x:row>
    <x:row r="4447" ht="15" customHeight="1">
      <x:c r="A4447" s="55" t="str">
        <x:v>玄真配方</x:v>
      </x:c>
      <x:c r="B4447" s="55" t="str">
        <x:v>蒼郎劫-擴充軍備</x:v>
      </x:c>
      <x:c r="C4447" s="55" t="str">
        <x:v>—</x:v>
      </x:c>
      <x:c r="D4447" s="55" t="str">
        <x:v>—</x:v>
      </x:c>
      <x:c r="E4447" s="55" t="inlineStr">
        <x:is>
          <x:t>經典配方古盒（網站未列地圖）</x:t>
        </x:is>
      </x:c>
    </x:row>
    <x:row r="4448" ht="15" customHeight="1">
      <x:c r="A4448" s="55" t="str">
        <x:v>靈珠加持配方</x:v>
      </x:c>
      <x:c r="B4448" s="55" t="str">
        <x:v>西域傳奇-火燄山之戰</x:v>
      </x:c>
      <x:c r="C4448" s="55" t="str">
        <x:v>—</x:v>
      </x:c>
      <x:c r="D4448" s="55" t="str">
        <x:v>—</x:v>
      </x:c>
      <x:c r="E4448" s="55" t="inlineStr">
        <x:is>
          <x:t>西域錦囊（網站未列地圖）；七星錦囊（網站未列地圖）；經典配方古盒（網站未列地圖）</x:t>
        </x:is>
      </x:c>
    </x:row>
    <x:row r="4449" ht="45" customHeight="1">
      <x:c r="A4449" s="55" t="str">
        <x:v>負重煉製配方</x:v>
      </x:c>
      <x:c r="B4449" s="55" t="str">
        <x:v>—</x:v>
      </x:c>
      <x:c r="C4449" s="55" t="str">
        <x:v>—</x:v>
      </x:c>
      <x:c r="D4449" s="55" t="str">
        <x:v>—</x:v>
      </x:c>
      <x:c r="E4449" s="55" t="inlineStr">
        <x:is>
          <x:t>石破天驚錦囊（網站未列地圖）；天驚錦囊（網站未列地圖）；傳情錦囊（網站未列地圖）；真愛傳情錦囊（網站未列地圖）；濃情蜜意錦囊（網站未列地圖）；萬聖驚喜福袋（網站未列地圖）；真傳情錦囊（網站未列地圖）；經典配方古盒（網站未列地圖）</x:t>
        </x:is>
      </x:c>
    </x:row>
    <x:row r="4450" ht="60" customHeight="1">
      <x:c r="A4450" s="55" t="str">
        <x:v>尊宮飾品配方</x:v>
      </x:c>
      <x:c r="B4450" s="55" t="str">
        <x:v>—</x:v>
      </x:c>
      <x:c r="C4450" s="55" t="str">
        <x:v>—</x:v>
      </x:c>
      <x:c r="D4450" s="55" t="str">
        <x:v>—</x:v>
      </x:c>
      <x:c r="E4450" s="55" t="inlineStr">
        <x:is>
          <x:t>鬼嶽親衛槍侍（伊取川大陣）；鴉（網站未列地圖）；烏羽天狗（網站未列地圖）；[鴉天狗]（網站未列地圖）；鴉天狗（天照不二峰、八荒古墳）；血刃般若（天照不二峰、八荒古墳）；大黑天（萬佛窟、火焰山）；咒法陰陽師（外崎埠原、十津原樹海、八荒古墳）；溺誘河童（內崎埠原、外崎埠原、十津原樹海）；魅亂傘鬼（內崎埠原、外崎埠原、十津原樹海）；[魅亂傘鬼]（網站未列地圖）；魅亂傘鬼（內崎埠原、外崎埠原、十津原樹海）</x:t>
        </x:is>
      </x:c>
    </x:row>
    <x:row r="4451" ht="45" customHeight="1">
      <x:c r="A4451" s="55" t="str">
        <x:v>御護飾品配方</x:v>
      </x:c>
      <x:c r="B4451" s="55" t="str">
        <x:v>決戰東瀛-落櫻飄零</x:v>
      </x:c>
      <x:c r="C4451" s="55" t="str">
        <x:v>—</x:v>
      </x:c>
      <x:c r="D4451" s="55" t="str">
        <x:v>—</x:v>
      </x:c>
      <x:c r="E4451" s="55" t="inlineStr">
        <x:is>
          <x:t>青行鬼（外崎埠原、天照不二峰、八荒古墳、伊取川大陣）；幕影忍者（外崎埠原、十津原樹海、伊取川大陣）；流亡山賊（葉隱蒼林）；極道浪人（神室關所、內崎埠原、外崎埠原）；[冰執鐮鼬]（網站未列地圖）；冰執鐮鼬（內崎埠原、外崎埠原、十津原樹海）</x:t>
        </x:is>
      </x:c>
    </x:row>
    <x:row r="4452" ht="30" customHeight="1">
      <x:c r="A4452" s="55" t="str">
        <x:v>閻王加持配方</x:v>
      </x:c>
      <x:c r="B4452" s="55" t="str">
        <x:v>—</x:v>
      </x:c>
      <x:c r="C4452" s="55" t="str">
        <x:v>—</x:v>
      </x:c>
      <x:c r="D4452" s="55" t="str">
        <x:v>—</x:v>
      </x:c>
      <x:c r="E4452" s="55" t="inlineStr">
        <x:is>
          <x:t>夜帝化身（網站未列地圖）；八卦勇士錦囊（網站未列地圖）；八卦道人錦囊（網站未列地圖）；鑄物材料包裹（網站未列地圖）</x:t>
        </x:is>
      </x:c>
    </x:row>
    <x:row r="4453" ht="30" customHeight="1">
      <x:c r="A4453" s="55" t="str">
        <x:v>赤邪加持配方</x:v>
      </x:c>
      <x:c r="B4453" s="55" t="str">
        <x:v>—</x:v>
      </x:c>
      <x:c r="C4453" s="55" t="str">
        <x:v>—</x:v>
      </x:c>
      <x:c r="D4453" s="55" t="str">
        <x:v>—</x:v>
      </x:c>
      <x:c r="E4453" s="55" t="inlineStr">
        <x:is>
          <x:t>夜帝化身（網站未列地圖）；八卦劍俠錦囊（網站未列地圖）；八卦術者錦囊（網站未列地圖）；八卦僧侶錦囊（網站未列地圖）；佛都術者錦囊（網站未列地圖）；鑄物材料包裹（網站未列地圖）</x:t>
        </x:is>
      </x:c>
    </x:row>
    <x:row r="4454" ht="15" customHeight="1">
      <x:c r="A4454" s="55" t="str">
        <x:v>大閻王加持配方</x:v>
      </x:c>
      <x:c r="B4454" s="55" t="str">
        <x:v>—</x:v>
      </x:c>
      <x:c r="C4454" s="55" t="str">
        <x:v>—</x:v>
      </x:c>
      <x:c r="D4454" s="55" t="str">
        <x:v>—</x:v>
      </x:c>
      <x:c r="E4454" s="55" t="inlineStr">
        <x:is>
          <x:t>虎年超級寶箱（網站未列地圖）</x:t>
        </x:is>
      </x:c>
    </x:row>
    <x:row r="4455" ht="15" customHeight="1">
      <x:c r="A4455" s="55" t="str">
        <x:v>業火武器配方</x:v>
      </x:c>
      <x:c r="B4455" s="55" t="str">
        <x:v>—</x:v>
      </x:c>
      <x:c r="C4455" s="55" t="str">
        <x:v>—</x:v>
      </x:c>
      <x:c r="D4455" s="55" t="str">
        <x:v>—</x:v>
      </x:c>
      <x:c r="E4455" s="55" t="inlineStr">
        <x:is>
          <x:t>賦法配方錦囊（網站未列地圖）；頂峰煉裝配方錦囊（網站未列地圖）；大將軍錦囊（網站未列地圖）</x:t>
        </x:is>
      </x:c>
    </x:row>
    <x:row r="4456" ht="15" customHeight="1">
      <x:c r="A4456" s="55" t="str">
        <x:v>冰獄武器配方</x:v>
      </x:c>
      <x:c r="B4456" s="55" t="str">
        <x:v>—</x:v>
      </x:c>
      <x:c r="C4456" s="55" t="str">
        <x:v>—</x:v>
      </x:c>
      <x:c r="D4456" s="55" t="str">
        <x:v>—</x:v>
      </x:c>
      <x:c r="E4456" s="55" t="inlineStr">
        <x:is>
          <x:t>賦法配方錦囊（網站未列地圖）；頂峰煉裝配方錦囊（網站未列地圖）；大將軍錦囊（網站未列地圖）</x:t>
        </x:is>
      </x:c>
    </x:row>
    <x:row r="4457" ht="15" customHeight="1">
      <x:c r="A4457" s="55" t="str">
        <x:v>雷光武器配方</x:v>
      </x:c>
      <x:c r="B4457" s="55" t="str">
        <x:v>—</x:v>
      </x:c>
      <x:c r="C4457" s="55" t="str">
        <x:v>—</x:v>
      </x:c>
      <x:c r="D4457" s="55" t="str">
        <x:v>—</x:v>
      </x:c>
      <x:c r="E4457" s="55" t="inlineStr">
        <x:is>
          <x:t>賦法配方錦囊（網站未列地圖）；頂峰煉裝配方錦囊（網站未列地圖）；大將軍錦囊（網站未列地圖）</x:t>
        </x:is>
      </x:c>
    </x:row>
    <x:row r="4458" ht="15" customHeight="1">
      <x:c r="A4458" s="55" t="str">
        <x:v>冥府武器配方</x:v>
      </x:c>
      <x:c r="B4458" s="55" t="str">
        <x:v>—</x:v>
      </x:c>
      <x:c r="C4458" s="55" t="str">
        <x:v>—</x:v>
      </x:c>
      <x:c r="D4458" s="55" t="str">
        <x:v>—</x:v>
      </x:c>
      <x:c r="E4458" s="55" t="inlineStr">
        <x:is>
          <x:t>賦法配方錦囊（網站未列地圖）；頂峰煉裝配方錦囊（網站未列地圖）；大將軍錦囊（網站未列地圖）</x:t>
        </x:is>
      </x:c>
    </x:row>
    <x:row r="4459" ht="15" customHeight="1">
      <x:c r="A4459" s="55" t="str">
        <x:v>妙覺賦法配方</x:v>
      </x:c>
      <x:c r="B4459" s="55" t="str">
        <x:v>—</x:v>
      </x:c>
      <x:c r="C4459" s="55" t="str">
        <x:v>—</x:v>
      </x:c>
      <x:c r="D4459" s="55" t="str">
        <x:v>—</x:v>
      </x:c>
      <x:c r="E4459" s="55" t="inlineStr">
        <x:is>
          <x:t>賦法配方錦囊（網站未列地圖）；頂峰煉裝配方錦囊（網站未列地圖）；大將軍錦囊（網站未列地圖）</x:t>
        </x:is>
      </x:c>
    </x:row>
    <x:row r="4460" ht="45" customHeight="1">
      <x:c r="A4460" s="55" t="str">
        <x:v>嶄鋒配方</x:v>
      </x:c>
      <x:c r="B4460" s="55" t="str">
        <x:v>—</x:v>
      </x:c>
      <x:c r="C4460" s="55" t="str">
        <x:v>—</x:v>
      </x:c>
      <x:c r="D4460" s="55" t="str">
        <x:v>—</x:v>
      </x:c>
      <x:c r="E4460" s="55" t="inlineStr">
        <x:is>
          <x:t>驚天錦囊（網站未列地圖）；虎虎生風錦囊（網站未列地圖）；佛都劍俠錦囊（網站未列地圖）；佛都勇士錦囊（網站未列地圖）；佛都術者錦囊（網站未列地圖）；鹿生草（網站未列地圖）；神戡萬劫福袋（網站未列地圖）；金叉修羅王（濕婆神廟）；十獄殿主（森羅閻殿、奈落紅川、荒禍殘墟）；森羅大殿主（天戮魔殿）</x:t>
        </x:is>
      </x:c>
    </x:row>
    <x:row r="4461" ht="30" customHeight="1">
      <x:c r="A4461" s="55" t="str">
        <x:v>凝識配方</x:v>
      </x:c>
      <x:c r="B4461" s="55" t="str">
        <x:v>—</x:v>
      </x:c>
      <x:c r="C4461" s="55" t="str">
        <x:v>—</x:v>
      </x:c>
      <x:c r="D4461" s="55" t="str">
        <x:v>—</x:v>
      </x:c>
      <x:c r="E4461" s="55" t="inlineStr">
        <x:is>
          <x:t>佛都道人錦囊（網站未列地圖）；佛都僧侶錦囊（網站未列地圖）；神戡萬劫福袋（網站未列地圖）；千手妖姬（濕婆神廟）；阿喇耶尊者（濕婆神廟）；金叉修羅王（濕婆神廟）；紅蓮女戰將（濕婆神廟）；墮天魔佛（金霄佛寺）</x:t>
        </x:is>
      </x:c>
    </x:row>
    <x:row r="4462" ht="15" customHeight="1">
      <x:c r="A4462" s="55" t="str">
        <x:v>玄魄配方</x:v>
      </x:c>
      <x:c r="B4462" s="55" t="str">
        <x:v>—</x:v>
      </x:c>
      <x:c r="C4462" s="55" t="str">
        <x:v>—</x:v>
      </x:c>
      <x:c r="D4462" s="55" t="str">
        <x:v>—</x:v>
      </x:c>
      <x:c r="E4462" s="55" t="inlineStr">
        <x:is>
          <x:t>聖化配方錦囊（網站未列地圖）；頂峰煉裝配方錦囊（網站未列地圖）；八歧大蛇（天照不二峰）</x:t>
        </x:is>
      </x:c>
    </x:row>
    <x:row r="4463" ht="15" customHeight="1">
      <x:c r="A4463" s="55" t="str">
        <x:v>虎魂配方</x:v>
      </x:c>
      <x:c r="B4463" s="55" t="str">
        <x:v>—</x:v>
      </x:c>
      <x:c r="C4463" s="55" t="str">
        <x:v>—</x:v>
      </x:c>
      <x:c r="D4463" s="55" t="str">
        <x:v>—</x:v>
      </x:c>
      <x:c r="E4463" s="55" t="inlineStr">
        <x:is>
          <x:t>聖化配方錦囊（網站未列地圖）；頂峰煉裝配方錦囊（網站未列地圖）；八歧大蛇（天照不二峰）</x:t>
        </x:is>
      </x:c>
    </x:row>
    <x:row r="4464" ht="15" customHeight="1">
      <x:c r="A4464" s="55" t="str">
        <x:v>龍思配方</x:v>
      </x:c>
      <x:c r="B4464" s="55" t="str">
        <x:v>—</x:v>
      </x:c>
      <x:c r="C4464" s="55" t="str">
        <x:v>—</x:v>
      </x:c>
      <x:c r="D4464" s="55" t="str">
        <x:v>—</x:v>
      </x:c>
      <x:c r="E4464" s="55" t="inlineStr">
        <x:is>
          <x:t>聖化配方錦囊（網站未列地圖）；頂峰煉裝配方錦囊（網站未列地圖）；八歧大蛇（天照不二峰）</x:t>
        </x:is>
      </x:c>
    </x:row>
    <x:row r="4465" ht="15" customHeight="1">
      <x:c r="A4465" s="55" t="str">
        <x:v>鳳凌配方</x:v>
      </x:c>
      <x:c r="B4465" s="55" t="str">
        <x:v>—</x:v>
      </x:c>
      <x:c r="C4465" s="55" t="str">
        <x:v>—</x:v>
      </x:c>
      <x:c r="D4465" s="55" t="str">
        <x:v>—</x:v>
      </x:c>
      <x:c r="E4465" s="55" t="inlineStr">
        <x:is>
          <x:t>聖化配方錦囊（網站未列地圖）；頂峰煉裝配方錦囊（網站未列地圖）；八歧大蛇（天照不二峰）</x:t>
        </x:is>
      </x:c>
    </x:row>
    <x:row r="4466" ht="15" customHeight="1">
      <x:c r="A4466" s="55" t="str">
        <x:v>麟鋼配方</x:v>
      </x:c>
      <x:c r="B4466" s="55" t="str">
        <x:v>—</x:v>
      </x:c>
      <x:c r="C4466" s="55" t="str">
        <x:v>—</x:v>
      </x:c>
      <x:c r="D4466" s="55" t="str">
        <x:v>—</x:v>
      </x:c>
      <x:c r="E4466" s="55" t="inlineStr">
        <x:is>
          <x:t>頂峰煉裝配方錦囊（網站未列地圖）；八歧大蛇（天照不二峰）；大顯身手錦囊（網站未列地圖）</x:t>
        </x:is>
      </x:c>
    </x:row>
    <x:row r="4467" ht="15" customHeight="1">
      <x:c r="A4467" s="55" t="str">
        <x:v>乾天武器配方</x:v>
      </x:c>
      <x:c r="B4467" s="55" t="str">
        <x:v>—</x:v>
      </x:c>
      <x:c r="C4467" s="55" t="str">
        <x:v>—</x:v>
      </x:c>
      <x:c r="D4467" s="55" t="str">
        <x:v>—</x:v>
      </x:c>
      <x:c r="E4467" s="55" t="inlineStr">
        <x:is>
          <x:t>神卦配方錦囊（網站未列地圖）；頂峰煉裝配方錦囊（網站未列地圖）</x:t>
        </x:is>
      </x:c>
    </x:row>
    <x:row r="4468" ht="15" customHeight="1">
      <x:c r="A4468" s="55" t="str">
        <x:v>坤元武器配方</x:v>
      </x:c>
      <x:c r="B4468" s="55" t="str">
        <x:v>—</x:v>
      </x:c>
      <x:c r="C4468" s="55" t="str">
        <x:v>—</x:v>
      </x:c>
      <x:c r="D4468" s="55" t="str">
        <x:v>—</x:v>
      </x:c>
      <x:c r="E4468" s="55" t="inlineStr">
        <x:is>
          <x:t>神卦配方錦囊（網站未列地圖）；頂峰煉裝配方錦囊（網站未列地圖）</x:t>
        </x:is>
      </x:c>
    </x:row>
    <x:row r="4469" ht="15" customHeight="1">
      <x:c r="A4469" s="55" t="str">
        <x:v>兌澤武器配方</x:v>
      </x:c>
      <x:c r="B4469" s="55" t="str">
        <x:v>—</x:v>
      </x:c>
      <x:c r="C4469" s="55" t="str">
        <x:v>—</x:v>
      </x:c>
      <x:c r="D4469" s="55" t="str">
        <x:v>—</x:v>
      </x:c>
      <x:c r="E4469" s="55" t="inlineStr">
        <x:is>
          <x:t>神卦配方錦囊（網站未列地圖）；頂峰煉裝配方錦囊（網站未列地圖）</x:t>
        </x:is>
      </x:c>
    </x:row>
    <x:row r="4470" ht="15" customHeight="1">
      <x:c r="A4470" s="55" t="str">
        <x:v>巽風武器配方</x:v>
      </x:c>
      <x:c r="B4470" s="55" t="str">
        <x:v>—</x:v>
      </x:c>
      <x:c r="C4470" s="55" t="str">
        <x:v>—</x:v>
      </x:c>
      <x:c r="D4470" s="55" t="str">
        <x:v>—</x:v>
      </x:c>
      <x:c r="E4470" s="55" t="inlineStr">
        <x:is>
          <x:t>神卦配方錦囊（網站未列地圖）；頂峰煉裝配方錦囊（網站未列地圖）</x:t>
        </x:is>
      </x:c>
    </x:row>
    <x:row r="4471" ht="30" customHeight="1">
      <x:c r="A4471" s="55" t="str">
        <x:v>聖禦配方</x:v>
      </x:c>
      <x:c r="B4471" s="55" t="str">
        <x:v>—</x:v>
      </x:c>
      <x:c r="C4471" s="55" t="str">
        <x:v>—</x:v>
      </x:c>
      <x:c r="D4471" s="55" t="str">
        <x:v>—</x:v>
      </x:c>
      <x:c r="E4471" s="55" t="inlineStr">
        <x:is>
          <x:t>頂峰煉裝配方錦囊（網站未列地圖）；夏月涼風錦囊（網站未列地圖）；藏龍錦囊（網站未列地圖）；開基立業錦囊（網站未列地圖）</x:t>
        </x:is>
      </x:c>
    </x:row>
    <x:row r="4472" ht="15" customHeight="1">
      <x:c r="A4472" s="55" t="str">
        <x:v>天守配方</x:v>
      </x:c>
      <x:c r="B4472" s="55" t="str">
        <x:v>—</x:v>
      </x:c>
      <x:c r="C4472" s="55" t="str">
        <x:v>—</x:v>
      </x:c>
      <x:c r="D4472" s="55" t="str">
        <x:v>—</x:v>
      </x:c>
      <x:c r="E4472" s="55" t="inlineStr">
        <x:is>
          <x:t>頂峰煉裝配方錦囊（網站未列地圖）；藏龍錦囊（網站未列地圖）；開基立業錦囊（網站未列地圖）</x:t>
        </x:is>
      </x:c>
    </x:row>
    <x:row r="4473" ht="45" customHeight="1">
      <x:c r="A4473" s="55" t="str">
        <x:v>神鋒配方</x:v>
      </x:c>
      <x:c r="B4473" s="55" t="str">
        <x:v>—</x:v>
      </x:c>
      <x:c r="C4473" s="55" t="str">
        <x:v>—</x:v>
      </x:c>
      <x:c r="D4473" s="55" t="str">
        <x:v>—</x:v>
      </x:c>
      <x:c r="E4473" s="55" t="inlineStr">
        <x:is>
          <x:t>聖武配方錦囊（網站未列地圖）；頂峰煉裝配方錦囊（網站未列地圖）；赤勒辛（萬岳聖峰）；劇鬼貝倫普因（大梵聖湖）；梵煞金陀烈瑪（香格里拉聖路）；闇天九龍蛇（神煉之間）；超生化骸（神煉之間）；金穹蒼龍（香格里拉神廟、天授之間）；幽空飛龍（網站未列地圖）</x:t>
        </x:is>
      </x:c>
    </x:row>
    <x:row r="4474" ht="45" customHeight="1">
      <x:c r="A4474" s="55" t="str">
        <x:v>仙識配方</x:v>
      </x:c>
      <x:c r="B4474" s="55" t="str">
        <x:v>—</x:v>
      </x:c>
      <x:c r="C4474" s="55" t="str">
        <x:v>—</x:v>
      </x:c>
      <x:c r="D4474" s="55" t="str">
        <x:v>—</x:v>
      </x:c>
      <x:c r="E4474" s="55" t="inlineStr">
        <x:is>
          <x:t>聖武配方錦囊（網站未列地圖）；頂峰煉裝配方錦囊（網站未列地圖）；禪鬼宗部斑（香格里拉聖路）；冥鬼提訥西（青藏高原）；魔蠹屍龍（神煉之間）；超生化骸（神煉之間）；金穹蒼龍（香格里拉神廟、天授之間）；幽空飛龍（網站未列地圖）</x:t>
        </x:is>
      </x:c>
    </x:row>
    <x:row r="4475" ht="15" customHeight="1">
      <x:c r="A4475" s="55" t="str">
        <x:v>凰炎武器配方</x:v>
      </x:c>
      <x:c r="B4475" s="55" t="str">
        <x:v>—</x:v>
      </x:c>
      <x:c r="C4475" s="55" t="str">
        <x:v>—</x:v>
      </x:c>
      <x:c r="D4475" s="55" t="str">
        <x:v>—</x:v>
      </x:c>
      <x:c r="E4475" s="55" t="inlineStr">
        <x:is>
          <x:t>神凰絕閻配方錦囊（網站未列地圖）；修仙真選配方錦囊（網站未列地圖）</x:t>
        </x:is>
      </x:c>
    </x:row>
    <x:row r="4476" ht="15" customHeight="1">
      <x:c r="A4476" s="55" t="str">
        <x:v>絕冰武器配方</x:v>
      </x:c>
      <x:c r="B4476" s="55" t="str">
        <x:v>—</x:v>
      </x:c>
      <x:c r="C4476" s="55" t="str">
        <x:v>—</x:v>
      </x:c>
      <x:c r="D4476" s="55" t="str">
        <x:v>—</x:v>
      </x:c>
      <x:c r="E4476" s="55" t="inlineStr">
        <x:is>
          <x:t>神凰絕閻配方錦囊（網站未列地圖）；修仙真選配方錦囊（網站未列地圖）</x:t>
        </x:is>
      </x:c>
    </x:row>
    <x:row r="4477" ht="15" customHeight="1">
      <x:c r="A4477" s="55" t="str">
        <x:v>神雷武器配方</x:v>
      </x:c>
      <x:c r="B4477" s="55" t="str">
        <x:v>—</x:v>
      </x:c>
      <x:c r="C4477" s="55" t="str">
        <x:v>—</x:v>
      </x:c>
      <x:c r="D4477" s="55" t="str">
        <x:v>—</x:v>
      </x:c>
      <x:c r="E4477" s="55" t="inlineStr">
        <x:is>
          <x:t>神凰絕閻配方錦囊（網站未列地圖）；修仙真選配方錦囊（網站未列地圖）</x:t>
        </x:is>
      </x:c>
    </x:row>
    <x:row r="4478" ht="15" customHeight="1">
      <x:c r="A4478" s="55" t="str">
        <x:v>閻尊武器配方</x:v>
      </x:c>
      <x:c r="B4478" s="55" t="str">
        <x:v>—</x:v>
      </x:c>
      <x:c r="C4478" s="55" t="str">
        <x:v>—</x:v>
      </x:c>
      <x:c r="D4478" s="55" t="str">
        <x:v>—</x:v>
      </x:c>
      <x:c r="E4478" s="55" t="inlineStr">
        <x:is>
          <x:t>神凰絕閻配方錦囊（網站未列地圖）；修仙真選配方錦囊（網站未列地圖）</x:t>
        </x:is>
      </x:c>
    </x:row>
    <x:row r="4479" ht="15" customHeight="1">
      <x:c r="A4479" s="55" t="str">
        <x:v>玄空賦法配方</x:v>
      </x:c>
      <x:c r="B4479" s="55" t="str">
        <x:v>—</x:v>
      </x:c>
      <x:c r="C4479" s="55" t="str">
        <x:v>—</x:v>
      </x:c>
      <x:c r="D4479" s="55" t="str">
        <x:v>—</x:v>
      </x:c>
      <x:c r="E4479" s="55" t="inlineStr">
        <x:is>
          <x:t>神凰絕閻配方錦囊（網站未列地圖）</x:t>
        </x:is>
      </x:c>
    </x:row>
    <x:row r="4480" ht="15" customHeight="1">
      <x:c r="A4480" s="55" t="str">
        <x:v>萬岳煉製配方</x:v>
      </x:c>
      <x:c r="B4480" s="55" t="str">
        <x:v>五派頂峰-天授神煉滅梵邪</x:v>
      </x:c>
      <x:c r="C4480" s="55" t="str">
        <x:v>—</x:v>
      </x:c>
      <x:c r="D4480" s="55" t="str">
        <x:v>—</x:v>
      </x:c>
      <x:c r="E4480" s="55" t="inlineStr">
        <x:is>
          <x:t>修仙真選配方錦囊（網站未列地圖）</x:t>
        </x:is>
      </x:c>
    </x:row>
    <x:row r="4481" ht="15" customHeight="1">
      <x:c r="A4481" s="55" t="str">
        <x:v>聖峰煉製配方</x:v>
      </x:c>
      <x:c r="B4481" s="55" t="str">
        <x:v>五派頂峰-天授神煉滅梵邪</x:v>
      </x:c>
      <x:c r="C4481" s="55" t="str">
        <x:v>—</x:v>
      </x:c>
      <x:c r="D4481" s="55" t="str">
        <x:v>—</x:v>
      </x:c>
      <x:c r="E4481" s="55" t="inlineStr">
        <x:is>
          <x:t>修仙真選配方錦囊（網站未列地圖）</x:t>
        </x:is>
      </x:c>
    </x:row>
    <x:row r="4482" ht="15" customHeight="1">
      <x:c r="A4482" s="55" t="str">
        <x:v>乾翰武器配方</x:v>
      </x:c>
      <x:c r="B4482" s="55" t="str">
        <x:v>—</x:v>
      </x:c>
      <x:c r="C4482" s="55" t="str">
        <x:v>—</x:v>
      </x:c>
      <x:c r="D4482" s="55" t="str">
        <x:v>—</x:v>
      </x:c>
      <x:c r="E4482" s="55" t="inlineStr">
        <x:is>
          <x:t>十全配方錦囊（網站未列地圖）</x:t>
        </x:is>
      </x:c>
    </x:row>
    <x:row r="4483" ht="15" customHeight="1">
      <x:c r="A4483" s="55" t="str">
        <x:v>坤界武器配方</x:v>
      </x:c>
      <x:c r="B4483" s="55" t="str">
        <x:v>—</x:v>
      </x:c>
      <x:c r="C4483" s="55" t="str">
        <x:v>—</x:v>
      </x:c>
      <x:c r="D4483" s="55" t="str">
        <x:v>—</x:v>
      </x:c>
      <x:c r="E4483" s="55" t="inlineStr">
        <x:is>
          <x:t>十全配方錦囊（網站未列地圖）</x:t>
        </x:is>
      </x:c>
    </x:row>
    <x:row r="4484" ht="15" customHeight="1">
      <x:c r="A4484" s="55" t="str">
        <x:v>兌濤武器配方</x:v>
      </x:c>
      <x:c r="B4484" s="55" t="str">
        <x:v>—</x:v>
      </x:c>
      <x:c r="C4484" s="55" t="str">
        <x:v>—</x:v>
      </x:c>
      <x:c r="D4484" s="55" t="str">
        <x:v>—</x:v>
      </x:c>
      <x:c r="E4484" s="55" t="inlineStr">
        <x:is>
          <x:t>十全配方錦囊（網站未列地圖）</x:t>
        </x:is>
      </x:c>
    </x:row>
    <x:row r="4485" ht="15" customHeight="1">
      <x:c r="A4485" s="55" t="str">
        <x:v>巽閃武器配方</x:v>
      </x:c>
      <x:c r="B4485" s="55" t="str">
        <x:v>—</x:v>
      </x:c>
      <x:c r="C4485" s="55" t="str">
        <x:v>—</x:v>
      </x:c>
      <x:c r="D4485" s="55" t="str">
        <x:v>—</x:v>
      </x:c>
      <x:c r="E4485" s="55" t="inlineStr">
        <x:is>
          <x:t>十全配方錦囊（網站未列地圖）</x:t>
        </x:is>
      </x:c>
    </x:row>
    <x:row r="4486" ht="15" customHeight="1">
      <x:c r="A4486" s="55" t="str">
        <x:v>皇鋒配方</x:v>
      </x:c>
      <x:c r="B4486" s="55" t="str">
        <x:v>—</x:v>
      </x:c>
      <x:c r="C4486" s="55" t="str">
        <x:v>—</x:v>
      </x:c>
      <x:c r="D4486" s="55" t="str">
        <x:v>—</x:v>
      </x:c>
      <x:c r="E4486" s="55" t="inlineStr">
        <x:is>
          <x:t>十全配方錦囊（網站未列地圖）</x:t>
        </x:is>
      </x:c>
    </x:row>
    <x:row r="4487" ht="15" customHeight="1">
      <x:c r="A4487" s="55" t="str">
        <x:v>帝氣配方</x:v>
      </x:c>
      <x:c r="B4487" s="55" t="str">
        <x:v>—</x:v>
      </x:c>
      <x:c r="C4487" s="55" t="str">
        <x:v>—</x:v>
      </x:c>
      <x:c r="D4487" s="55" t="str">
        <x:v>—</x:v>
      </x:c>
      <x:c r="E4487" s="55" t="inlineStr">
        <x:is>
          <x:t>十全配方錦囊（網站未列地圖）</x:t>
        </x:is>
      </x:c>
    </x:row>
    <x:row r="4488" ht="15" customHeight="1">
      <x:c r="A4488" s="55" t="str">
        <x:v>神禦配方</x:v>
      </x:c>
      <x:c r="B4488" s="55" t="str">
        <x:v>—</x:v>
      </x:c>
      <x:c r="C4488" s="55" t="str">
        <x:v>—</x:v>
      </x:c>
      <x:c r="D4488" s="55" t="str">
        <x:v>—</x:v>
      </x:c>
      <x:c r="E4488" s="55" t="inlineStr">
        <x:is>
          <x:t>十全配方錦囊（網站未列地圖）</x:t>
        </x:is>
      </x:c>
    </x:row>
    <x:row r="4489" ht="15" customHeight="1">
      <x:c r="A4489" s="55" t="str">
        <x:v>尊守配方</x:v>
      </x:c>
      <x:c r="B4489" s="55" t="str">
        <x:v>—</x:v>
      </x:c>
      <x:c r="C4489" s="55" t="str">
        <x:v>—</x:v>
      </x:c>
      <x:c r="D4489" s="55" t="str">
        <x:v>—</x:v>
      </x:c>
      <x:c r="E4489" s="55" t="inlineStr">
        <x:is>
          <x:t>十全配方錦囊（網站未列地圖）</x:t>
        </x:is>
      </x:c>
    </x:row>
    <x:row r="4490" ht="15" customHeight="1">
      <x:c r="A4490" s="55" t="str">
        <x:v>玄燦配方</x:v>
      </x:c>
      <x:c r="B4490" s="55" t="str">
        <x:v>—</x:v>
      </x:c>
      <x:c r="C4490" s="55" t="str">
        <x:v>—</x:v>
      </x:c>
      <x:c r="D4490" s="55" t="str">
        <x:v>—</x:v>
      </x:c>
      <x:c r="E4490" s="55" t="inlineStr">
        <x:is>
          <x:t>十全配方錦囊（網站未列地圖）</x:t>
        </x:is>
      </x:c>
    </x:row>
    <x:row r="4491" ht="15" customHeight="1">
      <x:c r="A4491" s="55" t="str">
        <x:v>虎爍配方</x:v>
      </x:c>
      <x:c r="B4491" s="55" t="str">
        <x:v>—</x:v>
      </x:c>
      <x:c r="C4491" s="55" t="str">
        <x:v>—</x:v>
      </x:c>
      <x:c r="D4491" s="55" t="str">
        <x:v>—</x:v>
      </x:c>
      <x:c r="E4491" s="55" t="inlineStr">
        <x:is>
          <x:t>十全配方錦囊（網站未列地圖）</x:t>
        </x:is>
      </x:c>
    </x:row>
    <x:row r="4492" ht="15" customHeight="1">
      <x:c r="A4492" s="55" t="str">
        <x:v>龍煌配方</x:v>
      </x:c>
      <x:c r="B4492" s="55" t="str">
        <x:v>—</x:v>
      </x:c>
      <x:c r="C4492" s="55" t="str">
        <x:v>—</x:v>
      </x:c>
      <x:c r="D4492" s="55" t="str">
        <x:v>—</x:v>
      </x:c>
      <x:c r="E4492" s="55" t="inlineStr">
        <x:is>
          <x:t>十全配方錦囊（網站未列地圖）</x:t>
        </x:is>
      </x:c>
    </x:row>
    <x:row r="4493" ht="15" customHeight="1">
      <x:c r="A4493" s="55" t="str">
        <x:v>鳳燁配方</x:v>
      </x:c>
      <x:c r="B4493" s="55" t="str">
        <x:v>—</x:v>
      </x:c>
      <x:c r="C4493" s="55" t="str">
        <x:v>—</x:v>
      </x:c>
      <x:c r="D4493" s="55" t="str">
        <x:v>—</x:v>
      </x:c>
      <x:c r="E4493" s="55" t="inlineStr">
        <x:is>
          <x:t>十全配方錦囊（網站未列地圖）</x:t>
        </x:is>
      </x:c>
    </x:row>
    <x:row r="4494" ht="15" customHeight="1">
      <x:c r="A4494" s="55" t="str">
        <x:v>麟燿配方</x:v>
      </x:c>
      <x:c r="B4494" s="55" t="str">
        <x:v>—</x:v>
      </x:c>
      <x:c r="C4494" s="55" t="str">
        <x:v>—</x:v>
      </x:c>
      <x:c r="D4494" s="55" t="str">
        <x:v>—</x:v>
      </x:c>
      <x:c r="E4494" s="55" t="inlineStr">
        <x:is>
          <x:t>十全配方錦囊（網站未列地圖）</x:t>
        </x:is>
      </x:c>
    </x:row>
    <x:row r="4495" ht="15" customHeight="1">
      <x:c r="A4495" s="55" t="str">
        <x:v>乾極武器配方</x:v>
      </x:c>
      <x:c r="B4495" s="55" t="str">
        <x:v>—</x:v>
      </x:c>
      <x:c r="C4495" s="55" t="str">
        <x:v>—</x:v>
      </x:c>
      <x:c r="D4495" s="55" t="str">
        <x:v>—</x:v>
      </x:c>
      <x:c r="E4495" s="55" t="inlineStr">
        <x:is>
          <x:t>教宗配方錦囊（網站未列地圖）</x:t>
        </x:is>
      </x:c>
    </x:row>
    <x:row r="4496" ht="15" customHeight="1">
      <x:c r="A4496" s="55" t="str">
        <x:v>坤宇武器配方</x:v>
      </x:c>
      <x:c r="B4496" s="55" t="str">
        <x:v>—</x:v>
      </x:c>
      <x:c r="C4496" s="55" t="str">
        <x:v>—</x:v>
      </x:c>
      <x:c r="D4496" s="55" t="str">
        <x:v>—</x:v>
      </x:c>
      <x:c r="E4496" s="55" t="inlineStr">
        <x:is>
          <x:t>教宗配方錦囊（網站未列地圖）</x:t>
        </x:is>
      </x:c>
    </x:row>
    <x:row r="4497" ht="15" customHeight="1">
      <x:c r="A4497" s="55" t="str">
        <x:v>兌洋武器配方</x:v>
      </x:c>
      <x:c r="B4497" s="55" t="str">
        <x:v>—</x:v>
      </x:c>
      <x:c r="C4497" s="55" t="str">
        <x:v>—</x:v>
      </x:c>
      <x:c r="D4497" s="55" t="str">
        <x:v>—</x:v>
      </x:c>
      <x:c r="E4497" s="55" t="inlineStr">
        <x:is>
          <x:t>教宗配方錦囊（網站未列地圖）</x:t>
        </x:is>
      </x:c>
    </x:row>
    <x:row r="4498" ht="15" customHeight="1">
      <x:c r="A4498" s="55" t="str">
        <x:v>巽宙武器配方</x:v>
      </x:c>
      <x:c r="B4498" s="55" t="str">
        <x:v>—</x:v>
      </x:c>
      <x:c r="C4498" s="55" t="str">
        <x:v>—</x:v>
      </x:c>
      <x:c r="D4498" s="55" t="str">
        <x:v>—</x:v>
      </x:c>
      <x:c r="E4498" s="55" t="inlineStr">
        <x:is>
          <x:t>教宗配方錦囊（網站未列地圖）</x:t>
        </x:is>
      </x:c>
    </x:row>
    <x:row r="4499" ht="15" customHeight="1">
      <x:c r="A4499" s="55" t="str">
        <x:v>究鋒配方</x:v>
      </x:c>
      <x:c r="B4499" s="55" t="str">
        <x:v>—</x:v>
      </x:c>
      <x:c r="C4499" s="55" t="str">
        <x:v>—</x:v>
      </x:c>
      <x:c r="D4499" s="55" t="str">
        <x:v>—</x:v>
      </x:c>
      <x:c r="E4499" s="55" t="inlineStr">
        <x:is>
          <x:t>教宗配方錦囊（網站未列地圖）</x:t>
        </x:is>
      </x:c>
    </x:row>
    <x:row r="4500" ht="15" customHeight="1">
      <x:c r="A4500" s="55" t="str">
        <x:v>浩氣配方</x:v>
      </x:c>
      <x:c r="B4500" s="55" t="str">
        <x:v>—</x:v>
      </x:c>
      <x:c r="C4500" s="55" t="str">
        <x:v>—</x:v>
      </x:c>
      <x:c r="D4500" s="55" t="str">
        <x:v>—</x:v>
      </x:c>
      <x:c r="E4500" s="55" t="inlineStr">
        <x:is>
          <x:t>教宗配方錦囊（網站未列地圖）</x:t>
        </x:is>
      </x:c>
    </x:row>
    <x:row r="4501" ht="15" customHeight="1">
      <x:c r="A4501" s="55" t="str">
        <x:v>奇禦配方</x:v>
      </x:c>
      <x:c r="B4501" s="55" t="str">
        <x:v>—</x:v>
      </x:c>
      <x:c r="C4501" s="55" t="str">
        <x:v>—</x:v>
      </x:c>
      <x:c r="D4501" s="55" t="str">
        <x:v>—</x:v>
      </x:c>
      <x:c r="E4501" s="55" t="inlineStr">
        <x:is>
          <x:t>帝國配方錦囊（網站未列地圖）</x:t>
        </x:is>
      </x:c>
    </x:row>
    <x:row r="4502" ht="15" customHeight="1">
      <x:c r="A4502" s="55" t="str">
        <x:v>幻守配方</x:v>
      </x:c>
      <x:c r="B4502" s="55" t="str">
        <x:v>—</x:v>
      </x:c>
      <x:c r="C4502" s="55" t="str">
        <x:v>—</x:v>
      </x:c>
      <x:c r="D4502" s="55" t="str">
        <x:v>—</x:v>
      </x:c>
      <x:c r="E4502" s="55" t="inlineStr">
        <x:is>
          <x:t>帝國配方錦囊（網站未列地圖）</x:t>
        </x:is>
      </x:c>
    </x:row>
    <x:row r="4503" ht="15" customHeight="1">
      <x:c r="A4503" s="55" t="str">
        <x:v>玄聖配方</x:v>
      </x:c>
      <x:c r="B4503" s="55" t="str">
        <x:v>—</x:v>
      </x:c>
      <x:c r="C4503" s="55" t="str">
        <x:v>—</x:v>
      </x:c>
      <x:c r="D4503" s="55" t="str">
        <x:v>—</x:v>
      </x:c>
      <x:c r="E4503" s="55" t="inlineStr">
        <x:is>
          <x:t>帝國配方錦囊（網站未列地圖）</x:t>
        </x:is>
      </x:c>
    </x:row>
    <x:row r="4504" ht="15" customHeight="1">
      <x:c r="A4504" s="55" t="str">
        <x:v>虎聖配方</x:v>
      </x:c>
      <x:c r="B4504" s="55" t="str">
        <x:v>—</x:v>
      </x:c>
      <x:c r="C4504" s="55" t="str">
        <x:v>—</x:v>
      </x:c>
      <x:c r="D4504" s="55" t="str">
        <x:v>—</x:v>
      </x:c>
      <x:c r="E4504" s="55" t="inlineStr">
        <x:is>
          <x:t>帝國配方錦囊（網站未列地圖）</x:t>
        </x:is>
      </x:c>
    </x:row>
    <x:row r="4505" ht="15" customHeight="1">
      <x:c r="A4505" s="55" t="str">
        <x:v>龍聖配方</x:v>
      </x:c>
      <x:c r="B4505" s="55" t="str">
        <x:v>—</x:v>
      </x:c>
      <x:c r="C4505" s="55" t="str">
        <x:v>—</x:v>
      </x:c>
      <x:c r="D4505" s="55" t="str">
        <x:v>—</x:v>
      </x:c>
      <x:c r="E4505" s="55" t="inlineStr">
        <x:is>
          <x:t>帝國配方錦囊（網站未列地圖）</x:t>
        </x:is>
      </x:c>
    </x:row>
    <x:row r="4506" ht="15" customHeight="1">
      <x:c r="A4506" s="55" t="str">
        <x:v>鳳聖配方</x:v>
      </x:c>
      <x:c r="B4506" s="55" t="str">
        <x:v>—</x:v>
      </x:c>
      <x:c r="C4506" s="55" t="str">
        <x:v>—</x:v>
      </x:c>
      <x:c r="D4506" s="55" t="str">
        <x:v>—</x:v>
      </x:c>
      <x:c r="E4506" s="55" t="inlineStr">
        <x:is>
          <x:t>帝國配方錦囊（網站未列地圖）</x:t>
        </x:is>
      </x:c>
    </x:row>
    <x:row r="4507" ht="15" customHeight="1">
      <x:c r="A4507" s="55" t="str">
        <x:v>麟聖配方</x:v>
      </x:c>
      <x:c r="B4507" s="55" t="str">
        <x:v>—</x:v>
      </x:c>
      <x:c r="C4507" s="55" t="str">
        <x:v>—</x:v>
      </x:c>
      <x:c r="D4507" s="55" t="str">
        <x:v>—</x:v>
      </x:c>
      <x:c r="E4507" s="55" t="inlineStr">
        <x:is>
          <x:t>帝國配方錦囊（網站未列地圖）</x:t>
        </x:is>
      </x:c>
    </x:row>
    <x:row r="4508" ht="15" customHeight="1">
      <x:c r="A4508" s="55" t="str">
        <x:v>俠鋒配方</x:v>
      </x:c>
      <x:c r="B4508" s="55" t="str">
        <x:v>—</x:v>
      </x:c>
      <x:c r="C4508" s="55" t="str">
        <x:v>—</x:v>
      </x:c>
      <x:c r="D4508" s="55" t="str">
        <x:v>—</x:v>
      </x:c>
      <x:c r="E4508" s="55" t="inlineStr">
        <x:is>
          <x:t>修仙真選配方錦囊（網站未列地圖）；亡邪夸父戰尸（異時界‧葬日沼北）</x:t>
        </x:is>
      </x:c>
    </x:row>
    <x:row r="4509" ht="15" customHeight="1">
      <x:c r="A4509" s="55" t="str">
        <x:v>俠凝配方</x:v>
      </x:c>
      <x:c r="B4509" s="55" t="str">
        <x:v>—</x:v>
      </x:c>
      <x:c r="C4509" s="55" t="str">
        <x:v>—</x:v>
      </x:c>
      <x:c r="D4509" s="55" t="str">
        <x:v>—</x:v>
      </x:c>
      <x:c r="E4509" s="55" t="inlineStr">
        <x:is>
          <x:t>修仙真選配方錦囊（網站未列地圖）；亡邪巨靈殭魔（異時界‧葬日沼北）</x:t>
        </x:is>
      </x:c>
    </x:row>
    <x:row r="4510" ht="15" customHeight="1">
      <x:c r="A4510" s="55" t="str">
        <x:v>俠禦配方</x:v>
      </x:c>
      <x:c r="B4510" s="55" t="str">
        <x:v>—</x:v>
      </x:c>
      <x:c r="C4510" s="55" t="str">
        <x:v>—</x:v>
      </x:c>
      <x:c r="D4510" s="55" t="str">
        <x:v>—</x:v>
      </x:c>
      <x:c r="E4510" s="55" t="inlineStr">
        <x:is>
          <x:t>修仙真選配方錦囊（網站未列地圖）；亡邪阿修羅鬼（異時界‧葬日沼北）</x:t>
        </x:is>
      </x:c>
    </x:row>
    <x:row r="4511" ht="15" customHeight="1">
      <x:c r="A4511" s="55" t="str">
        <x:v>俠守配方</x:v>
      </x:c>
      <x:c r="B4511" s="55" t="str">
        <x:v>—</x:v>
      </x:c>
      <x:c r="C4511" s="55" t="str">
        <x:v>—</x:v>
      </x:c>
      <x:c r="D4511" s="55" t="str">
        <x:v>—</x:v>
      </x:c>
      <x:c r="E4511" s="55" t="inlineStr">
        <x:is>
          <x:t>修仙真選配方錦囊（網站未列地圖）；食尸巨鱷（異時界‧葬日沼北）</x:t>
        </x:is>
      </x:c>
    </x:row>
    <x:row r="4512" ht="30" customHeight="1">
      <x:c r="A4512" s="55" t="str">
        <x:v>仙鋒配方</x:v>
      </x:c>
      <x:c r="B4512" s="55" t="str">
        <x:v>—</x:v>
      </x:c>
      <x:c r="C4512" s="55" t="str">
        <x:v>—</x:v>
      </x:c>
      <x:c r="D4512" s="55" t="str">
        <x:v>—</x:v>
      </x:c>
      <x:c r="E4512" s="55" t="inlineStr">
        <x:is>
          <x:t>仙天配方錦囊（網站未列地圖）；修仙真選配方錦囊（網站未列地圖）；太古天風‧強（殘雲天境）；亡邪土行骸（異時界‧葬日沼北）</x:t>
        </x:is>
      </x:c>
    </x:row>
    <x:row r="4513" ht="30" customHeight="1">
      <x:c r="A4513" s="55" t="str">
        <x:v>仙凝配方</x:v>
      </x:c>
      <x:c r="B4513" s="55" t="str">
        <x:v>—</x:v>
      </x:c>
      <x:c r="C4513" s="55" t="str">
        <x:v>—</x:v>
      </x:c>
      <x:c r="D4513" s="55" t="str">
        <x:v>—</x:v>
      </x:c>
      <x:c r="E4513" s="55" t="inlineStr">
        <x:is>
          <x:t>仙天配方錦囊（網站未列地圖）；修仙真選配方錦囊（網站未列地圖）；太古水靈‧強（殘雲天境）；亡邪刑天戰骸（異時界‧葬日沼北）</x:t>
        </x:is>
      </x:c>
    </x:row>
    <x:row r="4514" ht="15" customHeight="1">
      <x:c r="A4514" s="55" t="str">
        <x:v>仙禦配方</x:v>
      </x:c>
      <x:c r="B4514" s="55" t="str">
        <x:v>—</x:v>
      </x:c>
      <x:c r="C4514" s="55" t="str">
        <x:v>—</x:v>
      </x:c>
      <x:c r="D4514" s="55" t="str">
        <x:v>—</x:v>
      </x:c>
      <x:c r="E4514" s="55" t="inlineStr">
        <x:is>
          <x:t>仙天配方錦囊（網站未列地圖）；修仙真選配方錦囊（網站未列地圖）；亡邪鷹族喪兵（異時界‧葬日沼北）</x:t>
        </x:is>
      </x:c>
    </x:row>
    <x:row r="4515" ht="15" customHeight="1">
      <x:c r="A4515" s="55" t="str">
        <x:v>仙守配方</x:v>
      </x:c>
      <x:c r="B4515" s="55" t="str">
        <x:v>—</x:v>
      </x:c>
      <x:c r="C4515" s="55" t="str">
        <x:v>—</x:v>
      </x:c>
      <x:c r="D4515" s="55" t="str">
        <x:v>—</x:v>
      </x:c>
      <x:c r="E4515" s="55" t="inlineStr">
        <x:is>
          <x:t>仙天配方錦囊（網站未列地圖）；修仙真選配方錦囊（網站未列地圖）；亡邪百眼死巫（異時界‧葬日沼北）</x:t>
        </x:is>
      </x:c>
    </x:row>
    <x:row r="4516" ht="15" customHeight="1">
      <x:c r="A4516" s="55" t="str">
        <x:v>燼滅武器配方</x:v>
      </x:c>
      <x:c r="B4516" s="55" t="str">
        <x:v>—</x:v>
      </x:c>
      <x:c r="C4516" s="55" t="str">
        <x:v>—</x:v>
      </x:c>
      <x:c r="D4516" s="55" t="str">
        <x:v>—</x:v>
      </x:c>
      <x:c r="E4516" s="55" t="inlineStr">
        <x:is>
          <x:t>太武屬性配方錦囊（網站未列地圖）</x:t>
        </x:is>
      </x:c>
    </x:row>
    <x:row r="4517" ht="15" customHeight="1">
      <x:c r="A4517" s="55" t="str">
        <x:v>凜荒武器配方</x:v>
      </x:c>
      <x:c r="B4517" s="55" t="str">
        <x:v>—</x:v>
      </x:c>
      <x:c r="C4517" s="55" t="str">
        <x:v>—</x:v>
      </x:c>
      <x:c r="D4517" s="55" t="str">
        <x:v>—</x:v>
      </x:c>
      <x:c r="E4517" s="55" t="inlineStr">
        <x:is>
          <x:t>太武屬性配方錦囊（網站未列地圖）</x:t>
        </x:is>
      </x:c>
    </x:row>
    <x:row r="4518" ht="15" customHeight="1">
      <x:c r="A4518" s="55" t="str">
        <x:v>殛閃武器配方</x:v>
      </x:c>
      <x:c r="B4518" s="55" t="str">
        <x:v>—</x:v>
      </x:c>
      <x:c r="C4518" s="55" t="str">
        <x:v>—</x:v>
      </x:c>
      <x:c r="D4518" s="55" t="str">
        <x:v>—</x:v>
      </x:c>
      <x:c r="E4518" s="55" t="inlineStr">
        <x:is>
          <x:t>太武屬性配方錦囊（網站未列地圖）</x:t>
        </x:is>
      </x:c>
    </x:row>
    <x:row r="4519" ht="15" customHeight="1">
      <x:c r="A4519" s="55" t="str">
        <x:v>闇淵武器配方</x:v>
      </x:c>
      <x:c r="B4519" s="55" t="str">
        <x:v>—</x:v>
      </x:c>
      <x:c r="C4519" s="55" t="str">
        <x:v>—</x:v>
      </x:c>
      <x:c r="D4519" s="55" t="str">
        <x:v>—</x:v>
      </x:c>
      <x:c r="E4519" s="55" t="inlineStr">
        <x:is>
          <x:t>太武屬性配方錦囊（網站未列地圖）</x:t>
        </x:is>
      </x:c>
    </x:row>
    <x:row r="4520" ht="15" customHeight="1">
      <x:c r="A4520" s="55" t="str">
        <x:v>光世賦法配方</x:v>
      </x:c>
      <x:c r="B4520" s="55" t="str">
        <x:v>—</x:v>
      </x:c>
      <x:c r="C4520" s="55" t="str">
        <x:v>—</x:v>
      </x:c>
      <x:c r="D4520" s="55" t="str">
        <x:v>—</x:v>
      </x:c>
      <x:c r="E4520" s="55" t="inlineStr">
        <x:is>
          <x:t>太武屬性配方錦囊（網站未列地圖）</x:t>
        </x:is>
      </x:c>
    </x:row>
    <x:row r="4521" ht="15" customHeight="1">
      <x:c r="A4521" s="55" t="str">
        <x:v>瑆痕配方</x:v>
      </x:c>
      <x:c r="B4521" s="55" t="str">
        <x:v>—</x:v>
      </x:c>
      <x:c r="C4521" s="55" t="str">
        <x:v>—</x:v>
      </x:c>
      <x:c r="D4521" s="55" t="str">
        <x:v>—</x:v>
      </x:c>
      <x:c r="E4521" s="55" t="inlineStr">
        <x:is>
          <x:t>星界配方錦囊（網站未列地圖）</x:t>
        </x:is>
      </x:c>
    </x:row>
    <x:row r="4522" ht="15" customHeight="1">
      <x:c r="A4522" s="55" t="str">
        <x:v>瑆馳配方</x:v>
      </x:c>
      <x:c r="B4522" s="55" t="str">
        <x:v>—</x:v>
      </x:c>
      <x:c r="C4522" s="55" t="str">
        <x:v>—</x:v>
      </x:c>
      <x:c r="D4522" s="55" t="str">
        <x:v>—</x:v>
      </x:c>
      <x:c r="E4522" s="55" t="inlineStr">
        <x:is>
          <x:t>星界配方錦囊（網站未列地圖）</x:t>
        </x:is>
      </x:c>
    </x:row>
    <x:row r="4523" ht="15" customHeight="1">
      <x:c r="A4523" s="55" t="str">
        <x:v>瑆蘊配方</x:v>
      </x:c>
      <x:c r="B4523" s="55" t="str">
        <x:v>—</x:v>
      </x:c>
      <x:c r="C4523" s="55" t="str">
        <x:v>—</x:v>
      </x:c>
      <x:c r="D4523" s="55" t="str">
        <x:v>—</x:v>
      </x:c>
      <x:c r="E4523" s="55" t="inlineStr">
        <x:is>
          <x:t>星界配方錦囊（網站未列地圖）</x:t>
        </x:is>
      </x:c>
    </x:row>
    <x:row r="4524" ht="15" customHeight="1">
      <x:c r="A4524" s="55" t="str">
        <x:v>昴鎮配方</x:v>
      </x:c>
      <x:c r="B4524" s="55" t="str">
        <x:v>—</x:v>
      </x:c>
      <x:c r="C4524" s="55" t="str">
        <x:v>—</x:v>
      </x:c>
      <x:c r="D4524" s="55" t="str">
        <x:v>—</x:v>
      </x:c>
      <x:c r="E4524" s="55" t="inlineStr">
        <x:is>
          <x:t>星界配方錦囊（網站未列地圖）</x:t>
        </x:is>
      </x:c>
    </x:row>
    <x:row r="4525" ht="15" customHeight="1">
      <x:c r="A4525" s="55" t="str">
        <x:v>昴諭配方</x:v>
      </x:c>
      <x:c r="B4525" s="55" t="str">
        <x:v>—</x:v>
      </x:c>
      <x:c r="C4525" s="55" t="str">
        <x:v>—</x:v>
      </x:c>
      <x:c r="D4525" s="55" t="str">
        <x:v>—</x:v>
      </x:c>
      <x:c r="E4525" s="55" t="inlineStr">
        <x:is>
          <x:t>星界配方錦囊（網站未列地圖）</x:t>
        </x:is>
      </x:c>
    </x:row>
    <x:row r="4526" ht="15" customHeight="1">
      <x:c r="A4526" s="55" t="str">
        <x:v>熒鎮配方</x:v>
      </x:c>
      <x:c r="B4526" s="55" t="str">
        <x:v>—</x:v>
      </x:c>
      <x:c r="C4526" s="55" t="str">
        <x:v>—</x:v>
      </x:c>
      <x:c r="D4526" s="55" t="str">
        <x:v>—</x:v>
      </x:c>
      <x:c r="E4526" s="55" t="inlineStr">
        <x:is>
          <x:t>星界配方錦囊（網站未列地圖）</x:t>
        </x:is>
      </x:c>
    </x:row>
    <x:row r="4527" ht="15" customHeight="1">
      <x:c r="A4527" s="55" t="str">
        <x:v>熒諭配方</x:v>
      </x:c>
      <x:c r="B4527" s="55" t="str">
        <x:v>—</x:v>
      </x:c>
      <x:c r="C4527" s="55" t="str">
        <x:v>—</x:v>
      </x:c>
      <x:c r="D4527" s="55" t="str">
        <x:v>—</x:v>
      </x:c>
      <x:c r="E4527" s="55" t="inlineStr">
        <x:is>
          <x:t>星界配方錦囊（網站未列地圖）</x:t>
        </x:is>
      </x:c>
    </x:row>
    <x:row r="4528" ht="15" customHeight="1">
      <x:c r="A4528" s="55" t="str">
        <x:v>顥鎮配方</x:v>
      </x:c>
      <x:c r="B4528" s="55" t="str">
        <x:v>—</x:v>
      </x:c>
      <x:c r="C4528" s="55" t="str">
        <x:v>—</x:v>
      </x:c>
      <x:c r="D4528" s="55" t="str">
        <x:v>—</x:v>
      </x:c>
      <x:c r="E4528" s="55" t="inlineStr">
        <x:is>
          <x:t>星界配方錦囊（網站未列地圖）</x:t>
        </x:is>
      </x:c>
    </x:row>
    <x:row r="4529" ht="15" customHeight="1">
      <x:c r="A4529" s="55" t="str">
        <x:v>顥諭配方</x:v>
      </x:c>
      <x:c r="B4529" s="55" t="str">
        <x:v>—</x:v>
      </x:c>
      <x:c r="C4529" s="55" t="str">
        <x:v>—</x:v>
      </x:c>
      <x:c r="D4529" s="55" t="str">
        <x:v>—</x:v>
      </x:c>
      <x:c r="E4529" s="55" t="inlineStr">
        <x:is>
          <x:t>星界配方錦囊（網站未列地圖）</x:t>
        </x:is>
      </x:c>
    </x:row>
    <x:row r="4530" ht="15" customHeight="1">
      <x:c r="A4530" s="55" t="str">
        <x:v>璇鎮配方</x:v>
      </x:c>
      <x:c r="B4530" s="55" t="str">
        <x:v>—</x:v>
      </x:c>
      <x:c r="C4530" s="55" t="str">
        <x:v>—</x:v>
      </x:c>
      <x:c r="D4530" s="55" t="str">
        <x:v>—</x:v>
      </x:c>
      <x:c r="E4530" s="55" t="inlineStr">
        <x:is>
          <x:t>星界配方錦囊（網站未列地圖）</x:t>
        </x:is>
      </x:c>
    </x:row>
    <x:row r="4531" ht="15" customHeight="1">
      <x:c r="A4531" s="55" t="str">
        <x:v>璇諭配方</x:v>
      </x:c>
      <x:c r="B4531" s="55" t="str">
        <x:v>—</x:v>
      </x:c>
      <x:c r="C4531" s="55" t="str">
        <x:v>—</x:v>
      </x:c>
      <x:c r="D4531" s="55" t="str">
        <x:v>—</x:v>
      </x:c>
      <x:c r="E4531" s="55" t="inlineStr">
        <x:is>
          <x:t>星界配方錦囊（網站未列地圖）</x:t>
        </x:is>
      </x:c>
    </x:row>
    <x:row r="4532" ht="60" customHeight="1">
      <x:c r="A4532" s="55" t="str">
        <x:v>剛朕配方</x:v>
      </x:c>
      <x:c r="B4532" s="55" t="str">
        <x:v>—</x:v>
      </x:c>
      <x:c r="C4532" s="55" t="str">
        <x:v>火雲洞府特殊商人、蠱毒洞府特殊商人、怒雪洞府特殊商人、蒼狼大營特殊商人、古北大營特殊商人、統萬大營特殊商人</x:v>
      </x:c>
      <x:c r="D4532" s="55" t="str">
        <x:v>—</x:v>
      </x:c>
      <x:c r="E4532" s="55" t="inlineStr">
        <x:is>
          <x:t>—</x:t>
        </x:is>
      </x:c>
    </x:row>
    <x:row r="4533" ht="15" customHeight="1">
      <x:c r="A4533" s="55" t="str">
        <x:v>武朕配方</x:v>
      </x:c>
      <x:c r="B4533" s="55" t="str">
        <x:v>—</x:v>
      </x:c>
      <x:c r="C4533" s="55" t="str">
        <x:v>—</x:v>
      </x:c>
      <x:c r="D4533" s="55" t="str">
        <x:v>—</x:v>
      </x:c>
      <x:c r="E4533" s="55" t="inlineStr">
        <x:is>
          <x:t>七宗配方錦囊（網站未列地圖）</x:t>
        </x:is>
      </x:c>
    </x:row>
    <x:row r="4534" ht="15" customHeight="1">
      <x:c r="A4534" s="55" t="str">
        <x:v>慧朕配方</x:v>
      </x:c>
      <x:c r="B4534" s="55" t="str">
        <x:v>—</x:v>
      </x:c>
      <x:c r="C4534" s="55" t="str">
        <x:v>—</x:v>
      </x:c>
      <x:c r="D4534" s="55" t="str">
        <x:v>—</x:v>
      </x:c>
      <x:c r="E4534" s="55" t="inlineStr">
        <x:is>
          <x:t>七宗配方錦囊（網站未列地圖）</x:t>
        </x:is>
      </x:c>
    </x:row>
    <x:row r="4535" ht="15" customHeight="1">
      <x:c r="A4535" s="55" t="str">
        <x:v>明朕配方</x:v>
      </x:c>
      <x:c r="B4535" s="55" t="str">
        <x:v>—</x:v>
      </x:c>
      <x:c r="C4535" s="55" t="str">
        <x:v>—</x:v>
      </x:c>
      <x:c r="D4535" s="55" t="str">
        <x:v>—</x:v>
      </x:c>
      <x:c r="E4535" s="55" t="inlineStr">
        <x:is>
          <x:t>七宗配方錦囊（網站未列地圖）</x:t>
        </x:is>
      </x:c>
    </x:row>
    <x:row r="4536" ht="15" customHeight="1">
      <x:c r="A4536" s="55" t="str">
        <x:v>剛龑配方</x:v>
      </x:c>
      <x:c r="B4536" s="55" t="str">
        <x:v>—</x:v>
      </x:c>
      <x:c r="C4536" s="55" t="str">
        <x:v>—</x:v>
      </x:c>
      <x:c r="D4536" s="55" t="str">
        <x:v>—</x:v>
      </x:c>
      <x:c r="E4536" s="55" t="inlineStr">
        <x:is>
          <x:t>七宗配方錦囊（網站未列地圖）</x:t>
        </x:is>
      </x:c>
    </x:row>
    <x:row r="4537" ht="15" customHeight="1">
      <x:c r="A4537" s="55" t="str">
        <x:v>武龑配方</x:v>
      </x:c>
      <x:c r="B4537" s="55" t="str">
        <x:v>—</x:v>
      </x:c>
      <x:c r="C4537" s="55" t="str">
        <x:v>—</x:v>
      </x:c>
      <x:c r="D4537" s="55" t="str">
        <x:v>—</x:v>
      </x:c>
      <x:c r="E4537" s="55" t="inlineStr">
        <x:is>
          <x:t>七宗配方錦囊（網站未列地圖）</x:t>
        </x:is>
      </x:c>
    </x:row>
    <x:row r="4538" ht="15" customHeight="1">
      <x:c r="A4538" s="55" t="str">
        <x:v>慧龑配方</x:v>
      </x:c>
      <x:c r="B4538" s="55" t="str">
        <x:v>—</x:v>
      </x:c>
      <x:c r="C4538" s="55" t="str">
        <x:v>—</x:v>
      </x:c>
      <x:c r="D4538" s="55" t="str">
        <x:v>—</x:v>
      </x:c>
      <x:c r="E4538" s="55" t="inlineStr">
        <x:is>
          <x:t>七宗配方錦囊（網站未列地圖）</x:t>
        </x:is>
      </x:c>
    </x:row>
    <x:row r="4539" ht="15" customHeight="1">
      <x:c r="A4539" s="55" t="str">
        <x:v>明龑配方</x:v>
      </x:c>
      <x:c r="B4539" s="55" t="str">
        <x:v>—</x:v>
      </x:c>
      <x:c r="C4539" s="55" t="str">
        <x:v>—</x:v>
      </x:c>
      <x:c r="D4539" s="55" t="str">
        <x:v>—</x:v>
      </x:c>
      <x:c r="E4539" s="55" t="inlineStr">
        <x:is>
          <x:t>七宗配方錦囊（網站未列地圖）</x:t>
        </x:is>
      </x:c>
    </x:row>
    <x:row r="4540" ht="30" customHeight="1">
      <x:c r="A4540" s="55" t="str">
        <x:v>皇龍虹鉻配方</x:v>
      </x:c>
      <x:c r="B4540" s="55" t="str">
        <x:v>—</x:v>
      </x:c>
      <x:c r="C4540" s="55" t="str">
        <x:v>—</x:v>
      </x:c>
      <x:c r="D4540" s="55" t="str">
        <x:v>—</x:v>
      </x:c>
      <x:c r="E4540" s="55" t="inlineStr">
        <x:is>
          <x:t>複合獅人（龍池大社）；合成象人（桃谷縱道）；原碼改造機兵（王統新市）；基改戰兵BJL（風竹塹、龍池大社）；太古妖泥（葭雲廣原）；方舟鐵熊（南瞻聖地）；衛塔戰偶（終末之塔第131層、終末之塔第132層）</x:t>
        </x:is>
      </x:c>
    </x:row>
    <x:row r="4541" ht="15" customHeight="1">
      <x:c r="A4541" s="55" t="str">
        <x:v>體質宇核配方</x:v>
      </x:c>
      <x:c r="B4541" s="55" t="str">
        <x:v>—</x:v>
      </x:c>
      <x:c r="C4541" s="55" t="str">
        <x:v>—</x:v>
      </x:c>
      <x:c r="D4541" s="55" t="str">
        <x:v>—</x:v>
      </x:c>
      <x:c r="E4541" s="55" t="inlineStr">
        <x:is>
          <x:t>—</x:t>
        </x:is>
      </x:c>
    </x:row>
    <x:row r="4542" ht="15" customHeight="1">
      <x:c r="A4542" s="55" t="str">
        <x:v>力度宇核配方</x:v>
      </x:c>
      <x:c r="B4542" s="55" t="str">
        <x:v>—</x:v>
      </x:c>
      <x:c r="C4542" s="55" t="str">
        <x:v>—</x:v>
      </x:c>
      <x:c r="D4542" s="55" t="str">
        <x:v>—</x:v>
      </x:c>
      <x:c r="E4542" s="55" t="inlineStr">
        <x:is>
          <x:t>—</x:t>
        </x:is>
      </x:c>
    </x:row>
    <x:row r="4543" ht="15" customHeight="1">
      <x:c r="A4543" s="55" t="str">
        <x:v>智能宇核配方</x:v>
      </x:c>
      <x:c r="B4543" s="55" t="str">
        <x:v>—</x:v>
      </x:c>
      <x:c r="C4543" s="55" t="str">
        <x:v>—</x:v>
      </x:c>
      <x:c r="D4543" s="55" t="str">
        <x:v>—</x:v>
      </x:c>
      <x:c r="E4543" s="55" t="inlineStr">
        <x:is>
          <x:t>—</x:t>
        </x:is>
      </x:c>
    </x:row>
    <x:row r="4544" ht="15" customHeight="1">
      <x:c r="A4544" s="55" t="str">
        <x:v>敏迅宇核配方</x:v>
      </x:c>
      <x:c r="B4544" s="55" t="str">
        <x:v>—</x:v>
      </x:c>
      <x:c r="C4544" s="55" t="str">
        <x:v>—</x:v>
      </x:c>
      <x:c r="D4544" s="55" t="str">
        <x:v>—</x:v>
      </x:c>
      <x:c r="E4544" s="55" t="inlineStr">
        <x:is>
          <x:t>—</x:t>
        </x:is>
      </x:c>
    </x:row>
    <x:row r="4545" ht="15" customHeight="1">
      <x:c r="A4545" s="55" t="str">
        <x:v>血源宇核配方</x:v>
      </x:c>
      <x:c r="B4545" s="55" t="str">
        <x:v>—</x:v>
      </x:c>
      <x:c r="C4545" s="55" t="str">
        <x:v>—</x:v>
      </x:c>
      <x:c r="D4545" s="55" t="str">
        <x:v>—</x:v>
      </x:c>
      <x:c r="E4545" s="55" t="inlineStr">
        <x:is>
          <x:t>—</x:t>
        </x:is>
      </x:c>
    </x:row>
    <x:row r="4546" ht="15" customHeight="1">
      <x:c r="A4546" s="55" t="str">
        <x:v>精元宇核配方</x:v>
      </x:c>
      <x:c r="B4546" s="55" t="str">
        <x:v>—</x:v>
      </x:c>
      <x:c r="C4546" s="55" t="str">
        <x:v>—</x:v>
      </x:c>
      <x:c r="D4546" s="55" t="str">
        <x:v>—</x:v>
      </x:c>
      <x:c r="E4546" s="55" t="inlineStr">
        <x:is>
          <x:t>—</x:t>
        </x:is>
      </x:c>
    </x:row>
    <x:row r="4547" ht="15" customHeight="1">
      <x:c r="A4547" s="55" t="str">
        <x:v>六宇聚核配方</x:v>
      </x:c>
      <x:c r="B4547" s="55" t="str">
        <x:v>—</x:v>
      </x:c>
      <x:c r="C4547" s="55" t="str">
        <x:v>—</x:v>
      </x:c>
      <x:c r="D4547" s="55" t="str">
        <x:v>—</x:v>
      </x:c>
      <x:c r="E4547" s="55" t="inlineStr">
        <x:is>
          <x:t>—</x:t>
        </x:is>
      </x:c>
    </x:row>
    <x:row r="4548" ht="15" customHeight="1">
      <x:c r="A4548" s="55" t="str">
        <x:v>土星仙器配方</x:v>
      </x:c>
      <x:c r="B4548" s="55" t="str">
        <x:v>—</x:v>
      </x:c>
      <x:c r="C4548" s="55" t="str">
        <x:v>—</x:v>
      </x:c>
      <x:c r="D4548" s="55" t="str">
        <x:v>—</x:v>
      </x:c>
      <x:c r="E4548" s="55" t="inlineStr">
        <x:is>
          <x:t>六宇仙器配方錦囊（網站未列地圖）</x:t>
        </x:is>
      </x:c>
    </x:row>
    <x:row r="4549" ht="15" customHeight="1">
      <x:c r="A4549" s="55" t="str">
        <x:v>海星仙器配方</x:v>
      </x:c>
      <x:c r="B4549" s="55" t="str">
        <x:v>—</x:v>
      </x:c>
      <x:c r="C4549" s="55" t="str">
        <x:v>—</x:v>
      </x:c>
      <x:c r="D4549" s="55" t="str">
        <x:v>—</x:v>
      </x:c>
      <x:c r="E4549" s="55" t="inlineStr">
        <x:is>
          <x:t>六宇仙器配方錦囊（網站未列地圖）</x:t>
        </x:is>
      </x:c>
    </x:row>
    <x:row r="4550" ht="15" customHeight="1">
      <x:c r="A4550" s="55" t="str">
        <x:v>木星仙器配方</x:v>
      </x:c>
      <x:c r="B4550" s="55" t="str">
        <x:v>—</x:v>
      </x:c>
      <x:c r="C4550" s="55" t="str">
        <x:v>—</x:v>
      </x:c>
      <x:c r="D4550" s="55" t="str">
        <x:v>—</x:v>
      </x:c>
      <x:c r="E4550" s="55" t="inlineStr">
        <x:is>
          <x:t>六宇仙器配方錦囊（網站未列地圖）</x:t>
        </x:is>
      </x:c>
    </x:row>
    <x:row r="4551" ht="15" customHeight="1">
      <x:c r="A4551" s="55" t="str">
        <x:v>冥星仙器配方</x:v>
      </x:c>
      <x:c r="B4551" s="55" t="str">
        <x:v>—</x:v>
      </x:c>
      <x:c r="C4551" s="55" t="str">
        <x:v>—</x:v>
      </x:c>
      <x:c r="D4551" s="55" t="str">
        <x:v>—</x:v>
      </x:c>
      <x:c r="E4551" s="55" t="inlineStr">
        <x:is>
          <x:t>六宇仙器配方錦囊（網站未列地圖）</x:t>
        </x:is>
      </x:c>
    </x:row>
    <x:row r="4552" ht="15" customHeight="1">
      <x:c r="A4552" s="55" t="str">
        <x:v>畢命配方</x:v>
      </x:c>
      <x:c r="B4552" s="55" t="str">
        <x:v>—</x:v>
      </x:c>
      <x:c r="C4552" s="55" t="str">
        <x:v>—</x:v>
      </x:c>
      <x:c r="D4552" s="55" t="str">
        <x:v>—</x:v>
      </x:c>
      <x:c r="E4552" s="55" t="inlineStr">
        <x:is>
          <x:t>六宇仙器配方錦囊（網站未列地圖）</x:t>
        </x:is>
      </x:c>
    </x:row>
    <x:row r="4553" ht="15" customHeight="1">
      <x:c r="A4553" s="55" t="str">
        <x:v>武成配方</x:v>
      </x:c>
      <x:c r="B4553" s="55" t="str">
        <x:v>—</x:v>
      </x:c>
      <x:c r="C4553" s="55" t="str">
        <x:v>—</x:v>
      </x:c>
      <x:c r="D4553" s="55" t="str">
        <x:v>—</x:v>
      </x:c>
      <x:c r="E4553" s="55" t="inlineStr">
        <x:is>
          <x:t>六宇仙器配方錦囊（網站未列地圖）</x:t>
        </x:is>
      </x:c>
    </x:row>
    <x:row r="4554" ht="15" customHeight="1">
      <x:c r="A4554" s="55" t="str">
        <x:v>伊訓配方</x:v>
      </x:c>
      <x:c r="B4554" s="55" t="str">
        <x:v>—</x:v>
      </x:c>
      <x:c r="C4554" s="55" t="str">
        <x:v>—</x:v>
      </x:c>
      <x:c r="D4554" s="55" t="str">
        <x:v>—</x:v>
      </x:c>
      <x:c r="E4554" s="55" t="inlineStr">
        <x:is>
          <x:t>六宇仙器配方錦囊（網站未列地圖）</x:t>
        </x:is>
      </x:c>
    </x:row>
    <x:row r="4555" ht="15" customHeight="1">
      <x:c r="A4555" s="55" t="str">
        <x:v>胤征配方</x:v>
      </x:c>
      <x:c r="B4555" s="55" t="str">
        <x:v>—</x:v>
      </x:c>
      <x:c r="C4555" s="55" t="str">
        <x:v>—</x:v>
      </x:c>
      <x:c r="D4555" s="55" t="str">
        <x:v>—</x:v>
      </x:c>
      <x:c r="E4555" s="55" t="inlineStr">
        <x:is>
          <x:t>六宇仙器配方錦囊（網站未列地圖）</x:t>
        </x:is>
      </x:c>
    </x:row>
    <x:row r="4556" ht="15" customHeight="1">
      <x:c r="A4556" s="55" t="str">
        <x:v>輝炎武器配方</x:v>
      </x:c>
      <x:c r="B4556" s="55" t="str">
        <x:v>—</x:v>
      </x:c>
      <x:c r="C4556" s="55" t="str">
        <x:v>—</x:v>
      </x:c>
      <x:c r="D4556" s="55" t="str">
        <x:v>—</x:v>
      </x:c>
      <x:c r="E4556" s="55" t="inlineStr">
        <x:is>
          <x:t>振宇屬性配方錦囊（網站未列地圖）</x:t>
        </x:is>
      </x:c>
    </x:row>
    <x:row r="4557" ht="15" customHeight="1">
      <x:c r="A4557" s="55" t="str">
        <x:v>冽冰武器配方</x:v>
      </x:c>
      <x:c r="B4557" s="55" t="str">
        <x:v>—</x:v>
      </x:c>
      <x:c r="C4557" s="55" t="str">
        <x:v>—</x:v>
      </x:c>
      <x:c r="D4557" s="55" t="str">
        <x:v>—</x:v>
      </x:c>
      <x:c r="E4557" s="55" t="inlineStr">
        <x:is>
          <x:t>振宇屬性配方錦囊（網站未列地圖）</x:t>
        </x:is>
      </x:c>
    </x:row>
    <x:row r="4558" ht="15" customHeight="1">
      <x:c r="A4558" s="55" t="str">
        <x:v>靂霆武器配方</x:v>
      </x:c>
      <x:c r="B4558" s="55" t="str">
        <x:v>—</x:v>
      </x:c>
      <x:c r="C4558" s="55" t="str">
        <x:v>—</x:v>
      </x:c>
      <x:c r="D4558" s="55" t="str">
        <x:v>—</x:v>
      </x:c>
      <x:c r="E4558" s="55" t="inlineStr">
        <x:is>
          <x:t>振宇屬性配方錦囊（網站未列地圖）</x:t>
        </x:is>
      </x:c>
    </x:row>
    <x:row r="4559" ht="15" customHeight="1">
      <x:c r="A4559" s="55" t="str">
        <x:v>赫冥武器配方</x:v>
      </x:c>
      <x:c r="B4559" s="55" t="str">
        <x:v>—</x:v>
      </x:c>
      <x:c r="C4559" s="55" t="str">
        <x:v>—</x:v>
      </x:c>
      <x:c r="D4559" s="55" t="str">
        <x:v>—</x:v>
      </x:c>
      <x:c r="E4559" s="55" t="inlineStr">
        <x:is>
          <x:t>振宇屬性配方錦囊（網站未列地圖）</x:t>
        </x:is>
      </x:c>
    </x:row>
    <x:row r="4560" ht="15" customHeight="1">
      <x:c r="A4560" s="55" t="str">
        <x:v>星軌賦法配方</x:v>
      </x:c>
      <x:c r="B4560" s="55" t="str">
        <x:v>—</x:v>
      </x:c>
      <x:c r="C4560" s="55" t="str">
        <x:v>—</x:v>
      </x:c>
      <x:c r="D4560" s="55" t="str">
        <x:v>—</x:v>
      </x:c>
      <x:c r="E4560" s="55" t="inlineStr">
        <x:is>
          <x:t>振宇屬性配方錦囊（網站未列地圖）</x:t>
        </x:is>
      </x:c>
    </x:row>
    <x:row r="4561" ht="15" customHeight="1">
      <x:c r="A4561" s="55" t="str">
        <x:v>耀巍配方</x:v>
      </x:c>
      <x:c r="B4561" s="55" t="str">
        <x:v>—</x:v>
      </x:c>
      <x:c r="C4561" s="55" t="str">
        <x:v>—</x:v>
      </x:c>
      <x:c r="D4561" s="55" t="str">
        <x:v>—</x:v>
      </x:c>
      <x:c r="E4561" s="55" t="inlineStr">
        <x:is>
          <x:t>—</x:t>
        </x:is>
      </x:c>
    </x:row>
    <x:row r="4562" ht="15" customHeight="1">
      <x:c r="A4562" s="55" t="str">
        <x:v>耀武配方</x:v>
      </x:c>
      <x:c r="B4562" s="55" t="str">
        <x:v>—</x:v>
      </x:c>
      <x:c r="C4562" s="55" t="str">
        <x:v>—</x:v>
      </x:c>
      <x:c r="D4562" s="55" t="str">
        <x:v>—</x:v>
      </x:c>
      <x:c r="E4562" s="55" t="inlineStr">
        <x:is>
          <x:t>梭羅強化配方錦囊（網站未列地圖）</x:t>
        </x:is>
      </x:c>
    </x:row>
    <x:row r="4563" ht="15" customHeight="1">
      <x:c r="A4563" s="55" t="str">
        <x:v>耀思配方</x:v>
      </x:c>
      <x:c r="B4563" s="55" t="str">
        <x:v>—</x:v>
      </x:c>
      <x:c r="C4563" s="55" t="str">
        <x:v>—</x:v>
      </x:c>
      <x:c r="D4563" s="55" t="str">
        <x:v>—</x:v>
      </x:c>
      <x:c r="E4563" s="55" t="inlineStr">
        <x:is>
          <x:t>梭羅強化配方錦囊（網站未列地圖）</x:t>
        </x:is>
      </x:c>
    </x:row>
    <x:row r="4564" ht="15" customHeight="1">
      <x:c r="A4564" s="55" t="str">
        <x:v>耀迅配方</x:v>
      </x:c>
      <x:c r="B4564" s="55" t="str">
        <x:v>—</x:v>
      </x:c>
      <x:c r="C4564" s="55" t="str">
        <x:v>—</x:v>
      </x:c>
      <x:c r="D4564" s="55" t="str">
        <x:v>—</x:v>
      </x:c>
      <x:c r="E4564" s="55" t="inlineStr">
        <x:is>
          <x:t>梭羅強化配方錦囊（網站未列地圖）</x:t>
        </x:is>
      </x:c>
    </x:row>
    <x:row r="4565" ht="15" customHeight="1">
      <x:c r="A4565" s="55" t="str">
        <x:v>恆彌配方</x:v>
      </x:c>
      <x:c r="B4565" s="55" t="str">
        <x:v>—</x:v>
      </x:c>
      <x:c r="C4565" s="55" t="str">
        <x:v>—</x:v>
      </x:c>
      <x:c r="D4565" s="55" t="str">
        <x:v>—</x:v>
      </x:c>
      <x:c r="E4565" s="55" t="inlineStr">
        <x:is>
          <x:t>—</x:t>
        </x:is>
      </x:c>
    </x:row>
    <x:row r="4566" ht="15" customHeight="1">
      <x:c r="A4566" s="55" t="str">
        <x:v>恆闊配方</x:v>
      </x:c>
      <x:c r="B4566" s="55" t="str">
        <x:v>—</x:v>
      </x:c>
      <x:c r="C4566" s="55" t="str">
        <x:v>—</x:v>
      </x:c>
      <x:c r="D4566" s="55" t="str">
        <x:v>—</x:v>
      </x:c>
      <x:c r="E4566" s="55" t="inlineStr">
        <x:is>
          <x:t>—</x:t>
        </x:is>
      </x:c>
    </x:row>
    <x:row r="4567" ht="15" customHeight="1">
      <x:c r="A4567" s="55" t="str">
        <x:v>宇彌配方</x:v>
      </x:c>
      <x:c r="B4567" s="55" t="str">
        <x:v>—</x:v>
      </x:c>
      <x:c r="C4567" s="55" t="str">
        <x:v>—</x:v>
      </x:c>
      <x:c r="D4567" s="55" t="str">
        <x:v>—</x:v>
      </x:c>
      <x:c r="E4567" s="55" t="inlineStr">
        <x:is>
          <x:t>梭羅強化配方錦囊（網站未列地圖）</x:t>
        </x:is>
      </x:c>
    </x:row>
    <x:row r="4568" ht="15" customHeight="1">
      <x:c r="A4568" s="55" t="str">
        <x:v>宇闊配方</x:v>
      </x:c>
      <x:c r="B4568" s="55" t="str">
        <x:v>—</x:v>
      </x:c>
      <x:c r="C4568" s="55" t="str">
        <x:v>—</x:v>
      </x:c>
      <x:c r="D4568" s="55" t="str">
        <x:v>—</x:v>
      </x:c>
      <x:c r="E4568" s="55" t="inlineStr">
        <x:is>
          <x:t>梭羅強化配方錦囊（網站未列地圖）</x:t>
        </x:is>
      </x:c>
    </x:row>
    <x:row r="4569" ht="15" customHeight="1">
      <x:c r="A4569" s="55" t="str">
        <x:v>靈彌配方</x:v>
      </x:c>
      <x:c r="B4569" s="55" t="str">
        <x:v>—</x:v>
      </x:c>
      <x:c r="C4569" s="55" t="str">
        <x:v>—</x:v>
      </x:c>
      <x:c r="D4569" s="55" t="str">
        <x:v>—</x:v>
      </x:c>
      <x:c r="E4569" s="55" t="inlineStr">
        <x:is>
          <x:t>梭羅強化配方錦囊（網站未列地圖）</x:t>
        </x:is>
      </x:c>
    </x:row>
    <x:row r="4570" ht="15" customHeight="1">
      <x:c r="A4570" s="55" t="str">
        <x:v>靈闊配方</x:v>
      </x:c>
      <x:c r="B4570" s="55" t="str">
        <x:v>—</x:v>
      </x:c>
      <x:c r="C4570" s="55" t="str">
        <x:v>—</x:v>
      </x:c>
      <x:c r="D4570" s="55" t="str">
        <x:v>—</x:v>
      </x:c>
      <x:c r="E4570" s="55" t="inlineStr">
        <x:is>
          <x:t>梭羅強化配方錦囊（網站未列地圖）</x:t>
        </x:is>
      </x:c>
    </x:row>
    <x:row r="4571" ht="15" customHeight="1">
      <x:c r="A4571" s="55" t="str">
        <x:v>玄彌配方</x:v>
      </x:c>
      <x:c r="B4571" s="55" t="str">
        <x:v>—</x:v>
      </x:c>
      <x:c r="C4571" s="55" t="str">
        <x:v>—</x:v>
      </x:c>
      <x:c r="D4571" s="55" t="str">
        <x:v>—</x:v>
      </x:c>
      <x:c r="E4571" s="55" t="inlineStr">
        <x:is>
          <x:t>梭羅強化配方錦囊（網站未列地圖）</x:t>
        </x:is>
      </x:c>
    </x:row>
    <x:row r="4572" ht="15" customHeight="1">
      <x:c r="A4572" s="55" t="str">
        <x:v>玄闊配方</x:v>
      </x:c>
      <x:c r="B4572" s="55" t="str">
        <x:v>—</x:v>
      </x:c>
      <x:c r="C4572" s="55" t="str">
        <x:v>—</x:v>
      </x:c>
      <x:c r="D4572" s="55" t="str">
        <x:v>—</x:v>
      </x:c>
      <x:c r="E4572" s="55" t="inlineStr">
        <x:is>
          <x:t>梭羅強化配方錦囊（網站未列地圖）</x:t>
        </x:is>
      </x:c>
    </x:row>
    <x:row r="4573" ht="30" customHeight="1">
      <x:c r="A4573" s="55" t="str">
        <x:v>紅燈籠</x:v>
      </x:c>
      <x:c r="B4573" s="55" t="str">
        <x:v>—</x:v>
      </x:c>
      <x:c r="C4573" s="55" t="str">
        <x:v>京城道觀丹雲子、祁州道觀丹霞子、玄州道觀丹華子</x:v>
      </x:c>
      <x:c r="D4573" s="55" t="str">
        <x:v>—</x:v>
      </x:c>
      <x:c r="E4573" s="55" t="inlineStr">
        <x:is>
          <x:t>—</x:t>
        </x:is>
      </x:c>
    </x:row>
    <x:row r="4574" ht="30" customHeight="1">
      <x:c r="A4574" s="55" t="str">
        <x:v>乾坤剪</x:v>
      </x:c>
      <x:c r="B4574" s="55" t="str">
        <x:v>—</x:v>
      </x:c>
      <x:c r="C4574" s="55" t="str">
        <x:v>京城道觀丹雲子、祁州道觀丹霞子、玄州道觀丹華子</x:v>
      </x:c>
      <x:c r="D4574" s="55" t="str">
        <x:v>—</x:v>
      </x:c>
      <x:c r="E4574" s="55" t="inlineStr">
        <x:is>
          <x:t>—</x:t>
        </x:is>
      </x:c>
    </x:row>
    <x:row r="4575" ht="30" customHeight="1">
      <x:c r="A4575" s="55" t="str">
        <x:v>聚煙鼎</x:v>
      </x:c>
      <x:c r="B4575" s="55" t="str">
        <x:v>—</x:v>
      </x:c>
      <x:c r="C4575" s="55" t="str">
        <x:v>京城道觀丹雲子、祁州道觀丹霞子、玄州道觀丹華子</x:v>
      </x:c>
      <x:c r="D4575" s="55" t="str">
        <x:v>—</x:v>
      </x:c>
      <x:c r="E4575" s="55" t="inlineStr">
        <x:is>
          <x:t>山犬（紫霞山養心觀、惡狼林、封神臺、試煉之窟）</x:t>
        </x:is>
      </x:c>
    </x:row>
    <x:row r="4576" ht="30" customHeight="1">
      <x:c r="A4576" s="55" t="str">
        <x:v>寶玉葫蘆</x:v>
      </x:c>
      <x:c r="B4576" s="55" t="str">
        <x:v>—</x:v>
      </x:c>
      <x:c r="C4576" s="55" t="str">
        <x:v>京城道觀丹雲子、祁州道觀丹霞子、玄州道觀丹華子</x:v>
      </x:c>
      <x:c r="D4576" s="55" t="str">
        <x:v>—</x:v>
      </x:c>
      <x:c r="E4576" s="55" t="inlineStr">
        <x:is>
          <x:t>山犬（紫霞山養心觀、惡狼林、封神臺、試煉之窟）</x:t>
        </x:is>
      </x:c>
    </x:row>
    <x:row r="4577" ht="30" customHeight="1">
      <x:c r="A4577" s="55" t="str">
        <x:v>捆仙索</x:v>
      </x:c>
      <x:c r="B4577" s="55" t="str">
        <x:v>—</x:v>
      </x:c>
      <x:c r="C4577" s="55" t="str">
        <x:v>京城道觀丹雲子、祁州道觀丹霞子、玄州道觀丹華子</x:v>
      </x:c>
      <x:c r="D4577" s="55" t="str">
        <x:v>—</x:v>
      </x:c>
      <x:c r="E4577" s="55" t="inlineStr">
        <x:is>
          <x:t>山犬（紫霞山養心觀、惡狼林、封神臺、試煉之窟）</x:t>
        </x:is>
      </x:c>
    </x:row>
    <x:row r="4578" ht="30" customHeight="1">
      <x:c r="A4578" s="55" t="str">
        <x:v>仙靈扇</x:v>
      </x:c>
      <x:c r="B4578" s="55" t="str">
        <x:v>—</x:v>
      </x:c>
      <x:c r="C4578" s="55" t="str">
        <x:v>京城道觀丹雲子、祁州道觀丹霞子、玄州道觀丹華子</x:v>
      </x:c>
      <x:c r="D4578" s="55" t="str">
        <x:v>—</x:v>
      </x:c>
      <x:c r="E4578" s="55" t="inlineStr">
        <x:is>
          <x:t>山犬（紫霞山養心觀、惡狼林、封神臺、試煉之窟）</x:t>
        </x:is>
      </x:c>
    </x:row>
    <x:row r="4579" ht="30" customHeight="1">
      <x:c r="A4579" s="55" t="str">
        <x:v>金錢劍</x:v>
      </x:c>
      <x:c r="B4579" s="55" t="str">
        <x:v>—</x:v>
      </x:c>
      <x:c r="C4579" s="55" t="str">
        <x:v>京城道觀丹雲子、祁州道觀丹霞子、玄州道觀丹華子</x:v>
      </x:c>
      <x:c r="D4579" s="55" t="str">
        <x:v>—</x:v>
      </x:c>
      <x:c r="E4579" s="55" t="inlineStr">
        <x:is>
          <x:t>—</x:t>
        </x:is>
      </x:c>
    </x:row>
    <x:row r="4580" ht="30" customHeight="1">
      <x:c r="A4580" s="55" t="str">
        <x:v>仙玉瓶</x:v>
      </x:c>
      <x:c r="B4580" s="55" t="str">
        <x:v>—</x:v>
      </x:c>
      <x:c r="C4580" s="55" t="str">
        <x:v>京城道觀丹雲子、祁州道觀丹霞子、玄州道觀丹華子</x:v>
      </x:c>
      <x:c r="D4580" s="55" t="str">
        <x:v>—</x:v>
      </x:c>
      <x:c r="E4580" s="55" t="inlineStr">
        <x:is>
          <x:t>—</x:t>
        </x:is>
      </x:c>
    </x:row>
    <x:row r="4581" ht="30" customHeight="1">
      <x:c r="A4581" s="55" t="str">
        <x:v>照妖鏡</x:v>
      </x:c>
      <x:c r="B4581" s="55" t="str">
        <x:v>—</x:v>
      </x:c>
      <x:c r="C4581" s="55" t="str">
        <x:v>京城道觀丹雲子、祁州道觀丹霞子、玄州道觀丹華子</x:v>
      </x:c>
      <x:c r="D4581" s="55" t="str">
        <x:v>—</x:v>
      </x:c>
      <x:c r="E4581" s="55" t="inlineStr">
        <x:is>
          <x:t>—</x:t>
        </x:is>
      </x:c>
    </x:row>
    <x:row r="4582" ht="30" customHeight="1">
      <x:c r="A4582" s="55" t="str">
        <x:v>乾坤圈</x:v>
      </x:c>
      <x:c r="B4582" s="55" t="str">
        <x:v>—</x:v>
      </x:c>
      <x:c r="C4582" s="55" t="str">
        <x:v>京城道觀丹雲子、祁州道觀丹霞子、玄州劍派傳功長老、玄州道觀丹華子</x:v>
      </x:c>
      <x:c r="D4582" s="55" t="str">
        <x:v>—</x:v>
      </x:c>
      <x:c r="E4582" s="55" t="inlineStr">
        <x:is>
          <x:t>—</x:t>
        </x:is>
      </x:c>
    </x:row>
    <x:row r="4583" ht="120" customHeight="1">
      <x:c r="A4583" s="55" t="str">
        <x:v>神行令</x:v>
      </x:c>
      <x:c r="B4583" s="55" t="str">
        <x:v>—</x:v>
      </x:c>
      <x:c r="C4583" s="55" t="str">
        <x:v>—</x:v>
      </x:c>
      <x:c r="D4583" s="55" t="str">
        <x:v>—</x:v>
      </x:c>
      <x:c r="E4583" s="55" t="inlineStr">
        <x:is>
          <x:t>千年樹精（瀰煙山道、掩月松林、不老峰）；千年樹精（葬日沼澤、葬日沼澤北方、千佛遺跡東側）；[千年樹精]（網站未列地圖）；幻面蜘蛛（長林谷）；妖面蜘蛛（百妖穴第一層、亂藤林東方、百妖穴第二層）；邪樹妖（瘴癘靈界裂隙）；邪木（網站未列地圖）；老樹精（惡狼林、碧波谷徑、瘴癘修煉場、亂藤林、葬日沼澤、葬日沼澤北方）；鬼面蜘蛛（碧波谷徑、百妖穴第一層、百妖穴第二層、盤蛇洞、地靈穴、蕈菇林）；沙漠蠱毒蜘蛛（塔干沙漠西方）；{老樹精}（瀰煙山道、掩月松林）；&lt;老樹精&gt;（瀰煙山道、掩月松林）；老樹精（惡狼林、碧波谷徑、瘴癘修煉場、亂藤林、葬日沼澤、葬日沼澤北方）；死靈骷髏（魔君陵墓）；死靈弓手（魔君陵墓）；邪樹妖（桃花林西方）；骷髏弓手（猛鬼窟第二層、朝天觀）；骷髏士兵（猛鬼窟第二層、朝天觀）；樹精（惡狼林、碧波谷徑、亂藤林）；樹精（桃花林西方、不老峰）；惡靈骷髏兵（五派禁地）；惡靈弓手（五派禁地）</x:t>
        </x:is>
      </x:c>
    </x:row>
    <x:row r="4584" ht="75" customHeight="1">
      <x:c r="A4584" s="55" t="str">
        <x:v>玄冰旗</x:v>
      </x:c>
      <x:c r="B4584" s="55" t="str">
        <x:v>—</x:v>
      </x:c>
      <x:c r="C4584" s="55" t="str">
        <x:v>—</x:v>
      </x:c>
      <x:c r="D4584" s="55" t="str">
        <x:v>玄冰旗配方</x:v>
      </x:c>
      <x:c r="E4584" s="55" t="inlineStr">
        <x:is>
          <x:t>土靈珠（網站未列地圖）；百眼長老（摘星嶺、魔君陵墓、魔君陵寢一層、魔君陵寢二層）；百眼密探（毒龍潭）；冤水鬼（瘴癘靈界裂隙、怒雪靈界裂隙）；惡水鬼（映月泊、怒雪修煉場、朝天觀、葬日沼澤北方、萬人塚第三層）；水鬼（映月泊、萬人塚第二層、朝天觀、萬人塚第三層）；{水鬼}（桃花林東方、桃花林西方）；幽冥水鬼（網站未列地圖）；惡水鬼（映月泊、怒雪修煉場、朝天觀、葬日沼澤北方、萬人塚第三層）；百眼巫師（毒龍潭、摘星嶺、魔君陵墓、魔君陵寢一層、魔君陵寢二層、修羅窟）；惡水妖（桃花林西方）</x:t>
        </x:is>
      </x:c>
    </x:row>
    <x:row r="4585" ht="90" customHeight="1">
      <x:c r="A4585" s="55" t="str">
        <x:v>真火旗</x:v>
      </x:c>
      <x:c r="B4585" s="55" t="str">
        <x:v>—</x:v>
      </x:c>
      <x:c r="C4585" s="55" t="str">
        <x:v>—</x:v>
      </x:c>
      <x:c r="D4585" s="55" t="str">
        <x:v>真火旗配方</x:v>
      </x:c>
      <x:c r="E4585" s="55" t="inlineStr">
        <x:is>
          <x:t>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冥火妖（烈火靈界裂隙）；邪火妖（望星坡、烈火修煉場、朝天觀、葬日沼澤北方、萬人塚第三層）；邪火妖（望星坡、烈火修煉場、朝天觀、葬日沼澤北方、萬人塚第三層）；烈火妖魔（棲鳳崖、鳳凰台）；火妖（望星坡、萬人塚第二層、朝天觀、萬人塚第三層、地靈穴、蕈菇林）；{火妖}（桃花林南方、不老峰）；烈火妖靈（網站未列地圖）</x:t>
        </x:is>
      </x:c>
    </x:row>
    <x:row r="4586" ht="60" customHeight="1">
      <x:c r="A4586" s="55" t="str">
        <x:v>雷電旗</x:v>
      </x:c>
      <x:c r="B4586" s="55" t="str">
        <x:v>—</x:v>
      </x:c>
      <x:c r="C4586" s="55" t="str">
        <x:v>—</x:v>
      </x:c>
      <x:c r="D4586" s="55" t="str">
        <x:v>雷電旗配方</x:v>
      </x:c>
      <x:c r="E4586" s="55" t="inlineStr">
        <x:is>
          <x:t>雷靈珠（網站未列地圖）；金翅王（鷹翅族部落）；鷹族戰士（葬日沼澤、摘星嶺、鷹翅族部落）；金石怪（入雲道、碧波谷徑、摘星嶺、棲鳳崖、鳳凰台、地靈穴、蕈菇林）；金石怪（入雲道、碧波谷徑、摘星嶺、棲鳳崖、鳳凰台、地靈穴、蕈菇林）；巨石怪（桃花林西方）；石怪（入雲道、碧波谷徑、摘星嶺、地靈穴、蕈菇林）；{石怪}（不老峰）</x:t>
        </x:is>
      </x:c>
    </x:row>
    <x:row r="4587" ht="30" customHeight="1">
      <x:c r="A4587" s="55" t="str">
        <x:v>紫晶易盤</x:v>
      </x:c>
      <x:c r="B4587" s="55" t="str">
        <x:v>—</x:v>
      </x:c>
      <x:c r="C4587" s="55" t="str">
        <x:v>京城道觀丹雲子、祁州道觀丹霞子、玄州道觀丹華子</x:v>
      </x:c>
      <x:c r="D4587" s="55" t="str">
        <x:v>—</x:v>
      </x:c>
      <x:c r="E4587" s="55" t="inlineStr">
        <x:is>
          <x:t>—</x:t>
        </x:is>
      </x:c>
    </x:row>
    <x:row r="4588" ht="30" customHeight="1">
      <x:c r="A4588" s="55" t="str">
        <x:v>金霞扇</x:v>
      </x:c>
      <x:c r="B4588" s="55" t="str">
        <x:v>—</x:v>
      </x:c>
      <x:c r="C4588" s="55" t="str">
        <x:v>京城道觀丹雲子、祁州道觀丹霞子、玄州道觀丹華子</x:v>
      </x:c>
      <x:c r="D4588" s="55" t="str">
        <x:v>—</x:v>
      </x:c>
      <x:c r="E4588" s="55" t="inlineStr">
        <x:is>
          <x:t>—</x:t>
        </x:is>
      </x:c>
    </x:row>
    <x:row r="4589" ht="15" customHeight="1">
      <x:c r="A4589" s="55" t="str">
        <x:v>八卦鏡</x:v>
      </x:c>
      <x:c r="B4589" s="55" t="str">
        <x:v>—</x:v>
      </x:c>
      <x:c r="C4589" s="55" t="str">
        <x:v>—</x:v>
      </x:c>
      <x:c r="D4589" s="55" t="str">
        <x:v>—</x:v>
      </x:c>
      <x:c r="E4589" s="55" t="inlineStr">
        <x:is>
          <x:t>邪教道長（飛仙岩、朝天嶺、朝天觀、亂藤林東方）</x:t>
        </x:is>
      </x:c>
    </x:row>
    <x:row r="4590" ht="15" customHeight="1">
      <x:c r="A4590" s="55" t="str">
        <x:v>八卦印</x:v>
      </x:c>
      <x:c r="B4590" s="55" t="str">
        <x:v>—</x:v>
      </x:c>
      <x:c r="C4590" s="55" t="str">
        <x:v>玄州道觀丹華子</x:v>
      </x:c>
      <x:c r="D4590" s="55" t="str">
        <x:v>—</x:v>
      </x:c>
      <x:c r="E4590" s="55" t="inlineStr">
        <x:is>
          <x:t>—</x:t>
        </x:is>
      </x:c>
    </x:row>
    <x:row r="4591" ht="30" customHeight="1">
      <x:c r="A4591" s="55" t="str">
        <x:v>七星劍匣</x:v>
      </x:c>
      <x:c r="B4591" s="55" t="str">
        <x:v>—</x:v>
      </x:c>
      <x:c r="C4591" s="55" t="str">
        <x:v>—</x:v>
      </x:c>
      <x:c r="D4591" s="55" t="str">
        <x:v>—</x:v>
      </x:c>
      <x:c r="E4591" s="55" t="inlineStr">
        <x:is>
          <x:t>經典法器錦囊（網站未列地圖）；邪魔尊者（飛仙岩、朝天嶺、朝天觀）；無塵子（五派禁地）；金翅鳥（摩羅國境、菩提聖原、大梵河岸）；金翅鳥（摩羅國境、菩提聖原、大梵河岸）；富田莊八郎（長野沙濱）</x:t>
        </x:is>
      </x:c>
    </x:row>
    <x:row r="4592" ht="60" customHeight="1">
      <x:c r="A4592" s="55" t="str">
        <x:v>六合寶鏡</x:v>
      </x:c>
      <x:c r="B4592" s="55" t="str">
        <x:v>—</x:v>
      </x:c>
      <x:c r="C4592" s="55" t="str">
        <x:v>—</x:v>
      </x:c>
      <x:c r="D4592" s="55" t="str">
        <x:v>—</x:v>
      </x:c>
      <x:c r="E4592" s="55" t="inlineStr">
        <x:is>
          <x:t>懷古法器錦囊（網站未列地圖）；夜帝侍衛（網站未列地圖）；南蠻女戰士（千佛遺跡西側、摩羅國境）；千年花精（亂藤林南方、葬日沼澤北方）；[千年花精]（網站未列地圖）；屍花精（五派禁地）；花精（亂藤林、亂藤林南方、葬日沼澤、葬日沼澤北方）；綠林花妖（網站未列地圖）；邪魔尊者（飛仙岩、朝天嶺、朝天觀）；鼻高天狗（天照不二峰）</x:t>
        </x:is>
      </x:c>
    </x:row>
    <x:row r="4593" ht="45" customHeight="1">
      <x:c r="A4593" s="55" t="str">
        <x:v>太極劍匣</x:v>
      </x:c>
      <x:c r="B4593" s="55" t="str">
        <x:v>—</x:v>
      </x:c>
      <x:c r="C4593" s="55" t="str">
        <x:v>—</x:v>
      </x:c>
      <x:c r="D4593" s="55" t="str">
        <x:v>—</x:v>
      </x:c>
      <x:c r="E4593" s="55" t="inlineStr">
        <x:is>
          <x:t>經典法器錦囊（網站未列地圖）；邪教道士（飛仙岩、朝天嶺、朝天觀、亂藤林東方）；綠方捍衛者（網站未列地圖）；邪教道長（飛仙岩、朝天嶺、朝天觀、亂藤林東方）；邪魔尊者（飛仙岩、朝天嶺、朝天觀）；無塵子（五派禁地）；邪教道士（試煉之窟）</x:t>
        </x:is>
      </x:c>
    </x:row>
    <x:row r="4594" ht="60" customHeight="1">
      <x:c r="A4594" s="55" t="str">
        <x:v>玄冰令</x:v>
      </x:c>
      <x:c r="B4594" s="55" t="str">
        <x:v>—</x:v>
      </x:c>
      <x:c r="C4594" s="55" t="str">
        <x:v>—</x:v>
      </x:c>
      <x:c r="D4594" s="55" t="str">
        <x:v>—</x:v>
      </x:c>
      <x:c r="E4594" s="55" t="inlineStr">
        <x:is>
          <x:t>經典法器錦囊（網站未列地圖）；地穴樹精（蕈菇林東方、蕈菇林西方、晶湖水道）；萬年樹精（神兵塚）；土靈珠（網站未列地圖）；百眼長老（摘星嶺、魔君陵墓、魔君陵寢一層、魔君陵寢二層）；百眼密探（毒龍潭）；金鎧靈猴（菩提聖原、大梵河岸）；白夜帝猿（網站未列地圖）；百眼巫師（毒龍潭、摘星嶺、魔君陵墓、魔君陵寢一層、魔君陵寢二層、修羅窟）；冰麟獸（怒雪靈界通道、怒雪洞府）；冥戶永德（八荒古墳）</x:t>
        </x:is>
      </x:c>
    </x:row>
    <x:row r="4595" ht="90" customHeight="1">
      <x:c r="A4595" s="55" t="str">
        <x:v>真火令</x:v>
      </x:c>
      <x:c r="B4595" s="55" t="str">
        <x:v>—</x:v>
      </x:c>
      <x:c r="C4595" s="55" t="str">
        <x:v>—</x:v>
      </x:c>
      <x:c r="D4595" s="55" t="str">
        <x:v>—</x:v>
      </x:c>
      <x:c r="E4595" s="55" t="inlineStr">
        <x:is>
          <x:t>懷古法器錦囊（網站未列地圖）；修羅魔君鬼魂（魔君陵寢二層）；阿修羅王（魔君陵寢一層）；邪火刀僧（長林谷）；十勝象王（網站未列地圖）；蓋世象魔（大梵河岸、金霄佛寺）；怒威象神（濕婆神廟）；女王護法（亂石林、黑城遺跡、疾風谷、大汗陵墓、蒼狼大營）；屍靈首（古皇陵密室）；鬼修羅（五派禁地）；蒼狼千夫長（網站未列地圖）；三霸象皇（濕婆神廟）；阿修羅戰士（魔君陵墓、魔君陵寢一層、魔君陵寢二層、修羅窟）；阿修羅戰士（魔君陵墓、魔君陵寢一層、魔君陵寢二層、修羅窟、異時界‧修羅窟）；鳳凰（棲鳳崖、鳳凰台）；[鳳凰]（網站未列地圖）；火麟獸（烈火靈界通道、火雲洞府）；谷村真一（神室關所）</x:t>
        </x:is>
      </x:c>
    </x:row>
    <x:row r="4596" ht="45" customHeight="1">
      <x:c r="A4596" s="55" t="str">
        <x:v>雷電令</x:v>
      </x:c>
      <x:c r="B4596" s="55" t="str">
        <x:v>—</x:v>
      </x:c>
      <x:c r="C4596" s="55" t="str">
        <x:v>—</x:v>
      </x:c>
      <x:c r="D4596" s="55" t="str">
        <x:v>—</x:v>
      </x:c>
      <x:c r="E4596" s="55" t="inlineStr">
        <x:is>
          <x:t>懷古法器錦囊（網站未列地圖）；雷靈珠（網站未列地圖）；金翅王（鷹翅族部落）；荒野猛虎（菩提聖原、大梵河岸）；鷹族戰士（葬日沼澤、摘星嶺、鷹翅族部落）；夜叉王（摘星嶺、夜叉嶺）；夜叉王（玄州城、獄門峽、摘星嶺、夜叉嶺、異時界‧摘星嶺）；夜叉刺客（鎮南關）；宇都宮長齋（內崎埠原）</x:t>
        </x:is>
      </x:c>
    </x:row>
    <x:row r="4597" ht="15" customHeight="1">
      <x:c r="A4597" s="55" t="str">
        <x:v>翻天印</x:v>
      </x:c>
      <x:c r="B4597" s="55" t="str">
        <x:v>—</x:v>
      </x:c>
      <x:c r="C4597" s="55" t="str">
        <x:v>玄州道觀丹華子</x:v>
      </x:c>
      <x:c r="D4597" s="55" t="str">
        <x:v>—</x:v>
      </x:c>
      <x:c r="E4597" s="55" t="inlineStr">
        <x:is>
          <x:t>武尊浪人（古皇陵近郊）；武尊浪人（伊取川大陣）</x:t>
        </x:is>
      </x:c>
    </x:row>
    <x:row r="4598" ht="15" customHeight="1">
      <x:c r="A4598" s="55" t="str">
        <x:v>白玉戒指</x:v>
      </x:c>
      <x:c r="B4598" s="55" t="str">
        <x:v>—</x:v>
      </x:c>
      <x:c r="C4598" s="55" t="str">
        <x:v>京城道觀丹雲子、祁州道觀丹霞子</x:v>
      </x:c>
      <x:c r="D4598" s="55" t="str">
        <x:v>—</x:v>
      </x:c>
      <x:c r="E4598" s="55" t="inlineStr">
        <x:is>
          <x:t>—</x:t>
        </x:is>
      </x:c>
    </x:row>
    <x:row r="4599" ht="45" customHeight="1">
      <x:c r="A4599" s="55" t="str">
        <x:v>血玉蓮花</x:v>
      </x:c>
      <x:c r="B4599" s="55" t="str">
        <x:v>—</x:v>
      </x:c>
      <x:c r="C4599" s="55" t="str">
        <x:v>—</x:v>
      </x:c>
      <x:c r="D4599" s="55" t="str">
        <x:v>—</x:v>
      </x:c>
      <x:c r="E4599" s="55" t="inlineStr">
        <x:is>
          <x:t>懷古法器錦囊（網站未列地圖）；夜叉王（摘星嶺、夜叉嶺）；夜叉王（玄州城、獄門峽、摘星嶺、夜叉嶺、異時界‧摘星嶺）；夜叉刺客（鎮南關）；幻面蜘蛛（長林谷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4600" ht="90" customHeight="1">
      <x:c r="A4600" s="55" t="str">
        <x:v>血繩網</x:v>
      </x:c>
      <x:c r="B4600" s="55" t="str">
        <x:v>—</x:v>
      </x:c>
      <x:c r="C4600" s="55" t="str">
        <x:v>—</x:v>
      </x:c>
      <x:c r="D4600" s="55" t="str">
        <x:v>—</x:v>
      </x:c>
      <x:c r="E4600" s="55" t="inlineStr">
        <x:is>
          <x:t>經典法器錦囊（網站未列地圖）；毒血屍（猛鬼窟第一層、猛鬼窟第二層、萬人塚第二層、朝天觀、萬人塚第三層）；摩羅戰象（菩提聖原）；千年樹精（葬日沼澤、葬日沼澤北方、千佛遺跡東側）；[千年樹精]（網站未列地圖）；邪樹妖（瘴癘靈界裂隙）；邪木（網站未列地圖）；老樹精（惡狼林、碧波谷徑、瘴癘修煉場、亂藤林、葬日沼澤、葬日沼澤北方）；老樹精（惡狼林、碧波谷徑、瘴癘修煉場、亂藤林、葬日沼澤、葬日沼澤北方）；邪樹妖（桃花林西方）；{老樹精}（瀰煙山道、掩月松林）；&lt;老樹精&gt;（瀰煙山道、掩月松林）；千年樹精（瀰煙山道、掩月松林、不老峰）</x:t>
        </x:is>
      </x:c>
    </x:row>
    <x:row r="4601" ht="15" customHeight="1">
      <x:c r="A4601" s="55" t="str">
        <x:v>兩儀寶鏡</x:v>
      </x:c>
      <x:c r="B4601" s="55" t="str">
        <x:v>—</x:v>
      </x:c>
      <x:c r="C4601" s="55" t="str">
        <x:v>祁州道觀丹霞子</x:v>
      </x:c>
      <x:c r="D4601" s="55" t="str">
        <x:v>—</x:v>
      </x:c>
      <x:c r="E4601" s="55" t="inlineStr">
        <x:is>
          <x:t>—</x:t>
        </x:is>
      </x:c>
    </x:row>
    <x:row r="4602" ht="75" customHeight="1">
      <x:c r="A4602" s="55" t="str">
        <x:v>修羅鬼輪</x:v>
      </x:c>
      <x:c r="B4602" s="55" t="str">
        <x:v>—</x:v>
      </x:c>
      <x:c r="C4602" s="55" t="str">
        <x:v>修羅魔君鬼魂、阿修羅王、阿修羅戰士、屍靈首、鬼修羅、女王護法、蒼狼千夫長、大鵬金翅鳥、御象尊者、濕婆神教刺客、奈落邪鬼</x:v>
      </x:c>
      <x:c r="D4602" s="55" t="str">
        <x:v>—</x:v>
      </x:c>
      <x:c r="E4602" s="55" t="inlineStr">
        <x:is>
          <x:t>修羅魔君鬼魂（魔君陵寢二層）；阿修羅王（魔君陵寢一層）；女王護法（亂石林、黑城遺跡、疾風谷、大汗陵墓、蒼狼大營）；屍靈首（古皇陵密室）；鬼修羅（五派禁地）；蒼狼千夫長（網站未列地圖）；阿修羅戰士（魔君陵墓、魔君陵寢一層、魔君陵寢二層、修羅窟）；阿修羅戰士（魔君陵墓、魔君陵寢一層、魔君陵寢二層、修羅窟、異時界‧修羅窟）；大鵬金翅鳥（金霄佛寺、濕婆神廟）；御象尊者（網站未列地圖）；濕婆神教刺客（大梵河岸）；奈落邪鬼（永劫刑場）；奈落邪鬼（奈落紅川）</x:t>
        </x:is>
      </x:c>
    </x:row>
    <x:row r="4603" ht="15" customHeight="1">
      <x:c r="A4603" s="55" t="str">
        <x:v>乾坤一氣剪</x:v>
      </x:c>
      <x:c r="B4603" s="55" t="str">
        <x:v>—</x:v>
      </x:c>
      <x:c r="C4603" s="55" t="str">
        <x:v>高昌-無籍小僧</x:v>
      </x:c>
      <x:c r="D4603" s="55" t="str">
        <x:v>—</x:v>
      </x:c>
      <x:c r="E4603" s="55" t="inlineStr">
        <x:is>
          <x:t>—</x:t>
        </x:is>
      </x:c>
    </x:row>
    <x:row r="4604" ht="15" customHeight="1">
      <x:c r="A4604" s="55" t="str">
        <x:v>九陰玄冰令</x:v>
      </x:c>
      <x:c r="B4604" s="55" t="str">
        <x:v>—</x:v>
      </x:c>
      <x:c r="C4604" s="55" t="str">
        <x:v>高昌-無籍小僧</x:v>
      </x:c>
      <x:c r="D4604" s="55" t="str">
        <x:v>—</x:v>
      </x:c>
      <x:c r="E4604" s="55" t="inlineStr">
        <x:is>
          <x:t>—</x:t>
        </x:is>
      </x:c>
    </x:row>
    <x:row r="4605" ht="15" customHeight="1">
      <x:c r="A4605" s="55" t="str">
        <x:v>六陽真火令</x:v>
      </x:c>
      <x:c r="B4605" s="55" t="str">
        <x:v>—</x:v>
      </x:c>
      <x:c r="C4605" s="55" t="str">
        <x:v>高昌-無籍小僧</x:v>
      </x:c>
      <x:c r="D4605" s="55" t="str">
        <x:v>—</x:v>
      </x:c>
      <x:c r="E4605" s="55" t="inlineStr">
        <x:is>
          <x:t>—</x:t>
        </x:is>
      </x:c>
    </x:row>
    <x:row r="4606" ht="15" customHeight="1">
      <x:c r="A4606" s="55" t="str">
        <x:v>九天雷電令</x:v>
      </x:c>
      <x:c r="B4606" s="55" t="str">
        <x:v>—</x:v>
      </x:c>
      <x:c r="C4606" s="55" t="str">
        <x:v>高昌-無籍小僧</x:v>
      </x:c>
      <x:c r="D4606" s="55" t="str">
        <x:v>—</x:v>
      </x:c>
      <x:c r="E4606" s="55" t="inlineStr">
        <x:is>
          <x:t>—</x:t>
        </x:is>
      </x:c>
    </x:row>
    <x:row r="4607" ht="15" customHeight="1">
      <x:c r="A4607" s="55" t="str">
        <x:v>蝶夢金霞扇</x:v>
      </x:c>
      <x:c r="B4607" s="55" t="str">
        <x:v>—</x:v>
      </x:c>
      <x:c r="C4607" s="55" t="str">
        <x:v>高昌-無籍小僧</x:v>
      </x:c>
      <x:c r="D4607" s="55" t="str">
        <x:v>—</x:v>
      </x:c>
      <x:c r="E4607" s="55" t="inlineStr">
        <x:is>
          <x:t>—</x:t>
        </x:is>
      </x:c>
    </x:row>
    <x:row r="4608" ht="45" customHeight="1">
      <x:c r="A4608" s="55" t="str">
        <x:v>不動明王像</x:v>
      </x:c>
      <x:c r="B4608" s="55" t="str">
        <x:v>—</x:v>
      </x:c>
      <x:c r="C4608" s="55" t="str">
        <x:v>—</x:v>
      </x:c>
      <x:c r="D4608" s="55" t="str">
        <x:v>—</x:v>
      </x:c>
      <x:c r="E4608" s="55" t="inlineStr">
        <x:is>
          <x:t>天照法器錦囊（網站未列地圖）；巡天舞將（凌風修境、繚空碎島）；黜命大欽差（網站未列地圖）；懲善判官（枉死之城、悲歡渡口、九曲邪徑、寒愴冰獄）；謳邪僧正（寒愴冰獄）；阿鼻霸鬼（荒禍殘墟）；烈燄風魔（恨生不歸途、三途之都）</x:t>
        </x:is>
      </x:c>
    </x:row>
    <x:row r="4609" ht="45" customHeight="1">
      <x:c r="A4609" s="55" t="str">
        <x:v>月讀勾玉</x:v>
      </x:c>
      <x:c r="B4609" s="55" t="str">
        <x:v>—</x:v>
      </x:c>
      <x:c r="C4609" s="55" t="str">
        <x:v>—</x:v>
      </x:c>
      <x:c r="D4609" s="55" t="str">
        <x:v>—</x:v>
      </x:c>
      <x:c r="E4609" s="55" t="inlineStr">
        <x:is>
          <x:t>天照法器錦囊（網站未列地圖）；亡骸弓箭手（血鴉嶺）；弔靈八王爺（森羅閻殿、奈落紅川、荒禍殘墟）；蒼炎怒獅（永劫刑場、九曲邪徑、寒愴冰獄）；奪魄黑死將（天戮魔殿）；血瘤眼（恨生不歸途、三途之都）；[血瘤眼]（網站未列地圖）</x:t>
        </x:is>
      </x:c>
    </x:row>
    <x:row r="4610" ht="30" customHeight="1">
      <x:c r="A4610" s="55" t="str">
        <x:v>天照雲錦</x:v>
      </x:c>
      <x:c r="B4610" s="55" t="str">
        <x:v>—</x:v>
      </x:c>
      <x:c r="C4610" s="55" t="str">
        <x:v>—</x:v>
      </x:c>
      <x:c r="D4610" s="55" t="str">
        <x:v>—</x:v>
      </x:c>
      <x:c r="E4610" s="55" t="inlineStr">
        <x:is>
          <x:t>天照法器錦囊（網站未列地圖）；笑傲飛鷹（登龍道）；謳邪僧正（寒愴冰獄）；鬼牙開眼（枉死之城、永劫刑場、九曲邪徑）；煉獄邪眼（森羅閻殿、永劫刑場、荒禍殘墟）</x:t>
        </x:is>
      </x:c>
    </x:row>
    <x:row r="4611" ht="45" customHeight="1">
      <x:c r="A4611" s="55" t="str">
        <x:v>天地玄冰令</x:v>
      </x:c>
      <x:c r="B4611" s="55" t="str">
        <x:v>—</x:v>
      </x:c>
      <x:c r="C4611" s="55" t="str">
        <x:v>—</x:v>
      </x:c>
      <x:c r="D4611" s="55" t="str">
        <x:v>—</x:v>
      </x:c>
      <x:c r="E4611" s="55" t="inlineStr">
        <x:is>
          <x:t>秘藏天授法器錦囊（網站未列地圖）；風之精靈（止戰邊境、靜默之丘）；千斤豬狂（飛雲忘野、橫劍天關）；蜃樓水靈（聖域之門、清教院街）；墮獄水魔（網站未列地圖）；雪峰野人（登天棧道、懸空仙嶺、青藏高原）；[雪峰野人]（網站未列地圖）；絕邪皇蠻（神煉之間）；聖峰雪獸（網站未列地圖）</x:t>
        </x:is>
      </x:c>
    </x:row>
    <x:row r="4612" ht="30" customHeight="1">
      <x:c r="A4612" s="55" t="str">
        <x:v>天地真火令</x:v>
      </x:c>
      <x:c r="B4612" s="55" t="str">
        <x:v>—</x:v>
      </x:c>
      <x:c r="C4612" s="55" t="str">
        <x:v>—</x:v>
      </x:c>
      <x:c r="D4612" s="55" t="str">
        <x:v>—</x:v>
      </x:c>
      <x:c r="E4612" s="55" t="inlineStr">
        <x:is>
          <x:t>秘藏天授法器錦囊（網站未列地圖）；豬痴妖（登龍道、凌風修境、繚空碎島）；赤日火靈（聖域之門、清教院街）；狂獄火魔（網站未列地圖）；黑教僧兵（登天棧道、懸空仙嶺、大梵聖湖）；祭邪大魔牛（神煉之間）</x:t>
        </x:is>
      </x:c>
    </x:row>
    <x:row r="4613" ht="45" customHeight="1">
      <x:c r="A4613" s="55" t="str">
        <x:v>天地雷電令</x:v>
      </x:c>
      <x:c r="B4613" s="55" t="str">
        <x:v>—</x:v>
      </x:c>
      <x:c r="C4613" s="55" t="str">
        <x:v>—</x:v>
      </x:c>
      <x:c r="D4613" s="55" t="str">
        <x:v>—</x:v>
      </x:c>
      <x:c r="E4613" s="55" t="inlineStr">
        <x:is>
          <x:t>秘藏天授法器錦囊（網站未列地圖）；巡天監（登龍道、凌風修境、繚空碎島）；魏基（獅堡軍事區）；飛塵風靈（黃塵荒漠）；煞獄風魔（網站未列地圖）；赤壇喇嘛（青藏高原、大梵聖湖、萬岳聖峰、香格里拉聖路、香格里拉神廟）；超生化骸（神煉之間）</x:t>
        </x:is>
      </x:c>
    </x:row>
    <x:row r="4614" ht="30" customHeight="1">
      <x:c r="A4614" s="55" t="str">
        <x:v>焚心真火鈴</x:v>
      </x:c>
      <x:c r="B4614" s="55" t="str">
        <x:v>—</x:v>
      </x:c>
      <x:c r="C4614" s="55" t="str">
        <x:v>—</x:v>
      </x:c>
      <x:c r="D4614" s="55" t="str">
        <x:v>—</x:v>
      </x:c>
      <x:c r="E4614" s="55" t="inlineStr">
        <x:is>
          <x:t>天授法器錦囊（網站未列地圖）；蝶舞精（登龍道、凌風修境、繚空碎島）；波斯鐵衛（黃塵荒漠、聖域之門、清教院街）；穿雲聖牛（大梵聖湖、萬岳聖峰、香格里拉聖路）</x:t>
        </x:is>
      </x:c>
    </x:row>
    <x:row r="4615" ht="15" customHeight="1">
      <x:c r="A4615" s="55" t="str">
        <x:v>召妖大法螺</x:v>
      </x:c>
      <x:c r="B4615" s="55" t="str">
        <x:v>—</x:v>
      </x:c>
      <x:c r="C4615" s="55" t="str">
        <x:v>—</x:v>
      </x:c>
      <x:c r="D4615" s="55" t="str">
        <x:v>—</x:v>
      </x:c>
      <x:c r="E4615" s="55" t="inlineStr">
        <x:is>
          <x:t>天授法器錦囊（網站未列地圖）；波斯步卒（聖域之門、清教院街）；絕凍冰妖（萬岳聖峰、香格里拉聖路）</x:t>
        </x:is>
      </x:c>
    </x:row>
    <x:row r="4616" ht="15" customHeight="1">
      <x:c r="A4616" s="55" t="str">
        <x:v>五行劍匣</x:v>
      </x:c>
      <x:c r="B4616" s="55" t="str">
        <x:v>—</x:v>
      </x:c>
      <x:c r="C4616" s="55" t="str">
        <x:v>—</x:v>
      </x:c>
      <x:c r="D4616" s="55" t="str">
        <x:v>—</x:v>
      </x:c>
      <x:c r="E4616" s="55" t="inlineStr">
        <x:is>
          <x:t>天授法器錦囊（網站未列地圖）；水之精靈（豐穗平原、血鴉嶺）；聖峰白虎（萬岳聖峰、香格里拉聖路）</x:t>
        </x:is>
      </x:c>
    </x:row>
    <x:row r="4617" ht="15" customHeight="1">
      <x:c r="A4617" s="55" t="str">
        <x:v>梵法唐卡毯</x:v>
      </x:c>
      <x:c r="B4617" s="55" t="str">
        <x:v>—</x:v>
      </x:c>
      <x:c r="C4617" s="55" t="str">
        <x:v>—</x:v>
      </x:c>
      <x:c r="D4617" s="55" t="str">
        <x:v>—</x:v>
      </x:c>
      <x:c r="E4617" s="55" t="inlineStr">
        <x:is>
          <x:t>天授法器錦囊（網站未列地圖）；賦文臣（登龍道、凌風修境、繚空碎島）；黑教隱鏢手（青藏高原、大梵聖湖）</x:t>
        </x:is>
      </x:c>
    </x:row>
    <x:row r="4618" ht="45" customHeight="1">
      <x:c r="A4618" s="55" t="str">
        <x:v>護法金獅像</x:v>
      </x:c>
      <x:c r="B4618" s="55" t="str">
        <x:v>—</x:v>
      </x:c>
      <x:c r="C4618" s="55" t="str">
        <x:v>—</x:v>
      </x:c>
      <x:c r="D4618" s="55" t="str">
        <x:v>—</x:v>
      </x:c>
      <x:c r="E4618" s="55" t="inlineStr">
        <x:is>
          <x:t>天授法器錦囊（網站未列地圖）；雲蛟衛（登龍道、凌風修境、繚空碎島）；波斯騎兵（聖域之門、清教院街、飛簷頂徑、波斯西市）；黑教舞鞭者（青藏高原、大梵聖湖）；御天七彩牛（吐蕃集鎮、香格里拉神廟、天授之間）；虹霓聖牛（網站未列地圖）</x:t>
        </x:is>
      </x:c>
    </x:row>
    <x:row r="4619" ht="45" customHeight="1">
      <x:c r="A4619" s="55" t="str">
        <x:v>千淵凝冰盒</x:v>
      </x:c>
      <x:c r="B4619" s="55" t="str">
        <x:v>—</x:v>
      </x:c>
      <x:c r="C4619" s="55" t="str">
        <x:v>—</x:v>
      </x:c>
      <x:c r="D4619" s="55" t="str">
        <x:v>—</x:v>
      </x:c>
      <x:c r="E4619" s="55" t="inlineStr">
        <x:is>
          <x:t>波斯法器錦囊（網站未列地圖）；真知四聖武皇（飛昇大廳）；&lt;真知四聖武皇&gt;（真七寶仙境　貳）；地獄女爵（凱旋廣場、聖禱天廳）；瑞照天官（飛雲忘野、橫劍天關）；騰湧之水（飛簷頂徑、波斯西市、法誡參道）；[騰湧之水]（網站未列地圖）；掀濤水妖（網站未列地圖）；瀚水聖靈（萬識聖宮）；太古水靈（網站未列地圖）</x:t>
        </x:is>
      </x:c>
    </x:row>
    <x:row r="4620" ht="45" customHeight="1">
      <x:c r="A4620" s="55" t="str">
        <x:v>明祈聖火令</x:v>
      </x:c>
      <x:c r="B4620" s="55" t="str">
        <x:v>—</x:v>
      </x:c>
      <x:c r="C4620" s="55" t="str">
        <x:v>—</x:v>
      </x:c>
      <x:c r="D4620" s="55" t="str">
        <x:v>—</x:v>
      </x:c>
      <x:c r="E4620" s="55" t="inlineStr">
        <x:is>
          <x:t>波斯法器錦囊（網站未列地圖）；真知四聖武皇（飛昇大廳）；&lt;真知四聖武皇&gt;（真七寶仙境　貳）；紫羽災后（凱旋廣場、聖禱天廳）；焚怒之火（飛簷頂徑、波斯西市、法誡參道）；[焚怒之火]（網站未列地圖）；熔岩火妖（網站未列地圖）；通天術師（飛簷頂徑、波斯西市、法誡參道）</x:t>
        </x:is>
      </x:c>
    </x:row>
    <x:row r="4621" ht="45" customHeight="1">
      <x:c r="A4621" s="55" t="str">
        <x:v>奔雷金龍玉</x:v>
      </x:c>
      <x:c r="B4621" s="55" t="str">
        <x:v>—</x:v>
      </x:c>
      <x:c r="C4621" s="55" t="str">
        <x:v>—</x:v>
      </x:c>
      <x:c r="D4621" s="55" t="str">
        <x:v>—</x:v>
      </x:c>
      <x:c r="E4621" s="55" t="inlineStr">
        <x:is>
          <x:t>波斯法器錦囊（網站未列地圖）；真知四聖武皇（飛昇大廳）；&lt;真知四聖武皇&gt;（真七寶仙境　貳）；煉獄魔梟（凱旋廣場、聖禱天廳）；酷瘧蜥魔（獅堡軍事區、凱旋廣場、聖禱天廳）；雲蛟巨將（九霄天樓）；銳牙大鱷（異時界‧亂藤林南）；搫土聖靈（萬識聖宮）；太古土魁（網站未列地圖）；掀濤水靈（漆黑水路、真知寺）</x:t>
        </x:is>
      </x:c>
    </x:row>
    <x:row r="4622" ht="30" customHeight="1">
      <x:c r="A4622" s="55" t="str">
        <x:v>受難神子像</x:v>
      </x:c>
      <x:c r="B4622" s="55" t="str">
        <x:v>—</x:v>
      </x:c>
      <x:c r="C4622" s="55" t="str">
        <x:v>—</x:v>
      </x:c>
      <x:c r="D4622" s="55" t="str">
        <x:v>—</x:v>
      </x:c>
      <x:c r="E4622" s="55" t="inlineStr">
        <x:is>
          <x:t>帝國法器錦囊（網站未列地圖）；凰權天督（橫劍天關、仙庭玉階、闕真金閣）；深闕智冕（網站未列地圖）；肅狄夷公（天啟八關）；地獄女爵（凱旋廣場、聖禱天廳）</x:t>
        </x:is>
      </x:c>
    </x:row>
    <x:row r="4623" ht="30" customHeight="1">
      <x:c r="A4623" s="55" t="str">
        <x:v>慈恩聖母像</x:v>
      </x:c>
      <x:c r="B4623" s="55" t="str">
        <x:v>—</x:v>
      </x:c>
      <x:c r="C4623" s="55" t="str">
        <x:v>—</x:v>
      </x:c>
      <x:c r="D4623" s="55" t="str">
        <x:v>—</x:v>
      </x:c>
      <x:c r="E4623" s="55" t="inlineStr">
        <x:is>
          <x:t>帝國法器錦囊（網站未列地圖）；酒肉豬仙（仙庭玉階、闕真金閣）；天地散仙（網站未列地圖）；太古射俑（紫雷轟原）；禍翼巨龍（擎空壁壘、凱旋廣場）</x:t>
        </x:is>
      </x:c>
    </x:row>
    <x:row r="4624" ht="30" customHeight="1">
      <x:c r="A4624" s="55" t="str">
        <x:v>歸真道卷</x:v>
      </x:c>
      <x:c r="B4624" s="55" t="str">
        <x:v>—</x:v>
      </x:c>
      <x:c r="C4624" s="55" t="str">
        <x:v>—</x:v>
      </x:c>
      <x:c r="D4624" s="55" t="str">
        <x:v>—</x:v>
      </x:c>
      <x:c r="E4624" s="55" t="inlineStr">
        <x:is>
          <x:t>九天法器錦囊（網站未列地圖）；真道修者（四聖祭台）；魔樹精（異時界‧亂藤林）；疲憊的百眼巫師（異時界‧亂藤林東）；百眼巫師（異時界‧亂藤林南）；雷域金仙（天啟八關）；轟原風精（紫雷轟原）</x:t>
        </x:is>
      </x:c>
    </x:row>
    <x:row r="4625" ht="15" customHeight="1">
      <x:c r="A4625" s="55" t="str">
        <x:v>心火長燈</x:v>
      </x:c>
      <x:c r="B4625" s="55" t="str">
        <x:v>—</x:v>
      </x:c>
      <x:c r="C4625" s="55" t="str">
        <x:v>—</x:v>
      </x:c>
      <x:c r="D4625" s="55" t="str">
        <x:v>—</x:v>
      </x:c>
      <x:c r="E4625" s="55" t="inlineStr">
        <x:is>
          <x:t>九天法器錦囊（網站未列地圖）；火喉蟾蜍（異時界‧亂藤林）</x:t>
        </x:is>
      </x:c>
    </x:row>
    <x:row r="4626" ht="60" customHeight="1">
      <x:c r="A4626" s="55" t="str">
        <x:v>蓮花燈</x:v>
      </x:c>
      <x:c r="B4626" s="55" t="str">
        <x:v>—</x:v>
      </x:c>
      <x:c r="C4626" s="55" t="str">
        <x:v>京城劍派傳功長者、京城僧廟覺塵戒師、祁州劍派傳功長者、祁州僧廟靜虛戒師、玄州劍派傳功長老、玄州僧廟苦定戒師</x:v>
      </x:c>
      <x:c r="D4626" s="55" t="str">
        <x:v>—</x:v>
      </x:c>
      <x:c r="E4626" s="55" t="inlineStr">
        <x:is>
          <x:t>—</x:t>
        </x:is>
      </x:c>
    </x:row>
    <x:row r="4627" ht="45" customHeight="1">
      <x:c r="A4627" s="55" t="str">
        <x:v>黃銅鈴杵</x:v>
      </x:c>
      <x:c r="B4627" s="55" t="str">
        <x:v>—</x:v>
      </x:c>
      <x:c r="C4627" s="55" t="str">
        <x:v>京城劍派傳功長者、京城僧廟覺塵戒師、祁州僧廟靜虛戒師、玄州僧廟苦定戒師</x:v>
      </x:c>
      <x:c r="D4627" s="55" t="str">
        <x:v>—</x:v>
      </x:c>
      <x:c r="E4627" s="55" t="inlineStr">
        <x:is>
          <x:t>—</x:t>
        </x:is>
      </x:c>
    </x:row>
    <x:row r="4628" ht="45" customHeight="1">
      <x:c r="A4628" s="55" t="str">
        <x:v>光明轉經輪</x:v>
      </x:c>
      <x:c r="B4628" s="55" t="str">
        <x:v>—</x:v>
      </x:c>
      <x:c r="C4628" s="55" t="str">
        <x:v>京城僧廟覺塵戒師、祁州僧廟靜虛戒師、玄州劍派傳功長老、玄州僧廟苦定戒師</x:v>
      </x:c>
      <x:c r="D4628" s="55" t="str">
        <x:v>—</x:v>
      </x:c>
      <x:c r="E4628" s="55" t="inlineStr">
        <x:is>
          <x:t>狂猴（葬劍崖護法院、試煉之窟）；蜘蛛（踏雲頂梵天寺、試煉之窟）</x:t>
        </x:is>
      </x:c>
    </x:row>
    <x:row r="4629" ht="30" customHeight="1">
      <x:c r="A4629" s="55" t="str">
        <x:v>淨水寶瓶</x:v>
      </x:c>
      <x:c r="B4629" s="55" t="str">
        <x:v>—</x:v>
      </x:c>
      <x:c r="C4629" s="55" t="str">
        <x:v>京城僧廟覺塵戒師、祁州僧廟靜虛戒師、玄州僧廟苦定戒師</x:v>
      </x:c>
      <x:c r="D4629" s="55" t="str">
        <x:v>—</x:v>
      </x:c>
      <x:c r="E4629" s="55" t="inlineStr">
        <x:is>
          <x:t>蜘蛛（踏雲頂梵天寺、試煉之窟）</x:t>
        </x:is>
      </x:c>
    </x:row>
    <x:row r="4630" ht="45" customHeight="1">
      <x:c r="A4630" s="55" t="str">
        <x:v>如意轉經輪</x:v>
      </x:c>
      <x:c r="B4630" s="55" t="str">
        <x:v>—</x:v>
      </x:c>
      <x:c r="C4630" s="55" t="str">
        <x:v>京城僧廟覺塵戒師、祁州僧廟靜虛戒師、玄州劍派傳功長老、玄州僧廟苦定戒師</x:v>
      </x:c>
      <x:c r="D4630" s="55" t="str">
        <x:v>—</x:v>
      </x:c>
      <x:c r="E4630" s="55" t="inlineStr">
        <x:is>
          <x:t>蜘蛛（踏雲頂梵天寺、試煉之窟）</x:t>
        </x:is>
      </x:c>
    </x:row>
    <x:row r="4631" ht="30" customHeight="1">
      <x:c r="A4631" s="55" t="str">
        <x:v>銀月法螺</x:v>
      </x:c>
      <x:c r="B4631" s="55" t="str">
        <x:v>—</x:v>
      </x:c>
      <x:c r="C4631" s="55" t="str">
        <x:v>京城僧廟覺塵戒師、祁州僧廟靜虛戒師、玄州僧廟苦定戒師</x:v>
      </x:c>
      <x:c r="D4631" s="55" t="str">
        <x:v>—</x:v>
      </x:c>
      <x:c r="E4631" s="55" t="inlineStr">
        <x:is>
          <x:t>—</x:t>
        </x:is>
      </x:c>
    </x:row>
    <x:row r="4632" ht="45" customHeight="1">
      <x:c r="A4632" s="55" t="str">
        <x:v>金玉佛盒</x:v>
      </x:c>
      <x:c r="B4632" s="55" t="str">
        <x:v>—</x:v>
      </x:c>
      <x:c r="C4632" s="55" t="str">
        <x:v>京城僧廟覺塵戒師、祁州僧廟靜虛戒師、玄州劍派傳功長老、玄州僧廟苦定戒師</x:v>
      </x:c>
      <x:c r="D4632" s="55" t="str">
        <x:v>—</x:v>
      </x:c>
      <x:c r="E4632" s="55" t="inlineStr">
        <x:is>
          <x:t>蜘蛛（踏雲頂梵天寺、試煉之窟）</x:t>
        </x:is>
      </x:c>
    </x:row>
    <x:row r="4633" ht="30" customHeight="1">
      <x:c r="A4633" s="55" t="str">
        <x:v>降魔杵</x:v>
      </x:c>
      <x:c r="B4633" s="55" t="str">
        <x:v>—</x:v>
      </x:c>
      <x:c r="C4633" s="55" t="str">
        <x:v>京城僧廟覺塵戒師、祁州僧廟靜虛戒師、玄州僧廟苦定戒師</x:v>
      </x:c>
      <x:c r="D4633" s="55" t="str">
        <x:v>—</x:v>
      </x:c>
      <x:c r="E4633" s="55" t="inlineStr">
        <x:is>
          <x:t>—</x:t>
        </x:is>
      </x:c>
    </x:row>
    <x:row r="4634" ht="45" customHeight="1">
      <x:c r="A4634" s="55" t="str">
        <x:v>天禪寶鏡</x:v>
      </x:c>
      <x:c r="B4634" s="55" t="str">
        <x:v>—</x:v>
      </x:c>
      <x:c r="C4634" s="55" t="str">
        <x:v>京城僧廟覺塵戒師、祁州劍派傳功長者、祁州僧廟靜虛戒師、玄州僧廟苦定戒師</x:v>
      </x:c>
      <x:c r="D4634" s="55" t="str">
        <x:v>—</x:v>
      </x:c>
      <x:c r="E4634" s="55" t="inlineStr">
        <x:is>
          <x:t>—</x:t>
        </x:is>
      </x:c>
    </x:row>
    <x:row r="4635" ht="15" customHeight="1">
      <x:c r="A4635" s="55" t="str">
        <x:v>地藏金印</x:v>
      </x:c>
      <x:c r="B4635" s="55" t="str">
        <x:v>—</x:v>
      </x:c>
      <x:c r="C4635" s="55" t="str">
        <x:v>祁州僧廟靜虛戒師、玄州僧廟苦定戒師</x:v>
      </x:c>
      <x:c r="D4635" s="55" t="str">
        <x:v>—</x:v>
      </x:c>
      <x:c r="E4635" s="55" t="inlineStr">
        <x:is>
          <x:t>—</x:t>
        </x:is>
      </x:c>
    </x:row>
    <x:row r="4636" ht="30" customHeight="1">
      <x:c r="A4636" s="55" t="str">
        <x:v>日月寶塔</x:v>
      </x:c>
      <x:c r="B4636" s="55" t="str">
        <x:v>—</x:v>
      </x:c>
      <x:c r="C4636" s="55" t="str">
        <x:v>京城僧廟覺塵戒師、祁州僧廟靜虛戒師、玄州僧廟苦定戒師</x:v>
      </x:c>
      <x:c r="D4636" s="55" t="str">
        <x:v>—</x:v>
      </x:c>
      <x:c r="E4636" s="55" t="inlineStr">
        <x:is>
          <x:t>—</x:t>
        </x:is>
      </x:c>
    </x:row>
    <x:row r="4637" ht="15" customHeight="1">
      <x:c r="A4637" s="55" t="str">
        <x:v>降魔寶塔</x:v>
      </x:c>
      <x:c r="B4637" s="55" t="str">
        <x:v>—</x:v>
      </x:c>
      <x:c r="C4637" s="55" t="str">
        <x:v>玄州僧廟苦定戒師</x:v>
      </x:c>
      <x:c r="D4637" s="55" t="str">
        <x:v>—</x:v>
      </x:c>
      <x:c r="E4637" s="55" t="inlineStr">
        <x:is>
          <x:t>—</x:t>
        </x:is>
      </x:c>
    </x:row>
    <x:row r="4638" ht="45" customHeight="1">
      <x:c r="A4638" s="55" t="str">
        <x:v>淨心轉經輪</x:v>
      </x:c>
      <x:c r="B4638" s="55" t="str">
        <x:v>—</x:v>
      </x:c>
      <x:c r="C4638" s="55" t="str">
        <x:v>京城僧廟覺塵戒師、祁州劍派傳功長者、祁州僧廟靜虛戒師、玄州僧廟苦定戒師</x:v>
      </x:c>
      <x:c r="D4638" s="55" t="str">
        <x:v>—</x:v>
      </x:c>
      <x:c r="E4638" s="55" t="inlineStr">
        <x:is>
          <x:t>—</x:t>
        </x:is>
      </x:c>
    </x:row>
    <x:row r="4639" ht="15" customHeight="1">
      <x:c r="A4639" s="55" t="str">
        <x:v>四方法輪</x:v>
      </x:c>
      <x:c r="B4639" s="55" t="str">
        <x:v>—</x:v>
      </x:c>
      <x:c r="C4639" s="55" t="str">
        <x:v>玄州僧廟苦定戒師</x:v>
      </x:c>
      <x:c r="D4639" s="55" t="str">
        <x:v>—</x:v>
      </x:c>
      <x:c r="E4639" s="55" t="inlineStr">
        <x:is>
          <x:t>—</x:t>
        </x:is>
      </x:c>
    </x:row>
    <x:row r="4640" ht="30" customHeight="1">
      <x:c r="A4640" s="55" t="str">
        <x:v>聖火法輪</x:v>
      </x:c>
      <x:c r="B4640" s="55" t="str">
        <x:v>—</x:v>
      </x:c>
      <x:c r="C4640" s="55" t="str">
        <x:v>京城僧廟覺塵戒師、祁州僧廟靜虛戒師、玄州僧廟苦定戒師</x:v>
      </x:c>
      <x:c r="D4640" s="55" t="str">
        <x:v>—</x:v>
      </x:c>
      <x:c r="E4640" s="55" t="inlineStr">
        <x:is>
          <x:t>—</x:t>
        </x:is>
      </x:c>
    </x:row>
    <x:row r="4641" ht="15" customHeight="1">
      <x:c r="A4641" s="55" t="str">
        <x:v>佛陀咒幔</x:v>
      </x:c>
      <x:c r="B4641" s="55" t="str">
        <x:v>—</x:v>
      </x:c>
      <x:c r="C4641" s="55" t="str">
        <x:v>祁州僧廟靜虛戒師、玄州僧廟苦定戒師</x:v>
      </x:c>
      <x:c r="D4641" s="55" t="str">
        <x:v>—</x:v>
      </x:c>
      <x:c r="E4641" s="55" t="inlineStr">
        <x:is>
          <x:t>—</x:t>
        </x:is>
      </x:c>
    </x:row>
    <x:row r="4642" ht="15" customHeight="1">
      <x:c r="A4642" s="55" t="str">
        <x:v>天鐵鈴杵</x:v>
      </x:c>
      <x:c r="B4642" s="55" t="str">
        <x:v>—</x:v>
      </x:c>
      <x:c r="C4642" s="55" t="str">
        <x:v>祁州僧廟靜虛戒師</x:v>
      </x:c>
      <x:c r="D4642" s="55" t="str">
        <x:v>—</x:v>
      </x:c>
      <x:c r="E4642" s="55" t="inlineStr">
        <x:is>
          <x:t>—</x:t>
        </x:is>
      </x:c>
    </x:row>
    <x:row r="4643" ht="45" customHeight="1">
      <x:c r="A4643" s="55" t="str">
        <x:v>四方聖光杵</x:v>
      </x:c>
      <x:c r="B4643" s="55" t="str">
        <x:v>—</x:v>
      </x:c>
      <x:c r="C4643" s="55" t="str">
        <x:v>—</x:v>
      </x:c>
      <x:c r="D4643" s="55" t="str">
        <x:v>—</x:v>
      </x:c>
      <x:c r="E4643" s="55" t="inlineStr">
        <x:is>
          <x:t>經典法器錦囊（網站未列地圖）；刑天魔王（葬日沼澤南方）；力士俑（古皇陵第二層、古皇陵第三層）；{力士俑}（古皇陵密室）；噬屍地蟲（摩羅國境）；刑天戰狂（亂藤林、葬日沼澤、葬日沼澤南方）；刑天戰狂（亂藤林、葬日沼澤、葬日沼澤南方、異時界‧亂藤林）</x:t>
        </x:is>
      </x:c>
    </x:row>
    <x:row r="4644" ht="15" customHeight="1">
      <x:c r="A4644" s="55" t="str">
        <x:v>如意金缽</x:v>
      </x:c>
      <x:c r="B4644" s="55" t="str">
        <x:v>僧侶祈州任務-、救贖冤死鬼魂</x:v>
      </x:c>
      <x:c r="C4644" s="55" t="str">
        <x:v>—</x:v>
      </x:c>
      <x:c r="D4644" s="55" t="str">
        <x:v>—</x:v>
      </x:c>
      <x:c r="E4644" s="55" t="inlineStr">
        <x:is>
          <x:t>經典法器錦囊（網站未列地圖）；巨鮫平次郎（長野沙濱）</x:t>
        </x:is>
      </x:c>
    </x:row>
    <x:row r="4645" ht="15" customHeight="1">
      <x:c r="A4645" s="55" t="str">
        <x:v>梵天法輪</x:v>
      </x:c>
      <x:c r="B4645" s="55" t="str">
        <x:v>—</x:v>
      </x:c>
      <x:c r="C4645" s="55" t="str">
        <x:v>玄州僧廟苦定戒師</x:v>
      </x:c>
      <x:c r="D4645" s="55" t="str">
        <x:v>—</x:v>
      </x:c>
      <x:c r="E4645" s="55" t="inlineStr">
        <x:is>
          <x:t>直島新太郎（外崎埠原）</x:t>
        </x:is>
      </x:c>
    </x:row>
    <x:row r="4646" ht="105" customHeight="1">
      <x:c r="A4646" s="55" t="str">
        <x:v>甘露寶瓶</x:v>
      </x:c>
      <x:c r="B4646" s="55" t="str">
        <x:v>—</x:v>
      </x:c>
      <x:c r="C4646" s="55" t="str">
        <x:v>—</x:v>
      </x:c>
      <x:c r="D4646" s="55" t="str">
        <x:v>—</x:v>
      </x:c>
      <x:c r="E4646" s="55" t="inlineStr">
        <x:is>
          <x:t>懷古法器錦囊（網站未列地圖）；毒血屍（猛鬼窟第一層、猛鬼窟第二層、萬人塚第二層、朝天觀、萬人塚第三層）；吸精鬼屍（五派禁地）；惡靈殭屍（五派禁地）；巨靈悍匪（千佛遺跡東側）；死靈殭屍（網站未列地圖）；天邪道人（長林谷）；火骨精長老（五派禁地）；冰骨精長老（五派禁地）；冥骨精長老（五派禁地、古皇陵密室）；風雷頭陀（長林谷）；白骨精長老（五派禁地）；裂隙火靈（烈火靈界裂隙）；裂隙冰靈（怒雪靈界裂隙）；裂隙蠱靈（瘴癘靈界裂隙）；黯夜妖魔（桃花林西方）；獵人頭祭司（亂石林、大汗陵墓）；祭司幻影（亂石林）；萬嗔惡靈（鬼城）；吸血殭屍（猛鬼窟第二層、萬人塚第三層、樓蘭遺址）；[吸血殭屍]（網站未列地圖）；海魅（東方海域）；嗜血頭陀（天山雪道、亂藤林東方）；秘法僧（天山雪道、亂藤林東方）；鬼將妖河童（伊取川大陣）</x:t>
        </x:is>
      </x:c>
    </x:row>
    <x:row r="4647" ht="150" customHeight="1">
      <x:c r="A4647" s="55" t="str">
        <x:v>金日法螺</x:v>
      </x:c>
      <x:c r="B4647" s="55" t="str">
        <x:v>—</x:v>
      </x:c>
      <x:c r="C4647" s="55" t="str">
        <x:v>—</x:v>
      </x:c>
      <x:c r="D4647" s="55" t="str">
        <x:v>—</x:v>
      </x:c>
      <x:c r="E4647" s="55" t="inlineStr">
        <x:is>
          <x:t>經典法器錦囊（網站未列地圖）；鬼城包裹（網站未列地圖）；吸精鬼屍（五派禁地）；惡靈殭屍（五派禁地）；夜帝之僕（網站未列地圖）；無念僧（千佛遺跡西側、摩羅國境）；千年花精（亂藤林南方、葬日沼澤北方）；[千年花精]（網站未列地圖）；屍花精（五派禁地）；死靈殭屍（網站未列地圖）；吸血殭屍（猛鬼窟第二層、萬人塚第三層、樓蘭遺址）；[吸血殭屍]（網站未列地圖）；毒巨蛟（毒龍潭）；海龍（網站未列地圖）；真火神龍（五派禁地）；玄冰神龍（五派禁地）；天邪道人（長林谷）；火骨精長老（五派禁地）；冰骨精長老（五派禁地）；冥骨精長老（五派禁地、古皇陵密室）；風雷頭陀（長林谷）；白骨精長老（五派禁地）；白骨精（猛鬼窟第二層、萬人塚第二層、萬人塚第三層）；[白骨精]（網站未列地圖）；林魅（桃花林、桃花林西方、掩月松林）；林魅（盤蛇洞、掩月松林）；青龍（龍宮第五層）；林魔（桃花林西方）；嗜血頭陀（天山雪道、亂藤林東方）；秘法僧（天山雪道、亂藤林東方）；死靈骷髏（魔君陵墓）；死靈弓手（魔君陵墓）；花精（亂藤林、亂藤林南方、葬日沼澤、葬日沼澤北方）；綠林花妖（網站未列地圖）；小黑龍（龍宮第七層）；鬼將大天狗（伊取川大陣）</x:t>
        </x:is>
      </x:c>
    </x:row>
    <x:row r="4648" ht="60" customHeight="1">
      <x:c r="A4648" s="55" t="str">
        <x:v>梵天法環</x:v>
      </x:c>
      <x:c r="B4648" s="55" t="str">
        <x:v>—</x:v>
      </x:c>
      <x:c r="C4648" s="55" t="str">
        <x:v>—</x:v>
      </x:c>
      <x:c r="D4648" s="55" t="str">
        <x:v>—</x:v>
      </x:c>
      <x:c r="E4648" s="55" t="inlineStr">
        <x:is>
          <x:t>懷古法器錦囊（網站未列地圖）；火骨獄卒（五派禁地）；隱者狸仙（網站未列地圖）；[隱者狸仙]（網站未列地圖）；死靈殭屍（網站未列地圖）；雷骨獄卒（五派禁地）；百眼長老（摘星嶺、魔君陵墓、魔君陵寢一層、魔君陵寢二層）；寒骨獄卒（五派禁地）；冥骨獄卒（五派禁地）；百眼密探（毒龍潭）；死靈水母（龍宮第七層、龍宮八層一隅、龍宮八層廣場）；白骨精（猛鬼窟第二層、萬人塚第二層、萬人塚第三層）；[白骨精]（網站未列地圖）</x:t>
        </x:is>
      </x:c>
    </x:row>
    <x:row r="4649" ht="75" customHeight="1">
      <x:c r="A4649" s="55" t="str">
        <x:v>風火輪</x:v>
      </x:c>
      <x:c r="B4649" s="55" t="str">
        <x:v>—</x:v>
      </x:c>
      <x:c r="C4649" s="55" t="str">
        <x:v>—</x:v>
      </x:c>
      <x:c r="D4649" s="55" t="str">
        <x:v>—</x:v>
      </x:c>
      <x:c r="E4649" s="55" t="inlineStr">
        <x:is>
          <x:t>經典法器錦囊（網站未列地圖）；死靈殭屍（網站未列地圖）；鬼城包裹（網站未列地圖）；吸精鬼屍（五派禁地）；惡靈殭屍（五派禁地）；吸血殭屍（猛鬼窟第二層、萬人塚第三層、樓蘭遺址）；[吸血殭屍]（網站未列地圖）；山魅（瀰煙山道、半天岩）；山魅（盤蛇洞、半天岩）；天邪道人（長林谷）；食人巨鱷（葬日沼澤北方）；山魔（桃花林西方）；死靈骷髏（魔君陵墓）；死靈弓手（魔君陵墓）；巨錘猴精（千佛遺跡東側、千佛遺跡西側）；[巨錘猴精]（網站未列地圖）；秘法僧（天山雪道、亂藤林東方）；鬼將青面般若（伊取川大陣）</x:t>
        </x:is>
      </x:c>
    </x:row>
    <x:row r="4650" ht="90" customHeight="1">
      <x:c r="A4650" s="55" t="str">
        <x:v>無量佛印</x:v>
      </x:c>
      <x:c r="B4650" s="55" t="str">
        <x:v>—</x:v>
      </x:c>
      <x:c r="C4650" s="55" t="str">
        <x:v>—</x:v>
      </x:c>
      <x:c r="D4650" s="55" t="str">
        <x:v>—</x:v>
      </x:c>
      <x:c r="E4650" s="55" t="inlineStr">
        <x:is>
          <x:t>懷古法器錦囊（網站未列地圖）；百眼長老（摘星嶺、魔君陵墓、魔君陵寢一層、魔君陵寢二層）；百眼密探（毒龍潭）；吸精鬼屍（五派禁地）；惡靈殭屍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滅界邪陀（金霄佛寺、濕婆神廟）；濕婆神教祭司（大梵河岸）；百眼巫師（毒龍潭、摘星嶺、魔君陵墓、魔君陵寢一層、魔君陵寢二層、修羅窟）；巨靈魔王（摘星嶺、魔君陵墓、魔君陵寢一層、修羅窟）；晶凍傀儡（寒愴冰獄）</x:t>
        </x:is>
      </x:c>
    </x:row>
    <x:row r="4651" ht="15" customHeight="1">
      <x:c r="A4651" s="55" t="str">
        <x:v>萬佛寶塔</x:v>
      </x:c>
      <x:c r="B4651" s="55" t="str">
        <x:v>—</x:v>
      </x:c>
      <x:c r="C4651" s="55" t="str">
        <x:v>祁州僧廟靜虛戒師</x:v>
      </x:c>
      <x:c r="D4651" s="55" t="str">
        <x:v>—</x:v>
      </x:c>
      <x:c r="E4651" s="55" t="inlineStr">
        <x:is>
          <x:t>—</x:t>
        </x:is>
      </x:c>
    </x:row>
    <x:row r="4652" ht="30" customHeight="1">
      <x:c r="A4652" s="55" t="str">
        <x:v>舍利寶塔</x:v>
      </x:c>
      <x:c r="B4652" s="55" t="str">
        <x:v>—</x:v>
      </x:c>
      <x:c r="C4652" s="55" t="str">
        <x:v>—</x:v>
      </x:c>
      <x:c r="D4652" s="55" t="str">
        <x:v>—</x:v>
      </x:c>
      <x:c r="E4652" s="55" t="inlineStr">
        <x:is>
          <x:t>經典法器錦囊（網站未列地圖）；邪教道長（飛仙岩、朝天嶺、朝天觀、亂藤林東方）；拔山象妖（摩羅國境、菩提聖原）；[拔山象妖]（網站未列地圖）</x:t>
        </x:is>
      </x:c>
    </x:row>
    <x:row r="4653" ht="75" customHeight="1">
      <x:c r="A4653" s="55" t="str">
        <x:v>玉漿寶瓶</x:v>
      </x:c>
      <x:c r="B4653" s="55" t="str">
        <x:v>—</x:v>
      </x:c>
      <x:c r="C4653" s="55" t="str">
        <x:v>—</x:v>
      </x:c>
      <x:c r="D4653" s="55" t="str">
        <x:v>—</x:v>
      </x:c>
      <x:c r="E4653" s="55" t="inlineStr">
        <x:is>
          <x:t>懷古法器錦囊（網站未列地圖）；金翅王（鷹翅族部落）；鬼城包裹（網站未列地圖）；吸精鬼屍（五派禁地）；惡靈殭屍（五派禁地）；雷骨獄卒（五派禁地）；寒骨獄卒（五派禁地）；火骨獄卒（五派禁地）；冥骨獄卒（五派禁地）；死靈殭屍（網站未列地圖）；裂隙火靈（烈火靈界裂隙）；裂隙冰靈（怒雪靈界裂隙）；裂隙蠱靈（瘴癘靈界裂隙）；黯夜妖魔（桃花林西方）；萬嗔惡靈（鬼城）；吸血殭屍（猛鬼窟第二層、萬人塚第三層、樓蘭遺址）；[吸血殭屍]（網站未列地圖）；白骨精（猛鬼窟第二層、萬人塚第二層、萬人塚第三層）；[白骨精]（網站未列地圖）</x:t>
        </x:is>
      </x:c>
    </x:row>
    <x:row r="4654" ht="15" customHeight="1">
      <x:c r="A4654" s="55" t="str">
        <x:v>如來法螺</x:v>
      </x:c>
      <x:c r="B4654" s="55" t="str">
        <x:v>—</x:v>
      </x:c>
      <x:c r="C4654" s="55" t="str">
        <x:v>天外神僧、焚風禿鷹</x:v>
      </x:c>
      <x:c r="D4654" s="55" t="str">
        <x:v>—</x:v>
      </x:c>
      <x:c r="E4654" s="55" t="inlineStr">
        <x:is>
          <x:t>天外神僧（五派禁地）；焚風禿鷹（菩提聖原）</x:t>
        </x:is>
      </x:c>
    </x:row>
    <x:row r="4655" ht="15" customHeight="1">
      <x:c r="A4655" s="55" t="str">
        <x:v>無相佛印</x:v>
      </x:c>
      <x:c r="B4655" s="55" t="str">
        <x:v>—</x:v>
      </x:c>
      <x:c r="C4655" s="55" t="str">
        <x:v>高昌-無籍小僧</x:v>
      </x:c>
      <x:c r="D4655" s="55" t="str">
        <x:v>—</x:v>
      </x:c>
      <x:c r="E4655" s="55" t="inlineStr">
        <x:is>
          <x:t>—</x:t>
        </x:is>
      </x:c>
    </x:row>
    <x:row r="4656" ht="15" customHeight="1">
      <x:c r="A4656" s="55" t="str">
        <x:v>萬羅地藏印</x:v>
      </x:c>
      <x:c r="B4656" s="55" t="str">
        <x:v>—</x:v>
      </x:c>
      <x:c r="C4656" s="55" t="str">
        <x:v>高昌-無籍小僧</x:v>
      </x:c>
      <x:c r="D4656" s="55" t="str">
        <x:v>—</x:v>
      </x:c>
      <x:c r="E4656" s="55" t="inlineStr">
        <x:is>
          <x:t>—</x:t>
        </x:is>
      </x:c>
    </x:row>
    <x:row r="4657" ht="15" customHeight="1">
      <x:c r="A4657" s="55" t="str">
        <x:v>日月金剛塔</x:v>
      </x:c>
      <x:c r="B4657" s="55" t="str">
        <x:v>—</x:v>
      </x:c>
      <x:c r="C4657" s="55" t="str">
        <x:v>高昌-無籍小僧</x:v>
      </x:c>
      <x:c r="D4657" s="55" t="str">
        <x:v>—</x:v>
      </x:c>
      <x:c r="E4657" s="55" t="inlineStr">
        <x:is>
          <x:t>—</x:t>
        </x:is>
      </x:c>
    </x:row>
    <x:row r="4658" ht="15" customHeight="1">
      <x:c r="A4658" s="55" t="str">
        <x:v>般若降魔塔</x:v>
      </x:c>
      <x:c r="B4658" s="55" t="str">
        <x:v>—</x:v>
      </x:c>
      <x:c r="C4658" s="55" t="str">
        <x:v>高昌-無籍小僧</x:v>
      </x:c>
      <x:c r="D4658" s="55" t="str">
        <x:v>—</x:v>
      </x:c>
      <x:c r="E4658" s="55" t="inlineStr">
        <x:is>
          <x:t>—</x:t>
        </x:is>
      </x:c>
    </x:row>
    <x:row r="4659" ht="30" customHeight="1">
      <x:c r="A4659" s="55" t="str">
        <x:v>如來五指印</x:v>
      </x:c>
      <x:c r="B4659" s="55" t="str">
        <x:v>—</x:v>
      </x:c>
      <x:c r="C4659" s="55" t="str">
        <x:v>—</x:v>
      </x:c>
      <x:c r="D4659" s="55" t="str">
        <x:v>—</x:v>
      </x:c>
      <x:c r="E4659" s="55" t="inlineStr">
        <x:is>
          <x:t>天照法器錦囊（網站未列地圖）；波斯戰士（止戰邊境）；鬼牙開眼（枉死之城、永劫刑場、九曲邪徑）；赦世驃騎（寒愴冰獄、奈落紅川、荒禍殘墟）；斬斧牛妖（三途之都、枉死之城、悲歡渡口）</x:t>
        </x:is>
      </x:c>
    </x:row>
    <x:row r="4660" ht="60" customHeight="1">
      <x:c r="A4660" s="55" t="str">
        <x:v>七寶金佛尊</x:v>
      </x:c>
      <x:c r="B4660" s="55" t="str">
        <x:v>—</x:v>
      </x:c>
      <x:c r="C4660" s="55" t="str">
        <x:v>—</x:v>
      </x:c>
      <x:c r="D4660" s="55" t="str">
        <x:v>—</x:v>
      </x:c>
      <x:c r="E4660" s="55" t="inlineStr">
        <x:is>
          <x:t>天照法器錦囊（網站未列地圖）；巡天遊龍（登龍道）；闇夜死神（擎空壁壘）；化屍大魔棺（森羅閻殿、九曲邪徑、奈落紅川、荒禍殘墟）；鬼曹馬面（網站未列地圖）；酆都遊魂（三途之都、枉死之城）；追魂馬面（九曲邪徑、寒愴冰獄）；[追魂馬面]（網站未列地圖）；三途棺差（恨生不歸途、三途之都、枉死之城）；[三途棺差]（網站未列地圖）</x:t>
        </x:is>
      </x:c>
    </x:row>
    <x:row r="4661" ht="30" customHeight="1">
      <x:c r="A4661" s="55" t="str">
        <x:v>天晶真火杵</x:v>
      </x:c>
      <x:c r="B4661" s="55" t="str">
        <x:v>—</x:v>
      </x:c>
      <x:c r="C4661" s="55" t="str">
        <x:v>—</x:v>
      </x:c>
      <x:c r="D4661" s="55" t="str">
        <x:v>—</x:v>
      </x:c>
      <x:c r="E4661" s="55" t="inlineStr">
        <x:is>
          <x:t>天授法器錦囊（網站未列地圖）；天地宰相（仙庭玉階）；波斯蒼鷹（飛簷頂徑）；吐蕃行者（登天棧道、懸空仙嶺）</x:t>
        </x:is>
      </x:c>
    </x:row>
    <x:row r="4662" ht="45" customHeight="1">
      <x:c r="A4662" s="55" t="str">
        <x:v>甘霖寶塔</x:v>
      </x:c>
      <x:c r="B4662" s="55" t="str">
        <x:v>—</x:v>
      </x:c>
      <x:c r="C4662" s="55" t="str">
        <x:v>—</x:v>
      </x:c>
      <x:c r="D4662" s="55" t="str">
        <x:v>—</x:v>
      </x:c>
      <x:c r="E4662" s="55" t="inlineStr">
        <x:is>
          <x:t>天授法器錦囊（網站未列地圖）；饕餮（飛雲忘野、橫劍天關、仙庭玉階）；駱駝（黃塵荒漠、聖域之門）；[駱駝]（網站未列地圖）；雪山冰靈（萬岳聖峰、香格里拉聖路）；傲霜飛龍（吐蕃集鎮、萬岳聖峰、香格里拉聖路、香格里拉神廟）</x:t>
        </x:is>
      </x:c>
    </x:row>
    <x:row r="4663" ht="30" customHeight="1">
      <x:c r="A4663" s="55" t="str">
        <x:v>金身梵蓮印</x:v>
      </x:c>
      <x:c r="B4663" s="55" t="str">
        <x:v>—</x:v>
      </x:c>
      <x:c r="C4663" s="55" t="str">
        <x:v>—</x:v>
      </x:c>
      <x:c r="D4663" s="55" t="str">
        <x:v>—</x:v>
      </x:c>
      <x:c r="E4663" s="55" t="inlineStr">
        <x:is>
          <x:t>秘藏天授法器錦囊（網站未列地圖）；檮杌（繚空碎島、飛雲忘野）；魔喚使者（黃塵荒漠、聖域之門、清教院街）；高原冰靈（登天棧道、懸空仙嶺）；闇心滅宗（神煉之間）</x:t>
        </x:is>
      </x:c>
    </x:row>
    <x:row r="4664" ht="30" customHeight="1">
      <x:c r="A4664" s="55" t="str">
        <x:v>十誡聖像</x:v>
      </x:c>
      <x:c r="B4664" s="55" t="str">
        <x:v>—</x:v>
      </x:c>
      <x:c r="C4664" s="55" t="str">
        <x:v>—</x:v>
      </x:c>
      <x:c r="D4664" s="55" t="str">
        <x:v>—</x:v>
      </x:c>
      <x:c r="E4664" s="55" t="inlineStr">
        <x:is>
          <x:t>天授法器錦囊（網站未列地圖）；真知聖戰士（飛簷頂徑、波斯西市、法誡參道、漆黑水路）；霧峰暴猿（登天棧道）</x:t>
        </x:is>
      </x:c>
    </x:row>
    <x:row r="4665" ht="30" customHeight="1">
      <x:c r="A4665" s="55" t="str">
        <x:v>淨邪聖像</x:v>
      </x:c>
      <x:c r="B4665" s="55" t="str">
        <x:v>—</x:v>
      </x:c>
      <x:c r="C4665" s="55" t="str">
        <x:v>—</x:v>
      </x:c>
      <x:c r="D4665" s="55" t="str">
        <x:v>—</x:v>
      </x:c>
      <x:c r="E4665" s="55" t="inlineStr">
        <x:is>
          <x:t>天授法器錦囊（網站未列地圖）；原始土靈（獅堡軍事區）；金剛仁波切（吐蕃集鎮、香格里拉聖路、香格里拉神廟、天授之間）；九瞋喇嘛（網站未列地圖）；血靈禪尊（網站未列地圖）</x:t>
        </x:is>
      </x:c>
    </x:row>
    <x:row r="4666" ht="45" customHeight="1">
      <x:c r="A4666" s="55" t="str">
        <x:v>蓮華聖像</x:v>
      </x:c>
      <x:c r="B4666" s="55" t="str">
        <x:v>—</x:v>
      </x:c>
      <x:c r="C4666" s="55" t="str">
        <x:v>—</x:v>
      </x:c>
      <x:c r="D4666" s="55" t="str">
        <x:v>—</x:v>
      </x:c>
      <x:c r="E4666" s="55" t="inlineStr">
        <x:is>
          <x:t>天授法器錦囊（網站未列地圖）；神土領主（凱旋廣場、聖禱天廳）；方舟鉻熊（桃谷縱道）；號雨贔屭（始祖巨林．東）；吸魄蛛精（終末之塔第143層、終末之塔第146層）；踏雲頂俠宗（西校場）；金蓮碧手（西宮翠苑）；天門教徒（璇鶯鎮）；遊鬥客（山海長疆、東海道）</x:t>
        </x:is>
      </x:c>
    </x:row>
    <x:row r="4667" ht="60" customHeight="1">
      <x:c r="A4667" s="55" t="str">
        <x:v>如來天掌印</x:v>
      </x:c>
      <x:c r="B4667" s="55" t="str">
        <x:v>—</x:v>
      </x:c>
      <x:c r="C4667" s="55" t="str">
        <x:v>—</x:v>
      </x:c>
      <x:c r="D4667" s="55" t="str">
        <x:v>—</x:v>
      </x:c>
      <x:c r="E4667" s="55" t="inlineStr">
        <x:is>
          <x:t>波斯法器錦囊（網站未列地圖）；真知四聖武皇（飛昇大廳）；&lt;真知四聖武皇&gt;（真七寶仙境　貳）；黑袍魔女（止戰邊境、血鴉嶺）；黑袍魔女（豐穗平原）；巡天千戶（飛雲忘野、橫劍天關）；巨憾之土（清教院街、波斯西市）；旱疆土妖（網站未列地圖）；[巨憾之土]（網站未列地圖）；虎威戰神（真知寺、萬識聖宮）；聖虎衛士（網站未列地圖）</x:t>
        </x:is>
      </x:c>
    </x:row>
    <x:row r="4668" ht="60" customHeight="1">
      <x:c r="A4668" s="55" t="str">
        <x:v>天鬼血懺卷</x:v>
      </x:c>
      <x:c r="B4668" s="55" t="str">
        <x:v>—</x:v>
      </x:c>
      <x:c r="C4668" s="55" t="str">
        <x:v>—</x:v>
      </x:c>
      <x:c r="D4668" s="55" t="str">
        <x:v>—</x:v>
      </x:c>
      <x:c r="E4668" s="55" t="inlineStr">
        <x:is>
          <x:t>波斯法器錦囊（網站未列地圖）；真知四聖武皇（飛昇大廳）；&lt;真知四聖武皇&gt;（真七寶仙境　貳）；惡魔（豐穗平原、血鴉嶺、靜默之丘、擎空壁壘）；聖十字軍（靜默之丘、擎空壁壘、獅堡軍事區）；鋼冑聖騎（網站未列地圖）；怒雷尊者（飛雲忘野、橫劍天關、仙庭玉階）；剎羽風靈（法誡參道、漆黑水路、真知寺）；四相位靈尊（漆黑水路、真知寺、萬識聖宮）</x:t>
        </x:is>
      </x:c>
    </x:row>
    <x:row r="4669" ht="45" customHeight="1">
      <x:c r="A4669" s="55" t="str">
        <x:v>山海寶塔</x:v>
      </x:c>
      <x:c r="B4669" s="55" t="str">
        <x:v>—</x:v>
      </x:c>
      <x:c r="C4669" s="55" t="str">
        <x:v>—</x:v>
      </x:c>
      <x:c r="D4669" s="55" t="str">
        <x:v>—</x:v>
      </x:c>
      <x:c r="E4669" s="55" t="inlineStr">
        <x:is>
          <x:t>波斯法器錦囊（網站未列地圖）；真知四聖武皇（飛昇大廳）；&lt;真知四聖武皇&gt;（真七寶仙境　貳）；冷血狂蜥（血鴉嶺、靜默之丘、獅堡軍事區）；暴風尊者（飛雲忘野、橫劍天關、仙庭玉階）；波斯戰駱（真知寺、萬識聖宮）；華錦戰駝（網站未列地圖）；黃漠力駝（網站未列地圖）</x:t>
        </x:is>
      </x:c>
    </x:row>
    <x:row r="4670" ht="30" customHeight="1">
      <x:c r="A4670" s="55" t="str">
        <x:v>聖言石典</x:v>
      </x:c>
      <x:c r="B4670" s="55" t="str">
        <x:v>—</x:v>
      </x:c>
      <x:c r="C4670" s="55" t="str">
        <x:v>—</x:v>
      </x:c>
      <x:c r="D4670" s="55" t="str">
        <x:v>—</x:v>
      </x:c>
      <x:c r="E4670" s="55" t="inlineStr">
        <x:is>
          <x:t>帝國法器錦囊（網站未列地圖）；九天神將（仙庭玉階、闕真金閣）；八界武軍（網站未列地圖）；太古戰俑（紫雷轟原）；獅堡聖騎士（網站未列地圖）；神耀十字軍（凱旋廣場、聖禱天廳）</x:t>
        </x:is>
      </x:c>
    </x:row>
    <x:row r="4671" ht="30" customHeight="1">
      <x:c r="A4671" s="55" t="str">
        <x:v>花崗天使像</x:v>
      </x:c>
      <x:c r="B4671" s="55" t="str">
        <x:v>—</x:v>
      </x:c>
      <x:c r="C4671" s="55" t="str">
        <x:v>—</x:v>
      </x:c>
      <x:c r="D4671" s="55" t="str">
        <x:v>—</x:v>
      </x:c>
      <x:c r="E4671" s="55" t="inlineStr">
        <x:is>
          <x:t>帝國法器錦囊（網站未列地圖）；天海神蛟（仙庭玉階、闕真金閣）；紫雷蠻蛟（網站未列地圖）；八部天章（天啟八關）；霸戰獅王（聖禱天廳）</x:t>
        </x:is>
      </x:c>
    </x:row>
    <x:row r="4672" ht="30" customHeight="1">
      <x:c r="A4672" s="55" t="str">
        <x:v>大千凡剎</x:v>
      </x:c>
      <x:c r="B4672" s="55" t="str">
        <x:v>—</x:v>
      </x:c>
      <x:c r="C4672" s="55" t="str">
        <x:v>—</x:v>
      </x:c>
      <x:c r="D4672" s="55" t="str">
        <x:v>—</x:v>
      </x:c>
      <x:c r="E4672" s="55" t="inlineStr">
        <x:is>
          <x:t>九天法器錦囊（網站未列地圖）；真禪修者（四聖祭台）；冰眼蟾蜍（異時界‧亂藤林）；土行者（異時界‧亂藤林、異時界‧亂藤林南）；疲憊的土行者（異時界‧亂藤林東）；時真靈狸（天啟八關）；天柱巨靈（紫雷轟原）</x:t>
        </x:is>
      </x:c>
    </x:row>
    <x:row r="4673" ht="15" customHeight="1">
      <x:c r="A4673" s="55" t="str">
        <x:v>降龍羅漢像</x:v>
      </x:c>
      <x:c r="B4673" s="55" t="str">
        <x:v>—</x:v>
      </x:c>
      <x:c r="C4673" s="55" t="str">
        <x:v>—</x:v>
      </x:c>
      <x:c r="D4673" s="55" t="str">
        <x:v>—</x:v>
      </x:c>
      <x:c r="E4673" s="55" t="inlineStr">
        <x:is>
          <x:t>九天法器錦囊（網站未列地圖）；土行鬼王（異時界‧亂藤林南）</x:t>
        </x:is>
      </x:c>
    </x:row>
    <x:row r="4674" ht="30" customHeight="1">
      <x:c r="A4674" s="55" t="str">
        <x:v>夜明珠</x:v>
      </x:c>
      <x:c r="B4674" s="55" t="str">
        <x:v>—</x:v>
      </x:c>
      <x:c r="C4674" s="55" t="str">
        <x:v>京城術者傳功使者、祁州術者總護法、玄州術者總護法</x:v>
      </x:c>
      <x:c r="D4674" s="55" t="str">
        <x:v>—</x:v>
      </x:c>
      <x:c r="E4674" s="55" t="inlineStr">
        <x:is>
          <x:t>—</x:t>
        </x:is>
      </x:c>
    </x:row>
    <x:row r="4675" ht="30" customHeight="1">
      <x:c r="A4675" s="55" t="str">
        <x:v>黑雲扇</x:v>
      </x:c>
      <x:c r="B4675" s="55" t="str">
        <x:v>—</x:v>
      </x:c>
      <x:c r="C4675" s="55" t="str">
        <x:v>京城術者傳功使者、祁州術者總護法、玄州術者總護法</x:v>
      </x:c>
      <x:c r="D4675" s="55" t="str">
        <x:v>—</x:v>
      </x:c>
      <x:c r="E4675" s="55" t="inlineStr">
        <x:is>
          <x:t>蟾蜍（黑水潭地龍穴、試煉之窟）</x:t>
        </x:is>
      </x:c>
    </x:row>
    <x:row r="4676" ht="30" customHeight="1">
      <x:c r="A4676" s="55" t="str">
        <x:v>惡鬼傘</x:v>
      </x:c>
      <x:c r="B4676" s="55" t="str">
        <x:v>—</x:v>
      </x:c>
      <x:c r="C4676" s="55" t="str">
        <x:v>京城術者傳功使者、祁州術者總護法、玄州術者總護法</x:v>
      </x:c>
      <x:c r="D4676" s="55" t="str">
        <x:v>—</x:v>
      </x:c>
      <x:c r="E4676" s="55" t="inlineStr">
        <x:is>
          <x:t>赤烈鬼（伊取川大陣）</x:t>
        </x:is>
      </x:c>
    </x:row>
    <x:row r="4677" ht="30" customHeight="1">
      <x:c r="A4677" s="55" t="str">
        <x:v>震靈鼓</x:v>
      </x:c>
      <x:c r="B4677" s="55" t="str">
        <x:v>—</x:v>
      </x:c>
      <x:c r="C4677" s="55" t="str">
        <x:v>京城術者傳功使者、祁州術者總護法、玄州術者總護法</x:v>
      </x:c>
      <x:c r="D4677" s="55" t="str">
        <x:v>—</x:v>
      </x:c>
      <x:c r="E4677" s="55" t="inlineStr">
        <x:is>
          <x:t>蟾蜍（黑水潭地龍穴、試煉之窟）</x:t>
        </x:is>
      </x:c>
    </x:row>
    <x:row r="4678" ht="30" customHeight="1">
      <x:c r="A4678" s="55" t="str">
        <x:v>毒龍爐</x:v>
      </x:c>
      <x:c r="B4678" s="55" t="str">
        <x:v>—</x:v>
      </x:c>
      <x:c r="C4678" s="55" t="str">
        <x:v>京城術者傳功使者、祁州術者總護法、玄州術者總護法</x:v>
      </x:c>
      <x:c r="D4678" s="55" t="str">
        <x:v>—</x:v>
      </x:c>
      <x:c r="E4678" s="55" t="inlineStr">
        <x:is>
          <x:t>—</x:t>
        </x:is>
      </x:c>
    </x:row>
    <x:row r="4679" ht="30" customHeight="1">
      <x:c r="A4679" s="55" t="str">
        <x:v>定影針</x:v>
      </x:c>
      <x:c r="B4679" s="55" t="str">
        <x:v>—</x:v>
      </x:c>
      <x:c r="C4679" s="55" t="str">
        <x:v>京城術者傳功使者、祁州術者總護法、玄州術者總護法</x:v>
      </x:c>
      <x:c r="D4679" s="55" t="str">
        <x:v>—</x:v>
      </x:c>
      <x:c r="E4679" s="55" t="inlineStr">
        <x:is>
          <x:t>蟾蜍（黑水潭地龍穴、試煉之窟）</x:t>
        </x:is>
      </x:c>
    </x:row>
    <x:row r="4680" ht="30" customHeight="1">
      <x:c r="A4680" s="55" t="str">
        <x:v>千幻鏡</x:v>
      </x:c>
      <x:c r="B4680" s="55" t="str">
        <x:v>—</x:v>
      </x:c>
      <x:c r="C4680" s="55" t="str">
        <x:v>—</x:v>
      </x:c>
      <x:c r="D4680" s="55" t="str">
        <x:v>—</x:v>
      </x:c>
      <x:c r="E4680" s="55" t="inlineStr">
        <x:is>
          <x:t>懷古法器錦囊（網站未列地圖）；月靈珠（網站未列地圖）；邪火刀僧（長林谷）；破戒僧（天山雪道、亂藤林東方）；千年蟾蜍精（百妖穴第二層）；[千年蟾蜍精]（網站未列地圖）；花和尚（天山雪道、亂藤林東方）</x:t>
        </x:is>
      </x:c>
    </x:row>
    <x:row r="4681" ht="15" customHeight="1">
      <x:c r="A4681" s="55" t="str">
        <x:v>百毒鼎</x:v>
      </x:c>
      <x:c r="B4681" s="55" t="str">
        <x:v>—</x:v>
      </x:c>
      <x:c r="C4681" s="55" t="str">
        <x:v>玄州術者總護法</x:v>
      </x:c>
      <x:c r="D4681" s="55" t="str">
        <x:v>—</x:v>
      </x:c>
      <x:c r="E4681" s="55" t="inlineStr">
        <x:is>
          <x:t>叢林毒蠍（千佛遺跡東側）</x:t>
        </x:is>
      </x:c>
    </x:row>
    <x:row r="4682" ht="60" customHeight="1">
      <x:c r="A4682" s="55" t="str">
        <x:v>小鬼罈</x:v>
      </x:c>
      <x:c r="B4682" s="55" t="str">
        <x:v>—</x:v>
      </x:c>
      <x:c r="C4682" s="55" t="str">
        <x:v>—</x:v>
      </x:c>
      <x:c r="D4682" s="55" t="str">
        <x:v>—</x:v>
      </x:c>
      <x:c r="E4682" s="55" t="inlineStr">
        <x:is>
          <x:t>懷古法器錦囊（網站未列地圖）；毒血屍（猛鬼窟第一層、猛鬼窟第二層、萬人塚第二層、朝天觀、萬人塚第三層）；獵人頭祭司（亂石林、大汗陵墓）；祭司幻影（亂石林）；摩羅御軍射手（菩提聖原、大梵河岸）；火骨精長老（五派禁地）；冰骨精長老（五派禁地）；冥骨精長老（五派禁地、古皇陵密室）；風雷頭陀（長林谷）；白骨精長老（五派禁地）；嗜血頭陀（天山雪道、亂藤林東方）</x:t>
        </x:is>
      </x:c>
    </x:row>
    <x:row r="4683" ht="30" customHeight="1">
      <x:c r="A4683" s="55" t="str">
        <x:v>裂地鑽</x:v>
      </x:c>
      <x:c r="B4683" s="55" t="str">
        <x:v>—</x:v>
      </x:c>
      <x:c r="C4683" s="55" t="str">
        <x:v>京城術者傳功使者、祁州術者總護法、玄州術者總護法</x:v>
      </x:c>
      <x:c r="D4683" s="55" t="str">
        <x:v>—</x:v>
      </x:c>
      <x:c r="E4683" s="55" t="inlineStr">
        <x:is>
          <x:t>—</x:t>
        </x:is>
      </x:c>
    </x:row>
    <x:row r="4684" ht="75" customHeight="1">
      <x:c r="A4684" s="55" t="str">
        <x:v>順風傘</x:v>
      </x:c>
      <x:c r="B4684" s="55" t="str">
        <x:v>—</x:v>
      </x:c>
      <x:c r="C4684" s="55" t="str">
        <x:v>—</x:v>
      </x:c>
      <x:c r="D4684" s="55" t="str">
        <x:v>—</x:v>
      </x:c>
      <x:c r="E4684" s="55" t="inlineStr">
        <x:is>
          <x:t>經典法器錦囊（網站未列地圖）；火骨獄卒（五派禁地）；雷骨獄卒（五派禁地）；冥骨獄卒（五派禁地）；寒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幻面蜘蛛（長林谷）；妖面蜘蛛（百妖穴第一層、亂藤林東方、百妖穴第二層）；鬼面蜘蛛（碧波谷徑、百妖穴第一層、百妖穴第二層、盤蛇洞、地靈穴、蕈菇林）；沙漠蠱毒蜘蛛（塔干沙漠西方）</x:t>
        </x:is>
      </x:c>
    </x:row>
    <x:row r="4685" ht="105" customHeight="1">
      <x:c r="A4685" s="55" t="str">
        <x:v>妖靈稻草人</x:v>
      </x:c>
      <x:c r="B4685" s="55" t="str">
        <x:v>—</x:v>
      </x:c>
      <x:c r="C4685" s="55" t="str">
        <x:v>—</x:v>
      </x:c>
      <x:c r="D4685" s="55" t="str">
        <x:v>—</x:v>
      </x:c>
      <x:c r="E4685" s="55" t="inlineStr">
        <x:is>
          <x:t>經典法器錦囊（網站未列地圖）；千年樹精（葬日沼澤、葬日沼澤北方、千佛遺跡東側）；[千年樹精]（網站未列地圖）；千年花精（亂藤林南方、葬日沼澤北方）；[千年花精]（網站未列地圖）；屍花精（五派禁地）；花精（亂藤林、亂藤林南方、葬日沼澤、葬日沼澤北方）；綠林花妖（網站未列地圖）；林間老屍（千佛遺跡西側）；老樹精（惡狼林、碧波谷徑、瘴癘修煉場、亂藤林、葬日沼澤、葬日沼澤北方）；邪樹妖（桃花林西方）；酆神陣頭（三途之都、枉死之城、悲歡渡口、永劫刑場）；邪樹妖（瘴癘靈界裂隙）；邪木（網站未列地圖）；老樹精（惡狼林、碧波谷徑、瘴癘修煉場、亂藤林、葬日沼澤、葬日沼澤北方）；邪骨河童（十津原樹海、八荒古墳）；{老樹精}（瀰煙山道、掩月松林）；&lt;老樹精&gt;（瀰煙山道、掩月松林）；千年樹精（瀰煙山道、掩月松林、不老峰）</x:t>
        </x:is>
      </x:c>
    </x:row>
    <x:row r="4686" ht="135" customHeight="1">
      <x:c r="A4686" s="55" t="str">
        <x:v>蔽影傘</x:v>
      </x:c>
      <x:c r="B4686" s="55" t="str">
        <x:v>—</x:v>
      </x:c>
      <x:c r="C4686" s="55" t="str">
        <x:v>—</x:v>
      </x:c>
      <x:c r="D4686" s="55" t="str">
        <x:v>—</x:v>
      </x:c>
      <x:c r="E4686" s="55" t="inlineStr">
        <x:is>
          <x:t>懷古法器錦囊（網站未列地圖）；火骨獄卒（五派禁地）；寒骨獄卒（五派禁地）；冥骨獄卒（五派禁地）；白骨精（猛鬼窟第二層、萬人塚第二層、萬人塚第三層）；[白骨精]（網站未列地圖）；雷骨獄卒（五派禁地）；食人虎（封神臺、亂藤林西方、鷹翅族部落、掩月松林、八達嶺、古北口）；天山食人虎（天山冰池）；[天山食人虎]（網站未列地圖）；冤魂（猛鬼窟第一層、猛鬼窟第二層、朝天觀、樓蘭遺址）；幻面蜘蛛（長林谷）；拔山象妖（摩羅國境、菩提聖原）；[拔山象妖]（網站未列地圖）；妖面蜘蛛（百妖穴第一層、亂藤林東方、百妖穴第二層）；海魅（東方海域）；林魅（桃花林、桃花林西方、掩月松林）；山魅（瀰煙山道、半天岩）；林魅（盤蛇洞、掩月松林）；山魅（盤蛇洞、半天岩）；山魔（桃花林西方）；林魔（桃花林西方）；鬼面蜘蛛（碧波谷徑、百妖穴第一層、百妖穴第二層、盤蛇洞、地靈穴、蕈菇林）；沙漠蠱毒蜘蛛（塔干沙漠西方）；秘行忍者（十津原樹海、天照不二峰、伊取川大陣）</x:t>
        </x:is>
      </x:c>
    </x:row>
    <x:row r="4687" ht="60" customHeight="1">
      <x:c r="A4687" s="55" t="str">
        <x:v>攝魂鈴</x:v>
      </x:c>
      <x:c r="B4687" s="55" t="str">
        <x:v>—</x:v>
      </x:c>
      <x:c r="C4687" s="55" t="str">
        <x:v>—</x:v>
      </x:c>
      <x:c r="D4687" s="55" t="str">
        <x:v>—</x:v>
      </x:c>
      <x:c r="E4687" s="55" t="inlineStr">
        <x:is>
          <x:t>懷古法器錦囊（網站未列地圖）；千年蜘蛛精（百妖穴第二層）；百眼長老（摘星嶺、魔君陵墓、魔君陵寢一層、魔君陵寢二層）；百眼密探（毒龍潭）；金翅王（鷹翅族部落）；喪魂邪屍（濕婆神廟）；八爪海怪（龍宮第七層、龍宮八層一隅、龍宮八層廣場）；九尾狐（網站未列地圖）；[九尾狐]（網站未列地圖）；萬刑惡靈（枉死之城、悲歡渡口）；鬼將酒吞（伊取川大陣）</x:t>
        </x:is>
      </x:c>
    </x:row>
    <x:row r="4688" ht="60" customHeight="1">
      <x:c r="A4688" s="55" t="str">
        <x:v>人骨手環</x:v>
      </x:c>
      <x:c r="B4688" s="55" t="str">
        <x:v>—</x:v>
      </x:c>
      <x:c r="C4688" s="55" t="str">
        <x:v>—</x:v>
      </x:c>
      <x:c r="D4688" s="55" t="str">
        <x:v>—</x:v>
      </x:c>
      <x:c r="E4688" s="55" t="inlineStr">
        <x:is>
          <x:t>懷古法器錦囊（網站未列地圖）；死靈弓手（魔君陵墓）；骷髏弓手（猛鬼窟第二層、朝天觀）；骷髏士兵（猛鬼窟第二層、朝天觀）；死靈骷髏（魔君陵墓）；邪咒骷髏（千佛遺跡東側、千佛遺跡西側）；無間骷髏兵（濕婆神廟）；惡靈骷髏兵（五派禁地）；惡靈弓手（五派禁地）；白靈石獅（恨生不歸途、三途之都、枉死之城）；[白靈石獅]（網站未列地圖）；殉葬血屍（恨生不歸途）</x:t>
        </x:is>
      </x:c>
    </x:row>
    <x:row r="4689" ht="60" customHeight="1">
      <x:c r="A4689" s="55" t="str">
        <x:v>迷魂幡</x:v>
      </x:c>
      <x:c r="B4689" s="55" t="str">
        <x:v>—</x:v>
      </x:c>
      <x:c r="C4689" s="55" t="str">
        <x:v>京城術者傳功使者、祁州術者總護法、玄州術者總護法</x:v>
      </x:c>
      <x:c r="D4689" s="55" t="str">
        <x:v>—</x:v>
      </x:c>
      <x:c r="E4689" s="55" t="inlineStr">
        <x:is>
          <x:t>雷骨獄卒（五派禁地）；冥骨獄卒（五派禁地）；寒骨獄卒（五派禁地）；火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白巨虎（天山冰池）；幽冥犬（猛鬼窟第一層、萬人塚第二層、萬人塚第三層）；士兵俑（古皇陵第一層）</x:t>
        </x:is>
      </x:c>
    </x:row>
    <x:row r="4690" ht="60" customHeight="1">
      <x:c r="A4690" s="55" t="str">
        <x:v>奪魄幡</x:v>
      </x:c>
      <x:c r="B4690" s="55" t="str">
        <x:v>—</x:v>
      </x:c>
      <x:c r="C4690" s="55" t="str">
        <x:v>—</x:v>
      </x:c>
      <x:c r="D4690" s="55" t="str">
        <x:v>—</x:v>
      </x:c>
      <x:c r="E4690" s="55" t="inlineStr">
        <x:is>
          <x:t>經典法器錦囊（網站未列地圖）；火骨獄卒（五派禁地）；冥骨獄卒（五派禁地）；寒骨獄卒（五派禁地）；雷骨獄卒（五派禁地）；白骨精（猛鬼窟第二層、萬人塚第二層、萬人塚第三層）；[白骨精]（網站未列地圖）；食人虎（封神臺、亂藤林西方、鷹翅族部落、掩月松林、八達嶺、古北口）；天山食人虎（天山冰池）；[天山食人虎]（網站未列地圖）；白巨虎（天山冰池）；幽冥犬（猛鬼窟第一層、萬人塚第二層、萬人塚第三層）</x:t>
        </x:is>
      </x:c>
    </x:row>
    <x:row r="4691" ht="45" customHeight="1">
      <x:c r="A4691" s="55" t="str">
        <x:v>縛靈幡</x:v>
      </x:c>
      <x:c r="B4691" s="55" t="str">
        <x:v>—</x:v>
      </x:c>
      <x:c r="C4691" s="55" t="str">
        <x:v>—</x:v>
      </x:c>
      <x:c r="D4691" s="55" t="str">
        <x:v>—</x:v>
      </x:c>
      <x:c r="E4691" s="55" t="inlineStr">
        <x:is>
          <x:t>經典法器錦囊（網站未列地圖）；黯火妖靈（烈火靈界裂隙）；淬毒妖靈（瘴癘靈界裂隙）；玄冰妖靈（怒雪靈界裂隙）；毒界妖靈（瘴癘靈界通道、蠱毒洞府）；火界妖靈（烈火靈界通道、火雲洞府、棲鳳崖、鳳凰台）；冰界妖靈（怒雪靈界通道、怒雪洞府）；叢林黑豹（千佛遺跡西側）</x:t>
        </x:is>
      </x:c>
    </x:row>
    <x:row r="4692" ht="45" customHeight="1">
      <x:c r="A4692" s="55" t="str">
        <x:v>聚雲袋</x:v>
      </x:c>
      <x:c r="B4692" s="55" t="str">
        <x:v>—</x:v>
      </x:c>
      <x:c r="C4692" s="55" t="str">
        <x:v>—</x:v>
      </x:c>
      <x:c r="D4692" s="55" t="str">
        <x:v>—</x:v>
      </x:c>
      <x:c r="E4692" s="55" t="inlineStr">
        <x:is>
          <x:t>懷古法器錦囊（網站未列地圖）；黯火妖靈（烈火靈界裂隙）；淬毒妖靈（瘴癘靈界裂隙）；玄冰妖靈（怒雪靈界裂隙）；毒界妖靈（瘴癘靈界通道、蠱毒洞府）；火界妖靈（烈火靈界通道、火雲洞府、棲鳳崖、鳳凰台）；冰界妖靈（怒雪靈界通道、怒雪洞府）；燃影鐮鼬（外崎埠原、天照不二峰）</x:t>
        </x:is>
      </x:c>
    </x:row>
    <x:row r="4693" ht="15" customHeight="1">
      <x:c r="A4693" s="55" t="str">
        <x:v>遮天扇</x:v>
      </x:c>
      <x:c r="B4693" s="55" t="str">
        <x:v>—</x:v>
      </x:c>
      <x:c r="C4693" s="55" t="str">
        <x:v>京城術者傳功使者、祁州術者總護法</x:v>
      </x:c>
      <x:c r="D4693" s="55" t="str">
        <x:v>—</x:v>
      </x:c>
      <x:c r="E4693" s="55" t="inlineStr">
        <x:is>
          <x:t>—</x:t>
        </x:is>
      </x:c>
    </x:row>
    <x:row r="4694" ht="30" customHeight="1">
      <x:c r="A4694" s="55" t="str">
        <x:v>惡鬼鼎</x:v>
      </x:c>
      <x:c r="B4694" s="55" t="str">
        <x:v>—</x:v>
      </x:c>
      <x:c r="C4694" s="55" t="str">
        <x:v>真火神龍、玄冰神龍、拉薩跳神、邪咒骷髏弓手、無間骷髏弓手、千古怨靈</x:v>
      </x:c>
      <x:c r="D4694" s="55" t="str">
        <x:v>—</x:v>
      </x:c>
      <x:c r="E4694" s="55" t="inlineStr">
        <x:is>
          <x:t>拉薩跳神（疾風谷、古北大營）；邪咒骷髏弓手（千佛遺跡東側、千佛遺跡西側）；無間骷髏弓手（濕婆神廟）；真火神龍（五派禁地）；玄冰神龍（五派禁地）；千古怨靈（恨生不歸途）</x:t>
        </x:is>
      </x:c>
    </x:row>
    <x:row r="4695" ht="15" customHeight="1">
      <x:c r="A4695" s="55" t="str">
        <x:v>小惡鬼傘</x:v>
      </x:c>
      <x:c r="B4695" s="55" t="str">
        <x:v>—</x:v>
      </x:c>
      <x:c r="C4695" s="55" t="str">
        <x:v>高昌-無籍小僧</x:v>
      </x:c>
      <x:c r="D4695" s="55" t="str">
        <x:v>—</x:v>
      </x:c>
      <x:c r="E4695" s="55" t="inlineStr">
        <x:is>
          <x:t>—</x:t>
        </x:is>
      </x:c>
    </x:row>
    <x:row r="4696" ht="15" customHeight="1">
      <x:c r="A4696" s="55" t="str">
        <x:v>鎮魂鼓</x:v>
      </x:c>
      <x:c r="B4696" s="55" t="str">
        <x:v>—</x:v>
      </x:c>
      <x:c r="C4696" s="55" t="str">
        <x:v>高昌-無籍小僧</x:v>
      </x:c>
      <x:c r="D4696" s="55" t="str">
        <x:v>—</x:v>
      </x:c>
      <x:c r="E4696" s="55" t="inlineStr">
        <x:is>
          <x:t>—</x:t>
        </x:is>
      </x:c>
    </x:row>
    <x:row r="4697" ht="15" customHeight="1">
      <x:c r="A4697" s="55" t="str">
        <x:v>冥雲扇</x:v>
      </x:c>
      <x:c r="B4697" s="55" t="str">
        <x:v>—</x:v>
      </x:c>
      <x:c r="C4697" s="55" t="str">
        <x:v>高昌-無籍小僧</x:v>
      </x:c>
      <x:c r="D4697" s="55" t="str">
        <x:v>—</x:v>
      </x:c>
      <x:c r="E4697" s="55" t="inlineStr">
        <x:is>
          <x:t>—</x:t>
        </x:is>
      </x:c>
    </x:row>
    <x:row r="4698" ht="15" customHeight="1">
      <x:c r="A4698" s="55" t="str">
        <x:v>刑天秘環</x:v>
      </x:c>
      <x:c r="B4698" s="55" t="str">
        <x:v>—</x:v>
      </x:c>
      <x:c r="C4698" s="55" t="str">
        <x:v>高昌-無籍小僧</x:v>
      </x:c>
      <x:c r="D4698" s="55" t="str">
        <x:v>—</x:v>
      </x:c>
      <x:c r="E4698" s="55" t="inlineStr">
        <x:is>
          <x:t>—</x:t>
        </x:is>
      </x:c>
    </x:row>
    <x:row r="4699" ht="30" customHeight="1">
      <x:c r="A4699" s="55" t="str">
        <x:v>波動珠</x:v>
      </x:c>
      <x:c r="B4699" s="55" t="str">
        <x:v>—</x:v>
      </x:c>
      <x:c r="C4699" s="55" t="str">
        <x:v>—</x:v>
      </x:c>
      <x:c r="D4699" s="55" t="str">
        <x:v>—</x:v>
      </x:c>
      <x:c r="E4699" s="55" t="inlineStr">
        <x:is>
          <x:t>天照法器錦囊（網站未列地圖）；波斯猛將（止戰邊境）；波斯亂黨（聖域之門）；業火獅王（荒禍殘墟）；紫霜冰魄（寒愴冰獄）；提刑差（恨生不歸途、三途之都、枉死之城）</x:t>
        </x:is>
      </x:c>
    </x:row>
    <x:row r="4700" ht="30" customHeight="1">
      <x:c r="A4700" s="55" t="str">
        <x:v>萬蠱珠</x:v>
      </x:c>
      <x:c r="B4700" s="55" t="str">
        <x:v>—</x:v>
      </x:c>
      <x:c r="C4700" s="55" t="str">
        <x:v>—</x:v>
      </x:c>
      <x:c r="D4700" s="55" t="str">
        <x:v>—</x:v>
      </x:c>
      <x:c r="E4700" s="55" t="inlineStr">
        <x:is>
          <x:t>天照法器錦囊（網站未列地圖）；詛咒骸骨兵（血鴉嶺）；煉獄邪眼（森羅閻殿、永劫刑場、荒禍殘墟）；冥土鬼爪（悲歡渡口、永劫刑場）；魔域狂刀（永劫刑場、奈落紅川）；伏毒地蟒（恨生不歸途）</x:t>
        </x:is>
      </x:c>
    </x:row>
    <x:row r="4701" ht="30" customHeight="1">
      <x:c r="A4701" s="55" t="str">
        <x:v>聖骸手環</x:v>
      </x:c>
      <x:c r="B4701" s="55" t="str">
        <x:v>—</x:v>
      </x:c>
      <x:c r="C4701" s="55" t="str">
        <x:v>—</x:v>
      </x:c>
      <x:c r="D4701" s="55" t="str">
        <x:v>—</x:v>
      </x:c>
      <x:c r="E4701" s="55" t="inlineStr">
        <x:is>
          <x:t>天授法器錦囊（網站未列地圖）；火之精靈（靜默之丘）；藏地氂牛（登天棧道、懸空仙嶺、青藏高原）；[藏地氂牛]（網站未列地圖）；雲霓戰牛（網站未列地圖）</x:t>
        </x:is>
      </x:c>
    </x:row>
    <x:row r="4702" ht="30" customHeight="1">
      <x:c r="A4702" s="55" t="str">
        <x:v>大波動珠</x:v>
      </x:c>
      <x:c r="B4702" s="55" t="str">
        <x:v>—</x:v>
      </x:c>
      <x:c r="C4702" s="55" t="str">
        <x:v>—</x:v>
      </x:c>
      <x:c r="D4702" s="55" t="str">
        <x:v>—</x:v>
      </x:c>
      <x:c r="E4702" s="55" t="inlineStr">
        <x:is>
          <x:t>天授法器錦囊（網站未列地圖）；金閣天龍將（闕真金閣）；征軍駱駝（波斯西市、漆黑水路）；萬岳囂異（青藏高原、大梵聖湖、萬岳聖峰）；護天金翅鳥（香格里拉神廟）</x:t>
        </x:is>
      </x:c>
    </x:row>
    <x:row r="4703" ht="30" customHeight="1">
      <x:c r="A4703" s="55" t="str">
        <x:v>五鬼召來咒</x:v>
      </x:c>
      <x:c r="B4703" s="55" t="str">
        <x:v>—</x:v>
      </x:c>
      <x:c r="C4703" s="55" t="str">
        <x:v>—</x:v>
      </x:c>
      <x:c r="D4703" s="55" t="str">
        <x:v>—</x:v>
      </x:c>
      <x:c r="E4703" s="55" t="inlineStr">
        <x:is>
          <x:t>秘藏天授法器錦囊（網站未列地圖）；原始水靈（靜默之丘、擎空壁壘、獅堡軍事區）；邪神殉徒（黃塵荒漠）；逆反外眼（大梵聖湖、萬岳聖峰）；超生化骸（神煉之間）</x:t>
        </x:is>
      </x:c>
    </x:row>
    <x:row r="4704" ht="15" customHeight="1">
      <x:c r="A4704" s="55" t="str">
        <x:v>黃泉香爐</x:v>
      </x:c>
      <x:c r="B4704" s="55" t="str">
        <x:v>—</x:v>
      </x:c>
      <x:c r="C4704" s="55" t="str">
        <x:v>—</x:v>
      </x:c>
      <x:c r="D4704" s="55" t="str">
        <x:v>—</x:v>
      </x:c>
      <x:c r="E4704" s="55" t="inlineStr">
        <x:is>
          <x:t>天授法器錦囊（網站未列地圖）；原始風靈（擎空壁壘）；羅剎流寇（黃塵荒漠）；天戮三滅視（香格里拉聖路）</x:t>
        </x:is>
      </x:c>
    </x:row>
    <x:row r="4705" ht="30" customHeight="1">
      <x:c r="A4705" s="55" t="str">
        <x:v>通魂連命塔</x:v>
      </x:c>
      <x:c r="B4705" s="55" t="str">
        <x:v>—</x:v>
      </x:c>
      <x:c r="C4705" s="55" t="str">
        <x:v>—</x:v>
      </x:c>
      <x:c r="D4705" s="55" t="str">
        <x:v>—</x:v>
      </x:c>
      <x:c r="E4705" s="55" t="inlineStr">
        <x:is>
          <x:t>天授法器錦囊（網站未列地圖）；風伯（凌風修境、繚空碎島）；嘯狂之風（清教院街、飛簷頂徑、波斯西市）；[嘯狂之風]（網站未列地圖）；仙嶺妖禽（懸空仙嶺）</x:t>
        </x:is>
      </x:c>
    </x:row>
    <x:row r="4706" ht="15" customHeight="1">
      <x:c r="A4706" s="55" t="str">
        <x:v>觀心明淨臺</x:v>
      </x:c>
      <x:c r="B4706" s="55" t="str">
        <x:v>—</x:v>
      </x:c>
      <x:c r="C4706" s="55" t="str">
        <x:v>—</x:v>
      </x:c>
      <x:c r="D4706" s="55" t="str">
        <x:v>—</x:v>
      </x:c>
      <x:c r="E4706" s="55" t="inlineStr">
        <x:is>
          <x:t>天授法器錦囊（網站未列地圖）；神水領主（聖禱天廳）；衝雲亂梟（大梵聖湖、萬岳聖峰）</x:t>
        </x:is>
      </x:c>
    </x:row>
    <x:row r="4707" ht="45" customHeight="1">
      <x:c r="A4707" s="55" t="str">
        <x:v>萬氣旋脈環</x:v>
      </x:c>
      <x:c r="B4707" s="55" t="str">
        <x:v>—</x:v>
      </x:c>
      <x:c r="C4707" s="55" t="str">
        <x:v>—</x:v>
      </x:c>
      <x:c r="D4707" s="55" t="str">
        <x:v>—</x:v>
      </x:c>
      <x:c r="E4707" s="55" t="inlineStr">
        <x:is>
          <x:t>波斯法器錦囊（網站未列地圖）；真知四聖武皇（飛昇大廳）；&lt;真知四聖武皇&gt;（真七寶仙境　貳）；玉階飛凰（仙庭玉階）；墮魔巫女（靜默之丘、擎空壁壘、獅堡軍事區）；黑魔導女（網站未列地圖）；霸戰獅王（聖禱天廳）；激震土靈（漆黑水路、真知寺）；鬼虎殺手（法誡參道、漆黑水路）</x:t>
        </x:is>
      </x:c>
    </x:row>
    <x:row r="4708" ht="45" customHeight="1">
      <x:c r="A4708" s="55" t="str">
        <x:v>騰沼怒龍玉</x:v>
      </x:c>
      <x:c r="B4708" s="55" t="str">
        <x:v>—</x:v>
      </x:c>
      <x:c r="C4708" s="55" t="str">
        <x:v>—</x:v>
      </x:c>
      <x:c r="D4708" s="55" t="str">
        <x:v>—</x:v>
      </x:c>
      <x:c r="E4708" s="55" t="inlineStr">
        <x:is>
          <x:t>波斯法器錦囊（網站未列地圖）；真知四聖武皇（飛昇大廳）；&lt;真知四聖武皇&gt;（真七寶仙境　貳）；十字軍（止戰邊境、豐穗平原）；禍翼巨龍（擎空壁壘、凱旋廣場）；夢花蝶仙（飛雲忘野、橫劍天關）；黑池饜屍（漆黑水路、真知寺）；天風聖靈（萬識聖宮）；太古火尊（網站未列地圖）</x:t>
        </x:is>
      </x:c>
    </x:row>
    <x:row r="4709" ht="45" customHeight="1">
      <x:c r="A4709" s="55" t="str">
        <x:v>八方鬼火印</x:v>
      </x:c>
      <x:c r="B4709" s="55" t="str">
        <x:v>—</x:v>
      </x:c>
      <x:c r="C4709" s="55" t="str">
        <x:v>—</x:v>
      </x:c>
      <x:c r="D4709" s="55" t="str">
        <x:v>—</x:v>
      </x:c>
      <x:c r="E4709" s="55" t="inlineStr">
        <x:is>
          <x:t>波斯法器錦囊（網站未列地圖）；真知四聖武皇（飛昇大廳）；&lt;真知四聖武皇&gt;（真七寶仙境　貳）；悍野獅（止戰邊境、豐穗平原）；混沌（闕真金閣）；掠空兇翼（血鴉嶺、靜默之丘、擎空壁壘）；雲眉鷹后（網站未列地圖）；夜鴆鱗莽（波斯西市、漆黑水路）；真知聖御將（法誡參道、真知寺、萬識聖宮）</x:t>
        </x:is>
      </x:c>
    </x:row>
    <x:row r="4710" ht="30" customHeight="1">
      <x:c r="A4710" s="55" t="str">
        <x:v>魔痕鴆爐</x:v>
      </x:c>
      <x:c r="B4710" s="55" t="str">
        <x:v>—</x:v>
      </x:c>
      <x:c r="C4710" s="55" t="str">
        <x:v>—</x:v>
      </x:c>
      <x:c r="D4710" s="55" t="str">
        <x:v>—</x:v>
      </x:c>
      <x:c r="E4710" s="55" t="inlineStr">
        <x:is>
          <x:t>帝國法器錦囊（網站未列地圖）；靨羽蝶后（仙庭玉階、闕真金閣）；墨心神蝶（網站未列地圖）；佑天神僧（紫雷轟原）；紫羽災后（凱旋廣場、聖禱天廳）</x:t>
        </x:is>
      </x:c>
    </x:row>
    <x:row r="4711" ht="30" customHeight="1">
      <x:c r="A4711" s="55" t="str">
        <x:v>奇美拉魔像</x:v>
      </x:c>
      <x:c r="B4711" s="55" t="str">
        <x:v>—</x:v>
      </x:c>
      <x:c r="C4711" s="55" t="str">
        <x:v>—</x:v>
      </x:c>
      <x:c r="D4711" s="55" t="str">
        <x:v>—</x:v>
      </x:c>
      <x:c r="E4711" s="55" t="inlineStr">
        <x:is>
          <x:t>帝國法器錦囊（網站未列地圖）；挪宇大風神（闕真金閣）；嘯風天尊（網站未列地圖）；連雲精衛（天啟八關）；酷瘧蜥魔（獅堡軍事區、凱旋廣場、聖禱天廳）</x:t>
        </x:is>
      </x:c>
    </x:row>
    <x:row r="4712" ht="30" customHeight="1">
      <x:c r="A4712" s="55" t="str">
        <x:v>攫虛元手</x:v>
      </x:c>
      <x:c r="B4712" s="55" t="str">
        <x:v>—</x:v>
      </x:c>
      <x:c r="C4712" s="55" t="str">
        <x:v>—</x:v>
      </x:c>
      <x:c r="D4712" s="55" t="str">
        <x:v>—</x:v>
      </x:c>
      <x:c r="E4712" s="55" t="inlineStr">
        <x:is>
          <x:t>九天法器錦囊（網站未列地圖）；深宮幻蝶（天啟八關）；真術修者（四聖祭台）；幻色蜥蜴（異時界‧亂藤林）；嗇花精（異時界‧亂藤林、異時界‧亂藤林南）；大王花精（異時界‧亂藤林南）；異時遊魔（紫雷轟原）</x:t>
        </x:is>
      </x:c>
    </x:row>
    <x:row r="4713" ht="15" customHeight="1">
      <x:c r="A4713" s="55" t="str">
        <x:v>摧神黑顱</x:v>
      </x:c>
      <x:c r="B4713" s="55" t="str">
        <x:v>—</x:v>
      </x:c>
      <x:c r="C4713" s="55" t="str">
        <x:v>—</x:v>
      </x:c>
      <x:c r="D4713" s="55" t="str">
        <x:v>—</x:v>
      </x:c>
      <x:c r="E4713" s="55" t="inlineStr">
        <x:is>
          <x:t>九天法器錦囊（網站未列地圖）；毒皰蟾蜍（異時界‧亂藤林）</x:t>
        </x:is>
      </x:c>
    </x:row>
    <x:row r="4714" ht="15" customHeight="1">
      <x:c r="A4714" s="55" t="str">
        <x:v>凝氣丹</x:v>
      </x:c>
      <x:c r="B4714" s="55" t="str">
        <x:v>—</x:v>
      </x:c>
      <x:c r="C4714" s="55" t="str">
        <x:v>玄州劍派傳功長老</x:v>
      </x:c>
      <x:c r="D4714" s="55" t="str">
        <x:v>—</x:v>
      </x:c>
      <x:c r="E4714" s="55" t="inlineStr">
        <x:is>
          <x:t>—</x:t>
        </x:is>
      </x:c>
    </x:row>
    <x:row r="4715" ht="30" customHeight="1">
      <x:c r="A4715" s="55" t="str">
        <x:v>衝穴丹</x:v>
      </x:c>
      <x:c r="B4715" s="55" t="str">
        <x:v>—</x:v>
      </x:c>
      <x:c r="C4715" s="55" t="str">
        <x:v>京城劍派傳功長者、祁州劍派傳功長者、玄州劍派傳功長老</x:v>
      </x:c>
      <x:c r="D4715" s="55" t="str">
        <x:v>—</x:v>
      </x:c>
      <x:c r="E4715" s="55" t="inlineStr">
        <x:is>
          <x:t>—</x:t>
        </x:is>
      </x:c>
    </x:row>
    <x:row r="4716" ht="15" customHeight="1">
      <x:c r="A4716" s="55" t="str">
        <x:v>地靈百匯丹</x:v>
      </x:c>
      <x:c r="B4716" s="55" t="str">
        <x:v>—</x:v>
      </x:c>
      <x:c r="C4716" s="55" t="str">
        <x:v>玄州劍派傳功長老</x:v>
      </x:c>
      <x:c r="D4716" s="55" t="str">
        <x:v>—</x:v>
      </x:c>
      <x:c r="E4716" s="55" t="inlineStr">
        <x:is>
          <x:t>—</x:t>
        </x:is>
      </x:c>
    </x:row>
    <x:row r="4717" ht="45" customHeight="1">
      <x:c r="A4717" s="55" t="str">
        <x:v>天罡百匯丹</x:v>
      </x:c>
      <x:c r="B4717" s="55" t="str">
        <x:v>—</x:v>
      </x:c>
      <x:c r="C4717" s="55" t="str">
        <x:v>—</x:v>
      </x:c>
      <x:c r="D4717" s="55" t="str">
        <x:v>—</x:v>
      </x:c>
      <x:c r="E4717" s="55" t="inlineStr">
        <x:is>
          <x:t>懷古法器錦囊（網站未列地圖）；將軍俑（古皇陵第三層）；[將軍俑]（網站未列地圖）；屍靈將軍俑（古皇陵密室）；象騎兵（摩羅國境、菩提聖原）；鳳凰（棲鳳崖、鳳凰台）；[鳳凰]（網站未列地圖）；火麟獸（烈火靈界通道、火雲洞府）</x:t>
        </x:is>
      </x:c>
    </x:row>
    <x:row r="4718" ht="45" customHeight="1">
      <x:c r="A4718" s="55" t="str">
        <x:v>歸元聚神丹</x:v>
      </x:c>
      <x:c r="B4718" s="55" t="str">
        <x:v>—</x:v>
      </x:c>
      <x:c r="C4718" s="55" t="str">
        <x:v>—</x:v>
      </x:c>
      <x:c r="D4718" s="55" t="str">
        <x:v>—</x:v>
      </x:c>
      <x:c r="E4718" s="55" t="inlineStr">
        <x:is>
          <x:t>懷古法器錦囊（網站未列地圖）；食人巨鱷（葬日沼澤北方）；密林妖禽（千佛遺跡東側、千佛遺跡西側）；[密林妖禽]（網站未列地圖）；天邪道人（長林谷）；邪教道長（飛仙岩、朝天嶺、朝天觀、亂藤林東方）；秘法僧（天山雪道、亂藤林東方）；[劍刺傘鬼]（網站未列地圖）；劍刺傘鬼（八荒古墳）</x:t>
        </x:is>
      </x:c>
    </x:row>
    <x:row r="4719" ht="30" customHeight="1">
      <x:c r="A4719" s="55" t="str">
        <x:v>百草羽仙丹</x:v>
      </x:c>
      <x:c r="B4719" s="55" t="str">
        <x:v>—</x:v>
      </x:c>
      <x:c r="C4719" s="55" t="str">
        <x:v>京城劍派傳功長者、祁州劍派傳功長者、玄州劍派傳功長老</x:v>
      </x:c>
      <x:c r="D4719" s="55" t="str">
        <x:v>—</x:v>
      </x:c>
      <x:c r="E4719" s="55" t="inlineStr">
        <x:is>
          <x:t>女邪土蜘蛛（網站未列地圖）；鬼斬刀般若（八荒古墳）</x:t>
        </x:is>
      </x:c>
    </x:row>
    <x:row r="4720" ht="60" customHeight="1">
      <x:c r="A4720" s="55" t="str">
        <x:v>混元一氣丹</x:v>
      </x:c>
      <x:c r="B4720" s="55" t="str">
        <x:v>—</x:v>
      </x:c>
      <x:c r="C4720" s="55" t="str">
        <x:v>—</x:v>
      </x:c>
      <x:c r="D4720" s="55" t="str">
        <x:v>—</x:v>
      </x:c>
      <x:c r="E4720" s="55" t="inlineStr">
        <x:is>
          <x:t>經典法器錦囊（網站未列地圖）；刑天魔王（葬日沼澤南方）；巨靈魔王（摘星嶺、魔君陵墓、魔君陵寢一層、修羅窟）；摩羅御軍戰士（菩提聖原、大梵河岸）；墮天魔佛（金霄佛寺）；煉氣宗（五派禁地）；玄氣宗（五派禁地）；巨靈魔（亂藤林、毒龍潭、摘星嶺、魔君陵墓）；刑天戰狂（亂藤林、葬日沼澤、葬日沼澤南方）；刑天戰狂（亂藤林、葬日沼澤、葬日沼澤南方、異時界‧亂藤林）；御使陰陽師（天照不二峰、八荒古墳、伊取川大陣）</x:t>
        </x:is>
      </x:c>
    </x:row>
    <x:row r="4721" ht="75" customHeight="1">
      <x:c r="A4721" s="55" t="str">
        <x:v>千靈蕩氣丹</x:v>
      </x:c>
      <x:c r="B4721" s="55" t="str">
        <x:v>—</x:v>
      </x:c>
      <x:c r="C4721" s="55" t="str">
        <x:v>—</x:v>
      </x:c>
      <x:c r="D4721" s="55" t="str">
        <x:v>—</x:v>
      </x:c>
      <x:c r="E4721" s="55" t="inlineStr">
        <x:is>
          <x:t>經典法器錦囊（網站未列地圖）；食人虎（封神臺、亂藤林西方、鷹翅族部落、掩月松林、八達嶺、古北口）；天山食人虎（天山冰池）；[天山食人虎]（網站未列地圖）；紫靈貂（呼倫草原、貝爾草原、亂石林、疾風谷）；白巨虎（天山冰池）；虎霸王（掩月松林）；[虎霸王]（網站未列地圖）；老虎（碧波谷徑、封神臺、亂藤林西方、鷹翅族部落、瀰煙山道、掩月松林、八達嶺、古北口、塞北草原）；叢林猛虎（千佛遺跡東側、千佛遺跡西側）；天山老虎（天山冰池）；虎鬥士（瀰煙山道、掩月松林）</x:t>
        </x:is>
      </x:c>
    </x:row>
    <x:row r="4722" ht="45" customHeight="1">
      <x:c r="A4722" s="55" t="str">
        <x:v>百草續命丹</x:v>
      </x:c>
      <x:c r="B4722" s="55" t="str">
        <x:v>—</x:v>
      </x:c>
      <x:c r="C4722" s="55" t="str">
        <x:v>—</x:v>
      </x:c>
      <x:c r="D4722" s="55" t="str">
        <x:v>—</x:v>
      </x:c>
      <x:c r="E4722" s="55" t="inlineStr">
        <x:is>
          <x:t>經典法器錦囊（網站未列地圖）；山神豬（五派禁地）；南蠻狂戰士（千佛遺跡東側、千佛遺跡西側、摩羅國境）；綠毛狂猿（巨猿洞窟二層、碧波幽谷、夜叉嶺）；長林狂猿（長林谷）；食人巨猿（猢猻嶺、巨猿洞窟一層、巨猿洞窟二層、八達嶺、古北口）；食人巨鱷（葬日沼澤北方）</x:t>
        </x:is>
      </x:c>
    </x:row>
    <x:row r="4723" ht="15" customHeight="1">
      <x:c r="A4723" s="55" t="str">
        <x:v>千靈破曉丹</x:v>
      </x:c>
      <x:c r="B4723" s="55" t="str">
        <x:v>—</x:v>
      </x:c>
      <x:c r="C4723" s="55" t="str">
        <x:v>高昌-無籍小僧</x:v>
      </x:c>
      <x:c r="D4723" s="55" t="str">
        <x:v>—</x:v>
      </x:c>
      <x:c r="E4723" s="55" t="inlineStr">
        <x:is>
          <x:t>—</x:t>
        </x:is>
      </x:c>
    </x:row>
    <x:row r="4724" ht="15" customHeight="1">
      <x:c r="A4724" s="55" t="str">
        <x:v>百草還生丹</x:v>
      </x:c>
      <x:c r="B4724" s="55" t="str">
        <x:v>—</x:v>
      </x:c>
      <x:c r="C4724" s="55" t="str">
        <x:v>高昌-無籍小僧</x:v>
      </x:c>
      <x:c r="D4724" s="55" t="str">
        <x:v>—</x:v>
      </x:c>
      <x:c r="E4724" s="55" t="inlineStr">
        <x:is>
          <x:t>—</x:t>
        </x:is>
      </x:c>
    </x:row>
    <x:row r="4725" ht="15" customHeight="1">
      <x:c r="A4725" s="55" t="str">
        <x:v>天元聚神丹</x:v>
      </x:c>
      <x:c r="B4725" s="55" t="str">
        <x:v>—</x:v>
      </x:c>
      <x:c r="C4725" s="55" t="str">
        <x:v>高昌-無籍小僧</x:v>
      </x:c>
      <x:c r="D4725" s="55" t="str">
        <x:v>—</x:v>
      </x:c>
      <x:c r="E4725" s="55" t="inlineStr">
        <x:is>
          <x:t>—</x:t>
        </x:is>
      </x:c>
    </x:row>
    <x:row r="4726" ht="15" customHeight="1">
      <x:c r="A4726" s="55" t="str">
        <x:v>凝魂丹</x:v>
      </x:c>
      <x:c r="B4726" s="55" t="str">
        <x:v>—</x:v>
      </x:c>
      <x:c r="C4726" s="55" t="str">
        <x:v>高昌-無籍小僧</x:v>
      </x:c>
      <x:c r="D4726" s="55" t="str">
        <x:v>—</x:v>
      </x:c>
      <x:c r="E4726" s="55" t="inlineStr">
        <x:is>
          <x:t>—</x:t>
        </x:is>
      </x:c>
    </x:row>
    <x:row r="4727" ht="60" customHeight="1">
      <x:c r="A4727" s="55" t="str">
        <x:v>天地劍佩</x:v>
      </x:c>
      <x:c r="B4727" s="55" t="str">
        <x:v>—</x:v>
      </x:c>
      <x:c r="C4727" s="55" t="str">
        <x:v>—</x:v>
      </x:c>
      <x:c r="D4727" s="55" t="str">
        <x:v>—</x:v>
      </x:c>
      <x:c r="E4727" s="55" t="inlineStr">
        <x:is>
          <x:t>天照法器錦囊（網站未列地圖）；幽使無定（網站未列地圖）；殮壽靈柩（枉死之城、悲歡渡口、永劫刑場、九曲邪徑）；拘魂白無常（悲歡渡口、永劫刑場、九曲邪徑）；[拘魂白無常]（網站未列地圖）；酆神陣頭（三途之都、枉死之城、悲歡渡口、永劫刑場）；黃泉大元帥（森羅閻殿、奈落紅川）；地斗大元帥（天戮魔殿）；嘯槍鬼馬（三途之都、枉死之城、悲歡渡口）；喪途羅將（網站未列地圖）</x:t>
        </x:is>
      </x:c>
    </x:row>
    <x:row r="4728" ht="75" customHeight="1">
      <x:c r="A4728" s="55" t="str">
        <x:v>絕壁劍佩</x:v>
      </x:c>
      <x:c r="B4728" s="55" t="str">
        <x:v>—</x:v>
      </x:c>
      <x:c r="C4728" s="55" t="str">
        <x:v>—</x:v>
      </x:c>
      <x:c r="D4728" s="55" t="str">
        <x:v>—</x:v>
      </x:c>
      <x:c r="E4728" s="55" t="inlineStr">
        <x:is>
          <x:t>天照法器錦囊（網站未列地圖）；軍騎駱駝（止戰邊境）；靈使無常（網站未列地圖）；陰司牛頭（網站未列地圖）；報喪七王爺（森羅閻殿、奈落紅川、荒禍殘墟）；破陣鬼騎（悲歡渡口、九曲邪徑）；酆都鬼役（三途之都、枉死之城）；掠魂白死將（天戮魔殿）；提刑黑無常（悲歡渡口、永劫刑場、九曲邪徑）；[提刑黑無常]（網站未列地圖）；索命牛頭（九曲邪徑、寒愴冰獄）；[索命牛頭]（網站未列地圖）；拘魂使（恨生不歸途、三途之都、枉死之城）</x:t>
        </x:is>
      </x:c>
    </x:row>
    <x:row r="4729" ht="45" customHeight="1">
      <x:c r="A4729" s="55" t="str">
        <x:v>氣化活殺丹</x:v>
      </x:c>
      <x:c r="B4729" s="55" t="str">
        <x:v>—</x:v>
      </x:c>
      <x:c r="C4729" s="55" t="str">
        <x:v>—</x:v>
      </x:c>
      <x:c r="D4729" s="55" t="str">
        <x:v>—</x:v>
      </x:c>
      <x:c r="E4729" s="55" t="inlineStr">
        <x:is>
          <x:t>天授法器錦囊（網站未列地圖）；雷公（凌風修境、繚空碎島）；半身虎人（黃塵荒漠、聖域之門、飛簷頂徑）；[半身虎人]（網站未列地圖）；幽谷翔龍（登天棧道、懸空仙嶺、青藏高原、大梵聖湖）；[幽谷翔龍]（網站未列地圖）；天境飛龍（網站未列地圖）</x:t>
        </x:is>
      </x:c>
    </x:row>
    <x:row r="4730" ht="30" customHeight="1">
      <x:c r="A4730" s="55" t="str">
        <x:v>烈火真劍典</x:v>
      </x:c>
      <x:c r="B4730" s="55" t="str">
        <x:v>—</x:v>
      </x:c>
      <x:c r="C4730" s="55" t="str">
        <x:v>—</x:v>
      </x:c>
      <x:c r="D4730" s="55" t="str">
        <x:v>—</x:v>
      </x:c>
      <x:c r="E4730" s="55" t="inlineStr">
        <x:is>
          <x:t>天授法器錦囊（網站未列地圖）；墮真劍仙（繚空碎島、飛雲忘野）；樑上飛賊（飛簷頂徑）；吞天梵鬼（網站未列地圖）；輪迴外邪（懸空仙嶺、青藏高原、大梵聖湖、萬岳聖峰、香格里拉聖路）；[輪迴外邪]（網站未列地圖）</x:t>
        </x:is>
      </x:c>
    </x:row>
    <x:row r="4731" ht="15" customHeight="1">
      <x:c r="A4731" s="55" t="str">
        <x:v>千巡歸真輪</x:v>
      </x:c>
      <x:c r="B4731" s="55" t="str">
        <x:v>—</x:v>
      </x:c>
      <x:c r="C4731" s="55" t="str">
        <x:v>—</x:v>
      </x:c>
      <x:c r="D4731" s="55" t="str">
        <x:v>—</x:v>
      </x:c>
      <x:c r="E4731" s="55" t="inlineStr">
        <x:is>
          <x:t>天授法器錦囊（網站未列地圖）；神火領主（凱旋廣場、聖禱天廳）；穿峽禿鷹（登天棧道、青藏高原）</x:t>
        </x:is>
      </x:c>
    </x:row>
    <x:row r="4732" ht="60" customHeight="1">
      <x:c r="A4732" s="55" t="str">
        <x:v>天地劍佩‧絕</x:v>
      </x:c>
      <x:c r="B4732" s="55" t="str">
        <x:v>—</x:v>
      </x:c>
      <x:c r="C4732" s="55" t="str">
        <x:v>—</x:v>
      </x:c>
      <x:c r="D4732" s="55" t="str">
        <x:v>—</x:v>
      </x:c>
      <x:c r="E4732" s="55" t="inlineStr">
        <x:is>
          <x:t>秘藏天授法器錦囊（網站未列地圖）；土之精靈（止戰邊境、血鴉嶺）；魔劍子（登龍道、凌風修境）；劍齒灰狼（異時界‧亂藤林南）；怒砂土靈（黃塵荒漠、聖域之門）；怒獄土魔（網站未列地圖）；天谷禿鷹（青藏高原、大梵聖湖）；龍磐帝蠻（吐蕃集鎮、香格里拉聖路、香格里拉神廟、天授之間）；凍界蠻王（網站未列地圖）；碎峰大梵鬼（神煉之間）</x:t>
        </x:is>
      </x:c>
    </x:row>
    <x:row r="4733" ht="30" customHeight="1">
      <x:c r="A4733" s="55" t="str">
        <x:v>天藏皇懷劍</x:v>
      </x:c>
      <x:c r="B4733" s="55" t="str">
        <x:v>—</x:v>
      </x:c>
      <x:c r="C4733" s="55" t="str">
        <x:v>—</x:v>
      </x:c>
      <x:c r="D4733" s="55" t="str">
        <x:v>—</x:v>
      </x:c>
      <x:c r="E4733" s="55" t="inlineStr">
        <x:is>
          <x:t>天授法器錦囊（網站未列地圖）；神風領主（凱旋廣場、聖禱天廳）；真知芳衛（清教院街）；黑教侍衛（登天棧道、懸空仙嶺、青藏高原、大梵聖湖）；絕峰禿鷹（香格里拉聖路）</x:t>
        </x:is>
      </x:c>
    </x:row>
    <x:row r="4734" ht="15" customHeight="1">
      <x:c r="A4734" s="55" t="str">
        <x:v>鳳紋赤懷劍</x:v>
      </x:c>
      <x:c r="B4734" s="55" t="str">
        <x:v>—</x:v>
      </x:c>
      <x:c r="C4734" s="55" t="str">
        <x:v>—</x:v>
      </x:c>
      <x:c r="D4734" s="55" t="str">
        <x:v>—</x:v>
      </x:c>
      <x:c r="E4734" s="55" t="inlineStr">
        <x:is>
          <x:t>天授法器錦囊（網站未列地圖）；原始火靈（獅堡軍事區）；往生血眼（懸空仙嶺、青藏高原）</x:t>
        </x:is>
      </x:c>
    </x:row>
    <x:row r="4735" ht="45" customHeight="1">
      <x:c r="A4735" s="55" t="str">
        <x:v>藍銳天雨晶</x:v>
      </x:c>
      <x:c r="B4735" s="55" t="str">
        <x:v>—</x:v>
      </x:c>
      <x:c r="C4735" s="55" t="str">
        <x:v>—</x:v>
      </x:c>
      <x:c r="D4735" s="55" t="str">
        <x:v>—</x:v>
      </x:c>
      <x:c r="E4735" s="55" t="inlineStr">
        <x:is>
          <x:t>波斯法器錦囊（網站未列地圖）；真知四聖武皇（飛昇大廳）；&lt;真知四聖武皇&gt;（真七寶仙境　貳）；銀鱗飛龍（豐穗平原、血鴉嶺、靜默之丘、獅堡軍事區）；蜥蜴人（豐穗平原、血鴉嶺）；神御泰平龍（闕真金閣）；襲影鬼虎（異時界‧亂藤林南）；燎原火靈（漆黑水路、真知寺）</x:t>
        </x:is>
      </x:c>
    </x:row>
    <x:row r="4736" ht="60" customHeight="1">
      <x:c r="A4736" s="55" t="str">
        <x:v>碧空蒼星石</x:v>
      </x:c>
      <x:c r="B4736" s="55" t="str">
        <x:v>—</x:v>
      </x:c>
      <x:c r="C4736" s="55" t="str">
        <x:v>—</x:v>
      </x:c>
      <x:c r="D4736" s="55" t="str">
        <x:v>—</x:v>
      </x:c>
      <x:c r="E4736" s="55" t="inlineStr">
        <x:is>
          <x:t>波斯法器錦囊（網站未列地圖）；真知四聖武皇（飛昇大廳）；&lt;真知四聖武皇&gt;（真七寶仙境　貳）；窮奇（登龍道、凌風修境）；歐陸雄獅（靜默之丘、擎空壁壘、獅堡軍事區、凱旋廣場）；獅堡聖騎士（網站未列地圖）；神耀十字軍（凱旋廣場、聖禱天廳）；烈火聖靈（萬識聖宮）；太古天風（網站未列地圖）；捲塵風妖（網站未列地圖）；聖宮砂王龍（萬識聖宮）；霧城巨獅（網站未列地圖）</x:t>
        </x:is>
      </x:c>
    </x:row>
    <x:row r="4737" ht="45" customHeight="1">
      <x:c r="A4737" s="55" t="str">
        <x:v>點氣化劍丹</x:v>
      </x:c>
      <x:c r="B4737" s="55" t="str">
        <x:v>—</x:v>
      </x:c>
      <x:c r="C4737" s="55" t="str">
        <x:v>—</x:v>
      </x:c>
      <x:c r="D4737" s="55" t="str">
        <x:v>—</x:v>
      </x:c>
      <x:c r="E4737" s="55" t="inlineStr">
        <x:is>
          <x:t>波斯法器錦囊（網站未列地圖）；真知四聖武皇（飛昇大廳）；&lt;真知四聖武皇&gt;（真七寶仙境　貳）；赫丕族女（止戰邊境、豐穗平原）；太初劍魄（橫劍天關）；聖血戰虎（波斯西市、法誡參道、漆黑水路）；真知神烈將（真知寺、萬識聖宮）</x:t>
        </x:is>
      </x:c>
    </x:row>
    <x:row r="4738" ht="30" customHeight="1">
      <x:c r="A4738" s="55" t="str">
        <x:v>照心劍玉</x:v>
      </x:c>
      <x:c r="B4738" s="55" t="str">
        <x:v>—</x:v>
      </x:c>
      <x:c r="C4738" s="55" t="str">
        <x:v>—</x:v>
      </x:c>
      <x:c r="D4738" s="55" t="str">
        <x:v>—</x:v>
      </x:c>
      <x:c r="E4738" s="55" t="inlineStr">
        <x:is>
          <x:t>帝國法器錦囊（網站未列地圖）；蕩神劍聖（橫劍天關、仙庭玉階、闕真金閣）；墮真劍邪（網站未列地圖）；電影疾鷹（紫雷轟原）；煉獄魔梟（凱旋廣場、聖禱天廳）</x:t>
        </x:is>
      </x:c>
    </x:row>
    <x:row r="4739" ht="30" customHeight="1">
      <x:c r="A4739" s="55" t="str">
        <x:v>極光晶簇</x:v>
      </x:c>
      <x:c r="B4739" s="55" t="str">
        <x:v>—</x:v>
      </x:c>
      <x:c r="C4739" s="55" t="str">
        <x:v>—</x:v>
      </x:c>
      <x:c r="D4739" s="55" t="str">
        <x:v>—</x:v>
      </x:c>
      <x:c r="E4739" s="55" t="inlineStr">
        <x:is>
          <x:t>帝國法器錦囊（網站未列地圖）；劈天大雷神（闕真金閣）；霸雷天尊（網站未列地圖）；穹天軍長（天啟八關）；冥府魘龍（聖禱天廳）</x:t>
        </x:is>
      </x:c>
    </x:row>
    <x:row r="4740" ht="60" customHeight="1">
      <x:c r="A4740" s="55" t="str">
        <x:v>長城劍印</x:v>
      </x:c>
      <x:c r="B4740" s="55" t="str">
        <x:v>—</x:v>
      </x:c>
      <x:c r="C4740" s="55" t="str">
        <x:v>—</x:v>
      </x:c>
      <x:c r="D4740" s="55" t="str">
        <x:v>—</x:v>
      </x:c>
      <x:c r="E4740" s="55" t="inlineStr">
        <x:is>
          <x:t>九天法器錦囊（網站未列地圖）；亂界雷鬼（紫雷轟原）；真劍修者（四聖祭台）；新等制255劍俠（網站未列地圖）；新等制280劍俠（網站未列地圖）；小夜叉士兵（異時界‧亂藤林、異時界‧亂藤林西）；小夜叉飛斧手（異時界‧亂藤林、異時界‧亂藤林西）；疲憊的夜叉士兵（異時界‧亂藤林東）；疲憊的夜叉斧手（異時界‧亂藤林東）；滄浪隱劍（天啟八關）</x:t>
        </x:is>
      </x:c>
    </x:row>
    <x:row r="4741" ht="15" customHeight="1">
      <x:c r="A4741" s="55" t="str">
        <x:v>天關劍佩</x:v>
      </x:c>
      <x:c r="B4741" s="55" t="str">
        <x:v>—</x:v>
      </x:c>
      <x:c r="C4741" s="55" t="str">
        <x:v>—</x:v>
      </x:c>
      <x:c r="D4741" s="55" t="str">
        <x:v>—</x:v>
      </x:c>
      <x:c r="E4741" s="55" t="inlineStr">
        <x:is>
          <x:t>九天法器錦囊（網站未列地圖）</x:t>
        </x:is>
      </x:c>
    </x:row>
  </x:sheetData>
  <x:mergeCells>
    <x:mergeCell ref="A2:E2"/>
    <x:mergeCell ref="A3:E3"/>
    <x:mergeCell ref="A4:E4"/>
    <x:mergeCell ref="A5:E5"/>
  </x:mergeCells>
  <x:pageMargins left="0.7" right="0.7" top="0.75" bottom="0.75" header="0.3" footer="0.3"/>
  <x:tableParts count="1">
    <x:tablePart xmlns:r="http://schemas.openxmlformats.org/officeDocument/2006/relationships" r:id="Rce472a8d983a4a10"/>
  </x:tableParts>
</x:worksheet>
</file>

<file path=xl/worksheets/sheet6.xml><?xml version="1.0" encoding="utf-8"?>
<x:worksheet xmlns:x="http://schemas.openxmlformats.org/spreadsheetml/2006/main">
  <x:sheetPr>
    <x:tabColor rgb="FF315A79"/>
  </x:sheetPr>
  <x:sheetViews>
    <x:sheetView showGridLines="0" workbookViewId="0">
      <x:pane ySplit="7" topLeftCell="A8" activePane="bottomLeft" state="frozen"/>
    </x:sheetView>
  </x:sheetViews>
  <x:sheetFormatPr defaultRowHeight="15"/>
  <x:cols>
    <x:col min="1" max="1" width="26.25" hidden="0" customWidth="1"/>
    <x:col min="2" max="2" width="8.75" hidden="0" customWidth="1"/>
    <x:col min="3" max="3" width="27.5" hidden="0" customWidth="1"/>
    <x:col min="4" max="4" width="81.25" hidden="0" customWidth="1"/>
    <x:col min="5" max="5" width="38.75" hidden="0" customWidth="1"/>
  </x:cols>
  <x:sheetData>
    <x:row r="1">
      <x:c r="A1" s="50"/>
      <x:c r="B1" s="50"/>
      <x:c r="C1" s="50"/>
      <x:c r="D1" s="50"/>
      <x:c r="E1" s="50"/>
    </x:row>
    <x:row r="2" ht="33" customHeight="1">
      <x:c r="A2" s="51" t="str">
        <x:v>封獸出處</x:v>
      </x:c>
      <x:c r="B2" s="50"/>
      <x:c r="C2" s="50"/>
      <x:c r="D2" s="50"/>
      <x:c r="E2" s="50"/>
    </x:row>
    <x:row r="3" hidden="1">
      <x:c r="A3" s="52" t="str">
        <x:v>網站資料：https://leonmax78.github.io/　（2026/09/19 擷取）</x:v>
      </x:c>
      <x:c r="B3" s="52"/>
      <x:c r="C3" s="52"/>
      <x:c r="D3" s="52"/>
      <x:c r="E3" s="52"/>
    </x:row>
    <x:row r="4" hidden="1">
      <x:c r="A4" s="52" t="str">
        <x:v>捕捉位置使用網站最新地圖資料；未列資料以 — 表示。</x:v>
      </x:c>
      <x:c r="B4" s="52"/>
      <x:c r="C4" s="52"/>
      <x:c r="D4" s="52"/>
      <x:c r="E4" s="52"/>
    </x:row>
    <x:row r="5" hidden="1">
      <x:c r="A5" s="52" t="str">
        <x:v>同一道具一列；— 表示目前網站或提供的配方檔未列出。</x:v>
      </x:c>
      <x:c r="B5" s="52"/>
      <x:c r="C5" s="52"/>
      <x:c r="D5" s="52"/>
      <x:c r="E5" s="52"/>
    </x:row>
    <x:row r="6" hidden="1">
      <x:c r="A6" s="50"/>
      <x:c r="B6" s="50"/>
      <x:c r="C6" s="50"/>
      <x:c r="D6" s="50"/>
      <x:c r="E6" s="50"/>
    </x:row>
    <x:row r="7" ht="28" customHeight="1">
      <x:c r="A7" s="54" t="str">
        <x:v>名稱</x:v>
      </x:c>
      <x:c r="B7" s="54" t="str">
        <x:v>星等</x:v>
      </x:c>
      <x:c r="C7" s="54" t="str">
        <x:v>捕捉技能</x:v>
      </x:c>
      <x:c r="D7" s="54" t="str">
        <x:v>捕捉位置</x:v>
      </x:c>
      <x:c r="E7" s="54" t="str">
        <x:v>取得補充</x:v>
      </x:c>
    </x:row>
    <x:row r="8" ht="15" customHeight="1">
      <x:c r="A8" s="55" t="str">
        <x:v>大山犬</x:v>
      </x:c>
      <x:c r="B8" s="55" t="str">
        <x:v>2星</x:v>
      </x:c>
      <x:c r="C8" s="55" t="str">
        <x:v>迷惑術</x:v>
      </x:c>
      <x:c r="D8" s="55" t="str">
        <x:v>大山犬（古皇陵近郊、平西關、神室關所）；大山犬（試煉之窟）</x:v>
      </x:c>
      <x:c r="E8" s="55" t="str">
        <x:v>—</x:v>
      </x:c>
    </x:row>
    <x:row r="9" ht="15" customHeight="1">
      <x:c r="A9" s="55" t="str">
        <x:v>大狂猴</x:v>
      </x:c>
      <x:c r="B9" s="55" t="str">
        <x:v>2星</x:v>
      </x:c>
      <x:c r="C9" s="55" t="str">
        <x:v>迷惑術</x:v>
      </x:c>
      <x:c r="D9" s="55" t="str">
        <x:v>大狂猴（古皇陵近郊、猢猻嶺）；大狂猴（試煉之窟）</x:v>
      </x:c>
      <x:c r="E9" s="55" t="str">
        <x:v>—</x:v>
      </x:c>
    </x:row>
    <x:row r="10" ht="15" customHeight="1">
      <x:c r="A10" s="55" t="str">
        <x:v>大野豬</x:v>
      </x:c>
      <x:c r="B10" s="55" t="str">
        <x:v>2星</x:v>
      </x:c>
      <x:c r="C10" s="55" t="str">
        <x:v>迷惑術</x:v>
      </x:c>
      <x:c r="D10" s="55" t="str">
        <x:v>大野豬（古皇陵近郊、釣日村）；大野豬（試煉之窟）</x:v>
      </x:c>
      <x:c r="E10" s="55" t="str">
        <x:v>—</x:v>
      </x:c>
    </x:row>
    <x:row r="11" ht="15" customHeight="1">
      <x:c r="A11" s="55" t="str">
        <x:v>大蟾蜍</x:v>
      </x:c>
      <x:c r="B11" s="55" t="str">
        <x:v>2星</x:v>
      </x:c>
      <x:c r="C11" s="55" t="str">
        <x:v>迷惑術</x:v>
      </x:c>
      <x:c r="D11" s="55" t="str">
        <x:v>大蟾蜍（古皇陵近郊、映月泊、平西關）；大蟾蜍（試煉之窟）</x:v>
      </x:c>
      <x:c r="E11" s="55" t="str">
        <x:v>—</x:v>
      </x:c>
    </x:row>
    <x:row r="12" ht="15" customHeight="1">
      <x:c r="A12" s="55" t="str">
        <x:v>大蜘蛛</x:v>
      </x:c>
      <x:c r="B12" s="55" t="str">
        <x:v>2星</x:v>
      </x:c>
      <x:c r="C12" s="55" t="str">
        <x:v>迷惑術</x:v>
      </x:c>
      <x:c r="D12" s="55" t="str">
        <x:v>大蜘蛛（望星坡）；大蜘蛛（試煉之窟）</x:v>
      </x:c>
      <x:c r="E12" s="55" t="str">
        <x:v>—</x:v>
      </x:c>
    </x:row>
    <x:row r="13" ht="15" customHeight="1">
      <x:c r="A13" s="55" t="str">
        <x:v>巨鼠</x:v>
      </x:c>
      <x:c r="B13" s="55" t="str">
        <x:v>2星</x:v>
      </x:c>
      <x:c r="C13" s="55" t="str">
        <x:v>迷惑術</x:v>
      </x:c>
      <x:c r="D13" s="55" t="str">
        <x:v>巨鼠（古皇陵第一層）</x:v>
      </x:c>
      <x:c r="E13" s="55" t="str">
        <x:v>—</x:v>
      </x:c>
    </x:row>
    <x:row r="14" ht="15" customHeight="1">
      <x:c r="A14" s="55" t="str">
        <x:v>蝙蝠</x:v>
      </x:c>
      <x:c r="B14" s="55" t="str">
        <x:v>2星</x:v>
      </x:c>
      <x:c r="C14" s="55" t="str">
        <x:v>迷惑術</x:v>
      </x:c>
      <x:c r="D14" s="55" t="str">
        <x:v>蝙蝠（古皇陵第一層）</x:v>
      </x:c>
      <x:c r="E14" s="55" t="str">
        <x:v>—</x:v>
      </x:c>
    </x:row>
    <x:row r="15" ht="15" customHeight="1">
      <x:c r="A15" s="55" t="str">
        <x:v>惡犬</x:v>
      </x:c>
      <x:c r="B15" s="55" t="str">
        <x:v>2星</x:v>
      </x:c>
      <x:c r="C15" s="55" t="str">
        <x:v>迷惑術</x:v>
      </x:c>
      <x:c r="D15" s="55" t="str">
        <x:v>惡犬（塞北關、古皇陵近郊、釣日村、平西關、望星坡）；惡犬（試煉之窟）</x:v>
      </x:c>
      <x:c r="E15" s="55" t="str">
        <x:v>—</x:v>
      </x:c>
    </x:row>
    <x:row r="16" ht="15" customHeight="1">
      <x:c r="A16" s="55" t="str">
        <x:v>黑狂猴</x:v>
      </x:c>
      <x:c r="B16" s="55" t="str">
        <x:v>2星</x:v>
      </x:c>
      <x:c r="C16" s="55" t="str">
        <x:v>迷惑術</x:v>
      </x:c>
      <x:c r="D16" s="55" t="str">
        <x:v>黑狂猴（入雲道、古皇陵近郊、映月泊、猢猻嶺）；黑狂猴（試煉之窟）</x:v>
      </x:c>
      <x:c r="E16" s="55" t="str">
        <x:v>—</x:v>
      </x:c>
    </x:row>
    <x:row r="17" ht="15" customHeight="1">
      <x:c r="A17" s="55" t="str">
        <x:v>山豬</x:v>
      </x:c>
      <x:c r="B17" s="55" t="str">
        <x:v>2星</x:v>
      </x:c>
      <x:c r="C17" s="55" t="str">
        <x:v>迷惑術</x:v>
      </x:c>
      <x:c r="D17" s="55" t="str">
        <x:v>山豬（惡狼林、古皇陵近郊、望星坡、封神臺、亂藤林西方、鷹翅族部落）；山豬（試煉之窟）</x:v>
      </x:c>
      <x:c r="E17" s="55" t="str">
        <x:v>—</x:v>
      </x:c>
    </x:row>
    <x:row r="18" ht="30" customHeight="1">
      <x:c r="A18" s="55" t="str">
        <x:v>巨蟾蜍</x:v>
      </x:c>
      <x:c r="B18" s="55" t="str">
        <x:v>2星</x:v>
      </x:c>
      <x:c r="C18" s="55" t="str">
        <x:v>迷惑術</x:v>
      </x:c>
      <x:c r="D18" s="55" t="str">
        <x:v>巨蟾蜍（古皇陵近郊、映月泊、平西關、碧波谷徑、巨猿洞窟一層、百妖穴第一層、萬人塚第一層、葬日沼澤北方、河西谷地）；巨蟾蜍（試煉之窟）</x:v>
      </x:c>
      <x:c r="E18" s="55" t="str">
        <x:v>—</x:v>
      </x:c>
    </x:row>
    <x:row r="19" ht="30" customHeight="1">
      <x:c r="A19" s="55" t="str">
        <x:v>巨蜘蛛</x:v>
      </x:c>
      <x:c r="B19" s="55" t="str">
        <x:v>2星</x:v>
      </x:c>
      <x:c r="C19" s="55" t="str">
        <x:v>迷惑術</x:v>
      </x:c>
      <x:c r="D19" s="55" t="str">
        <x:v>巨蜘蛛（望星坡、碧波谷徑、古皇陵第一層、百妖穴第一層、百妖穴第二層）；巨蜘蛛（試煉之窟）</x:v>
      </x:c>
      <x:c r="E19" s="55" t="str">
        <x:v>—</x:v>
      </x:c>
    </x:row>
    <x:row r="20" ht="30" customHeight="1">
      <x:c r="A20" s="55" t="str">
        <x:v>巨灰鼠</x:v>
      </x:c>
      <x:c r="B20" s="55" t="str">
        <x:v>2星</x:v>
      </x:c>
      <x:c r="C20" s="55" t="str">
        <x:v>迷惑術</x:v>
      </x:c>
      <x:c r="D20" s="55" t="str">
        <x:v>巨灰鼠（古皇陵第一層、古皇陵第二層、鎮南關密道、魔君陵寢一層、魔君陵寢二層、恨生不歸途）</x:v>
      </x:c>
      <x:c r="E20" s="55" t="str">
        <x:v>—</x:v>
      </x:c>
    </x:row>
    <x:row r="21" ht="15" customHeight="1">
      <x:c r="A21" s="55" t="str">
        <x:v>灰蝙蝠</x:v>
      </x:c>
      <x:c r="B21" s="55" t="str">
        <x:v>2星</x:v>
      </x:c>
      <x:c r="C21" s="55" t="str">
        <x:v>迷惑術</x:v>
      </x:c>
      <x:c r="D21" s="55" t="str">
        <x:v>灰蝙蝠（古皇陵第一層、古皇陵第二層、鎮南關密道、魔君陵寢一層）</x:v>
      </x:c>
      <x:c r="E21" s="55" t="str">
        <x:v>—</x:v>
      </x:c>
    </x:row>
    <x:row r="22" ht="15" customHeight="1">
      <x:c r="A22" s="55" t="str">
        <x:v>小蠍子</x:v>
      </x:c>
      <x:c r="B22" s="55" t="str">
        <x:v>2星</x:v>
      </x:c>
      <x:c r="C22" s="55" t="str">
        <x:v>迷惑術</x:v>
      </x:c>
      <x:c r="D22" s="55" t="str">
        <x:v>小蠍子（巨猿洞窟二層、亂藤林、摘星嶺）</x:v>
      </x:c>
      <x:c r="E22" s="55" t="str">
        <x:v>—</x:v>
      </x:c>
    </x:row>
    <x:row r="23" ht="15" customHeight="1">
      <x:c r="A23" s="55" t="str">
        <x:v>藍尾蠍</x:v>
      </x:c>
      <x:c r="B23" s="55" t="str">
        <x:v>2星</x:v>
      </x:c>
      <x:c r="C23" s="55" t="str">
        <x:v>迷惑術</x:v>
      </x:c>
      <x:c r="D23" s="55" t="str">
        <x:v>藍尾蠍（朝天嶺、亂藤林東方、摘星嶺）</x:v>
      </x:c>
      <x:c r="E23" s="55" t="str">
        <x:v>—</x:v>
      </x:c>
    </x:row>
    <x:row r="24" ht="15" customHeight="1">
      <x:c r="A24" s="55" t="str">
        <x:v>狂犬</x:v>
      </x:c>
      <x:c r="B24" s="55" t="str">
        <x:v>2星</x:v>
      </x:c>
      <x:c r="C24" s="55" t="str">
        <x:v>迷惑術</x:v>
      </x:c>
      <x:c r="D24" s="55" t="str">
        <x:v>狂犬（塞北關、古皇陵近郊、釣日村、平西關、萬人塚第一層）；狂犬（試煉之窟）</x:v>
      </x:c>
      <x:c r="E24" s="55" t="str">
        <x:v>—</x:v>
      </x:c>
    </x:row>
    <x:row r="25" ht="30" customHeight="1">
      <x:c r="A25" s="55" t="str">
        <x:v>火蟾蜍</x:v>
      </x:c>
      <x:c r="B25" s="55" t="str">
        <x:v>2星</x:v>
      </x:c>
      <x:c r="C25" s="55" t="str">
        <x:v>迷惑術</x:v>
      </x:c>
      <x:c r="D25" s="55" t="str">
        <x:v>火蟾蜍（平西關、碧波谷徑、巨猿洞窟一層、巨猿洞窟二層、百妖穴第一層、萬人塚第一層、葬日沼澤北方、盤蛇洞、棲鳳崖、河西谷地）</x:v>
      </x:c>
      <x:c r="E25" s="55" t="str">
        <x:v>—</x:v>
      </x:c>
    </x:row>
    <x:row r="26" ht="15" customHeight="1">
      <x:c r="A26" s="55" t="str">
        <x:v>冰蟾蜍</x:v>
      </x:c>
      <x:c r="B26" s="55" t="str">
        <x:v>2星</x:v>
      </x:c>
      <x:c r="C26" s="55" t="str">
        <x:v>迷惑術</x:v>
      </x:c>
      <x:c r="D26" s="55" t="str">
        <x:v>冰蟾蜍（映月泊、百妖穴第一層、萬人塚第一層、天山雪道、盤蛇洞）</x:v>
      </x:c>
      <x:c r="E26" s="55" t="str">
        <x:v>—</x:v>
      </x:c>
    </x:row>
    <x:row r="27" ht="30" customHeight="1">
      <x:c r="A27" s="55" t="str">
        <x:v>食屍巨鼠</x:v>
      </x:c>
      <x:c r="B27" s="55" t="str">
        <x:v>2星</x:v>
      </x:c>
      <x:c r="C27" s="55" t="str">
        <x:v>迷惑術</x:v>
      </x:c>
      <x:c r="D27" s="55" t="str">
        <x:v>食屍巨鼠（古皇陵第一層、古皇陵第二層、鎮南關密道、魔君陵寢一層、魔君陵寢二層、古皇陵第三層）</x:v>
      </x:c>
      <x:c r="E27" s="55" t="str">
        <x:v>—</x:v>
      </x:c>
    </x:row>
    <x:row r="28" ht="30" customHeight="1">
      <x:c r="A28" s="55" t="str">
        <x:v>巨蝙蝠</x:v>
      </x:c>
      <x:c r="B28" s="55" t="str">
        <x:v>2星</x:v>
      </x:c>
      <x:c r="C28" s="55" t="str">
        <x:v>迷惑術</x:v>
      </x:c>
      <x:c r="D28" s="55" t="str">
        <x:v>巨蝙蝠（古皇陵第一層、古皇陵第二層、鎮南關密道、魔君陵寢一層、魔君陵寢二層、古皇陵第三層、盤蛇洞）</x:v>
      </x:c>
      <x:c r="E28" s="55" t="str">
        <x:v>—</x:v>
      </x:c>
    </x:row>
    <x:row r="29" ht="15" customHeight="1">
      <x:c r="A29" s="55" t="str">
        <x:v>變色蜥蜴</x:v>
      </x:c>
      <x:c r="B29" s="55" t="str">
        <x:v>2星</x:v>
      </x:c>
      <x:c r="C29" s="55" t="str">
        <x:v>迷惑術</x:v>
      </x:c>
      <x:c r="D29" s="55" t="str">
        <x:v>變色蜥蜴（亂藤林、亂藤林西方、靖南古道）</x:v>
      </x:c>
      <x:c r="E29" s="55" t="str">
        <x:v>—</x:v>
      </x:c>
    </x:row>
    <x:row r="30" ht="15" customHeight="1">
      <x:c r="A30" s="55" t="str">
        <x:v>搗蛋小狸貓</x:v>
      </x:c>
      <x:c r="B30" s="55" t="str">
        <x:v>2星</x:v>
      </x:c>
      <x:c r="C30" s="55" t="str">
        <x:v>—</x:v>
      </x:c>
      <x:c r="D30" s="55" t="str">
        <x:v>搗蛋小狸貓（桃花林東方）</x:v>
      </x:c>
      <x:c r="E30" s="55" t="str">
        <x:v>—</x:v>
      </x:c>
    </x:row>
    <x:row r="31" ht="15" customHeight="1">
      <x:c r="A31" s="55" t="str">
        <x:v>緞帶兔</x:v>
      </x:c>
      <x:c r="B31" s="55" t="str">
        <x:v>2星</x:v>
      </x:c>
      <x:c r="C31" s="55" t="str">
        <x:v>—</x:v>
      </x:c>
      <x:c r="D31" s="55" t="str">
        <x:v>—</x:v>
      </x:c>
      <x:c r="E31" s="55" t="str">
        <x:v>—</x:v>
      </x:c>
    </x:row>
    <x:row r="32" ht="15" customHeight="1">
      <x:c r="A32" s="55" t="str">
        <x:v>白貂</x:v>
      </x:c>
      <x:c r="B32" s="55" t="str">
        <x:v>2星</x:v>
      </x:c>
      <x:c r="C32" s="55" t="str">
        <x:v>—</x:v>
      </x:c>
      <x:c r="D32" s="55" t="str">
        <x:v>—</x:v>
      </x:c>
      <x:c r="E32" s="55" t="str">
        <x:v>—</x:v>
      </x:c>
    </x:row>
    <x:row r="33" ht="15" customHeight="1">
      <x:c r="A33" s="55" t="str">
        <x:v>灰鷹</x:v>
      </x:c>
      <x:c r="B33" s="55" t="str">
        <x:v>2星</x:v>
      </x:c>
      <x:c r="C33" s="55" t="str">
        <x:v>—</x:v>
      </x:c>
      <x:c r="D33" s="55" t="str">
        <x:v>—</x:v>
      </x:c>
      <x:c r="E33" s="55" t="str">
        <x:v>—</x:v>
      </x:c>
    </x:row>
    <x:row r="34" ht="15" customHeight="1">
      <x:c r="A34" s="55" t="str">
        <x:v>兔精</x:v>
      </x:c>
      <x:c r="B34" s="55" t="str">
        <x:v>2星</x:v>
      </x:c>
      <x:c r="C34" s="55" t="str">
        <x:v>—</x:v>
      </x:c>
      <x:c r="D34" s="55" t="str">
        <x:v>—</x:v>
      </x:c>
      <x:c r="E34" s="55" t="str">
        <x:v>—</x:v>
      </x:c>
    </x:row>
    <x:row r="35" ht="15" customHeight="1">
      <x:c r="A35" s="55" t="str">
        <x:v>狸精</x:v>
      </x:c>
      <x:c r="B35" s="55" t="str">
        <x:v>2星</x:v>
      </x:c>
      <x:c r="C35" s="55" t="str">
        <x:v>—</x:v>
      </x:c>
      <x:c r="D35" s="55" t="str">
        <x:v>—</x:v>
      </x:c>
      <x:c r="E35" s="55" t="str">
        <x:v>—</x:v>
      </x:c>
    </x:row>
    <x:row r="36" ht="15" customHeight="1">
      <x:c r="A36" s="55" t="str">
        <x:v>蒼藍</x:v>
      </x:c>
      <x:c r="B36" s="55" t="str">
        <x:v>2星</x:v>
      </x:c>
      <x:c r="C36" s="55" t="str">
        <x:v>—</x:v>
      </x:c>
      <x:c r="D36" s="55" t="str">
        <x:v>—</x:v>
      </x:c>
      <x:c r="E36" s="55" t="str">
        <x:v>—</x:v>
      </x:c>
    </x:row>
    <x:row r="37" ht="15" customHeight="1">
      <x:c r="A37" s="55" t="str">
        <x:v>翡翠</x:v>
      </x:c>
      <x:c r="B37" s="55" t="str">
        <x:v>2星</x:v>
      </x:c>
      <x:c r="C37" s="55" t="str">
        <x:v>—</x:v>
      </x:c>
      <x:c r="D37" s="55" t="str">
        <x:v>—</x:v>
      </x:c>
      <x:c r="E37" s="55" t="str">
        <x:v>—</x:v>
      </x:c>
    </x:row>
    <x:row r="38" ht="15" customHeight="1">
      <x:c r="A38" s="55" t="str">
        <x:v>黃金</x:v>
      </x:c>
      <x:c r="B38" s="55" t="str">
        <x:v>2星</x:v>
      </x:c>
      <x:c r="C38" s="55" t="str">
        <x:v>—</x:v>
      </x:c>
      <x:c r="D38" s="55" t="str">
        <x:v>—</x:v>
      </x:c>
      <x:c r="E38" s="55" t="str">
        <x:v>—</x:v>
      </x:c>
    </x:row>
    <x:row r="39" ht="15" customHeight="1">
      <x:c r="A39" s="55" t="str">
        <x:v>白雪</x:v>
      </x:c>
      <x:c r="B39" s="55" t="str">
        <x:v>2星</x:v>
      </x:c>
      <x:c r="C39" s="55" t="str">
        <x:v>—</x:v>
      </x:c>
      <x:c r="D39" s="55" t="str">
        <x:v>—</x:v>
      </x:c>
      <x:c r="E39" s="55" t="str">
        <x:v>—</x:v>
      </x:c>
    </x:row>
    <x:row r="40" ht="15" customHeight="1">
      <x:c r="A40" s="55" t="str">
        <x:v>屍犬</x:v>
      </x:c>
      <x:c r="B40" s="55" t="str">
        <x:v>3星</x:v>
      </x:c>
      <x:c r="C40" s="55" t="str">
        <x:v>縛靈術</x:v>
      </x:c>
      <x:c r="D40" s="55" t="str">
        <x:v>屍犬（平西關、望星坡、鬼城、猛鬼窟第一層、萬人塚第一層、萬人塚第二層）</x:v>
      </x:c>
      <x:c r="E40" s="55" t="str">
        <x:v>—</x:v>
      </x:c>
    </x:row>
    <x:row r="41" ht="30" customHeight="1">
      <x:c r="A41" s="55" t="str">
        <x:v>毒蟾蜍</x:v>
      </x:c>
      <x:c r="B41" s="55" t="str">
        <x:v>3星</x:v>
      </x:c>
      <x:c r="C41" s="55" t="str">
        <x:v>迷惑術</x:v>
      </x:c>
      <x:c r="D41" s="55" t="str">
        <x:v>毒蟾蜍（碧波谷徑、百妖穴第一層、萬人塚第一層、亂藤林、亂藤林東方、葬日沼澤北方、毒龍潭、盤蛇洞、河西谷地）</x:v>
      </x:c>
      <x:c r="E41" s="55" t="str">
        <x:v>—</x:v>
      </x:c>
    </x:row>
    <x:row r="42" ht="15" customHeight="1">
      <x:c r="A42" s="55" t="str">
        <x:v>赤蠍子</x:v>
      </x:c>
      <x:c r="B42" s="55" t="str">
        <x:v>3星</x:v>
      </x:c>
      <x:c r="C42" s="55" t="str">
        <x:v>迷惑術</x:v>
      </x:c>
      <x:c r="D42" s="55" t="str">
        <x:v>赤蠍子（巨猿洞窟二層、亂藤林東方、摘星嶺、棲鳳崖、塔干沙漠東方）</x:v>
      </x:c>
      <x:c r="E42" s="55" t="str">
        <x:v>—</x:v>
      </x:c>
    </x:row>
    <x:row r="43" ht="15" customHeight="1">
      <x:c r="A43" s="55" t="str">
        <x:v>野狼</x:v>
      </x:c>
      <x:c r="B43" s="55" t="str">
        <x:v>3星</x:v>
      </x:c>
      <x:c r="C43" s="55" t="str">
        <x:v>迷惑術</x:v>
      </x:c>
      <x:c r="D43" s="55" t="str">
        <x:v>野狼（入雲道、塞北關、惡狼林）；野狼（試煉之窟）</x:v>
      </x:c>
      <x:c r="E43" s="55" t="str">
        <x:v>—</x:v>
      </x:c>
    </x:row>
    <x:row r="44" ht="30" customHeight="1">
      <x:c r="A44" s="55" t="str">
        <x:v>殭屍</x:v>
      </x:c>
      <x:c r="B44" s="55" t="str">
        <x:v>3星</x:v>
      </x:c>
      <x:c r="C44" s="55" t="str">
        <x:v>縛靈術</x:v>
      </x:c>
      <x:c r="D44" s="55" t="str">
        <x:v>殭屍（鬼城、猛鬼窟第一層、萬人塚第一層、萬人塚第二層、萬人塚第三層）；殭屍（試煉之窟）</x:v>
      </x:c>
      <x:c r="E44" s="55" t="str">
        <x:v>—</x:v>
      </x:c>
    </x:row>
    <x:row r="45" ht="15" customHeight="1">
      <x:c r="A45" s="55" t="str">
        <x:v>狂猿</x:v>
      </x:c>
      <x:c r="B45" s="55" t="str">
        <x:v>3星</x:v>
      </x:c>
      <x:c r="C45" s="55" t="str">
        <x:v>迷惑術</x:v>
      </x:c>
      <x:c r="D45" s="55" t="str">
        <x:v>狂猿（巨猿洞窟二層、碧波幽谷、亂藤林南方、摘星嶺、夜叉嶺）</x:v>
      </x:c>
      <x:c r="E45" s="55" t="str">
        <x:v>—</x:v>
      </x:c>
    </x:row>
    <x:row r="46" ht="30" customHeight="1">
      <x:c r="A46" s="55" t="str">
        <x:v>斑紋蜘蛛</x:v>
      </x:c>
      <x:c r="B46" s="55" t="str">
        <x:v>3星</x:v>
      </x:c>
      <x:c r="C46" s="55" t="str">
        <x:v>迷惑術</x:v>
      </x:c>
      <x:c r="D46" s="55" t="str">
        <x:v>斑紋蜘蛛（望星坡、碧波谷徑、古皇陵第一層、古皇陵第二層、百妖穴第一層、亂藤林東方、百妖穴第二層）</x:v>
      </x:c>
      <x:c r="E46" s="55" t="str">
        <x:v>—</x:v>
      </x:c>
    </x:row>
    <x:row r="47" ht="15" customHeight="1">
      <x:c r="A47" s="55" t="str">
        <x:v>綠蜥蜴</x:v>
      </x:c>
      <x:c r="B47" s="55" t="str">
        <x:v>3星</x:v>
      </x:c>
      <x:c r="C47" s="55" t="str">
        <x:v>迷惑術</x:v>
      </x:c>
      <x:c r="D47" s="55" t="str">
        <x:v>綠蜥蜴（亂藤林南方、亂藤林西方、鷹翅族部落、夜叉嶺）</x:v>
      </x:c>
      <x:c r="E47" s="55" t="str">
        <x:v>—</x:v>
      </x:c>
    </x:row>
    <x:row r="48" ht="15" customHeight="1">
      <x:c r="A48" s="55" t="str">
        <x:v>巨蜈蚣</x:v>
      </x:c>
      <x:c r="B48" s="55" t="str">
        <x:v>3星</x:v>
      </x:c>
      <x:c r="C48" s="55" t="str">
        <x:v>迷惑術</x:v>
      </x:c>
      <x:c r="D48" s="55" t="str">
        <x:v>巨蜈蚣（鎮南關密道、亂藤林、葬日沼澤南方、地靈穴、河西谷地）</x:v>
      </x:c>
      <x:c r="E48" s="55" t="str">
        <x:v>—</x:v>
      </x:c>
    </x:row>
    <x:row r="49" ht="30" customHeight="1">
      <x:c r="A49" s="55" t="str">
        <x:v>翠蛇</x:v>
      </x:c>
      <x:c r="B49" s="55" t="str">
        <x:v>3星</x:v>
      </x:c>
      <x:c r="C49" s="55" t="str">
        <x:v>迷惑術</x:v>
      </x:c>
      <x:c r="D49" s="55" t="str">
        <x:v>翠蛇（鎮南關密道、亂藤林西方、葬日沼澤南方、靖南古道、桃花林、桃花林西方、盤蛇洞、河西谷地）</x:v>
      </x:c>
      <x:c r="E49" s="55" t="str">
        <x:v>—</x:v>
      </x:c>
    </x:row>
    <x:row r="50" ht="15" customHeight="1">
      <x:c r="A50" s="55" t="str">
        <x:v>遊魂</x:v>
      </x:c>
      <x:c r="B50" s="55" t="str">
        <x:v>3星</x:v>
      </x:c>
      <x:c r="C50" s="55" t="str">
        <x:v>縛靈術</x:v>
      </x:c>
      <x:c r="D50" s="55" t="str">
        <x:v>遊魂（望星坡、獄門峽、猛鬼窟第一層、猛鬼窟第二層、朝天觀）</x:v>
      </x:c>
      <x:c r="E50" s="55" t="str">
        <x:v>—</x:v>
      </x:c>
    </x:row>
    <x:row r="51" ht="15" customHeight="1">
      <x:c r="A51" s="55" t="str">
        <x:v>桃花蜂</x:v>
      </x:c>
      <x:c r="B51" s="55" t="str">
        <x:v>3星</x:v>
      </x:c>
      <x:c r="C51" s="55" t="str">
        <x:v>迷惑術</x:v>
      </x:c>
      <x:c r="D51" s="55" t="str">
        <x:v>桃花蜂（桃花林東方、桃花林、桃花林西方、桃花林南方）</x:v>
      </x:c>
      <x:c r="E51" s="55" t="str">
        <x:v>—</x:v>
      </x:c>
    </x:row>
    <x:row r="52" ht="15" customHeight="1">
      <x:c r="A52" s="55" t="str">
        <x:v>飛毛兔</x:v>
      </x:c>
      <x:c r="B52" s="55" t="str">
        <x:v>3星</x:v>
      </x:c>
      <x:c r="C52" s="55" t="str">
        <x:v>—</x:v>
      </x:c>
      <x:c r="D52" s="55" t="str">
        <x:v>飛毛兔（桃花林東方、桃花林、桃花林西方、掩月松林）</x:v>
      </x:c>
      <x:c r="E52" s="55" t="str">
        <x:v>—</x:v>
      </x:c>
    </x:row>
    <x:row r="53" ht="15" customHeight="1">
      <x:c r="A53" s="55" t="str">
        <x:v>千面狐</x:v>
      </x:c>
      <x:c r="B53" s="55" t="str">
        <x:v>3星</x:v>
      </x:c>
      <x:c r="C53" s="55" t="str">
        <x:v>—</x:v>
      </x:c>
      <x:c r="D53" s="55" t="str">
        <x:v>千面狐（瀰煙山道、半天岩、不老峰）</x:v>
      </x:c>
      <x:c r="E53" s="55" t="str">
        <x:v>—</x:v>
      </x:c>
    </x:row>
    <x:row r="54" ht="15" customHeight="1">
      <x:c r="A54" s="55" t="str">
        <x:v>沙漠響尾蛇</x:v>
      </x:c>
      <x:c r="B54" s="55" t="str">
        <x:v>3星</x:v>
      </x:c>
      <x:c r="C54" s="55" t="str">
        <x:v>迷惑術</x:v>
      </x:c>
      <x:c r="D54" s="55" t="str">
        <x:v>沙漠響尾蛇（塔干沙漠南方）</x:v>
      </x:c>
      <x:c r="E54" s="55" t="str">
        <x:v>—</x:v>
      </x:c>
    </x:row>
    <x:row r="55" ht="15" customHeight="1">
      <x:c r="A55" s="55" t="str">
        <x:v>沙漠斑蛛</x:v>
      </x:c>
      <x:c r="B55" s="55" t="str">
        <x:v>3星</x:v>
      </x:c>
      <x:c r="C55" s="55" t="str">
        <x:v>迷惑術</x:v>
      </x:c>
      <x:c r="D55" s="55" t="str">
        <x:v>沙漠斑蛛（塔干沙漠西方）</x:v>
      </x:c>
      <x:c r="E55" s="55" t="str">
        <x:v>—</x:v>
      </x:c>
    </x:row>
    <x:row r="56" ht="15" customHeight="1">
      <x:c r="A56" s="55" t="str">
        <x:v>狂猴王</x:v>
      </x:c>
      <x:c r="B56" s="55" t="str">
        <x:v>4星</x:v>
      </x:c>
      <x:c r="C56" s="55" t="str">
        <x:v>迷惑術</x:v>
      </x:c>
      <x:c r="D56" s="55" t="str">
        <x:v>狂猴王（入雲道、古皇陵近郊、映月泊、猢猻嶺）</x:v>
      </x:c>
      <x:c r="E56" s="55" t="str">
        <x:v>—</x:v>
      </x:c>
    </x:row>
    <x:row r="57" ht="15" customHeight="1">
      <x:c r="A57" s="55" t="str">
        <x:v>雪狼</x:v>
      </x:c>
      <x:c r="B57" s="55" t="str">
        <x:v>4星</x:v>
      </x:c>
      <x:c r="C57" s="55" t="str">
        <x:v>迷惑術</x:v>
      </x:c>
      <x:c r="D57" s="55" t="str">
        <x:v>雪狼（入雲道、塞北關、惡狼林、天山雪道）</x:v>
      </x:c>
      <x:c r="E57" s="55" t="str">
        <x:v>—</x:v>
      </x:c>
    </x:row>
    <x:row r="58" ht="15" customHeight="1">
      <x:c r="A58" s="55" t="str">
        <x:v>鱷魚</x:v>
      </x:c>
      <x:c r="B58" s="55" t="str">
        <x:v>4星</x:v>
      </x:c>
      <x:c r="C58" s="55" t="str">
        <x:v>迷惑術</x:v>
      </x:c>
      <x:c r="D58" s="55" t="str">
        <x:v>鱷魚（葬日沼澤、葬日沼澤北方、毒龍潭）</x:v>
      </x:c>
      <x:c r="E58" s="55" t="str">
        <x:v>—</x:v>
      </x:c>
    </x:row>
    <x:row r="59" ht="15" customHeight="1">
      <x:c r="A59" s="55" t="str">
        <x:v>血屍</x:v>
      </x:c>
      <x:c r="B59" s="55" t="str">
        <x:v>4星</x:v>
      </x:c>
      <x:c r="C59" s="55" t="str">
        <x:v>縛靈術</x:v>
      </x:c>
      <x:c r="D59" s="55" t="str">
        <x:v>血屍（猛鬼窟第一層、萬人塚第二層、朝天觀、萬人塚第三層、樓蘭遺址）</x:v>
      </x:c>
      <x:c r="E59" s="55" t="str">
        <x:v>—</x:v>
      </x:c>
    </x:row>
    <x:row r="60" ht="15" customHeight="1">
      <x:c r="A60" s="55" t="str">
        <x:v>毒殭屍</x:v>
      </x:c>
      <x:c r="B60" s="55" t="str">
        <x:v>4星</x:v>
      </x:c>
      <x:c r="C60" s="55" t="str">
        <x:v>縛靈術</x:v>
      </x:c>
      <x:c r="D60" s="55" t="str">
        <x:v>毒殭屍（猛鬼窟第一層、萬人塚第二層、朝天觀、萬人塚第三層、樓蘭遺址）</x:v>
      </x:c>
      <x:c r="E60" s="55" t="str">
        <x:v>—</x:v>
      </x:c>
    </x:row>
    <x:row r="61" ht="15" customHeight="1">
      <x:c r="A61" s="55" t="str">
        <x:v>小妖狸</x:v>
      </x:c>
      <x:c r="B61" s="55" t="str">
        <x:v>4星</x:v>
      </x:c>
      <x:c r="C61" s="55" t="str">
        <x:v>—</x:v>
      </x:c>
      <x:c r="D61" s="55" t="str">
        <x:v>小妖狸（桃花林東方、桃花林）</x:v>
      </x:c>
      <x:c r="E61" s="55" t="str">
        <x:v>—</x:v>
      </x:c>
    </x:row>
    <x:row r="62" ht="15" customHeight="1">
      <x:c r="A62" s="55" t="str">
        <x:v>山羊</x:v>
      </x:c>
      <x:c r="B62" s="55" t="str">
        <x:v>4星</x:v>
      </x:c>
      <x:c r="C62" s="55" t="str">
        <x:v>迷惑術</x:v>
      </x:c>
      <x:c r="D62" s="55" t="str">
        <x:v>山羊（塞北草原、呼倫草原、貝爾草原、河西谷地）</x:v>
      </x:c>
      <x:c r="E62" s="55" t="str">
        <x:v>—</x:v>
      </x:c>
    </x:row>
    <x:row r="63" ht="15" customHeight="1">
      <x:c r="A63" s="55" t="str">
        <x:v>野馬</x:v>
      </x:c>
      <x:c r="B63" s="55" t="str">
        <x:v>4星</x:v>
      </x:c>
      <x:c r="C63" s="55" t="str">
        <x:v>迷惑術</x:v>
      </x:c>
      <x:c r="D63" s="55" t="str">
        <x:v>野馬（八達嶺、古北口、塞北草原、河西谷地）</x:v>
      </x:c>
      <x:c r="E63" s="55" t="str">
        <x:v>—</x:v>
      </x:c>
    </x:row>
    <x:row r="64" ht="15" customHeight="1">
      <x:c r="A64" s="55" t="str">
        <x:v>幽冥犬</x:v>
      </x:c>
      <x:c r="B64" s="55" t="str">
        <x:v>4星</x:v>
      </x:c>
      <x:c r="C64" s="55" t="str">
        <x:v>縛靈術</x:v>
      </x:c>
      <x:c r="D64" s="55" t="str">
        <x:v>幽冥犬（猛鬼窟第一層、萬人塚第二層、萬人塚第三層）</x:v>
      </x:c>
      <x:c r="E64" s="55" t="str">
        <x:v>—</x:v>
      </x:c>
    </x:row>
    <x:row r="65" ht="15" customHeight="1">
      <x:c r="A65" s="55" t="str">
        <x:v>白毛巨猿</x:v>
      </x:c>
      <x:c r="B65" s="55" t="str">
        <x:v>4星</x:v>
      </x:c>
      <x:c r="C65" s="55" t="str">
        <x:v>迷惑術</x:v>
      </x:c>
      <x:c r="D65" s="55" t="str">
        <x:v>白毛巨猿（入雲道、天山雪道、瀰煙山道）</x:v>
      </x:c>
      <x:c r="E65" s="55" t="str">
        <x:v>—</x:v>
      </x:c>
    </x:row>
    <x:row r="66" ht="15" customHeight="1">
      <x:c r="A66" s="55" t="str">
        <x:v>紅毛巨猿</x:v>
      </x:c>
      <x:c r="B66" s="55" t="str">
        <x:v>4星</x:v>
      </x:c>
      <x:c r="C66" s="55" t="str">
        <x:v>迷惑術</x:v>
      </x:c>
      <x:c r="D66" s="55" t="str">
        <x:v>紅毛巨猿（猢猻嶺、巨猿洞窟一層、巨猿洞窟二層）</x:v>
      </x:c>
      <x:c r="E66" s="55" t="str">
        <x:v>—</x:v>
      </x:c>
    </x:row>
    <x:row r="67" ht="30" customHeight="1">
      <x:c r="A67" s="55" t="str">
        <x:v>大山豬</x:v>
      </x:c>
      <x:c r="B67" s="55" t="str">
        <x:v>4星</x:v>
      </x:c>
      <x:c r="C67" s="55" t="str">
        <x:v>迷惑術</x:v>
      </x:c>
      <x:c r="D67" s="55" t="str">
        <x:v>大山豬（惡狼林、古皇陵近郊、猢猻嶺、封神臺、亂藤林西方、鷹翅族部落）；大山豬（試煉之窟）</x:v>
      </x:c>
      <x:c r="E67" s="55" t="str">
        <x:v>—</x:v>
      </x:c>
    </x:row>
    <x:row r="68" ht="15" customHeight="1">
      <x:c r="A68" s="55" t="str">
        <x:v>蟾蜍精</x:v>
      </x:c>
      <x:c r="B68" s="55" t="str">
        <x:v>4星</x:v>
      </x:c>
      <x:c r="C68" s="55" t="str">
        <x:v>—</x:v>
      </x:c>
      <x:c r="D68" s="55" t="str">
        <x:v>蟾蜍精（百妖穴第一層、百妖穴第二層、盤蛇洞）</x:v>
      </x:c>
      <x:c r="E68" s="55" t="str">
        <x:v>—</x:v>
      </x:c>
    </x:row>
    <x:row r="69" ht="15" customHeight="1">
      <x:c r="A69" s="55" t="str">
        <x:v>鬼面蜘蛛</x:v>
      </x:c>
      <x:c r="B69" s="55" t="str">
        <x:v>4星</x:v>
      </x:c>
      <x:c r="C69" s="55" t="str">
        <x:v>—</x:v>
      </x:c>
      <x:c r="D69" s="55" t="str">
        <x:v>鬼面蜘蛛（碧波谷徑、百妖穴第一層、百妖穴第二層、盤蛇洞、地靈穴、蕈菇林）</x:v>
      </x:c>
      <x:c r="E69" s="55" t="str">
        <x:v>—</x:v>
      </x:c>
    </x:row>
    <x:row r="70" ht="15" customHeight="1">
      <x:c r="A70" s="55" t="str">
        <x:v>巨蠍子</x:v>
      </x:c>
      <x:c r="B70" s="55" t="str">
        <x:v>4星</x:v>
      </x:c>
      <x:c r="C70" s="55" t="str">
        <x:v>迷惑術</x:v>
      </x:c>
      <x:c r="D70" s="55" t="str">
        <x:v>巨蠍子（飛仙岩、朝天嶺、亂藤林東方、摘星嶺、河西谷地、塔干沙漠東方、樓蘭遺址）</x:v>
      </x:c>
      <x:c r="E70" s="55" t="str">
        <x:v>—</x:v>
      </x:c>
    </x:row>
    <x:row r="71" ht="30" customHeight="1">
      <x:c r="A71" s="55" t="str">
        <x:v>劍齒狼</x:v>
      </x:c>
      <x:c r="B71" s="55" t="str">
        <x:v>4星</x:v>
      </x:c>
      <x:c r="C71" s="55" t="str">
        <x:v>迷惑術</x:v>
      </x:c>
      <x:c r="D71" s="55" t="str">
        <x:v>劍齒狼（入雲道、塞北關、惡狼林、瀰煙山道、八達嶺、古北口、塞北草原）；劍齒狼（試煉之窟）</x:v>
      </x:c>
      <x:c r="E71" s="55" t="str">
        <x:v>—</x:v>
      </x:c>
    </x:row>
    <x:row r="72" ht="15" customHeight="1">
      <x:c r="A72" s="55" t="str">
        <x:v>赤蜥蜴</x:v>
      </x:c>
      <x:c r="B72" s="55" t="str">
        <x:v>4星</x:v>
      </x:c>
      <x:c r="C72" s="55" t="str">
        <x:v>迷惑術</x:v>
      </x:c>
      <x:c r="D72" s="55" t="str">
        <x:v>赤蜥蜴（亂藤林西方、鷹翅族部落、夜叉嶺、棲鳳崖）</x:v>
      </x:c>
      <x:c r="E72" s="55" t="str">
        <x:v>—</x:v>
      </x:c>
    </x:row>
    <x:row r="73" ht="15" customHeight="1">
      <x:c r="A73" s="55" t="str">
        <x:v>石怪</x:v>
      </x:c>
      <x:c r="B73" s="55" t="str">
        <x:v>4星</x:v>
      </x:c>
      <x:c r="C73" s="55" t="str">
        <x:v>—</x:v>
      </x:c>
      <x:c r="D73" s="55" t="str">
        <x:v>石怪（入雲道、碧波谷徑、摘星嶺、地靈穴、蕈菇林）</x:v>
      </x:c>
      <x:c r="E73" s="55" t="str">
        <x:v>—</x:v>
      </x:c>
    </x:row>
    <x:row r="74" ht="15" customHeight="1">
      <x:c r="A74" s="55" t="str">
        <x:v>水鬼</x:v>
      </x:c>
      <x:c r="B74" s="55" t="str">
        <x:v>4星</x:v>
      </x:c>
      <x:c r="C74" s="55" t="str">
        <x:v>—</x:v>
      </x:c>
      <x:c r="D74" s="55" t="str">
        <x:v>水鬼（映月泊、萬人塚第二層、朝天觀、萬人塚第三層）</x:v>
      </x:c>
      <x:c r="E74" s="55" t="str">
        <x:v>—</x:v>
      </x:c>
    </x:row>
    <x:row r="75" ht="15" customHeight="1">
      <x:c r="A75" s="55" t="str">
        <x:v>火妖</x:v>
      </x:c>
      <x:c r="B75" s="55" t="str">
        <x:v>4星</x:v>
      </x:c>
      <x:c r="C75" s="55" t="str">
        <x:v>—</x:v>
      </x:c>
      <x:c r="D75" s="55" t="str">
        <x:v>火妖（望星坡、萬人塚第二層、朝天觀、萬人塚第三層、地靈穴、蕈菇林）</x:v>
      </x:c>
      <x:c r="E75" s="55" t="str">
        <x:v>—</x:v>
      </x:c>
    </x:row>
    <x:row r="76" ht="15" customHeight="1">
      <x:c r="A76" s="55" t="str">
        <x:v>骷髏士兵</x:v>
      </x:c>
      <x:c r="B76" s="55" t="str">
        <x:v>4星</x:v>
      </x:c>
      <x:c r="C76" s="55" t="str">
        <x:v>縛靈術</x:v>
      </x:c>
      <x:c r="D76" s="55" t="str">
        <x:v>骷髏士兵（猛鬼窟第二層、朝天觀）</x:v>
      </x:c>
      <x:c r="E76" s="55" t="str">
        <x:v>—</x:v>
      </x:c>
    </x:row>
    <x:row r="77" ht="15" customHeight="1">
      <x:c r="A77" s="55" t="str">
        <x:v>骷髏弓手</x:v>
      </x:c>
      <x:c r="B77" s="55" t="str">
        <x:v>4星</x:v>
      </x:c>
      <x:c r="C77" s="55" t="str">
        <x:v>縛靈術</x:v>
      </x:c>
      <x:c r="D77" s="55" t="str">
        <x:v>骷髏弓手（猛鬼窟第二層、朝天觀）</x:v>
      </x:c>
      <x:c r="E77" s="55" t="str">
        <x:v>—</x:v>
      </x:c>
    </x:row>
    <x:row r="78" ht="15" customHeight="1">
      <x:c r="A78" s="55" t="str">
        <x:v>玄龜</x:v>
      </x:c>
      <x:c r="B78" s="55" t="str">
        <x:v>4星</x:v>
      </x:c>
      <x:c r="C78" s="55" t="str">
        <x:v>迷惑術</x:v>
      </x:c>
      <x:c r="D78" s="55" t="str">
        <x:v>玄龜（桃花林東方）</x:v>
      </x:c>
      <x:c r="E78" s="55" t="str">
        <x:v>—</x:v>
      </x:c>
    </x:row>
    <x:row r="79" ht="15" customHeight="1">
      <x:c r="A79" s="55" t="str">
        <x:v>黃牛</x:v>
      </x:c>
      <x:c r="B79" s="55" t="str">
        <x:v>4星</x:v>
      </x:c>
      <x:c r="C79" s="55" t="str">
        <x:v>迷惑術</x:v>
      </x:c>
      <x:c r="D79" s="55" t="str">
        <x:v>黃牛（塞北草原、呼倫草原、貝爾草原）</x:v>
      </x:c>
      <x:c r="E79" s="55" t="str">
        <x:v>—</x:v>
      </x:c>
    </x:row>
    <x:row r="80" ht="15" customHeight="1">
      <x:c r="A80" s="55" t="str">
        <x:v>洞穴蜥蜴</x:v>
      </x:c>
      <x:c r="B80" s="55" t="str">
        <x:v>4星</x:v>
      </x:c>
      <x:c r="C80" s="55" t="str">
        <x:v>迷惑術</x:v>
      </x:c>
      <x:c r="D80" s="55" t="str">
        <x:v>洞穴蜥蜴（地靈穴）</x:v>
      </x:c>
      <x:c r="E80" s="55" t="str">
        <x:v>—</x:v>
      </x:c>
    </x:row>
    <x:row r="81" ht="15" customHeight="1">
      <x:c r="A81" s="55" t="str">
        <x:v>沙漠蠱毒蜘蛛</x:v>
      </x:c>
      <x:c r="B81" s="55" t="str">
        <x:v>4星</x:v>
      </x:c>
      <x:c r="C81" s="55" t="str">
        <x:v>—</x:v>
      </x:c>
      <x:c r="D81" s="55" t="str">
        <x:v>沙漠蠱毒蜘蛛（塔干沙漠西方）</x:v>
      </x:c>
      <x:c r="E81" s="55" t="str">
        <x:v>—</x:v>
      </x:c>
    </x:row>
    <x:row r="82" ht="15" customHeight="1">
      <x:c r="A82" s="55" t="str">
        <x:v>巨狂猿</x:v>
      </x:c>
      <x:c r="B82" s="55" t="str">
        <x:v>5星</x:v>
      </x:c>
      <x:c r="C82" s="55" t="str">
        <x:v>迷惑術</x:v>
      </x:c>
      <x:c r="D82" s="55" t="str">
        <x:v>巨狂猿（巨猿洞窟二層、碧波幽谷、摘星嶺、夜叉嶺）</x:v>
      </x:c>
      <x:c r="E82" s="55" t="str">
        <x:v>—</x:v>
      </x:c>
    </x:row>
    <x:row r="83" ht="15" customHeight="1">
      <x:c r="A83" s="55" t="str">
        <x:v>箭蜈蚣</x:v>
      </x:c>
      <x:c r="B83" s="55" t="str">
        <x:v>5星</x:v>
      </x:c>
      <x:c r="C83" s="55" t="str">
        <x:v>迷惑術</x:v>
      </x:c>
      <x:c r="D83" s="55" t="str">
        <x:v>箭蜈蚣（鎮南關密道、亂藤林南方、葬日沼澤南方、鷹翅族部落、河西谷地）</x:v>
      </x:c>
      <x:c r="E83" s="55" t="str">
        <x:v>—</x:v>
      </x:c>
    </x:row>
    <x:row r="84" ht="30" customHeight="1">
      <x:c r="A84" s="55" t="str">
        <x:v>灰巨蟒</x:v>
      </x:c>
      <x:c r="B84" s="55" t="str">
        <x:v>5星</x:v>
      </x:c>
      <x:c r="C84" s="55" t="str">
        <x:v>迷惑術</x:v>
      </x:c>
      <x:c r="D84" s="55" t="str">
        <x:v>灰巨蟒（鎮南關密道、亂藤林、葬日沼澤南方、靖南古道、古皇陵第三層、萬人塚第三層、桃花林西方、盤蛇洞）</x:v>
      </x:c>
      <x:c r="E84" s="55" t="str">
        <x:v>—</x:v>
      </x:c>
    </x:row>
    <x:row r="85" ht="15" customHeight="1">
      <x:c r="A85" s="55" t="str">
        <x:v>巨螯蝦兵</x:v>
      </x:c>
      <x:c r="B85" s="55" t="str">
        <x:v>5星</x:v>
      </x:c>
      <x:c r="C85" s="55" t="str">
        <x:v>—</x:v>
      </x:c>
      <x:c r="D85" s="55" t="str">
        <x:v>巨螯蝦兵（桃花林東方、桃花林南方、珊瑚帶、大寶礁、龍宮八層廣場）</x:v>
      </x:c>
      <x:c r="E85" s="55" t="str">
        <x:v>—</x:v>
      </x:c>
    </x:row>
    <x:row r="86" ht="15" customHeight="1">
      <x:c r="A86" s="55" t="str">
        <x:v>桃花兵蜂</x:v>
      </x:c>
      <x:c r="B86" s="55" t="str">
        <x:v>5星</x:v>
      </x:c>
      <x:c r="C86" s="55" t="str">
        <x:v>迷惑術</x:v>
      </x:c>
      <x:c r="D86" s="55" t="str">
        <x:v>桃花兵蜂（桃花林東方、桃花林、桃花林西方、桃花林南方）</x:v>
      </x:c>
      <x:c r="E86" s="55" t="str">
        <x:v>—</x:v>
      </x:c>
    </x:row>
    <x:row r="87" ht="15" customHeight="1">
      <x:c r="A87" s="55" t="str">
        <x:v>大力熊</x:v>
      </x:c>
      <x:c r="B87" s="55" t="str">
        <x:v>5星</x:v>
      </x:c>
      <x:c r="C87" s="55" t="str">
        <x:v>—</x:v>
      </x:c>
      <x:c r="D87" s="55" t="str">
        <x:v>大力熊（桃花林西方、桃花林南方、不老峰）</x:v>
      </x:c>
      <x:c r="E87" s="55" t="str">
        <x:v>—</x:v>
      </x:c>
    </x:row>
    <x:row r="88" ht="15" customHeight="1">
      <x:c r="A88" s="55" t="str">
        <x:v>百草狐郎中</x:v>
      </x:c>
      <x:c r="B88" s="55" t="str">
        <x:v>5星</x:v>
      </x:c>
      <x:c r="C88" s="55" t="str">
        <x:v>—</x:v>
      </x:c>
      <x:c r="D88" s="55" t="str">
        <x:v>百草狐郎中（瀰煙山道、半天岩）</x:v>
      </x:c>
      <x:c r="E88" s="55" t="str">
        <x:v>—</x:v>
      </x:c>
    </x:row>
    <x:row r="89" ht="15" customHeight="1">
      <x:c r="A89" s="55" t="str">
        <x:v>禿鷹</x:v>
      </x:c>
      <x:c r="B89" s="55" t="str">
        <x:v>5星</x:v>
      </x:c>
      <x:c r="C89" s="55" t="str">
        <x:v>—</x:v>
      </x:c>
      <x:c r="D89" s="55" t="str">
        <x:v>禿鷹（塔干沙漠東方、塔干沙漠南方、樓蘭遺址、火焰山）</x:v>
      </x:c>
      <x:c r="E89" s="55" t="str">
        <x:v>—</x:v>
      </x:c>
    </x:row>
    <x:row r="90" ht="15" customHeight="1">
      <x:c r="A90" s="55" t="str">
        <x:v>{石怪}</x:v>
      </x:c>
      <x:c r="B90" s="55" t="str">
        <x:v>5星</x:v>
      </x:c>
      <x:c r="C90" s="55" t="str">
        <x:v>—</x:v>
      </x:c>
      <x:c r="D90" s="55" t="str">
        <x:v>{石怪}（不老峰）</x:v>
      </x:c>
      <x:c r="E90" s="55" t="str">
        <x:v>—</x:v>
      </x:c>
    </x:row>
    <x:row r="91" ht="15" customHeight="1">
      <x:c r="A91" s="55" t="str">
        <x:v>{水鬼}</x:v>
      </x:c>
      <x:c r="B91" s="55" t="str">
        <x:v>5星</x:v>
      </x:c>
      <x:c r="C91" s="55" t="str">
        <x:v>—</x:v>
      </x:c>
      <x:c r="D91" s="55" t="str">
        <x:v>{水鬼}（桃花林東方、桃花林西方）</x:v>
      </x:c>
      <x:c r="E91" s="55" t="str">
        <x:v>—</x:v>
      </x:c>
    </x:row>
    <x:row r="92" ht="15" customHeight="1">
      <x:c r="A92" s="55" t="str">
        <x:v>{火妖}</x:v>
      </x:c>
      <x:c r="B92" s="55" t="str">
        <x:v>5星</x:v>
      </x:c>
      <x:c r="C92" s="55" t="str">
        <x:v>—</x:v>
      </x:c>
      <x:c r="D92" s="55" t="str">
        <x:v>{火妖}（桃花林南方、不老峰）</x:v>
      </x:c>
      <x:c r="E92" s="55" t="str">
        <x:v>—</x:v>
      </x:c>
    </x:row>
    <x:row r="93" ht="15" customHeight="1">
      <x:c r="A93" s="55" t="str">
        <x:v>{千面狐}</x:v>
      </x:c>
      <x:c r="B93" s="55" t="str">
        <x:v>5星</x:v>
      </x:c>
      <x:c r="C93" s="55" t="str">
        <x:v>—</x:v>
      </x:c>
      <x:c r="D93" s="55" t="str">
        <x:v>{千面狐}（瀰煙山道、半天岩、不老峰）</x:v>
      </x:c>
      <x:c r="E93" s="55" t="str">
        <x:v>—</x:v>
      </x:c>
    </x:row>
    <x:row r="94" ht="15" customHeight="1">
      <x:c r="A94" s="55" t="str">
        <x:v>{桃花兵蜂}</x:v>
      </x:c>
      <x:c r="B94" s="55" t="str">
        <x:v>5星</x:v>
      </x:c>
      <x:c r="C94" s="55" t="str">
        <x:v>迷惑術</x:v>
      </x:c>
      <x:c r="D94" s="55" t="str">
        <x:v>{桃花兵蜂}（桃花林西方、桃花林南方）</x:v>
      </x:c>
      <x:c r="E94" s="55" t="str">
        <x:v>—</x:v>
      </x:c>
    </x:row>
    <x:row r="95" ht="30" customHeight="1">
      <x:c r="A95" s="55" t="str">
        <x:v>老虎</x:v>
      </x:c>
      <x:c r="B95" s="55" t="str">
        <x:v>5星</x:v>
      </x:c>
      <x:c r="C95" s="55" t="str">
        <x:v>迷惑術</x:v>
      </x:c>
      <x:c r="D95" s="55" t="str">
        <x:v>老虎（碧波谷徑、封神臺、亂藤林西方、鷹翅族部落、瀰煙山道、掩月松林、八達嶺、古北口、塞北草原）</x:v>
      </x:c>
      <x:c r="E95" s="55" t="str">
        <x:v>—</x:v>
      </x:c>
    </x:row>
    <x:row r="96" ht="15" customHeight="1">
      <x:c r="A96" s="55" t="str">
        <x:v>食人巨猿</x:v>
      </x:c>
      <x:c r="B96" s="55" t="str">
        <x:v>5星</x:v>
      </x:c>
      <x:c r="C96" s="55" t="str">
        <x:v>迷惑術</x:v>
      </x:c>
      <x:c r="D96" s="55" t="str">
        <x:v>食人巨猿（猢猻嶺、巨猿洞窟一層、巨猿洞窟二層、八達嶺、古北口）</x:v>
      </x:c>
      <x:c r="E96" s="55" t="str">
        <x:v>—</x:v>
      </x:c>
    </x:row>
    <x:row r="97" ht="15" customHeight="1">
      <x:c r="A97" s="55" t="str">
        <x:v>蠍子王</x:v>
      </x:c>
      <x:c r="B97" s="55" t="str">
        <x:v>5星</x:v>
      </x:c>
      <x:c r="C97" s="55" t="str">
        <x:v>迷惑術</x:v>
      </x:c>
      <x:c r="D97" s="55" t="str">
        <x:v>蠍子王（飛仙岩、朝天嶺、亂藤林東方、摘星嶺、河西谷地、塔干沙漠東方、樓蘭遺址）</x:v>
      </x:c>
      <x:c r="E97" s="55" t="str">
        <x:v>—</x:v>
      </x:c>
    </x:row>
    <x:row r="98" ht="15" customHeight="1">
      <x:c r="A98" s="55" t="str">
        <x:v>劍齒鱷</x:v>
      </x:c>
      <x:c r="B98" s="55" t="str">
        <x:v>5星</x:v>
      </x:c>
      <x:c r="C98" s="55" t="str">
        <x:v>迷惑術</x:v>
      </x:c>
      <x:c r="D98" s="55" t="str">
        <x:v>劍齒鱷（葬日沼澤、葬日沼澤北方、毒龍潭）</x:v>
      </x:c>
      <x:c r="E98" s="55" t="str">
        <x:v>—</x:v>
      </x:c>
    </x:row>
    <x:row r="99" ht="15" customHeight="1">
      <x:c r="A99" s="55" t="str">
        <x:v>冤魂</x:v>
      </x:c>
      <x:c r="B99" s="55" t="str">
        <x:v>5星</x:v>
      </x:c>
      <x:c r="C99" s="55" t="str">
        <x:v>縛靈術</x:v>
      </x:c>
      <x:c r="D99" s="55" t="str">
        <x:v>冤魂（猛鬼窟第一層、猛鬼窟第二層、朝天觀、樓蘭遺址）</x:v>
      </x:c>
      <x:c r="E99" s="55" t="str">
        <x:v>—</x:v>
      </x:c>
    </x:row>
    <x:row r="100" ht="15" customHeight="1">
      <x:c r="A100" s="55" t="str">
        <x:v>毒血屍</x:v>
      </x:c>
      <x:c r="B100" s="55" t="str">
        <x:v>5星</x:v>
      </x:c>
      <x:c r="C100" s="55" t="str">
        <x:v>縛靈術</x:v>
      </x:c>
      <x:c r="D100" s="55" t="str">
        <x:v>毒血屍（猛鬼窟第一層、猛鬼窟第二層、萬人塚第二層、朝天觀、萬人塚第三層）</x:v>
      </x:c>
      <x:c r="E100" s="55" t="str">
        <x:v>—</x:v>
      </x:c>
    </x:row>
    <x:row r="101" ht="15" customHeight="1">
      <x:c r="A101" s="55" t="str">
        <x:v>死靈弓手</x:v>
      </x:c>
      <x:c r="B101" s="55" t="str">
        <x:v>5星</x:v>
      </x:c>
      <x:c r="C101" s="55" t="str">
        <x:v>縛靈術</x:v>
      </x:c>
      <x:c r="D101" s="55" t="str">
        <x:v>死靈弓手（魔君陵墓）</x:v>
      </x:c>
      <x:c r="E101" s="55" t="str">
        <x:v>—</x:v>
      </x:c>
    </x:row>
    <x:row r="102" ht="15" customHeight="1">
      <x:c r="A102" s="55" t="str">
        <x:v>搗藥兔</x:v>
      </x:c>
      <x:c r="B102" s="55" t="str">
        <x:v>5星</x:v>
      </x:c>
      <x:c r="C102" s="55" t="str">
        <x:v>—</x:v>
      </x:c>
      <x:c r="D102" s="55" t="str">
        <x:v>搗藥兔（桃花林西方、掩月松林）</x:v>
      </x:c>
      <x:c r="E102" s="55" t="str">
        <x:v>—</x:v>
      </x:c>
    </x:row>
    <x:row r="103" ht="15" customHeight="1">
      <x:c r="A103" s="55" t="str">
        <x:v>靈芝精</x:v>
      </x:c>
      <x:c r="B103" s="55" t="str">
        <x:v>5星</x:v>
      </x:c>
      <x:c r="C103" s="55" t="str">
        <x:v>—</x:v>
      </x:c>
      <x:c r="D103" s="55" t="str">
        <x:v>靈芝精（不老峰）</x:v>
      </x:c>
      <x:c r="E103" s="55" t="str">
        <x:v>—</x:v>
      </x:c>
    </x:row>
    <x:row r="104" ht="15" customHeight="1">
      <x:c r="A104" s="55" t="str">
        <x:v>人蔘精</x:v>
      </x:c>
      <x:c r="B104" s="55" t="str">
        <x:v>5星</x:v>
      </x:c>
      <x:c r="C104" s="55" t="str">
        <x:v>—</x:v>
      </x:c>
      <x:c r="D104" s="55" t="str">
        <x:v>人蔘精（不老峰）</x:v>
      </x:c>
      <x:c r="E104" s="55" t="str">
        <x:v>—</x:v>
      </x:c>
    </x:row>
    <x:row r="105" ht="15" customHeight="1">
      <x:c r="A105" s="55" t="str">
        <x:v>岩龜</x:v>
      </x:c>
      <x:c r="B105" s="55" t="str">
        <x:v>5星</x:v>
      </x:c>
      <x:c r="C105" s="55" t="str">
        <x:v>迷惑術</x:v>
      </x:c>
      <x:c r="D105" s="55" t="str">
        <x:v>岩龜（塔干沙漠東方、塔干沙漠南方、樓蘭遺址）</x:v>
      </x:c>
      <x:c r="E105" s="55" t="str">
        <x:v>—</x:v>
      </x:c>
    </x:row>
    <x:row r="106" ht="15" customHeight="1">
      <x:c r="A106" s="55" t="str">
        <x:v>跳鼠</x:v>
      </x:c>
      <x:c r="B106" s="55" t="str">
        <x:v>5星</x:v>
      </x:c>
      <x:c r="C106" s="55" t="str">
        <x:v>迷惑術</x:v>
      </x:c>
      <x:c r="D106" s="55" t="str">
        <x:v>跳鼠（塔干沙漠東方、樓蘭遺址）</x:v>
      </x:c>
      <x:c r="E106" s="55" t="str">
        <x:v>—</x:v>
      </x:c>
    </x:row>
    <x:row r="107" ht="15" customHeight="1">
      <x:c r="A107" s="55" t="str">
        <x:v>士兵俑</x:v>
      </x:c>
      <x:c r="B107" s="55" t="str">
        <x:v>5星</x:v>
      </x:c>
      <x:c r="C107" s="55" t="str">
        <x:v>—</x:v>
      </x:c>
      <x:c r="D107" s="55" t="str">
        <x:v>—</x:v>
      </x:c>
      <x:c r="E107" s="55" t="str">
        <x:v>—</x:v>
      </x:c>
    </x:row>
    <x:row r="108" ht="15" customHeight="1">
      <x:c r="A108" s="55" t="str">
        <x:v>士兵俑</x:v>
      </x:c>
      <x:c r="B108" s="55" t="str">
        <x:v>5星</x:v>
      </x:c>
      <x:c r="C108" s="55" t="str">
        <x:v>—</x:v>
      </x:c>
      <x:c r="D108" s="55" t="str">
        <x:v>—</x:v>
      </x:c>
      <x:c r="E108" s="55" t="str">
        <x:v>—</x:v>
      </x:c>
    </x:row>
    <x:row r="109" ht="15" customHeight="1">
      <x:c r="A109" s="55" t="str">
        <x:v>士兵俑</x:v>
      </x:c>
      <x:c r="B109" s="55" t="str">
        <x:v>5星</x:v>
      </x:c>
      <x:c r="C109" s="55" t="str">
        <x:v>—</x:v>
      </x:c>
      <x:c r="D109" s="55" t="str">
        <x:v>—</x:v>
      </x:c>
      <x:c r="E109" s="55" t="str">
        <x:v>—</x:v>
      </x:c>
    </x:row>
    <x:row r="110" ht="15" customHeight="1">
      <x:c r="A110" s="55" t="str">
        <x:v>風精窮奇</x:v>
      </x:c>
      <x:c r="B110" s="55" t="str">
        <x:v>5星</x:v>
      </x:c>
      <x:c r="C110" s="55" t="str">
        <x:v>—</x:v>
      </x:c>
      <x:c r="D110" s="55" t="str">
        <x:v>—</x:v>
      </x:c>
      <x:c r="E110" s="55" t="str">
        <x:v>—</x:v>
      </x:c>
    </x:row>
    <x:row r="111" ht="15" customHeight="1">
      <x:c r="A111" s="55" t="str">
        <x:v>雷刃窮奇</x:v>
      </x:c>
      <x:c r="B111" s="55" t="str">
        <x:v>5星</x:v>
      </x:c>
      <x:c r="C111" s="55" t="str">
        <x:v>—</x:v>
      </x:c>
      <x:c r="D111" s="55" t="str">
        <x:v>—</x:v>
      </x:c>
      <x:c r="E111" s="55" t="str">
        <x:v>—</x:v>
      </x:c>
    </x:row>
    <x:row r="112" ht="15" customHeight="1">
      <x:c r="A112" s="55" t="str">
        <x:v>晝行傘鬼</x:v>
      </x:c>
      <x:c r="B112" s="55" t="str">
        <x:v>5星</x:v>
      </x:c>
      <x:c r="C112" s="55" t="str">
        <x:v>—</x:v>
      </x:c>
      <x:c r="D112" s="55" t="str">
        <x:v>—</x:v>
      </x:c>
      <x:c r="E112" s="55" t="str">
        <x:v>—</x:v>
      </x:c>
    </x:row>
    <x:row r="113" ht="15" customHeight="1">
      <x:c r="A113" s="55" t="str">
        <x:v>付喪傘鬼</x:v>
      </x:c>
      <x:c r="B113" s="55" t="str">
        <x:v>5星</x:v>
      </x:c>
      <x:c r="C113" s="55" t="str">
        <x:v>—</x:v>
      </x:c>
      <x:c r="D113" s="55" t="str">
        <x:v>—</x:v>
      </x:c>
      <x:c r="E113" s="55" t="str">
        <x:v>—</x:v>
      </x:c>
    </x:row>
    <x:row r="114" ht="15" customHeight="1">
      <x:c r="A114" s="55" t="str">
        <x:v>五毒蜈蚣</x:v>
      </x:c>
      <x:c r="B114" s="55" t="str">
        <x:v>6星</x:v>
      </x:c>
      <x:c r="C114" s="55" t="str">
        <x:v>迷惑術</x:v>
      </x:c>
      <x:c r="D114" s="55" t="str">
        <x:v>五毒蜈蚣（葬日沼澤南方、鷹翅族部落、河西谷地）</x:v>
      </x:c>
      <x:c r="E114" s="55" t="str">
        <x:v>—</x:v>
      </x:c>
    </x:row>
    <x:row r="115" ht="15" customHeight="1">
      <x:c r="A115" s="55" t="str">
        <x:v>食人巨蟒</x:v>
      </x:c>
      <x:c r="B115" s="55" t="str">
        <x:v>6星</x:v>
      </x:c>
      <x:c r="C115" s="55" t="str">
        <x:v>迷惑術</x:v>
      </x:c>
      <x:c r="D115" s="55" t="str">
        <x:v>食人巨蟒（葬日沼澤、葬日沼澤南方、盤蛇洞、河西谷地）</x:v>
      </x:c>
      <x:c r="E115" s="55" t="str">
        <x:v>—</x:v>
      </x:c>
    </x:row>
    <x:row r="116" ht="15" customHeight="1">
      <x:c r="A116" s="55" t="str">
        <x:v>鬼螯蝦兵</x:v>
      </x:c>
      <x:c r="B116" s="55" t="str">
        <x:v>6星</x:v>
      </x:c>
      <x:c r="C116" s="55" t="str">
        <x:v>—</x:v>
      </x:c>
      <x:c r="D116" s="55" t="str">
        <x:v>鬼螯蝦兵（桃花林東方、桃花林南方、大寶礁、龍宮第七層、龍宮八層廣場）</x:v>
      </x:c>
      <x:c r="E116" s="55" t="str">
        <x:v>—</x:v>
      </x:c>
    </x:row>
    <x:row r="117" ht="15" customHeight="1">
      <x:c r="A117" s="55" t="str">
        <x:v>巨角龜</x:v>
      </x:c>
      <x:c r="B117" s="55" t="str">
        <x:v>6星</x:v>
      </x:c>
      <x:c r="C117" s="55" t="str">
        <x:v>迷惑術</x:v>
      </x:c>
      <x:c r="D117" s="55" t="str">
        <x:v>巨角龜（桃花林東方）</x:v>
      </x:c>
      <x:c r="E117" s="55" t="str">
        <x:v>—</x:v>
      </x:c>
    </x:row>
    <x:row r="118" ht="15" customHeight="1">
      <x:c r="A118" s="55" t="str">
        <x:v>虎鬥士</x:v>
      </x:c>
      <x:c r="B118" s="55" t="str">
        <x:v>6星</x:v>
      </x:c>
      <x:c r="C118" s="55" t="str">
        <x:v>—</x:v>
      </x:c>
      <x:c r="D118" s="55" t="str">
        <x:v>虎鬥士（瀰煙山道、掩月松林）</x:v>
      </x:c>
      <x:c r="E118" s="55" t="str">
        <x:v>—</x:v>
      </x:c>
    </x:row>
    <x:row r="119" ht="15" customHeight="1">
      <x:c r="A119" s="55" t="str">
        <x:v>妖狸射手</x:v>
      </x:c>
      <x:c r="B119" s="55" t="str">
        <x:v>6星</x:v>
      </x:c>
      <x:c r="C119" s="55" t="str">
        <x:v>—</x:v>
      </x:c>
      <x:c r="D119" s="55" t="str">
        <x:v>妖狸射手（桃花林東方、桃花林、不老峰）</x:v>
      </x:c>
      <x:c r="E119" s="55" t="str">
        <x:v>—</x:v>
      </x:c>
    </x:row>
    <x:row r="120" ht="15" customHeight="1">
      <x:c r="A120" s="55" t="str">
        <x:v>紫靈貂</x:v>
      </x:c>
      <x:c r="B120" s="55" t="str">
        <x:v>6星</x:v>
      </x:c>
      <x:c r="C120" s="55" t="str">
        <x:v>—</x:v>
      </x:c>
      <x:c r="D120" s="55" t="str">
        <x:v>紫靈貂（呼倫草原、貝爾草原、亂石林、疾風谷）</x:v>
      </x:c>
      <x:c r="E120" s="55" t="str">
        <x:v>—</x:v>
      </x:c>
    </x:row>
    <x:row r="121" ht="15" customHeight="1">
      <x:c r="A121" s="55" t="str">
        <x:v>沙漠巨蟒</x:v>
      </x:c>
      <x:c r="B121" s="55" t="str">
        <x:v>6星</x:v>
      </x:c>
      <x:c r="C121" s="55" t="str">
        <x:v>迷惑術</x:v>
      </x:c>
      <x:c r="D121" s="55" t="str">
        <x:v>沙漠巨蟒（塔干沙漠南方）</x:v>
      </x:c>
      <x:c r="E121" s="55" t="str">
        <x:v>—</x:v>
      </x:c>
    </x:row>
    <x:row r="122" ht="15" customHeight="1">
      <x:c r="A122" s="55" t="str">
        <x:v>食人虎</x:v>
      </x:c>
      <x:c r="B122" s="55" t="str">
        <x:v>6星</x:v>
      </x:c>
      <x:c r="C122" s="55" t="str">
        <x:v>迷惑術</x:v>
      </x:c>
      <x:c r="D122" s="55" t="str">
        <x:v>食人虎（封神臺、亂藤林西方、鷹翅族部落、掩月松林、八達嶺、古北口）</x:v>
      </x:c>
      <x:c r="E122" s="55" t="str">
        <x:v>—</x:v>
      </x:c>
    </x:row>
    <x:row r="123" ht="15" customHeight="1">
      <x:c r="A123" s="55" t="str">
        <x:v>綠毛狂猿</x:v>
      </x:c>
      <x:c r="B123" s="55" t="str">
        <x:v>6星</x:v>
      </x:c>
      <x:c r="C123" s="55" t="str">
        <x:v>迷惑術</x:v>
      </x:c>
      <x:c r="D123" s="55" t="str">
        <x:v>綠毛狂猿（巨猿洞窟二層、碧波幽谷、夜叉嶺）</x:v>
      </x:c>
      <x:c r="E123" s="55" t="str">
        <x:v>—</x:v>
      </x:c>
    </x:row>
    <x:row r="124" ht="15" customHeight="1">
      <x:c r="A124" s="55" t="str">
        <x:v>妖面蜘蛛</x:v>
      </x:c>
      <x:c r="B124" s="55" t="str">
        <x:v>6星</x:v>
      </x:c>
      <x:c r="C124" s="55" t="str">
        <x:v>—</x:v>
      </x:c>
      <x:c r="D124" s="55" t="str">
        <x:v>妖面蜘蛛（百妖穴第一層、亂藤林東方、百妖穴第二層）</x:v>
      </x:c>
      <x:c r="E124" s="55" t="str">
        <x:v>—</x:v>
      </x:c>
    </x:row>
    <x:row r="125" ht="15" customHeight="1">
      <x:c r="A125" s="55" t="str">
        <x:v>食人巨鱷</x:v>
      </x:c>
      <x:c r="B125" s="55" t="str">
        <x:v>6星</x:v>
      </x:c>
      <x:c r="C125" s="55" t="str">
        <x:v>迷惑術</x:v>
      </x:c>
      <x:c r="D125" s="55" t="str">
        <x:v>食人巨鱷（葬日沼澤北方）</x:v>
      </x:c>
      <x:c r="E125" s="55" t="str">
        <x:v>—</x:v>
      </x:c>
    </x:row>
    <x:row r="126" ht="15" customHeight="1">
      <x:c r="A126" s="55" t="str">
        <x:v>金石怪</x:v>
      </x:c>
      <x:c r="B126" s="55" t="str">
        <x:v>6星</x:v>
      </x:c>
      <x:c r="C126" s="55" t="str">
        <x:v>—</x:v>
      </x:c>
      <x:c r="D126" s="55" t="str">
        <x:v>金石怪（入雲道、碧波谷徑、摘星嶺、棲鳳崖、鳳凰台、地靈穴、蕈菇林）</x:v>
      </x:c>
      <x:c r="E126" s="55" t="str">
        <x:v>—</x:v>
      </x:c>
    </x:row>
    <x:row r="127" ht="15" customHeight="1">
      <x:c r="A127" s="55" t="str">
        <x:v>老樹精</x:v>
      </x:c>
      <x:c r="B127" s="55" t="str">
        <x:v>6星</x:v>
      </x:c>
      <x:c r="C127" s="55" t="str">
        <x:v>—</x:v>
      </x:c>
      <x:c r="D127" s="55" t="str">
        <x:v>老樹精（惡狼林、碧波谷徑、瘴癘修煉場、亂藤林、葬日沼澤、葬日沼澤北方）</x:v>
      </x:c>
      <x:c r="E127" s="55" t="str">
        <x:v>—</x:v>
      </x:c>
    </x:row>
    <x:row r="128" ht="15" customHeight="1">
      <x:c r="A128" s="55" t="str">
        <x:v>惡水鬼</x:v>
      </x:c>
      <x:c r="B128" s="55" t="str">
        <x:v>6星</x:v>
      </x:c>
      <x:c r="C128" s="55" t="str">
        <x:v>—</x:v>
      </x:c>
      <x:c r="D128" s="55" t="str">
        <x:v>惡水鬼（映月泊、怒雪修煉場、朝天觀、葬日沼澤北方、萬人塚第三層）</x:v>
      </x:c>
      <x:c r="E128" s="55" t="str">
        <x:v>—</x:v>
      </x:c>
    </x:row>
    <x:row r="129" ht="15" customHeight="1">
      <x:c r="A129" s="55" t="str">
        <x:v>邪火妖</x:v>
      </x:c>
      <x:c r="B129" s="55" t="str">
        <x:v>6星</x:v>
      </x:c>
      <x:c r="C129" s="55" t="str">
        <x:v>—</x:v>
      </x:c>
      <x:c r="D129" s="55" t="str">
        <x:v>邪火妖（望星坡、烈火修煉場、朝天觀、葬日沼澤北方、萬人塚第三層）</x:v>
      </x:c>
      <x:c r="E129" s="55" t="str">
        <x:v>—</x:v>
      </x:c>
    </x:row>
    <x:row r="130" ht="15" customHeight="1">
      <x:c r="A130" s="55" t="str">
        <x:v>花精</x:v>
      </x:c>
      <x:c r="B130" s="55" t="str">
        <x:v>6星</x:v>
      </x:c>
      <x:c r="C130" s="55" t="str">
        <x:v>—</x:v>
      </x:c>
      <x:c r="D130" s="55" t="str">
        <x:v>花精（亂藤林、亂藤林南方、葬日沼澤、葬日沼澤北方）</x:v>
      </x:c>
      <x:c r="E130" s="55" t="str">
        <x:v>—</x:v>
      </x:c>
    </x:row>
    <x:row r="131" ht="15" customHeight="1">
      <x:c r="A131" s="55" t="str">
        <x:v>覓蜜熊</x:v>
      </x:c>
      <x:c r="B131" s="55" t="str">
        <x:v>6星</x:v>
      </x:c>
      <x:c r="C131" s="55" t="str">
        <x:v>—</x:v>
      </x:c>
      <x:c r="D131" s="55" t="str">
        <x:v>覓蜜熊（桃花林、桃花林西方、桃花林南方）</x:v>
      </x:c>
      <x:c r="E131" s="55" t="str">
        <x:v>—</x:v>
      </x:c>
    </x:row>
    <x:row r="132" ht="15" customHeight="1">
      <x:c r="A132" s="55" t="str">
        <x:v>海魅</x:v>
      </x:c>
      <x:c r="B132" s="55" t="str">
        <x:v>6星</x:v>
      </x:c>
      <x:c r="C132" s="55" t="str">
        <x:v>縛靈術</x:v>
      </x:c>
      <x:c r="D132" s="55" t="str">
        <x:v>海魅（東方海域）</x:v>
      </x:c>
      <x:c r="E132" s="55" t="str">
        <x:v>—</x:v>
      </x:c>
    </x:row>
    <x:row r="133" ht="30" customHeight="1">
      <x:c r="A133" s="55" t="str">
        <x:v>林魅</x:v>
      </x:c>
      <x:c r="B133" s="55" t="str">
        <x:v>6星</x:v>
      </x:c>
      <x:c r="C133" s="55" t="str">
        <x:v>縛靈術</x:v>
      </x:c>
      <x:c r="D133" s="55" t="str">
        <x:v>林魅（桃花林、桃花林西方、掩月松林）；林魅（盤蛇洞、掩月松林）；林魅（桃花林、桃花林西方、掩月松林、盤蛇洞）</x:v>
      </x:c>
      <x:c r="E133" s="55" t="str">
        <x:v>—</x:v>
      </x:c>
    </x:row>
    <x:row r="134" ht="15" customHeight="1">
      <x:c r="A134" s="55" t="str">
        <x:v>山魅</x:v>
      </x:c>
      <x:c r="B134" s="55" t="str">
        <x:v>6星</x:v>
      </x:c>
      <x:c r="C134" s="55" t="str">
        <x:v>縛靈術</x:v>
      </x:c>
      <x:c r="D134" s="55" t="str">
        <x:v>山魅（盤蛇洞、半天岩）；山魅（瀰煙山道、半天岩）；山魅（瀰煙山道、半天岩、盤蛇洞）</x:v>
      </x:c>
      <x:c r="E134" s="55" t="str">
        <x:v>—</x:v>
      </x:c>
    </x:row>
    <x:row r="135" ht="15" customHeight="1">
      <x:c r="A135" s="55" t="str">
        <x:v>蒼狼</x:v>
      </x:c>
      <x:c r="B135" s="55" t="str">
        <x:v>6星</x:v>
      </x:c>
      <x:c r="C135" s="55" t="str">
        <x:v>—</x:v>
      </x:c>
      <x:c r="D135" s="55" t="str">
        <x:v>蒼狼（呼倫草原、貝爾草原、黑城遺跡、統萬大營）；蒼狼（關外草原）</x:v>
      </x:c>
      <x:c r="E135" s="55" t="str">
        <x:v>—</x:v>
      </x:c>
    </x:row>
    <x:row r="136" ht="15" customHeight="1">
      <x:c r="A136" s="55" t="str">
        <x:v>白鹿</x:v>
      </x:c>
      <x:c r="B136" s="55" t="str">
        <x:v>6星</x:v>
      </x:c>
      <x:c r="C136" s="55" t="str">
        <x:v>—</x:v>
      </x:c>
      <x:c r="D136" s="55" t="str">
        <x:v>白鹿（呼倫草原、貝爾草原、蒼狼大營）</x:v>
      </x:c>
      <x:c r="E136" s="55" t="str">
        <x:v>—</x:v>
      </x:c>
    </x:row>
    <x:row r="137" ht="15" customHeight="1">
      <x:c r="A137" s="55" t="str">
        <x:v>小蕈傘人</x:v>
      </x:c>
      <x:c r="B137" s="55" t="str">
        <x:v>6星</x:v>
      </x:c>
      <x:c r="C137" s="55" t="str">
        <x:v>—</x:v>
      </x:c>
      <x:c r="D137" s="55" t="str">
        <x:v>小蕈傘人（地靈穴、蕈菇林、蕈菇林東方、蕈菇林西方、侏人部落、神兵塚）</x:v>
      </x:c>
      <x:c r="E137" s="55" t="str">
        <x:v>—</x:v>
      </x:c>
    </x:row>
    <x:row r="138" ht="15" customHeight="1">
      <x:c r="A138" s="55" t="str">
        <x:v>小火蕈傘人</x:v>
      </x:c>
      <x:c r="B138" s="55" t="str">
        <x:v>6星</x:v>
      </x:c>
      <x:c r="C138" s="55" t="str">
        <x:v>—</x:v>
      </x:c>
      <x:c r="D138" s="55" t="str">
        <x:v>小火蕈傘人（蕈菇林、蕈菇林東方、蕈菇林西方、侏人部落、神兵塚）</x:v>
      </x:c>
      <x:c r="E138" s="55" t="str">
        <x:v>—</x:v>
      </x:c>
    </x:row>
    <x:row r="139" ht="15" customHeight="1">
      <x:c r="A139" s="55" t="str">
        <x:v>小冰蕈傘人</x:v>
      </x:c>
      <x:c r="B139" s="55" t="str">
        <x:v>6星</x:v>
      </x:c>
      <x:c r="C139" s="55" t="str">
        <x:v>—</x:v>
      </x:c>
      <x:c r="D139" s="55" t="str">
        <x:v>小冰蕈傘人（蕈菇林、蕈菇林東方、蕈菇林西方、侏人部落、晶湖水道、地下水道、神兵塚）</x:v>
      </x:c>
      <x:c r="E139" s="55" t="str">
        <x:v>—</x:v>
      </x:c>
    </x:row>
    <x:row r="140" ht="15" customHeight="1">
      <x:c r="A140" s="55" t="str">
        <x:v>力士俑</x:v>
      </x:c>
      <x:c r="B140" s="55" t="str">
        <x:v>6星</x:v>
      </x:c>
      <x:c r="C140" s="55" t="str">
        <x:v>—</x:v>
      </x:c>
      <x:c r="D140" s="55" t="str">
        <x:v>力士俑（古皇陵第二層、古皇陵第三層）</x:v>
      </x:c>
      <x:c r="E140" s="55" t="str">
        <x:v>依確認共用力士俑資料</x:v>
      </x:c>
    </x:row>
    <x:row r="141" ht="15" customHeight="1">
      <x:c r="A141" s="55" t="str">
        <x:v>力士俑</x:v>
      </x:c>
      <x:c r="B141" s="55" t="str">
        <x:v>6星</x:v>
      </x:c>
      <x:c r="C141" s="55" t="str">
        <x:v>—</x:v>
      </x:c>
      <x:c r="D141" s="55" t="str">
        <x:v>—</x:v>
      </x:c>
      <x:c r="E141" s="55" t="str">
        <x:v>—</x:v>
      </x:c>
    </x:row>
    <x:row r="142" ht="15" customHeight="1">
      <x:c r="A142" s="55" t="str">
        <x:v>{力士俑}</x:v>
      </x:c>
      <x:c r="B142" s="55" t="str">
        <x:v>6星</x:v>
      </x:c>
      <x:c r="C142" s="55" t="str">
        <x:v>—</x:v>
      </x:c>
      <x:c r="D142" s="55" t="str">
        <x:v>{力士俑}（古皇陵密室）</x:v>
      </x:c>
      <x:c r="E142" s="55" t="str">
        <x:v>—</x:v>
      </x:c>
    </x:row>
    <x:row r="143" ht="15" customHeight="1">
      <x:c r="A143" s="55" t="str">
        <x:v>{百草狐郎中}</x:v>
      </x:c>
      <x:c r="B143" s="55" t="str">
        <x:v>6星</x:v>
      </x:c>
      <x:c r="C143" s="55" t="str">
        <x:v>—</x:v>
      </x:c>
      <x:c r="D143" s="55" t="str">
        <x:v>{百草狐郎中}（瀰煙山道、半天岩）</x:v>
      </x:c>
      <x:c r="E143" s="55" t="str">
        <x:v>—</x:v>
      </x:c>
    </x:row>
    <x:row r="144" ht="15" customHeight="1">
      <x:c r="A144" s="55" t="str">
        <x:v>{老樹精}</x:v>
      </x:c>
      <x:c r="B144" s="55" t="str">
        <x:v>6星</x:v>
      </x:c>
      <x:c r="C144" s="55" t="str">
        <x:v>—</x:v>
      </x:c>
      <x:c r="D144" s="55" t="str">
        <x:v>{老樹精}（瀰煙山道、掩月松林）</x:v>
      </x:c>
      <x:c r="E144" s="55" t="str">
        <x:v>—</x:v>
      </x:c>
    </x:row>
    <x:row r="145" ht="15" customHeight="1">
      <x:c r="A145" s="55" t="str">
        <x:v>&lt;老樹精&gt;</x:v>
      </x:c>
      <x:c r="B145" s="55" t="str">
        <x:v>6星</x:v>
      </x:c>
      <x:c r="C145" s="55" t="str">
        <x:v>—</x:v>
      </x:c>
      <x:c r="D145" s="55" t="str">
        <x:v>&lt;老樹精&gt;（瀰煙山道、掩月松林）</x:v>
      </x:c>
      <x:c r="E145" s="55" t="str">
        <x:v>—</x:v>
      </x:c>
    </x:row>
    <x:row r="146" ht="15" customHeight="1">
      <x:c r="A146" s="55" t="str">
        <x:v>龍骨河童</x:v>
      </x:c>
      <x:c r="B146" s="55" t="str">
        <x:v>6星</x:v>
      </x:c>
      <x:c r="C146" s="55" t="str">
        <x:v>—</x:v>
      </x:c>
      <x:c r="D146" s="55" t="str">
        <x:v>—</x:v>
      </x:c>
      <x:c r="E146" s="55" t="str">
        <x:v>—</x:v>
      </x:c>
    </x:row>
    <x:row r="147" ht="15" customHeight="1">
      <x:c r="A147" s="55" t="str">
        <x:v>迷你戰象</x:v>
      </x:c>
      <x:c r="B147" s="55" t="str">
        <x:v>6星</x:v>
      </x:c>
      <x:c r="C147" s="55" t="str">
        <x:v>—</x:v>
      </x:c>
      <x:c r="D147" s="55" t="str">
        <x:v>—</x:v>
      </x:c>
      <x:c r="E147" s="55" t="str">
        <x:v>—</x:v>
      </x:c>
    </x:row>
    <x:row r="148" ht="15" customHeight="1">
      <x:c r="A148" s="55" t="str">
        <x:v>[吸血殭屍]</x:v>
      </x:c>
      <x:c r="B148" s="55" t="str">
        <x:v>7星</x:v>
      </x:c>
      <x:c r="C148" s="55" t="str">
        <x:v>縛靈術</x:v>
      </x:c>
      <x:c r="D148" s="55" t="str">
        <x:v>吸血殭屍（猛鬼窟第二層、萬人塚第三層、樓蘭遺址）</x:v>
      </x:c>
      <x:c r="E148" s="55" t="str">
        <x:v>—</x:v>
      </x:c>
    </x:row>
    <x:row r="149" ht="15" customHeight="1">
      <x:c r="A149" s="55" t="str">
        <x:v>[千年蟾蜍精]</x:v>
      </x:c>
      <x:c r="B149" s="55" t="str">
        <x:v>7星</x:v>
      </x:c>
      <x:c r="C149" s="55" t="str">
        <x:v>—</x:v>
      </x:c>
      <x:c r="D149" s="55" t="str">
        <x:v>千年蟾蜍精（百妖穴第二層）</x:v>
      </x:c>
      <x:c r="E149" s="55" t="str">
        <x:v>—</x:v>
      </x:c>
    </x:row>
    <x:row r="150" ht="15" customHeight="1">
      <x:c r="A150" s="55" t="str">
        <x:v>[蜘蛛精]</x:v>
      </x:c>
      <x:c r="B150" s="55" t="str">
        <x:v>7星</x:v>
      </x:c>
      <x:c r="C150" s="55" t="str">
        <x:v>—</x:v>
      </x:c>
      <x:c r="D150" s="55" t="str">
        <x:v>蜘蛛精（百妖穴第一層、百妖穴第二層、盤蛇洞）</x:v>
      </x:c>
      <x:c r="E150" s="55" t="str">
        <x:v>—</x:v>
      </x:c>
    </x:row>
    <x:row r="151" ht="15" customHeight="1">
      <x:c r="A151" s="55" t="str">
        <x:v>[蛇魔女]</x:v>
      </x:c>
      <x:c r="B151" s="55" t="str">
        <x:v>7星</x:v>
      </x:c>
      <x:c r="C151" s="55" t="str">
        <x:v>—</x:v>
      </x:c>
      <x:c r="D151" s="55" t="str">
        <x:v>蛇魔女（盤蛇洞）</x:v>
      </x:c>
      <x:c r="E151" s="55" t="str">
        <x:v>—</x:v>
      </x:c>
    </x:row>
    <x:row r="152" ht="15" customHeight="1">
      <x:c r="A152" s="55" t="str">
        <x:v>[女王蜂]</x:v>
      </x:c>
      <x:c r="B152" s="55" t="str">
        <x:v>7星</x:v>
      </x:c>
      <x:c r="C152" s="55" t="str">
        <x:v>—</x:v>
      </x:c>
      <x:c r="D152" s="55" t="str">
        <x:v>女王蜂（桃花林、桃花林西方、桃花林南方）</x:v>
      </x:c>
      <x:c r="E152" s="55" t="str">
        <x:v>—</x:v>
      </x:c>
    </x:row>
    <x:row r="153" ht="15" customHeight="1">
      <x:c r="A153" s="55" t="str">
        <x:v>[兔仙人]</x:v>
      </x:c>
      <x:c r="B153" s="55" t="str">
        <x:v>7星</x:v>
      </x:c>
      <x:c r="C153" s="55" t="str">
        <x:v>—</x:v>
      </x:c>
      <x:c r="D153" s="55" t="str">
        <x:v>—</x:v>
      </x:c>
      <x:c r="E153" s="55" t="str">
        <x:v>—</x:v>
      </x:c>
    </x:row>
    <x:row r="154" ht="15" customHeight="1">
      <x:c r="A154" s="55" t="str">
        <x:v>[虎霸王]</x:v>
      </x:c>
      <x:c r="B154" s="55" t="str">
        <x:v>7星</x:v>
      </x:c>
      <x:c r="C154" s="55" t="str">
        <x:v>—</x:v>
      </x:c>
      <x:c r="D154" s="55" t="str">
        <x:v>虎霸王（掩月松林）</x:v>
      </x:c>
      <x:c r="E154" s="55" t="str">
        <x:v>—</x:v>
      </x:c>
    </x:row>
    <x:row r="155" ht="15" customHeight="1">
      <x:c r="A155" s="55" t="str">
        <x:v>[九尾狐]</x:v>
      </x:c>
      <x:c r="B155" s="55" t="str">
        <x:v>7星</x:v>
      </x:c>
      <x:c r="C155" s="55" t="str">
        <x:v>—</x:v>
      </x:c>
      <x:c r="D155" s="55" t="str">
        <x:v>—</x:v>
      </x:c>
      <x:c r="E155" s="55" t="str">
        <x:v>—</x:v>
      </x:c>
    </x:row>
    <x:row r="156" ht="15" customHeight="1">
      <x:c r="A156" s="55" t="str">
        <x:v>[隱者狸仙]</x:v>
      </x:c>
      <x:c r="B156" s="55" t="str">
        <x:v>7星</x:v>
      </x:c>
      <x:c r="C156" s="55" t="str">
        <x:v>—</x:v>
      </x:c>
      <x:c r="D156" s="55" t="str">
        <x:v>—</x:v>
      </x:c>
      <x:c r="E156" s="55" t="str">
        <x:v>—</x:v>
      </x:c>
    </x:row>
    <x:row r="157" ht="15" customHeight="1">
      <x:c r="A157" s="55" t="str">
        <x:v>[千年靈芝精]</x:v>
      </x:c>
      <x:c r="B157" s="55" t="str">
        <x:v>7星</x:v>
      </x:c>
      <x:c r="C157" s="55" t="str">
        <x:v>—</x:v>
      </x:c>
      <x:c r="D157" s="55" t="str">
        <x:v>千年靈芝精（天山冰池）</x:v>
      </x:c>
      <x:c r="E157" s="55" t="str">
        <x:v>—</x:v>
      </x:c>
    </x:row>
    <x:row r="158" ht="15" customHeight="1">
      <x:c r="A158" s="55" t="str">
        <x:v>[千年蔘精]</x:v>
      </x:c>
      <x:c r="B158" s="55" t="str">
        <x:v>7星</x:v>
      </x:c>
      <x:c r="C158" s="55" t="str">
        <x:v>—</x:v>
      </x:c>
      <x:c r="D158" s="55" t="str">
        <x:v>千年蔘精（天山冰池）</x:v>
      </x:c>
      <x:c r="E158" s="55" t="str">
        <x:v>—</x:v>
      </x:c>
    </x:row>
    <x:row r="159" ht="30" customHeight="1">
      <x:c r="A159" s="55" t="str">
        <x:v>[獵鷹]</x:v>
      </x:c>
      <x:c r="B159" s="55" t="str">
        <x:v>7星</x:v>
      </x:c>
      <x:c r="C159" s="55" t="str">
        <x:v>—</x:v>
      </x:c>
      <x:c r="D159" s="55" t="str">
        <x:v>獵鷹（八達嶺、塞北草原、呼倫草原、貝爾草原、黑城遺跡、疾風谷、古北大營）；獵鷹（關外草原）</x:v>
      </x:c>
      <x:c r="E159" s="55" t="str">
        <x:v>—</x:v>
      </x:c>
    </x:row>
    <x:row r="160" ht="15" customHeight="1">
      <x:c r="A160" s="55" t="str">
        <x:v>[黑豹]</x:v>
      </x:c>
      <x:c r="B160" s="55" t="str">
        <x:v>7星</x:v>
      </x:c>
      <x:c r="C160" s="55" t="str">
        <x:v>迷惑術</x:v>
      </x:c>
      <x:c r="D160" s="55" t="str">
        <x:v>黑豹（亂石林、黑城遺跡、疾風谷）；黑豹（關外草原）</x:v>
      </x:c>
      <x:c r="E160" s="55" t="str">
        <x:v>—</x:v>
      </x:c>
    </x:row>
    <x:row r="161" ht="15" customHeight="1">
      <x:c r="A161" s="55" t="str">
        <x:v>[巨禿鷹]</x:v>
      </x:c>
      <x:c r="B161" s="55" t="str">
        <x:v>7星</x:v>
      </x:c>
      <x:c r="C161" s="55" t="str">
        <x:v>—</x:v>
      </x:c>
      <x:c r="D161" s="55" t="str">
        <x:v>巨禿鷹（塔干沙漠東方、塔干沙漠南方、萬佛窟、樓蘭遺址、火焰山）</x:v>
      </x:c>
      <x:c r="E161" s="55" t="str">
        <x:v>—</x:v>
      </x:c>
    </x:row>
    <x:row r="162" ht="15" customHeight="1">
      <x:c r="A162" s="55" t="str">
        <x:v>[飛毛跳鼠]</x:v>
      </x:c>
      <x:c r="B162" s="55" t="str">
        <x:v>7星</x:v>
      </x:c>
      <x:c r="C162" s="55" t="str">
        <x:v>迷惑術</x:v>
      </x:c>
      <x:c r="D162" s="55" t="str">
        <x:v>飛毛跳鼠（塔干沙漠東方、塔干沙漠西方、萬佛窟、樓蘭遺址）</x:v>
      </x:c>
      <x:c r="E162" s="55" t="str">
        <x:v>—</x:v>
      </x:c>
    </x:row>
    <x:row r="163" ht="15" customHeight="1">
      <x:c r="A163" s="55" t="str">
        <x:v>[熊武者]</x:v>
      </x:c>
      <x:c r="B163" s="55" t="str">
        <x:v>7星</x:v>
      </x:c>
      <x:c r="C163" s="55" t="str">
        <x:v>—</x:v>
      </x:c>
      <x:c r="D163" s="55" t="str">
        <x:v>熊武者（桃花林西方、不老峰）</x:v>
      </x:c>
      <x:c r="E163" s="55" t="str">
        <x:v>—</x:v>
      </x:c>
    </x:row>
    <x:row r="164" ht="15" customHeight="1">
      <x:c r="A164" s="55" t="str">
        <x:v>[鳳凰]</x:v>
      </x:c>
      <x:c r="B164" s="55" t="str">
        <x:v>7星</x:v>
      </x:c>
      <x:c r="C164" s="55" t="str">
        <x:v>—</x:v>
      </x:c>
      <x:c r="D164" s="55" t="str">
        <x:v>鳳凰（棲鳳崖、鳳凰台）</x:v>
      </x:c>
      <x:c r="E164" s="55" t="str">
        <x:v>—</x:v>
      </x:c>
    </x:row>
    <x:row r="165" ht="15" customHeight="1">
      <x:c r="A165" s="55" t="str">
        <x:v>[嘯地幼犀]</x:v>
      </x:c>
      <x:c r="B165" s="55" t="str">
        <x:v>7星</x:v>
      </x:c>
      <x:c r="C165" s="55" t="str">
        <x:v>奪心術</x:v>
      </x:c>
      <x:c r="D165" s="55" t="str">
        <x:v>嘯地幼犀（蕈菇林東方、蕈菇林西方、晶湖水道、地下水道）</x:v>
      </x:c>
      <x:c r="E165" s="55" t="str">
        <x:v>—</x:v>
      </x:c>
    </x:row>
    <x:row r="166" ht="15" customHeight="1">
      <x:c r="A166" s="55" t="str">
        <x:v>[傘鬼]</x:v>
      </x:c>
      <x:c r="B166" s="55" t="str">
        <x:v>7星</x:v>
      </x:c>
      <x:c r="C166" s="55" t="str">
        <x:v>—</x:v>
      </x:c>
      <x:c r="D166" s="55" t="str">
        <x:v>傘鬼（長野沙濱、葉隱蒼林、八荒古墳）</x:v>
      </x:c>
      <x:c r="E166" s="55" t="str">
        <x:v>—</x:v>
      </x:c>
    </x:row>
    <x:row r="167" ht="15" customHeight="1">
      <x:c r="A167" s="55" t="str">
        <x:v>烏羽天狗</x:v>
      </x:c>
      <x:c r="B167" s="55" t="str">
        <x:v>7星</x:v>
      </x:c>
      <x:c r="C167" s="55" t="str">
        <x:v>—</x:v>
      </x:c>
      <x:c r="D167" s="55" t="str">
        <x:v>—</x:v>
      </x:c>
      <x:c r="E167" s="55" t="str">
        <x:v>—</x:v>
      </x:c>
    </x:row>
    <x:row r="168" ht="15" customHeight="1">
      <x:c r="A168" s="55" t="str">
        <x:v>[白骨精]</x:v>
      </x:c>
      <x:c r="B168" s="55" t="str">
        <x:v>8星</x:v>
      </x:c>
      <x:c r="C168" s="55" t="str">
        <x:v>縛靈術</x:v>
      </x:c>
      <x:c r="D168" s="55" t="str">
        <x:v>白骨精（猛鬼窟第二層、萬人塚第二層、萬人塚第三層）</x:v>
      </x:c>
      <x:c r="E168" s="55" t="str">
        <x:v>—</x:v>
      </x:c>
    </x:row>
    <x:row r="169" ht="15" customHeight="1">
      <x:c r="A169" s="55" t="str">
        <x:v>[將軍俑]</x:v>
      </x:c>
      <x:c r="B169" s="55" t="str">
        <x:v>8星</x:v>
      </x:c>
      <x:c r="C169" s="55" t="str">
        <x:v>—</x:v>
      </x:c>
      <x:c r="D169" s="55" t="str">
        <x:v>將軍俑（古皇陵第三層）</x:v>
      </x:c>
      <x:c r="E169" s="55" t="str">
        <x:v>—</x:v>
      </x:c>
    </x:row>
    <x:row r="170" ht="30" customHeight="1">
      <x:c r="A170" s="55" t="str">
        <x:v>[千年樹精]</x:v>
      </x:c>
      <x:c r="B170" s="55" t="str">
        <x:v>8星</x:v>
      </x:c>
      <x:c r="C170" s="55" t="str">
        <x:v>—</x:v>
      </x:c>
      <x:c r="D170" s="55" t="str">
        <x:v>千年樹精（葬日沼澤、葬日沼澤北方、千佛遺跡東側）；千年樹精（瀰煙山道、掩月松林、不老峰）</x:v>
      </x:c>
      <x:c r="E170" s="55" t="str">
        <x:v>—</x:v>
      </x:c>
    </x:row>
    <x:row r="171" ht="15" customHeight="1">
      <x:c r="A171" s="55" t="str">
        <x:v>[千年花精]</x:v>
      </x:c>
      <x:c r="B171" s="55" t="str">
        <x:v>8星</x:v>
      </x:c>
      <x:c r="C171" s="55" t="str">
        <x:v>—</x:v>
      </x:c>
      <x:c r="D171" s="55" t="str">
        <x:v>千年花精（亂藤林南方、葬日沼澤北方）</x:v>
      </x:c>
      <x:c r="E171" s="55" t="str">
        <x:v>—</x:v>
      </x:c>
    </x:row>
    <x:row r="172" ht="15" customHeight="1">
      <x:c r="A172" s="55" t="str">
        <x:v>[天山食人虎]</x:v>
      </x:c>
      <x:c r="B172" s="55" t="str">
        <x:v>8星</x:v>
      </x:c>
      <x:c r="C172" s="55" t="str">
        <x:v>迷惑術</x:v>
      </x:c>
      <x:c r="D172" s="55" t="str">
        <x:v>天山食人虎（天山冰池）</x:v>
      </x:c>
      <x:c r="E172" s="55" t="str">
        <x:v>—</x:v>
      </x:c>
    </x:row>
    <x:row r="173" ht="15" customHeight="1">
      <x:c r="A173" s="55" t="str">
        <x:v>[天山巨猿]</x:v>
      </x:c>
      <x:c r="B173" s="55" t="str">
        <x:v>8星</x:v>
      </x:c>
      <x:c r="C173" s="55" t="str">
        <x:v>迷惑術</x:v>
      </x:c>
      <x:c r="D173" s="55" t="str">
        <x:v>天山巨猿（天山冰池）</x:v>
      </x:c>
      <x:c r="E173" s="55" t="str">
        <x:v>—</x:v>
      </x:c>
    </x:row>
    <x:row r="174" ht="15" customHeight="1">
      <x:c r="A174" s="55" t="str">
        <x:v>[草原戰士]</x:v>
      </x:c>
      <x:c r="B174" s="55" t="str">
        <x:v>8星</x:v>
      </x:c>
      <x:c r="C174" s="55" t="str">
        <x:v>奪心術</x:v>
      </x:c>
      <x:c r="D174" s="55" t="str">
        <x:v>草原戰士（呼倫草原、貝爾草原、大汗陵墓、蒼狼大營）</x:v>
      </x:c>
      <x:c r="E174" s="55" t="str">
        <x:v>—</x:v>
      </x:c>
    </x:row>
    <x:row r="175" ht="15" customHeight="1">
      <x:c r="A175" s="55" t="str">
        <x:v>[疾風戰士]</x:v>
      </x:c>
      <x:c r="B175" s="55" t="str">
        <x:v>8星</x:v>
      </x:c>
      <x:c r="C175" s="55" t="str">
        <x:v>—</x:v>
      </x:c>
      <x:c r="D175" s="55" t="str">
        <x:v>疾風戰士（呼倫草原、貝爾草原、大汗陵墓、蒼狼大營）</x:v>
      </x:c>
      <x:c r="E175" s="55" t="str">
        <x:v>—</x:v>
      </x:c>
    </x:row>
    <x:row r="176" ht="15" customHeight="1">
      <x:c r="A176" s="55" t="str">
        <x:v>[銅石龜]</x:v>
      </x:c>
      <x:c r="B176" s="55" t="str">
        <x:v>8星</x:v>
      </x:c>
      <x:c r="C176" s="55" t="str">
        <x:v>迷惑術</x:v>
      </x:c>
      <x:c r="D176" s="55" t="str">
        <x:v>銅石龜（塔干沙漠南方、塔干沙漠西方、樓蘭遺址）</x:v>
      </x:c>
      <x:c r="E176" s="55" t="str">
        <x:v>—</x:v>
      </x:c>
    </x:row>
    <x:row r="177" ht="15" customHeight="1">
      <x:c r="A177" s="55" t="str">
        <x:v>[神行跳鼠]</x:v>
      </x:c>
      <x:c r="B177" s="55" t="str">
        <x:v>8星</x:v>
      </x:c>
      <x:c r="C177" s="55" t="str">
        <x:v>迷惑術</x:v>
      </x:c>
      <x:c r="D177" s="55" t="str">
        <x:v>神行跳鼠（萬魔蜃樓陣、萬魔蜃樓陣檢錄處、塔干沙漠西方、萬佛窟、樓蘭遺址）</x:v>
      </x:c>
      <x:c r="E177" s="55" t="str">
        <x:v>—</x:v>
      </x:c>
    </x:row>
    <x:row r="178" ht="15" customHeight="1">
      <x:c r="A178" s="55" t="str">
        <x:v>[嘯地巨犀]</x:v>
      </x:c>
      <x:c r="B178" s="55" t="str">
        <x:v>8星</x:v>
      </x:c>
      <x:c r="C178" s="55" t="str">
        <x:v>迷惑術</x:v>
      </x:c>
      <x:c r="D178" s="55" t="str">
        <x:v>嘯地巨犀（蕈菇林西方、晶湖水道、地下水道、神兵塚）</x:v>
      </x:c>
      <x:c r="E178" s="55" t="str">
        <x:v>—</x:v>
      </x:c>
    </x:row>
    <x:row r="179" ht="15" customHeight="1">
      <x:c r="A179" s="55" t="str">
        <x:v>[火蕈傘人]</x:v>
      </x:c>
      <x:c r="B179" s="55" t="str">
        <x:v>8星</x:v>
      </x:c>
      <x:c r="C179" s="55" t="str">
        <x:v>—</x:v>
      </x:c>
      <x:c r="D179" s="55" t="str">
        <x:v>火蕈傘人（蕈菇林、蕈菇林東方、蕈菇林西方、侏人部落、晶湖水道、神兵塚）</x:v>
      </x:c>
      <x:c r="E179" s="55" t="str">
        <x:v>—</x:v>
      </x:c>
    </x:row>
    <x:row r="180" ht="15" customHeight="1">
      <x:c r="A180" s="55" t="str">
        <x:v>[冰蕈傘人]</x:v>
      </x:c>
      <x:c r="B180" s="55" t="str">
        <x:v>8星</x:v>
      </x:c>
      <x:c r="C180" s="55" t="str">
        <x:v>—</x:v>
      </x:c>
      <x:c r="D180" s="55" t="str">
        <x:v>冰蕈傘人（蕈菇林東方、蕈菇林西方、侏人部落、晶湖水道、地下水道、神兵塚）</x:v>
      </x:c>
      <x:c r="E180" s="55" t="str">
        <x:v>—</x:v>
      </x:c>
    </x:row>
    <x:row r="181" ht="15" customHeight="1">
      <x:c r="A181" s="55" t="str">
        <x:v>[毒蕈傘人]</x:v>
      </x:c>
      <x:c r="B181" s="55" t="str">
        <x:v>8星</x:v>
      </x:c>
      <x:c r="C181" s="55" t="str">
        <x:v>—</x:v>
      </x:c>
      <x:c r="D181" s="55" t="str">
        <x:v>毒蕈傘人（蕈菇林、蕈菇林東方、蕈菇林西方、侏人部落、晶湖水道、地下水道、神兵塚）</x:v>
      </x:c>
      <x:c r="E181" s="55" t="str">
        <x:v>—</x:v>
      </x:c>
    </x:row>
    <x:row r="182" ht="15" customHeight="1">
      <x:c r="A182" s="55" t="str">
        <x:v>[激雷鐮鼬]</x:v>
      </x:c>
      <x:c r="B182" s="55" t="str">
        <x:v>8星</x:v>
      </x:c>
      <x:c r="C182" s="55" t="str">
        <x:v>迷惑術</x:v>
      </x:c>
      <x:c r="D182" s="55" t="str">
        <x:v>激雷鐮鼬（長野沙濱、葉隱蒼林、神室關所、天照不二峰）</x:v>
      </x:c>
      <x:c r="E182" s="55" t="str">
        <x:v>—</x:v>
      </x:c>
    </x:row>
    <x:row r="183" ht="15" customHeight="1">
      <x:c r="A183" s="55" t="str">
        <x:v>[鬼河童]</x:v>
      </x:c>
      <x:c r="B183" s="55" t="str">
        <x:v>8星</x:v>
      </x:c>
      <x:c r="C183" s="55" t="str">
        <x:v>—</x:v>
      </x:c>
      <x:c r="D183" s="55" t="str">
        <x:v>鬼河童（葉隱蒼林、神室關所）</x:v>
      </x:c>
      <x:c r="E183" s="55" t="str">
        <x:v>—</x:v>
      </x:c>
    </x:row>
    <x:row r="184" ht="15" customHeight="1">
      <x:c r="A184" s="55" t="str">
        <x:v>真火鳳凰</x:v>
      </x:c>
      <x:c r="B184" s="55" t="str">
        <x:v>8星</x:v>
      </x:c>
      <x:c r="C184" s="55" t="str">
        <x:v>—</x:v>
      </x:c>
      <x:c r="D184" s="55" t="str">
        <x:v>真火鳳凰（鳳凰台）</x:v>
      </x:c>
      <x:c r="E184" s="55" t="str">
        <x:v>—</x:v>
      </x:c>
    </x:row>
    <x:row r="185" ht="15" customHeight="1">
      <x:c r="A185" s="55" t="str">
        <x:v>冰塵白鋼獅</x:v>
      </x:c>
      <x:c r="B185" s="55" t="str">
        <x:v>8星</x:v>
      </x:c>
      <x:c r="C185" s="55" t="str">
        <x:v>—</x:v>
      </x:c>
      <x:c r="D185" s="55" t="str">
        <x:v>—</x:v>
      </x:c>
      <x:c r="E185" s="55" t="str">
        <x:v>—</x:v>
      </x:c>
    </x:row>
    <x:row r="186" ht="15" customHeight="1">
      <x:c r="A186" s="55" t="str">
        <x:v>蒼穹神翔牛</x:v>
      </x:c>
      <x:c r="B186" s="55" t="str">
        <x:v>8星</x:v>
      </x:c>
      <x:c r="C186" s="55" t="str">
        <x:v>—</x:v>
      </x:c>
      <x:c r="D186" s="55" t="str">
        <x:v>—</x:v>
      </x:c>
      <x:c r="E186" s="55" t="str">
        <x:v>—</x:v>
      </x:c>
    </x:row>
    <x:row r="187" ht="15" customHeight="1">
      <x:c r="A187" s="55" t="str">
        <x:v>九皇天尊龍</x:v>
      </x:c>
      <x:c r="B187" s="55" t="str">
        <x:v>8星</x:v>
      </x:c>
      <x:c r="C187" s="55" t="str">
        <x:v>—</x:v>
      </x:c>
      <x:c r="D187" s="55" t="str">
        <x:v>—</x:v>
      </x:c>
      <x:c r="E187" s="55" t="str">
        <x:v>—</x:v>
      </x:c>
    </x:row>
    <x:row r="188" ht="15" customHeight="1">
      <x:c r="A188" s="55" t="str">
        <x:v>天山黑霸</x:v>
      </x:c>
      <x:c r="B188" s="55" t="str">
        <x:v>8星</x:v>
      </x:c>
      <x:c r="C188" s="55" t="str">
        <x:v>—</x:v>
      </x:c>
      <x:c r="D188" s="55" t="str">
        <x:v>—</x:v>
      </x:c>
      <x:c r="E188" s="55" t="str">
        <x:v>—</x:v>
      </x:c>
    </x:row>
    <x:row r="189" ht="15" customHeight="1">
      <x:c r="A189" s="55" t="str">
        <x:v>第六天鬼王</x:v>
      </x:c>
      <x:c r="B189" s="55" t="str">
        <x:v>8星</x:v>
      </x:c>
      <x:c r="C189" s="55" t="str">
        <x:v>—</x:v>
      </x:c>
      <x:c r="D189" s="55" t="str">
        <x:v>—</x:v>
      </x:c>
      <x:c r="E189" s="55" t="str">
        <x:v>—</x:v>
      </x:c>
    </x:row>
    <x:row r="190" ht="15" customHeight="1">
      <x:c r="A190" s="55" t="str">
        <x:v>[晶石怪]</x:v>
      </x:c>
      <x:c r="B190" s="55" t="str">
        <x:v>9星</x:v>
      </x:c>
      <x:c r="C190" s="55" t="str">
        <x:v>—</x:v>
      </x:c>
      <x:c r="D190" s="55" t="str">
        <x:v>晶石怪（侏人部落、晶湖水道、地下水道、水晶礦坑、神兵塚）</x:v>
      </x:c>
      <x:c r="E190" s="55" t="str">
        <x:v>—</x:v>
      </x:c>
    </x:row>
    <x:row r="191" ht="15" customHeight="1">
      <x:c r="A191" s="55" t="str">
        <x:v>[魅亂傘鬼]</x:v>
      </x:c>
      <x:c r="B191" s="55" t="str">
        <x:v>9星</x:v>
      </x:c>
      <x:c r="C191" s="55" t="str">
        <x:v>—</x:v>
      </x:c>
      <x:c r="D191" s="55" t="str">
        <x:v>魅亂傘鬼（內崎埠原、外崎埠原、十津原樹海）</x:v>
      </x:c>
      <x:c r="E191" s="55" t="str">
        <x:v>—</x:v>
      </x:c>
    </x:row>
    <x:row r="192" ht="15" customHeight="1">
      <x:c r="A192" s="55" t="str">
        <x:v>[黑天妖魔]</x:v>
      </x:c>
      <x:c r="B192" s="55" t="str">
        <x:v>9星</x:v>
      </x:c>
      <x:c r="C192" s="55" t="str">
        <x:v>縛靈術</x:v>
      </x:c>
      <x:c r="D192" s="55" t="str">
        <x:v>黑天妖魔（萬佛窟、火焰山）</x:v>
      </x:c>
      <x:c r="E192" s="55" t="str">
        <x:v>—</x:v>
      </x:c>
    </x:row>
    <x:row r="193" ht="15" customHeight="1">
      <x:c r="A193" s="55" t="str">
        <x:v>[冰執鐮鼬]</x:v>
      </x:c>
      <x:c r="B193" s="55" t="str">
        <x:v>9星</x:v>
      </x:c>
      <x:c r="C193" s="55" t="str">
        <x:v>迷惑術</x:v>
      </x:c>
      <x:c r="D193" s="55" t="str">
        <x:v>冰執鐮鼬（內崎埠原、外崎埠原、十津原樹海）</x:v>
      </x:c>
      <x:c r="E193" s="55" t="str">
        <x:v>—</x:v>
      </x:c>
    </x:row>
    <x:row r="194" ht="15" customHeight="1">
      <x:c r="A194" s="55" t="str">
        <x:v>[天狗]</x:v>
      </x:c>
      <x:c r="B194" s="55" t="str">
        <x:v>9星</x:v>
      </x:c>
      <x:c r="C194" s="55" t="str">
        <x:v>—</x:v>
      </x:c>
      <x:c r="D194" s="55" t="str">
        <x:v>天狗（葉隱蒼林、十津原樹海、天照不二峰）</x:v>
      </x:c>
      <x:c r="E194" s="55" t="str">
        <x:v>—</x:v>
      </x:c>
    </x:row>
    <x:row r="195" ht="15" customHeight="1">
      <x:c r="A195" s="55" t="str">
        <x:v>[密林妖禽]</x:v>
      </x:c>
      <x:c r="B195" s="55" t="str">
        <x:v>9星</x:v>
      </x:c>
      <x:c r="C195" s="55" t="str">
        <x:v>—</x:v>
      </x:c>
      <x:c r="D195" s="55" t="str">
        <x:v>密林妖禽（千佛遺跡東側、千佛遺跡西側）</x:v>
      </x:c>
      <x:c r="E195" s="55" t="str">
        <x:v>—</x:v>
      </x:c>
    </x:row>
    <x:row r="196" ht="15" customHeight="1">
      <x:c r="A196" s="55" t="str">
        <x:v>[巨錘猴精]</x:v>
      </x:c>
      <x:c r="B196" s="55" t="str">
        <x:v>9星</x:v>
      </x:c>
      <x:c r="C196" s="55" t="str">
        <x:v>—</x:v>
      </x:c>
      <x:c r="D196" s="55" t="str">
        <x:v>巨錘猴精（千佛遺跡東側、千佛遺跡西側）</x:v>
      </x:c>
      <x:c r="E196" s="55" t="str">
        <x:v>—</x:v>
      </x:c>
    </x:row>
    <x:row r="197" ht="15" customHeight="1">
      <x:c r="A197" s="55" t="str">
        <x:v>[沼地巨蛇]</x:v>
      </x:c>
      <x:c r="B197" s="55" t="str">
        <x:v>9星</x:v>
      </x:c>
      <x:c r="C197" s="55" t="str">
        <x:v>—</x:v>
      </x:c>
      <x:c r="D197" s="55" t="str">
        <x:v>沼地巨蛇（千佛遺跡東側、千佛遺跡西側）</x:v>
      </x:c>
      <x:c r="E197" s="55" t="str">
        <x:v>—</x:v>
      </x:c>
    </x:row>
    <x:row r="198" ht="15" customHeight="1">
      <x:c r="A198" s="55" t="str">
        <x:v>[血瘤眼]</x:v>
      </x:c>
      <x:c r="B198" s="55" t="str">
        <x:v>9星</x:v>
      </x:c>
      <x:c r="C198" s="55" t="str">
        <x:v>—</x:v>
      </x:c>
      <x:c r="D198" s="55" t="str">
        <x:v>血瘤眼（恨生不歸途、三途之都）</x:v>
      </x:c>
      <x:c r="E198" s="55" t="str">
        <x:v>—</x:v>
      </x:c>
    </x:row>
    <x:row r="199" ht="15" customHeight="1">
      <x:c r="A199" s="55" t="str">
        <x:v>[白靈石獅]</x:v>
      </x:c>
      <x:c r="B199" s="55" t="str">
        <x:v>9星</x:v>
      </x:c>
      <x:c r="C199" s="55" t="str">
        <x:v>—</x:v>
      </x:c>
      <x:c r="D199" s="55" t="str">
        <x:v>白靈石獅（恨生不歸途、三途之都、枉死之城）</x:v>
      </x:c>
      <x:c r="E199" s="55" t="str">
        <x:v>—</x:v>
      </x:c>
    </x:row>
    <x:row r="200" ht="15" customHeight="1">
      <x:c r="A200" s="55" t="str">
        <x:v>[惡鬼]</x:v>
      </x:c>
      <x:c r="B200" s="55" t="str">
        <x:v>9星</x:v>
      </x:c>
      <x:c r="C200" s="55" t="str">
        <x:v>奪心術</x:v>
      </x:c>
      <x:c r="D200" s="55" t="str">
        <x:v>惡鬼（古皇陵近郊）；惡鬼（內崎埠原、八荒古墳）</x:v>
      </x:c>
      <x:c r="E200" s="55" t="str">
        <x:v>—</x:v>
      </x:c>
    </x:row>
    <x:row r="201" ht="15" customHeight="1">
      <x:c r="A201" s="55" t="str">
        <x:v>[叢林野象]</x:v>
      </x:c>
      <x:c r="B201" s="55" t="str">
        <x:v>9星</x:v>
      </x:c>
      <x:c r="C201" s="55" t="str">
        <x:v>迷惑術</x:v>
      </x:c>
      <x:c r="D201" s="55" t="str">
        <x:v>叢林野象（千佛遺跡西側）</x:v>
      </x:c>
      <x:c r="E201" s="55" t="str">
        <x:v>—</x:v>
      </x:c>
    </x:row>
    <x:row r="202" ht="15" customHeight="1">
      <x:c r="A202" s="55" t="str">
        <x:v>[劍刺傘鬼]</x:v>
      </x:c>
      <x:c r="B202" s="55" t="str">
        <x:v>9星</x:v>
      </x:c>
      <x:c r="C202" s="55" t="str">
        <x:v>—</x:v>
      </x:c>
      <x:c r="D202" s="55" t="str">
        <x:v>劍刺傘鬼（八荒古墳）</x:v>
      </x:c>
      <x:c r="E202" s="55" t="str">
        <x:v>—</x:v>
      </x:c>
    </x:row>
    <x:row r="203" ht="15" customHeight="1">
      <x:c r="A203" s="55" t="str">
        <x:v>[鴉天狗]</x:v>
      </x:c>
      <x:c r="B203" s="55" t="str">
        <x:v>9星</x:v>
      </x:c>
      <x:c r="C203" s="55" t="str">
        <x:v>—</x:v>
      </x:c>
      <x:c r="D203" s="55" t="str">
        <x:v>鴉天狗（天照不二峰、八荒古墳）</x:v>
      </x:c>
      <x:c r="E203" s="55" t="str">
        <x:v>—</x:v>
      </x:c>
    </x:row>
    <x:row r="204" ht="15" customHeight="1">
      <x:c r="A204" s="55" t="str">
        <x:v>[拔山象妖]</x:v>
      </x:c>
      <x:c r="B204" s="55" t="str">
        <x:v>9星</x:v>
      </x:c>
      <x:c r="C204" s="55" t="str">
        <x:v>—</x:v>
      </x:c>
      <x:c r="D204" s="55" t="str">
        <x:v>拔山象妖（摩羅國境、菩提聖原）</x:v>
      </x:c>
      <x:c r="E204" s="55" t="str">
        <x:v>—</x:v>
      </x:c>
    </x:row>
    <x:row r="205" ht="15" customHeight="1">
      <x:c r="A205" s="55" t="str">
        <x:v>[火雲麒麟]</x:v>
      </x:c>
      <x:c r="B205" s="55" t="str">
        <x:v>9星</x:v>
      </x:c>
      <x:c r="C205" s="55" t="str">
        <x:v>—</x:v>
      </x:c>
      <x:c r="D205" s="55" t="str">
        <x:v>火雲麒麟（火雲洞府）；火雲麒麟（烈火修煉場）</x:v>
      </x:c>
      <x:c r="E205" s="55" t="str">
        <x:v>—</x:v>
      </x:c>
    </x:row>
    <x:row r="206" ht="15" customHeight="1">
      <x:c r="A206" s="55" t="str">
        <x:v>[蠱毒麒麟]</x:v>
      </x:c>
      <x:c r="B206" s="55" t="str">
        <x:v>9星</x:v>
      </x:c>
      <x:c r="C206" s="55" t="str">
        <x:v>—</x:v>
      </x:c>
      <x:c r="D206" s="55" t="str">
        <x:v>蠱毒麒麟（蠱毒洞府）；蠱毒麒麟（瘴癘修煉場）</x:v>
      </x:c>
      <x:c r="E206" s="55" t="str">
        <x:v>—</x:v>
      </x:c>
    </x:row>
    <x:row r="207" ht="15" customHeight="1">
      <x:c r="A207" s="55" t="str">
        <x:v>[怒雪麒麟]</x:v>
      </x:c>
      <x:c r="B207" s="55" t="str">
        <x:v>9星</x:v>
      </x:c>
      <x:c r="C207" s="55" t="str">
        <x:v>—</x:v>
      </x:c>
      <x:c r="D207" s="55" t="str">
        <x:v>怒雪麒麟（怒雪洞府）；怒雪麒麟（怒雪修煉場）</x:v>
      </x:c>
      <x:c r="E207" s="55" t="str">
        <x:v>—</x:v>
      </x:c>
    </x:row>
    <x:row r="208" ht="15" customHeight="1">
      <x:c r="A208" s="55" t="str">
        <x:v>幻武天龍神</x:v>
      </x:c>
      <x:c r="B208" s="55" t="str">
        <x:v>9星</x:v>
      </x:c>
      <x:c r="C208" s="55" t="str">
        <x:v>—</x:v>
      </x:c>
      <x:c r="D208" s="55" t="str">
        <x:v>—</x:v>
      </x:c>
      <x:c r="E208" s="55" t="str">
        <x:v>—</x:v>
      </x:c>
    </x:row>
    <x:row r="209" ht="15" customHeight="1">
      <x:c r="A209" s="55" t="str">
        <x:v>紫燄影凰</x:v>
      </x:c>
      <x:c r="B209" s="55" t="str">
        <x:v>9星</x:v>
      </x:c>
      <x:c r="C209" s="55" t="str">
        <x:v>—</x:v>
      </x:c>
      <x:c r="D209" s="55" t="str">
        <x:v>—</x:v>
      </x:c>
      <x:c r="E209" s="55" t="str">
        <x:v>—</x:v>
      </x:c>
    </x:row>
    <x:row r="210" ht="15" customHeight="1">
      <x:c r="A210" s="55" t="str">
        <x:v>神威虎將</x:v>
      </x:c>
      <x:c r="B210" s="55" t="str">
        <x:v>9星</x:v>
      </x:c>
      <x:c r="C210" s="55" t="str">
        <x:v>—</x:v>
      </x:c>
      <x:c r="D210" s="55" t="str">
        <x:v>—</x:v>
      </x:c>
      <x:c r="E210" s="55" t="str">
        <x:v>—</x:v>
      </x:c>
    </x:row>
    <x:row r="211" ht="15" customHeight="1">
      <x:c r="A211" s="55" t="str">
        <x:v>焚世炎帝</x:v>
      </x:c>
      <x:c r="B211" s="55" t="str">
        <x:v>9星</x:v>
      </x:c>
      <x:c r="C211" s="55" t="str">
        <x:v>—</x:v>
      </x:c>
      <x:c r="D211" s="55" t="str">
        <x:v>—</x:v>
      </x:c>
      <x:c r="E211" s="55" t="str">
        <x:v>—</x:v>
      </x:c>
    </x:row>
    <x:row r="212" ht="15" customHeight="1">
      <x:c r="A212" s="55" t="str">
        <x:v>冰界海后</x:v>
      </x:c>
      <x:c r="B212" s="55" t="str">
        <x:v>9星</x:v>
      </x:c>
      <x:c r="C212" s="55" t="str">
        <x:v>—</x:v>
      </x:c>
      <x:c r="D212" s="55" t="str">
        <x:v>—</x:v>
      </x:c>
      <x:c r="E212" s="55" t="str">
        <x:v>—</x:v>
      </x:c>
    </x:row>
    <x:row r="213" ht="15" customHeight="1">
      <x:c r="A213" s="55" t="str">
        <x:v>浩天將神</x:v>
      </x:c>
      <x:c r="B213" s="55" t="str">
        <x:v>9星</x:v>
      </x:c>
      <x:c r="C213" s="55" t="str">
        <x:v>—</x:v>
      </x:c>
      <x:c r="D213" s="55" t="str">
        <x:v>—</x:v>
      </x:c>
      <x:c r="E213" s="55" t="str">
        <x:v>—</x:v>
      </x:c>
    </x:row>
    <x:row r="214" ht="15" customHeight="1">
      <x:c r="A214" s="55" t="str">
        <x:v>凱旋獅王</x:v>
      </x:c>
      <x:c r="B214" s="55" t="str">
        <x:v>9星</x:v>
      </x:c>
      <x:c r="C214" s="55" t="str">
        <x:v>—</x:v>
      </x:c>
      <x:c r="D214" s="55" t="str">
        <x:v>—</x:v>
      </x:c>
      <x:c r="E214" s="55" t="str">
        <x:v>—</x:v>
      </x:c>
    </x:row>
    <x:row r="215" ht="15" customHeight="1">
      <x:c r="A215" s="55" t="str">
        <x:v>霜血霸蜥</x:v>
      </x:c>
      <x:c r="B215" s="55" t="str">
        <x:v>9星</x:v>
      </x:c>
      <x:c r="C215" s="55" t="str">
        <x:v>—</x:v>
      </x:c>
      <x:c r="D215" s="55" t="str">
        <x:v>—</x:v>
      </x:c>
      <x:c r="E215" s="55" t="str">
        <x:v>—</x:v>
      </x:c>
    </x:row>
    <x:row r="216" ht="15" customHeight="1">
      <x:c r="A216" s="55" t="str">
        <x:v>破界皇龍</x:v>
      </x:c>
      <x:c r="B216" s="55" t="str">
        <x:v>9星</x:v>
      </x:c>
      <x:c r="C216" s="55" t="str">
        <x:v>—</x:v>
      </x:c>
      <x:c r="D216" s="55" t="str">
        <x:v>—</x:v>
      </x:c>
      <x:c r="E216" s="55" t="str">
        <x:v>—</x:v>
      </x:c>
    </x:row>
    <x:row r="217" ht="15" customHeight="1">
      <x:c r="A217" s="55" t="str">
        <x:v>炎獄魔眼</x:v>
      </x:c>
      <x:c r="B217" s="55" t="str">
        <x:v>9星</x:v>
      </x:c>
      <x:c r="C217" s="55" t="str">
        <x:v>—</x:v>
      </x:c>
      <x:c r="D217" s="55" t="str">
        <x:v>—</x:v>
      </x:c>
      <x:c r="E217" s="55" t="str">
        <x:v>—</x:v>
      </x:c>
    </x:row>
    <x:row r="218" ht="15" customHeight="1">
      <x:c r="A218" s="55" t="str">
        <x:v>[地煞]</x:v>
      </x:c>
      <x:c r="B218" s="55" t="str">
        <x:v>10星</x:v>
      </x:c>
      <x:c r="C218" s="55" t="str">
        <x:v>—</x:v>
      </x:c>
      <x:c r="D218" s="55" t="str">
        <x:v>地煞（神兵塚）</x:v>
      </x:c>
      <x:c r="E218" s="55" t="str">
        <x:v>—</x:v>
      </x:c>
    </x:row>
    <x:row r="219" ht="15" customHeight="1">
      <x:c r="A219" s="55" t="str">
        <x:v>[三途棺差]</x:v>
      </x:c>
      <x:c r="B219" s="55" t="str">
        <x:v>10星</x:v>
      </x:c>
      <x:c r="C219" s="55" t="str">
        <x:v>縛靈術</x:v>
      </x:c>
      <x:c r="D219" s="55" t="str">
        <x:v>三途棺差（恨生不歸途、三途之都、枉死之城）</x:v>
      </x:c>
      <x:c r="E219" s="55" t="str">
        <x:v>—</x:v>
      </x:c>
    </x:row>
    <x:row r="220" ht="15" customHeight="1">
      <x:c r="A220" s="55" t="str">
        <x:v>[索命牛頭]</x:v>
      </x:c>
      <x:c r="B220" s="55" t="str">
        <x:v>10星</x:v>
      </x:c>
      <x:c r="C220" s="55" t="str">
        <x:v>—</x:v>
      </x:c>
      <x:c r="D220" s="55" t="str">
        <x:v>索命牛頭（九曲邪徑、寒愴冰獄）</x:v>
      </x:c>
      <x:c r="E220" s="55" t="str">
        <x:v>—</x:v>
      </x:c>
    </x:row>
    <x:row r="221" ht="15" customHeight="1">
      <x:c r="A221" s="55" t="str">
        <x:v>[追魂馬面]</x:v>
      </x:c>
      <x:c r="B221" s="55" t="str">
        <x:v>10星</x:v>
      </x:c>
      <x:c r="C221" s="55" t="str">
        <x:v>—</x:v>
      </x:c>
      <x:c r="D221" s="55" t="str">
        <x:v>追魂馬面（九曲邪徑、寒愴冰獄）</x:v>
      </x:c>
      <x:c r="E221" s="55" t="str">
        <x:v>—</x:v>
      </x:c>
    </x:row>
    <x:row r="222" ht="15" customHeight="1">
      <x:c r="A222" s="55" t="str">
        <x:v>[拘魂白無常]</x:v>
      </x:c>
      <x:c r="B222" s="55" t="str">
        <x:v>10星</x:v>
      </x:c>
      <x:c r="C222" s="55" t="str">
        <x:v>—</x:v>
      </x:c>
      <x:c r="D222" s="55" t="str">
        <x:v>拘魂白無常（悲歡渡口、永劫刑場、九曲邪徑）</x:v>
      </x:c>
      <x:c r="E222" s="55" t="str">
        <x:v>—</x:v>
      </x:c>
    </x:row>
    <x:row r="223" ht="15" customHeight="1">
      <x:c r="A223" s="55" t="str">
        <x:v>[提刑黑無常]</x:v>
      </x:c>
      <x:c r="B223" s="55" t="str">
        <x:v>10星</x:v>
      </x:c>
      <x:c r="C223" s="55" t="str">
        <x:v>—</x:v>
      </x:c>
      <x:c r="D223" s="55" t="str">
        <x:v>提刑黑無常（悲歡渡口、永劫刑場、九曲邪徑）</x:v>
      </x:c>
      <x:c r="E223" s="55" t="str">
        <x:v>—</x:v>
      </x:c>
    </x:row>
    <x:row r="224" ht="15" customHeight="1">
      <x:c r="A224" s="55" t="str">
        <x:v>[雪峰野人]</x:v>
      </x:c>
      <x:c r="B224" s="55" t="str">
        <x:v>10星</x:v>
      </x:c>
      <x:c r="C224" s="55" t="str">
        <x:v>迷惑術</x:v>
      </x:c>
      <x:c r="D224" s="55" t="str">
        <x:v>雪峰野人（登天棧道、懸空仙嶺、青藏高原）</x:v>
      </x:c>
      <x:c r="E224" s="55" t="str">
        <x:v>—</x:v>
      </x:c>
    </x:row>
    <x:row r="225" ht="15" customHeight="1">
      <x:c r="A225" s="55" t="str">
        <x:v>[藏地氂牛]</x:v>
      </x:c>
      <x:c r="B225" s="55" t="str">
        <x:v>10星</x:v>
      </x:c>
      <x:c r="C225" s="55" t="str">
        <x:v>迷惑術</x:v>
      </x:c>
      <x:c r="D225" s="55" t="str">
        <x:v>藏地氂牛（登天棧道、懸空仙嶺、青藏高原）</x:v>
      </x:c>
      <x:c r="E225" s="55" t="str">
        <x:v>—</x:v>
      </x:c>
    </x:row>
    <x:row r="226" ht="15" customHeight="1">
      <x:c r="A226" s="55" t="str">
        <x:v>[幽谷翔龍]</x:v>
      </x:c>
      <x:c r="B226" s="55" t="str">
        <x:v>10星</x:v>
      </x:c>
      <x:c r="C226" s="55" t="str">
        <x:v>—</x:v>
      </x:c>
      <x:c r="D226" s="55" t="str">
        <x:v>幽谷翔龍（登天棧道、懸空仙嶺、青藏高原、大梵聖湖）</x:v>
      </x:c>
      <x:c r="E226" s="55" t="str">
        <x:v>—</x:v>
      </x:c>
    </x:row>
    <x:row r="227" ht="15" customHeight="1">
      <x:c r="A227" s="55" t="str">
        <x:v>[輪迴外邪]</x:v>
      </x:c>
      <x:c r="B227" s="55" t="str">
        <x:v>10星</x:v>
      </x:c>
      <x:c r="C227" s="55" t="str">
        <x:v>奪心術</x:v>
      </x:c>
      <x:c r="D227" s="55" t="str">
        <x:v>輪迴外邪（懸空仙嶺、青藏高原、大梵聖湖、萬岳聖峰、香格里拉聖路）</x:v>
      </x:c>
      <x:c r="E227" s="55" t="str">
        <x:v>—</x:v>
      </x:c>
    </x:row>
    <x:row r="228" ht="15" customHeight="1">
      <x:c r="A228" s="55" t="str">
        <x:v>[半身虎人]</x:v>
      </x:c>
      <x:c r="B228" s="55" t="str">
        <x:v>10星</x:v>
      </x:c>
      <x:c r="C228" s="55" t="str">
        <x:v>—</x:v>
      </x:c>
      <x:c r="D228" s="55" t="str">
        <x:v>半身虎人（黃塵荒漠、聖域之門、飛簷頂徑）</x:v>
      </x:c>
      <x:c r="E228" s="55" t="str">
        <x:v>—</x:v>
      </x:c>
    </x:row>
    <x:row r="229" ht="15" customHeight="1">
      <x:c r="A229" s="55" t="str">
        <x:v>[駱駝]</x:v>
      </x:c>
      <x:c r="B229" s="55" t="str">
        <x:v>10星</x:v>
      </x:c>
      <x:c r="C229" s="55" t="str">
        <x:v>迷惑術</x:v>
      </x:c>
      <x:c r="D229" s="55" t="str">
        <x:v>駱駝（黃塵荒漠、聖域之門）</x:v>
      </x:c>
      <x:c r="E229" s="55" t="str">
        <x:v>—</x:v>
      </x:c>
    </x:row>
    <x:row r="230" ht="15" customHeight="1">
      <x:c r="A230" s="55" t="str">
        <x:v>[焚怒之火]</x:v>
      </x:c>
      <x:c r="B230" s="55" t="str">
        <x:v>10星</x:v>
      </x:c>
      <x:c r="C230" s="55" t="str">
        <x:v>—</x:v>
      </x:c>
      <x:c r="D230" s="55" t="str">
        <x:v>焚怒之火（飛簷頂徑、波斯西市、法誡參道）</x:v>
      </x:c>
      <x:c r="E230" s="55" t="str">
        <x:v>—</x:v>
      </x:c>
    </x:row>
    <x:row r="231" ht="15" customHeight="1">
      <x:c r="A231" s="55" t="str">
        <x:v>[騰湧之水]</x:v>
      </x:c>
      <x:c r="B231" s="55" t="str">
        <x:v>10星</x:v>
      </x:c>
      <x:c r="C231" s="55" t="str">
        <x:v>—</x:v>
      </x:c>
      <x:c r="D231" s="55" t="str">
        <x:v>騰湧之水（飛簷頂徑、波斯西市、法誡參道）</x:v>
      </x:c>
      <x:c r="E231" s="55" t="str">
        <x:v>—</x:v>
      </x:c>
    </x:row>
    <x:row r="232" ht="15" customHeight="1">
      <x:c r="A232" s="55" t="str">
        <x:v>[巨憾之土]</x:v>
      </x:c>
      <x:c r="B232" s="55" t="str">
        <x:v>10星</x:v>
      </x:c>
      <x:c r="C232" s="55" t="str">
        <x:v>—</x:v>
      </x:c>
      <x:c r="D232" s="55" t="str">
        <x:v>巨憾之土（清教院街、波斯西市）</x:v>
      </x:c>
      <x:c r="E232" s="55" t="str">
        <x:v>—</x:v>
      </x:c>
    </x:row>
    <x:row r="233" ht="15" customHeight="1">
      <x:c r="A233" s="55" t="str">
        <x:v>[嘯狂之風]</x:v>
      </x:c>
      <x:c r="B233" s="55" t="str">
        <x:v>10星</x:v>
      </x:c>
      <x:c r="C233" s="55" t="str">
        <x:v>—</x:v>
      </x:c>
      <x:c r="D233" s="55" t="str">
        <x:v>嘯狂之風（清教院街、飛簷頂徑、波斯西市）</x:v>
      </x:c>
      <x:c r="E233" s="55" t="str">
        <x:v>—</x:v>
      </x:c>
    </x:row>
    <x:row r="234" ht="15" customHeight="1">
      <x:c r="A234" s="55" t="str">
        <x:v>劫‧修羅魔君</x:v>
      </x:c>
      <x:c r="B234" s="55" t="str">
        <x:v>10星</x:v>
      </x:c>
      <x:c r="C234" s="55" t="str">
        <x:v>—</x:v>
      </x:c>
      <x:c r="D234" s="55" t="str">
        <x:v>—</x:v>
      </x:c>
      <x:c r="E234" s="55" t="str">
        <x:v>—</x:v>
      </x:c>
    </x:row>
    <x:row r="235" ht="15" customHeight="1">
      <x:c r="A235" s="55" t="str">
        <x:v>劫‧無界閻羅</x:v>
      </x:c>
      <x:c r="B235" s="55" t="str">
        <x:v>10星</x:v>
      </x:c>
      <x:c r="C235" s="55" t="str">
        <x:v>—</x:v>
      </x:c>
      <x:c r="D235" s="55" t="str">
        <x:v>—</x:v>
      </x:c>
      <x:c r="E235" s="55" t="str">
        <x:v>—</x:v>
      </x:c>
    </x:row>
    <x:row r="236" ht="15" customHeight="1">
      <x:c r="A236" s="55" t="str">
        <x:v>劫‧邪幻魔帝</x:v>
      </x:c>
      <x:c r="B236" s="55" t="str">
        <x:v>10星</x:v>
      </x:c>
      <x:c r="C236" s="55" t="str">
        <x:v>—</x:v>
      </x:c>
      <x:c r="D236" s="55" t="str">
        <x:v>—</x:v>
      </x:c>
      <x:c r="E236" s="55" t="str">
        <x:v>—</x:v>
      </x:c>
    </x:row>
    <x:row r="237" ht="15" customHeight="1">
      <x:c r="A237" s="55" t="str">
        <x:v>聖翼不死鳥</x:v>
      </x:c>
      <x:c r="B237" s="55" t="str">
        <x:v>10星</x:v>
      </x:c>
      <x:c r="C237" s="55" t="str">
        <x:v>—</x:v>
      </x:c>
      <x:c r="D237" s="55" t="str">
        <x:v>—</x:v>
      </x:c>
      <x:c r="E237" s="55" t="str">
        <x:v>—</x:v>
      </x:c>
    </x:row>
    <x:row r="238" ht="15" customHeight="1">
      <x:c r="A238" s="55" t="str">
        <x:v>蒼濤聖玉蛟</x:v>
      </x:c>
      <x:c r="B238" s="55" t="str">
        <x:v>10星</x:v>
      </x:c>
      <x:c r="C238" s="55" t="str">
        <x:v>—</x:v>
      </x:c>
      <x:c r="D238" s="55" t="str">
        <x:v>—</x:v>
      </x:c>
      <x:c r="E238" s="55" t="str">
        <x:v>—</x:v>
      </x:c>
    </x:row>
    <x:row r="239" ht="15" customHeight="1">
      <x:c r="A239" s="55" t="str">
        <x:v>煌翠玉蝶仙</x:v>
      </x:c>
      <x:c r="B239" s="55" t="str">
        <x:v>10星</x:v>
      </x:c>
      <x:c r="C239" s="55" t="str">
        <x:v>—</x:v>
      </x:c>
      <x:c r="D239" s="55" t="str">
        <x:v>—</x:v>
      </x:c>
      <x:c r="E239" s="55" t="str">
        <x:v>—</x:v>
      </x:c>
    </x:row>
    <x:row r="240" ht="15" customHeight="1">
      <x:c r="A240" s="55" t="str">
        <x:v>真九皇天尊龍</x:v>
      </x:c>
      <x:c r="B240" s="55" t="str">
        <x:v>10星</x:v>
      </x:c>
      <x:c r="C240" s="55" t="str">
        <x:v>—</x:v>
      </x:c>
      <x:c r="D240" s="55" t="str">
        <x:v>—</x:v>
      </x:c>
      <x:c r="E240" s="55" t="str">
        <x:v>—</x:v>
      </x:c>
    </x:row>
    <x:row r="241" ht="15" customHeight="1">
      <x:c r="A241" s="55" t="str">
        <x:v>天尊雷神王</x:v>
      </x:c>
      <x:c r="B241" s="55" t="str">
        <x:v>10星</x:v>
      </x:c>
      <x:c r="C241" s="55" t="str">
        <x:v>—</x:v>
      </x:c>
      <x:c r="D241" s="55" t="str">
        <x:v>—</x:v>
      </x:c>
      <x:c r="E241" s="55" t="str">
        <x:v>—</x:v>
      </x:c>
    </x:row>
    <x:row r="242" ht="15" customHeight="1">
      <x:c r="A242" s="55" t="str">
        <x:v>天尊風神王</x:v>
      </x:c>
      <x:c r="B242" s="55" t="str">
        <x:v>10星</x:v>
      </x:c>
      <x:c r="C242" s="55" t="str">
        <x:v>—</x:v>
      </x:c>
      <x:c r="D242" s="55" t="str">
        <x:v>—</x:v>
      </x:c>
      <x:c r="E242" s="55" t="str">
        <x:v>—</x:v>
      </x:c>
    </x:row>
    <x:row r="243" ht="15" customHeight="1">
      <x:c r="A243" s="55" t="str">
        <x:v>新紀神燹鳳麒</x:v>
      </x:c>
      <x:c r="B243" s="55" t="str">
        <x:v>10星</x:v>
      </x:c>
      <x:c r="C243" s="55" t="str">
        <x:v>—</x:v>
      </x:c>
      <x:c r="D243" s="55" t="str">
        <x:v>—</x:v>
      </x:c>
      <x:c r="E243" s="55" t="str">
        <x:v>—</x:v>
      </x:c>
    </x:row>
    <x:row r="244" ht="15" customHeight="1">
      <x:c r="A244" s="55" t="str">
        <x:v>絕曆神凜冰麒</x:v>
      </x:c>
      <x:c r="B244" s="55" t="str">
        <x:v>10星</x:v>
      </x:c>
      <x:c r="C244" s="55" t="str">
        <x:v>—</x:v>
      </x:c>
      <x:c r="D244" s="55" t="str">
        <x:v>—</x:v>
      </x:c>
      <x:c r="E244" s="55" t="str">
        <x:v>—</x:v>
      </x:c>
    </x:row>
    <x:row r="245" ht="15" customHeight="1">
      <x:c r="A245" s="55" t="str">
        <x:v>狂宇魔鴆毒麒</x:v>
      </x:c>
      <x:c r="B245" s="55" t="str">
        <x:v>10星</x:v>
      </x:c>
      <x:c r="C245" s="55" t="str">
        <x:v>—</x:v>
      </x:c>
      <x:c r="D245" s="55" t="str">
        <x:v>—</x:v>
      </x:c>
      <x:c r="E245" s="55" t="str">
        <x:v>—</x:v>
      </x:c>
    </x:row>
    <x:row r="246" ht="15" customHeight="1">
      <x:c r="A246" s="55" t="str">
        <x:v>符兵　龍驤</x:v>
      </x:c>
      <x:c r="B246" s="55" t="str">
        <x:v>10星</x:v>
      </x:c>
      <x:c r="C246" s="55" t="str">
        <x:v>—</x:v>
      </x:c>
      <x:c r="D246" s="55" t="str">
        <x:v>—</x:v>
      </x:c>
      <x:c r="E246" s="55" t="str">
        <x:v>—</x:v>
      </x:c>
    </x:row>
    <x:row r="247" ht="15" customHeight="1">
      <x:c r="A247" s="55" t="str">
        <x:v>護天聖將烈魂</x:v>
      </x:c>
      <x:c r="B247" s="55" t="str">
        <x:v>10星</x:v>
      </x:c>
      <x:c r="C247" s="55" t="str">
        <x:v>—</x:v>
      </x:c>
      <x:c r="D247" s="55" t="str">
        <x:v>—</x:v>
      </x:c>
      <x:c r="E247" s="55" t="str">
        <x:v>—</x:v>
      </x:c>
    </x:row>
    <x:row r="248" ht="15" customHeight="1">
      <x:c r="A248" s="55" t="str">
        <x:v>化靈四聖太宰</x:v>
      </x:c>
      <x:c r="B248" s="55" t="str">
        <x:v>10星</x:v>
      </x:c>
      <x:c r="C248" s="55" t="str">
        <x:v>—</x:v>
      </x:c>
      <x:c r="D248" s="55" t="str">
        <x:v>—</x:v>
      </x:c>
      <x:c r="E248" s="55" t="inlineStr">
        <x:is>
          <x:t>—</x:t>
        </x:is>
      </x:c>
    </x:row>
    <x:row r="249" ht="15" customHeight="1">
      <x:c r="A249" s="55" t="str">
        <x:v>元始劍靈</x:v>
      </x:c>
      <x:c r="B249" s="55" t="str">
        <x:v>10星</x:v>
      </x:c>
      <x:c r="C249" s="55" t="str">
        <x:v>—</x:v>
      </x:c>
      <x:c r="D249" s="55" t="str">
        <x:v>—</x:v>
      </x:c>
      <x:c r="E249" s="55" t="str">
        <x:v>—</x:v>
      </x:c>
    </x:row>
    <x:row r="250" ht="15" customHeight="1">
      <x:c r="A250" s="55" t="str">
        <x:v>虛主化尊</x:v>
      </x:c>
      <x:c r="B250" s="55" t="str">
        <x:v>10星</x:v>
      </x:c>
      <x:c r="C250" s="55" t="str">
        <x:v>—</x:v>
      </x:c>
      <x:c r="D250" s="55" t="str">
        <x:v>—</x:v>
      </x:c>
      <x:c r="E250" s="55" t="str">
        <x:v>—</x:v>
      </x:c>
    </x:row>
    <x:row r="251" ht="15" customHeight="1">
      <x:c r="A251" s="55" t="str">
        <x:v>終末尊主</x:v>
      </x:c>
      <x:c r="B251" s="55" t="str">
        <x:v>10星</x:v>
      </x:c>
      <x:c r="C251" s="55" t="str">
        <x:v>—</x:v>
      </x:c>
      <x:c r="D251" s="55" t="str">
        <x:v>—</x:v>
      </x:c>
      <x:c r="E251" s="55" t="str">
        <x:v>—</x:v>
      </x:c>
    </x:row>
    <x:row r="252" ht="15" customHeight="1">
      <x:c r="A252" s="55" t="str">
        <x:v>赤綾烈緋神</x:v>
      </x:c>
      <x:c r="B252" s="55" t="str">
        <x:v>10星</x:v>
      </x:c>
      <x:c r="C252" s="55" t="str">
        <x:v>—</x:v>
      </x:c>
      <x:c r="D252" s="55" t="str">
        <x:v>—</x:v>
      </x:c>
      <x:c r="E252" s="55" t="str">
        <x:v>—</x:v>
      </x:c>
    </x:row>
    <x:row r="253" ht="15" customHeight="1">
      <x:c r="A253" s="55" t="str">
        <x:v>幽神阿努比斯</x:v>
      </x:c>
      <x:c r="B253" s="55" t="str">
        <x:v>10星</x:v>
      </x:c>
      <x:c r="C253" s="55" t="str">
        <x:v>—</x:v>
      </x:c>
      <x:c r="D253" s="55" t="str">
        <x:v>—</x:v>
      </x:c>
      <x:c r="E253" s="55" t="str">
        <x:v>—</x:v>
      </x:c>
    </x:row>
    <x:row r="254" ht="15" customHeight="1">
      <x:c r="A254" s="55" t="str">
        <x:v>逆神阿努比斯</x:v>
      </x:c>
      <x:c r="B254" s="55" t="str">
        <x:v>10星</x:v>
      </x:c>
      <x:c r="C254" s="55" t="str">
        <x:v>—</x:v>
      </x:c>
      <x:c r="D254" s="55" t="str">
        <x:v>—</x:v>
      </x:c>
      <x:c r="E254" s="55" t="str">
        <x:v>—</x:v>
      </x:c>
    </x:row>
    <x:row r="255" ht="15" customHeight="1">
      <x:c r="A255" s="55" t="str">
        <x:v>綿柔喜羊駝</x:v>
      </x:c>
      <x:c r="B255" s="55" t="str">
        <x:v>10星</x:v>
      </x:c>
      <x:c r="C255" s="55" t="str">
        <x:v>—</x:v>
      </x:c>
      <x:c r="D255" s="55" t="str">
        <x:v>—</x:v>
      </x:c>
      <x:c r="E255" s="55" t="str">
        <x:v>—</x:v>
      </x:c>
    </x:row>
    <x:row r="256" ht="15" customHeight="1">
      <x:c r="A256" s="55" t="str">
        <x:v>九尾妖仙妲己</x:v>
      </x:c>
      <x:c r="B256" s="55" t="str">
        <x:v>10星</x:v>
      </x:c>
      <x:c r="C256" s="55" t="str">
        <x:v>—</x:v>
      </x:c>
      <x:c r="D256" s="55" t="str">
        <x:v>—</x:v>
      </x:c>
      <x:c r="E256" s="55" t="str">
        <x:v>—</x:v>
      </x:c>
    </x:row>
    <x:row r="257" ht="15" customHeight="1">
      <x:c r="A257" s="55" t="str">
        <x:v>傾國金色九尾</x:v>
      </x:c>
      <x:c r="B257" s="55" t="str">
        <x:v>10星</x:v>
      </x:c>
      <x:c r="C257" s="55" t="str">
        <x:v>—</x:v>
      </x:c>
      <x:c r="D257" s="55" t="str">
        <x:v>—</x:v>
      </x:c>
      <x:c r="E257" s="55" t="str">
        <x:v>—</x:v>
      </x:c>
    </x:row>
    <x:row r="258" ht="15" customHeight="1">
      <x:c r="A258" s="55" t="str">
        <x:v>覆朝嫣紅九尾</x:v>
      </x:c>
      <x:c r="B258" s="55" t="str">
        <x:v>10星</x:v>
      </x:c>
      <x:c r="C258" s="55" t="str">
        <x:v>—</x:v>
      </x:c>
      <x:c r="D258" s="55" t="str">
        <x:v>—</x:v>
      </x:c>
      <x:c r="E258" s="55" t="str">
        <x:v>—</x:v>
      </x:c>
    </x:row>
    <x:row r="259" ht="15" customHeight="1">
      <x:c r="A259" s="55" t="str">
        <x:v>影咒獸．玉犬</x:v>
      </x:c>
      <x:c r="B259" s="55" t="str">
        <x:v>10星</x:v>
      </x:c>
      <x:c r="C259" s="55" t="str">
        <x:v>—</x:v>
      </x:c>
      <x:c r="D259" s="55" t="str">
        <x:v>—</x:v>
      </x:c>
      <x:c r="E259" s="55" t="str">
        <x:v>—</x:v>
      </x:c>
    </x:row>
    <x:row r="260" ht="15" customHeight="1">
      <x:c r="A260" s="55" t="str">
        <x:v>影咒獸．鴞</x:v>
      </x:c>
      <x:c r="B260" s="55" t="str">
        <x:v>10星</x:v>
      </x:c>
      <x:c r="C260" s="55" t="str">
        <x:v>—</x:v>
      </x:c>
      <x:c r="D260" s="55" t="str">
        <x:v>—</x:v>
      </x:c>
      <x:c r="E260" s="55" t="str">
        <x:v>—</x:v>
      </x:c>
    </x:row>
    <x:row r="261" ht="15" customHeight="1">
      <x:c r="A261" s="55" t="str">
        <x:v>影咒獸．脫兔</x:v>
      </x:c>
      <x:c r="B261" s="55" t="str">
        <x:v>10星</x:v>
      </x:c>
      <x:c r="C261" s="55" t="str">
        <x:v>—</x:v>
      </x:c>
      <x:c r="D261" s="55" t="str">
        <x:v>—</x:v>
      </x:c>
      <x:c r="E261" s="55" t="str">
        <x:v>—</x:v>
      </x:c>
    </x:row>
    <x:row r="262" ht="15" customHeight="1">
      <x:c r="A262" s="55" t="str">
        <x:v>影咒獸．墨蟾</x:v>
      </x:c>
      <x:c r="B262" s="55" t="str">
        <x:v>10星</x:v>
      </x:c>
      <x:c r="C262" s="55" t="str">
        <x:v>—</x:v>
      </x:c>
      <x:c r="D262" s="55" t="str">
        <x:v>—</x:v>
      </x:c>
      <x:c r="E262" s="55" t="str">
        <x:v>—</x:v>
      </x:c>
    </x:row>
    <x:row r="263" ht="15" customHeight="1">
      <x:c r="A263" s="55" t="str">
        <x:v>影咒獸．蹣象</x:v>
      </x:c>
      <x:c r="B263" s="55" t="str">
        <x:v>10星</x:v>
      </x:c>
      <x:c r="C263" s="55" t="str">
        <x:v>—</x:v>
      </x:c>
      <x:c r="D263" s="55" t="str">
        <x:v>—</x:v>
      </x:c>
      <x:c r="E263" s="55" t="str">
        <x:v>—</x:v>
      </x:c>
    </x:row>
    <x:row r="264" ht="15" customHeight="1">
      <x:c r="A264" s="55" t="str">
        <x:v>太極金架蔘王</x:v>
      </x:c>
      <x:c r="B264" s="55" t="str">
        <x:v>10星</x:v>
      </x:c>
      <x:c r="C264" s="55" t="str">
        <x:v>—</x:v>
      </x:c>
      <x:c r="D264" s="55" t="str">
        <x:v>—</x:v>
      </x:c>
      <x:c r="E264" s="55" t="str">
        <x:v>—</x:v>
      </x:c>
    </x:row>
    <x:row r="265" ht="15" customHeight="1">
      <x:c r="A265" s="55" t="str">
        <x:v>新羅次雄獬廌</x:v>
      </x:c>
      <x:c r="B265" s="55" t="str">
        <x:v>10星</x:v>
      </x:c>
      <x:c r="C265" s="55" t="str">
        <x:v>—</x:v>
      </x:c>
      <x:c r="D265" s="55" t="str">
        <x:v>—</x:v>
      </x:c>
      <x:c r="E265" s="55" t="str">
        <x:v>—</x:v>
      </x:c>
    </x:row>
    <x:row r="266" ht="15" customHeight="1">
      <x:c r="A266" s="55" t="str">
        <x:v>飛尊皓羽白陵</x:v>
      </x:c>
      <x:c r="B266" s="55" t="str">
        <x:v>10星</x:v>
      </x:c>
      <x:c r="C266" s="55" t="str">
        <x:v>—</x:v>
      </x:c>
      <x:c r="D266" s="55" t="str">
        <x:v>—</x:v>
      </x:c>
      <x:c r="E266" s="55" t="str">
        <x:v>—</x:v>
      </x:c>
    </x:row>
    <x:row r="267" ht="15" customHeight="1">
      <x:c r="A267" s="55" t="str">
        <x:v>泰源黑熊王</x:v>
      </x:c>
      <x:c r="B267" s="55" t="str">
        <x:v>10星</x:v>
      </x:c>
      <x:c r="C267" s="55" t="str">
        <x:v>—</x:v>
      </x:c>
      <x:c r="D267" s="55" t="str">
        <x:v>—</x:v>
      </x:c>
      <x:c r="E267" s="55" t="str">
        <x:v>—</x:v>
      </x:c>
    </x:row>
    <x:row r="268" ht="15" customHeight="1">
      <x:c r="A268" s="55" t="str">
        <x:v>方舟天翼虎</x:v>
      </x:c>
      <x:c r="B268" s="55" t="str">
        <x:v>10星</x:v>
      </x:c>
      <x:c r="C268" s="55" t="str">
        <x:v>—</x:v>
      </x:c>
      <x:c r="D268" s="55" t="str">
        <x:v>—</x:v>
      </x:c>
      <x:c r="E268" s="55" t="str">
        <x:v>—</x:v>
      </x:c>
    </x:row>
    <x:row r="269" ht="15" customHeight="1">
      <x:c r="A269" s="55" t="str">
        <x:v>歧異霸王龍</x:v>
      </x:c>
      <x:c r="B269" s="55" t="str">
        <x:v>10星</x:v>
      </x:c>
      <x:c r="C269" s="55" t="str">
        <x:v>—</x:v>
      </x:c>
      <x:c r="D269" s="55" t="str">
        <x:v>—</x:v>
      </x:c>
      <x:c r="E269" s="55" t="str">
        <x:v>—</x:v>
      </x:c>
    </x:row>
    <x:row r="270" ht="15" customHeight="1">
      <x:c r="A270" s="55" t="str">
        <x:v>影咒獸．刁蛇</x:v>
      </x:c>
      <x:c r="B270" s="55" t="str">
        <x:v>10星</x:v>
      </x:c>
      <x:c r="C270" s="55" t="str">
        <x:v>—</x:v>
      </x:c>
      <x:c r="D270" s="55" t="str">
        <x:v>—</x:v>
      </x:c>
      <x:c r="E270" s="55" t="str">
        <x:v>—</x:v>
      </x:c>
    </x:row>
    <x:row r="271" ht="15" customHeight="1">
      <x:c r="A271" s="55" t="str">
        <x:v>影咒獸．垣鹿</x:v>
      </x:c>
      <x:c r="B271" s="55" t="str">
        <x:v>10星</x:v>
      </x:c>
      <x:c r="C271" s="55" t="str">
        <x:v>—</x:v>
      </x:c>
      <x:c r="D271" s="55" t="str">
        <x:v>—</x:v>
      </x:c>
      <x:c r="E271" s="55" t="str">
        <x:v>—</x:v>
      </x:c>
    </x:row>
  </x:sheetData>
  <x:mergeCells>
    <x:mergeCell ref="A2:E2"/>
    <x:mergeCell ref="A3:E3"/>
    <x:mergeCell ref="A4:E4"/>
    <x:mergeCell ref="A5:E5"/>
  </x:mergeCells>
  <x:pageMargins left="0.7" right="0.7" top="0.75" bottom="0.75" header="0.3" footer="0.3"/>
  <x:tableParts count="1">
    <x:tablePart xmlns:r="http://schemas.openxmlformats.org/officeDocument/2006/relationships" r:id="R1d7d34220ad04743"/>
  </x:tableParts>
</x:worksheet>
</file>